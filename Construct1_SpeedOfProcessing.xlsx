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xh180038/Desktop/Current_Research/KTTK Updating/Cognition/Corrected/"/>
    </mc:Choice>
  </mc:AlternateContent>
  <xr:revisionPtr revIDLastSave="0" documentId="13_ncr:1_{38F2BA30-84FF-9D4A-8D61-8A5A6EC0B16B}" xr6:coauthVersionLast="47" xr6:coauthVersionMax="47" xr10:uidLastSave="{00000000-0000-0000-0000-000000000000}"/>
  <bookViews>
    <workbookView xWindow="36440" yWindow="500" windowWidth="27540" windowHeight="17500" activeTab="2" xr2:uid="{E96EDE63-1406-A14B-A9B1-0E9AADA03A85}"/>
  </bookViews>
  <sheets>
    <sheet name="Speed of Processing-W1" sheetId="14" r:id="rId1"/>
    <sheet name="Speed of Processing-W2" sheetId="12" r:id="rId2"/>
    <sheet name="Speed of Processing-W3" sheetId="16" r:id="rId3"/>
  </sheets>
  <definedNames>
    <definedName name="_xlnm.Print_Titles" localSheetId="0">'Speed of Processing-W1'!$1:$1</definedName>
    <definedName name="_xlnm.Print_Titles" localSheetId="1">'Speed of Processing-W2'!$1:$1</definedName>
    <definedName name="_xlnm.Print_Titles" localSheetId="2">'Speed of Processing-W3'!$1:$1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A3" i="16" l="1" a="1"/>
  <c r="AA3" i="16" s="1"/>
  <c r="AA4" i="16" a="1"/>
  <c r="AA4" i="16" s="1"/>
  <c r="AA5" i="16" a="1"/>
  <c r="AA5" i="16" s="1"/>
  <c r="AA6" i="16" a="1"/>
  <c r="AA6" i="16" s="1"/>
  <c r="AA7" i="16" a="1"/>
  <c r="AA7" i="16" s="1"/>
  <c r="AA8" i="16" a="1"/>
  <c r="AA8" i="16" s="1"/>
  <c r="AA9" i="16" a="1"/>
  <c r="AA9" i="16" s="1"/>
  <c r="AA10" i="16" a="1"/>
  <c r="AA10" i="16" s="1"/>
  <c r="AA11" i="16" a="1"/>
  <c r="AA11" i="16" s="1"/>
  <c r="AA12" i="16" a="1"/>
  <c r="AA12" i="16" s="1"/>
  <c r="AA13" i="16" a="1"/>
  <c r="AA13" i="16" s="1"/>
  <c r="AA14" i="16" a="1"/>
  <c r="AA14" i="16" s="1"/>
  <c r="AA15" i="16" a="1"/>
  <c r="AA15" i="16" s="1"/>
  <c r="AA16" i="16" a="1"/>
  <c r="AA16" i="16" s="1"/>
  <c r="AA17" i="16" a="1"/>
  <c r="AA17" i="16" s="1"/>
  <c r="AA18" i="16" a="1"/>
  <c r="AA18" i="16" s="1"/>
  <c r="AA19" i="16" a="1"/>
  <c r="AA19" i="16" s="1"/>
  <c r="AA20" i="16" a="1"/>
  <c r="AA20" i="16" s="1"/>
  <c r="AA21" i="16" a="1"/>
  <c r="AA21" i="16" s="1"/>
  <c r="AA22" i="16" a="1"/>
  <c r="AA22" i="16" s="1"/>
  <c r="AA23" i="16" a="1"/>
  <c r="AA23" i="16" s="1"/>
  <c r="AA24" i="16" a="1"/>
  <c r="AA24" i="16" s="1"/>
  <c r="AA25" i="16" a="1"/>
  <c r="AA25" i="16" s="1"/>
  <c r="AA26" i="16" a="1"/>
  <c r="AA26" i="16" s="1"/>
  <c r="AA27" i="16" a="1"/>
  <c r="AA27" i="16" s="1"/>
  <c r="AA28" i="16" a="1"/>
  <c r="AA28" i="16" s="1"/>
  <c r="AA29" i="16" a="1"/>
  <c r="AA29" i="16" s="1"/>
  <c r="AA30" i="16" a="1"/>
  <c r="AA30" i="16" s="1"/>
  <c r="AA31" i="16" a="1"/>
  <c r="AA31" i="16" s="1"/>
  <c r="AA32" i="16" a="1"/>
  <c r="AA32" i="16" s="1"/>
  <c r="AA33" i="16" a="1"/>
  <c r="AA33" i="16" s="1"/>
  <c r="AA34" i="16" a="1"/>
  <c r="AA34" i="16" s="1"/>
  <c r="AA35" i="16" a="1"/>
  <c r="AA35" i="16" s="1"/>
  <c r="AA36" i="16" a="1"/>
  <c r="AA36" i="16" s="1"/>
  <c r="AA37" i="16" a="1"/>
  <c r="AA37" i="16" s="1"/>
  <c r="AA38" i="16" a="1"/>
  <c r="AA38" i="16" s="1"/>
  <c r="AA39" i="16" a="1"/>
  <c r="AA39" i="16" s="1"/>
  <c r="AA40" i="16" a="1"/>
  <c r="AA40" i="16" s="1"/>
  <c r="AA41" i="16" a="1"/>
  <c r="AA41" i="16" s="1"/>
  <c r="AA42" i="16" a="1"/>
  <c r="AA42" i="16" s="1"/>
  <c r="AA43" i="16" a="1"/>
  <c r="AA43" i="16" s="1"/>
  <c r="AA44" i="16" a="1"/>
  <c r="AA44" i="16" s="1"/>
  <c r="AA45" i="16" a="1"/>
  <c r="AA45" i="16" s="1"/>
  <c r="AA46" i="16" a="1"/>
  <c r="AA46" i="16" s="1"/>
  <c r="AA47" i="16" a="1"/>
  <c r="AA47" i="16" s="1"/>
  <c r="AA48" i="16" a="1"/>
  <c r="AA48" i="16" s="1"/>
  <c r="AA49" i="16" a="1"/>
  <c r="AA49" i="16" s="1"/>
  <c r="AA50" i="16" a="1"/>
  <c r="AA50" i="16" s="1"/>
  <c r="AA51" i="16" a="1"/>
  <c r="AA51" i="16" s="1"/>
  <c r="AA52" i="16" a="1"/>
  <c r="AA52" i="16" s="1"/>
  <c r="AA53" i="16" a="1"/>
  <c r="AA53" i="16" s="1"/>
  <c r="AA54" i="16" a="1"/>
  <c r="AA54" i="16" s="1"/>
  <c r="AA55" i="16" a="1"/>
  <c r="AA55" i="16" s="1"/>
  <c r="AA56" i="16" a="1"/>
  <c r="AA56" i="16" s="1"/>
  <c r="AA57" i="16" a="1"/>
  <c r="AA57" i="16" s="1"/>
  <c r="AA58" i="16" a="1"/>
  <c r="AA58" i="16" s="1"/>
  <c r="AA59" i="16" a="1"/>
  <c r="AA59" i="16" s="1"/>
  <c r="AA60" i="16" a="1"/>
  <c r="AA60" i="16" s="1"/>
  <c r="AA61" i="16" a="1"/>
  <c r="AA61" i="16" s="1"/>
  <c r="AA62" i="16" a="1"/>
  <c r="AA62" i="16" s="1"/>
  <c r="AA63" i="16" a="1"/>
  <c r="AA63" i="16" s="1"/>
  <c r="AA64" i="16" a="1"/>
  <c r="AA64" i="16" s="1"/>
  <c r="AA65" i="16" a="1"/>
  <c r="AA65" i="16" s="1"/>
  <c r="AA66" i="16" a="1"/>
  <c r="AA66" i="16" s="1"/>
  <c r="AA67" i="16" a="1"/>
  <c r="AA67" i="16" s="1"/>
  <c r="AA68" i="16" a="1"/>
  <c r="AA68" i="16" s="1"/>
  <c r="AA69" i="16" a="1"/>
  <c r="AA69" i="16" s="1"/>
  <c r="AA70" i="16" a="1"/>
  <c r="AA70" i="16" s="1"/>
  <c r="AA71" i="16" a="1"/>
  <c r="AA71" i="16" s="1"/>
  <c r="AA72" i="16" a="1"/>
  <c r="AA72" i="16" s="1"/>
  <c r="AA73" i="16" a="1"/>
  <c r="AA73" i="16" s="1"/>
  <c r="AA74" i="16" a="1"/>
  <c r="AA74" i="16" s="1"/>
  <c r="AA75" i="16" a="1"/>
  <c r="AA75" i="16" s="1"/>
  <c r="AA76" i="16" a="1"/>
  <c r="AA76" i="16" s="1"/>
  <c r="AA77" i="16" a="1"/>
  <c r="AA77" i="16" s="1"/>
  <c r="AA78" i="16" a="1"/>
  <c r="AA78" i="16" s="1"/>
  <c r="AA79" i="16" a="1"/>
  <c r="AA79" i="16" s="1"/>
  <c r="AA80" i="16" a="1"/>
  <c r="AA80" i="16" s="1"/>
  <c r="AA81" i="16" a="1"/>
  <c r="AA81" i="16" s="1"/>
  <c r="AA82" i="16" a="1"/>
  <c r="AA82" i="16" s="1"/>
  <c r="AA83" i="16" a="1"/>
  <c r="AA83" i="16" s="1"/>
  <c r="AA84" i="16" a="1"/>
  <c r="AA84" i="16" s="1"/>
  <c r="AA85" i="16" a="1"/>
  <c r="AA85" i="16" s="1"/>
  <c r="AA86" i="16" a="1"/>
  <c r="AA86" i="16" s="1"/>
  <c r="AA87" i="16" a="1"/>
  <c r="AA87" i="16" s="1"/>
  <c r="AA88" i="16" a="1"/>
  <c r="AA88" i="16" s="1"/>
  <c r="AA89" i="16" a="1"/>
  <c r="AA89" i="16" s="1"/>
  <c r="AA90" i="16" a="1"/>
  <c r="AA90" i="16" s="1"/>
  <c r="AA91" i="16" a="1"/>
  <c r="AA91" i="16" s="1"/>
  <c r="AA92" i="16" a="1"/>
  <c r="AA92" i="16" s="1"/>
  <c r="AA93" i="16" a="1"/>
  <c r="AA93" i="16" s="1"/>
  <c r="AA94" i="16" a="1"/>
  <c r="AA94" i="16" s="1"/>
  <c r="AA95" i="16" a="1"/>
  <c r="AA95" i="16" s="1"/>
  <c r="AA96" i="16" a="1"/>
  <c r="AA96" i="16" s="1"/>
  <c r="AA97" i="16" a="1"/>
  <c r="AA97" i="16" s="1"/>
  <c r="AA98" i="16" a="1"/>
  <c r="AA98" i="16" s="1"/>
  <c r="AA99" i="16" a="1"/>
  <c r="AA99" i="16" s="1"/>
  <c r="AA100" i="16" a="1"/>
  <c r="AA100" i="16" s="1"/>
  <c r="AA101" i="16" a="1"/>
  <c r="AA101" i="16" s="1"/>
  <c r="AA102" i="16" a="1"/>
  <c r="AA102" i="16" s="1"/>
  <c r="AA103" i="16" a="1"/>
  <c r="AA103" i="16" s="1"/>
  <c r="AA104" i="16" a="1"/>
  <c r="AA104" i="16" s="1"/>
  <c r="AA105" i="16" a="1"/>
  <c r="AA105" i="16" s="1"/>
  <c r="AA106" i="16" a="1"/>
  <c r="AA106" i="16" s="1"/>
  <c r="AA107" i="16" a="1"/>
  <c r="AA107" i="16" s="1"/>
  <c r="AA108" i="16" a="1"/>
  <c r="AA108" i="16" s="1"/>
  <c r="AA109" i="16" a="1"/>
  <c r="AA109" i="16" s="1"/>
  <c r="AA110" i="16" a="1"/>
  <c r="AA110" i="16" s="1"/>
  <c r="AA111" i="16" a="1"/>
  <c r="AA111" i="16" s="1"/>
  <c r="AA112" i="16" a="1"/>
  <c r="AA112" i="16" s="1"/>
  <c r="AA113" i="16" a="1"/>
  <c r="AA113" i="16" s="1"/>
  <c r="AA114" i="16" a="1"/>
  <c r="AA114" i="16" s="1"/>
  <c r="AA115" i="16" a="1"/>
  <c r="AA115" i="16" s="1"/>
  <c r="AA116" i="16" a="1"/>
  <c r="AA116" i="16" s="1"/>
  <c r="AA117" i="16" a="1"/>
  <c r="AA117" i="16" s="1"/>
  <c r="AA118" i="16" a="1"/>
  <c r="AA118" i="16" s="1"/>
  <c r="AA119" i="16" a="1"/>
  <c r="AA119" i="16" s="1"/>
  <c r="AA120" i="16" a="1"/>
  <c r="AA120" i="16" s="1"/>
  <c r="AA121" i="16" a="1"/>
  <c r="AA121" i="16" s="1"/>
  <c r="AA122" i="16" a="1"/>
  <c r="AA122" i="16" s="1"/>
  <c r="AA123" i="16" a="1"/>
  <c r="AA123" i="16" s="1"/>
  <c r="AA124" i="16" a="1"/>
  <c r="AA124" i="16" s="1"/>
  <c r="AA125" i="16" a="1"/>
  <c r="AA125" i="16" s="1"/>
  <c r="AA126" i="16" a="1"/>
  <c r="AA126" i="16" s="1"/>
  <c r="AA127" i="16" a="1"/>
  <c r="AA127" i="16" s="1"/>
  <c r="AA128" i="16" a="1"/>
  <c r="AA128" i="16" s="1"/>
  <c r="AA129" i="16" a="1"/>
  <c r="AA129" i="16" s="1"/>
  <c r="AA130" i="16" a="1"/>
  <c r="AA130" i="16" s="1"/>
  <c r="AA131" i="16" a="1"/>
  <c r="AA131" i="16" s="1"/>
  <c r="AA132" i="16" a="1"/>
  <c r="AA132" i="16" s="1"/>
  <c r="AA133" i="16" a="1"/>
  <c r="AA133" i="16" s="1"/>
  <c r="AA134" i="16" a="1"/>
  <c r="AA134" i="16" s="1"/>
  <c r="AA135" i="16" a="1"/>
  <c r="AA135" i="16" s="1"/>
  <c r="AA136" i="16" a="1"/>
  <c r="AA136" i="16" s="1"/>
  <c r="AA137" i="16" a="1"/>
  <c r="AA137" i="16" s="1"/>
  <c r="AA138" i="16" a="1"/>
  <c r="AA138" i="16" s="1"/>
  <c r="AA139" i="16" a="1"/>
  <c r="AA139" i="16" s="1"/>
  <c r="AA140" i="16" a="1"/>
  <c r="AA140" i="16" s="1"/>
  <c r="AA141" i="16" a="1"/>
  <c r="AA141" i="16" s="1"/>
  <c r="AA142" i="16" a="1"/>
  <c r="AA142" i="16" s="1"/>
  <c r="AA143" i="16" a="1"/>
  <c r="AA143" i="16" s="1"/>
  <c r="AA144" i="16" a="1"/>
  <c r="AA144" i="16" s="1"/>
  <c r="AA145" i="16" a="1"/>
  <c r="AA145" i="16" s="1"/>
  <c r="AA146" i="16" a="1"/>
  <c r="AA146" i="16" s="1"/>
  <c r="AA147" i="16" a="1"/>
  <c r="AA147" i="16" s="1"/>
  <c r="AA148" i="16" a="1"/>
  <c r="AA148" i="16" s="1"/>
  <c r="AA149" i="16" a="1"/>
  <c r="AA149" i="16" s="1"/>
  <c r="AA150" i="16" a="1"/>
  <c r="AA150" i="16" s="1"/>
  <c r="AA151" i="16" a="1"/>
  <c r="AA151" i="16" s="1"/>
  <c r="AA152" i="16" a="1"/>
  <c r="AA152" i="16" s="1"/>
  <c r="AA153" i="16" a="1"/>
  <c r="AA153" i="16" s="1"/>
  <c r="AA154" i="16" a="1"/>
  <c r="AA154" i="16" s="1"/>
  <c r="AA155" i="16" a="1"/>
  <c r="AA155" i="16" s="1"/>
  <c r="AA156" i="16" a="1"/>
  <c r="AA156" i="16" s="1"/>
  <c r="AA157" i="16" a="1"/>
  <c r="AA157" i="16" s="1"/>
  <c r="AA158" i="16" a="1"/>
  <c r="AA158" i="16" s="1"/>
  <c r="AA159" i="16" a="1"/>
  <c r="AA159" i="16" s="1"/>
  <c r="AA160" i="16" a="1"/>
  <c r="AA160" i="16" s="1"/>
  <c r="AA161" i="16" a="1"/>
  <c r="AA161" i="16" s="1"/>
  <c r="AA162" i="16" a="1"/>
  <c r="AA162" i="16" s="1"/>
  <c r="AA163" i="16" a="1"/>
  <c r="AA163" i="16" s="1"/>
  <c r="AA164" i="16" a="1"/>
  <c r="AA164" i="16" s="1"/>
  <c r="AA165" i="16" a="1"/>
  <c r="AA165" i="16" s="1"/>
  <c r="AA166" i="16" a="1"/>
  <c r="AA166" i="16" s="1"/>
  <c r="AA167" i="16" a="1"/>
  <c r="AA167" i="16" s="1"/>
  <c r="AA168" i="16" a="1"/>
  <c r="AA168" i="16" s="1"/>
  <c r="AA169" i="16" a="1"/>
  <c r="AA169" i="16" s="1"/>
  <c r="AA170" i="16" a="1"/>
  <c r="AA170" i="16" s="1"/>
  <c r="AA171" i="16" a="1"/>
  <c r="AA171" i="16" s="1"/>
  <c r="AA172" i="16" a="1"/>
  <c r="AA172" i="16" s="1"/>
  <c r="AA173" i="16" a="1"/>
  <c r="AA173" i="16" s="1"/>
  <c r="AA174" i="16" a="1"/>
  <c r="AA174" i="16" s="1"/>
  <c r="AA175" i="16" a="1"/>
  <c r="AA175" i="16" s="1"/>
  <c r="AA176" i="16" a="1"/>
  <c r="AA176" i="16" s="1"/>
  <c r="AA177" i="16" a="1"/>
  <c r="AA177" i="16" s="1"/>
  <c r="AA178" i="16" a="1"/>
  <c r="AA178" i="16" s="1"/>
  <c r="AA179" i="16" a="1"/>
  <c r="AA179" i="16" s="1"/>
  <c r="AA180" i="16" a="1"/>
  <c r="AA180" i="16" s="1"/>
  <c r="AA181" i="16" a="1"/>
  <c r="AA181" i="16" s="1"/>
  <c r="AA182" i="16" a="1"/>
  <c r="AA182" i="16" s="1"/>
  <c r="AA183" i="16" a="1"/>
  <c r="AA183" i="16" s="1"/>
  <c r="AA184" i="16" a="1"/>
  <c r="AA184" i="16" s="1"/>
  <c r="AA185" i="16" a="1"/>
  <c r="AA185" i="16" s="1"/>
  <c r="AA186" i="16" a="1"/>
  <c r="AA186" i="16" s="1"/>
  <c r="AA187" i="16" a="1"/>
  <c r="AA187" i="16" s="1"/>
  <c r="AA188" i="16" a="1"/>
  <c r="AA188" i="16" s="1"/>
  <c r="AA189" i="16" a="1"/>
  <c r="AA189" i="16" s="1"/>
  <c r="AA190" i="16" a="1"/>
  <c r="AA190" i="16" s="1"/>
  <c r="AA191" i="16" a="1"/>
  <c r="AA191" i="16" s="1"/>
  <c r="AA192" i="16" a="1"/>
  <c r="AA192" i="16" s="1"/>
  <c r="AA193" i="16" a="1"/>
  <c r="AA193" i="16" s="1"/>
  <c r="AA194" i="16" a="1"/>
  <c r="AA194" i="16" s="1"/>
  <c r="AA195" i="16" a="1"/>
  <c r="AA195" i="16" s="1"/>
  <c r="AA196" i="16" a="1"/>
  <c r="AA196" i="16" s="1"/>
  <c r="AA197" i="16" a="1"/>
  <c r="AA197" i="16" s="1"/>
  <c r="AA198" i="16" a="1"/>
  <c r="AA198" i="16" s="1"/>
  <c r="AA199" i="16" a="1"/>
  <c r="AA199" i="16" s="1"/>
  <c r="AA200" i="16" a="1"/>
  <c r="AA200" i="16" s="1"/>
  <c r="AA201" i="16" a="1"/>
  <c r="AA201" i="16" s="1"/>
  <c r="AA202" i="16" a="1"/>
  <c r="AA202" i="16" s="1"/>
  <c r="AA203" i="16" a="1"/>
  <c r="AA203" i="16" s="1"/>
  <c r="AA204" i="16" a="1"/>
  <c r="AA204" i="16" s="1"/>
  <c r="AA205" i="16" a="1"/>
  <c r="AA205" i="16" s="1"/>
  <c r="AA206" i="16" a="1"/>
  <c r="AA206" i="16" s="1"/>
  <c r="AA207" i="16" a="1"/>
  <c r="AA207" i="16" s="1"/>
  <c r="AA208" i="16" a="1"/>
  <c r="AA208" i="16" s="1"/>
  <c r="AA209" i="16" a="1"/>
  <c r="AA209" i="16" s="1"/>
  <c r="AA210" i="16" a="1"/>
  <c r="AA210" i="16" s="1"/>
  <c r="AA211" i="16" a="1"/>
  <c r="AA211" i="16" s="1"/>
  <c r="AA212" i="16" a="1"/>
  <c r="AA212" i="16" s="1"/>
  <c r="AA213" i="16" a="1"/>
  <c r="AA213" i="16" s="1"/>
  <c r="AA214" i="16" a="1"/>
  <c r="AA214" i="16" s="1"/>
  <c r="AA215" i="16" a="1"/>
  <c r="AA215" i="16" s="1"/>
  <c r="AA216" i="16" a="1"/>
  <c r="AA216" i="16" s="1"/>
  <c r="AA2" i="16" a="1"/>
  <c r="AA2" i="16" s="1"/>
  <c r="AA2" i="12" a="1"/>
  <c r="AA2" i="12" s="1"/>
  <c r="AA3" i="12" a="1"/>
  <c r="AA3" i="12" s="1"/>
  <c r="AA4" i="12" a="1"/>
  <c r="AA4" i="12"/>
  <c r="AA5" i="12" a="1"/>
  <c r="AA5" i="12" s="1"/>
  <c r="AA6" i="12" a="1"/>
  <c r="AA6" i="12"/>
  <c r="AA7" i="12" a="1"/>
  <c r="AA7" i="12" s="1"/>
  <c r="AA8" i="12" a="1"/>
  <c r="AA8" i="12" s="1"/>
  <c r="AA9" i="12" a="1"/>
  <c r="AA9" i="12" s="1"/>
  <c r="AA10" i="12" a="1"/>
  <c r="AA10" i="12"/>
  <c r="AA11" i="12" a="1"/>
  <c r="AA11" i="12" s="1"/>
  <c r="AA12" i="12" a="1"/>
  <c r="AA12" i="12" s="1"/>
  <c r="AA13" i="12" a="1"/>
  <c r="AA13" i="12" s="1"/>
  <c r="AA14" i="12" a="1"/>
  <c r="AA14" i="12"/>
  <c r="AA15" i="12" a="1"/>
  <c r="AA15" i="12" s="1"/>
  <c r="AA16" i="12" a="1"/>
  <c r="AA16" i="12" s="1"/>
  <c r="AA17" i="12" a="1"/>
  <c r="AA17" i="12" s="1"/>
  <c r="AA18" i="12" a="1"/>
  <c r="AA18" i="12"/>
  <c r="AA19" i="12" a="1"/>
  <c r="AA19" i="12" s="1"/>
  <c r="AA20" i="12" a="1"/>
  <c r="AA20" i="12" s="1"/>
  <c r="AA21" i="12" a="1"/>
  <c r="AA21" i="12" s="1"/>
  <c r="AA22" i="12" a="1"/>
  <c r="AA22" i="12"/>
  <c r="AA23" i="12" a="1"/>
  <c r="AA23" i="12" s="1"/>
  <c r="AA24" i="12" a="1"/>
  <c r="AA24" i="12" s="1"/>
  <c r="AA25" i="12" a="1"/>
  <c r="AA25" i="12" s="1"/>
  <c r="AA26" i="12" a="1"/>
  <c r="AA26" i="12"/>
  <c r="AA27" i="12" a="1"/>
  <c r="AA27" i="12" s="1"/>
  <c r="AA28" i="12" a="1"/>
  <c r="AA28" i="12" s="1"/>
  <c r="AA29" i="12" a="1"/>
  <c r="AA29" i="12" s="1"/>
  <c r="AA30" i="12" a="1"/>
  <c r="AA30" i="12"/>
  <c r="AA31" i="12" a="1"/>
  <c r="AA31" i="12" s="1"/>
  <c r="AA32" i="12" a="1"/>
  <c r="AA32" i="12" s="1"/>
  <c r="AA33" i="12" a="1"/>
  <c r="AA33" i="12" s="1"/>
  <c r="AA34" i="12" a="1"/>
  <c r="AA34" i="12"/>
  <c r="AA35" i="12" a="1"/>
  <c r="AA35" i="12" s="1"/>
  <c r="AA36" i="12" a="1"/>
  <c r="AA36" i="12"/>
  <c r="AA37" i="12" a="1"/>
  <c r="AA37" i="12" s="1"/>
  <c r="AA38" i="12" a="1"/>
  <c r="AA38" i="12"/>
  <c r="AA39" i="12" a="1"/>
  <c r="AA39" i="12" s="1"/>
  <c r="AA40" i="12" a="1"/>
  <c r="AA40" i="12" s="1"/>
  <c r="AA41" i="12" a="1"/>
  <c r="AA41" i="12" s="1"/>
  <c r="AA42" i="12" a="1"/>
  <c r="AA42" i="12"/>
  <c r="AA43" i="12" a="1"/>
  <c r="AA43" i="12" s="1"/>
  <c r="AA44" i="12" a="1"/>
  <c r="AA44" i="12" s="1"/>
  <c r="AA45" i="12" a="1"/>
  <c r="AA45" i="12" s="1"/>
  <c r="AA46" i="12" a="1"/>
  <c r="AA46" i="12"/>
  <c r="AA47" i="12" a="1"/>
  <c r="AA47" i="12" s="1"/>
  <c r="AA48" i="12" a="1"/>
  <c r="AA48" i="12" s="1"/>
  <c r="AA49" i="12" a="1"/>
  <c r="AA49" i="12" s="1"/>
  <c r="AA50" i="12" a="1"/>
  <c r="AA50" i="12"/>
  <c r="AA51" i="12" a="1"/>
  <c r="AA51" i="12" s="1"/>
  <c r="AA52" i="12" a="1"/>
  <c r="AA52" i="12"/>
  <c r="AA53" i="12" a="1"/>
  <c r="AA53" i="12" s="1"/>
  <c r="AA54" i="12" a="1"/>
  <c r="AA54" i="12"/>
  <c r="AA55" i="12" a="1"/>
  <c r="AA55" i="12" s="1"/>
  <c r="AA56" i="12" a="1"/>
  <c r="AA56" i="12" s="1"/>
  <c r="AA57" i="12" a="1"/>
  <c r="AA57" i="12" s="1"/>
  <c r="AA58" i="12" a="1"/>
  <c r="AA58" i="12"/>
  <c r="AA59" i="12" a="1"/>
  <c r="AA59" i="12" s="1"/>
  <c r="AA60" i="12" a="1"/>
  <c r="AA60" i="12"/>
  <c r="AA61" i="12" a="1"/>
  <c r="AA61" i="12" s="1"/>
  <c r="AA62" i="12" a="1"/>
  <c r="AA62" i="12"/>
  <c r="AA63" i="12" a="1"/>
  <c r="AA63" i="12" s="1"/>
  <c r="AA64" i="12" a="1"/>
  <c r="AA64" i="12" s="1"/>
  <c r="AA65" i="12" a="1"/>
  <c r="AA65" i="12" s="1"/>
  <c r="AA66" i="12" a="1"/>
  <c r="AA66" i="12"/>
  <c r="AA67" i="12" a="1"/>
  <c r="AA67" i="12" s="1"/>
  <c r="AA68" i="12" a="1"/>
  <c r="AA68" i="12" s="1"/>
  <c r="AA69" i="12" a="1"/>
  <c r="AA69" i="12" s="1"/>
  <c r="AA70" i="12" a="1"/>
  <c r="AA70" i="12"/>
  <c r="AA71" i="12" a="1"/>
  <c r="AA71" i="12" s="1"/>
  <c r="AA72" i="12" a="1"/>
  <c r="AA72" i="12" s="1"/>
  <c r="AA73" i="12" a="1"/>
  <c r="AA73" i="12" s="1"/>
  <c r="AA74" i="12" a="1"/>
  <c r="AA74" i="12"/>
  <c r="AA75" i="12" a="1"/>
  <c r="AA75" i="12" s="1"/>
  <c r="AA76" i="12" a="1"/>
  <c r="AA76" i="12" s="1"/>
  <c r="AA77" i="12" a="1"/>
  <c r="AA77" i="12" s="1"/>
  <c r="AA78" i="12" a="1"/>
  <c r="AA78" i="12"/>
  <c r="AA79" i="12" a="1"/>
  <c r="AA79" i="12" s="1"/>
  <c r="AA80" i="12" a="1"/>
  <c r="AA80" i="12" s="1"/>
  <c r="AA81" i="12" a="1"/>
  <c r="AA81" i="12" s="1"/>
  <c r="AA82" i="12" a="1"/>
  <c r="AA82" i="12"/>
  <c r="AA83" i="12" a="1"/>
  <c r="AA83" i="12" s="1"/>
  <c r="AA84" i="12" a="1"/>
  <c r="AA84" i="12"/>
  <c r="AA85" i="12" a="1"/>
  <c r="AA85" i="12" s="1"/>
  <c r="AA86" i="12" a="1"/>
  <c r="AA86" i="12"/>
  <c r="AA87" i="12" a="1"/>
  <c r="AA87" i="12" s="1"/>
  <c r="AA88" i="12" a="1"/>
  <c r="AA88" i="12" s="1"/>
  <c r="AA89" i="12" a="1"/>
  <c r="AA89" i="12" s="1"/>
  <c r="AA90" i="12" a="1"/>
  <c r="AA90" i="12"/>
  <c r="AA91" i="12" a="1"/>
  <c r="AA91" i="12" s="1"/>
  <c r="AA92" i="12" a="1"/>
  <c r="AA92" i="12"/>
  <c r="AA93" i="12" a="1"/>
  <c r="AA93" i="12" s="1"/>
  <c r="AA94" i="12" a="1"/>
  <c r="AA94" i="12"/>
  <c r="AA95" i="12" a="1"/>
  <c r="AA95" i="12" s="1"/>
  <c r="AA96" i="12" a="1"/>
  <c r="AA96" i="12" s="1"/>
  <c r="AA97" i="12" a="1"/>
  <c r="AA97" i="12" s="1"/>
  <c r="AA98" i="12" a="1"/>
  <c r="AA98" i="12"/>
  <c r="AA99" i="12" a="1"/>
  <c r="AA99" i="12" s="1"/>
  <c r="AA100" i="12" a="1"/>
  <c r="AA100" i="12" s="1"/>
  <c r="AA101" i="12" a="1"/>
  <c r="AA101" i="12" s="1"/>
  <c r="AA102" i="12" a="1"/>
  <c r="AA102" i="12"/>
  <c r="AA103" i="12" a="1"/>
  <c r="AA103" i="12" s="1"/>
  <c r="AA104" i="12" a="1"/>
  <c r="AA104" i="12" s="1"/>
  <c r="AA105" i="12" a="1"/>
  <c r="AA105" i="12" s="1"/>
  <c r="AA106" i="12" a="1"/>
  <c r="AA106" i="12" s="1"/>
  <c r="AA107" i="12" a="1"/>
  <c r="AA107" i="12" s="1"/>
  <c r="AA108" i="12" a="1"/>
  <c r="AA108" i="12"/>
  <c r="AA109" i="12" a="1"/>
  <c r="AA109" i="12" s="1"/>
  <c r="AA110" i="12" a="1"/>
  <c r="AA110" i="12"/>
  <c r="AA111" i="12" a="1"/>
  <c r="AA111" i="12" s="1"/>
  <c r="AA112" i="12" a="1"/>
  <c r="AA112" i="12" s="1"/>
  <c r="AA113" i="12" a="1"/>
  <c r="AA113" i="12" s="1"/>
  <c r="AA114" i="12" a="1"/>
  <c r="AA114" i="12"/>
  <c r="AA115" i="12" a="1"/>
  <c r="AA115" i="12" s="1"/>
  <c r="AA116" i="12" a="1"/>
  <c r="AA116" i="12" s="1"/>
  <c r="AA117" i="12" a="1"/>
  <c r="AA117" i="12" s="1"/>
  <c r="AA118" i="12" a="1"/>
  <c r="AA118" i="12"/>
  <c r="AA119" i="12" a="1"/>
  <c r="AA119" i="12" s="1"/>
  <c r="AA120" i="12" a="1"/>
  <c r="AA120" i="12" s="1"/>
  <c r="AA121" i="12" a="1"/>
  <c r="AA121" i="12" s="1"/>
  <c r="AA122" i="12" a="1"/>
  <c r="AA122" i="12" s="1"/>
  <c r="AA123" i="12" a="1"/>
  <c r="AA123" i="12" s="1"/>
  <c r="AA124" i="12" a="1"/>
  <c r="AA124" i="12"/>
  <c r="AA125" i="12" a="1"/>
  <c r="AA125" i="12" s="1"/>
  <c r="AA126" i="12" a="1"/>
  <c r="AA126" i="12"/>
  <c r="AA127" i="12" a="1"/>
  <c r="AA127" i="12" s="1"/>
  <c r="AA128" i="12" a="1"/>
  <c r="AA128" i="12" s="1"/>
  <c r="AA129" i="12" a="1"/>
  <c r="AA129" i="12" s="1"/>
  <c r="AA130" i="12" a="1"/>
  <c r="AA130" i="12"/>
  <c r="AA131" i="12" a="1"/>
  <c r="AA131" i="12" s="1"/>
  <c r="AA132" i="12" a="1"/>
  <c r="AA132" i="12" s="1"/>
  <c r="AA133" i="12" a="1"/>
  <c r="AA133" i="12" s="1"/>
  <c r="AA134" i="12" a="1"/>
  <c r="AA134" i="12"/>
  <c r="AA135" i="12" a="1"/>
  <c r="AA135" i="12" s="1"/>
  <c r="AA136" i="12" a="1"/>
  <c r="AA136" i="12" s="1"/>
  <c r="AA137" i="12" a="1"/>
  <c r="AA137" i="12" s="1"/>
  <c r="AA138" i="12" a="1"/>
  <c r="AA138" i="12" s="1"/>
  <c r="AA139" i="12" a="1"/>
  <c r="AA139" i="12" s="1"/>
  <c r="AA140" i="12" a="1"/>
  <c r="AA140" i="12"/>
  <c r="AA141" i="12" a="1"/>
  <c r="AA141" i="12" s="1"/>
  <c r="AA142" i="12" a="1"/>
  <c r="AA142" i="12"/>
  <c r="AA143" i="12" a="1"/>
  <c r="AA143" i="12" s="1"/>
  <c r="AA144" i="12" a="1"/>
  <c r="AA144" i="12" s="1"/>
  <c r="AA145" i="12" a="1"/>
  <c r="AA145" i="12" s="1"/>
  <c r="AA146" i="12" a="1"/>
  <c r="AA146" i="12"/>
  <c r="AA147" i="12" a="1"/>
  <c r="AA147" i="12" s="1"/>
  <c r="AA148" i="12" a="1"/>
  <c r="AA148" i="12" s="1"/>
  <c r="AA149" i="12" a="1"/>
  <c r="AA149" i="12" s="1"/>
  <c r="AA150" i="12" a="1"/>
  <c r="AA150" i="12"/>
  <c r="AA151" i="12" a="1"/>
  <c r="AA151" i="12" s="1"/>
  <c r="AA152" i="12" a="1"/>
  <c r="AA152" i="12" s="1"/>
  <c r="AA153" i="12" a="1"/>
  <c r="AA153" i="12" s="1"/>
  <c r="AA154" i="12" a="1"/>
  <c r="AA154" i="12" s="1"/>
  <c r="AA155" i="12" a="1"/>
  <c r="AA155" i="12" s="1"/>
  <c r="AA156" i="12" a="1"/>
  <c r="AA156" i="12"/>
  <c r="AA157" i="12" a="1"/>
  <c r="AA157" i="12" s="1"/>
  <c r="AA158" i="12" a="1"/>
  <c r="AA158" i="12"/>
  <c r="AA159" i="12" a="1"/>
  <c r="AA159" i="12" s="1"/>
  <c r="AA160" i="12" a="1"/>
  <c r="AA160" i="12" s="1"/>
  <c r="AA161" i="12" a="1"/>
  <c r="AA161" i="12" s="1"/>
  <c r="AA162" i="12" a="1"/>
  <c r="AA162" i="12"/>
  <c r="AA163" i="12" a="1"/>
  <c r="AA163" i="12" s="1"/>
  <c r="AA164" i="12" a="1"/>
  <c r="AA164" i="12" s="1"/>
  <c r="AA165" i="12" a="1"/>
  <c r="AA165" i="12" s="1"/>
  <c r="AA166" i="12" a="1"/>
  <c r="AA166" i="12"/>
  <c r="AA167" i="12" a="1"/>
  <c r="AA167" i="12" s="1"/>
  <c r="AA168" i="12" a="1"/>
  <c r="AA168" i="12" s="1"/>
  <c r="AA169" i="12" a="1"/>
  <c r="AA169" i="12" s="1"/>
  <c r="AA170" i="12" a="1"/>
  <c r="AA170" i="12" s="1"/>
  <c r="AA171" i="12" a="1"/>
  <c r="AA171" i="12" s="1"/>
  <c r="AA172" i="12" a="1"/>
  <c r="AA172" i="12"/>
  <c r="AA173" i="12" a="1"/>
  <c r="AA173" i="12" s="1"/>
  <c r="AA174" i="12" a="1"/>
  <c r="AA174" i="12" s="1"/>
  <c r="AA175" i="12" a="1"/>
  <c r="AA175" i="12" s="1"/>
  <c r="AA176" i="12" a="1"/>
  <c r="AA176" i="12"/>
  <c r="AA177" i="12" a="1"/>
  <c r="AA177" i="12" s="1"/>
  <c r="AA178" i="12" a="1"/>
  <c r="AA178" i="12" s="1"/>
  <c r="AA179" i="12" a="1"/>
  <c r="AA179" i="12" s="1"/>
  <c r="AA180" i="12" a="1"/>
  <c r="AA180" i="12"/>
  <c r="AA181" i="12" a="1"/>
  <c r="AA181" i="12" s="1"/>
  <c r="AA182" i="12" a="1"/>
  <c r="AA182" i="12" s="1"/>
  <c r="AA183" i="12" a="1"/>
  <c r="AA183" i="12" s="1"/>
  <c r="AA184" i="12" a="1"/>
  <c r="AA184" i="12"/>
  <c r="AA185" i="12" a="1"/>
  <c r="AA185" i="12" s="1"/>
  <c r="AA186" i="12" a="1"/>
  <c r="AA186" i="12" s="1"/>
  <c r="AA187" i="12" a="1"/>
  <c r="AA187" i="12" s="1"/>
  <c r="AA188" i="12" a="1"/>
  <c r="AA188" i="12"/>
  <c r="AA189" i="12" a="1"/>
  <c r="AA189" i="12" s="1"/>
  <c r="AA190" i="12" a="1"/>
  <c r="AA190" i="12" s="1"/>
  <c r="AA191" i="12" a="1"/>
  <c r="AA191" i="12" s="1"/>
  <c r="AA192" i="12" a="1"/>
  <c r="AA192" i="12"/>
  <c r="AA193" i="12" a="1"/>
  <c r="AA193" i="12" s="1"/>
  <c r="AA194" i="12" a="1"/>
  <c r="AA194" i="12" s="1"/>
  <c r="AA195" i="12" a="1"/>
  <c r="AA195" i="12" s="1"/>
  <c r="AA196" i="12" a="1"/>
  <c r="AA196" i="12"/>
  <c r="AA197" i="12" a="1"/>
  <c r="AA197" i="12" s="1"/>
  <c r="AA198" i="12" a="1"/>
  <c r="AA198" i="12" s="1"/>
  <c r="AA199" i="12" a="1"/>
  <c r="AA199" i="12" s="1"/>
  <c r="AA200" i="12" a="1"/>
  <c r="AA200" i="12"/>
  <c r="AA201" i="12" a="1"/>
  <c r="AA201" i="12" s="1"/>
  <c r="AA202" i="12" a="1"/>
  <c r="AA202" i="12" s="1"/>
  <c r="AA203" i="12" a="1"/>
  <c r="AA203" i="12" s="1"/>
  <c r="AA204" i="12" a="1"/>
  <c r="AA204" i="12"/>
  <c r="AA205" i="12" a="1"/>
  <c r="AA205" i="12" s="1"/>
  <c r="AA206" i="12" a="1"/>
  <c r="AA206" i="12" s="1"/>
  <c r="AA207" i="12" a="1"/>
  <c r="AA207" i="12" s="1"/>
  <c r="AA208" i="12" a="1"/>
  <c r="AA208" i="12"/>
  <c r="AA209" i="12" a="1"/>
  <c r="AA209" i="12" s="1"/>
  <c r="AA210" i="12" a="1"/>
  <c r="AA210" i="12" s="1"/>
  <c r="AA211" i="12" a="1"/>
  <c r="AA211" i="12" s="1"/>
  <c r="AA212" i="12" a="1"/>
  <c r="AA212" i="12"/>
  <c r="AA213" i="12" a="1"/>
  <c r="AA213" i="12" s="1"/>
  <c r="AA214" i="12" a="1"/>
  <c r="AA214" i="12" s="1"/>
  <c r="AA215" i="12" a="1"/>
  <c r="AA215" i="12" s="1"/>
  <c r="AA216" i="12" a="1"/>
  <c r="AA216" i="12"/>
  <c r="AA217" i="12" a="1"/>
  <c r="AA217" i="12" s="1"/>
  <c r="AA218" i="12" a="1"/>
  <c r="AA218" i="12" s="1"/>
  <c r="AA219" i="12" a="1"/>
  <c r="AA219" i="12" s="1"/>
  <c r="AA220" i="12" a="1"/>
  <c r="AA220" i="12"/>
  <c r="AA221" i="12" a="1"/>
  <c r="AA221" i="12" s="1"/>
  <c r="AA222" i="12" a="1"/>
  <c r="AA222" i="12" s="1"/>
  <c r="AA223" i="12" a="1"/>
  <c r="AA223" i="12" s="1"/>
  <c r="AA224" i="12" a="1"/>
  <c r="AA224" i="12"/>
  <c r="AA225" i="12" a="1"/>
  <c r="AA225" i="12" s="1"/>
  <c r="AA226" i="12" a="1"/>
  <c r="AA226" i="12" s="1"/>
  <c r="AA227" i="12" a="1"/>
  <c r="AA227" i="12" s="1"/>
  <c r="AA228" i="12" a="1"/>
  <c r="AA228" i="12"/>
  <c r="AA229" i="12" a="1"/>
  <c r="AA229" i="12" s="1"/>
  <c r="AA230" i="12" a="1"/>
  <c r="AA230" i="12" s="1"/>
  <c r="AA231" i="12" a="1"/>
  <c r="AA231" i="12" s="1"/>
  <c r="AA232" i="12" a="1"/>
  <c r="AA232" i="12"/>
  <c r="AA233" i="12" a="1"/>
  <c r="AA233" i="12" s="1"/>
  <c r="AA234" i="12" a="1"/>
  <c r="AA234" i="12" s="1"/>
  <c r="AA235" i="12" a="1"/>
  <c r="AA235" i="12" s="1"/>
  <c r="AA236" i="12" a="1"/>
  <c r="AA236" i="12"/>
  <c r="AA237" i="12" a="1"/>
  <c r="AA237" i="12" s="1"/>
  <c r="AA238" i="12" a="1"/>
  <c r="AA238" i="12" s="1"/>
  <c r="AA239" i="12" a="1"/>
  <c r="AA239" i="12" s="1"/>
  <c r="AA240" i="12" a="1"/>
  <c r="AA240" i="12"/>
  <c r="AA241" i="12" a="1"/>
  <c r="AA241" i="12" s="1"/>
  <c r="AA242" i="12" a="1"/>
  <c r="AA242" i="12" s="1"/>
  <c r="AA243" i="12" a="1"/>
  <c r="AA243" i="12" s="1"/>
  <c r="AA244" i="12" a="1"/>
  <c r="AA244" i="12"/>
  <c r="AA245" i="12" a="1"/>
  <c r="AA245" i="12" s="1"/>
  <c r="AA246" i="12" a="1"/>
  <c r="AA246" i="12" s="1"/>
  <c r="AA247" i="12" a="1"/>
  <c r="AA247" i="12" s="1"/>
  <c r="AA248" i="12" a="1"/>
  <c r="AA248" i="12"/>
  <c r="AA249" i="12" a="1"/>
  <c r="AA249" i="12" s="1"/>
  <c r="AA250" i="12" a="1"/>
  <c r="AA250" i="12" s="1"/>
  <c r="AA251" i="12" a="1"/>
  <c r="AA251" i="12" s="1"/>
  <c r="AA252" i="12" a="1"/>
  <c r="AA252" i="12"/>
  <c r="AA253" i="12" a="1"/>
  <c r="AA253" i="12" s="1"/>
  <c r="AA254" i="12" a="1"/>
  <c r="AA254" i="12" s="1"/>
  <c r="AA255" i="12" a="1"/>
  <c r="AA255" i="12" s="1"/>
  <c r="AA256" i="12" a="1"/>
  <c r="AA256" i="12"/>
  <c r="AA257" i="12" a="1"/>
  <c r="AA257" i="12" s="1"/>
  <c r="AA258" i="12" a="1"/>
  <c r="AA258" i="12" s="1"/>
  <c r="AA259" i="12" a="1"/>
  <c r="AA259" i="12" s="1"/>
  <c r="AA260" i="12" a="1"/>
  <c r="AA260" i="12"/>
  <c r="AA261" i="12" a="1"/>
  <c r="AA261" i="12" s="1"/>
  <c r="AA262" i="12" a="1"/>
  <c r="AA262" i="12" s="1"/>
  <c r="AA263" i="12" a="1"/>
  <c r="AA263" i="12" s="1"/>
  <c r="AA264" i="12" a="1"/>
  <c r="AA264" i="12"/>
  <c r="AA265" i="12" a="1"/>
  <c r="AA265" i="12" s="1"/>
  <c r="AA266" i="12" a="1"/>
  <c r="AA266" i="12" s="1"/>
  <c r="AA267" i="12" a="1"/>
  <c r="AA267" i="12" s="1"/>
  <c r="AA268" i="12" a="1"/>
  <c r="AA268" i="12"/>
  <c r="AA269" i="12" a="1"/>
  <c r="AA269" i="12" s="1"/>
  <c r="AA270" i="12" a="1"/>
  <c r="AA270" i="12" s="1"/>
  <c r="AA271" i="12" a="1"/>
  <c r="AA271" i="12" s="1"/>
  <c r="AA272" i="12" a="1"/>
  <c r="AA272" i="12"/>
  <c r="AA273" i="12" a="1"/>
  <c r="AA273" i="12" s="1"/>
  <c r="AA274" i="12" a="1"/>
  <c r="AA274" i="12" s="1"/>
  <c r="AA275" i="12" a="1"/>
  <c r="AA275" i="12" s="1"/>
  <c r="AA276" i="12" a="1"/>
  <c r="AA276" i="12"/>
  <c r="AA277" i="12" a="1"/>
  <c r="AA277" i="12" s="1"/>
  <c r="AA278" i="12" a="1"/>
  <c r="AA278" i="12" s="1"/>
  <c r="AA279" i="12" a="1"/>
  <c r="AA279" i="12" s="1"/>
  <c r="AA280" i="12" a="1"/>
  <c r="AA280" i="12"/>
  <c r="AA281" i="12" a="1"/>
  <c r="AA281" i="12" s="1"/>
  <c r="AA282" i="12" a="1"/>
  <c r="AA282" i="12" s="1"/>
  <c r="AA283" i="12" a="1"/>
  <c r="AA283" i="12" s="1"/>
  <c r="AA284" i="12" a="1"/>
  <c r="AA284" i="12"/>
  <c r="AA285" i="12" a="1"/>
  <c r="AA285" i="12" s="1"/>
  <c r="AA286" i="12" a="1"/>
  <c r="AA286" i="12" s="1"/>
  <c r="AA287" i="12" a="1"/>
  <c r="AA287" i="12" s="1"/>
  <c r="AA288" i="12" a="1"/>
  <c r="AA288" i="12"/>
  <c r="AA289" i="12" a="1"/>
  <c r="AA289" i="12" s="1"/>
  <c r="AA290" i="12" a="1"/>
  <c r="AA290" i="12" s="1"/>
  <c r="AA291" i="12" a="1"/>
  <c r="AA291" i="12" s="1"/>
  <c r="AA292" i="12" a="1"/>
  <c r="AA292" i="12"/>
  <c r="AA293" i="12" a="1"/>
  <c r="AA293" i="12" s="1"/>
  <c r="AA294" i="12" a="1"/>
  <c r="AA294" i="12" s="1"/>
  <c r="AA295" i="12" a="1"/>
  <c r="AA295" i="12" s="1"/>
  <c r="AA296" i="12" a="1"/>
  <c r="AA296" i="12"/>
  <c r="AA297" i="12" a="1"/>
  <c r="AA297" i="12" s="1"/>
  <c r="AA298" i="12" a="1"/>
  <c r="AA298" i="12" s="1"/>
  <c r="AA299" i="12" a="1"/>
  <c r="AA299" i="12" s="1"/>
  <c r="AA300" i="12" a="1"/>
  <c r="AA300" i="12"/>
  <c r="AA301" i="12" a="1"/>
  <c r="AA301" i="12"/>
  <c r="AA302" i="12" a="1"/>
  <c r="AA302" i="12"/>
  <c r="AA303" i="12" a="1"/>
  <c r="AA303" i="12"/>
  <c r="AA304" i="12" a="1"/>
  <c r="AA304" i="12"/>
  <c r="AA305" i="12" a="1"/>
  <c r="AA305" i="12"/>
  <c r="AA306" i="12" a="1"/>
  <c r="AA306" i="12"/>
  <c r="AA307" i="12" a="1"/>
  <c r="AA307" i="12"/>
  <c r="AA308" i="12" a="1"/>
  <c r="AA308" i="12"/>
  <c r="AA309" i="12" a="1"/>
  <c r="AA309" i="12"/>
  <c r="AA310" i="12" a="1"/>
  <c r="AA310" i="12"/>
  <c r="AA311" i="12" a="1"/>
  <c r="AA311" i="12"/>
  <c r="AA312" i="12" a="1"/>
  <c r="AA312" i="12"/>
  <c r="AA313" i="12" a="1"/>
  <c r="AA313" i="12"/>
  <c r="AA314" i="12" a="1"/>
  <c r="AA314" i="12"/>
  <c r="AA315" i="12" a="1"/>
  <c r="AA315" i="12"/>
  <c r="AA316" i="12" a="1"/>
  <c r="AA316" i="12"/>
  <c r="AA317" i="12" a="1"/>
  <c r="AA317" i="12"/>
  <c r="AA318" i="12" a="1"/>
  <c r="AA318" i="12"/>
  <c r="AA319" i="12" a="1"/>
  <c r="AA319" i="12"/>
  <c r="AA320" i="12" a="1"/>
  <c r="AA320" i="12"/>
  <c r="AA321" i="12" a="1"/>
  <c r="AA321" i="12"/>
  <c r="AA322" i="12" a="1"/>
  <c r="AA322" i="12"/>
  <c r="AA323" i="12" a="1"/>
  <c r="AA323" i="12"/>
  <c r="AA324" i="12" a="1"/>
  <c r="AA324" i="12"/>
  <c r="AA325" i="12" a="1"/>
  <c r="AA325" i="12"/>
  <c r="AA326" i="12" a="1"/>
  <c r="AA326" i="12"/>
  <c r="AA327" i="12" a="1"/>
  <c r="AA327" i="12"/>
  <c r="AA328" i="12" a="1"/>
  <c r="AA328" i="12"/>
  <c r="AA329" i="12" a="1"/>
  <c r="AA329" i="12"/>
  <c r="AA330" i="12" a="1"/>
  <c r="AA330" i="12"/>
  <c r="AA331" i="12" a="1"/>
  <c r="AA331" i="12"/>
  <c r="AA332" i="12" a="1"/>
  <c r="AA332" i="12"/>
  <c r="AA333" i="12" a="1"/>
  <c r="AA333" i="12"/>
  <c r="AA334" i="12" a="1"/>
  <c r="AA334" i="12"/>
  <c r="AA335" i="12" a="1"/>
  <c r="AA335" i="12"/>
  <c r="AA336" i="12" a="1"/>
  <c r="AA336" i="12"/>
  <c r="AA337" i="12" a="1"/>
  <c r="AA337" i="12"/>
  <c r="AA338" i="12" a="1"/>
  <c r="AA338" i="12"/>
  <c r="AA2" i="14" a="1"/>
  <c r="AA2" i="14" s="1"/>
  <c r="AA3" i="14" a="1"/>
  <c r="AA3" i="14"/>
  <c r="AA4" i="14" a="1"/>
  <c r="AA4" i="14"/>
  <c r="AA5" i="14" a="1"/>
  <c r="AA5" i="14"/>
  <c r="AA6" i="14" a="1"/>
  <c r="AA6" i="14"/>
  <c r="AA7" i="14" a="1"/>
  <c r="AA7" i="14"/>
  <c r="AA8" i="14" a="1"/>
  <c r="AA8" i="14"/>
  <c r="AA9" i="14" a="1"/>
  <c r="AA9" i="14"/>
  <c r="AA10" i="14" a="1"/>
  <c r="AA10" i="14"/>
  <c r="AA11" i="14" a="1"/>
  <c r="AA11" i="14"/>
  <c r="AA12" i="14" a="1"/>
  <c r="AA12" i="14"/>
  <c r="AA13" i="14" a="1"/>
  <c r="AA13" i="14"/>
  <c r="AA14" i="14" a="1"/>
  <c r="AA14" i="14"/>
  <c r="AA15" i="14" a="1"/>
  <c r="AA15" i="14"/>
  <c r="AA16" i="14" a="1"/>
  <c r="AA16" i="14"/>
  <c r="AA17" i="14" a="1"/>
  <c r="AA17" i="14"/>
  <c r="AA18" i="14" a="1"/>
  <c r="AA18" i="14"/>
  <c r="AA19" i="14" a="1"/>
  <c r="AA19" i="14"/>
  <c r="AA20" i="14" a="1"/>
  <c r="AA20" i="14"/>
  <c r="AA21" i="14" a="1"/>
  <c r="AA21" i="14"/>
  <c r="AA22" i="14" a="1"/>
  <c r="AA22" i="14"/>
  <c r="AA23" i="14" a="1"/>
  <c r="AA23" i="14"/>
  <c r="AA24" i="14" a="1"/>
  <c r="AA24" i="14"/>
  <c r="AA25" i="14" a="1"/>
  <c r="AA25" i="14"/>
  <c r="AA26" i="14" a="1"/>
  <c r="AA26" i="14"/>
  <c r="AA27" i="14" a="1"/>
  <c r="AA27" i="14"/>
  <c r="AA28" i="14" a="1"/>
  <c r="AA28" i="14"/>
  <c r="AA29" i="14" a="1"/>
  <c r="AA29" i="14"/>
  <c r="AA30" i="14" a="1"/>
  <c r="AA30" i="14"/>
  <c r="AA31" i="14" a="1"/>
  <c r="AA31" i="14"/>
  <c r="AA32" i="14" a="1"/>
  <c r="AA32" i="14"/>
  <c r="AA33" i="14" a="1"/>
  <c r="AA33" i="14"/>
  <c r="AA34" i="14" a="1"/>
  <c r="AA34" i="14"/>
  <c r="AA35" i="14" a="1"/>
  <c r="AA35" i="14"/>
  <c r="AA36" i="14" a="1"/>
  <c r="AA36" i="14"/>
  <c r="AA37" i="14" a="1"/>
  <c r="AA37" i="14"/>
  <c r="AA38" i="14" a="1"/>
  <c r="AA38" i="14"/>
  <c r="AA39" i="14" a="1"/>
  <c r="AA39" i="14"/>
  <c r="AA40" i="14" a="1"/>
  <c r="AA40" i="14"/>
  <c r="AA41" i="14" a="1"/>
  <c r="AA41" i="14"/>
  <c r="AA42" i="14" a="1"/>
  <c r="AA42" i="14"/>
  <c r="AA43" i="14" a="1"/>
  <c r="AA43" i="14"/>
  <c r="AA44" i="14" a="1"/>
  <c r="AA44" i="14"/>
  <c r="AA45" i="14" a="1"/>
  <c r="AA45" i="14"/>
  <c r="AA46" i="14" a="1"/>
  <c r="AA46" i="14"/>
  <c r="AA47" i="14" a="1"/>
  <c r="AA47" i="14"/>
  <c r="AA48" i="14" a="1"/>
  <c r="AA48" i="14"/>
  <c r="AA49" i="14" a="1"/>
  <c r="AA49" i="14"/>
  <c r="AA50" i="14" a="1"/>
  <c r="AA50" i="14"/>
  <c r="AA51" i="14" a="1"/>
  <c r="AA51" i="14"/>
  <c r="AA52" i="14" a="1"/>
  <c r="AA52" i="14"/>
  <c r="AA53" i="14" a="1"/>
  <c r="AA53" i="14"/>
  <c r="AA54" i="14" a="1"/>
  <c r="AA54" i="14"/>
  <c r="AA55" i="14" a="1"/>
  <c r="AA55" i="14"/>
  <c r="AA56" i="14" a="1"/>
  <c r="AA56" i="14"/>
  <c r="AA57" i="14" a="1"/>
  <c r="AA57" i="14"/>
  <c r="AA58" i="14" a="1"/>
  <c r="AA58" i="14"/>
  <c r="AA59" i="14" a="1"/>
  <c r="AA59" i="14"/>
  <c r="AA60" i="14" a="1"/>
  <c r="AA60" i="14"/>
  <c r="AA61" i="14" a="1"/>
  <c r="AA61" i="14"/>
  <c r="AA62" i="14" a="1"/>
  <c r="AA62" i="14"/>
  <c r="AA63" i="14" a="1"/>
  <c r="AA63" i="14"/>
  <c r="AA64" i="14" a="1"/>
  <c r="AA64" i="14"/>
  <c r="AA65" i="14" a="1"/>
  <c r="AA65" i="14"/>
  <c r="AA66" i="14" a="1"/>
  <c r="AA66" i="14"/>
  <c r="AA67" i="14" a="1"/>
  <c r="AA67" i="14"/>
  <c r="AA68" i="14" a="1"/>
  <c r="AA68" i="14"/>
  <c r="AA69" i="14" a="1"/>
  <c r="AA69" i="14"/>
  <c r="AA70" i="14" a="1"/>
  <c r="AA70" i="14"/>
  <c r="AA71" i="14" a="1"/>
  <c r="AA71" i="14"/>
  <c r="AA72" i="14" a="1"/>
  <c r="AA72" i="14"/>
  <c r="AA73" i="14" a="1"/>
  <c r="AA73" i="14"/>
  <c r="AA74" i="14" a="1"/>
  <c r="AA74" i="14"/>
  <c r="AA75" i="14" a="1"/>
  <c r="AA75" i="14"/>
  <c r="AA76" i="14" a="1"/>
  <c r="AA76" i="14"/>
  <c r="AA77" i="14" a="1"/>
  <c r="AA77" i="14"/>
  <c r="AA78" i="14" a="1"/>
  <c r="AA78" i="14"/>
  <c r="AA79" i="14" a="1"/>
  <c r="AA79" i="14"/>
  <c r="AA80" i="14" a="1"/>
  <c r="AA80" i="14"/>
  <c r="AA81" i="14" a="1"/>
  <c r="AA81" i="14"/>
  <c r="AA82" i="14" a="1"/>
  <c r="AA82" i="14"/>
  <c r="AA83" i="14" a="1"/>
  <c r="AA83" i="14"/>
  <c r="AA84" i="14" a="1"/>
  <c r="AA84" i="14"/>
  <c r="AA85" i="14" a="1"/>
  <c r="AA85" i="14"/>
  <c r="AA86" i="14" a="1"/>
  <c r="AA86" i="14"/>
  <c r="AA87" i="14" a="1"/>
  <c r="AA87" i="14"/>
  <c r="AA88" i="14" a="1"/>
  <c r="AA88" i="14"/>
  <c r="AA89" i="14" a="1"/>
  <c r="AA89" i="14"/>
  <c r="AA90" i="14" a="1"/>
  <c r="AA90" i="14"/>
  <c r="AA91" i="14" a="1"/>
  <c r="AA91" i="14"/>
  <c r="AA92" i="14" a="1"/>
  <c r="AA92" i="14"/>
  <c r="AA93" i="14" a="1"/>
  <c r="AA93" i="14"/>
  <c r="AA94" i="14" a="1"/>
  <c r="AA94" i="14"/>
  <c r="AA95" i="14" a="1"/>
  <c r="AA95" i="14"/>
  <c r="AA96" i="14" a="1"/>
  <c r="AA96" i="14"/>
  <c r="AA97" i="14" a="1"/>
  <c r="AA97" i="14"/>
  <c r="AA98" i="14" a="1"/>
  <c r="AA98" i="14"/>
  <c r="AA99" i="14" a="1"/>
  <c r="AA99" i="14"/>
  <c r="AA100" i="14" a="1"/>
  <c r="AA100" i="14"/>
  <c r="AA101" i="14" a="1"/>
  <c r="AA101" i="14"/>
  <c r="AA102" i="14" a="1"/>
  <c r="AA102" i="14"/>
  <c r="AA103" i="14" a="1"/>
  <c r="AA103" i="14"/>
  <c r="AA104" i="14" a="1"/>
  <c r="AA104" i="14"/>
  <c r="AA105" i="14" a="1"/>
  <c r="AA105" i="14"/>
  <c r="AA106" i="14" a="1"/>
  <c r="AA106" i="14"/>
  <c r="AA107" i="14" a="1"/>
  <c r="AA107" i="14"/>
  <c r="AA108" i="14" a="1"/>
  <c r="AA108" i="14"/>
  <c r="AA109" i="14" a="1"/>
  <c r="AA109" i="14"/>
  <c r="AA110" i="14" a="1"/>
  <c r="AA110" i="14"/>
  <c r="AA111" i="14" a="1"/>
  <c r="AA111" i="14"/>
  <c r="AA112" i="14" a="1"/>
  <c r="AA112" i="14"/>
  <c r="AA113" i="14" a="1"/>
  <c r="AA113" i="14"/>
  <c r="AA114" i="14" a="1"/>
  <c r="AA114" i="14"/>
  <c r="AA115" i="14" a="1"/>
  <c r="AA115" i="14"/>
  <c r="AA116" i="14" a="1"/>
  <c r="AA116" i="14"/>
  <c r="AA117" i="14" a="1"/>
  <c r="AA117" i="14"/>
  <c r="AA118" i="14" a="1"/>
  <c r="AA118" i="14"/>
  <c r="AA119" i="14" a="1"/>
  <c r="AA119" i="14"/>
  <c r="AA120" i="14" a="1"/>
  <c r="AA120" i="14"/>
  <c r="AA121" i="14" a="1"/>
  <c r="AA121" i="14"/>
  <c r="AA122" i="14" a="1"/>
  <c r="AA122" i="14"/>
  <c r="AA123" i="14" a="1"/>
  <c r="AA123" i="14"/>
  <c r="AA124" i="14" a="1"/>
  <c r="AA124" i="14"/>
  <c r="AA125" i="14" a="1"/>
  <c r="AA125" i="14"/>
  <c r="AA126" i="14" a="1"/>
  <c r="AA126" i="14"/>
  <c r="AA127" i="14" a="1"/>
  <c r="AA127" i="14"/>
  <c r="AA128" i="14" a="1"/>
  <c r="AA128" i="14"/>
  <c r="AA129" i="14" a="1"/>
  <c r="AA129" i="14"/>
  <c r="AA130" i="14" a="1"/>
  <c r="AA130" i="14"/>
  <c r="AA131" i="14" a="1"/>
  <c r="AA131" i="14"/>
  <c r="AA132" i="14" a="1"/>
  <c r="AA132" i="14"/>
  <c r="AA133" i="14" a="1"/>
  <c r="AA133" i="14"/>
  <c r="AA134" i="14" a="1"/>
  <c r="AA134" i="14"/>
  <c r="AA135" i="14" a="1"/>
  <c r="AA135" i="14"/>
  <c r="AA136" i="14" a="1"/>
  <c r="AA136" i="14"/>
  <c r="AA137" i="14" a="1"/>
  <c r="AA137" i="14"/>
  <c r="AA138" i="14" a="1"/>
  <c r="AA138" i="14"/>
  <c r="AA139" i="14" a="1"/>
  <c r="AA139" i="14"/>
  <c r="AA140" i="14" a="1"/>
  <c r="AA140" i="14"/>
  <c r="AA141" i="14" a="1"/>
  <c r="AA141" i="14"/>
  <c r="AA142" i="14" a="1"/>
  <c r="AA142" i="14"/>
  <c r="AA143" i="14" a="1"/>
  <c r="AA143" i="14"/>
  <c r="AA144" i="14" a="1"/>
  <c r="AA144" i="14"/>
  <c r="AA145" i="14" a="1"/>
  <c r="AA145" i="14"/>
  <c r="AA146" i="14" a="1"/>
  <c r="AA146" i="14"/>
  <c r="AA147" i="14" a="1"/>
  <c r="AA147" i="14"/>
  <c r="AA148" i="14" a="1"/>
  <c r="AA148" i="14"/>
  <c r="AA149" i="14" a="1"/>
  <c r="AA149" i="14"/>
  <c r="AA150" i="14" a="1"/>
  <c r="AA150" i="14"/>
  <c r="AA151" i="14" a="1"/>
  <c r="AA151" i="14"/>
  <c r="AA152" i="14" a="1"/>
  <c r="AA152" i="14"/>
  <c r="AA153" i="14" a="1"/>
  <c r="AA153" i="14"/>
  <c r="AA154" i="14" a="1"/>
  <c r="AA154" i="14"/>
  <c r="AA155" i="14" a="1"/>
  <c r="AA155" i="14"/>
  <c r="AA156" i="14" a="1"/>
  <c r="AA156" i="14"/>
  <c r="AA157" i="14" a="1"/>
  <c r="AA157" i="14"/>
  <c r="AA158" i="14" a="1"/>
  <c r="AA158" i="14"/>
  <c r="AA159" i="14" a="1"/>
  <c r="AA159" i="14"/>
  <c r="AA160" i="14" a="1"/>
  <c r="AA160" i="14"/>
  <c r="AA161" i="14" a="1"/>
  <c r="AA161" i="14"/>
  <c r="AA162" i="14" a="1"/>
  <c r="AA162" i="14"/>
  <c r="AA163" i="14" a="1"/>
  <c r="AA163" i="14"/>
  <c r="AA164" i="14" a="1"/>
  <c r="AA164" i="14"/>
  <c r="AA165" i="14" a="1"/>
  <c r="AA165" i="14"/>
  <c r="AA166" i="14" a="1"/>
  <c r="AA166" i="14"/>
  <c r="AA167" i="14" a="1"/>
  <c r="AA167" i="14"/>
  <c r="AA168" i="14" a="1"/>
  <c r="AA168" i="14"/>
  <c r="AA169" i="14" a="1"/>
  <c r="AA169" i="14"/>
  <c r="AA170" i="14" a="1"/>
  <c r="AA170" i="14"/>
  <c r="AA171" i="14" a="1"/>
  <c r="AA171" i="14"/>
  <c r="AA172" i="14" a="1"/>
  <c r="AA172" i="14"/>
  <c r="AA173" i="14" a="1"/>
  <c r="AA173" i="14"/>
  <c r="AA174" i="14" a="1"/>
  <c r="AA174" i="14"/>
  <c r="AA175" i="14" a="1"/>
  <c r="AA175" i="14"/>
  <c r="AA176" i="14" a="1"/>
  <c r="AA176" i="14"/>
  <c r="AA177" i="14" a="1"/>
  <c r="AA177" i="14"/>
  <c r="AA178" i="14" a="1"/>
  <c r="AA178" i="14"/>
  <c r="AA179" i="14" a="1"/>
  <c r="AA179" i="14"/>
  <c r="AA180" i="14" a="1"/>
  <c r="AA180" i="14"/>
  <c r="AA181" i="14" a="1"/>
  <c r="AA181" i="14"/>
  <c r="AA182" i="14" a="1"/>
  <c r="AA182" i="14"/>
  <c r="AA183" i="14" a="1"/>
  <c r="AA183" i="14"/>
  <c r="AA184" i="14" a="1"/>
  <c r="AA184" i="14"/>
  <c r="AA185" i="14" a="1"/>
  <c r="AA185" i="14"/>
  <c r="AA186" i="14" a="1"/>
  <c r="AA186" i="14"/>
  <c r="AA187" i="14" a="1"/>
  <c r="AA187" i="14"/>
  <c r="AA188" i="14" a="1"/>
  <c r="AA188" i="14"/>
  <c r="AA189" i="14" a="1"/>
  <c r="AA189" i="14"/>
  <c r="AA190" i="14" a="1"/>
  <c r="AA190" i="14"/>
  <c r="AA191" i="14" a="1"/>
  <c r="AA191" i="14"/>
  <c r="AA192" i="14" a="1"/>
  <c r="AA192" i="14"/>
  <c r="AA193" i="14" a="1"/>
  <c r="AA193" i="14"/>
  <c r="AA194" i="14" a="1"/>
  <c r="AA194" i="14"/>
  <c r="AA195" i="14" a="1"/>
  <c r="AA195" i="14"/>
  <c r="AA196" i="14" a="1"/>
  <c r="AA196" i="14"/>
  <c r="AA197" i="14" a="1"/>
  <c r="AA197" i="14"/>
  <c r="AA198" i="14" a="1"/>
  <c r="AA198" i="14"/>
  <c r="AA199" i="14" a="1"/>
  <c r="AA199" i="14"/>
  <c r="AA200" i="14" a="1"/>
  <c r="AA200" i="14"/>
  <c r="AA201" i="14" a="1"/>
  <c r="AA201" i="14"/>
  <c r="AA202" i="14" a="1"/>
  <c r="AA202" i="14"/>
  <c r="AA203" i="14" a="1"/>
  <c r="AA203" i="14"/>
  <c r="AA204" i="14" a="1"/>
  <c r="AA204" i="14"/>
  <c r="AA205" i="14" a="1"/>
  <c r="AA205" i="14"/>
  <c r="AA206" i="14" a="1"/>
  <c r="AA206" i="14"/>
  <c r="AA207" i="14" a="1"/>
  <c r="AA207" i="14"/>
  <c r="AA208" i="14" a="1"/>
  <c r="AA208" i="14"/>
  <c r="AA209" i="14" a="1"/>
  <c r="AA209" i="14"/>
  <c r="AA210" i="14" a="1"/>
  <c r="AA210" i="14"/>
  <c r="AA211" i="14" a="1"/>
  <c r="AA211" i="14"/>
  <c r="AA212" i="14" a="1"/>
  <c r="AA212" i="14"/>
  <c r="AA213" i="14" a="1"/>
  <c r="AA213" i="14"/>
  <c r="AA214" i="14" a="1"/>
  <c r="AA214" i="14"/>
  <c r="AA215" i="14" a="1"/>
  <c r="AA215" i="14"/>
  <c r="AA216" i="14" a="1"/>
  <c r="AA216" i="14"/>
  <c r="AA217" i="14" a="1"/>
  <c r="AA217" i="14"/>
  <c r="AA218" i="14" a="1"/>
  <c r="AA218" i="14"/>
  <c r="AA219" i="14" a="1"/>
  <c r="AA219" i="14"/>
  <c r="AA220" i="14" a="1"/>
  <c r="AA220" i="14"/>
  <c r="AA221" i="14" a="1"/>
  <c r="AA221" i="14"/>
  <c r="AA222" i="14" a="1"/>
  <c r="AA222" i="14"/>
  <c r="AA223" i="14" a="1"/>
  <c r="AA223" i="14"/>
  <c r="AA224" i="14" a="1"/>
  <c r="AA224" i="14"/>
  <c r="AA225" i="14" a="1"/>
  <c r="AA225" i="14"/>
  <c r="AA226" i="14" a="1"/>
  <c r="AA226" i="14"/>
  <c r="AA227" i="14" a="1"/>
  <c r="AA227" i="14"/>
  <c r="AA228" i="14" a="1"/>
  <c r="AA228" i="14"/>
  <c r="AA229" i="14" a="1"/>
  <c r="AA229" i="14"/>
  <c r="AA230" i="14" a="1"/>
  <c r="AA230" i="14"/>
  <c r="AA231" i="14" a="1"/>
  <c r="AA231" i="14"/>
  <c r="AA232" i="14" a="1"/>
  <c r="AA232" i="14"/>
  <c r="AA233" i="14" a="1"/>
  <c r="AA233" i="14"/>
  <c r="AA234" i="14" a="1"/>
  <c r="AA234" i="14"/>
  <c r="AA235" i="14" a="1"/>
  <c r="AA235" i="14"/>
  <c r="AA236" i="14" a="1"/>
  <c r="AA236" i="14"/>
  <c r="AA237" i="14" a="1"/>
  <c r="AA237" i="14"/>
  <c r="AA238" i="14" a="1"/>
  <c r="AA238" i="14"/>
  <c r="AA239" i="14" a="1"/>
  <c r="AA239" i="14"/>
  <c r="AA240" i="14" a="1"/>
  <c r="AA240" i="14"/>
  <c r="AA241" i="14" a="1"/>
  <c r="AA241" i="14"/>
  <c r="AA242" i="14" a="1"/>
  <c r="AA242" i="14"/>
  <c r="AA243" i="14" a="1"/>
  <c r="AA243" i="14"/>
  <c r="AA244" i="14" a="1"/>
  <c r="AA244" i="14"/>
  <c r="AA245" i="14" a="1"/>
  <c r="AA245" i="14"/>
  <c r="AA246" i="14" a="1"/>
  <c r="AA246" i="14"/>
  <c r="AA247" i="14" a="1"/>
  <c r="AA247" i="14"/>
  <c r="AA248" i="14" a="1"/>
  <c r="AA248" i="14"/>
  <c r="AA249" i="14" a="1"/>
  <c r="AA249" i="14"/>
  <c r="AA250" i="14" a="1"/>
  <c r="AA250" i="14"/>
  <c r="AA251" i="14" a="1"/>
  <c r="AA251" i="14"/>
  <c r="AA252" i="14" a="1"/>
  <c r="AA252" i="14"/>
  <c r="AA253" i="14" a="1"/>
  <c r="AA253" i="14"/>
  <c r="AA254" i="14" a="1"/>
  <c r="AA254" i="14"/>
  <c r="AA255" i="14" a="1"/>
  <c r="AA255" i="14"/>
  <c r="AA256" i="14" a="1"/>
  <c r="AA256" i="14"/>
  <c r="AA257" i="14" a="1"/>
  <c r="AA257" i="14"/>
  <c r="AA258" i="14" a="1"/>
  <c r="AA258" i="14"/>
  <c r="AA259" i="14" a="1"/>
  <c r="AA259" i="14"/>
  <c r="AA260" i="14" a="1"/>
  <c r="AA260" i="14"/>
  <c r="AA261" i="14" a="1"/>
  <c r="AA261" i="14"/>
  <c r="AA262" i="14" a="1"/>
  <c r="AA262" i="14"/>
  <c r="AA263" i="14" a="1"/>
  <c r="AA263" i="14"/>
  <c r="AA264" i="14" a="1"/>
  <c r="AA264" i="14"/>
  <c r="AA265" i="14" a="1"/>
  <c r="AA265" i="14"/>
  <c r="AA266" i="14" a="1"/>
  <c r="AA266" i="14"/>
  <c r="AA267" i="14" a="1"/>
  <c r="AA267" i="14"/>
  <c r="AA268" i="14" a="1"/>
  <c r="AA268" i="14"/>
  <c r="AA269" i="14" a="1"/>
  <c r="AA269" i="14"/>
  <c r="AA270" i="14" a="1"/>
  <c r="AA270" i="14"/>
  <c r="AA271" i="14" a="1"/>
  <c r="AA271" i="14"/>
  <c r="AA272" i="14" a="1"/>
  <c r="AA272" i="14"/>
  <c r="AA273" i="14" a="1"/>
  <c r="AA273" i="14"/>
  <c r="AA274" i="14" a="1"/>
  <c r="AA274" i="14"/>
  <c r="AA275" i="14" a="1"/>
  <c r="AA275" i="14"/>
  <c r="AA276" i="14" a="1"/>
  <c r="AA276" i="14"/>
  <c r="AA277" i="14" a="1"/>
  <c r="AA277" i="14"/>
  <c r="AA278" i="14" a="1"/>
  <c r="AA278" i="14"/>
  <c r="AA279" i="14" a="1"/>
  <c r="AA279" i="14"/>
  <c r="AA280" i="14" a="1"/>
  <c r="AA280" i="14"/>
  <c r="AA281" i="14" a="1"/>
  <c r="AA281" i="14"/>
  <c r="AA282" i="14" a="1"/>
  <c r="AA282" i="14"/>
  <c r="AA283" i="14" a="1"/>
  <c r="AA283" i="14"/>
  <c r="AA284" i="14" a="1"/>
  <c r="AA284" i="14"/>
  <c r="AA285" i="14" a="1"/>
  <c r="AA285" i="14"/>
  <c r="AA286" i="14" a="1"/>
  <c r="AA286" i="14"/>
  <c r="AA287" i="14" a="1"/>
  <c r="AA287" i="14"/>
  <c r="AA288" i="14" a="1"/>
  <c r="AA288" i="14"/>
  <c r="AA289" i="14" a="1"/>
  <c r="AA289" i="14"/>
  <c r="AA290" i="14" a="1"/>
  <c r="AA290" i="14"/>
  <c r="AA291" i="14" a="1"/>
  <c r="AA291" i="14"/>
  <c r="AA292" i="14" a="1"/>
  <c r="AA292" i="14"/>
  <c r="AA293" i="14" a="1"/>
  <c r="AA293" i="14"/>
  <c r="AA294" i="14" a="1"/>
  <c r="AA294" i="14"/>
  <c r="AA295" i="14" a="1"/>
  <c r="AA295" i="14"/>
  <c r="AA296" i="14" a="1"/>
  <c r="AA296" i="14"/>
  <c r="AA297" i="14" a="1"/>
  <c r="AA297" i="14"/>
  <c r="AA298" i="14" a="1"/>
  <c r="AA298" i="14"/>
  <c r="AA299" i="14" a="1"/>
  <c r="AA299" i="14"/>
  <c r="AA300" i="14" a="1"/>
  <c r="AA300" i="14"/>
  <c r="AA301" i="14" a="1"/>
  <c r="AA301" i="14"/>
  <c r="AA302" i="14" a="1"/>
  <c r="AA302" i="14"/>
  <c r="AA303" i="14" a="1"/>
  <c r="AA303" i="14"/>
  <c r="AA304" i="14" a="1"/>
  <c r="AA304" i="14"/>
  <c r="AA305" i="14" a="1"/>
  <c r="AA305" i="14"/>
  <c r="AA306" i="14" a="1"/>
  <c r="AA306" i="14"/>
  <c r="AA307" i="14" a="1"/>
  <c r="AA307" i="14"/>
  <c r="AA308" i="14" a="1"/>
  <c r="AA308" i="14"/>
  <c r="AA309" i="14" a="1"/>
  <c r="AA309" i="14"/>
  <c r="AA310" i="14" a="1"/>
  <c r="AA310" i="14"/>
  <c r="AA311" i="14" a="1"/>
  <c r="AA311" i="14"/>
  <c r="AA312" i="14" a="1"/>
  <c r="AA312" i="14"/>
  <c r="AA313" i="14" a="1"/>
  <c r="AA313" i="14"/>
  <c r="AA314" i="14" a="1"/>
  <c r="AA314" i="14"/>
  <c r="AA315" i="14" a="1"/>
  <c r="AA315" i="14"/>
  <c r="AA316" i="14" a="1"/>
  <c r="AA316" i="14"/>
  <c r="AA317" i="14" a="1"/>
  <c r="AA317" i="14"/>
  <c r="AA318" i="14" a="1"/>
  <c r="AA318" i="14"/>
  <c r="AA319" i="14" a="1"/>
  <c r="AA319" i="14"/>
  <c r="AA320" i="14" a="1"/>
  <c r="AA320" i="14"/>
  <c r="AA321" i="14" a="1"/>
  <c r="AA321" i="14"/>
  <c r="AA322" i="14" a="1"/>
  <c r="AA322" i="14"/>
  <c r="AA323" i="14" a="1"/>
  <c r="AA323" i="14"/>
  <c r="AA324" i="14" a="1"/>
  <c r="AA324" i="14"/>
  <c r="AA325" i="14" a="1"/>
  <c r="AA325" i="14"/>
  <c r="AA326" i="14" a="1"/>
  <c r="AA326" i="14"/>
  <c r="AA327" i="14" a="1"/>
  <c r="AA327" i="14"/>
  <c r="AA328" i="14" a="1"/>
  <c r="AA328" i="14"/>
  <c r="AA329" i="14" a="1"/>
  <c r="AA329" i="14"/>
  <c r="AA330" i="14" a="1"/>
  <c r="AA330" i="14"/>
  <c r="AA331" i="14" a="1"/>
  <c r="AA331" i="14"/>
  <c r="AA332" i="14" a="1"/>
  <c r="AA332" i="14"/>
  <c r="AA333" i="14" a="1"/>
  <c r="AA333" i="14"/>
  <c r="AA334" i="14" a="1"/>
  <c r="AA334" i="14"/>
  <c r="AA335" i="14" a="1"/>
  <c r="AA335" i="14"/>
  <c r="AA336" i="14" a="1"/>
  <c r="AA336" i="14"/>
  <c r="AA337" i="14" a="1"/>
  <c r="AA337" i="14"/>
  <c r="AA338" i="14" a="1"/>
  <c r="AA338" i="14"/>
  <c r="AA339" i="14" a="1"/>
  <c r="AA339" i="14"/>
  <c r="AA340" i="14" a="1"/>
  <c r="AA340" i="14"/>
  <c r="AA341" i="14" a="1"/>
  <c r="AA341" i="14"/>
  <c r="AA342" i="14" a="1"/>
  <c r="AA342" i="14"/>
  <c r="AA343" i="14" a="1"/>
  <c r="AA343" i="14"/>
  <c r="AA344" i="14" a="1"/>
  <c r="AA344" i="14"/>
  <c r="AA345" i="14" a="1"/>
  <c r="AA345" i="14"/>
  <c r="AA346" i="14" a="1"/>
  <c r="AA346" i="14"/>
  <c r="AA347" i="14" a="1"/>
  <c r="AA347" i="14"/>
  <c r="AA348" i="14" a="1"/>
  <c r="AA348" i="14"/>
  <c r="AA349" i="14" a="1"/>
  <c r="AA349" i="14"/>
  <c r="AA350" i="14" a="1"/>
  <c r="AA350" i="14"/>
  <c r="AA351" i="14" a="1"/>
  <c r="AA351" i="14"/>
  <c r="AA352" i="14" a="1"/>
  <c r="AA352" i="14"/>
  <c r="AA353" i="14" a="1"/>
  <c r="AA353" i="14"/>
  <c r="AA354" i="14" a="1"/>
  <c r="AA354" i="14"/>
  <c r="AA355" i="14" a="1"/>
  <c r="AA355" i="14"/>
  <c r="AA356" i="14" a="1"/>
  <c r="AA356" i="14"/>
  <c r="AA357" i="14" a="1"/>
  <c r="AA357" i="14"/>
  <c r="AA358" i="14" a="1"/>
  <c r="AA358" i="14"/>
  <c r="AA359" i="14" a="1"/>
  <c r="AA359" i="14"/>
  <c r="AA360" i="14" a="1"/>
  <c r="AA360" i="14"/>
  <c r="AA361" i="14" a="1"/>
  <c r="AA361" i="14"/>
  <c r="AA362" i="14" a="1"/>
  <c r="AA362" i="14"/>
  <c r="AA363" i="14" a="1"/>
  <c r="AA363" i="14"/>
  <c r="AA364" i="14" a="1"/>
  <c r="AA364" i="14"/>
  <c r="AA365" i="14" a="1"/>
  <c r="AA365" i="14"/>
  <c r="AA366" i="14" a="1"/>
  <c r="AA366" i="14"/>
  <c r="AA367" i="14" a="1"/>
  <c r="AA367" i="14"/>
  <c r="AA368" i="14" a="1"/>
  <c r="AA368" i="14"/>
  <c r="AA369" i="14" a="1"/>
  <c r="AA369" i="14"/>
  <c r="AA370" i="14" a="1"/>
  <c r="AA370" i="14"/>
  <c r="AA371" i="14" a="1"/>
  <c r="AA371" i="14"/>
  <c r="AA372" i="14" a="1"/>
  <c r="AA372" i="14"/>
  <c r="AA373" i="14" a="1"/>
  <c r="AA373" i="14"/>
  <c r="AA374" i="14" a="1"/>
  <c r="AA374" i="14"/>
  <c r="AA375" i="14" a="1"/>
  <c r="AA375" i="14"/>
  <c r="AA376" i="14" a="1"/>
  <c r="AA376" i="14"/>
  <c r="AA377" i="14" a="1"/>
  <c r="AA377" i="14"/>
  <c r="AA378" i="14" a="1"/>
  <c r="AA378" i="14"/>
  <c r="AA379" i="14" a="1"/>
  <c r="AA379" i="14"/>
  <c r="AA380" i="14" a="1"/>
  <c r="AA380" i="14"/>
  <c r="AA381" i="14" a="1"/>
  <c r="AA381" i="14"/>
  <c r="AA382" i="14" a="1"/>
  <c r="AA382" i="14"/>
  <c r="AA383" i="14" a="1"/>
  <c r="AA383" i="14"/>
  <c r="AA384" i="14" a="1"/>
  <c r="AA384" i="14"/>
  <c r="AA385" i="14" a="1"/>
  <c r="AA385" i="14"/>
  <c r="AA386" i="14" a="1"/>
  <c r="AA386" i="14"/>
  <c r="AA387" i="14" a="1"/>
  <c r="AA387" i="14"/>
  <c r="AA388" i="14" a="1"/>
  <c r="AA388" i="14"/>
  <c r="AA389" i="14" a="1"/>
  <c r="AA389" i="14" s="1"/>
  <c r="AA390" i="14" a="1"/>
  <c r="AA390" i="14"/>
  <c r="AA391" i="14" a="1"/>
  <c r="AA391" i="14" s="1"/>
  <c r="AA392" i="14" a="1"/>
  <c r="AA392" i="14"/>
  <c r="AA393" i="14" a="1"/>
  <c r="AA393" i="14" s="1"/>
  <c r="AA394" i="14" a="1"/>
  <c r="AA394" i="14"/>
  <c r="AA395" i="14" a="1"/>
  <c r="AA395" i="14" s="1"/>
  <c r="AA396" i="14" a="1"/>
  <c r="AA396" i="14"/>
  <c r="AA397" i="14" a="1"/>
  <c r="AA397" i="14" s="1"/>
  <c r="AA398" i="14" a="1"/>
  <c r="AA398" i="14"/>
  <c r="AA399" i="14" a="1"/>
  <c r="AA399" i="14" s="1"/>
  <c r="AA400" i="14" a="1"/>
  <c r="AA400" i="14"/>
  <c r="AA401" i="14" a="1"/>
  <c r="AA401" i="14" s="1"/>
  <c r="AA402" i="14" a="1"/>
  <c r="AA402" i="14"/>
  <c r="AA403" i="14" a="1"/>
  <c r="AA403" i="14" s="1"/>
  <c r="AA404" i="14" a="1"/>
  <c r="AA404" i="14"/>
  <c r="AA405" i="14" a="1"/>
  <c r="AA405" i="14" s="1"/>
  <c r="AA406" i="14" a="1"/>
  <c r="AA406" i="14"/>
  <c r="AA407" i="14" a="1"/>
  <c r="AA407" i="14" s="1"/>
  <c r="AA408" i="14" a="1"/>
  <c r="AA408" i="14"/>
  <c r="AA409" i="14" a="1"/>
  <c r="AA409" i="14" s="1"/>
  <c r="AA410" i="14" a="1"/>
  <c r="AA410" i="14"/>
  <c r="AA411" i="14" a="1"/>
  <c r="AA411" i="14" s="1"/>
  <c r="AA412" i="14" a="1"/>
  <c r="AA412" i="14"/>
  <c r="AA413" i="14" a="1"/>
  <c r="AA413" i="14" s="1"/>
  <c r="AA414" i="14" a="1"/>
  <c r="AA414" i="14"/>
  <c r="AA415" i="14" a="1"/>
  <c r="AA415" i="14" s="1"/>
  <c r="AA416" i="14" a="1"/>
  <c r="AA416" i="14"/>
  <c r="AA417" i="14" a="1"/>
  <c r="AA417" i="14" s="1"/>
  <c r="AA418" i="14" a="1"/>
  <c r="AA418" i="14"/>
  <c r="AA419" i="14" a="1"/>
  <c r="AA419" i="14" s="1"/>
  <c r="AA420" i="14" a="1"/>
  <c r="AA420" i="14"/>
  <c r="AA421" i="14" a="1"/>
  <c r="AA421" i="14" s="1"/>
  <c r="AA422" i="14" a="1"/>
  <c r="AA422" i="14"/>
  <c r="AA423" i="14" a="1"/>
  <c r="AA423" i="14" s="1"/>
  <c r="AA424" i="14" a="1"/>
  <c r="AA424" i="14"/>
  <c r="AA425" i="14" a="1"/>
  <c r="AA425" i="14" s="1"/>
  <c r="AA426" i="14" a="1"/>
  <c r="AA426" i="14"/>
  <c r="AA427" i="14" a="1"/>
  <c r="AA427" i="14" s="1"/>
  <c r="AA428" i="14" a="1"/>
  <c r="AA428" i="14"/>
  <c r="AA429" i="14" a="1"/>
  <c r="AA429" i="14" s="1"/>
  <c r="AA430" i="14" a="1"/>
  <c r="AA430" i="14"/>
  <c r="AA431" i="14" a="1"/>
  <c r="AA431" i="14" s="1"/>
  <c r="AA432" i="14" a="1"/>
  <c r="AA432" i="14"/>
  <c r="AA433" i="14" a="1"/>
  <c r="AA433" i="14" s="1"/>
  <c r="AA434" i="14" a="1"/>
  <c r="AA434" i="14"/>
  <c r="AA435" i="14" a="1"/>
  <c r="AA435" i="14" s="1"/>
  <c r="AA436" i="14" a="1"/>
  <c r="AA436" i="14"/>
  <c r="AA437" i="14" a="1"/>
  <c r="AA437" i="14" s="1"/>
  <c r="AA438" i="14" a="1"/>
  <c r="AA438" i="14"/>
  <c r="AA439" i="14" a="1"/>
  <c r="AA439" i="14" s="1"/>
  <c r="AA440" i="14" a="1"/>
  <c r="AA440" i="14"/>
  <c r="AA441" i="14" a="1"/>
  <c r="AA441" i="14" s="1"/>
  <c r="AA442" i="14" a="1"/>
  <c r="AA442" i="14"/>
  <c r="AA443" i="14" a="1"/>
  <c r="AA443" i="14" s="1"/>
  <c r="AA444" i="14" a="1"/>
  <c r="AA444" i="14"/>
  <c r="AA445" i="14" a="1"/>
  <c r="AA445" i="14" s="1"/>
  <c r="AA446" i="14" a="1"/>
  <c r="AA446" i="14"/>
  <c r="AA447" i="14" a="1"/>
  <c r="AA447" i="14" s="1"/>
  <c r="AA448" i="14" a="1"/>
  <c r="AA448" i="14"/>
  <c r="AA449" i="14" a="1"/>
  <c r="AA449" i="14" s="1"/>
  <c r="AA450" i="14" a="1"/>
  <c r="AA450" i="14"/>
  <c r="AA451" i="14" a="1"/>
  <c r="AA451" i="14" s="1"/>
  <c r="AA452" i="14" a="1"/>
  <c r="AA452" i="14"/>
  <c r="AA453" i="14" a="1"/>
  <c r="AA453" i="14" s="1"/>
  <c r="AA454" i="14" a="1"/>
  <c r="AA454" i="14"/>
  <c r="AA455" i="14" a="1"/>
  <c r="AA455" i="14" s="1"/>
  <c r="AA456" i="14" a="1"/>
  <c r="AA456" i="14"/>
  <c r="AA457" i="14" a="1"/>
  <c r="AA457" i="14" s="1"/>
  <c r="AA458" i="14" a="1"/>
  <c r="AA458" i="14"/>
  <c r="AA459" i="14" a="1"/>
  <c r="AA459" i="14" s="1"/>
  <c r="AA460" i="14" a="1"/>
  <c r="AA460" i="14"/>
  <c r="AA461" i="14" a="1"/>
  <c r="AA461" i="14" s="1"/>
  <c r="AA462" i="14" a="1"/>
  <c r="AA462" i="14"/>
  <c r="AA463" i="14" a="1"/>
  <c r="AA463" i="14" s="1"/>
  <c r="AA464" i="14" a="1"/>
  <c r="AA464" i="14"/>
  <c r="AA465" i="14" a="1"/>
  <c r="AA465" i="14" s="1"/>
  <c r="AH3" i="16" a="1"/>
  <c r="AH3" i="16"/>
  <c r="AH4" i="16" a="1"/>
  <c r="AH4" i="16"/>
  <c r="AH5" i="16" a="1"/>
  <c r="AH5" i="16"/>
  <c r="AH6" i="16" a="1"/>
  <c r="AH6" i="16"/>
  <c r="AH7" i="16" a="1"/>
  <c r="AH7" i="16"/>
  <c r="AH8" i="16" a="1"/>
  <c r="AH8" i="16"/>
  <c r="AH9" i="16" a="1"/>
  <c r="AH9" i="16"/>
  <c r="AH10" i="16" a="1"/>
  <c r="AH10" i="16"/>
  <c r="AH11" i="16" a="1"/>
  <c r="AH11" i="16" s="1"/>
  <c r="AH12" i="16" a="1"/>
  <c r="AH12" i="16"/>
  <c r="AH13" i="16" a="1"/>
  <c r="AH13" i="16" s="1"/>
  <c r="AH14" i="16" a="1"/>
  <c r="AH14" i="16" s="1"/>
  <c r="AH15" i="16" a="1"/>
  <c r="AH15" i="16" s="1"/>
  <c r="AH16" i="16" a="1"/>
  <c r="AH16" i="16"/>
  <c r="AH17" i="16" a="1"/>
  <c r="AH17" i="16" s="1"/>
  <c r="AH18" i="16" a="1"/>
  <c r="AH18" i="16"/>
  <c r="AH19" i="16" a="1"/>
  <c r="AH19" i="16" s="1"/>
  <c r="AH20" i="16" a="1"/>
  <c r="AH20" i="16"/>
  <c r="AH21" i="16" a="1"/>
  <c r="AH21" i="16" s="1"/>
  <c r="AH22" i="16" a="1"/>
  <c r="AH22" i="16" s="1"/>
  <c r="AH23" i="16" a="1"/>
  <c r="AH23" i="16" s="1"/>
  <c r="AH24" i="16" a="1"/>
  <c r="AH24" i="16"/>
  <c r="AH25" i="16" a="1"/>
  <c r="AH25" i="16" s="1"/>
  <c r="AH26" i="16" a="1"/>
  <c r="AH26" i="16"/>
  <c r="AH27" i="16" a="1"/>
  <c r="AH27" i="16" s="1"/>
  <c r="AH28" i="16" a="1"/>
  <c r="AH28" i="16" s="1"/>
  <c r="AH29" i="16" a="1"/>
  <c r="AH29" i="16" s="1"/>
  <c r="AH30" i="16" a="1"/>
  <c r="AH30" i="16" s="1"/>
  <c r="AH31" i="16" a="1"/>
  <c r="AH31" i="16" s="1"/>
  <c r="AH32" i="16" a="1"/>
  <c r="AH32" i="16" s="1"/>
  <c r="AH33" i="16" a="1"/>
  <c r="AH33" i="16" s="1"/>
  <c r="AH34" i="16" a="1"/>
  <c r="AH34" i="16"/>
  <c r="AH35" i="16" a="1"/>
  <c r="AH35" i="16" s="1"/>
  <c r="AH36" i="16" a="1"/>
  <c r="AH36" i="16" s="1"/>
  <c r="AH37" i="16" a="1"/>
  <c r="AH37" i="16" s="1"/>
  <c r="AH38" i="16" a="1"/>
  <c r="AH38" i="16" s="1"/>
  <c r="AH39" i="16" a="1"/>
  <c r="AH39" i="16" s="1"/>
  <c r="AH40" i="16" a="1"/>
  <c r="AH40" i="16" s="1"/>
  <c r="AH41" i="16" a="1"/>
  <c r="AH41" i="16" s="1"/>
  <c r="AH42" i="16" a="1"/>
  <c r="AH42" i="16"/>
  <c r="AH43" i="16" a="1"/>
  <c r="AH43" i="16" s="1"/>
  <c r="AH44" i="16" a="1"/>
  <c r="AH44" i="16" s="1"/>
  <c r="AH45" i="16" a="1"/>
  <c r="AH45" i="16" s="1"/>
  <c r="AH46" i="16" a="1"/>
  <c r="AH46" i="16" s="1"/>
  <c r="AH47" i="16" a="1"/>
  <c r="AH47" i="16" s="1"/>
  <c r="AH48" i="16" a="1"/>
  <c r="AH48" i="16"/>
  <c r="AH49" i="16" a="1"/>
  <c r="AH49" i="16" s="1"/>
  <c r="AH50" i="16" a="1"/>
  <c r="AH50" i="16"/>
  <c r="AH51" i="16" a="1"/>
  <c r="AH51" i="16" s="1"/>
  <c r="AH52" i="16" a="1"/>
  <c r="AH52" i="16" s="1"/>
  <c r="AH53" i="16" a="1"/>
  <c r="AH53" i="16" s="1"/>
  <c r="AH54" i="16" a="1"/>
  <c r="AH54" i="16" s="1"/>
  <c r="AH55" i="16" a="1"/>
  <c r="AH55" i="16" s="1"/>
  <c r="AH56" i="16" a="1"/>
  <c r="AH56" i="16" s="1"/>
  <c r="AH57" i="16" a="1"/>
  <c r="AH57" i="16" s="1"/>
  <c r="AH58" i="16" a="1"/>
  <c r="AH58" i="16"/>
  <c r="AH59" i="16" a="1"/>
  <c r="AH59" i="16" s="1"/>
  <c r="AH60" i="16" a="1"/>
  <c r="AH60" i="16" s="1"/>
  <c r="AH61" i="16" a="1"/>
  <c r="AH61" i="16" s="1"/>
  <c r="AH62" i="16" a="1"/>
  <c r="AH62" i="16" s="1"/>
  <c r="AH63" i="16" a="1"/>
  <c r="AH63" i="16" s="1"/>
  <c r="AH64" i="16" a="1"/>
  <c r="AH64" i="16"/>
  <c r="AH65" i="16" a="1"/>
  <c r="AH65" i="16" s="1"/>
  <c r="AH66" i="16" a="1"/>
  <c r="AH66" i="16"/>
  <c r="AH67" i="16" a="1"/>
  <c r="AH67" i="16" s="1"/>
  <c r="AH68" i="16" a="1"/>
  <c r="AH68" i="16" s="1"/>
  <c r="AH69" i="16" a="1"/>
  <c r="AH69" i="16" s="1"/>
  <c r="AH70" i="16" a="1"/>
  <c r="AH70" i="16" s="1"/>
  <c r="AH71" i="16" a="1"/>
  <c r="AH71" i="16" s="1"/>
  <c r="AH72" i="16" a="1"/>
  <c r="AH72" i="16" s="1"/>
  <c r="AH73" i="16" a="1"/>
  <c r="AH73" i="16" s="1"/>
  <c r="AH74" i="16" a="1"/>
  <c r="AH74" i="16"/>
  <c r="AH75" i="16" a="1"/>
  <c r="AH75" i="16" s="1"/>
  <c r="AH76" i="16" a="1"/>
  <c r="AH76" i="16" s="1"/>
  <c r="AH77" i="16" a="1"/>
  <c r="AH77" i="16" s="1"/>
  <c r="AH78" i="16" a="1"/>
  <c r="AH78" i="16" s="1"/>
  <c r="AH79" i="16" a="1"/>
  <c r="AH79" i="16" s="1"/>
  <c r="AH80" i="16" a="1"/>
  <c r="AH80" i="16" s="1"/>
  <c r="AH81" i="16" a="1"/>
  <c r="AH81" i="16" s="1"/>
  <c r="AH82" i="16" a="1"/>
  <c r="AH82" i="16"/>
  <c r="AH83" i="16" a="1"/>
  <c r="AH83" i="16" s="1"/>
  <c r="AH84" i="16" a="1"/>
  <c r="AH84" i="16" s="1"/>
  <c r="AH85" i="16" a="1"/>
  <c r="AH85" i="16" s="1"/>
  <c r="AH86" i="16" a="1"/>
  <c r="AH86" i="16" s="1"/>
  <c r="AH87" i="16" a="1"/>
  <c r="AH87" i="16" s="1"/>
  <c r="AH88" i="16" a="1"/>
  <c r="AH88" i="16" s="1"/>
  <c r="AH89" i="16" a="1"/>
  <c r="AH89" i="16" s="1"/>
  <c r="AH90" i="16" a="1"/>
  <c r="AH90" i="16"/>
  <c r="AH91" i="16" a="1"/>
  <c r="AH91" i="16" s="1"/>
  <c r="AH92" i="16" a="1"/>
  <c r="AH92" i="16" s="1"/>
  <c r="AH93" i="16" a="1"/>
  <c r="AH93" i="16" s="1"/>
  <c r="AH94" i="16" a="1"/>
  <c r="AH94" i="16" s="1"/>
  <c r="AH95" i="16" a="1"/>
  <c r="AH95" i="16" s="1"/>
  <c r="AH96" i="16" a="1"/>
  <c r="AH96" i="16" s="1"/>
  <c r="AH97" i="16" a="1"/>
  <c r="AH97" i="16" s="1"/>
  <c r="AH98" i="16" a="1"/>
  <c r="AH98" i="16"/>
  <c r="AH99" i="16" a="1"/>
  <c r="AH99" i="16" s="1"/>
  <c r="AH100" i="16" a="1"/>
  <c r="AH100" i="16" s="1"/>
  <c r="AH101" i="16" a="1"/>
  <c r="AH101" i="16" s="1"/>
  <c r="AH102" i="16" a="1"/>
  <c r="AH102" i="16" s="1"/>
  <c r="AH103" i="16" a="1"/>
  <c r="AH103" i="16" s="1"/>
  <c r="AH104" i="16" a="1"/>
  <c r="AH104" i="16" s="1"/>
  <c r="AH105" i="16" a="1"/>
  <c r="AH105" i="16" s="1"/>
  <c r="AH106" i="16" a="1"/>
  <c r="AH106" i="16"/>
  <c r="AH107" i="16" a="1"/>
  <c r="AH107" i="16" s="1"/>
  <c r="AH108" i="16" a="1"/>
  <c r="AH108" i="16" s="1"/>
  <c r="AH109" i="16" a="1"/>
  <c r="AH109" i="16" s="1"/>
  <c r="AH110" i="16" a="1"/>
  <c r="AH110" i="16" s="1"/>
  <c r="AH111" i="16" a="1"/>
  <c r="AH111" i="16" s="1"/>
  <c r="AH112" i="16" a="1"/>
  <c r="AH112" i="16"/>
  <c r="AH113" i="16" a="1"/>
  <c r="AH113" i="16" s="1"/>
  <c r="AH114" i="16" a="1"/>
  <c r="AH114" i="16"/>
  <c r="AH115" i="16" a="1"/>
  <c r="AH115" i="16" s="1"/>
  <c r="AH116" i="16" a="1"/>
  <c r="AH116" i="16" s="1"/>
  <c r="AH117" i="16" a="1"/>
  <c r="AH117" i="16" s="1"/>
  <c r="AH118" i="16" a="1"/>
  <c r="AH118" i="16" s="1"/>
  <c r="AH119" i="16" a="1"/>
  <c r="AH119" i="16" s="1"/>
  <c r="AH120" i="16" a="1"/>
  <c r="AH120" i="16"/>
  <c r="AH121" i="16" a="1"/>
  <c r="AH121" i="16" s="1"/>
  <c r="AH122" i="16" a="1"/>
  <c r="AH122" i="16"/>
  <c r="AH123" i="16" a="1"/>
  <c r="AH123" i="16" s="1"/>
  <c r="AH124" i="16" a="1"/>
  <c r="AH124" i="16" s="1"/>
  <c r="AH125" i="16" a="1"/>
  <c r="AH125" i="16" s="1"/>
  <c r="AH126" i="16" a="1"/>
  <c r="AH126" i="16" s="1"/>
  <c r="AH127" i="16" a="1"/>
  <c r="AH127" i="16" s="1"/>
  <c r="AH128" i="16" a="1"/>
  <c r="AH128" i="16"/>
  <c r="AH129" i="16" a="1"/>
  <c r="AH129" i="16" s="1"/>
  <c r="AH130" i="16" a="1"/>
  <c r="AH130" i="16"/>
  <c r="AH131" i="16" a="1"/>
  <c r="AH131" i="16" s="1"/>
  <c r="AH132" i="16" a="1"/>
  <c r="AH132" i="16" s="1"/>
  <c r="AH133" i="16" a="1"/>
  <c r="AH133" i="16" s="1"/>
  <c r="AH134" i="16" a="1"/>
  <c r="AH134" i="16" s="1"/>
  <c r="AH135" i="16" a="1"/>
  <c r="AH135" i="16" s="1"/>
  <c r="AH136" i="16" a="1"/>
  <c r="AH136" i="16"/>
  <c r="AH137" i="16" a="1"/>
  <c r="AH137" i="16" s="1"/>
  <c r="AH138" i="16" a="1"/>
  <c r="AH138" i="16"/>
  <c r="AH139" i="16" a="1"/>
  <c r="AH139" i="16" s="1"/>
  <c r="AH140" i="16" a="1"/>
  <c r="AH140" i="16" s="1"/>
  <c r="AH141" i="16" a="1"/>
  <c r="AH141" i="16" s="1"/>
  <c r="AH142" i="16" a="1"/>
  <c r="AH142" i="16" s="1"/>
  <c r="AH143" i="16" a="1"/>
  <c r="AH143" i="16" s="1"/>
  <c r="AH144" i="16" a="1"/>
  <c r="AH144" i="16" s="1"/>
  <c r="AH145" i="16" a="1"/>
  <c r="AH145" i="16" s="1"/>
  <c r="AH146" i="16" a="1"/>
  <c r="AH146" i="16"/>
  <c r="AH147" i="16" a="1"/>
  <c r="AH147" i="16" s="1"/>
  <c r="AH148" i="16" a="1"/>
  <c r="AH148" i="16" s="1"/>
  <c r="AH149" i="16" a="1"/>
  <c r="AH149" i="16" s="1"/>
  <c r="AH150" i="16" a="1"/>
  <c r="AH150" i="16" s="1"/>
  <c r="AH151" i="16" a="1"/>
  <c r="AH151" i="16" s="1"/>
  <c r="AH152" i="16" a="1"/>
  <c r="AH152" i="16" s="1"/>
  <c r="AH153" i="16" a="1"/>
  <c r="AH153" i="16" s="1"/>
  <c r="AH154" i="16" a="1"/>
  <c r="AH154" i="16"/>
  <c r="AH155" i="16" a="1"/>
  <c r="AH155" i="16" s="1"/>
  <c r="AH156" i="16" a="1"/>
  <c r="AH156" i="16" s="1"/>
  <c r="AH157" i="16" a="1"/>
  <c r="AH157" i="16" s="1"/>
  <c r="AH158" i="16" a="1"/>
  <c r="AH158" i="16" s="1"/>
  <c r="AH159" i="16" a="1"/>
  <c r="AH159" i="16" s="1"/>
  <c r="AH160" i="16" a="1"/>
  <c r="AH160" i="16"/>
  <c r="AH161" i="16" a="1"/>
  <c r="AH161" i="16" s="1"/>
  <c r="AH162" i="16" a="1"/>
  <c r="AH162" i="16"/>
  <c r="AH163" i="16" a="1"/>
  <c r="AH163" i="16" s="1"/>
  <c r="AH164" i="16" a="1"/>
  <c r="AH164" i="16" s="1"/>
  <c r="AH165" i="16" a="1"/>
  <c r="AH165" i="16" s="1"/>
  <c r="AH166" i="16" a="1"/>
  <c r="AH166" i="16" s="1"/>
  <c r="AH167" i="16" a="1"/>
  <c r="AH167" i="16" s="1"/>
  <c r="AH168" i="16" a="1"/>
  <c r="AH168" i="16"/>
  <c r="AH169" i="16" a="1"/>
  <c r="AH169" i="16" s="1"/>
  <c r="AH170" i="16" a="1"/>
  <c r="AH170" i="16"/>
  <c r="AH171" i="16" a="1"/>
  <c r="AH171" i="16" s="1"/>
  <c r="AH172" i="16" a="1"/>
  <c r="AH172" i="16" s="1"/>
  <c r="AH173" i="16" a="1"/>
  <c r="AH173" i="16" s="1"/>
  <c r="AH174" i="16" a="1"/>
  <c r="AH174" i="16" s="1"/>
  <c r="AH175" i="16" a="1"/>
  <c r="AH175" i="16" s="1"/>
  <c r="AH176" i="16" a="1"/>
  <c r="AH176" i="16"/>
  <c r="AH177" i="16" a="1"/>
  <c r="AH177" i="16" s="1"/>
  <c r="AH178" i="16" a="1"/>
  <c r="AH178" i="16"/>
  <c r="AH179" i="16" a="1"/>
  <c r="AH179" i="16" s="1"/>
  <c r="AH180" i="16" a="1"/>
  <c r="AH180" i="16" s="1"/>
  <c r="AH181" i="16" a="1"/>
  <c r="AH181" i="16"/>
  <c r="AH182" i="16" a="1"/>
  <c r="AH182" i="16" s="1"/>
  <c r="AH183" i="16" a="1"/>
  <c r="AH183" i="16"/>
  <c r="AH184" i="16" a="1"/>
  <c r="AH184" i="16" s="1"/>
  <c r="AH185" i="16" a="1"/>
  <c r="AH185" i="16"/>
  <c r="AH186" i="16" a="1"/>
  <c r="AH186" i="16" s="1"/>
  <c r="AH187" i="16" a="1"/>
  <c r="AH187" i="16"/>
  <c r="AH188" i="16" a="1"/>
  <c r="AH188" i="16" s="1"/>
  <c r="AH189" i="16" a="1"/>
  <c r="AH189" i="16"/>
  <c r="AH190" i="16" a="1"/>
  <c r="AH190" i="16" s="1"/>
  <c r="AH191" i="16" a="1"/>
  <c r="AH191" i="16"/>
  <c r="AH192" i="16" a="1"/>
  <c r="AH192" i="16" s="1"/>
  <c r="AH193" i="16" a="1"/>
  <c r="AH193" i="16"/>
  <c r="AH194" i="16" a="1"/>
  <c r="AH194" i="16" s="1"/>
  <c r="AH195" i="16" a="1"/>
  <c r="AH195" i="16" s="1"/>
  <c r="AH196" i="16" a="1"/>
  <c r="AH196" i="16" s="1"/>
  <c r="AH197" i="16" a="1"/>
  <c r="AH197" i="16" s="1"/>
  <c r="AH198" i="16" a="1"/>
  <c r="AH198" i="16" s="1"/>
  <c r="AH199" i="16" a="1"/>
  <c r="AH199" i="16" s="1"/>
  <c r="AH200" i="16" a="1"/>
  <c r="AH200" i="16" s="1"/>
  <c r="AH201" i="16" a="1"/>
  <c r="AH201" i="16" s="1"/>
  <c r="AH202" i="16" a="1"/>
  <c r="AH202" i="16" s="1"/>
  <c r="AH203" i="16" a="1"/>
  <c r="AH203" i="16" s="1"/>
  <c r="AH204" i="16" a="1"/>
  <c r="AH204" i="16" s="1"/>
  <c r="AH205" i="16" a="1"/>
  <c r="AH205" i="16" s="1"/>
  <c r="AH206" i="16" a="1"/>
  <c r="AH206" i="16" s="1"/>
  <c r="AH207" i="16" a="1"/>
  <c r="AH207" i="16" s="1"/>
  <c r="AH208" i="16" a="1"/>
  <c r="AH208" i="16" s="1"/>
  <c r="AH209" i="16" a="1"/>
  <c r="AH209" i="16" s="1"/>
  <c r="AH210" i="16" a="1"/>
  <c r="AH210" i="16" s="1"/>
  <c r="AH211" i="16" a="1"/>
  <c r="AH211" i="16" s="1"/>
  <c r="AH212" i="16" a="1"/>
  <c r="AH212" i="16" s="1"/>
  <c r="AH213" i="16" a="1"/>
  <c r="AH213" i="16" s="1"/>
  <c r="AH214" i="16" a="1"/>
  <c r="AH214" i="16" s="1"/>
  <c r="AH215" i="16" a="1"/>
  <c r="AH215" i="16" s="1"/>
  <c r="AH216" i="16" a="1"/>
  <c r="AH216" i="16" s="1"/>
  <c r="AH2" i="16" a="1"/>
  <c r="AH2" i="16"/>
  <c r="AF465" i="16" l="1"/>
  <c r="AA465" i="16"/>
  <c r="AF216" i="16"/>
  <c r="AF215" i="16"/>
  <c r="AF214" i="16"/>
  <c r="AF213" i="16"/>
  <c r="AF212" i="16"/>
  <c r="AF211" i="16"/>
  <c r="AF210" i="16"/>
  <c r="AF209" i="16"/>
  <c r="AF208" i="16"/>
  <c r="AF207" i="16"/>
  <c r="AF206" i="16"/>
  <c r="AF205" i="16"/>
  <c r="AF204" i="16"/>
  <c r="AF203" i="16"/>
  <c r="AF202" i="16"/>
  <c r="AF201" i="16"/>
  <c r="AF200" i="16"/>
  <c r="AF199" i="16"/>
  <c r="AF198" i="16"/>
  <c r="AF197" i="16"/>
  <c r="AF196" i="16"/>
  <c r="AF195" i="16"/>
  <c r="AF194" i="16"/>
  <c r="AF193" i="16"/>
  <c r="AF192" i="16"/>
  <c r="AF191" i="16"/>
  <c r="AF190" i="16"/>
  <c r="AF189" i="16"/>
  <c r="AF188" i="16"/>
  <c r="AF187" i="16"/>
  <c r="AF186" i="16"/>
  <c r="AF185" i="16"/>
  <c r="AF184" i="16"/>
  <c r="AF183" i="16"/>
  <c r="AF182" i="16"/>
  <c r="AF181" i="16"/>
  <c r="AF180" i="16"/>
  <c r="AF179" i="16"/>
  <c r="AF178" i="16"/>
  <c r="AF177" i="16"/>
  <c r="AF176" i="16"/>
  <c r="AF175" i="16"/>
  <c r="AF174" i="16"/>
  <c r="AF173" i="16"/>
  <c r="AF172" i="16"/>
  <c r="AF171" i="16"/>
  <c r="AF170" i="16"/>
  <c r="AF169" i="16"/>
  <c r="AF168" i="16"/>
  <c r="AF167" i="16"/>
  <c r="AF166" i="16"/>
  <c r="AF165" i="16"/>
  <c r="AF164" i="16"/>
  <c r="AF163" i="16"/>
  <c r="AF162" i="16"/>
  <c r="AF161" i="16"/>
  <c r="AF160" i="16"/>
  <c r="AF159" i="16"/>
  <c r="AF158" i="16"/>
  <c r="AF157" i="16"/>
  <c r="AF156" i="16"/>
  <c r="AF155" i="16"/>
  <c r="AF154" i="16"/>
  <c r="AF153" i="16"/>
  <c r="AF152" i="16"/>
  <c r="AF151" i="16"/>
  <c r="AF150" i="16"/>
  <c r="AF149" i="16"/>
  <c r="AF148" i="16"/>
  <c r="AF147" i="16"/>
  <c r="AF146" i="16"/>
  <c r="AF145" i="16"/>
  <c r="AF144" i="16"/>
  <c r="AF143" i="16"/>
  <c r="AF142" i="16"/>
  <c r="AF141" i="16"/>
  <c r="AF140" i="16"/>
  <c r="AF139" i="16"/>
  <c r="AF138" i="16"/>
  <c r="AF137" i="16"/>
  <c r="AF136" i="16"/>
  <c r="AF135" i="16"/>
  <c r="AF134" i="16"/>
  <c r="AF133" i="16"/>
  <c r="AF132" i="16"/>
  <c r="AF131" i="16"/>
  <c r="AF130" i="16"/>
  <c r="AF129" i="16"/>
  <c r="AF128" i="16"/>
  <c r="AF127" i="16"/>
  <c r="AF126" i="16"/>
  <c r="AF125" i="16"/>
  <c r="AF124" i="16"/>
  <c r="AF123" i="16"/>
  <c r="AF122" i="16"/>
  <c r="AF121" i="16"/>
  <c r="AF120" i="16"/>
  <c r="AF119" i="16"/>
  <c r="AF118" i="16"/>
  <c r="AF117" i="16"/>
  <c r="AF116" i="16"/>
  <c r="AF115" i="16"/>
  <c r="AF114" i="16"/>
  <c r="AF113" i="16"/>
  <c r="AF112" i="16"/>
  <c r="AF111" i="16"/>
  <c r="AF110" i="16"/>
  <c r="AF109" i="16"/>
  <c r="AF108" i="16"/>
  <c r="AF107" i="16"/>
  <c r="AF106" i="16"/>
  <c r="AF105" i="16"/>
  <c r="AF104" i="16"/>
  <c r="AF103" i="16"/>
  <c r="AF102" i="16"/>
  <c r="AF101" i="16"/>
  <c r="AF100" i="16"/>
  <c r="AF99" i="16"/>
  <c r="AF98" i="16"/>
  <c r="AF97" i="16"/>
  <c r="AF96" i="16"/>
  <c r="AF95" i="16"/>
  <c r="AF94" i="16"/>
  <c r="AF93" i="16"/>
  <c r="AF92" i="16"/>
  <c r="AF91" i="16"/>
  <c r="AF90" i="16"/>
  <c r="AF89" i="16"/>
  <c r="AF88" i="16"/>
  <c r="AF87" i="16"/>
  <c r="AF86" i="16"/>
  <c r="AF85" i="16"/>
  <c r="AF84" i="16"/>
  <c r="AF83" i="16"/>
  <c r="AF82" i="16"/>
  <c r="AF81" i="16"/>
  <c r="AF80" i="16"/>
  <c r="AF79" i="16"/>
  <c r="AF78" i="16"/>
  <c r="AF77" i="16"/>
  <c r="AF76" i="16"/>
  <c r="AF75" i="16"/>
  <c r="AF74" i="16"/>
  <c r="AF73" i="16"/>
  <c r="AF72" i="16"/>
  <c r="AF71" i="16"/>
  <c r="AF70" i="16"/>
  <c r="AF69" i="16"/>
  <c r="AF68" i="16"/>
  <c r="AF67" i="16"/>
  <c r="AF66" i="16"/>
  <c r="AF65" i="16"/>
  <c r="AF64" i="16"/>
  <c r="AF63" i="16"/>
  <c r="AF62" i="16"/>
  <c r="AF61" i="16"/>
  <c r="AF60" i="16"/>
  <c r="AF59" i="16"/>
  <c r="AF58" i="16"/>
  <c r="AF57" i="16"/>
  <c r="AF56" i="16"/>
  <c r="AF55" i="16"/>
  <c r="AF54" i="16"/>
  <c r="AF53" i="16"/>
  <c r="AF52" i="16"/>
  <c r="AF51" i="16"/>
  <c r="AF50" i="16"/>
  <c r="AF49" i="16"/>
  <c r="AF48" i="16"/>
  <c r="AF47" i="16"/>
  <c r="AF46" i="16"/>
  <c r="AF45" i="16"/>
  <c r="AF44" i="16"/>
  <c r="AF43" i="16"/>
  <c r="AF42" i="16"/>
  <c r="AF41" i="16"/>
  <c r="AF40" i="16"/>
  <c r="AF39" i="16"/>
  <c r="AF38" i="16"/>
  <c r="AF37" i="16"/>
  <c r="AF36" i="16"/>
  <c r="AF35" i="16"/>
  <c r="AF34" i="16"/>
  <c r="AF33" i="16"/>
  <c r="AF32" i="16"/>
  <c r="AF31" i="16"/>
  <c r="AF30" i="16"/>
  <c r="AF29" i="16"/>
  <c r="AF28" i="16"/>
  <c r="AF27" i="16"/>
  <c r="AF26" i="16"/>
  <c r="AF25" i="16"/>
  <c r="AF24" i="16"/>
  <c r="AF23" i="16"/>
  <c r="AF22" i="16"/>
  <c r="AF21" i="16"/>
  <c r="AF20" i="16"/>
  <c r="AF19" i="16"/>
  <c r="AF18" i="16"/>
  <c r="AF17" i="16"/>
  <c r="AF16" i="16"/>
  <c r="AF15" i="16"/>
  <c r="AF14" i="16"/>
  <c r="AF13" i="16"/>
  <c r="AF12" i="16"/>
  <c r="AF11" i="16"/>
  <c r="AF10" i="16"/>
  <c r="AF9" i="16"/>
  <c r="AF8" i="16"/>
  <c r="AF7" i="16"/>
  <c r="AF6" i="16"/>
  <c r="AF5" i="16"/>
  <c r="AF4" i="16"/>
  <c r="AF3" i="16"/>
  <c r="AF2" i="16"/>
  <c r="AH2" i="12" l="1" a="1"/>
  <c r="AH2" i="12" s="1"/>
  <c r="AH2" i="14" a="1"/>
  <c r="AH2" i="14" s="1"/>
  <c r="AH3" i="12" a="1"/>
  <c r="AH3" i="12" s="1"/>
  <c r="AH4" i="12" a="1"/>
  <c r="AH4" i="12" s="1"/>
  <c r="AH5" i="12" a="1"/>
  <c r="AH5" i="12" s="1"/>
  <c r="AH6" i="12" a="1"/>
  <c r="AH6" i="12" s="1"/>
  <c r="AH7" i="12" a="1"/>
  <c r="AH7" i="12" s="1"/>
  <c r="AH8" i="12" a="1"/>
  <c r="AH8" i="12" s="1"/>
  <c r="AH9" i="12" a="1"/>
  <c r="AH9" i="12" s="1"/>
  <c r="AH10" i="12" a="1"/>
  <c r="AH10" i="12" s="1"/>
  <c r="AH11" i="12" a="1"/>
  <c r="AH11" i="12" s="1"/>
  <c r="AH12" i="12" a="1"/>
  <c r="AH12" i="12" s="1"/>
  <c r="AH13" i="12" a="1"/>
  <c r="AH13" i="12" s="1"/>
  <c r="AH14" i="12" a="1"/>
  <c r="AH14" i="12" s="1"/>
  <c r="AH15" i="12" a="1"/>
  <c r="AH15" i="12" s="1"/>
  <c r="AH16" i="12" a="1"/>
  <c r="AH16" i="12" s="1"/>
  <c r="AH17" i="12" a="1"/>
  <c r="AH17" i="12" s="1"/>
  <c r="AH18" i="12" a="1"/>
  <c r="AH18" i="12" s="1"/>
  <c r="AH19" i="12" a="1"/>
  <c r="AH19" i="12" s="1"/>
  <c r="AH20" i="12" a="1"/>
  <c r="AH20" i="12" s="1"/>
  <c r="AH21" i="12" a="1"/>
  <c r="AH21" i="12" s="1"/>
  <c r="AH22" i="12" a="1"/>
  <c r="AH22" i="12" s="1"/>
  <c r="AH23" i="12" a="1"/>
  <c r="AH23" i="12" s="1"/>
  <c r="AH24" i="12" a="1"/>
  <c r="AH24" i="12" s="1"/>
  <c r="AH25" i="12" a="1"/>
  <c r="AH25" i="12" s="1"/>
  <c r="AH26" i="12" a="1"/>
  <c r="AH26" i="12" s="1"/>
  <c r="AH27" i="12" a="1"/>
  <c r="AH27" i="12" s="1"/>
  <c r="AH28" i="12" a="1"/>
  <c r="AH28" i="12" s="1"/>
  <c r="AH29" i="12" a="1"/>
  <c r="AH29" i="12" s="1"/>
  <c r="AH30" i="12" a="1"/>
  <c r="AH30" i="12" s="1"/>
  <c r="AH31" i="12" a="1"/>
  <c r="AH31" i="12" s="1"/>
  <c r="AH32" i="12" a="1"/>
  <c r="AH32" i="12" s="1"/>
  <c r="AH33" i="12" a="1"/>
  <c r="AH33" i="12" s="1"/>
  <c r="AH34" i="12" a="1"/>
  <c r="AH34" i="12" s="1"/>
  <c r="AH35" i="12" a="1"/>
  <c r="AH35" i="12" s="1"/>
  <c r="AH36" i="12" a="1"/>
  <c r="AH36" i="12" s="1"/>
  <c r="AH37" i="12" a="1"/>
  <c r="AH37" i="12" s="1"/>
  <c r="AH38" i="12" a="1"/>
  <c r="AH38" i="12" s="1"/>
  <c r="AH39" i="12" a="1"/>
  <c r="AH39" i="12" s="1"/>
  <c r="AH40" i="12" a="1"/>
  <c r="AH40" i="12" s="1"/>
  <c r="AH41" i="12" a="1"/>
  <c r="AH41" i="12" s="1"/>
  <c r="AH42" i="12" a="1"/>
  <c r="AH42" i="12" s="1"/>
  <c r="AH43" i="12" a="1"/>
  <c r="AH43" i="12" s="1"/>
  <c r="AH44" i="12" a="1"/>
  <c r="AH44" i="12" s="1"/>
  <c r="AH45" i="12" a="1"/>
  <c r="AH45" i="12" s="1"/>
  <c r="AH46" i="12" a="1"/>
  <c r="AH46" i="12" s="1"/>
  <c r="AH47" i="12" a="1"/>
  <c r="AH47" i="12" s="1"/>
  <c r="AH48" i="12" a="1"/>
  <c r="AH48" i="12" s="1"/>
  <c r="AH49" i="12" a="1"/>
  <c r="AH49" i="12" s="1"/>
  <c r="AH50" i="12" a="1"/>
  <c r="AH50" i="12" s="1"/>
  <c r="AH51" i="12" a="1"/>
  <c r="AH51" i="12" s="1"/>
  <c r="AH52" i="12" a="1"/>
  <c r="AH52" i="12" s="1"/>
  <c r="AH53" i="12" a="1"/>
  <c r="AH53" i="12" s="1"/>
  <c r="AH54" i="12" a="1"/>
  <c r="AH54" i="12" s="1"/>
  <c r="AH55" i="12" a="1"/>
  <c r="AH55" i="12" s="1"/>
  <c r="AH56" i="12" a="1"/>
  <c r="AH56" i="12" s="1"/>
  <c r="AH57" i="12" a="1"/>
  <c r="AH57" i="12" s="1"/>
  <c r="AH58" i="12" a="1"/>
  <c r="AH58" i="12" s="1"/>
  <c r="AH59" i="12" a="1"/>
  <c r="AH59" i="12" s="1"/>
  <c r="AH60" i="12" a="1"/>
  <c r="AH60" i="12" s="1"/>
  <c r="AH61" i="12" a="1"/>
  <c r="AH61" i="12" s="1"/>
  <c r="AH62" i="12" a="1"/>
  <c r="AH62" i="12" s="1"/>
  <c r="AH63" i="12" a="1"/>
  <c r="AH63" i="12" s="1"/>
  <c r="AH64" i="12" a="1"/>
  <c r="AH64" i="12" s="1"/>
  <c r="AH65" i="12" a="1"/>
  <c r="AH65" i="12" s="1"/>
  <c r="AH66" i="12" a="1"/>
  <c r="AH66" i="12" s="1"/>
  <c r="AH67" i="12" a="1"/>
  <c r="AH67" i="12" s="1"/>
  <c r="AH68" i="12" a="1"/>
  <c r="AH68" i="12" s="1"/>
  <c r="AH69" i="12" a="1"/>
  <c r="AH69" i="12" s="1"/>
  <c r="AH70" i="12" a="1"/>
  <c r="AH70" i="12" s="1"/>
  <c r="AH71" i="12" a="1"/>
  <c r="AH71" i="12" s="1"/>
  <c r="AH72" i="12" a="1"/>
  <c r="AH72" i="12" s="1"/>
  <c r="AH73" i="12" a="1"/>
  <c r="AH73" i="12" s="1"/>
  <c r="AH74" i="12" a="1"/>
  <c r="AH74" i="12" s="1"/>
  <c r="AH75" i="12" a="1"/>
  <c r="AH75" i="12" s="1"/>
  <c r="AH76" i="12" a="1"/>
  <c r="AH76" i="12" s="1"/>
  <c r="AH77" i="12" a="1"/>
  <c r="AH77" i="12" s="1"/>
  <c r="AH78" i="12" a="1"/>
  <c r="AH78" i="12" s="1"/>
  <c r="AH79" i="12" a="1"/>
  <c r="AH79" i="12" s="1"/>
  <c r="AH80" i="12" a="1"/>
  <c r="AH80" i="12" s="1"/>
  <c r="AH81" i="12" a="1"/>
  <c r="AH81" i="12" s="1"/>
  <c r="AH82" i="12" a="1"/>
  <c r="AH82" i="12" s="1"/>
  <c r="AH83" i="12" a="1"/>
  <c r="AH83" i="12" s="1"/>
  <c r="AH84" i="12" a="1"/>
  <c r="AH84" i="12" s="1"/>
  <c r="AH85" i="12" a="1"/>
  <c r="AH85" i="12" s="1"/>
  <c r="AH86" i="12" a="1"/>
  <c r="AH86" i="12" s="1"/>
  <c r="AH87" i="12" a="1"/>
  <c r="AH87" i="12" s="1"/>
  <c r="AH88" i="12" a="1"/>
  <c r="AH88" i="12" s="1"/>
  <c r="AH89" i="12" a="1"/>
  <c r="AH89" i="12" s="1"/>
  <c r="AH90" i="12" a="1"/>
  <c r="AH90" i="12" s="1"/>
  <c r="AH91" i="12" a="1"/>
  <c r="AH91" i="12" s="1"/>
  <c r="AH92" i="12" a="1"/>
  <c r="AH92" i="12" s="1"/>
  <c r="AH93" i="12" a="1"/>
  <c r="AH93" i="12" s="1"/>
  <c r="AH94" i="12" a="1"/>
  <c r="AH94" i="12" s="1"/>
  <c r="AH95" i="12" a="1"/>
  <c r="AH95" i="12" s="1"/>
  <c r="AH96" i="12" a="1"/>
  <c r="AH96" i="12" s="1"/>
  <c r="AH97" i="12" a="1"/>
  <c r="AH97" i="12" s="1"/>
  <c r="AH98" i="12" a="1"/>
  <c r="AH98" i="12" s="1"/>
  <c r="AH99" i="12" a="1"/>
  <c r="AH99" i="12" s="1"/>
  <c r="AH100" i="12" a="1"/>
  <c r="AH100" i="12" s="1"/>
  <c r="AH101" i="12" a="1"/>
  <c r="AH101" i="12" s="1"/>
  <c r="AH102" i="12" a="1"/>
  <c r="AH102" i="12" s="1"/>
  <c r="AH103" i="12" a="1"/>
  <c r="AH103" i="12" s="1"/>
  <c r="AH104" i="12" a="1"/>
  <c r="AH104" i="12" s="1"/>
  <c r="AH105" i="12" a="1"/>
  <c r="AH105" i="12" s="1"/>
  <c r="AH106" i="12" a="1"/>
  <c r="AH106" i="12" s="1"/>
  <c r="AH107" i="12" a="1"/>
  <c r="AH107" i="12" s="1"/>
  <c r="AH108" i="12" a="1"/>
  <c r="AH108" i="12" s="1"/>
  <c r="AH109" i="12" a="1"/>
  <c r="AH109" i="12" s="1"/>
  <c r="AH110" i="12" a="1"/>
  <c r="AH110" i="12" s="1"/>
  <c r="AH111" i="12" a="1"/>
  <c r="AH111" i="12" s="1"/>
  <c r="AH112" i="12" a="1"/>
  <c r="AH112" i="12" s="1"/>
  <c r="AH113" i="12" a="1"/>
  <c r="AH113" i="12" s="1"/>
  <c r="AH114" i="12" a="1"/>
  <c r="AH114" i="12" s="1"/>
  <c r="AH115" i="12" a="1"/>
  <c r="AH115" i="12" s="1"/>
  <c r="AH116" i="12" a="1"/>
  <c r="AH116" i="12" s="1"/>
  <c r="AH117" i="12" a="1"/>
  <c r="AH117" i="12" s="1"/>
  <c r="AH118" i="12" a="1"/>
  <c r="AH118" i="12" s="1"/>
  <c r="AH119" i="12" a="1"/>
  <c r="AH119" i="12" s="1"/>
  <c r="AH120" i="12" a="1"/>
  <c r="AH120" i="12" s="1"/>
  <c r="AH121" i="12" a="1"/>
  <c r="AH121" i="12" s="1"/>
  <c r="AH122" i="12" a="1"/>
  <c r="AH122" i="12" s="1"/>
  <c r="AH123" i="12" a="1"/>
  <c r="AH123" i="12" s="1"/>
  <c r="AH124" i="12" a="1"/>
  <c r="AH124" i="12" s="1"/>
  <c r="AH125" i="12" a="1"/>
  <c r="AH125" i="12" s="1"/>
  <c r="AH126" i="12" a="1"/>
  <c r="AH126" i="12" s="1"/>
  <c r="AH127" i="12" a="1"/>
  <c r="AH127" i="12" s="1"/>
  <c r="AH128" i="12" a="1"/>
  <c r="AH128" i="12" s="1"/>
  <c r="AH129" i="12" a="1"/>
  <c r="AH129" i="12" s="1"/>
  <c r="AH130" i="12" a="1"/>
  <c r="AH130" i="12" s="1"/>
  <c r="AH131" i="12" a="1"/>
  <c r="AH131" i="12" s="1"/>
  <c r="AH132" i="12" a="1"/>
  <c r="AH132" i="12" s="1"/>
  <c r="AH133" i="12" a="1"/>
  <c r="AH133" i="12" s="1"/>
  <c r="AH134" i="12" a="1"/>
  <c r="AH134" i="12" s="1"/>
  <c r="AH135" i="12" a="1"/>
  <c r="AH135" i="12" s="1"/>
  <c r="AH136" i="12" a="1"/>
  <c r="AH136" i="12" s="1"/>
  <c r="AH137" i="12" a="1"/>
  <c r="AH137" i="12" s="1"/>
  <c r="AH138" i="12" a="1"/>
  <c r="AH138" i="12" s="1"/>
  <c r="AH139" i="12" a="1"/>
  <c r="AH139" i="12" s="1"/>
  <c r="AH140" i="12" a="1"/>
  <c r="AH140" i="12" s="1"/>
  <c r="AH141" i="12" a="1"/>
  <c r="AH141" i="12" s="1"/>
  <c r="AH142" i="12" a="1"/>
  <c r="AH142" i="12" s="1"/>
  <c r="AH143" i="12" a="1"/>
  <c r="AH143" i="12" s="1"/>
  <c r="AH144" i="12" a="1"/>
  <c r="AH144" i="12" s="1"/>
  <c r="AH145" i="12" a="1"/>
  <c r="AH145" i="12" s="1"/>
  <c r="AH146" i="12" a="1"/>
  <c r="AH146" i="12" s="1"/>
  <c r="AH147" i="12" a="1"/>
  <c r="AH147" i="12" s="1"/>
  <c r="AH148" i="12" a="1"/>
  <c r="AH148" i="12" s="1"/>
  <c r="AH149" i="12" a="1"/>
  <c r="AH149" i="12" s="1"/>
  <c r="AH150" i="12" a="1"/>
  <c r="AH150" i="12" s="1"/>
  <c r="AH151" i="12" a="1"/>
  <c r="AH151" i="12" s="1"/>
  <c r="AH152" i="12" a="1"/>
  <c r="AH152" i="12" s="1"/>
  <c r="AH153" i="12" a="1"/>
  <c r="AH153" i="12" s="1"/>
  <c r="AH154" i="12" a="1"/>
  <c r="AH154" i="12" s="1"/>
  <c r="AH155" i="12" a="1"/>
  <c r="AH155" i="12" s="1"/>
  <c r="AH156" i="12" a="1"/>
  <c r="AH156" i="12" s="1"/>
  <c r="AH157" i="12" a="1"/>
  <c r="AH157" i="12" s="1"/>
  <c r="AH158" i="12" a="1"/>
  <c r="AH158" i="12" s="1"/>
  <c r="AH159" i="12" a="1"/>
  <c r="AH159" i="12" s="1"/>
  <c r="AH160" i="12" a="1"/>
  <c r="AH160" i="12" s="1"/>
  <c r="AH161" i="12" a="1"/>
  <c r="AH161" i="12" s="1"/>
  <c r="AH162" i="12" a="1"/>
  <c r="AH162" i="12" s="1"/>
  <c r="AH163" i="12" a="1"/>
  <c r="AH163" i="12" s="1"/>
  <c r="AH164" i="12" a="1"/>
  <c r="AH164" i="12" s="1"/>
  <c r="AH165" i="12" a="1"/>
  <c r="AH165" i="12" s="1"/>
  <c r="AH166" i="12" a="1"/>
  <c r="AH166" i="12" s="1"/>
  <c r="AH167" i="12" a="1"/>
  <c r="AH167" i="12" s="1"/>
  <c r="AH168" i="12" a="1"/>
  <c r="AH168" i="12" s="1"/>
  <c r="AH169" i="12" a="1"/>
  <c r="AH169" i="12" s="1"/>
  <c r="AH170" i="12" a="1"/>
  <c r="AH170" i="12" s="1"/>
  <c r="AH171" i="12" a="1"/>
  <c r="AH171" i="12" s="1"/>
  <c r="AH172" i="12" a="1"/>
  <c r="AH172" i="12" s="1"/>
  <c r="AH173" i="12" a="1"/>
  <c r="AH173" i="12" s="1"/>
  <c r="AH174" i="12" a="1"/>
  <c r="AH174" i="12" s="1"/>
  <c r="AH175" i="12" a="1"/>
  <c r="AH175" i="12" s="1"/>
  <c r="AH176" i="12" a="1"/>
  <c r="AH176" i="12" s="1"/>
  <c r="AH177" i="12" a="1"/>
  <c r="AH177" i="12" s="1"/>
  <c r="AH178" i="12" a="1"/>
  <c r="AH178" i="12" s="1"/>
  <c r="AH179" i="12" a="1"/>
  <c r="AH179" i="12" s="1"/>
  <c r="AH180" i="12" a="1"/>
  <c r="AH180" i="12" s="1"/>
  <c r="AH181" i="12" a="1"/>
  <c r="AH181" i="12" s="1"/>
  <c r="AH182" i="12" a="1"/>
  <c r="AH182" i="12" s="1"/>
  <c r="AH183" i="12" a="1"/>
  <c r="AH183" i="12" s="1"/>
  <c r="AH184" i="12" a="1"/>
  <c r="AH184" i="12" s="1"/>
  <c r="AH185" i="12" a="1"/>
  <c r="AH185" i="12" s="1"/>
  <c r="AH186" i="12" a="1"/>
  <c r="AH186" i="12" s="1"/>
  <c r="AH187" i="12" a="1"/>
  <c r="AH187" i="12" s="1"/>
  <c r="AH188" i="12" a="1"/>
  <c r="AH188" i="12" s="1"/>
  <c r="AH189" i="12" a="1"/>
  <c r="AH189" i="12" s="1"/>
  <c r="AH190" i="12" a="1"/>
  <c r="AH190" i="12" s="1"/>
  <c r="AH191" i="12" a="1"/>
  <c r="AH191" i="12" s="1"/>
  <c r="AH192" i="12" a="1"/>
  <c r="AH192" i="12" s="1"/>
  <c r="AH193" i="12" a="1"/>
  <c r="AH193" i="12" s="1"/>
  <c r="AH194" i="12" a="1"/>
  <c r="AH194" i="12" s="1"/>
  <c r="AH195" i="12" a="1"/>
  <c r="AH195" i="12" s="1"/>
  <c r="AH196" i="12" a="1"/>
  <c r="AH196" i="12" s="1"/>
  <c r="AH197" i="12" a="1"/>
  <c r="AH197" i="12" s="1"/>
  <c r="AH198" i="12" a="1"/>
  <c r="AH198" i="12" s="1"/>
  <c r="AH199" i="12" a="1"/>
  <c r="AH199" i="12" s="1"/>
  <c r="AH200" i="12" a="1"/>
  <c r="AH200" i="12" s="1"/>
  <c r="AH201" i="12" a="1"/>
  <c r="AH201" i="12" s="1"/>
  <c r="AH202" i="12" a="1"/>
  <c r="AH202" i="12" s="1"/>
  <c r="AH203" i="12" a="1"/>
  <c r="AH203" i="12" s="1"/>
  <c r="AH204" i="12" a="1"/>
  <c r="AH204" i="12" s="1"/>
  <c r="AH205" i="12" a="1"/>
  <c r="AH205" i="12" s="1"/>
  <c r="AH206" i="12" a="1"/>
  <c r="AH206" i="12" s="1"/>
  <c r="AH207" i="12" a="1"/>
  <c r="AH207" i="12" s="1"/>
  <c r="AH208" i="12" a="1"/>
  <c r="AH208" i="12" s="1"/>
  <c r="AH209" i="12" a="1"/>
  <c r="AH209" i="12" s="1"/>
  <c r="AH210" i="12" a="1"/>
  <c r="AH210" i="12" s="1"/>
  <c r="AH211" i="12" a="1"/>
  <c r="AH211" i="12" s="1"/>
  <c r="AH212" i="12" a="1"/>
  <c r="AH212" i="12" s="1"/>
  <c r="AH213" i="12" a="1"/>
  <c r="AH213" i="12" s="1"/>
  <c r="AH214" i="12" a="1"/>
  <c r="AH214" i="12" s="1"/>
  <c r="AH215" i="12" a="1"/>
  <c r="AH215" i="12" s="1"/>
  <c r="AH216" i="12" a="1"/>
  <c r="AH216" i="12" s="1"/>
  <c r="AH217" i="12" a="1"/>
  <c r="AH217" i="12" s="1"/>
  <c r="AH218" i="12" a="1"/>
  <c r="AH218" i="12" s="1"/>
  <c r="AH219" i="12" a="1"/>
  <c r="AH219" i="12" s="1"/>
  <c r="AH220" i="12" a="1"/>
  <c r="AH220" i="12" s="1"/>
  <c r="AH221" i="12" a="1"/>
  <c r="AH221" i="12" s="1"/>
  <c r="AH222" i="12" a="1"/>
  <c r="AH222" i="12" s="1"/>
  <c r="AH223" i="12" a="1"/>
  <c r="AH223" i="12" s="1"/>
  <c r="AH224" i="12" a="1"/>
  <c r="AH224" i="12" s="1"/>
  <c r="AH225" i="12" a="1"/>
  <c r="AH225" i="12" s="1"/>
  <c r="AH226" i="12" a="1"/>
  <c r="AH226" i="12" s="1"/>
  <c r="AH227" i="12" a="1"/>
  <c r="AH227" i="12" s="1"/>
  <c r="AH228" i="12" a="1"/>
  <c r="AH228" i="12" s="1"/>
  <c r="AH229" i="12" a="1"/>
  <c r="AH229" i="12" s="1"/>
  <c r="AH230" i="12" a="1"/>
  <c r="AH230" i="12" s="1"/>
  <c r="AH231" i="12" a="1"/>
  <c r="AH231" i="12" s="1"/>
  <c r="AH232" i="12" a="1"/>
  <c r="AH232" i="12" s="1"/>
  <c r="AH233" i="12" a="1"/>
  <c r="AH233" i="12" s="1"/>
  <c r="AH234" i="12" a="1"/>
  <c r="AH234" i="12" s="1"/>
  <c r="AH235" i="12" a="1"/>
  <c r="AH235" i="12" s="1"/>
  <c r="AH236" i="12" a="1"/>
  <c r="AH236" i="12" s="1"/>
  <c r="AH237" i="12" a="1"/>
  <c r="AH237" i="12" s="1"/>
  <c r="AH238" i="12" a="1"/>
  <c r="AH238" i="12" s="1"/>
  <c r="AH239" i="12" a="1"/>
  <c r="AH239" i="12" s="1"/>
  <c r="AH240" i="12" a="1"/>
  <c r="AH240" i="12" s="1"/>
  <c r="AH241" i="12" a="1"/>
  <c r="AH241" i="12" s="1"/>
  <c r="AH242" i="12" a="1"/>
  <c r="AH242" i="12" s="1"/>
  <c r="AH243" i="12" a="1"/>
  <c r="AH243" i="12" s="1"/>
  <c r="AH244" i="12" a="1"/>
  <c r="AH244" i="12" s="1"/>
  <c r="AH245" i="12" a="1"/>
  <c r="AH245" i="12" s="1"/>
  <c r="AH246" i="12" a="1"/>
  <c r="AH246" i="12" s="1"/>
  <c r="AH247" i="12" a="1"/>
  <c r="AH247" i="12" s="1"/>
  <c r="AH248" i="12" a="1"/>
  <c r="AH248" i="12" s="1"/>
  <c r="AH249" i="12" a="1"/>
  <c r="AH249" i="12" s="1"/>
  <c r="AH250" i="12" a="1"/>
  <c r="AH250" i="12" s="1"/>
  <c r="AH251" i="12" a="1"/>
  <c r="AH251" i="12" s="1"/>
  <c r="AH252" i="12" a="1"/>
  <c r="AH252" i="12" s="1"/>
  <c r="AH253" i="12" a="1"/>
  <c r="AH253" i="12" s="1"/>
  <c r="AH254" i="12" a="1"/>
  <c r="AH254" i="12" s="1"/>
  <c r="AH255" i="12" a="1"/>
  <c r="AH255" i="12" s="1"/>
  <c r="AH256" i="12" a="1"/>
  <c r="AH256" i="12" s="1"/>
  <c r="AH257" i="12" a="1"/>
  <c r="AH257" i="12" s="1"/>
  <c r="AH258" i="12" a="1"/>
  <c r="AH258" i="12" s="1"/>
  <c r="AH259" i="12" a="1"/>
  <c r="AH259" i="12" s="1"/>
  <c r="AH260" i="12" a="1"/>
  <c r="AH260" i="12" s="1"/>
  <c r="AH261" i="12" a="1"/>
  <c r="AH261" i="12" s="1"/>
  <c r="AH262" i="12" a="1"/>
  <c r="AH262" i="12" s="1"/>
  <c r="AH263" i="12" a="1"/>
  <c r="AH263" i="12" s="1"/>
  <c r="AH264" i="12" a="1"/>
  <c r="AH264" i="12" s="1"/>
  <c r="AH265" i="12" a="1"/>
  <c r="AH265" i="12" s="1"/>
  <c r="AH266" i="12" a="1"/>
  <c r="AH266" i="12" s="1"/>
  <c r="AH267" i="12" a="1"/>
  <c r="AH267" i="12" s="1"/>
  <c r="AH268" i="12" a="1"/>
  <c r="AH268" i="12" s="1"/>
  <c r="AH269" i="12" a="1"/>
  <c r="AH269" i="12" s="1"/>
  <c r="AH270" i="12" a="1"/>
  <c r="AH270" i="12" s="1"/>
  <c r="AH271" i="12" a="1"/>
  <c r="AH271" i="12" s="1"/>
  <c r="AH272" i="12" a="1"/>
  <c r="AH272" i="12" s="1"/>
  <c r="AH273" i="12" a="1"/>
  <c r="AH273" i="12" s="1"/>
  <c r="AH274" i="12" a="1"/>
  <c r="AH274" i="12" s="1"/>
  <c r="AH275" i="12" a="1"/>
  <c r="AH275" i="12" s="1"/>
  <c r="AH276" i="12" a="1"/>
  <c r="AH276" i="12" s="1"/>
  <c r="AH277" i="12" a="1"/>
  <c r="AH277" i="12" s="1"/>
  <c r="AH278" i="12" a="1"/>
  <c r="AH278" i="12" s="1"/>
  <c r="AH279" i="12" a="1"/>
  <c r="AH279" i="12" s="1"/>
  <c r="AH280" i="12" a="1"/>
  <c r="AH280" i="12" s="1"/>
  <c r="AH281" i="12" a="1"/>
  <c r="AH281" i="12" s="1"/>
  <c r="AH282" i="12" a="1"/>
  <c r="AH282" i="12" s="1"/>
  <c r="AH283" i="12" a="1"/>
  <c r="AH283" i="12" s="1"/>
  <c r="AH284" i="12" a="1"/>
  <c r="AH284" i="12" s="1"/>
  <c r="AH285" i="12" a="1"/>
  <c r="AH285" i="12" s="1"/>
  <c r="AH286" i="12" a="1"/>
  <c r="AH286" i="12" s="1"/>
  <c r="AH287" i="12" a="1"/>
  <c r="AH287" i="12" s="1"/>
  <c r="AH288" i="12" a="1"/>
  <c r="AH288" i="12" s="1"/>
  <c r="AH289" i="12" a="1"/>
  <c r="AH289" i="12" s="1"/>
  <c r="AH290" i="12" a="1"/>
  <c r="AH290" i="12" s="1"/>
  <c r="AH291" i="12" a="1"/>
  <c r="AH291" i="12" s="1"/>
  <c r="AH292" i="12" a="1"/>
  <c r="AH292" i="12" s="1"/>
  <c r="AH293" i="12" a="1"/>
  <c r="AH293" i="12" s="1"/>
  <c r="AH294" i="12" a="1"/>
  <c r="AH294" i="12" s="1"/>
  <c r="AH295" i="12" a="1"/>
  <c r="AH295" i="12" s="1"/>
  <c r="AH296" i="12" a="1"/>
  <c r="AH296" i="12" s="1"/>
  <c r="AH297" i="12" a="1"/>
  <c r="AH297" i="12" s="1"/>
  <c r="AH298" i="12" a="1"/>
  <c r="AH298" i="12" s="1"/>
  <c r="AH299" i="12" a="1"/>
  <c r="AH299" i="12" s="1"/>
  <c r="AH300" i="12" a="1"/>
  <c r="AH300" i="12" s="1"/>
  <c r="AH301" i="12" a="1"/>
  <c r="AH301" i="12" s="1"/>
  <c r="AH302" i="12" a="1"/>
  <c r="AH302" i="12" s="1"/>
  <c r="AH303" i="12" a="1"/>
  <c r="AH303" i="12" s="1"/>
  <c r="AH304" i="12" a="1"/>
  <c r="AH304" i="12" s="1"/>
  <c r="AH305" i="12" a="1"/>
  <c r="AH305" i="12" s="1"/>
  <c r="AH306" i="12" a="1"/>
  <c r="AH306" i="12" s="1"/>
  <c r="AH307" i="12" a="1"/>
  <c r="AH307" i="12" s="1"/>
  <c r="AH308" i="12" a="1"/>
  <c r="AH308" i="12" s="1"/>
  <c r="AH309" i="12" a="1"/>
  <c r="AH309" i="12" s="1"/>
  <c r="AH310" i="12" a="1"/>
  <c r="AH310" i="12" s="1"/>
  <c r="AH311" i="12" a="1"/>
  <c r="AH311" i="12" s="1"/>
  <c r="AH312" i="12" a="1"/>
  <c r="AH312" i="12" s="1"/>
  <c r="AH313" i="12" a="1"/>
  <c r="AH313" i="12" s="1"/>
  <c r="AH314" i="12" a="1"/>
  <c r="AH314" i="12" s="1"/>
  <c r="AH315" i="12" a="1"/>
  <c r="AH315" i="12" s="1"/>
  <c r="AH316" i="12" a="1"/>
  <c r="AH316" i="12" s="1"/>
  <c r="AH317" i="12" a="1"/>
  <c r="AH317" i="12" s="1"/>
  <c r="AH318" i="12" a="1"/>
  <c r="AH318" i="12" s="1"/>
  <c r="AH319" i="12" a="1"/>
  <c r="AH319" i="12" s="1"/>
  <c r="AH320" i="12" a="1"/>
  <c r="AH320" i="12" s="1"/>
  <c r="AH321" i="12" a="1"/>
  <c r="AH321" i="12" s="1"/>
  <c r="AH322" i="12" a="1"/>
  <c r="AH322" i="12" s="1"/>
  <c r="AH323" i="12" a="1"/>
  <c r="AH323" i="12" s="1"/>
  <c r="AH324" i="12" a="1"/>
  <c r="AH324" i="12" s="1"/>
  <c r="AH325" i="12" a="1"/>
  <c r="AH325" i="12" s="1"/>
  <c r="AH326" i="12" a="1"/>
  <c r="AH326" i="12" s="1"/>
  <c r="AH327" i="12" a="1"/>
  <c r="AH327" i="12" s="1"/>
  <c r="AH328" i="12" a="1"/>
  <c r="AH328" i="12" s="1"/>
  <c r="AH329" i="12" a="1"/>
  <c r="AH329" i="12" s="1"/>
  <c r="AH330" i="12" a="1"/>
  <c r="AH330" i="12" s="1"/>
  <c r="AH331" i="12" a="1"/>
  <c r="AH331" i="12" s="1"/>
  <c r="AH332" i="12" a="1"/>
  <c r="AH332" i="12" s="1"/>
  <c r="AH333" i="12" a="1"/>
  <c r="AH333" i="12" s="1"/>
  <c r="AH334" i="12" a="1"/>
  <c r="AH334" i="12" s="1"/>
  <c r="AH335" i="12" a="1"/>
  <c r="AH335" i="12" s="1"/>
  <c r="AH336" i="12" a="1"/>
  <c r="AH336" i="12" s="1"/>
  <c r="AH337" i="12" a="1"/>
  <c r="AH337" i="12" s="1"/>
  <c r="AH338" i="12" a="1"/>
  <c r="AH338" i="12" s="1"/>
  <c r="AH83" i="14" a="1"/>
  <c r="AH83" i="14" s="1"/>
  <c r="AH110" i="14" a="1"/>
  <c r="AH110" i="14" s="1"/>
  <c r="AH3" i="14" a="1"/>
  <c r="AH3" i="14" s="1"/>
  <c r="AH4" i="14" a="1"/>
  <c r="AH4" i="14" s="1"/>
  <c r="AH5" i="14" a="1"/>
  <c r="AH5" i="14" s="1"/>
  <c r="AH6" i="14" a="1"/>
  <c r="AH6" i="14" s="1"/>
  <c r="AH7" i="14" a="1"/>
  <c r="AH7" i="14" s="1"/>
  <c r="AH8" i="14" a="1"/>
  <c r="AH8" i="14" s="1"/>
  <c r="AH9" i="14" a="1"/>
  <c r="AH9" i="14" s="1"/>
  <c r="AH10" i="14" a="1"/>
  <c r="AH10" i="14" s="1"/>
  <c r="AH11" i="14" a="1"/>
  <c r="AH11" i="14" s="1"/>
  <c r="AH12" i="14" a="1"/>
  <c r="AH12" i="14" s="1"/>
  <c r="AH13" i="14" a="1"/>
  <c r="AH13" i="14" s="1"/>
  <c r="AH14" i="14" a="1"/>
  <c r="AH14" i="14" s="1"/>
  <c r="AH15" i="14" a="1"/>
  <c r="AH15" i="14" s="1"/>
  <c r="AH16" i="14" a="1"/>
  <c r="AH16" i="14" s="1"/>
  <c r="AH17" i="14" a="1"/>
  <c r="AH17" i="14" s="1"/>
  <c r="AH18" i="14" a="1"/>
  <c r="AH18" i="14" s="1"/>
  <c r="AH19" i="14" a="1"/>
  <c r="AH19" i="14" s="1"/>
  <c r="AH20" i="14" a="1"/>
  <c r="AH20" i="14" s="1"/>
  <c r="AH21" i="14" a="1"/>
  <c r="AH21" i="14" s="1"/>
  <c r="AH22" i="14" a="1"/>
  <c r="AH22" i="14" s="1"/>
  <c r="AH23" i="14" a="1"/>
  <c r="AH23" i="14" s="1"/>
  <c r="AH24" i="14" a="1"/>
  <c r="AH24" i="14" s="1"/>
  <c r="AH25" i="14" a="1"/>
  <c r="AH25" i="14" s="1"/>
  <c r="AH26" i="14" a="1"/>
  <c r="AH26" i="14" s="1"/>
  <c r="AH27" i="14" a="1"/>
  <c r="AH27" i="14" s="1"/>
  <c r="AH28" i="14" a="1"/>
  <c r="AH28" i="14" s="1"/>
  <c r="AH29" i="14" a="1"/>
  <c r="AH29" i="14" s="1"/>
  <c r="AH30" i="14" a="1"/>
  <c r="AH30" i="14" s="1"/>
  <c r="AH31" i="14" a="1"/>
  <c r="AH31" i="14" s="1"/>
  <c r="AH32" i="14" a="1"/>
  <c r="AH32" i="14" s="1"/>
  <c r="AH33" i="14" a="1"/>
  <c r="AH33" i="14" s="1"/>
  <c r="AH34" i="14" a="1"/>
  <c r="AH34" i="14" s="1"/>
  <c r="AH35" i="14" a="1"/>
  <c r="AH35" i="14" s="1"/>
  <c r="AH36" i="14" a="1"/>
  <c r="AH36" i="14" s="1"/>
  <c r="AH37" i="14" a="1"/>
  <c r="AH37" i="14" s="1"/>
  <c r="AH38" i="14" a="1"/>
  <c r="AH38" i="14" s="1"/>
  <c r="AH39" i="14" a="1"/>
  <c r="AH39" i="14" s="1"/>
  <c r="AH40" i="14" a="1"/>
  <c r="AH40" i="14" s="1"/>
  <c r="AH41" i="14" a="1"/>
  <c r="AH41" i="14" s="1"/>
  <c r="AH42" i="14" a="1"/>
  <c r="AH42" i="14" s="1"/>
  <c r="AH43" i="14" a="1"/>
  <c r="AH43" i="14" s="1"/>
  <c r="AH44" i="14" a="1"/>
  <c r="AH44" i="14" s="1"/>
  <c r="AH45" i="14" a="1"/>
  <c r="AH45" i="14" s="1"/>
  <c r="AH46" i="14" a="1"/>
  <c r="AH46" i="14" s="1"/>
  <c r="AH47" i="14" a="1"/>
  <c r="AH47" i="14" s="1"/>
  <c r="AH48" i="14" a="1"/>
  <c r="AH48" i="14" s="1"/>
  <c r="AH49" i="14" a="1"/>
  <c r="AH49" i="14" s="1"/>
  <c r="AH50" i="14" a="1"/>
  <c r="AH50" i="14" s="1"/>
  <c r="AH51" i="14" a="1"/>
  <c r="AH51" i="14" s="1"/>
  <c r="AH52" i="14" a="1"/>
  <c r="AH52" i="14" s="1"/>
  <c r="AH53" i="14" a="1"/>
  <c r="AH53" i="14" s="1"/>
  <c r="AH54" i="14" a="1"/>
  <c r="AH54" i="14" s="1"/>
  <c r="AH55" i="14" a="1"/>
  <c r="AH55" i="14" s="1"/>
  <c r="AH56" i="14" a="1"/>
  <c r="AH56" i="14" s="1"/>
  <c r="AH57" i="14" a="1"/>
  <c r="AH57" i="14" s="1"/>
  <c r="AH58" i="14" a="1"/>
  <c r="AH58" i="14" s="1"/>
  <c r="AH59" i="14" a="1"/>
  <c r="AH59" i="14" s="1"/>
  <c r="AH60" i="14" a="1"/>
  <c r="AH60" i="14" s="1"/>
  <c r="AH61" i="14" a="1"/>
  <c r="AH61" i="14" s="1"/>
  <c r="AH62" i="14" a="1"/>
  <c r="AH62" i="14" s="1"/>
  <c r="AH63" i="14" a="1"/>
  <c r="AH63" i="14" s="1"/>
  <c r="AH64" i="14" a="1"/>
  <c r="AH64" i="14" s="1"/>
  <c r="AH65" i="14" a="1"/>
  <c r="AH65" i="14" s="1"/>
  <c r="AH66" i="14" a="1"/>
  <c r="AH66" i="14" s="1"/>
  <c r="AH67" i="14" a="1"/>
  <c r="AH67" i="14" s="1"/>
  <c r="AH68" i="14" a="1"/>
  <c r="AH68" i="14" s="1"/>
  <c r="AH69" i="14" a="1"/>
  <c r="AH69" i="14" s="1"/>
  <c r="AH70" i="14" a="1"/>
  <c r="AH70" i="14" s="1"/>
  <c r="AH71" i="14" a="1"/>
  <c r="AH71" i="14" s="1"/>
  <c r="AH72" i="14" a="1"/>
  <c r="AH72" i="14" s="1"/>
  <c r="AH73" i="14" a="1"/>
  <c r="AH73" i="14" s="1"/>
  <c r="AH74" i="14" a="1"/>
  <c r="AH74" i="14" s="1"/>
  <c r="AH75" i="14" a="1"/>
  <c r="AH75" i="14" s="1"/>
  <c r="AH76" i="14" a="1"/>
  <c r="AH76" i="14" s="1"/>
  <c r="AH77" i="14" a="1"/>
  <c r="AH77" i="14" s="1"/>
  <c r="AH78" i="14" a="1"/>
  <c r="AH78" i="14" s="1"/>
  <c r="AH79" i="14" a="1"/>
  <c r="AH79" i="14" s="1"/>
  <c r="AH80" i="14" a="1"/>
  <c r="AH80" i="14" s="1"/>
  <c r="AH81" i="14" a="1"/>
  <c r="AH81" i="14" s="1"/>
  <c r="AH82" i="14" a="1"/>
  <c r="AH82" i="14" s="1"/>
  <c r="AH84" i="14" a="1"/>
  <c r="AH84" i="14" s="1"/>
  <c r="AH85" i="14" a="1"/>
  <c r="AH85" i="14" s="1"/>
  <c r="AH86" i="14" a="1"/>
  <c r="AH86" i="14" s="1"/>
  <c r="AH87" i="14" a="1"/>
  <c r="AH87" i="14" s="1"/>
  <c r="AH88" i="14" a="1"/>
  <c r="AH88" i="14" s="1"/>
  <c r="AH89" i="14" a="1"/>
  <c r="AH89" i="14" s="1"/>
  <c r="AH90" i="14" a="1"/>
  <c r="AH90" i="14" s="1"/>
  <c r="AH91" i="14" a="1"/>
  <c r="AH91" i="14" s="1"/>
  <c r="AH92" i="14" a="1"/>
  <c r="AH92" i="14" s="1"/>
  <c r="AH93" i="14" a="1"/>
  <c r="AH93" i="14" s="1"/>
  <c r="AH94" i="14" a="1"/>
  <c r="AH94" i="14" s="1"/>
  <c r="AH95" i="14" a="1"/>
  <c r="AH95" i="14" s="1"/>
  <c r="AH96" i="14" a="1"/>
  <c r="AH96" i="14" s="1"/>
  <c r="AH97" i="14" a="1"/>
  <c r="AH97" i="14" s="1"/>
  <c r="AH98" i="14" a="1"/>
  <c r="AH98" i="14" s="1"/>
  <c r="AH99" i="14" a="1"/>
  <c r="AH99" i="14" s="1"/>
  <c r="AH100" i="14" a="1"/>
  <c r="AH100" i="14" s="1"/>
  <c r="AH101" i="14" a="1"/>
  <c r="AH101" i="14" s="1"/>
  <c r="AH102" i="14" a="1"/>
  <c r="AH102" i="14" s="1"/>
  <c r="AH103" i="14" a="1"/>
  <c r="AH103" i="14" s="1"/>
  <c r="AH104" i="14" a="1"/>
  <c r="AH104" i="14" s="1"/>
  <c r="AH105" i="14" a="1"/>
  <c r="AH105" i="14" s="1"/>
  <c r="AH106" i="14" a="1"/>
  <c r="AH106" i="14" s="1"/>
  <c r="AH107" i="14" a="1"/>
  <c r="AH107" i="14" s="1"/>
  <c r="AH108" i="14" a="1"/>
  <c r="AH108" i="14" s="1"/>
  <c r="AH109" i="14" a="1"/>
  <c r="AH109" i="14" s="1"/>
  <c r="AH111" i="14" a="1"/>
  <c r="AH111" i="14" s="1"/>
  <c r="AH112" i="14" a="1"/>
  <c r="AH112" i="14" s="1"/>
  <c r="AH113" i="14" a="1"/>
  <c r="AH113" i="14" s="1"/>
  <c r="AH114" i="14" a="1"/>
  <c r="AH114" i="14" s="1"/>
  <c r="AH115" i="14" a="1"/>
  <c r="AH115" i="14" s="1"/>
  <c r="AH116" i="14" a="1"/>
  <c r="AH116" i="14" s="1"/>
  <c r="AH117" i="14" a="1"/>
  <c r="AH117" i="14" s="1"/>
  <c r="AH118" i="14" a="1"/>
  <c r="AH118" i="14" s="1"/>
  <c r="AH119" i="14" a="1"/>
  <c r="AH119" i="14" s="1"/>
  <c r="AH120" i="14" a="1"/>
  <c r="AH120" i="14" s="1"/>
  <c r="AH121" i="14" a="1"/>
  <c r="AH121" i="14" s="1"/>
  <c r="AH122" i="14" a="1"/>
  <c r="AH122" i="14" s="1"/>
  <c r="AH123" i="14" a="1"/>
  <c r="AH123" i="14" s="1"/>
  <c r="AH124" i="14" a="1"/>
  <c r="AH124" i="14" s="1"/>
  <c r="AH125" i="14" a="1"/>
  <c r="AH125" i="14" s="1"/>
  <c r="AH126" i="14" a="1"/>
  <c r="AH126" i="14" s="1"/>
  <c r="AH127" i="14" a="1"/>
  <c r="AH127" i="14" s="1"/>
  <c r="AH128" i="14" a="1"/>
  <c r="AH128" i="14" s="1"/>
  <c r="AH129" i="14" a="1"/>
  <c r="AH129" i="14" s="1"/>
  <c r="AH130" i="14" a="1"/>
  <c r="AH130" i="14" s="1"/>
  <c r="AH131" i="14" a="1"/>
  <c r="AH131" i="14" s="1"/>
  <c r="AH132" i="14" a="1"/>
  <c r="AH132" i="14" s="1"/>
  <c r="AH133" i="14" a="1"/>
  <c r="AH133" i="14" s="1"/>
  <c r="AH134" i="14" a="1"/>
  <c r="AH134" i="14" s="1"/>
  <c r="AH135" i="14" a="1"/>
  <c r="AH135" i="14" s="1"/>
  <c r="AH136" i="14" a="1"/>
  <c r="AH136" i="14" s="1"/>
  <c r="AH137" i="14" a="1"/>
  <c r="AH137" i="14" s="1"/>
  <c r="AH138" i="14" a="1"/>
  <c r="AH138" i="14" s="1"/>
  <c r="AH139" i="14" a="1"/>
  <c r="AH139" i="14" s="1"/>
  <c r="AH140" i="14" a="1"/>
  <c r="AH140" i="14" s="1"/>
  <c r="AH141" i="14" a="1"/>
  <c r="AH141" i="14" s="1"/>
  <c r="AH142" i="14" a="1"/>
  <c r="AH142" i="14" s="1"/>
  <c r="AH143" i="14" a="1"/>
  <c r="AH143" i="14" s="1"/>
  <c r="AH144" i="14" a="1"/>
  <c r="AH144" i="14" s="1"/>
  <c r="AH145" i="14" a="1"/>
  <c r="AH145" i="14" s="1"/>
  <c r="AH146" i="14" a="1"/>
  <c r="AH146" i="14" s="1"/>
  <c r="AH147" i="14" a="1"/>
  <c r="AH147" i="14" s="1"/>
  <c r="AH148" i="14" a="1"/>
  <c r="AH148" i="14" s="1"/>
  <c r="AH149" i="14" a="1"/>
  <c r="AH149" i="14" s="1"/>
  <c r="AH150" i="14" a="1"/>
  <c r="AH150" i="14" s="1"/>
  <c r="AH151" i="14" a="1"/>
  <c r="AH151" i="14" s="1"/>
  <c r="AH152" i="14" a="1"/>
  <c r="AH152" i="14" s="1"/>
  <c r="AH153" i="14" a="1"/>
  <c r="AH153" i="14" s="1"/>
  <c r="AH154" i="14" a="1"/>
  <c r="AH154" i="14" s="1"/>
  <c r="AH155" i="14" a="1"/>
  <c r="AH155" i="14" s="1"/>
  <c r="AH156" i="14" a="1"/>
  <c r="AH156" i="14" s="1"/>
  <c r="AH157" i="14" a="1"/>
  <c r="AH157" i="14" s="1"/>
  <c r="AH158" i="14" a="1"/>
  <c r="AH158" i="14" s="1"/>
  <c r="AH159" i="14" a="1"/>
  <c r="AH159" i="14" s="1"/>
  <c r="AH160" i="14" a="1"/>
  <c r="AH160" i="14" s="1"/>
  <c r="AH161" i="14" a="1"/>
  <c r="AH161" i="14" s="1"/>
  <c r="AH162" i="14" a="1"/>
  <c r="AH162" i="14" s="1"/>
  <c r="AH163" i="14" a="1"/>
  <c r="AH163" i="14" s="1"/>
  <c r="AH164" i="14" a="1"/>
  <c r="AH164" i="14" s="1"/>
  <c r="AH165" i="14" a="1"/>
  <c r="AH165" i="14" s="1"/>
  <c r="AH166" i="14" a="1"/>
  <c r="AH166" i="14" s="1"/>
  <c r="AH167" i="14" a="1"/>
  <c r="AH167" i="14" s="1"/>
  <c r="AH168" i="14" a="1"/>
  <c r="AH168" i="14" s="1"/>
  <c r="AH169" i="14" a="1"/>
  <c r="AH169" i="14" s="1"/>
  <c r="AH170" i="14" a="1"/>
  <c r="AH170" i="14" s="1"/>
  <c r="AH171" i="14" a="1"/>
  <c r="AH171" i="14" s="1"/>
  <c r="AH172" i="14" a="1"/>
  <c r="AH172" i="14" s="1"/>
  <c r="AH173" i="14" a="1"/>
  <c r="AH173" i="14" s="1"/>
  <c r="AH174" i="14" a="1"/>
  <c r="AH174" i="14" s="1"/>
  <c r="AH175" i="14" a="1"/>
  <c r="AH175" i="14" s="1"/>
  <c r="AH176" i="14" a="1"/>
  <c r="AH176" i="14" s="1"/>
  <c r="AH177" i="14" a="1"/>
  <c r="AH177" i="14" s="1"/>
  <c r="AH178" i="14" a="1"/>
  <c r="AH178" i="14" s="1"/>
  <c r="AH179" i="14" a="1"/>
  <c r="AH179" i="14" s="1"/>
  <c r="AH180" i="14" a="1"/>
  <c r="AH180" i="14" s="1"/>
  <c r="AH181" i="14" a="1"/>
  <c r="AH181" i="14" s="1"/>
  <c r="AH182" i="14" a="1"/>
  <c r="AH182" i="14" s="1"/>
  <c r="AH183" i="14" a="1"/>
  <c r="AH183" i="14" s="1"/>
  <c r="AH184" i="14" a="1"/>
  <c r="AH184" i="14" s="1"/>
  <c r="AH185" i="14" a="1"/>
  <c r="AH185" i="14" s="1"/>
  <c r="AH186" i="14" a="1"/>
  <c r="AH186" i="14" s="1"/>
  <c r="AH187" i="14" a="1"/>
  <c r="AH187" i="14" s="1"/>
  <c r="AH188" i="14" a="1"/>
  <c r="AH188" i="14" s="1"/>
  <c r="AH189" i="14" a="1"/>
  <c r="AH189" i="14" s="1"/>
  <c r="AH190" i="14" a="1"/>
  <c r="AH190" i="14" s="1"/>
  <c r="AH191" i="14" a="1"/>
  <c r="AH191" i="14" s="1"/>
  <c r="AH192" i="14" a="1"/>
  <c r="AH192" i="14" s="1"/>
  <c r="AH193" i="14" a="1"/>
  <c r="AH193" i="14" s="1"/>
  <c r="AH194" i="14" a="1"/>
  <c r="AH194" i="14" s="1"/>
  <c r="AH195" i="14" a="1"/>
  <c r="AH195" i="14" s="1"/>
  <c r="AH196" i="14" a="1"/>
  <c r="AH196" i="14" s="1"/>
  <c r="AH197" i="14" a="1"/>
  <c r="AH197" i="14" s="1"/>
  <c r="AH198" i="14" a="1"/>
  <c r="AH198" i="14" s="1"/>
  <c r="AH199" i="14" a="1"/>
  <c r="AH199" i="14" s="1"/>
  <c r="AH200" i="14" a="1"/>
  <c r="AH200" i="14" s="1"/>
  <c r="AH201" i="14" a="1"/>
  <c r="AH201" i="14" s="1"/>
  <c r="AH202" i="14" a="1"/>
  <c r="AH202" i="14" s="1"/>
  <c r="AH203" i="14" a="1"/>
  <c r="AH203" i="14" s="1"/>
  <c r="AH204" i="14" a="1"/>
  <c r="AH204" i="14" s="1"/>
  <c r="AH205" i="14" a="1"/>
  <c r="AH205" i="14" s="1"/>
  <c r="AH206" i="14" a="1"/>
  <c r="AH206" i="14" s="1"/>
  <c r="AH207" i="14" a="1"/>
  <c r="AH207" i="14" s="1"/>
  <c r="AH208" i="14" a="1"/>
  <c r="AH208" i="14" s="1"/>
  <c r="AH209" i="14" a="1"/>
  <c r="AH209" i="14" s="1"/>
  <c r="AH210" i="14" a="1"/>
  <c r="AH210" i="14" s="1"/>
  <c r="AH211" i="14" a="1"/>
  <c r="AH211" i="14" s="1"/>
  <c r="AH212" i="14" a="1"/>
  <c r="AH212" i="14" s="1"/>
  <c r="AH213" i="14" a="1"/>
  <c r="AH213" i="14" s="1"/>
  <c r="AH214" i="14" a="1"/>
  <c r="AH214" i="14" s="1"/>
  <c r="AH215" i="14" a="1"/>
  <c r="AH215" i="14" s="1"/>
  <c r="AH216" i="14" a="1"/>
  <c r="AH216" i="14" s="1"/>
  <c r="AH217" i="14" a="1"/>
  <c r="AH217" i="14" s="1"/>
  <c r="AH218" i="14" a="1"/>
  <c r="AH218" i="14" s="1"/>
  <c r="AH219" i="14" a="1"/>
  <c r="AH219" i="14" s="1"/>
  <c r="AH220" i="14" a="1"/>
  <c r="AH220" i="14" s="1"/>
  <c r="AH221" i="14" a="1"/>
  <c r="AH221" i="14" s="1"/>
  <c r="AH222" i="14" a="1"/>
  <c r="AH222" i="14" s="1"/>
  <c r="AH223" i="14" a="1"/>
  <c r="AH223" i="14" s="1"/>
  <c r="AH224" i="14" a="1"/>
  <c r="AH224" i="14" s="1"/>
  <c r="AH225" i="14" a="1"/>
  <c r="AH225" i="14" s="1"/>
  <c r="AH226" i="14" a="1"/>
  <c r="AH226" i="14" s="1"/>
  <c r="AH227" i="14" a="1"/>
  <c r="AH227" i="14" s="1"/>
  <c r="AH228" i="14" a="1"/>
  <c r="AH228" i="14" s="1"/>
  <c r="AH229" i="14" a="1"/>
  <c r="AH229" i="14" s="1"/>
  <c r="AH230" i="14" a="1"/>
  <c r="AH230" i="14" s="1"/>
  <c r="AH231" i="14" a="1"/>
  <c r="AH231" i="14" s="1"/>
  <c r="AH232" i="14" a="1"/>
  <c r="AH232" i="14" s="1"/>
  <c r="AH233" i="14" a="1"/>
  <c r="AH233" i="14" s="1"/>
  <c r="AH234" i="14" a="1"/>
  <c r="AH234" i="14" s="1"/>
  <c r="AH235" i="14" a="1"/>
  <c r="AH235" i="14" s="1"/>
  <c r="AH236" i="14" a="1"/>
  <c r="AH236" i="14" s="1"/>
  <c r="AH237" i="14" a="1"/>
  <c r="AH237" i="14" s="1"/>
  <c r="AH238" i="14" a="1"/>
  <c r="AH238" i="14" s="1"/>
  <c r="AH239" i="14" a="1"/>
  <c r="AH239" i="14" s="1"/>
  <c r="AH240" i="14" a="1"/>
  <c r="AH240" i="14" s="1"/>
  <c r="AH241" i="14" a="1"/>
  <c r="AH241" i="14" s="1"/>
  <c r="AH242" i="14" a="1"/>
  <c r="AH242" i="14" s="1"/>
  <c r="AH243" i="14" a="1"/>
  <c r="AH243" i="14" s="1"/>
  <c r="AH244" i="14" a="1"/>
  <c r="AH244" i="14" s="1"/>
  <c r="AH245" i="14" a="1"/>
  <c r="AH245" i="14" s="1"/>
  <c r="AH246" i="14" a="1"/>
  <c r="AH246" i="14" s="1"/>
  <c r="AH247" i="14" a="1"/>
  <c r="AH247" i="14" s="1"/>
  <c r="AH248" i="14" a="1"/>
  <c r="AH248" i="14" s="1"/>
  <c r="AH249" i="14" a="1"/>
  <c r="AH249" i="14" s="1"/>
  <c r="AH250" i="14" a="1"/>
  <c r="AH250" i="14" s="1"/>
  <c r="AH251" i="14" a="1"/>
  <c r="AH251" i="14" s="1"/>
  <c r="AH252" i="14" a="1"/>
  <c r="AH252" i="14" s="1"/>
  <c r="AH253" i="14" a="1"/>
  <c r="AH253" i="14" s="1"/>
  <c r="AH254" i="14" a="1"/>
  <c r="AH254" i="14" s="1"/>
  <c r="AH255" i="14" a="1"/>
  <c r="AH255" i="14" s="1"/>
  <c r="AH256" i="14" a="1"/>
  <c r="AH256" i="14" s="1"/>
  <c r="AH257" i="14" a="1"/>
  <c r="AH257" i="14" s="1"/>
  <c r="AH258" i="14" a="1"/>
  <c r="AH258" i="14" s="1"/>
  <c r="AH259" i="14" a="1"/>
  <c r="AH259" i="14" s="1"/>
  <c r="AH260" i="14" a="1"/>
  <c r="AH260" i="14" s="1"/>
  <c r="AH261" i="14" a="1"/>
  <c r="AH261" i="14" s="1"/>
  <c r="AH262" i="14" a="1"/>
  <c r="AH262" i="14" s="1"/>
  <c r="AH263" i="14" a="1"/>
  <c r="AH263" i="14" s="1"/>
  <c r="AH264" i="14" a="1"/>
  <c r="AH264" i="14" s="1"/>
  <c r="AH265" i="14" a="1"/>
  <c r="AH265" i="14" s="1"/>
  <c r="AH266" i="14" a="1"/>
  <c r="AH266" i="14" s="1"/>
  <c r="AH267" i="14" a="1"/>
  <c r="AH267" i="14" s="1"/>
  <c r="AH268" i="14" a="1"/>
  <c r="AH268" i="14" s="1"/>
  <c r="AH269" i="14" a="1"/>
  <c r="AH269" i="14" s="1"/>
  <c r="AH270" i="14" a="1"/>
  <c r="AH270" i="14" s="1"/>
  <c r="AH271" i="14" a="1"/>
  <c r="AH271" i="14" s="1"/>
  <c r="AH272" i="14" a="1"/>
  <c r="AH272" i="14" s="1"/>
  <c r="AH273" i="14" a="1"/>
  <c r="AH273" i="14" s="1"/>
  <c r="AH274" i="14" a="1"/>
  <c r="AH274" i="14" s="1"/>
  <c r="AH275" i="14" a="1"/>
  <c r="AH275" i="14" s="1"/>
  <c r="AH276" i="14" a="1"/>
  <c r="AH276" i="14" s="1"/>
  <c r="AH277" i="14" a="1"/>
  <c r="AH277" i="14" s="1"/>
  <c r="AH278" i="14" a="1"/>
  <c r="AH278" i="14" s="1"/>
  <c r="AH279" i="14" a="1"/>
  <c r="AH279" i="14" s="1"/>
  <c r="AH280" i="14" a="1"/>
  <c r="AH280" i="14" s="1"/>
  <c r="AH281" i="14" a="1"/>
  <c r="AH281" i="14" s="1"/>
  <c r="AH282" i="14" a="1"/>
  <c r="AH282" i="14" s="1"/>
  <c r="AH283" i="14" a="1"/>
  <c r="AH283" i="14" s="1"/>
  <c r="AH284" i="14" a="1"/>
  <c r="AH284" i="14" s="1"/>
  <c r="AH285" i="14" a="1"/>
  <c r="AH285" i="14" s="1"/>
  <c r="AH286" i="14" a="1"/>
  <c r="AH286" i="14" s="1"/>
  <c r="AH287" i="14" a="1"/>
  <c r="AH287" i="14" s="1"/>
  <c r="AH288" i="14" a="1"/>
  <c r="AH288" i="14" s="1"/>
  <c r="AH289" i="14" a="1"/>
  <c r="AH289" i="14" s="1"/>
  <c r="AH290" i="14" a="1"/>
  <c r="AH290" i="14" s="1"/>
  <c r="AH291" i="14" a="1"/>
  <c r="AH291" i="14" s="1"/>
  <c r="AH292" i="14" a="1"/>
  <c r="AH292" i="14" s="1"/>
  <c r="AH293" i="14" a="1"/>
  <c r="AH293" i="14" s="1"/>
  <c r="AH294" i="14" a="1"/>
  <c r="AH294" i="14" s="1"/>
  <c r="AH295" i="14" a="1"/>
  <c r="AH295" i="14" s="1"/>
  <c r="AH296" i="14" a="1"/>
  <c r="AH296" i="14" s="1"/>
  <c r="AH297" i="14" a="1"/>
  <c r="AH297" i="14" s="1"/>
  <c r="AH298" i="14" a="1"/>
  <c r="AH298" i="14" s="1"/>
  <c r="AH299" i="14" a="1"/>
  <c r="AH299" i="14" s="1"/>
  <c r="AH300" i="14" a="1"/>
  <c r="AH300" i="14" s="1"/>
  <c r="AH301" i="14" a="1"/>
  <c r="AH301" i="14" s="1"/>
  <c r="AH302" i="14" a="1"/>
  <c r="AH302" i="14" s="1"/>
  <c r="AH303" i="14" a="1"/>
  <c r="AH303" i="14" s="1"/>
  <c r="AH304" i="14" a="1"/>
  <c r="AH304" i="14" s="1"/>
  <c r="AH305" i="14" a="1"/>
  <c r="AH305" i="14" s="1"/>
  <c r="AH306" i="14" a="1"/>
  <c r="AH306" i="14" s="1"/>
  <c r="AH307" i="14" a="1"/>
  <c r="AH307" i="14" s="1"/>
  <c r="AH308" i="14" a="1"/>
  <c r="AH308" i="14" s="1"/>
  <c r="AH309" i="14" a="1"/>
  <c r="AH309" i="14" s="1"/>
  <c r="AH310" i="14" a="1"/>
  <c r="AH310" i="14" s="1"/>
  <c r="AH311" i="14" a="1"/>
  <c r="AH311" i="14" s="1"/>
  <c r="AH312" i="14" a="1"/>
  <c r="AH312" i="14" s="1"/>
  <c r="AH313" i="14" a="1"/>
  <c r="AH313" i="14" s="1"/>
  <c r="AH314" i="14" a="1"/>
  <c r="AH314" i="14" s="1"/>
  <c r="AH315" i="14" a="1"/>
  <c r="AH315" i="14" s="1"/>
  <c r="AH316" i="14" a="1"/>
  <c r="AH316" i="14" s="1"/>
  <c r="AH317" i="14" a="1"/>
  <c r="AH317" i="14" s="1"/>
  <c r="AH318" i="14" a="1"/>
  <c r="AH318" i="14" s="1"/>
  <c r="AH319" i="14" a="1"/>
  <c r="AH319" i="14" s="1"/>
  <c r="AH320" i="14" a="1"/>
  <c r="AH320" i="14" s="1"/>
  <c r="AH321" i="14" a="1"/>
  <c r="AH321" i="14" s="1"/>
  <c r="AH322" i="14" a="1"/>
  <c r="AH322" i="14" s="1"/>
  <c r="AH323" i="14" a="1"/>
  <c r="AH323" i="14" s="1"/>
  <c r="AH324" i="14" a="1"/>
  <c r="AH324" i="14" s="1"/>
  <c r="AH325" i="14" a="1"/>
  <c r="AH325" i="14" s="1"/>
  <c r="AH326" i="14" a="1"/>
  <c r="AH326" i="14" s="1"/>
  <c r="AH327" i="14" a="1"/>
  <c r="AH327" i="14" s="1"/>
  <c r="AH328" i="14" a="1"/>
  <c r="AH328" i="14" s="1"/>
  <c r="AH329" i="14" a="1"/>
  <c r="AH329" i="14" s="1"/>
  <c r="AH330" i="14" a="1"/>
  <c r="AH330" i="14" s="1"/>
  <c r="AH331" i="14" a="1"/>
  <c r="AH331" i="14" s="1"/>
  <c r="AH332" i="14" a="1"/>
  <c r="AH332" i="14" s="1"/>
  <c r="AH333" i="14" a="1"/>
  <c r="AH333" i="14" s="1"/>
  <c r="AH334" i="14" a="1"/>
  <c r="AH334" i="14" s="1"/>
  <c r="AH335" i="14" a="1"/>
  <c r="AH335" i="14" s="1"/>
  <c r="AH336" i="14" a="1"/>
  <c r="AH336" i="14" s="1"/>
  <c r="AH337" i="14" a="1"/>
  <c r="AH337" i="14" s="1"/>
  <c r="AH338" i="14" a="1"/>
  <c r="AH338" i="14" s="1"/>
  <c r="AH339" i="14" a="1"/>
  <c r="AH339" i="14" s="1"/>
  <c r="AH340" i="14" a="1"/>
  <c r="AH340" i="14" s="1"/>
  <c r="AH341" i="14" a="1"/>
  <c r="AH341" i="14" s="1"/>
  <c r="AH342" i="14" a="1"/>
  <c r="AH342" i="14" s="1"/>
  <c r="AH343" i="14" a="1"/>
  <c r="AH343" i="14" s="1"/>
  <c r="AH344" i="14" a="1"/>
  <c r="AH344" i="14" s="1"/>
  <c r="AH345" i="14" a="1"/>
  <c r="AH345" i="14" s="1"/>
  <c r="AH346" i="14" a="1"/>
  <c r="AH346" i="14" s="1"/>
  <c r="AH347" i="14" a="1"/>
  <c r="AH347" i="14" s="1"/>
  <c r="AH348" i="14" a="1"/>
  <c r="AH348" i="14" s="1"/>
  <c r="AH349" i="14" a="1"/>
  <c r="AH349" i="14" s="1"/>
  <c r="AH350" i="14" a="1"/>
  <c r="AH350" i="14" s="1"/>
  <c r="AH351" i="14" a="1"/>
  <c r="AH351" i="14" s="1"/>
  <c r="AH352" i="14" a="1"/>
  <c r="AH352" i="14" s="1"/>
  <c r="AH353" i="14" a="1"/>
  <c r="AH353" i="14" s="1"/>
  <c r="AH354" i="14" a="1"/>
  <c r="AH354" i="14" s="1"/>
  <c r="AH355" i="14" a="1"/>
  <c r="AH355" i="14" s="1"/>
  <c r="AH356" i="14" a="1"/>
  <c r="AH356" i="14" s="1"/>
  <c r="AH357" i="14" a="1"/>
  <c r="AH357" i="14" s="1"/>
  <c r="AH358" i="14" a="1"/>
  <c r="AH358" i="14" s="1"/>
  <c r="AH359" i="14" a="1"/>
  <c r="AH359" i="14" s="1"/>
  <c r="AH360" i="14" a="1"/>
  <c r="AH360" i="14" s="1"/>
  <c r="AH361" i="14" a="1"/>
  <c r="AH361" i="14" s="1"/>
  <c r="AH362" i="14" a="1"/>
  <c r="AH362" i="14" s="1"/>
  <c r="AH363" i="14" a="1"/>
  <c r="AH363" i="14" s="1"/>
  <c r="AH364" i="14" a="1"/>
  <c r="AH364" i="14" s="1"/>
  <c r="AH365" i="14" a="1"/>
  <c r="AH365" i="14" s="1"/>
  <c r="AH366" i="14" a="1"/>
  <c r="AH366" i="14" s="1"/>
  <c r="AH367" i="14" a="1"/>
  <c r="AH367" i="14" s="1"/>
  <c r="AH368" i="14" a="1"/>
  <c r="AH368" i="14" s="1"/>
  <c r="AH369" i="14" a="1"/>
  <c r="AH369" i="14" s="1"/>
  <c r="AH370" i="14" a="1"/>
  <c r="AH370" i="14" s="1"/>
  <c r="AH371" i="14" a="1"/>
  <c r="AH371" i="14" s="1"/>
  <c r="AH372" i="14" a="1"/>
  <c r="AH372" i="14" s="1"/>
  <c r="AH373" i="14" a="1"/>
  <c r="AH373" i="14" s="1"/>
  <c r="AH374" i="14" a="1"/>
  <c r="AH374" i="14" s="1"/>
  <c r="AH375" i="14" a="1"/>
  <c r="AH375" i="14" s="1"/>
  <c r="AH376" i="14" a="1"/>
  <c r="AH376" i="14" s="1"/>
  <c r="AH377" i="14" a="1"/>
  <c r="AH377" i="14" s="1"/>
  <c r="AH378" i="14" a="1"/>
  <c r="AH378" i="14" s="1"/>
  <c r="AH379" i="14" a="1"/>
  <c r="AH379" i="14" s="1"/>
  <c r="AH380" i="14" a="1"/>
  <c r="AH380" i="14" s="1"/>
  <c r="AH381" i="14" a="1"/>
  <c r="AH381" i="14" s="1"/>
  <c r="AH382" i="14" a="1"/>
  <c r="AH382" i="14" s="1"/>
  <c r="AH383" i="14" a="1"/>
  <c r="AH383" i="14" s="1"/>
  <c r="AH384" i="14" a="1"/>
  <c r="AH384" i="14" s="1"/>
  <c r="AH385" i="14" a="1"/>
  <c r="AH385" i="14" s="1"/>
  <c r="AH386" i="14" a="1"/>
  <c r="AH386" i="14" s="1"/>
  <c r="AH387" i="14" a="1"/>
  <c r="AH387" i="14" s="1"/>
  <c r="AH388" i="14" a="1"/>
  <c r="AH388" i="14" s="1"/>
  <c r="AH389" i="14" a="1"/>
  <c r="AH389" i="14" s="1"/>
  <c r="AH390" i="14" a="1"/>
  <c r="AH390" i="14" s="1"/>
  <c r="AH391" i="14" a="1"/>
  <c r="AH391" i="14" s="1"/>
  <c r="AH392" i="14" a="1"/>
  <c r="AH392" i="14" s="1"/>
  <c r="AH393" i="14" a="1"/>
  <c r="AH393" i="14" s="1"/>
  <c r="AH394" i="14" a="1"/>
  <c r="AH394" i="14" s="1"/>
  <c r="AH395" i="14" a="1"/>
  <c r="AH395" i="14" s="1"/>
  <c r="AH396" i="14" a="1"/>
  <c r="AH396" i="14" s="1"/>
  <c r="AH397" i="14" a="1"/>
  <c r="AH397" i="14" s="1"/>
  <c r="AH398" i="14" a="1"/>
  <c r="AH398" i="14" s="1"/>
  <c r="AH399" i="14" a="1"/>
  <c r="AH399" i="14" s="1"/>
  <c r="AH400" i="14" a="1"/>
  <c r="AH400" i="14" s="1"/>
  <c r="AH401" i="14" a="1"/>
  <c r="AH401" i="14" s="1"/>
  <c r="AH402" i="14" a="1"/>
  <c r="AH402" i="14" s="1"/>
  <c r="AH403" i="14" a="1"/>
  <c r="AH403" i="14" s="1"/>
  <c r="AH404" i="14" a="1"/>
  <c r="AH404" i="14" s="1"/>
  <c r="AH405" i="14" a="1"/>
  <c r="AH405" i="14" s="1"/>
  <c r="AH406" i="14" a="1"/>
  <c r="AH406" i="14" s="1"/>
  <c r="AH407" i="14" a="1"/>
  <c r="AH407" i="14" s="1"/>
  <c r="AH408" i="14" a="1"/>
  <c r="AH408" i="14" s="1"/>
  <c r="AH409" i="14" a="1"/>
  <c r="AH409" i="14" s="1"/>
  <c r="AH410" i="14" a="1"/>
  <c r="AH410" i="14" s="1"/>
  <c r="AH411" i="14" a="1"/>
  <c r="AH411" i="14" s="1"/>
  <c r="AH412" i="14" a="1"/>
  <c r="AH412" i="14" s="1"/>
  <c r="AH413" i="14" a="1"/>
  <c r="AH413" i="14" s="1"/>
  <c r="AH414" i="14" a="1"/>
  <c r="AH414" i="14" s="1"/>
  <c r="AH415" i="14" a="1"/>
  <c r="AH415" i="14" s="1"/>
  <c r="AH416" i="14" a="1"/>
  <c r="AH416" i="14" s="1"/>
  <c r="AH417" i="14" a="1"/>
  <c r="AH417" i="14" s="1"/>
  <c r="AH418" i="14" a="1"/>
  <c r="AH418" i="14" s="1"/>
  <c r="AH419" i="14" a="1"/>
  <c r="AH419" i="14" s="1"/>
  <c r="AH420" i="14" a="1"/>
  <c r="AH420" i="14" s="1"/>
  <c r="AH421" i="14" a="1"/>
  <c r="AH421" i="14" s="1"/>
  <c r="AH422" i="14" a="1"/>
  <c r="AH422" i="14" s="1"/>
  <c r="AH423" i="14" a="1"/>
  <c r="AH423" i="14" s="1"/>
  <c r="AH424" i="14" a="1"/>
  <c r="AH424" i="14" s="1"/>
  <c r="AH425" i="14" a="1"/>
  <c r="AH425" i="14" s="1"/>
  <c r="AH426" i="14" a="1"/>
  <c r="AH426" i="14" s="1"/>
  <c r="AH427" i="14" a="1"/>
  <c r="AH427" i="14" s="1"/>
  <c r="AH428" i="14" a="1"/>
  <c r="AH428" i="14" s="1"/>
  <c r="AH429" i="14" a="1"/>
  <c r="AH429" i="14" s="1"/>
  <c r="AH430" i="14" a="1"/>
  <c r="AH430" i="14" s="1"/>
  <c r="AH431" i="14" a="1"/>
  <c r="AH431" i="14" s="1"/>
  <c r="AH432" i="14" a="1"/>
  <c r="AH432" i="14" s="1"/>
  <c r="AH433" i="14" a="1"/>
  <c r="AH433" i="14" s="1"/>
  <c r="AH434" i="14" a="1"/>
  <c r="AH434" i="14" s="1"/>
  <c r="AH435" i="14" a="1"/>
  <c r="AH435" i="14" s="1"/>
  <c r="AH436" i="14" a="1"/>
  <c r="AH436" i="14" s="1"/>
  <c r="AH437" i="14" a="1"/>
  <c r="AH437" i="14" s="1"/>
  <c r="AH438" i="14" a="1"/>
  <c r="AH438" i="14" s="1"/>
  <c r="AH439" i="14" a="1"/>
  <c r="AH439" i="14" s="1"/>
  <c r="AH440" i="14" a="1"/>
  <c r="AH440" i="14" s="1"/>
  <c r="AH441" i="14" a="1"/>
  <c r="AH441" i="14" s="1"/>
  <c r="AH442" i="14" a="1"/>
  <c r="AH442" i="14" s="1"/>
  <c r="AH443" i="14" a="1"/>
  <c r="AH443" i="14" s="1"/>
  <c r="AH444" i="14" a="1"/>
  <c r="AH444" i="14" s="1"/>
  <c r="AH445" i="14" a="1"/>
  <c r="AH445" i="14" s="1"/>
  <c r="AH446" i="14" a="1"/>
  <c r="AH446" i="14" s="1"/>
  <c r="AH447" i="14" a="1"/>
  <c r="AH447" i="14" s="1"/>
  <c r="AH448" i="14" a="1"/>
  <c r="AH448" i="14" s="1"/>
  <c r="AH449" i="14" a="1"/>
  <c r="AH449" i="14" s="1"/>
  <c r="AH450" i="14" a="1"/>
  <c r="AH450" i="14" s="1"/>
  <c r="AH451" i="14" a="1"/>
  <c r="AH451" i="14" s="1"/>
  <c r="AH452" i="14" a="1"/>
  <c r="AH452" i="14" s="1"/>
  <c r="AH453" i="14" a="1"/>
  <c r="AH453" i="14" s="1"/>
  <c r="AH454" i="14" a="1"/>
  <c r="AH454" i="14" s="1"/>
  <c r="AH455" i="14" a="1"/>
  <c r="AH455" i="14" s="1"/>
  <c r="AH456" i="14" a="1"/>
  <c r="AH456" i="14" s="1"/>
  <c r="AH457" i="14" a="1"/>
  <c r="AH457" i="14" s="1"/>
  <c r="AH458" i="14" a="1"/>
  <c r="AH458" i="14" s="1"/>
  <c r="AH459" i="14" a="1"/>
  <c r="AH459" i="14" s="1"/>
  <c r="AH460" i="14" a="1"/>
  <c r="AH460" i="14" s="1"/>
  <c r="AH461" i="14" a="1"/>
  <c r="AH461" i="14" s="1"/>
  <c r="AH462" i="14" a="1"/>
  <c r="AH462" i="14" s="1"/>
  <c r="AH463" i="14" a="1"/>
  <c r="AH463" i="14" s="1"/>
  <c r="AH464" i="14" a="1"/>
  <c r="AH464" i="14" s="1"/>
  <c r="AH465" i="14" a="1"/>
  <c r="AH465" i="14" s="1"/>
  <c r="AA465" i="12" l="1"/>
  <c r="AA464" i="12"/>
  <c r="AA463" i="12"/>
  <c r="AA462" i="12"/>
  <c r="AA461" i="12"/>
  <c r="AA460" i="12"/>
  <c r="AA459" i="12"/>
  <c r="AA458" i="12"/>
  <c r="AA457" i="12"/>
  <c r="AA456" i="12"/>
  <c r="AA455" i="12"/>
  <c r="AA454" i="12"/>
  <c r="AA453" i="12"/>
  <c r="AA452" i="12"/>
  <c r="AA451" i="12"/>
  <c r="AA450" i="12"/>
  <c r="AA449" i="12"/>
  <c r="AA448" i="12"/>
  <c r="AA447" i="12"/>
  <c r="AA446" i="12"/>
  <c r="AA445" i="12"/>
  <c r="AA444" i="12"/>
  <c r="AA443" i="12"/>
  <c r="AA442" i="12"/>
  <c r="AA441" i="12"/>
  <c r="AA440" i="12"/>
  <c r="AA439" i="12"/>
  <c r="AA438" i="12"/>
  <c r="AA437" i="12"/>
  <c r="AA436" i="12"/>
  <c r="AA435" i="12"/>
  <c r="AA434" i="12"/>
  <c r="AA433" i="12"/>
  <c r="AA432" i="12"/>
  <c r="AA431" i="12"/>
  <c r="AA430" i="12"/>
  <c r="AA429" i="12"/>
  <c r="AA428" i="12"/>
  <c r="AA427" i="12"/>
  <c r="AA426" i="12"/>
  <c r="AA425" i="12"/>
  <c r="AA424" i="12"/>
  <c r="AA423" i="12"/>
  <c r="AA422" i="12"/>
  <c r="AA421" i="12"/>
  <c r="AA420" i="12"/>
  <c r="AA419" i="12"/>
  <c r="AA418" i="12"/>
  <c r="AA417" i="12"/>
  <c r="AA416" i="12"/>
  <c r="AA415" i="12"/>
  <c r="AA414" i="12"/>
  <c r="AA413" i="12"/>
  <c r="AA412" i="12"/>
  <c r="AA411" i="12"/>
  <c r="AA410" i="12"/>
  <c r="AA409" i="12"/>
  <c r="AA408" i="12"/>
  <c r="AA407" i="12"/>
  <c r="AA406" i="12"/>
  <c r="AA405" i="12"/>
  <c r="AA404" i="12"/>
  <c r="AA403" i="12"/>
  <c r="AA402" i="12"/>
  <c r="AA401" i="12"/>
  <c r="AA400" i="12"/>
  <c r="AA399" i="12"/>
  <c r="AA398" i="12"/>
  <c r="AA397" i="12"/>
  <c r="AA396" i="12"/>
  <c r="AA395" i="12"/>
  <c r="AA394" i="12"/>
  <c r="AA393" i="12"/>
  <c r="AA392" i="12"/>
  <c r="AA391" i="12"/>
  <c r="AA390" i="12"/>
  <c r="AA389" i="12"/>
  <c r="AA388" i="12"/>
  <c r="AA387" i="12"/>
  <c r="AA386" i="12"/>
  <c r="AA385" i="12"/>
  <c r="AA384" i="12"/>
  <c r="AA383" i="12"/>
  <c r="AA382" i="12"/>
  <c r="AA381" i="12"/>
  <c r="AA380" i="12"/>
  <c r="AA379" i="12"/>
  <c r="AA378" i="12"/>
  <c r="AA377" i="12"/>
  <c r="AA376" i="12"/>
  <c r="AA375" i="12"/>
  <c r="AA374" i="12"/>
  <c r="AA373" i="12"/>
  <c r="AA372" i="12"/>
  <c r="AA371" i="12"/>
  <c r="AA370" i="12"/>
  <c r="AA369" i="12"/>
  <c r="AA368" i="12"/>
  <c r="AA367" i="12"/>
  <c r="AA366" i="12"/>
  <c r="AA365" i="12"/>
  <c r="AA364" i="12"/>
  <c r="AA363" i="12"/>
  <c r="AA362" i="12"/>
  <c r="AA361" i="12"/>
  <c r="AA360" i="12"/>
  <c r="AA359" i="12"/>
  <c r="AA358" i="12"/>
  <c r="AA357" i="12"/>
  <c r="AA356" i="12"/>
  <c r="AA355" i="12"/>
  <c r="AA354" i="12"/>
  <c r="AA353" i="12"/>
  <c r="AA352" i="12"/>
  <c r="AA351" i="12"/>
  <c r="AA350" i="12"/>
  <c r="AA349" i="12"/>
  <c r="AA348" i="12"/>
  <c r="AA347" i="12"/>
  <c r="AA346" i="12"/>
  <c r="AA345" i="12"/>
  <c r="AA344" i="12"/>
  <c r="AA343" i="12"/>
  <c r="AA342" i="12"/>
  <c r="AA341" i="12"/>
  <c r="AA340" i="12"/>
  <c r="AA339" i="12"/>
  <c r="AF465" i="12"/>
  <c r="AF464" i="12"/>
  <c r="AF463" i="12"/>
  <c r="AF462" i="12"/>
  <c r="AF461" i="12"/>
  <c r="AF460" i="12"/>
  <c r="AF459" i="12"/>
  <c r="AF458" i="12"/>
  <c r="AF457" i="12"/>
  <c r="AF456" i="12"/>
  <c r="AF455" i="12"/>
  <c r="AF454" i="12"/>
  <c r="AF453" i="12"/>
  <c r="AF452" i="12"/>
  <c r="AF451" i="12"/>
  <c r="AF450" i="12"/>
  <c r="AF449" i="12"/>
  <c r="AF448" i="12"/>
  <c r="AF447" i="12"/>
  <c r="AF446" i="12"/>
  <c r="AF445" i="12"/>
  <c r="AF444" i="12"/>
  <c r="AF443" i="12"/>
  <c r="AF442" i="12"/>
  <c r="AF441" i="12"/>
  <c r="AF440" i="12"/>
  <c r="AF439" i="12"/>
  <c r="AF438" i="12"/>
  <c r="AF437" i="12"/>
  <c r="AF436" i="12"/>
  <c r="AF435" i="12"/>
  <c r="AF434" i="12"/>
  <c r="AF433" i="12"/>
  <c r="AF432" i="12"/>
  <c r="AF431" i="12"/>
  <c r="AF430" i="12"/>
  <c r="AF429" i="12"/>
  <c r="AF428" i="12"/>
  <c r="AF427" i="12"/>
  <c r="AF426" i="12"/>
  <c r="AF425" i="12"/>
  <c r="AF424" i="12"/>
  <c r="AF423" i="12"/>
  <c r="AF422" i="12"/>
  <c r="AF421" i="12"/>
  <c r="AF420" i="12"/>
  <c r="AF419" i="12"/>
  <c r="AF418" i="12"/>
  <c r="AF417" i="12"/>
  <c r="AF416" i="12"/>
  <c r="AF415" i="12"/>
  <c r="AF414" i="12"/>
  <c r="AF413" i="12"/>
  <c r="AF412" i="12"/>
  <c r="AF411" i="12"/>
  <c r="AF410" i="12"/>
  <c r="AF409" i="12"/>
  <c r="AF408" i="12"/>
  <c r="AF407" i="12"/>
  <c r="AF406" i="12"/>
  <c r="AF405" i="12"/>
  <c r="AF404" i="12"/>
  <c r="AF403" i="12"/>
  <c r="AF402" i="12"/>
  <c r="AF401" i="12"/>
  <c r="AF400" i="12"/>
  <c r="AF399" i="12"/>
  <c r="AF398" i="12"/>
  <c r="AF397" i="12"/>
  <c r="AF396" i="12"/>
  <c r="AF395" i="12"/>
  <c r="AF394" i="12"/>
  <c r="AF393" i="12"/>
  <c r="AF392" i="12"/>
  <c r="AF391" i="12"/>
  <c r="AF390" i="12"/>
  <c r="AF389" i="12"/>
  <c r="AF388" i="12"/>
  <c r="AF387" i="12"/>
  <c r="AF386" i="12"/>
  <c r="AF385" i="12"/>
  <c r="AF384" i="12"/>
  <c r="AF383" i="12"/>
  <c r="AF382" i="12"/>
  <c r="AF381" i="12"/>
  <c r="AF380" i="12"/>
  <c r="AF379" i="12"/>
  <c r="AF378" i="12"/>
  <c r="AF377" i="12"/>
  <c r="AF376" i="12"/>
  <c r="AF375" i="12"/>
  <c r="AF374" i="12"/>
  <c r="AF373" i="12"/>
  <c r="AF372" i="12"/>
  <c r="AF371" i="12"/>
  <c r="AF370" i="12"/>
  <c r="AF369" i="12"/>
  <c r="AF368" i="12"/>
  <c r="AF367" i="12"/>
  <c r="AF366" i="12"/>
  <c r="AF365" i="12"/>
  <c r="AF364" i="12"/>
  <c r="AF363" i="12"/>
  <c r="AF362" i="12"/>
  <c r="AF361" i="12"/>
  <c r="AF360" i="12"/>
  <c r="AF359" i="12"/>
  <c r="AF358" i="12"/>
  <c r="AF357" i="12"/>
  <c r="AF356" i="12"/>
  <c r="AF355" i="12"/>
  <c r="AF354" i="12"/>
  <c r="AF353" i="12"/>
  <c r="AF352" i="12"/>
  <c r="AF351" i="12"/>
  <c r="AF350" i="12"/>
  <c r="AF349" i="12"/>
  <c r="AF348" i="12"/>
  <c r="AF347" i="12"/>
  <c r="AF346" i="12"/>
  <c r="AF345" i="12"/>
  <c r="AF344" i="12"/>
  <c r="AF343" i="12"/>
  <c r="AF342" i="12"/>
  <c r="AF341" i="12"/>
  <c r="AF340" i="12"/>
  <c r="AF339" i="12"/>
  <c r="AF338" i="12"/>
  <c r="AF337" i="12"/>
  <c r="AF336" i="12"/>
  <c r="AF335" i="12"/>
  <c r="AF334" i="12"/>
  <c r="AF333" i="12"/>
  <c r="AF332" i="12"/>
  <c r="AF331" i="12"/>
  <c r="AF330" i="12"/>
  <c r="AF329" i="12"/>
  <c r="AF328" i="12"/>
  <c r="AF327" i="12"/>
  <c r="AF326" i="12"/>
  <c r="AF325" i="12"/>
  <c r="AF324" i="12"/>
  <c r="AF323" i="12"/>
  <c r="AF322" i="12"/>
  <c r="AF321" i="12"/>
  <c r="AF320" i="12"/>
  <c r="AF319" i="12"/>
  <c r="AF318" i="12"/>
  <c r="AF317" i="12"/>
  <c r="AF316" i="12"/>
  <c r="AF315" i="12"/>
  <c r="AF314" i="12"/>
  <c r="AF313" i="12"/>
  <c r="AF312" i="12"/>
  <c r="AF311" i="12"/>
  <c r="AF310" i="12"/>
  <c r="AF309" i="12"/>
  <c r="AF308" i="12"/>
  <c r="AF307" i="12"/>
  <c r="AF306" i="12"/>
  <c r="AF305" i="12"/>
  <c r="AF304" i="12"/>
  <c r="AF303" i="12"/>
  <c r="AF302" i="12"/>
  <c r="AF301" i="12"/>
  <c r="AF300" i="12"/>
  <c r="AF299" i="12"/>
  <c r="AF298" i="12"/>
  <c r="AF297" i="12"/>
  <c r="AF296" i="12"/>
  <c r="AF295" i="12"/>
  <c r="AF294" i="12"/>
  <c r="AF293" i="12"/>
  <c r="AF292" i="12"/>
  <c r="AF291" i="12"/>
  <c r="AF290" i="12"/>
  <c r="AF289" i="12"/>
  <c r="AF288" i="12"/>
  <c r="AF287" i="12"/>
  <c r="AF286" i="12"/>
  <c r="AF285" i="12"/>
  <c r="AF284" i="12"/>
  <c r="AF283" i="12"/>
  <c r="AF282" i="12"/>
  <c r="AF281" i="12"/>
  <c r="AF280" i="12"/>
  <c r="AF279" i="12"/>
  <c r="AF278" i="12"/>
  <c r="AF277" i="12"/>
  <c r="AF276" i="12"/>
  <c r="AF275" i="12"/>
  <c r="AF274" i="12"/>
  <c r="AF273" i="12"/>
  <c r="AF272" i="12"/>
  <c r="AF271" i="12"/>
  <c r="AF270" i="12"/>
  <c r="AF269" i="12"/>
  <c r="AF268" i="12"/>
  <c r="AF267" i="12"/>
  <c r="AF266" i="12"/>
  <c r="AF265" i="12"/>
  <c r="AF264" i="12"/>
  <c r="AF263" i="12"/>
  <c r="AF262" i="12"/>
  <c r="AF261" i="12"/>
  <c r="AF260" i="12"/>
  <c r="AF259" i="12"/>
  <c r="AF258" i="12"/>
  <c r="AF257" i="12"/>
  <c r="AF256" i="12"/>
  <c r="AF255" i="12"/>
  <c r="AF254" i="12"/>
  <c r="AF253" i="12"/>
  <c r="AF252" i="12"/>
  <c r="AF251" i="12"/>
  <c r="AF250" i="12"/>
  <c r="AF249" i="12"/>
  <c r="AF248" i="12"/>
  <c r="AF247" i="12"/>
  <c r="AF246" i="12"/>
  <c r="AF245" i="12"/>
  <c r="AF244" i="12"/>
  <c r="AF243" i="12"/>
  <c r="AF242" i="12"/>
  <c r="AF241" i="12"/>
  <c r="AF240" i="12"/>
  <c r="AF239" i="12"/>
  <c r="AF238" i="12"/>
  <c r="AF237" i="12"/>
  <c r="AF236" i="12"/>
  <c r="AF235" i="12"/>
  <c r="AF234" i="12"/>
  <c r="AF233" i="12"/>
  <c r="AF232" i="12"/>
  <c r="AF231" i="12"/>
  <c r="AF230" i="12"/>
  <c r="AF229" i="12"/>
  <c r="AF228" i="12"/>
  <c r="AF227" i="12"/>
  <c r="AF226" i="12"/>
  <c r="AF225" i="12"/>
  <c r="AF224" i="12"/>
  <c r="AF223" i="12"/>
  <c r="AF222" i="12"/>
  <c r="AF221" i="12"/>
  <c r="AF220" i="12"/>
  <c r="AF219" i="12"/>
  <c r="AF218" i="12"/>
  <c r="AF217" i="12"/>
  <c r="AF216" i="12"/>
  <c r="AF215" i="12"/>
  <c r="AF214" i="12"/>
  <c r="AF213" i="12"/>
  <c r="AF212" i="12"/>
  <c r="AF211" i="12"/>
  <c r="AF210" i="12"/>
  <c r="AF209" i="12"/>
  <c r="AF208" i="12"/>
  <c r="AF207" i="12"/>
  <c r="AF206" i="12"/>
  <c r="AF205" i="12"/>
  <c r="AF204" i="12"/>
  <c r="AF203" i="12"/>
  <c r="AF202" i="12"/>
  <c r="AF201" i="12"/>
  <c r="AF200" i="12"/>
  <c r="AF199" i="12"/>
  <c r="AF198" i="12"/>
  <c r="AF197" i="12"/>
  <c r="AF196" i="12"/>
  <c r="AF195" i="12"/>
  <c r="AF194" i="12"/>
  <c r="AF193" i="12"/>
  <c r="AF192" i="12"/>
  <c r="AF191" i="12"/>
  <c r="AF190" i="12"/>
  <c r="AF189" i="12"/>
  <c r="AF188" i="12"/>
  <c r="AF187" i="12"/>
  <c r="AF186" i="12"/>
  <c r="AF185" i="12"/>
  <c r="AF184" i="12"/>
  <c r="AF183" i="12"/>
  <c r="AF182" i="12"/>
  <c r="AF181" i="12"/>
  <c r="AF180" i="12"/>
  <c r="AF179" i="12"/>
  <c r="AF178" i="12"/>
  <c r="AF177" i="12"/>
  <c r="AF176" i="12"/>
  <c r="AF175" i="12"/>
  <c r="AF174" i="12"/>
  <c r="AF173" i="12"/>
  <c r="AF172" i="12"/>
  <c r="AF171" i="12"/>
  <c r="AF170" i="12"/>
  <c r="AF169" i="12"/>
  <c r="AF168" i="12"/>
  <c r="AF167" i="12"/>
  <c r="AF166" i="12"/>
  <c r="AF165" i="12"/>
  <c r="AF164" i="12"/>
  <c r="AF163" i="12"/>
  <c r="AF162" i="12"/>
  <c r="AF161" i="12"/>
  <c r="AF160" i="12"/>
  <c r="AF159" i="12"/>
  <c r="AF158" i="12"/>
  <c r="AF157" i="12"/>
  <c r="AF156" i="12"/>
  <c r="AF155" i="12"/>
  <c r="AF154" i="12"/>
  <c r="AF153" i="12"/>
  <c r="AF152" i="12"/>
  <c r="AF151" i="12"/>
  <c r="AF150" i="12"/>
  <c r="AF149" i="12"/>
  <c r="AF148" i="12"/>
  <c r="AF147" i="12"/>
  <c r="AF146" i="12"/>
  <c r="AF145" i="12"/>
  <c r="AF144" i="12"/>
  <c r="AF143" i="12"/>
  <c r="AF142" i="12"/>
  <c r="AF141" i="12"/>
  <c r="AF140" i="12"/>
  <c r="AF139" i="12"/>
  <c r="AF138" i="12"/>
  <c r="AF137" i="12"/>
  <c r="AF136" i="12"/>
  <c r="AF135" i="12"/>
  <c r="AF134" i="12"/>
  <c r="AF133" i="12"/>
  <c r="AF132" i="12"/>
  <c r="AF131" i="12"/>
  <c r="AF130" i="12"/>
  <c r="AF129" i="12"/>
  <c r="AF128" i="12"/>
  <c r="AF127" i="12"/>
  <c r="AF126" i="12"/>
  <c r="AF125" i="12"/>
  <c r="AF124" i="12"/>
  <c r="AF123" i="12"/>
  <c r="AF122" i="12"/>
  <c r="AF121" i="12"/>
  <c r="AF120" i="12"/>
  <c r="AF119" i="12"/>
  <c r="AF118" i="12"/>
  <c r="AF117" i="12"/>
  <c r="AF116" i="12"/>
  <c r="AF115" i="12"/>
  <c r="AF114" i="12"/>
  <c r="AF113" i="12"/>
  <c r="AF112" i="12"/>
  <c r="AF111" i="12"/>
  <c r="AF110" i="12"/>
  <c r="AF109" i="12"/>
  <c r="AF108" i="12"/>
  <c r="AF107" i="12"/>
  <c r="AF106" i="12"/>
  <c r="AF105" i="12"/>
  <c r="AF104" i="12"/>
  <c r="AF103" i="12"/>
  <c r="AF102" i="12"/>
  <c r="AF101" i="12"/>
  <c r="AF100" i="12"/>
  <c r="AF99" i="12"/>
  <c r="AF98" i="12"/>
  <c r="AF97" i="12"/>
  <c r="AF96" i="12"/>
  <c r="AF95" i="12"/>
  <c r="AF94" i="12"/>
  <c r="AF93" i="12"/>
  <c r="AF92" i="12"/>
  <c r="AF91" i="12"/>
  <c r="AF90" i="12"/>
  <c r="AF89" i="12"/>
  <c r="AF88" i="12"/>
  <c r="AF87" i="12"/>
  <c r="AF86" i="12"/>
  <c r="AF85" i="12"/>
  <c r="AF84" i="12"/>
  <c r="AF83" i="12"/>
  <c r="AF82" i="12"/>
  <c r="AF81" i="12"/>
  <c r="AF80" i="12"/>
  <c r="AF79" i="12"/>
  <c r="AF78" i="12"/>
  <c r="AF77" i="12"/>
  <c r="AF76" i="12"/>
  <c r="AF75" i="12"/>
  <c r="AF74" i="12"/>
  <c r="AF73" i="12"/>
  <c r="AF72" i="12"/>
  <c r="AF71" i="12"/>
  <c r="AF70" i="12"/>
  <c r="AF69" i="12"/>
  <c r="AF68" i="12"/>
  <c r="AF67" i="12"/>
  <c r="AF66" i="12"/>
  <c r="AF65" i="12"/>
  <c r="AF64" i="12"/>
  <c r="AF63" i="12"/>
  <c r="AF62" i="12"/>
  <c r="AF61" i="12"/>
  <c r="AF60" i="12"/>
  <c r="AF59" i="12"/>
  <c r="AF58" i="12"/>
  <c r="AF57" i="12"/>
  <c r="AF56" i="12"/>
  <c r="AF55" i="12"/>
  <c r="AF54" i="12"/>
  <c r="AF53" i="12"/>
  <c r="AF52" i="12"/>
  <c r="AF51" i="12"/>
  <c r="AF50" i="12"/>
  <c r="AF49" i="12"/>
  <c r="AF48" i="12"/>
  <c r="AF47" i="12"/>
  <c r="AF46" i="12"/>
  <c r="AF45" i="12"/>
  <c r="AF44" i="12"/>
  <c r="AF43" i="12"/>
  <c r="AF42" i="12"/>
  <c r="AF41" i="12"/>
  <c r="AF40" i="12"/>
  <c r="AF39" i="12"/>
  <c r="AF38" i="12"/>
  <c r="AF37" i="12"/>
  <c r="AF36" i="12"/>
  <c r="AF35" i="12"/>
  <c r="AF34" i="12"/>
  <c r="AF33" i="12"/>
  <c r="AF32" i="12"/>
  <c r="AF31" i="12"/>
  <c r="AF30" i="12"/>
  <c r="AF29" i="12"/>
  <c r="AF28" i="12"/>
  <c r="AF27" i="12"/>
  <c r="AF26" i="12"/>
  <c r="AF25" i="12"/>
  <c r="AF24" i="12"/>
  <c r="AF23" i="12"/>
  <c r="AF22" i="12"/>
  <c r="AF21" i="12"/>
  <c r="AF20" i="12"/>
  <c r="AF19" i="12"/>
  <c r="AF18" i="12"/>
  <c r="AF17" i="12"/>
  <c r="AF16" i="12"/>
  <c r="AF15" i="12"/>
  <c r="AF14" i="12"/>
  <c r="AF13" i="12"/>
  <c r="AF12" i="12"/>
  <c r="AF11" i="12"/>
  <c r="AF10" i="12"/>
  <c r="AF9" i="12"/>
  <c r="AF8" i="12"/>
  <c r="AF7" i="12"/>
  <c r="AF6" i="12"/>
  <c r="AF5" i="12"/>
  <c r="AF4" i="12"/>
  <c r="AF3" i="12"/>
  <c r="AF2" i="12"/>
  <c r="AF465" i="14"/>
  <c r="AF464" i="14"/>
  <c r="AF463" i="14"/>
  <c r="AF462" i="14"/>
  <c r="AF461" i="14"/>
  <c r="AF460" i="14"/>
  <c r="AF459" i="14"/>
  <c r="AF458" i="14"/>
  <c r="AF457" i="14"/>
  <c r="AF456" i="14"/>
  <c r="AF455" i="14"/>
  <c r="AF454" i="14"/>
  <c r="AF453" i="14"/>
  <c r="AF452" i="14"/>
  <c r="AF451" i="14"/>
  <c r="AF450" i="14"/>
  <c r="AF449" i="14"/>
  <c r="AF448" i="14"/>
  <c r="AF447" i="14"/>
  <c r="AF446" i="14"/>
  <c r="AF445" i="14"/>
  <c r="AF444" i="14"/>
  <c r="AF443" i="14"/>
  <c r="AF442" i="14"/>
  <c r="AF441" i="14"/>
  <c r="AF440" i="14"/>
  <c r="AF439" i="14"/>
  <c r="AF438" i="14"/>
  <c r="AF437" i="14"/>
  <c r="AF436" i="14"/>
  <c r="AF435" i="14"/>
  <c r="AF434" i="14"/>
  <c r="AF433" i="14"/>
  <c r="AF432" i="14"/>
  <c r="AF431" i="14"/>
  <c r="AF430" i="14"/>
  <c r="AF429" i="14"/>
  <c r="AF428" i="14"/>
  <c r="AF427" i="14"/>
  <c r="AF426" i="14"/>
  <c r="AF425" i="14"/>
  <c r="AF424" i="14"/>
  <c r="AF423" i="14"/>
  <c r="AF422" i="14"/>
  <c r="AF421" i="14"/>
  <c r="AF420" i="14"/>
  <c r="AF419" i="14"/>
  <c r="AF418" i="14"/>
  <c r="AF417" i="14"/>
  <c r="AF416" i="14"/>
  <c r="AF415" i="14"/>
  <c r="AF414" i="14"/>
  <c r="AF413" i="14"/>
  <c r="AF412" i="14"/>
  <c r="AF411" i="14"/>
  <c r="AF410" i="14"/>
  <c r="AF409" i="14"/>
  <c r="AF408" i="14"/>
  <c r="AF407" i="14"/>
  <c r="AF406" i="14"/>
  <c r="AF405" i="14"/>
  <c r="AF404" i="14"/>
  <c r="AF403" i="14"/>
  <c r="AF402" i="14"/>
  <c r="AF401" i="14"/>
  <c r="AF400" i="14"/>
  <c r="AF399" i="14"/>
  <c r="AF398" i="14"/>
  <c r="AF397" i="14"/>
  <c r="AF396" i="14"/>
  <c r="AF395" i="14"/>
  <c r="AF394" i="14"/>
  <c r="AF393" i="14"/>
  <c r="AF392" i="14"/>
  <c r="AF391" i="14"/>
  <c r="AF390" i="14"/>
  <c r="AF389" i="14"/>
  <c r="AF388" i="14"/>
  <c r="AF387" i="14"/>
  <c r="AF386" i="14"/>
  <c r="AF385" i="14"/>
  <c r="AF384" i="14"/>
  <c r="AF383" i="14"/>
  <c r="AF382" i="14"/>
  <c r="AF381" i="14"/>
  <c r="AF380" i="14"/>
  <c r="AF379" i="14"/>
  <c r="AF378" i="14"/>
  <c r="AF377" i="14"/>
  <c r="AF376" i="14"/>
  <c r="AF375" i="14"/>
  <c r="AF374" i="14"/>
  <c r="AF373" i="14"/>
  <c r="AF372" i="14"/>
  <c r="AF371" i="14"/>
  <c r="AF370" i="14"/>
  <c r="AF369" i="14"/>
  <c r="AF368" i="14"/>
  <c r="AF367" i="14"/>
  <c r="AF366" i="14"/>
  <c r="AF365" i="14"/>
  <c r="AF364" i="14"/>
  <c r="AF363" i="14"/>
  <c r="AF362" i="14"/>
  <c r="AF361" i="14"/>
  <c r="AF360" i="14"/>
  <c r="AF359" i="14"/>
  <c r="AF358" i="14"/>
  <c r="AF357" i="14"/>
  <c r="AF356" i="14"/>
  <c r="AF355" i="14"/>
  <c r="AF354" i="14"/>
  <c r="AF353" i="14"/>
  <c r="AF352" i="14"/>
  <c r="AF351" i="14"/>
  <c r="AF350" i="14"/>
  <c r="AF349" i="14"/>
  <c r="AF348" i="14"/>
  <c r="AF347" i="14"/>
  <c r="AF346" i="14"/>
  <c r="AF345" i="14"/>
  <c r="AF344" i="14"/>
  <c r="AF343" i="14"/>
  <c r="AF342" i="14"/>
  <c r="AF341" i="14"/>
  <c r="AF340" i="14"/>
  <c r="AF339" i="14"/>
  <c r="AF338" i="14"/>
  <c r="AF337" i="14"/>
  <c r="AF336" i="14"/>
  <c r="AF335" i="14"/>
  <c r="AF334" i="14"/>
  <c r="AF333" i="14"/>
  <c r="AF332" i="14"/>
  <c r="AF331" i="14"/>
  <c r="AF330" i="14"/>
  <c r="AF329" i="14"/>
  <c r="AF328" i="14"/>
  <c r="AF327" i="14"/>
  <c r="AF326" i="14"/>
  <c r="AF325" i="14"/>
  <c r="AF324" i="14"/>
  <c r="AF323" i="14"/>
  <c r="AF322" i="14"/>
  <c r="AF321" i="14"/>
  <c r="AF320" i="14"/>
  <c r="AF319" i="14"/>
  <c r="AF318" i="14"/>
  <c r="AF317" i="14"/>
  <c r="AF316" i="14"/>
  <c r="AF315" i="14"/>
  <c r="AF314" i="14"/>
  <c r="AF313" i="14"/>
  <c r="AF312" i="14"/>
  <c r="AF311" i="14"/>
  <c r="AF310" i="14"/>
  <c r="AF309" i="14"/>
  <c r="AF308" i="14"/>
  <c r="AF307" i="14"/>
  <c r="AF306" i="14"/>
  <c r="AF305" i="14"/>
  <c r="AF304" i="14"/>
  <c r="AF303" i="14"/>
  <c r="AF302" i="14"/>
  <c r="AF301" i="14"/>
  <c r="AF300" i="14"/>
  <c r="AF299" i="14"/>
  <c r="AF298" i="14"/>
  <c r="AF297" i="14"/>
  <c r="AF296" i="14"/>
  <c r="AF295" i="14"/>
  <c r="AF294" i="14"/>
  <c r="AF293" i="14"/>
  <c r="AF292" i="14"/>
  <c r="AF291" i="14"/>
  <c r="AF290" i="14"/>
  <c r="AF289" i="14"/>
  <c r="AF288" i="14"/>
  <c r="AF287" i="14"/>
  <c r="AF286" i="14"/>
  <c r="AF285" i="14"/>
  <c r="AF284" i="14"/>
  <c r="AF283" i="14"/>
  <c r="AF282" i="14"/>
  <c r="AF281" i="14"/>
  <c r="AF280" i="14"/>
  <c r="AF279" i="14"/>
  <c r="AF278" i="14"/>
  <c r="AF277" i="14"/>
  <c r="AF276" i="14"/>
  <c r="AF275" i="14"/>
  <c r="AF274" i="14"/>
  <c r="AF273" i="14"/>
  <c r="AF272" i="14"/>
  <c r="AF271" i="14"/>
  <c r="AF270" i="14"/>
  <c r="AF269" i="14"/>
  <c r="AF268" i="14"/>
  <c r="AF267" i="14"/>
  <c r="AF266" i="14"/>
  <c r="AF265" i="14"/>
  <c r="AF264" i="14"/>
  <c r="AF263" i="14"/>
  <c r="AF262" i="14"/>
  <c r="AF261" i="14"/>
  <c r="AF260" i="14"/>
  <c r="AF259" i="14"/>
  <c r="AF258" i="14"/>
  <c r="AF257" i="14"/>
  <c r="AF256" i="14"/>
  <c r="AF255" i="14"/>
  <c r="AF254" i="14"/>
  <c r="AF253" i="14"/>
  <c r="AF252" i="14"/>
  <c r="AF251" i="14"/>
  <c r="AF250" i="14"/>
  <c r="AF249" i="14"/>
  <c r="AF248" i="14"/>
  <c r="AF247" i="14"/>
  <c r="AF246" i="14"/>
  <c r="AF245" i="14"/>
  <c r="AF244" i="14"/>
  <c r="AF243" i="14"/>
  <c r="AF242" i="14"/>
  <c r="AF241" i="14"/>
  <c r="AF240" i="14"/>
  <c r="AF239" i="14"/>
  <c r="AF238" i="14"/>
  <c r="AF237" i="14"/>
  <c r="AF236" i="14"/>
  <c r="AF235" i="14"/>
  <c r="AF234" i="14"/>
  <c r="AF233" i="14"/>
  <c r="AF232" i="14"/>
  <c r="AF231" i="14"/>
  <c r="AF230" i="14"/>
  <c r="AF229" i="14"/>
  <c r="AF228" i="14"/>
  <c r="AF227" i="14"/>
  <c r="AF226" i="14"/>
  <c r="AF225" i="14"/>
  <c r="AF224" i="14"/>
  <c r="AF223" i="14"/>
  <c r="AF222" i="14"/>
  <c r="AF221" i="14"/>
  <c r="AF220" i="14"/>
  <c r="AF219" i="14"/>
  <c r="AF218" i="14"/>
  <c r="AF217" i="14"/>
  <c r="AF216" i="14"/>
  <c r="AF215" i="14"/>
  <c r="AF214" i="14"/>
  <c r="AF213" i="14"/>
  <c r="AF212" i="14"/>
  <c r="AF211" i="14"/>
  <c r="AF210" i="14"/>
  <c r="AF209" i="14"/>
  <c r="AF208" i="14"/>
  <c r="AF207" i="14"/>
  <c r="AF206" i="14"/>
  <c r="AF205" i="14"/>
  <c r="AF204" i="14"/>
  <c r="AF203" i="14"/>
  <c r="AF202" i="14"/>
  <c r="AF201" i="14"/>
  <c r="AF200" i="14"/>
  <c r="AF199" i="14"/>
  <c r="AF198" i="14"/>
  <c r="AF197" i="14"/>
  <c r="AF196" i="14"/>
  <c r="AF195" i="14"/>
  <c r="AF194" i="14"/>
  <c r="AF193" i="14"/>
  <c r="AF192" i="14"/>
  <c r="AF191" i="14"/>
  <c r="AF190" i="14"/>
  <c r="AF189" i="14"/>
  <c r="AF188" i="14"/>
  <c r="AF187" i="14"/>
  <c r="AF186" i="14"/>
  <c r="AF185" i="14"/>
  <c r="AF184" i="14"/>
  <c r="AF183" i="14"/>
  <c r="AF182" i="14"/>
  <c r="AF181" i="14"/>
  <c r="AF180" i="14"/>
  <c r="AF179" i="14"/>
  <c r="AF178" i="14"/>
  <c r="AF177" i="14"/>
  <c r="AF176" i="14"/>
  <c r="AF175" i="14"/>
  <c r="AF174" i="14"/>
  <c r="AF173" i="14"/>
  <c r="AF172" i="14"/>
  <c r="AF171" i="14"/>
  <c r="AF170" i="14"/>
  <c r="AF169" i="14"/>
  <c r="AF168" i="14"/>
  <c r="AF167" i="14"/>
  <c r="AF166" i="14"/>
  <c r="AF165" i="14"/>
  <c r="AF164" i="14"/>
  <c r="AF163" i="14"/>
  <c r="AF162" i="14"/>
  <c r="AF161" i="14"/>
  <c r="AF160" i="14"/>
  <c r="AF159" i="14"/>
  <c r="AF158" i="14"/>
  <c r="AF157" i="14"/>
  <c r="AF156" i="14"/>
  <c r="AF155" i="14"/>
  <c r="AF154" i="14"/>
  <c r="AF153" i="14"/>
  <c r="AF152" i="14"/>
  <c r="AF151" i="14"/>
  <c r="AF150" i="14"/>
  <c r="AF149" i="14"/>
  <c r="AF148" i="14"/>
  <c r="AF147" i="14"/>
  <c r="AF146" i="14"/>
  <c r="AF145" i="14"/>
  <c r="AF144" i="14"/>
  <c r="AF143" i="14"/>
  <c r="AF142" i="14"/>
  <c r="AF141" i="14"/>
  <c r="AF140" i="14"/>
  <c r="AF139" i="14"/>
  <c r="AF138" i="14"/>
  <c r="AF137" i="14"/>
  <c r="AF136" i="14"/>
  <c r="AF135" i="14"/>
  <c r="AF134" i="14"/>
  <c r="AF133" i="14"/>
  <c r="AF132" i="14"/>
  <c r="AF131" i="14"/>
  <c r="AF130" i="14"/>
  <c r="AF129" i="14"/>
  <c r="AF128" i="14"/>
  <c r="AF127" i="14"/>
  <c r="AF126" i="14"/>
  <c r="AF125" i="14"/>
  <c r="AF124" i="14"/>
  <c r="AF123" i="14"/>
  <c r="AF122" i="14"/>
  <c r="AF121" i="14"/>
  <c r="AF120" i="14"/>
  <c r="AF119" i="14"/>
  <c r="AF118" i="14"/>
  <c r="AF117" i="14"/>
  <c r="AF116" i="14"/>
  <c r="AF115" i="14"/>
  <c r="AF114" i="14"/>
  <c r="AF113" i="14"/>
  <c r="AF112" i="14"/>
  <c r="AF111" i="14"/>
  <c r="AF110" i="14"/>
  <c r="AF109" i="14"/>
  <c r="AF108" i="14"/>
  <c r="AF107" i="14"/>
  <c r="AF106" i="14"/>
  <c r="AF105" i="14"/>
  <c r="AF104" i="14"/>
  <c r="AF103" i="14"/>
  <c r="AF102" i="14"/>
  <c r="AF101" i="14"/>
  <c r="AF100" i="14"/>
  <c r="AF99" i="14"/>
  <c r="AF98" i="14"/>
  <c r="AF97" i="14"/>
  <c r="AF96" i="14"/>
  <c r="AF95" i="14"/>
  <c r="AF94" i="14"/>
  <c r="AF93" i="14"/>
  <c r="AF92" i="14"/>
  <c r="AF91" i="14"/>
  <c r="AF90" i="14"/>
  <c r="AF89" i="14"/>
  <c r="AF88" i="14"/>
  <c r="AF87" i="14"/>
  <c r="AF86" i="14"/>
  <c r="AF85" i="14"/>
  <c r="AF84" i="14"/>
  <c r="AF83" i="14"/>
  <c r="AF82" i="14"/>
  <c r="AF81" i="14"/>
  <c r="AF80" i="14"/>
  <c r="AF79" i="14"/>
  <c r="AF78" i="14"/>
  <c r="AF77" i="14"/>
  <c r="AF76" i="14"/>
  <c r="AF75" i="14"/>
  <c r="AF74" i="14"/>
  <c r="AF73" i="14"/>
  <c r="AF72" i="14"/>
  <c r="AF71" i="14"/>
  <c r="AF70" i="14"/>
  <c r="AF69" i="14"/>
  <c r="AF68" i="14"/>
  <c r="AF67" i="14"/>
  <c r="AF66" i="14"/>
  <c r="AF65" i="14"/>
  <c r="AF64" i="14"/>
  <c r="AF63" i="14"/>
  <c r="AF62" i="14"/>
  <c r="AF61" i="14"/>
  <c r="AF60" i="14"/>
  <c r="AF59" i="14"/>
  <c r="AF58" i="14"/>
  <c r="AF57" i="14"/>
  <c r="AF56" i="14"/>
  <c r="AF55" i="14"/>
  <c r="AF54" i="14"/>
  <c r="AF53" i="14"/>
  <c r="AF52" i="14"/>
  <c r="AF51" i="14"/>
  <c r="AF50" i="14"/>
  <c r="AF49" i="14"/>
  <c r="AF48" i="14"/>
  <c r="AF47" i="14"/>
  <c r="AF46" i="14"/>
  <c r="AF45" i="14"/>
  <c r="AF44" i="14"/>
  <c r="AF43" i="14"/>
  <c r="AF42" i="14"/>
  <c r="AF41" i="14"/>
  <c r="AF40" i="14"/>
  <c r="AF39" i="14"/>
  <c r="AF38" i="14"/>
  <c r="AF37" i="14"/>
  <c r="AF36" i="14"/>
  <c r="AF35" i="14"/>
  <c r="AF34" i="14"/>
  <c r="AF33" i="14"/>
  <c r="AF32" i="14"/>
  <c r="AF31" i="14"/>
  <c r="AF30" i="14"/>
  <c r="AF29" i="14"/>
  <c r="AF28" i="14"/>
  <c r="AF27" i="14"/>
  <c r="AF26" i="14"/>
  <c r="AF25" i="14"/>
  <c r="AF24" i="14"/>
  <c r="AF23" i="14"/>
  <c r="AF22" i="14"/>
  <c r="AF21" i="14"/>
  <c r="AF20" i="14"/>
  <c r="AF19" i="14"/>
  <c r="AF18" i="14"/>
  <c r="AF17" i="14"/>
  <c r="AF16" i="14"/>
  <c r="AF15" i="14"/>
  <c r="AF14" i="14"/>
  <c r="AF13" i="14"/>
  <c r="AF12" i="14"/>
  <c r="AF11" i="14"/>
  <c r="AF10" i="14"/>
  <c r="AF9" i="14"/>
  <c r="AF8" i="14"/>
  <c r="AF7" i="14"/>
  <c r="AF6" i="14"/>
  <c r="AF5" i="14"/>
  <c r="AF4" i="14"/>
  <c r="AF3" i="14"/>
  <c r="AF2" i="1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<sst xmlns="http://schemas.openxmlformats.org/spreadsheetml/2006/main" count="24746" uniqueCount="72">
  <si>
    <t>Wave</t>
  </si>
  <si>
    <t>Speed of Processing</t>
  </si>
  <si>
    <t>ConstructName</t>
  </si>
  <si>
    <t>ConstructNumber</t>
  </si>
  <si>
    <t>NumTasks</t>
  </si>
  <si>
    <t>S#</t>
  </si>
  <si>
    <t>xx</t>
  </si>
  <si>
    <t>NA</t>
  </si>
  <si>
    <t>HasData</t>
  </si>
  <si>
    <t>Task1</t>
  </si>
  <si>
    <t>Task2</t>
  </si>
  <si>
    <t>Task3</t>
  </si>
  <si>
    <t>DigComp3_1</t>
  </si>
  <si>
    <t>DigComp6_1</t>
  </si>
  <si>
    <t>DigComp9_1</t>
  </si>
  <si>
    <t>DigCompTotal1</t>
  </si>
  <si>
    <t>DigSymTotal2</t>
  </si>
  <si>
    <t>NIHSpeedRaw3</t>
  </si>
  <si>
    <t>NIHSpeedComp3</t>
  </si>
  <si>
    <t>NIHSpeedUn3</t>
  </si>
  <si>
    <t>NIHSpeedAge3</t>
  </si>
  <si>
    <t>NIHSpeedPercent3</t>
  </si>
  <si>
    <t>NIHSpeedFully3</t>
  </si>
  <si>
    <t>f</t>
  </si>
  <si>
    <t>m</t>
  </si>
  <si>
    <t>Sex</t>
  </si>
  <si>
    <t>Race</t>
  </si>
  <si>
    <t>Ethnicity</t>
  </si>
  <si>
    <t>HandednessScore</t>
  </si>
  <si>
    <t>MMSE</t>
  </si>
  <si>
    <t>CogW1toW2</t>
  </si>
  <si>
    <t>CogW2toW3</t>
  </si>
  <si>
    <t>CogW1toW3</t>
  </si>
  <si>
    <t>TakeHomeW1toW2</t>
  </si>
  <si>
    <t>TakeHomeW2toW3</t>
  </si>
  <si>
    <t>TakeHomeW1toW3</t>
  </si>
  <si>
    <t>MRIW1toW2</t>
  </si>
  <si>
    <t>MRIW2toW3</t>
  </si>
  <si>
    <t>MRIW1toW3</t>
  </si>
  <si>
    <t>PETAmyW1toW2</t>
  </si>
  <si>
    <t>PETAmyW2toW3</t>
  </si>
  <si>
    <t>PETAmyW1toW3</t>
  </si>
  <si>
    <t>EduComp5</t>
  </si>
  <si>
    <t>EduYrsEstCap5</t>
  </si>
  <si>
    <t xml:space="preserve">Ethnicity </t>
  </si>
  <si>
    <t>AgeInterval</t>
  </si>
  <si>
    <t>53-55</t>
  </si>
  <si>
    <t>71-73</t>
  </si>
  <si>
    <t>68-70</t>
  </si>
  <si>
    <t>38-40</t>
  </si>
  <si>
    <t>50-52</t>
  </si>
  <si>
    <t>44-46</t>
  </si>
  <si>
    <t>77-79</t>
  </si>
  <si>
    <t>20-22</t>
  </si>
  <si>
    <t>59-61</t>
  </si>
  <si>
    <t>29-31</t>
  </si>
  <si>
    <t>23-25</t>
  </si>
  <si>
    <t>41-43</t>
  </si>
  <si>
    <t>65-67</t>
  </si>
  <si>
    <t>62-64</t>
  </si>
  <si>
    <t>35-37</t>
  </si>
  <si>
    <t>47-49</t>
  </si>
  <si>
    <t>56-58</t>
  </si>
  <si>
    <t>32-34</t>
  </si>
  <si>
    <t>83-85</t>
  </si>
  <si>
    <t>80-82</t>
  </si>
  <si>
    <t>74-76</t>
  </si>
  <si>
    <t>86-88</t>
  </si>
  <si>
    <t>26-28</t>
  </si>
  <si>
    <t>89-91</t>
  </si>
  <si>
    <t>92-94</t>
  </si>
  <si>
    <t>95-97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</si>
</sst>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theme="1"/>
      <name val="Arial"/>
      <family val="2"/>
    </font>
    <font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3" fillId="2" borderId="0" applyNumberFormat="0" applyBorder="0" applyAlignment="0" applyProtection="0"/>
  </cellStyleXfs>
  <cellXfs count="57">
    <xf numFmtId="0" fontId="0" fillId="0" borderId="0" xfId="0"/>
    <xf numFmtId="0" fontId="1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1" xfId="0" applyBorder="1"/>
    <xf numFmtId="0" fontId="5" fillId="0" borderId="1" xfId="0" applyFont="1" applyBorder="1" applyAlignment="1">
      <alignment horizontal="right"/>
    </xf>
    <xf numFmtId="0" fontId="1" fillId="0" borderId="11" xfId="0" applyFont="1" applyBorder="1" applyAlignment="1">
      <alignment horizontal="center"/>
    </xf>
    <xf numFmtId="1" fontId="1" fillId="0" borderId="4" xfId="0" applyNumberFormat="1" applyFont="1" applyBorder="1" applyAlignment="1">
      <alignment horizontal="center"/>
    </xf>
    <xf numFmtId="1" fontId="2" fillId="0" borderId="4" xfId="0" applyNumberFormat="1" applyFont="1" applyBorder="1" applyAlignment="1">
      <alignment horizontal="center"/>
    </xf>
    <xf numFmtId="1" fontId="1" fillId="0" borderId="5" xfId="0" applyNumberFormat="1" applyFont="1" applyBorder="1" applyAlignment="1">
      <alignment horizontal="center"/>
    </xf>
    <xf numFmtId="1" fontId="4" fillId="0" borderId="0" xfId="0" applyNumberFormat="1" applyFont="1" applyAlignment="1">
      <alignment horizontal="center"/>
    </xf>
    <xf numFmtId="1" fontId="4" fillId="0" borderId="2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2" xfId="0" applyNumberFormat="1" applyBorder="1" applyAlignment="1">
      <alignment horizontal="center"/>
    </xf>
    <xf numFmtId="1" fontId="4" fillId="0" borderId="0" xfId="1" applyNumberFormat="1" applyFont="1" applyFill="1" applyBorder="1" applyAlignment="1">
      <alignment horizontal="center"/>
    </xf>
    <xf numFmtId="1" fontId="5" fillId="0" borderId="0" xfId="0" applyNumberFormat="1" applyFont="1" applyAlignment="1">
      <alignment horizontal="center"/>
    </xf>
    <xf numFmtId="1" fontId="5" fillId="0" borderId="2" xfId="0" applyNumberFormat="1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2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9" xfId="0" applyFont="1" applyBorder="1" applyAlignment="1">
      <alignment horizontal="center"/>
    </xf>
    <xf numFmtId="0" fontId="5" fillId="0" borderId="6" xfId="0" applyFont="1" applyBorder="1" applyAlignment="1">
      <alignment horizontal="right"/>
    </xf>
    <xf numFmtId="2" fontId="8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9" fillId="3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0" fillId="0" borderId="9" xfId="0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0" fillId="0" borderId="12" xfId="0" applyBorder="1"/>
    <xf numFmtId="2" fontId="8" fillId="0" borderId="9" xfId="0" applyNumberFormat="1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9" xfId="0" applyBorder="1" applyAlignment="1">
      <alignment horizontal="right"/>
    </xf>
    <xf numFmtId="1" fontId="0" fillId="0" borderId="9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0" fillId="0" borderId="6" xfId="0" applyBorder="1" applyAlignment="1">
      <alignment horizontal="right"/>
    </xf>
    <xf numFmtId="0" fontId="0" fillId="0" borderId="12" xfId="0" applyBorder="1" applyAlignment="1">
      <alignment horizontal="right"/>
    </xf>
    <xf numFmtId="0" fontId="6" fillId="0" borderId="9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Border="1" applyAlignment="1">
      <alignment horizontal="center"/>
    </xf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37241-2B1E-EA48-8BAA-7BC89ADFDBBC}">
  <sheetPr>
    <pageSetUpPr fitToPage="1"/>
  </sheetPr>
  <dimension ref="A1:AN992"/>
  <sheetViews>
    <sheetView topLeftCell="S1" zoomScale="90" zoomScaleNormal="90" workbookViewId="0">
      <pane ySplit="1" topLeftCell="A2" activePane="bottomLeft" state="frozen"/>
      <selection pane="bottomLeft" activeCell="AA3" sqref="AA3"/>
    </sheetView>
  </sheetViews>
  <sheetFormatPr baseColWidth="10" defaultColWidth="14.83203125" defaultRowHeight="16" x14ac:dyDescent="0.2"/>
  <cols>
    <col min="1" max="1" width="10.83203125" style="13" customWidth="1"/>
    <col min="2" max="2" width="10.6640625" style="4" bestFit="1" customWidth="1"/>
    <col min="3" max="5" width="11" style="4" customWidth="1"/>
    <col min="6" max="6" width="17.6640625" style="5" customWidth="1"/>
    <col min="7" max="10" width="14.83203125" style="4"/>
    <col min="11" max="11" width="18.83203125" style="4" customWidth="1"/>
    <col min="12" max="12" width="17.83203125" style="4" customWidth="1"/>
    <col min="13" max="13" width="20" style="4" customWidth="1"/>
    <col min="14" max="16" width="14.83203125" style="4"/>
    <col min="17" max="17" width="16.83203125" style="4" customWidth="1"/>
    <col min="18" max="18" width="16.1640625" style="4" customWidth="1"/>
    <col min="19" max="19" width="18.6640625" style="4" customWidth="1"/>
    <col min="20" max="21" width="14.83203125" style="4"/>
    <col min="22" max="22" width="19.5" style="4" customWidth="1"/>
    <col min="23" max="23" width="17.6640625" style="4" customWidth="1"/>
    <col min="24" max="16384" width="14.83203125" style="4"/>
  </cols>
  <sheetData>
    <row r="1" spans="1:40" ht="17" thickBot="1" x14ac:dyDescent="0.25">
      <c r="A1" s="6" t="s">
        <v>5</v>
      </c>
      <c r="B1" s="31" t="s">
        <v>45</v>
      </c>
      <c r="C1" s="28" t="s">
        <v>25</v>
      </c>
      <c r="D1" s="28" t="s">
        <v>26</v>
      </c>
      <c r="E1" s="28" t="s">
        <v>27</v>
      </c>
      <c r="F1" s="28" t="s">
        <v>28</v>
      </c>
      <c r="G1" s="53" t="s">
        <v>29</v>
      </c>
      <c r="H1" s="31" t="s">
        <v>30</v>
      </c>
      <c r="I1" s="31" t="s">
        <v>31</v>
      </c>
      <c r="J1" s="31" t="s">
        <v>32</v>
      </c>
      <c r="K1" s="31" t="s">
        <v>33</v>
      </c>
      <c r="L1" s="31" t="s">
        <v>34</v>
      </c>
      <c r="M1" s="31" t="s">
        <v>35</v>
      </c>
      <c r="N1" s="31" t="s">
        <v>36</v>
      </c>
      <c r="O1" s="31" t="s">
        <v>37</v>
      </c>
      <c r="P1" s="31" t="s">
        <v>38</v>
      </c>
      <c r="Q1" s="31" t="s">
        <v>39</v>
      </c>
      <c r="R1" s="31" t="s">
        <v>40</v>
      </c>
      <c r="S1" s="31" t="s">
        <v>41</v>
      </c>
      <c r="T1" s="31" t="s">
        <v>42</v>
      </c>
      <c r="U1" s="31" t="s">
        <v>43</v>
      </c>
      <c r="V1" s="1" t="s">
        <v>2</v>
      </c>
      <c r="W1" s="1" t="s">
        <v>3</v>
      </c>
      <c r="X1" s="1" t="s">
        <v>0</v>
      </c>
      <c r="Y1" s="1" t="s">
        <v>8</v>
      </c>
      <c r="Z1" s="3" t="s">
        <v>4</v>
      </c>
      <c r="AA1" s="6" t="s">
        <v>9</v>
      </c>
      <c r="AB1" s="1" t="s">
        <v>12</v>
      </c>
      <c r="AC1" s="1" t="s">
        <v>13</v>
      </c>
      <c r="AD1" s="2" t="s">
        <v>14</v>
      </c>
      <c r="AE1" s="7" t="s">
        <v>15</v>
      </c>
      <c r="AF1" s="6" t="s">
        <v>10</v>
      </c>
      <c r="AG1" s="3" t="s">
        <v>16</v>
      </c>
      <c r="AH1" s="6" t="s">
        <v>11</v>
      </c>
      <c r="AI1" s="31" t="s">
        <v>17</v>
      </c>
      <c r="AJ1" s="1" t="s">
        <v>18</v>
      </c>
      <c r="AK1" s="1" t="s">
        <v>19</v>
      </c>
      <c r="AL1" s="1" t="s">
        <v>20</v>
      </c>
      <c r="AM1" s="2" t="s">
        <v>21</v>
      </c>
      <c r="AN1" s="3" t="s">
        <v>22</v>
      </c>
    </row>
    <row r="2" spans="1:40" x14ac:dyDescent="0.2">
      <c r="A2" s="51">
        <v>12</v>
      </c>
      <c r="B2" s="4" t="s">
        <v>46</v>
      </c>
      <c r="C2" s="30" t="s">
        <v>23</v>
      </c>
      <c r="D2" s="30">
        <v>5</v>
      </c>
      <c r="E2" s="30">
        <v>0</v>
      </c>
      <c r="F2" s="4">
        <v>3.2730000000000001</v>
      </c>
      <c r="G2" s="30">
        <v>30</v>
      </c>
      <c r="H2" s="33">
        <v>4.3750855578370977</v>
      </c>
      <c r="I2" s="33">
        <v>6.2724161533196439</v>
      </c>
      <c r="J2" s="33">
        <v>10.647501711156742</v>
      </c>
      <c r="K2" s="33">
        <v>4.4134154688569476</v>
      </c>
      <c r="L2" s="33">
        <v>6.2340862422997949</v>
      </c>
      <c r="M2" s="33">
        <v>10.647501711156742</v>
      </c>
      <c r="N2" s="33">
        <v>4.3203285420944555</v>
      </c>
      <c r="O2" s="33">
        <v>6.2669404517453797</v>
      </c>
      <c r="P2" s="33">
        <v>10.587268993839835</v>
      </c>
      <c r="Q2" s="33" t="s">
        <v>7</v>
      </c>
      <c r="R2" s="33" t="s">
        <v>7</v>
      </c>
      <c r="S2" s="33" t="s">
        <v>7</v>
      </c>
      <c r="T2" s="34">
        <v>5</v>
      </c>
      <c r="U2" s="34">
        <v>19</v>
      </c>
      <c r="V2" s="10" t="s">
        <v>1</v>
      </c>
      <c r="W2" s="10">
        <v>1</v>
      </c>
      <c r="X2" s="10">
        <v>1</v>
      </c>
      <c r="Y2" s="10">
        <v>1</v>
      </c>
      <c r="Z2" s="10">
        <v>3</v>
      </c>
      <c r="AA2" s="9" cm="1">
        <f t="array" ref="AA2">IF(OR(AB2:AE2=""),"BLANK",IF(AND(AB2:AE2&lt;999),1,IF(AND(AB2:AE2="NA"),3,2)))</f>
        <v>1</v>
      </c>
      <c r="AB2" s="10">
        <v>30</v>
      </c>
      <c r="AC2" s="10">
        <v>21</v>
      </c>
      <c r="AD2" s="10">
        <v>15</v>
      </c>
      <c r="AE2" s="11">
        <v>66</v>
      </c>
      <c r="AF2" s="8">
        <f>IF(AG2="NA", 3,1)</f>
        <v>1</v>
      </c>
      <c r="AG2" s="11">
        <v>57</v>
      </c>
      <c r="AH2" s="8" cm="1">
        <f t="array" ref="AH2">IF(OR(AI2:AN2=""),"BLANK",IF(AND(AI2:AN2&lt;99),1,IF(AND(AI2:AN2="NA"),3,2)))</f>
        <v>3</v>
      </c>
      <c r="AI2" s="4" t="s">
        <v>7</v>
      </c>
      <c r="AJ2" s="10" t="s">
        <v>7</v>
      </c>
      <c r="AK2" s="10" t="s">
        <v>7</v>
      </c>
      <c r="AL2" s="10" t="s">
        <v>7</v>
      </c>
      <c r="AM2" s="10" t="s">
        <v>7</v>
      </c>
      <c r="AN2" s="11" t="s">
        <v>7</v>
      </c>
    </row>
    <row r="3" spans="1:40" x14ac:dyDescent="0.2">
      <c r="A3" s="39">
        <v>21</v>
      </c>
      <c r="B3" s="4" t="s">
        <v>47</v>
      </c>
      <c r="C3" s="30" t="s">
        <v>23</v>
      </c>
      <c r="D3" s="30">
        <v>5</v>
      </c>
      <c r="E3" s="30">
        <v>0</v>
      </c>
      <c r="F3" s="4">
        <v>3.9089999999999998</v>
      </c>
      <c r="G3" s="30">
        <v>29</v>
      </c>
      <c r="H3" s="33" t="s">
        <v>7</v>
      </c>
      <c r="I3" s="33" t="s">
        <v>7</v>
      </c>
      <c r="J3" s="33" t="s">
        <v>7</v>
      </c>
      <c r="K3" s="33" t="s">
        <v>7</v>
      </c>
      <c r="L3" s="33" t="s">
        <v>7</v>
      </c>
      <c r="M3" s="33" t="s">
        <v>7</v>
      </c>
      <c r="N3" s="33" t="s">
        <v>7</v>
      </c>
      <c r="O3" s="33" t="s">
        <v>7</v>
      </c>
      <c r="P3" s="33" t="s">
        <v>7</v>
      </c>
      <c r="Q3" s="33" t="s">
        <v>7</v>
      </c>
      <c r="R3" s="33" t="s">
        <v>7</v>
      </c>
      <c r="S3" s="33" t="s">
        <v>7</v>
      </c>
      <c r="T3" s="34">
        <v>6</v>
      </c>
      <c r="U3" s="34">
        <v>18</v>
      </c>
      <c r="V3" s="4" t="s">
        <v>1</v>
      </c>
      <c r="W3" s="4">
        <v>1</v>
      </c>
      <c r="X3" s="4">
        <v>1</v>
      </c>
      <c r="Y3" s="4">
        <v>1</v>
      </c>
      <c r="Z3" s="56">
        <v>3</v>
      </c>
      <c r="AA3" s="9" cm="1">
        <f t="array" ref="AA3">IF(OR(AB3:AE3=""),"BLANK",IF(AND(AB3:AE3&lt;999),1,IF(AND(AB3:AE3="NA"),3,2)))</f>
        <v>1</v>
      </c>
      <c r="AB3" s="4">
        <v>21</v>
      </c>
      <c r="AC3" s="4">
        <v>14</v>
      </c>
      <c r="AD3" s="4">
        <v>12</v>
      </c>
      <c r="AE3" s="5">
        <v>47</v>
      </c>
      <c r="AF3" s="9">
        <f>IF(AG3="NA", 3,1)</f>
        <v>1</v>
      </c>
      <c r="AG3" s="5">
        <v>54</v>
      </c>
      <c r="AH3" s="9" cm="1">
        <f t="array" ref="AH3">IF(OR(AI3:AN3=""),"BLANK",IF(AND(AI3:AN3&lt;99),1,IF(AND(AI3:AN3="NA"),3,2)))</f>
        <v>3</v>
      </c>
      <c r="AI3" s="4" t="s">
        <v>7</v>
      </c>
      <c r="AJ3" s="4" t="s">
        <v>7</v>
      </c>
      <c r="AK3" s="4" t="s">
        <v>7</v>
      </c>
      <c r="AL3" s="4" t="s">
        <v>7</v>
      </c>
      <c r="AM3" s="4" t="s">
        <v>7</v>
      </c>
      <c r="AN3" s="5" t="s">
        <v>7</v>
      </c>
    </row>
    <row r="4" spans="1:40" x14ac:dyDescent="0.2">
      <c r="A4" s="39">
        <v>49</v>
      </c>
      <c r="B4" s="4" t="s">
        <v>48</v>
      </c>
      <c r="C4" s="30" t="s">
        <v>23</v>
      </c>
      <c r="D4" s="30">
        <v>5</v>
      </c>
      <c r="E4" s="30">
        <v>0</v>
      </c>
      <c r="F4" s="4">
        <v>3.6360000000000001</v>
      </c>
      <c r="G4" s="30">
        <v>27</v>
      </c>
      <c r="H4" s="33">
        <v>4.5667351129363452</v>
      </c>
      <c r="I4" s="33">
        <v>5.6153319644079396</v>
      </c>
      <c r="J4" s="33">
        <v>10.182067077344286</v>
      </c>
      <c r="K4" s="33">
        <v>4.8651608487337441</v>
      </c>
      <c r="L4" s="33">
        <v>5.3086926762491444</v>
      </c>
      <c r="M4" s="33">
        <v>10.173853524982889</v>
      </c>
      <c r="N4" s="33">
        <v>4.1779603011635862</v>
      </c>
      <c r="O4" s="33" t="s">
        <v>7</v>
      </c>
      <c r="P4" s="33" t="s">
        <v>7</v>
      </c>
      <c r="Q4" s="33" t="s">
        <v>7</v>
      </c>
      <c r="R4" s="33" t="s">
        <v>7</v>
      </c>
      <c r="S4" s="33" t="s">
        <v>7</v>
      </c>
      <c r="T4" s="34">
        <v>2</v>
      </c>
      <c r="U4" s="34">
        <v>12</v>
      </c>
      <c r="V4" s="4" t="s">
        <v>1</v>
      </c>
      <c r="W4" s="4">
        <v>1</v>
      </c>
      <c r="X4" s="4">
        <v>1</v>
      </c>
      <c r="Y4" s="4">
        <v>1</v>
      </c>
      <c r="Z4" s="56">
        <v>3</v>
      </c>
      <c r="AA4" s="9" cm="1">
        <f t="array" ref="AA4">IF(OR(AB4:AE4=""),"BLANK",IF(AND(AB4:AE4&lt;999),1,IF(AND(AB4:AE4="NA"),3,2)))</f>
        <v>1</v>
      </c>
      <c r="AB4" s="4">
        <v>26</v>
      </c>
      <c r="AC4" s="4">
        <v>17</v>
      </c>
      <c r="AD4" s="4">
        <v>12</v>
      </c>
      <c r="AE4" s="5">
        <v>55</v>
      </c>
      <c r="AF4" s="9">
        <f t="shared" ref="AF4:AF67" si="0">IF(AG4="NA", 3,1)</f>
        <v>1</v>
      </c>
      <c r="AG4" s="5">
        <v>46</v>
      </c>
      <c r="AH4" s="9" cm="1">
        <f t="array" ref="AH4">IF(OR(AI4:AN4=""),"BLANK",IF(AND(AI4:AN4&lt;99),1,IF(AND(AI4:AN4="NA"),3,2)))</f>
        <v>3</v>
      </c>
      <c r="AI4" s="4" t="s">
        <v>7</v>
      </c>
      <c r="AJ4" s="4" t="s">
        <v>7</v>
      </c>
      <c r="AK4" s="4" t="s">
        <v>7</v>
      </c>
      <c r="AL4" s="4" t="s">
        <v>7</v>
      </c>
      <c r="AM4" s="4" t="s">
        <v>7</v>
      </c>
      <c r="AN4" s="5" t="s">
        <v>7</v>
      </c>
    </row>
    <row r="5" spans="1:40" x14ac:dyDescent="0.2">
      <c r="A5" s="39">
        <v>61</v>
      </c>
      <c r="B5" s="4" t="s">
        <v>46</v>
      </c>
      <c r="C5" s="30" t="s">
        <v>23</v>
      </c>
      <c r="D5" s="30">
        <v>2</v>
      </c>
      <c r="E5" s="30">
        <v>0</v>
      </c>
      <c r="F5" s="4" t="s">
        <v>7</v>
      </c>
      <c r="G5" s="30">
        <v>30</v>
      </c>
      <c r="H5" s="33">
        <v>4.1232032854209448</v>
      </c>
      <c r="I5" s="33" t="s">
        <v>7</v>
      </c>
      <c r="J5" s="33" t="s">
        <v>7</v>
      </c>
      <c r="K5" s="33" t="s">
        <v>7</v>
      </c>
      <c r="L5" s="33" t="s">
        <v>7</v>
      </c>
      <c r="M5" s="33" t="s">
        <v>7</v>
      </c>
      <c r="N5" s="33">
        <v>4.1971252566735116</v>
      </c>
      <c r="O5" s="33" t="s">
        <v>7</v>
      </c>
      <c r="P5" s="33" t="s">
        <v>7</v>
      </c>
      <c r="Q5" s="33" t="s">
        <v>7</v>
      </c>
      <c r="R5" s="33" t="s">
        <v>7</v>
      </c>
      <c r="S5" s="33" t="s">
        <v>7</v>
      </c>
      <c r="T5" s="34">
        <v>6</v>
      </c>
      <c r="U5" s="34">
        <v>18</v>
      </c>
      <c r="V5" s="4" t="s">
        <v>1</v>
      </c>
      <c r="W5" s="4">
        <v>1</v>
      </c>
      <c r="X5" s="4">
        <v>1</v>
      </c>
      <c r="Y5" s="4">
        <v>1</v>
      </c>
      <c r="Z5" s="56">
        <v>3</v>
      </c>
      <c r="AA5" s="9" cm="1">
        <f t="array" ref="AA5">IF(OR(AB5:AE5=""),"BLANK",IF(AND(AB5:AE5&lt;999),1,IF(AND(AB5:AE5="NA"),3,2)))</f>
        <v>1</v>
      </c>
      <c r="AB5" s="4">
        <v>34</v>
      </c>
      <c r="AC5" s="4">
        <v>19</v>
      </c>
      <c r="AD5" s="4">
        <v>12</v>
      </c>
      <c r="AE5" s="5">
        <v>65</v>
      </c>
      <c r="AF5" s="9">
        <f t="shared" si="0"/>
        <v>1</v>
      </c>
      <c r="AG5" s="5">
        <v>71</v>
      </c>
      <c r="AH5" s="9" cm="1">
        <f t="array" ref="AH5">IF(OR(AI5:AN5=""),"BLANK",IF(AND(AI5:AN5&lt;99),1,IF(AND(AI5:AN5="NA"),3,2)))</f>
        <v>3</v>
      </c>
      <c r="AI5" s="4" t="s">
        <v>7</v>
      </c>
      <c r="AJ5" s="4" t="s">
        <v>7</v>
      </c>
      <c r="AK5" s="4" t="s">
        <v>7</v>
      </c>
      <c r="AL5" s="4" t="s">
        <v>7</v>
      </c>
      <c r="AM5" s="4" t="s">
        <v>7</v>
      </c>
      <c r="AN5" s="5" t="s">
        <v>7</v>
      </c>
    </row>
    <row r="6" spans="1:40" x14ac:dyDescent="0.2">
      <c r="A6" s="39">
        <v>80</v>
      </c>
      <c r="B6" s="4" t="s">
        <v>49</v>
      </c>
      <c r="C6" s="30" t="s">
        <v>24</v>
      </c>
      <c r="D6" s="30">
        <v>5</v>
      </c>
      <c r="E6" s="30">
        <v>0</v>
      </c>
      <c r="F6" s="4">
        <v>3.5449999999999999</v>
      </c>
      <c r="G6" s="30">
        <v>28</v>
      </c>
      <c r="H6" s="33">
        <v>4.2272416153319643</v>
      </c>
      <c r="I6" s="33" t="s">
        <v>7</v>
      </c>
      <c r="J6" s="33" t="s">
        <v>7</v>
      </c>
      <c r="K6" s="33">
        <v>4.2409308692676246</v>
      </c>
      <c r="L6" s="33" t="s">
        <v>7</v>
      </c>
      <c r="M6" s="33" t="s">
        <v>7</v>
      </c>
      <c r="N6" s="33">
        <v>4.2080766598220398</v>
      </c>
      <c r="O6" s="33" t="s">
        <v>7</v>
      </c>
      <c r="P6" s="33" t="s">
        <v>7</v>
      </c>
      <c r="Q6" s="33" t="s">
        <v>7</v>
      </c>
      <c r="R6" s="33" t="s">
        <v>7</v>
      </c>
      <c r="S6" s="33" t="s">
        <v>7</v>
      </c>
      <c r="T6" s="34">
        <v>3</v>
      </c>
      <c r="U6" s="34">
        <v>12</v>
      </c>
      <c r="V6" s="4" t="s">
        <v>1</v>
      </c>
      <c r="W6" s="4">
        <v>1</v>
      </c>
      <c r="X6" s="4">
        <v>1</v>
      </c>
      <c r="Y6" s="4">
        <v>1</v>
      </c>
      <c r="Z6" s="56">
        <v>3</v>
      </c>
      <c r="AA6" s="9" cm="1">
        <f t="array" ref="AA6">IF(OR(AB6:AE6=""),"BLANK",IF(AND(AB6:AE6&lt;999),1,IF(AND(AB6:AE6="NA"),3,2)))</f>
        <v>1</v>
      </c>
      <c r="AB6" s="4">
        <v>36</v>
      </c>
      <c r="AC6" s="4">
        <v>25</v>
      </c>
      <c r="AD6" s="4">
        <v>16</v>
      </c>
      <c r="AE6" s="5">
        <v>77</v>
      </c>
      <c r="AF6" s="9">
        <f t="shared" si="0"/>
        <v>1</v>
      </c>
      <c r="AG6" s="5">
        <v>51</v>
      </c>
      <c r="AH6" s="9" cm="1">
        <f t="array" ref="AH6">IF(OR(AI6:AN6=""),"BLANK",IF(AND(AI6:AN6&lt;99),1,IF(AND(AI6:AN6="NA"),3,2)))</f>
        <v>3</v>
      </c>
      <c r="AI6" s="4" t="s">
        <v>7</v>
      </c>
      <c r="AJ6" s="4" t="s">
        <v>7</v>
      </c>
      <c r="AK6" s="4" t="s">
        <v>7</v>
      </c>
      <c r="AL6" s="4" t="s">
        <v>7</v>
      </c>
      <c r="AM6" s="4" t="s">
        <v>7</v>
      </c>
      <c r="AN6" s="5" t="s">
        <v>7</v>
      </c>
    </row>
    <row r="7" spans="1:40" x14ac:dyDescent="0.2">
      <c r="A7" s="39">
        <v>81</v>
      </c>
      <c r="B7" s="4" t="s">
        <v>49</v>
      </c>
      <c r="C7" s="30" t="s">
        <v>23</v>
      </c>
      <c r="D7" s="30">
        <v>5</v>
      </c>
      <c r="E7" s="30">
        <v>0</v>
      </c>
      <c r="F7" s="4">
        <v>3.6360000000000001</v>
      </c>
      <c r="G7" s="30">
        <v>30</v>
      </c>
      <c r="H7" s="33">
        <v>5.2867898699520879</v>
      </c>
      <c r="I7" s="33" t="s">
        <v>7</v>
      </c>
      <c r="J7" s="33" t="s">
        <v>7</v>
      </c>
      <c r="K7" s="33">
        <v>5.2867898699520879</v>
      </c>
      <c r="L7" s="33" t="s">
        <v>7</v>
      </c>
      <c r="M7" s="33" t="s">
        <v>7</v>
      </c>
      <c r="N7" s="33">
        <v>4.8104038329911019</v>
      </c>
      <c r="O7" s="33" t="s">
        <v>7</v>
      </c>
      <c r="P7" s="33" t="s">
        <v>7</v>
      </c>
      <c r="Q7" s="33" t="s">
        <v>7</v>
      </c>
      <c r="R7" s="33" t="s">
        <v>7</v>
      </c>
      <c r="S7" s="33" t="s">
        <v>7</v>
      </c>
      <c r="T7" s="34">
        <v>4</v>
      </c>
      <c r="U7" s="34">
        <v>16</v>
      </c>
      <c r="V7" s="4" t="s">
        <v>1</v>
      </c>
      <c r="W7" s="4">
        <v>1</v>
      </c>
      <c r="X7" s="4">
        <v>1</v>
      </c>
      <c r="Y7" s="4">
        <v>1</v>
      </c>
      <c r="Z7" s="56">
        <v>3</v>
      </c>
      <c r="AA7" s="9" cm="1">
        <f t="array" ref="AA7">IF(OR(AB7:AE7=""),"BLANK",IF(AND(AB7:AE7&lt;999),1,IF(AND(AB7:AE7="NA"),3,2)))</f>
        <v>1</v>
      </c>
      <c r="AB7" s="4">
        <v>38</v>
      </c>
      <c r="AC7" s="4">
        <v>23</v>
      </c>
      <c r="AD7" s="4">
        <v>16</v>
      </c>
      <c r="AE7" s="5">
        <v>77</v>
      </c>
      <c r="AF7" s="9">
        <f t="shared" si="0"/>
        <v>1</v>
      </c>
      <c r="AG7" s="5">
        <v>78</v>
      </c>
      <c r="AH7" s="9" cm="1">
        <f t="array" ref="AH7">IF(OR(AI7:AN7=""),"BLANK",IF(AND(AI7:AN7&lt;99),1,IF(AND(AI7:AN7="NA"),3,2)))</f>
        <v>3</v>
      </c>
      <c r="AI7" s="4" t="s">
        <v>7</v>
      </c>
      <c r="AJ7" s="4" t="s">
        <v>7</v>
      </c>
      <c r="AK7" s="4" t="s">
        <v>7</v>
      </c>
      <c r="AL7" s="4" t="s">
        <v>7</v>
      </c>
      <c r="AM7" s="4" t="s">
        <v>7</v>
      </c>
      <c r="AN7" s="5" t="s">
        <v>7</v>
      </c>
    </row>
    <row r="8" spans="1:40" x14ac:dyDescent="0.2">
      <c r="A8" s="39">
        <v>92</v>
      </c>
      <c r="B8" s="4" t="s">
        <v>50</v>
      </c>
      <c r="C8" s="30" t="s">
        <v>24</v>
      </c>
      <c r="D8" s="30">
        <v>5</v>
      </c>
      <c r="E8" s="30">
        <v>0</v>
      </c>
      <c r="F8" s="4">
        <v>3.7269999999999999</v>
      </c>
      <c r="G8" s="30">
        <v>29</v>
      </c>
      <c r="H8" s="33">
        <v>4.3531827515400412</v>
      </c>
      <c r="I8" s="33">
        <v>5.7850787132101305</v>
      </c>
      <c r="J8" s="33">
        <v>10.138261464750171</v>
      </c>
      <c r="K8" s="33">
        <v>4.3778234086242298</v>
      </c>
      <c r="L8" s="33">
        <v>5.7549623545516768</v>
      </c>
      <c r="M8" s="33">
        <v>10.132785763175907</v>
      </c>
      <c r="N8" s="33">
        <v>4.3367556468172488</v>
      </c>
      <c r="O8" s="33">
        <v>5.4866529774127306</v>
      </c>
      <c r="P8" s="33">
        <v>9.8234086242299803</v>
      </c>
      <c r="Q8" s="33" t="s">
        <v>7</v>
      </c>
      <c r="R8" s="33" t="s">
        <v>7</v>
      </c>
      <c r="S8" s="33" t="s">
        <v>7</v>
      </c>
      <c r="T8" s="34">
        <v>4</v>
      </c>
      <c r="U8" s="34">
        <v>16</v>
      </c>
      <c r="V8" s="4" t="s">
        <v>1</v>
      </c>
      <c r="W8" s="4">
        <v>1</v>
      </c>
      <c r="X8" s="4">
        <v>1</v>
      </c>
      <c r="Y8" s="4">
        <v>1</v>
      </c>
      <c r="Z8" s="56">
        <v>3</v>
      </c>
      <c r="AA8" s="9" cm="1">
        <f t="array" ref="AA8">IF(OR(AB8:AE8=""),"BLANK",IF(AND(AB8:AE8&lt;999),1,IF(AND(AB8:AE8="NA"),3,2)))</f>
        <v>1</v>
      </c>
      <c r="AB8" s="4">
        <v>38</v>
      </c>
      <c r="AC8" s="4">
        <v>27</v>
      </c>
      <c r="AD8" s="4">
        <v>17</v>
      </c>
      <c r="AE8" s="5">
        <v>82</v>
      </c>
      <c r="AF8" s="9">
        <f t="shared" si="0"/>
        <v>1</v>
      </c>
      <c r="AG8" s="5">
        <v>75</v>
      </c>
      <c r="AH8" s="9" cm="1">
        <f t="array" ref="AH8">IF(OR(AI8:AN8=""),"BLANK",IF(AND(AI8:AN8&lt;99),1,IF(AND(AI8:AN8="NA"),3,2)))</f>
        <v>3</v>
      </c>
      <c r="AI8" s="4" t="s">
        <v>7</v>
      </c>
      <c r="AJ8" s="4" t="s">
        <v>7</v>
      </c>
      <c r="AK8" s="4" t="s">
        <v>7</v>
      </c>
      <c r="AL8" s="4" t="s">
        <v>7</v>
      </c>
      <c r="AM8" s="4" t="s">
        <v>7</v>
      </c>
      <c r="AN8" s="5" t="s">
        <v>7</v>
      </c>
    </row>
    <row r="9" spans="1:40" x14ac:dyDescent="0.2">
      <c r="A9" s="39">
        <v>101</v>
      </c>
      <c r="B9" s="4" t="s">
        <v>51</v>
      </c>
      <c r="C9" s="30" t="s">
        <v>23</v>
      </c>
      <c r="D9" s="30">
        <v>5</v>
      </c>
      <c r="E9" s="30">
        <v>0</v>
      </c>
      <c r="F9" s="4">
        <v>3.7269999999999999</v>
      </c>
      <c r="G9" s="30">
        <v>28</v>
      </c>
      <c r="H9" s="33" t="s">
        <v>7</v>
      </c>
      <c r="I9" s="33" t="s">
        <v>7</v>
      </c>
      <c r="J9" s="33" t="s">
        <v>7</v>
      </c>
      <c r="K9" s="33" t="s">
        <v>7</v>
      </c>
      <c r="L9" s="33" t="s">
        <v>7</v>
      </c>
      <c r="M9" s="33" t="s">
        <v>7</v>
      </c>
      <c r="N9" s="33" t="s">
        <v>7</v>
      </c>
      <c r="O9" s="33" t="s">
        <v>7</v>
      </c>
      <c r="P9" s="33" t="s">
        <v>7</v>
      </c>
      <c r="Q9" s="33" t="s">
        <v>7</v>
      </c>
      <c r="R9" s="33" t="s">
        <v>7</v>
      </c>
      <c r="S9" s="33" t="s">
        <v>7</v>
      </c>
      <c r="T9" s="34">
        <v>6</v>
      </c>
      <c r="U9" s="34">
        <v>18</v>
      </c>
      <c r="V9" s="4" t="s">
        <v>1</v>
      </c>
      <c r="W9" s="4">
        <v>1</v>
      </c>
      <c r="X9" s="4">
        <v>1</v>
      </c>
      <c r="Y9" s="4">
        <v>1</v>
      </c>
      <c r="Z9" s="56">
        <v>3</v>
      </c>
      <c r="AA9" s="9" cm="1">
        <f t="array" ref="AA9">IF(OR(AB9:AE9=""),"BLANK",IF(AND(AB9:AE9&lt;999),1,IF(AND(AB9:AE9="NA"),3,2)))</f>
        <v>1</v>
      </c>
      <c r="AB9" s="4">
        <v>34</v>
      </c>
      <c r="AC9" s="4">
        <v>17</v>
      </c>
      <c r="AD9" s="4">
        <v>14</v>
      </c>
      <c r="AE9" s="5">
        <v>65</v>
      </c>
      <c r="AF9" s="9">
        <f t="shared" si="0"/>
        <v>1</v>
      </c>
      <c r="AG9" s="5">
        <v>58</v>
      </c>
      <c r="AH9" s="9" cm="1">
        <f t="array" ref="AH9">IF(OR(AI9:AN9=""),"BLANK",IF(AND(AI9:AN9&lt;99),1,IF(AND(AI9:AN9="NA"),3,2)))</f>
        <v>3</v>
      </c>
      <c r="AI9" s="4" t="s">
        <v>7</v>
      </c>
      <c r="AJ9" s="4" t="s">
        <v>7</v>
      </c>
      <c r="AK9" s="4" t="s">
        <v>7</v>
      </c>
      <c r="AL9" s="4" t="s">
        <v>7</v>
      </c>
      <c r="AM9" s="4" t="s">
        <v>7</v>
      </c>
      <c r="AN9" s="5" t="s">
        <v>7</v>
      </c>
    </row>
    <row r="10" spans="1:40" x14ac:dyDescent="0.2">
      <c r="A10" s="39">
        <v>103</v>
      </c>
      <c r="B10" s="4" t="s">
        <v>49</v>
      </c>
      <c r="C10" s="30" t="s">
        <v>23</v>
      </c>
      <c r="D10" s="30">
        <v>5</v>
      </c>
      <c r="E10" s="30">
        <v>0</v>
      </c>
      <c r="F10" s="4">
        <v>4</v>
      </c>
      <c r="G10" s="30">
        <v>30</v>
      </c>
      <c r="H10" s="33">
        <v>4.3942505133470222</v>
      </c>
      <c r="I10" s="33">
        <v>5.8617385352498292</v>
      </c>
      <c r="J10" s="33">
        <v>10.255989048596852</v>
      </c>
      <c r="K10" s="33">
        <v>4.4079397672826834</v>
      </c>
      <c r="L10" s="33">
        <v>5.848049281314168</v>
      </c>
      <c r="M10" s="33">
        <v>10.255989048596852</v>
      </c>
      <c r="N10" s="33">
        <v>4.2381930184804926</v>
      </c>
      <c r="O10" s="33">
        <v>5.5989048596851472</v>
      </c>
      <c r="P10" s="33">
        <v>9.8370978781656397</v>
      </c>
      <c r="Q10" s="33" t="s">
        <v>7</v>
      </c>
      <c r="R10" s="33" t="s">
        <v>7</v>
      </c>
      <c r="S10" s="33" t="s">
        <v>7</v>
      </c>
      <c r="T10" s="34">
        <v>6</v>
      </c>
      <c r="U10" s="34">
        <v>18</v>
      </c>
      <c r="V10" s="4" t="s">
        <v>1</v>
      </c>
      <c r="W10" s="4">
        <v>1</v>
      </c>
      <c r="X10" s="4">
        <v>1</v>
      </c>
      <c r="Y10" s="4">
        <v>1</v>
      </c>
      <c r="Z10" s="56">
        <v>3</v>
      </c>
      <c r="AA10" s="9" cm="1">
        <f t="array" ref="AA10">IF(OR(AB10:AE10=""),"BLANK",IF(AND(AB10:AE10&lt;999),1,IF(AND(AB10:AE10="NA"),3,2)))</f>
        <v>1</v>
      </c>
      <c r="AB10" s="4">
        <v>38</v>
      </c>
      <c r="AC10" s="4">
        <v>19</v>
      </c>
      <c r="AD10" s="4">
        <v>15</v>
      </c>
      <c r="AE10" s="5">
        <v>72</v>
      </c>
      <c r="AF10" s="9">
        <f t="shared" si="0"/>
        <v>3</v>
      </c>
      <c r="AG10" s="5" t="s">
        <v>7</v>
      </c>
      <c r="AH10" s="9" cm="1">
        <f t="array" ref="AH10">IF(OR(AI10:AN10=""),"BLANK",IF(AND(AI10:AN10&lt;99),1,IF(AND(AI10:AN10="NA"),3,2)))</f>
        <v>3</v>
      </c>
      <c r="AI10" s="4" t="s">
        <v>7</v>
      </c>
      <c r="AJ10" s="4" t="s">
        <v>7</v>
      </c>
      <c r="AK10" s="4" t="s">
        <v>7</v>
      </c>
      <c r="AL10" s="4" t="s">
        <v>7</v>
      </c>
      <c r="AM10" s="4" t="s">
        <v>7</v>
      </c>
      <c r="AN10" s="5" t="s">
        <v>7</v>
      </c>
    </row>
    <row r="11" spans="1:40" x14ac:dyDescent="0.2">
      <c r="A11" s="39">
        <v>110</v>
      </c>
      <c r="B11" s="4" t="s">
        <v>52</v>
      </c>
      <c r="C11" s="30" t="s">
        <v>23</v>
      </c>
      <c r="D11" s="30">
        <v>5</v>
      </c>
      <c r="E11" s="30">
        <v>0</v>
      </c>
      <c r="F11" s="4">
        <v>4</v>
      </c>
      <c r="G11" s="30">
        <v>28</v>
      </c>
      <c r="H11" s="33">
        <v>4.3039014373716631</v>
      </c>
      <c r="I11" s="33" t="s">
        <v>7</v>
      </c>
      <c r="J11" s="33" t="s">
        <v>7</v>
      </c>
      <c r="K11" s="33">
        <v>4</v>
      </c>
      <c r="L11" s="33" t="s">
        <v>7</v>
      </c>
      <c r="M11" s="33" t="s">
        <v>7</v>
      </c>
      <c r="N11" s="33">
        <v>4.2546201232032859</v>
      </c>
      <c r="O11" s="33" t="s">
        <v>7</v>
      </c>
      <c r="P11" s="33" t="s">
        <v>7</v>
      </c>
      <c r="Q11" s="33" t="s">
        <v>7</v>
      </c>
      <c r="R11" s="33" t="s">
        <v>7</v>
      </c>
      <c r="S11" s="33" t="s">
        <v>7</v>
      </c>
      <c r="T11" s="34">
        <v>3</v>
      </c>
      <c r="U11" s="34">
        <v>14</v>
      </c>
      <c r="V11" s="4" t="s">
        <v>1</v>
      </c>
      <c r="W11" s="4">
        <v>1</v>
      </c>
      <c r="X11" s="4">
        <v>1</v>
      </c>
      <c r="Y11" s="4">
        <v>1</v>
      </c>
      <c r="Z11" s="56">
        <v>3</v>
      </c>
      <c r="AA11" s="9" cm="1">
        <f t="array" ref="AA11">IF(OR(AB11:AE11=""),"BLANK",IF(AND(AB11:AE11&lt;999),1,IF(AND(AB11:AE11="NA"),3,2)))</f>
        <v>1</v>
      </c>
      <c r="AB11" s="4">
        <v>32</v>
      </c>
      <c r="AC11" s="4">
        <v>20</v>
      </c>
      <c r="AD11" s="4">
        <v>14</v>
      </c>
      <c r="AE11" s="5">
        <v>66</v>
      </c>
      <c r="AF11" s="9">
        <f t="shared" si="0"/>
        <v>3</v>
      </c>
      <c r="AG11" s="5" t="s">
        <v>7</v>
      </c>
      <c r="AH11" s="9" cm="1">
        <f t="array" ref="AH11">IF(OR(AI11:AN11=""),"BLANK",IF(AND(AI11:AN11&lt;99),1,IF(AND(AI11:AN11="NA"),3,2)))</f>
        <v>3</v>
      </c>
      <c r="AI11" s="4" t="s">
        <v>7</v>
      </c>
      <c r="AJ11" s="4" t="s">
        <v>7</v>
      </c>
      <c r="AK11" s="4" t="s">
        <v>7</v>
      </c>
      <c r="AL11" s="4" t="s">
        <v>7</v>
      </c>
      <c r="AM11" s="4" t="s">
        <v>7</v>
      </c>
      <c r="AN11" s="5" t="s">
        <v>7</v>
      </c>
    </row>
    <row r="12" spans="1:40" x14ac:dyDescent="0.2">
      <c r="A12" s="39">
        <v>133</v>
      </c>
      <c r="B12" s="4" t="s">
        <v>53</v>
      </c>
      <c r="C12" s="30" t="s">
        <v>23</v>
      </c>
      <c r="D12" s="30">
        <v>5</v>
      </c>
      <c r="E12" s="30">
        <v>0</v>
      </c>
      <c r="F12" s="4">
        <v>3.2730000000000001</v>
      </c>
      <c r="G12" s="30">
        <v>29</v>
      </c>
      <c r="H12" s="33">
        <v>4.3285420944558526</v>
      </c>
      <c r="I12" s="33" t="s">
        <v>7</v>
      </c>
      <c r="J12" s="33" t="s">
        <v>7</v>
      </c>
      <c r="K12" s="33">
        <v>4.3696098562628336</v>
      </c>
      <c r="L12" s="33" t="s">
        <v>7</v>
      </c>
      <c r="M12" s="33" t="s">
        <v>7</v>
      </c>
      <c r="N12" s="33">
        <v>4.2737850787132103</v>
      </c>
      <c r="O12" s="33" t="s">
        <v>7</v>
      </c>
      <c r="P12" s="33" t="s">
        <v>7</v>
      </c>
      <c r="Q12" s="33" t="s">
        <v>7</v>
      </c>
      <c r="R12" s="33" t="s">
        <v>7</v>
      </c>
      <c r="S12" s="33" t="s">
        <v>7</v>
      </c>
      <c r="T12" s="34">
        <v>5</v>
      </c>
      <c r="U12" s="34">
        <v>17</v>
      </c>
      <c r="V12" s="4" t="s">
        <v>1</v>
      </c>
      <c r="W12" s="4">
        <v>1</v>
      </c>
      <c r="X12" s="4">
        <v>1</v>
      </c>
      <c r="Y12" s="4">
        <v>1</v>
      </c>
      <c r="Z12" s="56">
        <v>3</v>
      </c>
      <c r="AA12" s="9" cm="1">
        <f t="array" ref="AA12">IF(OR(AB12:AE12=""),"BLANK",IF(AND(AB12:AE12&lt;999),1,IF(AND(AB12:AE12="NA"),3,2)))</f>
        <v>1</v>
      </c>
      <c r="AB12" s="4">
        <v>40</v>
      </c>
      <c r="AC12" s="4">
        <v>24</v>
      </c>
      <c r="AD12" s="4">
        <v>16</v>
      </c>
      <c r="AE12" s="5">
        <v>80</v>
      </c>
      <c r="AF12" s="9">
        <f t="shared" si="0"/>
        <v>1</v>
      </c>
      <c r="AG12" s="5">
        <v>61</v>
      </c>
      <c r="AH12" s="9" cm="1">
        <f t="array" ref="AH12">IF(OR(AI12:AN12=""),"BLANK",IF(AND(AI12:AN12&lt;99),1,IF(AND(AI12:AN12="NA"),3,2)))</f>
        <v>3</v>
      </c>
      <c r="AI12" s="4" t="s">
        <v>7</v>
      </c>
      <c r="AJ12" s="4" t="s">
        <v>7</v>
      </c>
      <c r="AK12" s="4" t="s">
        <v>7</v>
      </c>
      <c r="AL12" s="4" t="s">
        <v>7</v>
      </c>
      <c r="AM12" s="4" t="s">
        <v>7</v>
      </c>
      <c r="AN12" s="5" t="s">
        <v>7</v>
      </c>
    </row>
    <row r="13" spans="1:40" x14ac:dyDescent="0.2">
      <c r="A13" s="39">
        <v>135</v>
      </c>
      <c r="B13" s="4" t="s">
        <v>54</v>
      </c>
      <c r="C13" s="30" t="s">
        <v>23</v>
      </c>
      <c r="D13" s="30">
        <v>5</v>
      </c>
      <c r="E13" s="30">
        <v>0</v>
      </c>
      <c r="F13" s="4">
        <v>3.6360000000000001</v>
      </c>
      <c r="G13" s="30">
        <v>30</v>
      </c>
      <c r="H13" s="33">
        <v>4.2929500342231348</v>
      </c>
      <c r="I13" s="33" t="s">
        <v>7</v>
      </c>
      <c r="J13" s="33" t="s">
        <v>7</v>
      </c>
      <c r="K13" s="33">
        <v>4.3696098562628336</v>
      </c>
      <c r="L13" s="33" t="s">
        <v>7</v>
      </c>
      <c r="M13" s="33" t="s">
        <v>7</v>
      </c>
      <c r="N13" s="33">
        <v>4.1396303901437372</v>
      </c>
      <c r="O13" s="33" t="s">
        <v>7</v>
      </c>
      <c r="P13" s="33" t="s">
        <v>7</v>
      </c>
      <c r="Q13" s="33" t="s">
        <v>7</v>
      </c>
      <c r="R13" s="33" t="s">
        <v>7</v>
      </c>
      <c r="S13" s="33" t="s">
        <v>7</v>
      </c>
      <c r="T13" s="34">
        <v>6</v>
      </c>
      <c r="U13" s="34">
        <v>18</v>
      </c>
      <c r="V13" s="4" t="s">
        <v>1</v>
      </c>
      <c r="W13" s="4">
        <v>1</v>
      </c>
      <c r="X13" s="4">
        <v>1</v>
      </c>
      <c r="Y13" s="4">
        <v>1</v>
      </c>
      <c r="Z13" s="56">
        <v>3</v>
      </c>
      <c r="AA13" s="9" cm="1">
        <f t="array" ref="AA13">IF(OR(AB13:AE13=""),"BLANK",IF(AND(AB13:AE13&lt;999),1,IF(AND(AB13:AE13="NA"),3,2)))</f>
        <v>1</v>
      </c>
      <c r="AB13" s="4">
        <v>31</v>
      </c>
      <c r="AC13" s="4">
        <v>18</v>
      </c>
      <c r="AD13" s="4">
        <v>12</v>
      </c>
      <c r="AE13" s="5">
        <v>61</v>
      </c>
      <c r="AF13" s="9">
        <f t="shared" si="0"/>
        <v>1</v>
      </c>
      <c r="AG13" s="5">
        <v>63</v>
      </c>
      <c r="AH13" s="9" cm="1">
        <f t="array" ref="AH13">IF(OR(AI13:AN13=""),"BLANK",IF(AND(AI13:AN13&lt;99),1,IF(AND(AI13:AN13="NA"),3,2)))</f>
        <v>3</v>
      </c>
      <c r="AI13" s="4" t="s">
        <v>7</v>
      </c>
      <c r="AJ13" s="4" t="s">
        <v>7</v>
      </c>
      <c r="AK13" s="4" t="s">
        <v>7</v>
      </c>
      <c r="AL13" s="4" t="s">
        <v>7</v>
      </c>
      <c r="AM13" s="4" t="s">
        <v>7</v>
      </c>
      <c r="AN13" s="5" t="s">
        <v>7</v>
      </c>
    </row>
    <row r="14" spans="1:40" x14ac:dyDescent="0.2">
      <c r="A14" s="39">
        <v>138</v>
      </c>
      <c r="B14" s="4" t="s">
        <v>55</v>
      </c>
      <c r="C14" s="30" t="s">
        <v>23</v>
      </c>
      <c r="D14" s="30">
        <v>6</v>
      </c>
      <c r="E14" s="30">
        <v>1</v>
      </c>
      <c r="F14" s="4">
        <v>4</v>
      </c>
      <c r="G14" s="30">
        <v>30</v>
      </c>
      <c r="H14" s="33">
        <v>4.2080766598220398</v>
      </c>
      <c r="I14" s="33">
        <v>6.1546885694729641</v>
      </c>
      <c r="J14" s="33">
        <v>10.362765229295004</v>
      </c>
      <c r="K14" s="33">
        <v>4.2710472279260783</v>
      </c>
      <c r="L14" s="33">
        <v>6.0725530458590002</v>
      </c>
      <c r="M14" s="33">
        <v>10.343600273785079</v>
      </c>
      <c r="N14" s="33">
        <v>4.128678986995209</v>
      </c>
      <c r="O14" s="33">
        <v>5.8370978781656397</v>
      </c>
      <c r="P14" s="33">
        <v>9.9657768651608496</v>
      </c>
      <c r="Q14" s="33" t="s">
        <v>7</v>
      </c>
      <c r="R14" s="33" t="s">
        <v>7</v>
      </c>
      <c r="S14" s="33" t="s">
        <v>7</v>
      </c>
      <c r="T14" s="34">
        <v>5</v>
      </c>
      <c r="U14" s="34">
        <v>18</v>
      </c>
      <c r="V14" s="4" t="s">
        <v>1</v>
      </c>
      <c r="W14" s="4">
        <v>1</v>
      </c>
      <c r="X14" s="4">
        <v>1</v>
      </c>
      <c r="Y14" s="4">
        <v>1</v>
      </c>
      <c r="Z14" s="56">
        <v>3</v>
      </c>
      <c r="AA14" s="9" cm="1">
        <f t="array" ref="AA14">IF(OR(AB14:AE14=""),"BLANK",IF(AND(AB14:AE14&lt;999),1,IF(AND(AB14:AE14="NA"),3,2)))</f>
        <v>1</v>
      </c>
      <c r="AB14" s="4">
        <v>39</v>
      </c>
      <c r="AC14" s="4">
        <v>17</v>
      </c>
      <c r="AD14" s="4">
        <v>12</v>
      </c>
      <c r="AE14" s="5">
        <v>68</v>
      </c>
      <c r="AF14" s="9">
        <f t="shared" si="0"/>
        <v>1</v>
      </c>
      <c r="AG14" s="5">
        <v>60</v>
      </c>
      <c r="AH14" s="9" cm="1">
        <f t="array" ref="AH14">IF(OR(AI14:AN14=""),"BLANK",IF(AND(AI14:AN14&lt;99),1,IF(AND(AI14:AN14="NA"),3,2)))</f>
        <v>3</v>
      </c>
      <c r="AI14" s="4" t="s">
        <v>7</v>
      </c>
      <c r="AJ14" s="4" t="s">
        <v>7</v>
      </c>
      <c r="AK14" s="4" t="s">
        <v>7</v>
      </c>
      <c r="AL14" s="4" t="s">
        <v>7</v>
      </c>
      <c r="AM14" s="4" t="s">
        <v>7</v>
      </c>
      <c r="AN14" s="5" t="s">
        <v>7</v>
      </c>
    </row>
    <row r="15" spans="1:40" x14ac:dyDescent="0.2">
      <c r="A15" s="39">
        <v>139</v>
      </c>
      <c r="B15" s="4" t="s">
        <v>56</v>
      </c>
      <c r="C15" s="30" t="s">
        <v>23</v>
      </c>
      <c r="D15" s="30">
        <v>5</v>
      </c>
      <c r="E15" s="30">
        <v>0</v>
      </c>
      <c r="F15" s="4">
        <v>3.1819999999999999</v>
      </c>
      <c r="G15" s="30">
        <v>30</v>
      </c>
      <c r="H15" s="33">
        <v>4.5092402464065708</v>
      </c>
      <c r="I15" s="33">
        <v>5.6673511293634498</v>
      </c>
      <c r="J15" s="33">
        <v>10.17659137577002</v>
      </c>
      <c r="K15" s="33">
        <v>4.7392197125256672</v>
      </c>
      <c r="L15" s="33">
        <v>5.5605749486652973</v>
      </c>
      <c r="M15" s="33">
        <v>10.299794661190965</v>
      </c>
      <c r="N15" s="33">
        <v>4.3175906913073234</v>
      </c>
      <c r="O15" s="33">
        <v>5.6673511293634498</v>
      </c>
      <c r="P15" s="33">
        <v>9.9849418206707732</v>
      </c>
      <c r="Q15" s="33" t="s">
        <v>7</v>
      </c>
      <c r="R15" s="33" t="s">
        <v>7</v>
      </c>
      <c r="S15" s="33" t="s">
        <v>7</v>
      </c>
      <c r="T15" s="34">
        <v>5</v>
      </c>
      <c r="U15" s="34">
        <v>17</v>
      </c>
      <c r="V15" s="4" t="s">
        <v>1</v>
      </c>
      <c r="W15" s="4">
        <v>1</v>
      </c>
      <c r="X15" s="4">
        <v>1</v>
      </c>
      <c r="Y15" s="4">
        <v>1</v>
      </c>
      <c r="Z15" s="56">
        <v>3</v>
      </c>
      <c r="AA15" s="9" cm="1">
        <f t="array" ref="AA15">IF(OR(AB15:AE15=""),"BLANK",IF(AND(AB15:AE15&lt;999),1,IF(AND(AB15:AE15="NA"),3,2)))</f>
        <v>1</v>
      </c>
      <c r="AB15" s="4">
        <v>33</v>
      </c>
      <c r="AC15" s="4">
        <v>17</v>
      </c>
      <c r="AD15" s="4">
        <v>12</v>
      </c>
      <c r="AE15" s="5">
        <v>62</v>
      </c>
      <c r="AF15" s="9">
        <f t="shared" si="0"/>
        <v>3</v>
      </c>
      <c r="AG15" s="5" t="s">
        <v>7</v>
      </c>
      <c r="AH15" s="9" cm="1">
        <f t="array" ref="AH15">IF(OR(AI15:AN15=""),"BLANK",IF(AND(AI15:AN15&lt;99),1,IF(AND(AI15:AN15="NA"),3,2)))</f>
        <v>3</v>
      </c>
      <c r="AI15" s="4" t="s">
        <v>7</v>
      </c>
      <c r="AJ15" s="4" t="s">
        <v>7</v>
      </c>
      <c r="AK15" s="4" t="s">
        <v>7</v>
      </c>
      <c r="AL15" s="4" t="s">
        <v>7</v>
      </c>
      <c r="AM15" s="4" t="s">
        <v>7</v>
      </c>
      <c r="AN15" s="5" t="s">
        <v>7</v>
      </c>
    </row>
    <row r="16" spans="1:40" x14ac:dyDescent="0.2">
      <c r="A16" s="39">
        <v>140</v>
      </c>
      <c r="B16" s="4" t="s">
        <v>57</v>
      </c>
      <c r="C16" s="30" t="s">
        <v>23</v>
      </c>
      <c r="D16" s="30">
        <v>5</v>
      </c>
      <c r="E16" s="30">
        <v>0</v>
      </c>
      <c r="F16" s="4">
        <v>3.8180000000000001</v>
      </c>
      <c r="G16" s="30">
        <v>27</v>
      </c>
      <c r="H16" s="33">
        <v>4.6543463381245722</v>
      </c>
      <c r="I16" s="33" t="s">
        <v>7</v>
      </c>
      <c r="J16" s="33" t="s">
        <v>7</v>
      </c>
      <c r="K16" s="33">
        <v>4.6433949349760439</v>
      </c>
      <c r="L16" s="33" t="s">
        <v>7</v>
      </c>
      <c r="M16" s="33" t="s">
        <v>7</v>
      </c>
      <c r="N16" s="33">
        <v>4.5557837097878169</v>
      </c>
      <c r="O16" s="33" t="s">
        <v>7</v>
      </c>
      <c r="P16" s="33" t="s">
        <v>7</v>
      </c>
      <c r="Q16" s="33" t="s">
        <v>7</v>
      </c>
      <c r="R16" s="33" t="s">
        <v>7</v>
      </c>
      <c r="S16" s="33" t="s">
        <v>7</v>
      </c>
      <c r="T16" s="34">
        <v>3</v>
      </c>
      <c r="U16" s="34">
        <v>15</v>
      </c>
      <c r="V16" s="4" t="s">
        <v>1</v>
      </c>
      <c r="W16" s="4">
        <v>1</v>
      </c>
      <c r="X16" s="4">
        <v>1</v>
      </c>
      <c r="Y16" s="4">
        <v>1</v>
      </c>
      <c r="Z16" s="56">
        <v>3</v>
      </c>
      <c r="AA16" s="9" cm="1">
        <f t="array" ref="AA16">IF(OR(AB16:AE16=""),"BLANK",IF(AND(AB16:AE16&lt;999),1,IF(AND(AB16:AE16="NA"),3,2)))</f>
        <v>1</v>
      </c>
      <c r="AB16" s="4">
        <v>23</v>
      </c>
      <c r="AC16" s="4">
        <v>20</v>
      </c>
      <c r="AD16" s="4">
        <v>15</v>
      </c>
      <c r="AE16" s="5">
        <v>58</v>
      </c>
      <c r="AF16" s="9">
        <f t="shared" si="0"/>
        <v>1</v>
      </c>
      <c r="AG16" s="5">
        <v>50</v>
      </c>
      <c r="AH16" s="9" cm="1">
        <f t="array" ref="AH16">IF(OR(AI16:AN16=""),"BLANK",IF(AND(AI16:AN16&lt;99),1,IF(AND(AI16:AN16="NA"),3,2)))</f>
        <v>3</v>
      </c>
      <c r="AI16" s="4" t="s">
        <v>7</v>
      </c>
      <c r="AJ16" s="4" t="s">
        <v>7</v>
      </c>
      <c r="AK16" s="4" t="s">
        <v>7</v>
      </c>
      <c r="AL16" s="4" t="s">
        <v>7</v>
      </c>
      <c r="AM16" s="4" t="s">
        <v>7</v>
      </c>
      <c r="AN16" s="5" t="s">
        <v>7</v>
      </c>
    </row>
    <row r="17" spans="1:40" x14ac:dyDescent="0.2">
      <c r="A17" s="39">
        <v>141</v>
      </c>
      <c r="B17" s="4" t="s">
        <v>46</v>
      </c>
      <c r="C17" s="30" t="s">
        <v>24</v>
      </c>
      <c r="D17" s="30">
        <v>5</v>
      </c>
      <c r="E17" s="30">
        <v>0</v>
      </c>
      <c r="F17" s="4">
        <v>3.3639999999999999</v>
      </c>
      <c r="G17" s="30">
        <v>29</v>
      </c>
      <c r="H17" s="33">
        <v>4.3093771389459272</v>
      </c>
      <c r="I17" s="33" t="s">
        <v>7</v>
      </c>
      <c r="J17" s="33" t="s">
        <v>7</v>
      </c>
      <c r="K17" s="33">
        <v>4.3696098562628336</v>
      </c>
      <c r="L17" s="33" t="s">
        <v>7</v>
      </c>
      <c r="M17" s="33" t="s">
        <v>7</v>
      </c>
      <c r="N17" s="33">
        <v>4.2710472279260783</v>
      </c>
      <c r="O17" s="33" t="s">
        <v>7</v>
      </c>
      <c r="P17" s="33" t="s">
        <v>7</v>
      </c>
      <c r="Q17" s="33" t="s">
        <v>7</v>
      </c>
      <c r="R17" s="33" t="s">
        <v>7</v>
      </c>
      <c r="S17" s="33" t="s">
        <v>7</v>
      </c>
      <c r="T17" s="34">
        <v>7</v>
      </c>
      <c r="U17" s="34">
        <v>21</v>
      </c>
      <c r="V17" s="4" t="s">
        <v>1</v>
      </c>
      <c r="W17" s="4">
        <v>1</v>
      </c>
      <c r="X17" s="4">
        <v>1</v>
      </c>
      <c r="Y17" s="4">
        <v>1</v>
      </c>
      <c r="Z17" s="56">
        <v>3</v>
      </c>
      <c r="AA17" s="9" cm="1">
        <f t="array" ref="AA17">IF(OR(AB17:AE17=""),"BLANK",IF(AND(AB17:AE17&lt;999),1,IF(AND(AB17:AE17="NA"),3,2)))</f>
        <v>1</v>
      </c>
      <c r="AB17" s="4">
        <v>35</v>
      </c>
      <c r="AC17" s="4">
        <v>22</v>
      </c>
      <c r="AD17" s="4">
        <v>11</v>
      </c>
      <c r="AE17" s="5">
        <v>68</v>
      </c>
      <c r="AF17" s="9">
        <f t="shared" si="0"/>
        <v>1</v>
      </c>
      <c r="AG17" s="5">
        <v>47</v>
      </c>
      <c r="AH17" s="9" cm="1">
        <f t="array" ref="AH17">IF(OR(AI17:AN17=""),"BLANK",IF(AND(AI17:AN17&lt;99),1,IF(AND(AI17:AN17="NA"),3,2)))</f>
        <v>3</v>
      </c>
      <c r="AI17" s="4" t="s">
        <v>7</v>
      </c>
      <c r="AJ17" s="4" t="s">
        <v>7</v>
      </c>
      <c r="AK17" s="4" t="s">
        <v>7</v>
      </c>
      <c r="AL17" s="4" t="s">
        <v>7</v>
      </c>
      <c r="AM17" s="4" t="s">
        <v>7</v>
      </c>
      <c r="AN17" s="5" t="s">
        <v>7</v>
      </c>
    </row>
    <row r="18" spans="1:40" x14ac:dyDescent="0.2">
      <c r="A18" s="39">
        <v>142</v>
      </c>
      <c r="B18" s="4" t="s">
        <v>54</v>
      </c>
      <c r="C18" s="30" t="s">
        <v>23</v>
      </c>
      <c r="D18" s="30">
        <v>5</v>
      </c>
      <c r="E18" s="30">
        <v>0</v>
      </c>
      <c r="F18" s="4">
        <v>3.6360000000000001</v>
      </c>
      <c r="G18" s="30">
        <v>27</v>
      </c>
      <c r="H18" s="33" t="s">
        <v>7</v>
      </c>
      <c r="I18" s="33" t="s">
        <v>7</v>
      </c>
      <c r="J18" s="33" t="s">
        <v>7</v>
      </c>
      <c r="K18" s="33" t="s">
        <v>7</v>
      </c>
      <c r="L18" s="33" t="s">
        <v>7</v>
      </c>
      <c r="M18" s="33" t="s">
        <v>7</v>
      </c>
      <c r="N18" s="33" t="s">
        <v>7</v>
      </c>
      <c r="O18" s="33" t="s">
        <v>7</v>
      </c>
      <c r="P18" s="33" t="s">
        <v>7</v>
      </c>
      <c r="Q18" s="33" t="s">
        <v>7</v>
      </c>
      <c r="R18" s="33" t="s">
        <v>7</v>
      </c>
      <c r="S18" s="33" t="s">
        <v>7</v>
      </c>
      <c r="T18" s="34">
        <v>6</v>
      </c>
      <c r="U18" s="34">
        <v>18</v>
      </c>
      <c r="V18" s="4" t="s">
        <v>1</v>
      </c>
      <c r="W18" s="4">
        <v>1</v>
      </c>
      <c r="X18" s="4">
        <v>1</v>
      </c>
      <c r="Y18" s="4">
        <v>1</v>
      </c>
      <c r="Z18" s="56">
        <v>3</v>
      </c>
      <c r="AA18" s="9" cm="1">
        <f t="array" ref="AA18">IF(OR(AB18:AE18=""),"BLANK",IF(AND(AB18:AE18&lt;999),1,IF(AND(AB18:AE18="NA"),3,2)))</f>
        <v>1</v>
      </c>
      <c r="AB18" s="4">
        <v>33</v>
      </c>
      <c r="AC18" s="4">
        <v>20</v>
      </c>
      <c r="AD18" s="4">
        <v>17</v>
      </c>
      <c r="AE18" s="5">
        <v>70</v>
      </c>
      <c r="AF18" s="9">
        <f t="shared" si="0"/>
        <v>1</v>
      </c>
      <c r="AG18" s="5">
        <v>59</v>
      </c>
      <c r="AH18" s="9" cm="1">
        <f t="array" ref="AH18">IF(OR(AI18:AN18=""),"BLANK",IF(AND(AI18:AN18&lt;99),1,IF(AND(AI18:AN18="NA"),3,2)))</f>
        <v>3</v>
      </c>
      <c r="AI18" s="4" t="s">
        <v>7</v>
      </c>
      <c r="AJ18" s="4" t="s">
        <v>7</v>
      </c>
      <c r="AK18" s="4" t="s">
        <v>7</v>
      </c>
      <c r="AL18" s="4" t="s">
        <v>7</v>
      </c>
      <c r="AM18" s="4" t="s">
        <v>7</v>
      </c>
      <c r="AN18" s="5" t="s">
        <v>7</v>
      </c>
    </row>
    <row r="19" spans="1:40" x14ac:dyDescent="0.2">
      <c r="A19" s="39">
        <v>146</v>
      </c>
      <c r="B19" s="4" t="s">
        <v>53</v>
      </c>
      <c r="C19" s="30" t="s">
        <v>23</v>
      </c>
      <c r="D19" s="30">
        <v>5</v>
      </c>
      <c r="E19" s="30">
        <v>0</v>
      </c>
      <c r="F19" s="4">
        <v>3.3639999999999999</v>
      </c>
      <c r="G19" s="30">
        <v>30</v>
      </c>
      <c r="H19" s="33">
        <v>4.4435318275154003</v>
      </c>
      <c r="I19" s="33">
        <v>5.5687885010266944</v>
      </c>
      <c r="J19" s="33">
        <v>10.012320328542094</v>
      </c>
      <c r="K19" s="33">
        <v>4.4380561259411362</v>
      </c>
      <c r="L19" s="33">
        <v>5.6153319644079396</v>
      </c>
      <c r="M19" s="33">
        <v>10.053388090349076</v>
      </c>
      <c r="N19" s="33">
        <v>4.7008898015058183</v>
      </c>
      <c r="O19" s="33">
        <v>5.28952772073922</v>
      </c>
      <c r="P19" s="33">
        <v>9.9904175222450373</v>
      </c>
      <c r="Q19" s="33" t="s">
        <v>7</v>
      </c>
      <c r="R19" s="33" t="s">
        <v>7</v>
      </c>
      <c r="S19" s="33" t="s">
        <v>7</v>
      </c>
      <c r="T19" s="34">
        <v>3</v>
      </c>
      <c r="U19" s="34">
        <v>15</v>
      </c>
      <c r="V19" s="4" t="s">
        <v>1</v>
      </c>
      <c r="W19" s="4">
        <v>1</v>
      </c>
      <c r="X19" s="4">
        <v>1</v>
      </c>
      <c r="Y19" s="4">
        <v>1</v>
      </c>
      <c r="Z19" s="56">
        <v>3</v>
      </c>
      <c r="AA19" s="9" cm="1">
        <f t="array" ref="AA19">IF(OR(AB19:AE19=""),"BLANK",IF(AND(AB19:AE19&lt;999),1,IF(AND(AB19:AE19="NA"),3,2)))</f>
        <v>1</v>
      </c>
      <c r="AB19" s="4">
        <v>36</v>
      </c>
      <c r="AC19" s="4">
        <v>23</v>
      </c>
      <c r="AD19" s="4">
        <v>16</v>
      </c>
      <c r="AE19" s="5">
        <v>75</v>
      </c>
      <c r="AF19" s="9">
        <f t="shared" si="0"/>
        <v>1</v>
      </c>
      <c r="AG19" s="5">
        <v>66</v>
      </c>
      <c r="AH19" s="9" cm="1">
        <f t="array" ref="AH19">IF(OR(AI19:AN19=""),"BLANK",IF(AND(AI19:AN19&lt;99),1,IF(AND(AI19:AN19="NA"),3,2)))</f>
        <v>3</v>
      </c>
      <c r="AI19" s="4" t="s">
        <v>7</v>
      </c>
      <c r="AJ19" s="4" t="s">
        <v>7</v>
      </c>
      <c r="AK19" s="4" t="s">
        <v>7</v>
      </c>
      <c r="AL19" s="4" t="s">
        <v>7</v>
      </c>
      <c r="AM19" s="4" t="s">
        <v>7</v>
      </c>
      <c r="AN19" s="5" t="s">
        <v>7</v>
      </c>
    </row>
    <row r="20" spans="1:40" x14ac:dyDescent="0.2">
      <c r="A20" s="39">
        <v>147</v>
      </c>
      <c r="B20" s="4" t="s">
        <v>50</v>
      </c>
      <c r="C20" s="30" t="s">
        <v>23</v>
      </c>
      <c r="D20" s="30">
        <v>5</v>
      </c>
      <c r="E20" s="30">
        <v>0</v>
      </c>
      <c r="F20" s="4">
        <v>4</v>
      </c>
      <c r="G20" s="30">
        <v>30</v>
      </c>
      <c r="H20" s="33">
        <v>4.5804243668720055</v>
      </c>
      <c r="I20" s="33">
        <v>5.8453114305270359</v>
      </c>
      <c r="J20" s="33">
        <v>10.425735797399042</v>
      </c>
      <c r="K20" s="33">
        <v>4.5804243668720055</v>
      </c>
      <c r="L20" s="33">
        <v>5.8453114305270359</v>
      </c>
      <c r="M20" s="33">
        <v>10.425735797399042</v>
      </c>
      <c r="N20" s="33">
        <v>4.0821355236139629</v>
      </c>
      <c r="O20" s="33">
        <v>5.6837782340862422</v>
      </c>
      <c r="P20" s="33">
        <v>9.765913757700206</v>
      </c>
      <c r="Q20" s="33" t="s">
        <v>7</v>
      </c>
      <c r="R20" s="33" t="s">
        <v>7</v>
      </c>
      <c r="S20" s="33" t="s">
        <v>7</v>
      </c>
      <c r="T20" s="34">
        <v>7</v>
      </c>
      <c r="U20" s="34">
        <v>21</v>
      </c>
      <c r="V20" s="4" t="s">
        <v>1</v>
      </c>
      <c r="W20" s="4">
        <v>1</v>
      </c>
      <c r="X20" s="4">
        <v>1</v>
      </c>
      <c r="Y20" s="4">
        <v>1</v>
      </c>
      <c r="Z20" s="56">
        <v>3</v>
      </c>
      <c r="AA20" s="9" cm="1">
        <f t="array" ref="AA20">IF(OR(AB20:AE20=""),"BLANK",IF(AND(AB20:AE20&lt;999),1,IF(AND(AB20:AE20="NA"),3,2)))</f>
        <v>1</v>
      </c>
      <c r="AB20" s="4">
        <v>44</v>
      </c>
      <c r="AC20" s="4">
        <v>26</v>
      </c>
      <c r="AD20" s="4">
        <v>19</v>
      </c>
      <c r="AE20" s="5">
        <v>89</v>
      </c>
      <c r="AF20" s="9">
        <f t="shared" si="0"/>
        <v>1</v>
      </c>
      <c r="AG20" s="5">
        <v>62</v>
      </c>
      <c r="AH20" s="9" cm="1">
        <f t="array" ref="AH20">IF(OR(AI20:AN20=""),"BLANK",IF(AND(AI20:AN20&lt;99),1,IF(AND(AI20:AN20="NA"),3,2)))</f>
        <v>3</v>
      </c>
      <c r="AI20" s="4" t="s">
        <v>7</v>
      </c>
      <c r="AJ20" s="4" t="s">
        <v>7</v>
      </c>
      <c r="AK20" s="4" t="s">
        <v>7</v>
      </c>
      <c r="AL20" s="4" t="s">
        <v>7</v>
      </c>
      <c r="AM20" s="4" t="s">
        <v>7</v>
      </c>
      <c r="AN20" s="5" t="s">
        <v>7</v>
      </c>
    </row>
    <row r="21" spans="1:40" x14ac:dyDescent="0.2">
      <c r="A21" s="39">
        <v>149</v>
      </c>
      <c r="B21" s="4" t="s">
        <v>58</v>
      </c>
      <c r="C21" s="30" t="s">
        <v>23</v>
      </c>
      <c r="D21" s="30">
        <v>5</v>
      </c>
      <c r="E21" s="30">
        <v>0</v>
      </c>
      <c r="F21" s="4">
        <v>3.9089999999999998</v>
      </c>
      <c r="G21" s="30">
        <v>30</v>
      </c>
      <c r="H21" s="33">
        <v>4.3394934976043809</v>
      </c>
      <c r="I21" s="33">
        <v>5.9000684462696782</v>
      </c>
      <c r="J21" s="33">
        <v>10.239561943874058</v>
      </c>
      <c r="K21" s="33">
        <v>4.4161533196440796</v>
      </c>
      <c r="L21" s="33">
        <v>5.8836413415468858</v>
      </c>
      <c r="M21" s="33">
        <v>10.299794661190965</v>
      </c>
      <c r="N21" s="33">
        <v>4.2190280629705681</v>
      </c>
      <c r="O21" s="33">
        <v>5.5660506502395624</v>
      </c>
      <c r="P21" s="33">
        <v>9.7850787132101296</v>
      </c>
      <c r="Q21" s="33" t="s">
        <v>7</v>
      </c>
      <c r="R21" s="33" t="s">
        <v>7</v>
      </c>
      <c r="S21" s="33" t="s">
        <v>7</v>
      </c>
      <c r="T21" s="34">
        <v>6</v>
      </c>
      <c r="U21" s="34">
        <v>18</v>
      </c>
      <c r="V21" s="4" t="s">
        <v>1</v>
      </c>
      <c r="W21" s="4">
        <v>1</v>
      </c>
      <c r="X21" s="4">
        <v>1</v>
      </c>
      <c r="Y21" s="4">
        <v>1</v>
      </c>
      <c r="Z21" s="56">
        <v>3</v>
      </c>
      <c r="AA21" s="9" cm="1">
        <f t="array" ref="AA21">IF(OR(AB21:AE21=""),"BLANK",IF(AND(AB21:AE21&lt;999),1,IF(AND(AB21:AE21="NA"),3,2)))</f>
        <v>1</v>
      </c>
      <c r="AB21" s="4">
        <v>31</v>
      </c>
      <c r="AC21" s="4">
        <v>19</v>
      </c>
      <c r="AD21" s="4">
        <v>13</v>
      </c>
      <c r="AE21" s="5">
        <v>63</v>
      </c>
      <c r="AF21" s="9">
        <f t="shared" si="0"/>
        <v>1</v>
      </c>
      <c r="AG21" s="5">
        <v>54</v>
      </c>
      <c r="AH21" s="9" cm="1">
        <f t="array" ref="AH21">IF(OR(AI21:AN21=""),"BLANK",IF(AND(AI21:AN21&lt;99),1,IF(AND(AI21:AN21="NA"),3,2)))</f>
        <v>3</v>
      </c>
      <c r="AI21" s="4" t="s">
        <v>7</v>
      </c>
      <c r="AJ21" s="4" t="s">
        <v>7</v>
      </c>
      <c r="AK21" s="4" t="s">
        <v>7</v>
      </c>
      <c r="AL21" s="4" t="s">
        <v>7</v>
      </c>
      <c r="AM21" s="4" t="s">
        <v>7</v>
      </c>
      <c r="AN21" s="5" t="s">
        <v>7</v>
      </c>
    </row>
    <row r="22" spans="1:40" x14ac:dyDescent="0.2">
      <c r="A22" s="39">
        <v>153</v>
      </c>
      <c r="B22" s="4" t="s">
        <v>59</v>
      </c>
      <c r="C22" s="30" t="s">
        <v>24</v>
      </c>
      <c r="D22" s="30">
        <v>2</v>
      </c>
      <c r="E22" s="30">
        <v>0</v>
      </c>
      <c r="F22" s="4">
        <v>4</v>
      </c>
      <c r="G22" s="30">
        <v>27</v>
      </c>
      <c r="H22" s="33" t="s">
        <v>7</v>
      </c>
      <c r="I22" s="33" t="s">
        <v>7</v>
      </c>
      <c r="J22" s="33" t="s">
        <v>7</v>
      </c>
      <c r="K22" s="33" t="s">
        <v>7</v>
      </c>
      <c r="L22" s="33" t="s">
        <v>7</v>
      </c>
      <c r="M22" s="33" t="s">
        <v>7</v>
      </c>
      <c r="N22" s="33" t="s">
        <v>7</v>
      </c>
      <c r="O22" s="33" t="s">
        <v>7</v>
      </c>
      <c r="P22" s="33" t="s">
        <v>7</v>
      </c>
      <c r="Q22" s="33" t="s">
        <v>7</v>
      </c>
      <c r="R22" s="33" t="s">
        <v>7</v>
      </c>
      <c r="S22" s="33" t="s">
        <v>7</v>
      </c>
      <c r="T22" s="34">
        <v>7</v>
      </c>
      <c r="U22" s="34">
        <v>21</v>
      </c>
      <c r="V22" s="4" t="s">
        <v>1</v>
      </c>
      <c r="W22" s="4">
        <v>1</v>
      </c>
      <c r="X22" s="4">
        <v>1</v>
      </c>
      <c r="Y22" s="4">
        <v>1</v>
      </c>
      <c r="Z22" s="56">
        <v>3</v>
      </c>
      <c r="AA22" s="9" cm="1">
        <f t="array" ref="AA22">IF(OR(AB22:AE22=""),"BLANK",IF(AND(AB22:AE22&lt;999),1,IF(AND(AB22:AE22="NA"),3,2)))</f>
        <v>1</v>
      </c>
      <c r="AB22" s="4">
        <v>32</v>
      </c>
      <c r="AC22" s="4">
        <v>16</v>
      </c>
      <c r="AD22" s="4">
        <v>8</v>
      </c>
      <c r="AE22" s="5">
        <v>56</v>
      </c>
      <c r="AF22" s="9">
        <f t="shared" si="0"/>
        <v>1</v>
      </c>
      <c r="AG22" s="5">
        <v>44</v>
      </c>
      <c r="AH22" s="9" cm="1">
        <f t="array" ref="AH22">IF(OR(AI22:AN22=""),"BLANK",IF(AND(AI22:AN22&lt;99),1,IF(AND(AI22:AN22="NA"),3,2)))</f>
        <v>3</v>
      </c>
      <c r="AI22" s="4" t="s">
        <v>7</v>
      </c>
      <c r="AJ22" s="4" t="s">
        <v>7</v>
      </c>
      <c r="AK22" s="4" t="s">
        <v>7</v>
      </c>
      <c r="AL22" s="4" t="s">
        <v>7</v>
      </c>
      <c r="AM22" s="4" t="s">
        <v>7</v>
      </c>
      <c r="AN22" s="5" t="s">
        <v>7</v>
      </c>
    </row>
    <row r="23" spans="1:40" x14ac:dyDescent="0.2">
      <c r="A23" s="39">
        <v>155</v>
      </c>
      <c r="B23" s="4" t="s">
        <v>53</v>
      </c>
      <c r="C23" s="30" t="s">
        <v>24</v>
      </c>
      <c r="D23" s="30">
        <v>5</v>
      </c>
      <c r="E23" s="30">
        <v>0</v>
      </c>
      <c r="F23" s="4">
        <v>3.4550000000000001</v>
      </c>
      <c r="G23" s="30">
        <v>26</v>
      </c>
      <c r="H23" s="33" t="s">
        <v>7</v>
      </c>
      <c r="I23" s="33" t="s">
        <v>7</v>
      </c>
      <c r="J23" s="33" t="s">
        <v>7</v>
      </c>
      <c r="K23" s="33" t="s">
        <v>7</v>
      </c>
      <c r="L23" s="33" t="s">
        <v>7</v>
      </c>
      <c r="M23" s="33" t="s">
        <v>7</v>
      </c>
      <c r="N23" s="33" t="s">
        <v>7</v>
      </c>
      <c r="O23" s="33" t="s">
        <v>7</v>
      </c>
      <c r="P23" s="33" t="s">
        <v>7</v>
      </c>
      <c r="Q23" s="33" t="s">
        <v>7</v>
      </c>
      <c r="R23" s="33" t="s">
        <v>7</v>
      </c>
      <c r="S23" s="33" t="s">
        <v>7</v>
      </c>
      <c r="T23" s="34">
        <v>1</v>
      </c>
      <c r="U23" s="34">
        <v>11</v>
      </c>
      <c r="V23" s="4" t="s">
        <v>1</v>
      </c>
      <c r="W23" s="4">
        <v>1</v>
      </c>
      <c r="X23" s="4">
        <v>1</v>
      </c>
      <c r="Y23" s="4">
        <v>1</v>
      </c>
      <c r="Z23" s="56">
        <v>3</v>
      </c>
      <c r="AA23" s="9" cm="1">
        <f t="array" ref="AA23">IF(OR(AB23:AE23=""),"BLANK",IF(AND(AB23:AE23&lt;999),1,IF(AND(AB23:AE23="NA"),3,2)))</f>
        <v>1</v>
      </c>
      <c r="AB23" s="4">
        <v>32</v>
      </c>
      <c r="AC23" s="4">
        <v>16</v>
      </c>
      <c r="AD23" s="4">
        <v>12</v>
      </c>
      <c r="AE23" s="5">
        <v>60</v>
      </c>
      <c r="AF23" s="9">
        <f t="shared" si="0"/>
        <v>1</v>
      </c>
      <c r="AG23" s="5">
        <v>63</v>
      </c>
      <c r="AH23" s="9" cm="1">
        <f t="array" ref="AH23">IF(OR(AI23:AN23=""),"BLANK",IF(AND(AI23:AN23&lt;99),1,IF(AND(AI23:AN23="NA"),3,2)))</f>
        <v>3</v>
      </c>
      <c r="AI23" s="4" t="s">
        <v>7</v>
      </c>
      <c r="AJ23" s="4" t="s">
        <v>7</v>
      </c>
      <c r="AK23" s="4" t="s">
        <v>7</v>
      </c>
      <c r="AL23" s="4" t="s">
        <v>7</v>
      </c>
      <c r="AM23" s="4" t="s">
        <v>7</v>
      </c>
      <c r="AN23" s="5" t="s">
        <v>7</v>
      </c>
    </row>
    <row r="24" spans="1:40" x14ac:dyDescent="0.2">
      <c r="A24" s="39">
        <v>158</v>
      </c>
      <c r="B24" s="4" t="s">
        <v>48</v>
      </c>
      <c r="C24" s="30" t="s">
        <v>23</v>
      </c>
      <c r="D24" s="30">
        <v>5</v>
      </c>
      <c r="E24" s="30">
        <v>0</v>
      </c>
      <c r="F24" s="4">
        <v>4</v>
      </c>
      <c r="G24" s="30">
        <v>29</v>
      </c>
      <c r="H24" s="33">
        <v>4.5694729637234772</v>
      </c>
      <c r="I24" s="33" t="s">
        <v>7</v>
      </c>
      <c r="J24" s="33" t="s">
        <v>7</v>
      </c>
      <c r="K24" s="33">
        <v>4.5667351129363452</v>
      </c>
      <c r="L24" s="33" t="s">
        <v>7</v>
      </c>
      <c r="M24" s="33" t="s">
        <v>7</v>
      </c>
      <c r="N24" s="33">
        <v>4.5119780971937029</v>
      </c>
      <c r="O24" s="33">
        <v>6.0725530458590002</v>
      </c>
      <c r="P24" s="33">
        <v>10.584531143052704</v>
      </c>
      <c r="Q24" s="33" t="s">
        <v>7</v>
      </c>
      <c r="R24" s="33" t="s">
        <v>7</v>
      </c>
      <c r="S24" s="33" t="s">
        <v>7</v>
      </c>
      <c r="T24" s="34">
        <v>3</v>
      </c>
      <c r="U24" s="34">
        <v>14</v>
      </c>
      <c r="V24" s="4" t="s">
        <v>1</v>
      </c>
      <c r="W24" s="4">
        <v>1</v>
      </c>
      <c r="X24" s="4">
        <v>1</v>
      </c>
      <c r="Y24" s="4">
        <v>1</v>
      </c>
      <c r="Z24" s="56">
        <v>3</v>
      </c>
      <c r="AA24" s="9" cm="1">
        <f t="array" ref="AA24">IF(OR(AB24:AE24=""),"BLANK",IF(AND(AB24:AE24&lt;999),1,IF(AND(AB24:AE24="NA"),3,2)))</f>
        <v>1</v>
      </c>
      <c r="AB24" s="4">
        <v>17</v>
      </c>
      <c r="AC24" s="4">
        <v>9</v>
      </c>
      <c r="AD24" s="4">
        <v>8</v>
      </c>
      <c r="AE24" s="5">
        <v>34</v>
      </c>
      <c r="AF24" s="9">
        <f t="shared" si="0"/>
        <v>1</v>
      </c>
      <c r="AG24" s="5">
        <v>25</v>
      </c>
      <c r="AH24" s="9" cm="1">
        <f t="array" ref="AH24">IF(OR(AI24:AN24=""),"BLANK",IF(AND(AI24:AN24&lt;99),1,IF(AND(AI24:AN24="NA"),3,2)))</f>
        <v>3</v>
      </c>
      <c r="AI24" s="4" t="s">
        <v>7</v>
      </c>
      <c r="AJ24" s="4" t="s">
        <v>7</v>
      </c>
      <c r="AK24" s="4" t="s">
        <v>7</v>
      </c>
      <c r="AL24" s="4" t="s">
        <v>7</v>
      </c>
      <c r="AM24" s="4" t="s">
        <v>7</v>
      </c>
      <c r="AN24" s="5" t="s">
        <v>7</v>
      </c>
    </row>
    <row r="25" spans="1:40" x14ac:dyDescent="0.2">
      <c r="A25" s="39">
        <v>159</v>
      </c>
      <c r="B25" s="4" t="s">
        <v>60</v>
      </c>
      <c r="C25" s="30" t="s">
        <v>24</v>
      </c>
      <c r="D25" s="30">
        <v>5</v>
      </c>
      <c r="E25" s="30">
        <v>0</v>
      </c>
      <c r="F25" s="4">
        <v>3.6360000000000001</v>
      </c>
      <c r="G25" s="30">
        <v>30</v>
      </c>
      <c r="H25" s="33">
        <v>4.5804243668720055</v>
      </c>
      <c r="I25" s="33" t="s">
        <v>7</v>
      </c>
      <c r="J25" s="33" t="s">
        <v>7</v>
      </c>
      <c r="K25" s="33">
        <v>4.5393566050650236</v>
      </c>
      <c r="L25" s="33" t="s">
        <v>7</v>
      </c>
      <c r="M25" s="33" t="s">
        <v>7</v>
      </c>
      <c r="N25" s="33">
        <v>4.5557837097878169</v>
      </c>
      <c r="O25" s="33" t="s">
        <v>7</v>
      </c>
      <c r="P25" s="33" t="s">
        <v>7</v>
      </c>
      <c r="Q25" s="33" t="s">
        <v>7</v>
      </c>
      <c r="R25" s="33" t="s">
        <v>7</v>
      </c>
      <c r="S25" s="33" t="s">
        <v>7</v>
      </c>
      <c r="T25" s="34">
        <v>4</v>
      </c>
      <c r="U25" s="34">
        <v>16</v>
      </c>
      <c r="V25" s="4" t="s">
        <v>1</v>
      </c>
      <c r="W25" s="4">
        <v>1</v>
      </c>
      <c r="X25" s="4">
        <v>1</v>
      </c>
      <c r="Y25" s="4">
        <v>1</v>
      </c>
      <c r="Z25" s="56">
        <v>3</v>
      </c>
      <c r="AA25" s="9" cm="1">
        <f t="array" ref="AA25">IF(OR(AB25:AE25=""),"BLANK",IF(AND(AB25:AE25&lt;999),1,IF(AND(AB25:AE25="NA"),3,2)))</f>
        <v>1</v>
      </c>
      <c r="AB25" s="4">
        <v>33</v>
      </c>
      <c r="AC25" s="4">
        <v>18</v>
      </c>
      <c r="AD25" s="4">
        <v>13</v>
      </c>
      <c r="AE25" s="5">
        <v>64</v>
      </c>
      <c r="AF25" s="9">
        <f t="shared" si="0"/>
        <v>1</v>
      </c>
      <c r="AG25" s="5">
        <v>67</v>
      </c>
      <c r="AH25" s="9" cm="1">
        <f t="array" ref="AH25">IF(OR(AI25:AN25=""),"BLANK",IF(AND(AI25:AN25&lt;99),1,IF(AND(AI25:AN25="NA"),3,2)))</f>
        <v>3</v>
      </c>
      <c r="AI25" s="4" t="s">
        <v>7</v>
      </c>
      <c r="AJ25" s="4" t="s">
        <v>7</v>
      </c>
      <c r="AK25" s="4" t="s">
        <v>7</v>
      </c>
      <c r="AL25" s="4" t="s">
        <v>7</v>
      </c>
      <c r="AM25" s="4" t="s">
        <v>7</v>
      </c>
      <c r="AN25" s="5" t="s">
        <v>7</v>
      </c>
    </row>
    <row r="26" spans="1:40" x14ac:dyDescent="0.2">
      <c r="A26" s="39">
        <v>162</v>
      </c>
      <c r="B26" s="4" t="s">
        <v>51</v>
      </c>
      <c r="C26" s="30" t="s">
        <v>24</v>
      </c>
      <c r="D26" s="30">
        <v>5</v>
      </c>
      <c r="E26" s="30">
        <v>0</v>
      </c>
      <c r="F26" s="4">
        <v>3.8180000000000001</v>
      </c>
      <c r="G26" s="30">
        <v>28</v>
      </c>
      <c r="H26" s="33">
        <v>4.2299794661190964</v>
      </c>
      <c r="I26" s="33" t="s">
        <v>7</v>
      </c>
      <c r="J26" s="33" t="s">
        <v>7</v>
      </c>
      <c r="K26" s="33">
        <v>4.3531827515400412</v>
      </c>
      <c r="L26" s="33" t="s">
        <v>7</v>
      </c>
      <c r="M26" s="33" t="s">
        <v>7</v>
      </c>
      <c r="N26" s="33">
        <v>4.2108145106091719</v>
      </c>
      <c r="O26" s="33">
        <v>5.6180698151950716</v>
      </c>
      <c r="P26" s="33">
        <v>9.8288843258042444</v>
      </c>
      <c r="Q26" s="33" t="s">
        <v>7</v>
      </c>
      <c r="R26" s="33" t="s">
        <v>7</v>
      </c>
      <c r="S26" s="33" t="s">
        <v>7</v>
      </c>
      <c r="T26" s="34">
        <v>3</v>
      </c>
      <c r="U26" s="34">
        <v>14</v>
      </c>
      <c r="V26" s="4" t="s">
        <v>1</v>
      </c>
      <c r="W26" s="4">
        <v>1</v>
      </c>
      <c r="X26" s="4">
        <v>1</v>
      </c>
      <c r="Y26" s="4">
        <v>1</v>
      </c>
      <c r="Z26" s="56">
        <v>3</v>
      </c>
      <c r="AA26" s="9" cm="1">
        <f t="array" ref="AA26">IF(OR(AB26:AE26=""),"BLANK",IF(AND(AB26:AE26&lt;999),1,IF(AND(AB26:AE26="NA"),3,2)))</f>
        <v>1</v>
      </c>
      <c r="AB26" s="4">
        <v>35</v>
      </c>
      <c r="AC26" s="4">
        <v>17</v>
      </c>
      <c r="AD26" s="4">
        <v>11</v>
      </c>
      <c r="AE26" s="5">
        <v>63</v>
      </c>
      <c r="AF26" s="9">
        <f t="shared" si="0"/>
        <v>1</v>
      </c>
      <c r="AG26" s="5">
        <v>61</v>
      </c>
      <c r="AH26" s="9" cm="1">
        <f t="array" ref="AH26">IF(OR(AI26:AN26=""),"BLANK",IF(AND(AI26:AN26&lt;99),1,IF(AND(AI26:AN26="NA"),3,2)))</f>
        <v>3</v>
      </c>
      <c r="AI26" s="4" t="s">
        <v>7</v>
      </c>
      <c r="AJ26" s="4" t="s">
        <v>7</v>
      </c>
      <c r="AK26" s="4" t="s">
        <v>7</v>
      </c>
      <c r="AL26" s="4" t="s">
        <v>7</v>
      </c>
      <c r="AM26" s="4" t="s">
        <v>7</v>
      </c>
      <c r="AN26" s="5" t="s">
        <v>7</v>
      </c>
    </row>
    <row r="27" spans="1:40" x14ac:dyDescent="0.2">
      <c r="A27" s="39">
        <v>163</v>
      </c>
      <c r="B27" s="4" t="s">
        <v>51</v>
      </c>
      <c r="C27" s="30" t="s">
        <v>23</v>
      </c>
      <c r="D27" s="30">
        <v>5</v>
      </c>
      <c r="E27" s="30">
        <v>0</v>
      </c>
      <c r="F27" s="4">
        <v>3.7269999999999999</v>
      </c>
      <c r="G27" s="30">
        <v>28</v>
      </c>
      <c r="H27" s="33">
        <v>4.2902121834360027</v>
      </c>
      <c r="I27" s="33" t="s">
        <v>7</v>
      </c>
      <c r="J27" s="33" t="s">
        <v>7</v>
      </c>
      <c r="K27" s="33">
        <v>4.2902121834360027</v>
      </c>
      <c r="L27" s="33" t="s">
        <v>7</v>
      </c>
      <c r="M27" s="33" t="s">
        <v>7</v>
      </c>
      <c r="N27" s="33">
        <v>4.2573579739904179</v>
      </c>
      <c r="O27" s="33">
        <v>5.4647501711156741</v>
      </c>
      <c r="P27" s="33">
        <v>9.7221081451060911</v>
      </c>
      <c r="Q27" s="33" t="s">
        <v>7</v>
      </c>
      <c r="R27" s="33" t="s">
        <v>7</v>
      </c>
      <c r="S27" s="33" t="s">
        <v>7</v>
      </c>
      <c r="T27" s="34">
        <v>3</v>
      </c>
      <c r="U27" s="34">
        <v>14</v>
      </c>
      <c r="V27" s="4" t="s">
        <v>1</v>
      </c>
      <c r="W27" s="4">
        <v>1</v>
      </c>
      <c r="X27" s="4">
        <v>1</v>
      </c>
      <c r="Y27" s="4">
        <v>1</v>
      </c>
      <c r="Z27" s="56">
        <v>3</v>
      </c>
      <c r="AA27" s="9" cm="1">
        <f t="array" ref="AA27">IF(OR(AB27:AE27=""),"BLANK",IF(AND(AB27:AE27&lt;999),1,IF(AND(AB27:AE27="NA"),3,2)))</f>
        <v>1</v>
      </c>
      <c r="AB27" s="4">
        <v>32</v>
      </c>
      <c r="AC27" s="4">
        <v>21</v>
      </c>
      <c r="AD27" s="4">
        <v>15</v>
      </c>
      <c r="AE27" s="5">
        <v>68</v>
      </c>
      <c r="AF27" s="9">
        <f t="shared" si="0"/>
        <v>1</v>
      </c>
      <c r="AG27" s="5">
        <v>68</v>
      </c>
      <c r="AH27" s="9" cm="1">
        <f t="array" ref="AH27">IF(OR(AI27:AN27=""),"BLANK",IF(AND(AI27:AN27&lt;99),1,IF(AND(AI27:AN27="NA"),3,2)))</f>
        <v>3</v>
      </c>
      <c r="AI27" s="4" t="s">
        <v>7</v>
      </c>
      <c r="AJ27" s="4" t="s">
        <v>7</v>
      </c>
      <c r="AK27" s="4" t="s">
        <v>7</v>
      </c>
      <c r="AL27" s="4" t="s">
        <v>7</v>
      </c>
      <c r="AM27" s="4" t="s">
        <v>7</v>
      </c>
      <c r="AN27" s="5" t="s">
        <v>7</v>
      </c>
    </row>
    <row r="28" spans="1:40" x14ac:dyDescent="0.2">
      <c r="A28" s="39">
        <v>164</v>
      </c>
      <c r="B28" s="4" t="s">
        <v>61</v>
      </c>
      <c r="C28" s="30" t="s">
        <v>24</v>
      </c>
      <c r="D28" s="30">
        <v>5</v>
      </c>
      <c r="E28" s="30">
        <v>0</v>
      </c>
      <c r="F28" s="4">
        <v>3.0910000000000002</v>
      </c>
      <c r="G28" s="30">
        <v>27</v>
      </c>
      <c r="H28" s="33">
        <v>4.3230663928815876</v>
      </c>
      <c r="I28" s="33" t="s">
        <v>7</v>
      </c>
      <c r="J28" s="33" t="s">
        <v>7</v>
      </c>
      <c r="K28" s="33">
        <v>4.3175906913073234</v>
      </c>
      <c r="L28" s="33" t="s">
        <v>7</v>
      </c>
      <c r="M28" s="33" t="s">
        <v>7</v>
      </c>
      <c r="N28" s="33">
        <v>4.344969199178645</v>
      </c>
      <c r="O28" s="33" t="s">
        <v>7</v>
      </c>
      <c r="P28" s="33" t="s">
        <v>7</v>
      </c>
      <c r="Q28" s="33" t="s">
        <v>7</v>
      </c>
      <c r="R28" s="33" t="s">
        <v>7</v>
      </c>
      <c r="S28" s="33" t="s">
        <v>7</v>
      </c>
      <c r="T28" s="34">
        <v>4</v>
      </c>
      <c r="U28" s="34">
        <v>16</v>
      </c>
      <c r="V28" s="4" t="s">
        <v>1</v>
      </c>
      <c r="W28" s="4">
        <v>1</v>
      </c>
      <c r="X28" s="4">
        <v>1</v>
      </c>
      <c r="Y28" s="4">
        <v>1</v>
      </c>
      <c r="Z28" s="56">
        <v>3</v>
      </c>
      <c r="AA28" s="9" cm="1">
        <f t="array" ref="AA28">IF(OR(AB28:AE28=""),"BLANK",IF(AND(AB28:AE28&lt;999),1,IF(AND(AB28:AE28="NA"),3,2)))</f>
        <v>1</v>
      </c>
      <c r="AB28" s="4">
        <v>31</v>
      </c>
      <c r="AC28" s="4">
        <v>13</v>
      </c>
      <c r="AD28" s="4">
        <v>8</v>
      </c>
      <c r="AE28" s="5">
        <v>52</v>
      </c>
      <c r="AF28" s="9">
        <f t="shared" si="0"/>
        <v>1</v>
      </c>
      <c r="AG28" s="5">
        <v>63</v>
      </c>
      <c r="AH28" s="9" cm="1">
        <f t="array" ref="AH28">IF(OR(AI28:AN28=""),"BLANK",IF(AND(AI28:AN28&lt;99),1,IF(AND(AI28:AN28="NA"),3,2)))</f>
        <v>3</v>
      </c>
      <c r="AI28" s="4" t="s">
        <v>7</v>
      </c>
      <c r="AJ28" s="4" t="s">
        <v>7</v>
      </c>
      <c r="AK28" s="4" t="s">
        <v>7</v>
      </c>
      <c r="AL28" s="4" t="s">
        <v>7</v>
      </c>
      <c r="AM28" s="4" t="s">
        <v>7</v>
      </c>
      <c r="AN28" s="5" t="s">
        <v>7</v>
      </c>
    </row>
    <row r="29" spans="1:40" x14ac:dyDescent="0.2">
      <c r="A29" s="39">
        <v>169</v>
      </c>
      <c r="B29" s="4" t="s">
        <v>62</v>
      </c>
      <c r="C29" s="30" t="s">
        <v>23</v>
      </c>
      <c r="D29" s="30">
        <v>5</v>
      </c>
      <c r="E29" s="30">
        <v>0</v>
      </c>
      <c r="F29" s="4">
        <v>3.7269999999999999</v>
      </c>
      <c r="G29" s="30">
        <v>29</v>
      </c>
      <c r="H29" s="33">
        <v>4.16974674880219</v>
      </c>
      <c r="I29" s="33">
        <v>5.4921286789869956</v>
      </c>
      <c r="J29" s="33">
        <v>9.6618754277891856</v>
      </c>
      <c r="K29" s="33">
        <v>4.16974674880219</v>
      </c>
      <c r="L29" s="33">
        <v>5.4921286789869956</v>
      </c>
      <c r="M29" s="33">
        <v>9.6618754277891856</v>
      </c>
      <c r="N29" s="33">
        <v>4.043805612594114</v>
      </c>
      <c r="O29" s="33">
        <v>5.2621492128678984</v>
      </c>
      <c r="P29" s="33">
        <v>9.3059548254620115</v>
      </c>
      <c r="Q29" s="33">
        <v>3.353867214236824</v>
      </c>
      <c r="R29" s="33">
        <v>6.2422997946611911</v>
      </c>
      <c r="S29" s="33">
        <v>9.5961670088980142</v>
      </c>
      <c r="T29" s="34">
        <v>4</v>
      </c>
      <c r="U29" s="34">
        <v>16</v>
      </c>
      <c r="V29" s="4" t="s">
        <v>1</v>
      </c>
      <c r="W29" s="4">
        <v>1</v>
      </c>
      <c r="X29" s="4">
        <v>1</v>
      </c>
      <c r="Y29" s="4">
        <v>1</v>
      </c>
      <c r="Z29" s="56">
        <v>3</v>
      </c>
      <c r="AA29" s="9" cm="1">
        <f t="array" ref="AA29">IF(OR(AB29:AE29=""),"BLANK",IF(AND(AB29:AE29&lt;999),1,IF(AND(AB29:AE29="NA"),3,2)))</f>
        <v>1</v>
      </c>
      <c r="AB29" s="4">
        <v>35</v>
      </c>
      <c r="AC29" s="4">
        <v>21</v>
      </c>
      <c r="AD29" s="4">
        <v>13</v>
      </c>
      <c r="AE29" s="5">
        <v>69</v>
      </c>
      <c r="AF29" s="9">
        <f t="shared" si="0"/>
        <v>1</v>
      </c>
      <c r="AG29" s="5">
        <v>58</v>
      </c>
      <c r="AH29" s="9" cm="1">
        <f t="array" ref="AH29">IF(OR(AI29:AN29=""),"BLANK",IF(AND(AI29:AN29&lt;99),1,IF(AND(AI29:AN29="NA"),3,2)))</f>
        <v>3</v>
      </c>
      <c r="AI29" s="4" t="s">
        <v>7</v>
      </c>
      <c r="AJ29" s="4" t="s">
        <v>7</v>
      </c>
      <c r="AK29" s="4" t="s">
        <v>7</v>
      </c>
      <c r="AL29" s="4" t="s">
        <v>7</v>
      </c>
      <c r="AM29" s="4" t="s">
        <v>7</v>
      </c>
      <c r="AN29" s="5" t="s">
        <v>7</v>
      </c>
    </row>
    <row r="30" spans="1:40" x14ac:dyDescent="0.2">
      <c r="A30" s="39">
        <v>174</v>
      </c>
      <c r="B30" s="4" t="s">
        <v>50</v>
      </c>
      <c r="C30" s="30" t="s">
        <v>24</v>
      </c>
      <c r="D30" s="30">
        <v>5</v>
      </c>
      <c r="E30" s="30">
        <v>0</v>
      </c>
      <c r="F30" s="4">
        <v>4</v>
      </c>
      <c r="G30" s="30">
        <v>29</v>
      </c>
      <c r="H30" s="33">
        <v>4.216290212183436</v>
      </c>
      <c r="I30" s="33">
        <v>5.9575633127994525</v>
      </c>
      <c r="J30" s="33">
        <v>10.173853524982889</v>
      </c>
      <c r="K30" s="33">
        <v>4.2737850787132103</v>
      </c>
      <c r="L30" s="33">
        <v>5.8973305954825461</v>
      </c>
      <c r="M30" s="33">
        <v>10.171115674195756</v>
      </c>
      <c r="N30" s="33">
        <v>4.2245037645448322</v>
      </c>
      <c r="O30" s="33">
        <v>5.6399726214921291</v>
      </c>
      <c r="P30" s="33">
        <v>9.8644763860369604</v>
      </c>
      <c r="Q30" s="33" t="s">
        <v>7</v>
      </c>
      <c r="R30" s="33" t="s">
        <v>7</v>
      </c>
      <c r="S30" s="33" t="s">
        <v>7</v>
      </c>
      <c r="T30" s="34">
        <v>4</v>
      </c>
      <c r="U30" s="34">
        <v>16</v>
      </c>
      <c r="V30" s="4" t="s">
        <v>1</v>
      </c>
      <c r="W30" s="4">
        <v>1</v>
      </c>
      <c r="X30" s="4">
        <v>1</v>
      </c>
      <c r="Y30" s="4">
        <v>1</v>
      </c>
      <c r="Z30" s="56">
        <v>3</v>
      </c>
      <c r="AA30" s="9" cm="1">
        <f t="array" ref="AA30">IF(OR(AB30:AE30=""),"BLANK",IF(AND(AB30:AE30&lt;999),1,IF(AND(AB30:AE30="NA"),3,2)))</f>
        <v>1</v>
      </c>
      <c r="AB30" s="4">
        <v>38</v>
      </c>
      <c r="AC30" s="4">
        <v>21</v>
      </c>
      <c r="AD30" s="4">
        <v>17</v>
      </c>
      <c r="AE30" s="5">
        <v>76</v>
      </c>
      <c r="AF30" s="9">
        <f t="shared" si="0"/>
        <v>1</v>
      </c>
      <c r="AG30" s="5">
        <v>78</v>
      </c>
      <c r="AH30" s="9" cm="1">
        <f t="array" ref="AH30">IF(OR(AI30:AN30=""),"BLANK",IF(AND(AI30:AN30&lt;99),1,IF(AND(AI30:AN30="NA"),3,2)))</f>
        <v>3</v>
      </c>
      <c r="AI30" s="4" t="s">
        <v>7</v>
      </c>
      <c r="AJ30" s="4" t="s">
        <v>7</v>
      </c>
      <c r="AK30" s="4" t="s">
        <v>7</v>
      </c>
      <c r="AL30" s="4" t="s">
        <v>7</v>
      </c>
      <c r="AM30" s="4" t="s">
        <v>7</v>
      </c>
      <c r="AN30" s="5" t="s">
        <v>7</v>
      </c>
    </row>
    <row r="31" spans="1:40" x14ac:dyDescent="0.2">
      <c r="A31" s="39">
        <v>178</v>
      </c>
      <c r="B31" s="4" t="s">
        <v>50</v>
      </c>
      <c r="C31" s="30" t="s">
        <v>24</v>
      </c>
      <c r="D31" s="30">
        <v>5</v>
      </c>
      <c r="E31" s="30">
        <v>0</v>
      </c>
      <c r="F31" s="4">
        <v>3.9089999999999998</v>
      </c>
      <c r="G31" s="30">
        <v>29</v>
      </c>
      <c r="H31" s="33">
        <v>3.5509924709103355</v>
      </c>
      <c r="I31" s="33">
        <v>5.0102669404517455</v>
      </c>
      <c r="J31" s="33">
        <v>8.5612594113620801</v>
      </c>
      <c r="K31" s="33">
        <v>3.5509924709103355</v>
      </c>
      <c r="L31" s="33">
        <v>5.1279945242984262</v>
      </c>
      <c r="M31" s="33">
        <v>8.6789869952087617</v>
      </c>
      <c r="N31" s="33">
        <v>3.5208761122518824</v>
      </c>
      <c r="O31" s="33">
        <v>5.0978781656399725</v>
      </c>
      <c r="P31" s="33">
        <v>8.6187542778918544</v>
      </c>
      <c r="Q31" s="33">
        <v>3.871321013004791</v>
      </c>
      <c r="R31" s="33">
        <v>5.1937029431895958</v>
      </c>
      <c r="S31" s="33">
        <v>9.0650239561943877</v>
      </c>
      <c r="T31" s="34">
        <v>4</v>
      </c>
      <c r="U31" s="34">
        <v>16</v>
      </c>
      <c r="V31" s="4" t="s">
        <v>1</v>
      </c>
      <c r="W31" s="4">
        <v>1</v>
      </c>
      <c r="X31" s="4">
        <v>1</v>
      </c>
      <c r="Y31" s="4">
        <v>1</v>
      </c>
      <c r="Z31" s="56">
        <v>3</v>
      </c>
      <c r="AA31" s="9" cm="1">
        <f t="array" ref="AA31">IF(OR(AB31:AE31=""),"BLANK",IF(AND(AB31:AE31&lt;999),1,IF(AND(AB31:AE31="NA"),3,2)))</f>
        <v>1</v>
      </c>
      <c r="AB31" s="4">
        <v>31</v>
      </c>
      <c r="AC31" s="4">
        <v>17</v>
      </c>
      <c r="AD31" s="4">
        <v>19</v>
      </c>
      <c r="AE31" s="5">
        <v>67</v>
      </c>
      <c r="AF31" s="9">
        <f t="shared" si="0"/>
        <v>1</v>
      </c>
      <c r="AG31" s="5">
        <v>55</v>
      </c>
      <c r="AH31" s="9" cm="1">
        <f t="array" ref="AH31">IF(OR(AI31:AN31=""),"BLANK",IF(AND(AI31:AN31&lt;99),1,IF(AND(AI31:AN31="NA"),3,2)))</f>
        <v>3</v>
      </c>
      <c r="AI31" s="4" t="s">
        <v>7</v>
      </c>
      <c r="AJ31" s="4" t="s">
        <v>7</v>
      </c>
      <c r="AK31" s="4" t="s">
        <v>7</v>
      </c>
      <c r="AL31" s="4" t="s">
        <v>7</v>
      </c>
      <c r="AM31" s="4" t="s">
        <v>7</v>
      </c>
      <c r="AN31" s="5" t="s">
        <v>7</v>
      </c>
    </row>
    <row r="32" spans="1:40" x14ac:dyDescent="0.2">
      <c r="A32" s="39">
        <v>182</v>
      </c>
      <c r="B32" s="4" t="s">
        <v>58</v>
      </c>
      <c r="C32" s="30" t="s">
        <v>24</v>
      </c>
      <c r="D32" s="30">
        <v>5</v>
      </c>
      <c r="E32" s="30">
        <v>0</v>
      </c>
      <c r="F32" s="4">
        <v>3.8180000000000001</v>
      </c>
      <c r="G32" s="30">
        <v>28</v>
      </c>
      <c r="H32" s="33" t="s">
        <v>7</v>
      </c>
      <c r="I32" s="33" t="s">
        <v>7</v>
      </c>
      <c r="J32" s="33" t="s">
        <v>7</v>
      </c>
      <c r="K32" s="33" t="s">
        <v>7</v>
      </c>
      <c r="L32" s="33" t="s">
        <v>7</v>
      </c>
      <c r="M32" s="33" t="s">
        <v>7</v>
      </c>
      <c r="N32" s="33" t="s">
        <v>7</v>
      </c>
      <c r="O32" s="33" t="s">
        <v>7</v>
      </c>
      <c r="P32" s="33" t="s">
        <v>7</v>
      </c>
      <c r="Q32" s="33" t="s">
        <v>7</v>
      </c>
      <c r="R32" s="33" t="s">
        <v>7</v>
      </c>
      <c r="S32" s="33" t="s">
        <v>7</v>
      </c>
      <c r="T32" s="34">
        <v>3</v>
      </c>
      <c r="U32" s="34">
        <v>14</v>
      </c>
      <c r="V32" s="4" t="s">
        <v>1</v>
      </c>
      <c r="W32" s="4">
        <v>1</v>
      </c>
      <c r="X32" s="4">
        <v>1</v>
      </c>
      <c r="Y32" s="4">
        <v>1</v>
      </c>
      <c r="Z32" s="56">
        <v>3</v>
      </c>
      <c r="AA32" s="9" cm="1">
        <f t="array" ref="AA32">IF(OR(AB32:AE32=""),"BLANK",IF(AND(AB32:AE32&lt;999),1,IF(AND(AB32:AE32="NA"),3,2)))</f>
        <v>1</v>
      </c>
      <c r="AB32" s="4">
        <v>29</v>
      </c>
      <c r="AC32" s="4">
        <v>21</v>
      </c>
      <c r="AD32" s="4">
        <v>13</v>
      </c>
      <c r="AE32" s="5">
        <v>63</v>
      </c>
      <c r="AF32" s="9">
        <f t="shared" si="0"/>
        <v>1</v>
      </c>
      <c r="AG32" s="5">
        <v>49</v>
      </c>
      <c r="AH32" s="9" cm="1">
        <f t="array" ref="AH32">IF(OR(AI32:AN32=""),"BLANK",IF(AND(AI32:AN32&lt;99),1,IF(AND(AI32:AN32="NA"),3,2)))</f>
        <v>3</v>
      </c>
      <c r="AI32" s="4" t="s">
        <v>7</v>
      </c>
      <c r="AJ32" s="4" t="s">
        <v>7</v>
      </c>
      <c r="AK32" s="4" t="s">
        <v>7</v>
      </c>
      <c r="AL32" s="4" t="s">
        <v>7</v>
      </c>
      <c r="AM32" s="4" t="s">
        <v>7</v>
      </c>
      <c r="AN32" s="5" t="s">
        <v>7</v>
      </c>
    </row>
    <row r="33" spans="1:40" x14ac:dyDescent="0.2">
      <c r="A33" s="39">
        <v>183</v>
      </c>
      <c r="B33" s="4" t="s">
        <v>54</v>
      </c>
      <c r="C33" s="30" t="s">
        <v>23</v>
      </c>
      <c r="D33" s="30">
        <v>5</v>
      </c>
      <c r="E33" s="30">
        <v>0</v>
      </c>
      <c r="F33" s="4">
        <v>3.6360000000000001</v>
      </c>
      <c r="G33" s="30">
        <v>29</v>
      </c>
      <c r="H33" s="33">
        <v>4.2053388090349078</v>
      </c>
      <c r="I33" s="33">
        <v>5.8261464750171115</v>
      </c>
      <c r="J33" s="33">
        <v>10.031485284052019</v>
      </c>
      <c r="K33" s="33">
        <v>4.2765229295003424</v>
      </c>
      <c r="L33" s="33">
        <v>5.7549623545516768</v>
      </c>
      <c r="M33" s="33">
        <v>10.031485284052019</v>
      </c>
      <c r="N33" s="33">
        <v>4.1971252566735116</v>
      </c>
      <c r="O33" s="33">
        <v>5.631759069130732</v>
      </c>
      <c r="P33" s="33">
        <v>9.8288843258042444</v>
      </c>
      <c r="Q33" s="33" t="s">
        <v>7</v>
      </c>
      <c r="R33" s="33" t="s">
        <v>7</v>
      </c>
      <c r="S33" s="33" t="s">
        <v>7</v>
      </c>
      <c r="T33" s="34">
        <v>5</v>
      </c>
      <c r="U33" s="34">
        <v>17</v>
      </c>
      <c r="V33" s="4" t="s">
        <v>1</v>
      </c>
      <c r="W33" s="4">
        <v>1</v>
      </c>
      <c r="X33" s="4">
        <v>1</v>
      </c>
      <c r="Y33" s="4">
        <v>1</v>
      </c>
      <c r="Z33" s="56">
        <v>3</v>
      </c>
      <c r="AA33" s="9" cm="1">
        <f t="array" ref="AA33">IF(OR(AB33:AE33=""),"BLANK",IF(AND(AB33:AE33&lt;999),1,IF(AND(AB33:AE33="NA"),3,2)))</f>
        <v>1</v>
      </c>
      <c r="AB33" s="4">
        <v>41</v>
      </c>
      <c r="AC33" s="4">
        <v>20</v>
      </c>
      <c r="AD33" s="4">
        <v>16</v>
      </c>
      <c r="AE33" s="5">
        <v>77</v>
      </c>
      <c r="AF33" s="9">
        <f t="shared" si="0"/>
        <v>1</v>
      </c>
      <c r="AG33" s="5">
        <v>66</v>
      </c>
      <c r="AH33" s="9" cm="1">
        <f t="array" ref="AH33">IF(OR(AI33:AN33=""),"BLANK",IF(AND(AI33:AN33&lt;99),1,IF(AND(AI33:AN33="NA"),3,2)))</f>
        <v>3</v>
      </c>
      <c r="AI33" s="4" t="s">
        <v>7</v>
      </c>
      <c r="AJ33" s="4" t="s">
        <v>7</v>
      </c>
      <c r="AK33" s="4" t="s">
        <v>7</v>
      </c>
      <c r="AL33" s="4" t="s">
        <v>7</v>
      </c>
      <c r="AM33" s="4" t="s">
        <v>7</v>
      </c>
      <c r="AN33" s="5" t="s">
        <v>7</v>
      </c>
    </row>
    <row r="34" spans="1:40" x14ac:dyDescent="0.2">
      <c r="A34" s="39">
        <v>189</v>
      </c>
      <c r="B34" s="4" t="s">
        <v>56</v>
      </c>
      <c r="C34" s="30" t="s">
        <v>23</v>
      </c>
      <c r="D34" s="30">
        <v>5</v>
      </c>
      <c r="E34" s="30">
        <v>0</v>
      </c>
      <c r="F34" s="4">
        <v>3.3639999999999999</v>
      </c>
      <c r="G34" s="30">
        <v>27</v>
      </c>
      <c r="H34" s="33">
        <v>4.0164271047227924</v>
      </c>
      <c r="I34" s="33">
        <v>6.2970568104038334</v>
      </c>
      <c r="J34" s="33">
        <v>10.313483915126625</v>
      </c>
      <c r="K34" s="33">
        <v>4.0164271047227924</v>
      </c>
      <c r="L34" s="33">
        <v>6.2970568104038334</v>
      </c>
      <c r="M34" s="33">
        <v>10.313483915126625</v>
      </c>
      <c r="N34" s="33">
        <v>4.3997262149212863</v>
      </c>
      <c r="O34" s="33">
        <v>5.3935660506502394</v>
      </c>
      <c r="P34" s="33">
        <v>9.7932922655715267</v>
      </c>
      <c r="Q34" s="33" t="s">
        <v>7</v>
      </c>
      <c r="R34" s="33" t="s">
        <v>7</v>
      </c>
      <c r="S34" s="33" t="s">
        <v>7</v>
      </c>
      <c r="T34" s="34">
        <v>4</v>
      </c>
      <c r="U34" s="34">
        <v>16</v>
      </c>
      <c r="V34" s="4" t="s">
        <v>1</v>
      </c>
      <c r="W34" s="4">
        <v>1</v>
      </c>
      <c r="X34" s="4">
        <v>1</v>
      </c>
      <c r="Y34" s="4">
        <v>1</v>
      </c>
      <c r="Z34" s="56">
        <v>3</v>
      </c>
      <c r="AA34" s="9" cm="1">
        <f t="array" ref="AA34">IF(OR(AB34:AE34=""),"BLANK",IF(AND(AB34:AE34&lt;999),1,IF(AND(AB34:AE34="NA"),3,2)))</f>
        <v>1</v>
      </c>
      <c r="AB34" s="4">
        <v>41</v>
      </c>
      <c r="AC34" s="4">
        <v>24</v>
      </c>
      <c r="AD34" s="4">
        <v>16</v>
      </c>
      <c r="AE34" s="5">
        <v>81</v>
      </c>
      <c r="AF34" s="9">
        <f t="shared" si="0"/>
        <v>1</v>
      </c>
      <c r="AG34" s="5">
        <v>73</v>
      </c>
      <c r="AH34" s="9" cm="1">
        <f t="array" ref="AH34">IF(OR(AI34:AN34=""),"BLANK",IF(AND(AI34:AN34&lt;99),1,IF(AND(AI34:AN34="NA"),3,2)))</f>
        <v>3</v>
      </c>
      <c r="AI34" s="4" t="s">
        <v>7</v>
      </c>
      <c r="AJ34" s="4" t="s">
        <v>7</v>
      </c>
      <c r="AK34" s="4" t="s">
        <v>7</v>
      </c>
      <c r="AL34" s="4" t="s">
        <v>7</v>
      </c>
      <c r="AM34" s="4" t="s">
        <v>7</v>
      </c>
      <c r="AN34" s="5" t="s">
        <v>7</v>
      </c>
    </row>
    <row r="35" spans="1:40" x14ac:dyDescent="0.2">
      <c r="A35" s="39">
        <v>192</v>
      </c>
      <c r="B35" s="4" t="s">
        <v>55</v>
      </c>
      <c r="C35" s="30" t="s">
        <v>23</v>
      </c>
      <c r="D35" s="30">
        <v>5</v>
      </c>
      <c r="E35" s="30">
        <v>0</v>
      </c>
      <c r="F35" s="4">
        <v>4</v>
      </c>
      <c r="G35" s="30">
        <v>28</v>
      </c>
      <c r="H35" s="33">
        <v>4.043805612594114</v>
      </c>
      <c r="I35" s="33">
        <v>5.1909650924024637</v>
      </c>
      <c r="J35" s="33">
        <v>9.2347707049965777</v>
      </c>
      <c r="K35" s="33">
        <v>4.043805612594114</v>
      </c>
      <c r="L35" s="33">
        <v>5.1909650924024637</v>
      </c>
      <c r="M35" s="33">
        <v>9.2347707049965777</v>
      </c>
      <c r="N35" s="33">
        <v>4.046543463381246</v>
      </c>
      <c r="O35" s="33">
        <v>5.1526351813826148</v>
      </c>
      <c r="P35" s="33">
        <v>9.1991786447638599</v>
      </c>
      <c r="Q35" s="33" t="s">
        <v>7</v>
      </c>
      <c r="R35" s="33" t="s">
        <v>7</v>
      </c>
      <c r="S35" s="33" t="s">
        <v>7</v>
      </c>
      <c r="T35" s="34">
        <v>7</v>
      </c>
      <c r="U35" s="34">
        <v>21</v>
      </c>
      <c r="V35" s="4" t="s">
        <v>1</v>
      </c>
      <c r="W35" s="4">
        <v>1</v>
      </c>
      <c r="X35" s="4">
        <v>1</v>
      </c>
      <c r="Y35" s="4">
        <v>1</v>
      </c>
      <c r="Z35" s="56">
        <v>3</v>
      </c>
      <c r="AA35" s="9" cm="1">
        <f t="array" ref="AA35">IF(OR(AB35:AE35=""),"BLANK",IF(AND(AB35:AE35&lt;999),1,IF(AND(AB35:AE35="NA"),3,2)))</f>
        <v>1</v>
      </c>
      <c r="AB35" s="4">
        <v>44</v>
      </c>
      <c r="AC35" s="4">
        <v>21</v>
      </c>
      <c r="AD35" s="4">
        <v>17</v>
      </c>
      <c r="AE35" s="5">
        <v>82</v>
      </c>
      <c r="AF35" s="9">
        <f t="shared" si="0"/>
        <v>1</v>
      </c>
      <c r="AG35" s="5">
        <v>82</v>
      </c>
      <c r="AH35" s="9" cm="1">
        <f t="array" ref="AH35">IF(OR(AI35:AN35=""),"BLANK",IF(AND(AI35:AN35&lt;99),1,IF(AND(AI35:AN35="NA"),3,2)))</f>
        <v>3</v>
      </c>
      <c r="AI35" s="4" t="s">
        <v>7</v>
      </c>
      <c r="AJ35" s="4" t="s">
        <v>7</v>
      </c>
      <c r="AK35" s="4" t="s">
        <v>7</v>
      </c>
      <c r="AL35" s="4" t="s">
        <v>7</v>
      </c>
      <c r="AM35" s="4" t="s">
        <v>7</v>
      </c>
      <c r="AN35" s="5" t="s">
        <v>7</v>
      </c>
    </row>
    <row r="36" spans="1:40" x14ac:dyDescent="0.2">
      <c r="A36" s="39">
        <v>194</v>
      </c>
      <c r="B36" s="4" t="s">
        <v>63</v>
      </c>
      <c r="C36" s="30" t="s">
        <v>24</v>
      </c>
      <c r="D36" s="30">
        <v>5</v>
      </c>
      <c r="E36" s="30">
        <v>0</v>
      </c>
      <c r="F36" s="4">
        <v>3.4550000000000001</v>
      </c>
      <c r="G36" s="30">
        <v>27</v>
      </c>
      <c r="H36" s="33">
        <v>4.3148528405201914</v>
      </c>
      <c r="I36" s="33" t="s">
        <v>7</v>
      </c>
      <c r="J36" s="33" t="s">
        <v>7</v>
      </c>
      <c r="K36" s="33">
        <v>4.3148528405201914</v>
      </c>
      <c r="L36" s="33" t="s">
        <v>7</v>
      </c>
      <c r="M36" s="33" t="s">
        <v>7</v>
      </c>
      <c r="N36" s="33">
        <v>4.2792607802874745</v>
      </c>
      <c r="O36" s="33" t="s">
        <v>7</v>
      </c>
      <c r="P36" s="33" t="s">
        <v>7</v>
      </c>
      <c r="Q36" s="33" t="s">
        <v>7</v>
      </c>
      <c r="R36" s="33" t="s">
        <v>7</v>
      </c>
      <c r="S36" s="33" t="s">
        <v>7</v>
      </c>
      <c r="T36" s="34">
        <v>6</v>
      </c>
      <c r="U36" s="34">
        <v>18</v>
      </c>
      <c r="V36" s="4" t="s">
        <v>1</v>
      </c>
      <c r="W36" s="4">
        <v>1</v>
      </c>
      <c r="X36" s="4">
        <v>1</v>
      </c>
      <c r="Y36" s="4">
        <v>1</v>
      </c>
      <c r="Z36" s="56">
        <v>3</v>
      </c>
      <c r="AA36" s="9" cm="1">
        <f t="array" ref="AA36">IF(OR(AB36:AE36=""),"BLANK",IF(AND(AB36:AE36&lt;999),1,IF(AND(AB36:AE36="NA"),3,2)))</f>
        <v>1</v>
      </c>
      <c r="AB36" s="4">
        <v>36</v>
      </c>
      <c r="AC36" s="4">
        <v>22</v>
      </c>
      <c r="AD36" s="4">
        <v>19</v>
      </c>
      <c r="AE36" s="5">
        <v>77</v>
      </c>
      <c r="AF36" s="9">
        <f t="shared" si="0"/>
        <v>1</v>
      </c>
      <c r="AG36" s="5">
        <v>61</v>
      </c>
      <c r="AH36" s="9" cm="1">
        <f t="array" ref="AH36">IF(OR(AI36:AN36=""),"BLANK",IF(AND(AI36:AN36&lt;99),1,IF(AND(AI36:AN36="NA"),3,2)))</f>
        <v>3</v>
      </c>
      <c r="AI36" s="4" t="s">
        <v>7</v>
      </c>
      <c r="AJ36" s="4" t="s">
        <v>7</v>
      </c>
      <c r="AK36" s="4" t="s">
        <v>7</v>
      </c>
      <c r="AL36" s="4" t="s">
        <v>7</v>
      </c>
      <c r="AM36" s="4" t="s">
        <v>7</v>
      </c>
      <c r="AN36" s="5" t="s">
        <v>7</v>
      </c>
    </row>
    <row r="37" spans="1:40" x14ac:dyDescent="0.2">
      <c r="A37" s="39">
        <v>196</v>
      </c>
      <c r="B37" s="4" t="s">
        <v>58</v>
      </c>
      <c r="C37" s="30" t="s">
        <v>24</v>
      </c>
      <c r="D37" s="30">
        <v>5</v>
      </c>
      <c r="E37" s="30">
        <v>0</v>
      </c>
      <c r="F37" s="4">
        <v>3.6360000000000001</v>
      </c>
      <c r="G37" s="30">
        <v>26</v>
      </c>
      <c r="H37" s="33">
        <v>4.2546201232032859</v>
      </c>
      <c r="I37" s="33">
        <v>5.6919917864476384</v>
      </c>
      <c r="J37" s="33">
        <v>9.9466119096509242</v>
      </c>
      <c r="K37" s="33">
        <v>4.2546201232032859</v>
      </c>
      <c r="L37" s="33">
        <v>5.6919917864476384</v>
      </c>
      <c r="M37" s="33">
        <v>9.9466119096509242</v>
      </c>
      <c r="N37" s="33">
        <v>4.3394934976043809</v>
      </c>
      <c r="O37" s="33">
        <v>5.2676249144421625</v>
      </c>
      <c r="P37" s="33">
        <v>9.6071184120465443</v>
      </c>
      <c r="Q37" s="33" t="s">
        <v>7</v>
      </c>
      <c r="R37" s="33" t="s">
        <v>7</v>
      </c>
      <c r="S37" s="33" t="s">
        <v>7</v>
      </c>
      <c r="T37" s="34">
        <v>4</v>
      </c>
      <c r="U37" s="34">
        <v>16</v>
      </c>
      <c r="V37" s="4" t="s">
        <v>1</v>
      </c>
      <c r="W37" s="4">
        <v>1</v>
      </c>
      <c r="X37" s="4">
        <v>1</v>
      </c>
      <c r="Y37" s="4">
        <v>1</v>
      </c>
      <c r="Z37" s="56">
        <v>3</v>
      </c>
      <c r="AA37" s="9" cm="1">
        <f t="array" ref="AA37">IF(OR(AB37:AE37=""),"BLANK",IF(AND(AB37:AE37&lt;999),1,IF(AND(AB37:AE37="NA"),3,2)))</f>
        <v>1</v>
      </c>
      <c r="AB37" s="4">
        <v>35</v>
      </c>
      <c r="AC37" s="4">
        <v>18</v>
      </c>
      <c r="AD37" s="4">
        <v>18</v>
      </c>
      <c r="AE37" s="5">
        <v>71</v>
      </c>
      <c r="AF37" s="9">
        <f t="shared" si="0"/>
        <v>1</v>
      </c>
      <c r="AG37" s="5">
        <v>56</v>
      </c>
      <c r="AH37" s="9" cm="1">
        <f t="array" ref="AH37">IF(OR(AI37:AN37=""),"BLANK",IF(AND(AI37:AN37&lt;99),1,IF(AND(AI37:AN37="NA"),3,2)))</f>
        <v>3</v>
      </c>
      <c r="AI37" s="4" t="s">
        <v>7</v>
      </c>
      <c r="AJ37" s="4" t="s">
        <v>7</v>
      </c>
      <c r="AK37" s="4" t="s">
        <v>7</v>
      </c>
      <c r="AL37" s="4" t="s">
        <v>7</v>
      </c>
      <c r="AM37" s="4" t="s">
        <v>7</v>
      </c>
      <c r="AN37" s="5" t="s">
        <v>7</v>
      </c>
    </row>
    <row r="38" spans="1:40" x14ac:dyDescent="0.2">
      <c r="A38" s="39">
        <v>200</v>
      </c>
      <c r="B38" s="4" t="s">
        <v>50</v>
      </c>
      <c r="C38" s="30" t="s">
        <v>24</v>
      </c>
      <c r="D38" s="30">
        <v>3</v>
      </c>
      <c r="E38" s="30">
        <v>0</v>
      </c>
      <c r="F38" s="4">
        <v>3.8180000000000001</v>
      </c>
      <c r="G38" s="30">
        <v>28</v>
      </c>
      <c r="H38" s="33">
        <v>4.1396303901437372</v>
      </c>
      <c r="I38" s="33">
        <v>6.2258726899383987</v>
      </c>
      <c r="J38" s="33">
        <v>10.365503080082135</v>
      </c>
      <c r="K38" s="33" t="s">
        <v>7</v>
      </c>
      <c r="L38" s="33" t="s">
        <v>7</v>
      </c>
      <c r="M38" s="33">
        <v>10.370978781656399</v>
      </c>
      <c r="N38" s="33">
        <v>4.0219028062970565</v>
      </c>
      <c r="O38" s="33">
        <v>6.2176591375770016</v>
      </c>
      <c r="P38" s="33">
        <v>10.239561943874058</v>
      </c>
      <c r="Q38" s="33" t="s">
        <v>7</v>
      </c>
      <c r="R38" s="33" t="s">
        <v>7</v>
      </c>
      <c r="S38" s="33" t="s">
        <v>7</v>
      </c>
      <c r="T38" s="34">
        <v>2</v>
      </c>
      <c r="U38" s="34">
        <v>12</v>
      </c>
      <c r="V38" s="4" t="s">
        <v>1</v>
      </c>
      <c r="W38" s="4">
        <v>1</v>
      </c>
      <c r="X38" s="4">
        <v>1</v>
      </c>
      <c r="Y38" s="4">
        <v>1</v>
      </c>
      <c r="Z38" s="56">
        <v>3</v>
      </c>
      <c r="AA38" s="9" cm="1">
        <f t="array" ref="AA38">IF(OR(AB38:AE38=""),"BLANK",IF(AND(AB38:AE38&lt;999),1,IF(AND(AB38:AE38="NA"),3,2)))</f>
        <v>1</v>
      </c>
      <c r="AB38" s="4">
        <v>33</v>
      </c>
      <c r="AC38" s="4">
        <v>22</v>
      </c>
      <c r="AD38" s="4">
        <v>16</v>
      </c>
      <c r="AE38" s="5">
        <v>71</v>
      </c>
      <c r="AF38" s="9">
        <f t="shared" si="0"/>
        <v>1</v>
      </c>
      <c r="AG38" s="5">
        <v>42</v>
      </c>
      <c r="AH38" s="9" cm="1">
        <f t="array" ref="AH38">IF(OR(AI38:AN38=""),"BLANK",IF(AND(AI38:AN38&lt;99),1,IF(AND(AI38:AN38="NA"),3,2)))</f>
        <v>3</v>
      </c>
      <c r="AI38" s="4" t="s">
        <v>7</v>
      </c>
      <c r="AJ38" s="4" t="s">
        <v>7</v>
      </c>
      <c r="AK38" s="4" t="s">
        <v>7</v>
      </c>
      <c r="AL38" s="4" t="s">
        <v>7</v>
      </c>
      <c r="AM38" s="4" t="s">
        <v>7</v>
      </c>
      <c r="AN38" s="5" t="s">
        <v>7</v>
      </c>
    </row>
    <row r="39" spans="1:40" x14ac:dyDescent="0.2">
      <c r="A39" s="39">
        <v>208</v>
      </c>
      <c r="B39" s="4" t="s">
        <v>46</v>
      </c>
      <c r="C39" s="30" t="s">
        <v>23</v>
      </c>
      <c r="D39" s="30">
        <v>5</v>
      </c>
      <c r="E39" s="30">
        <v>0</v>
      </c>
      <c r="F39" s="4">
        <v>3.0910000000000002</v>
      </c>
      <c r="G39" s="30">
        <v>30</v>
      </c>
      <c r="H39" s="33">
        <v>3.5400410677618068</v>
      </c>
      <c r="I39" s="33">
        <v>4.9609856262833674</v>
      </c>
      <c r="J39" s="33">
        <v>8.5010266940451746</v>
      </c>
      <c r="K39" s="33">
        <v>3.5400410677618068</v>
      </c>
      <c r="L39" s="33">
        <v>4.9609856262833674</v>
      </c>
      <c r="M39" s="33">
        <v>8.5010266940451746</v>
      </c>
      <c r="N39" s="33">
        <v>3.5290896646132786</v>
      </c>
      <c r="O39" s="33">
        <v>4.8870636550308006</v>
      </c>
      <c r="P39" s="33">
        <v>8.4161533196440796</v>
      </c>
      <c r="Q39" s="33">
        <v>3.7180013689253935</v>
      </c>
      <c r="R39" s="33" t="s">
        <v>7</v>
      </c>
      <c r="S39" s="33" t="s">
        <v>7</v>
      </c>
      <c r="T39" s="34">
        <v>6</v>
      </c>
      <c r="U39" s="34">
        <v>18</v>
      </c>
      <c r="V39" s="4" t="s">
        <v>1</v>
      </c>
      <c r="W39" s="4">
        <v>1</v>
      </c>
      <c r="X39" s="4">
        <v>1</v>
      </c>
      <c r="Y39" s="4">
        <v>1</v>
      </c>
      <c r="Z39" s="56">
        <v>3</v>
      </c>
      <c r="AA39" s="9" cm="1">
        <f t="array" ref="AA39">IF(OR(AB39:AE39=""),"BLANK",IF(AND(AB39:AE39&lt;999),1,IF(AND(AB39:AE39="NA"),3,2)))</f>
        <v>1</v>
      </c>
      <c r="AB39" s="4">
        <v>31</v>
      </c>
      <c r="AC39" s="4">
        <v>21</v>
      </c>
      <c r="AD39" s="4">
        <v>11</v>
      </c>
      <c r="AE39" s="5">
        <v>63</v>
      </c>
      <c r="AF39" s="9">
        <f t="shared" si="0"/>
        <v>1</v>
      </c>
      <c r="AG39" s="5">
        <v>56</v>
      </c>
      <c r="AH39" s="9" cm="1">
        <f t="array" ref="AH39">IF(OR(AI39:AN39=""),"BLANK",IF(AND(AI39:AN39&lt;99),1,IF(AND(AI39:AN39="NA"),3,2)))</f>
        <v>3</v>
      </c>
      <c r="AI39" s="4" t="s">
        <v>7</v>
      </c>
      <c r="AJ39" s="4" t="s">
        <v>7</v>
      </c>
      <c r="AK39" s="4" t="s">
        <v>7</v>
      </c>
      <c r="AL39" s="4" t="s">
        <v>7</v>
      </c>
      <c r="AM39" s="4" t="s">
        <v>7</v>
      </c>
      <c r="AN39" s="5" t="s">
        <v>7</v>
      </c>
    </row>
    <row r="40" spans="1:40" x14ac:dyDescent="0.2">
      <c r="A40" s="39">
        <v>213</v>
      </c>
      <c r="B40" s="4" t="s">
        <v>62</v>
      </c>
      <c r="C40" s="30" t="s">
        <v>23</v>
      </c>
      <c r="D40" s="30">
        <v>5</v>
      </c>
      <c r="E40" s="30">
        <v>0</v>
      </c>
      <c r="F40" s="4">
        <v>4</v>
      </c>
      <c r="G40" s="30">
        <v>30</v>
      </c>
      <c r="H40" s="33">
        <v>4.1806981519507183</v>
      </c>
      <c r="I40" s="33">
        <v>5.7029431895961666</v>
      </c>
      <c r="J40" s="33">
        <v>9.8836413415468858</v>
      </c>
      <c r="K40" s="33">
        <v>4.1806981519507183</v>
      </c>
      <c r="L40" s="33">
        <v>5.7029431895961666</v>
      </c>
      <c r="M40" s="33">
        <v>9.8836413415468858</v>
      </c>
      <c r="N40" s="33">
        <v>3.9863107460643397</v>
      </c>
      <c r="O40" s="33">
        <v>5.5578370978781653</v>
      </c>
      <c r="P40" s="33">
        <v>9.5441478439425058</v>
      </c>
      <c r="Q40" s="33" t="s">
        <v>7</v>
      </c>
      <c r="R40" s="33" t="s">
        <v>7</v>
      </c>
      <c r="S40" s="33" t="s">
        <v>7</v>
      </c>
      <c r="T40" s="34">
        <v>6</v>
      </c>
      <c r="U40" s="34">
        <v>18</v>
      </c>
      <c r="V40" s="4" t="s">
        <v>1</v>
      </c>
      <c r="W40" s="4">
        <v>1</v>
      </c>
      <c r="X40" s="4">
        <v>1</v>
      </c>
      <c r="Y40" s="4">
        <v>1</v>
      </c>
      <c r="Z40" s="56">
        <v>3</v>
      </c>
      <c r="AA40" s="9" cm="1">
        <f t="array" ref="AA40">IF(OR(AB40:AE40=""),"BLANK",IF(AND(AB40:AE40&lt;999),1,IF(AND(AB40:AE40="NA"),3,2)))</f>
        <v>1</v>
      </c>
      <c r="AB40" s="4">
        <v>33</v>
      </c>
      <c r="AC40" s="4">
        <v>18</v>
      </c>
      <c r="AD40" s="4">
        <v>10</v>
      </c>
      <c r="AE40" s="5">
        <v>61</v>
      </c>
      <c r="AF40" s="9">
        <f t="shared" si="0"/>
        <v>1</v>
      </c>
      <c r="AG40" s="5">
        <v>65</v>
      </c>
      <c r="AH40" s="9" cm="1">
        <f t="array" ref="AH40">IF(OR(AI40:AN40=""),"BLANK",IF(AND(AI40:AN40&lt;99),1,IF(AND(AI40:AN40="NA"),3,2)))</f>
        <v>3</v>
      </c>
      <c r="AI40" s="4" t="s">
        <v>7</v>
      </c>
      <c r="AJ40" s="4" t="s">
        <v>7</v>
      </c>
      <c r="AK40" s="4" t="s">
        <v>7</v>
      </c>
      <c r="AL40" s="4" t="s">
        <v>7</v>
      </c>
      <c r="AM40" s="4" t="s">
        <v>7</v>
      </c>
      <c r="AN40" s="5" t="s">
        <v>7</v>
      </c>
    </row>
    <row r="41" spans="1:40" x14ac:dyDescent="0.2">
      <c r="A41" s="39">
        <v>215</v>
      </c>
      <c r="B41" s="4" t="s">
        <v>63</v>
      </c>
      <c r="C41" s="30" t="s">
        <v>23</v>
      </c>
      <c r="D41" s="30">
        <v>5</v>
      </c>
      <c r="E41" s="30">
        <v>0</v>
      </c>
      <c r="F41" s="4">
        <v>4</v>
      </c>
      <c r="G41" s="30">
        <v>27</v>
      </c>
      <c r="H41" s="33" t="s">
        <v>7</v>
      </c>
      <c r="I41" s="33" t="s">
        <v>7</v>
      </c>
      <c r="J41" s="33" t="s">
        <v>7</v>
      </c>
      <c r="K41" s="33" t="s">
        <v>7</v>
      </c>
      <c r="L41" s="33" t="s">
        <v>7</v>
      </c>
      <c r="M41" s="33" t="s">
        <v>7</v>
      </c>
      <c r="N41" s="33" t="s">
        <v>7</v>
      </c>
      <c r="O41" s="33" t="s">
        <v>7</v>
      </c>
      <c r="P41" s="33">
        <v>9.2101300479123882</v>
      </c>
      <c r="Q41" s="33" t="s">
        <v>7</v>
      </c>
      <c r="R41" s="33" t="s">
        <v>7</v>
      </c>
      <c r="S41" s="33" t="s">
        <v>7</v>
      </c>
      <c r="T41" s="34">
        <v>7</v>
      </c>
      <c r="U41" s="34">
        <v>21</v>
      </c>
      <c r="V41" s="4" t="s">
        <v>1</v>
      </c>
      <c r="W41" s="4">
        <v>1</v>
      </c>
      <c r="X41" s="4">
        <v>1</v>
      </c>
      <c r="Y41" s="4">
        <v>1</v>
      </c>
      <c r="Z41" s="56">
        <v>3</v>
      </c>
      <c r="AA41" s="9" cm="1">
        <f t="array" ref="AA41">IF(OR(AB41:AE41=""),"BLANK",IF(AND(AB41:AE41&lt;999),1,IF(AND(AB41:AE41="NA"),3,2)))</f>
        <v>1</v>
      </c>
      <c r="AB41" s="4">
        <v>32</v>
      </c>
      <c r="AC41" s="4">
        <v>22</v>
      </c>
      <c r="AD41" s="4">
        <v>16</v>
      </c>
      <c r="AE41" s="5">
        <v>70</v>
      </c>
      <c r="AF41" s="9">
        <f t="shared" si="0"/>
        <v>1</v>
      </c>
      <c r="AG41" s="5">
        <v>53</v>
      </c>
      <c r="AH41" s="9" cm="1">
        <f t="array" ref="AH41">IF(OR(AI41:AN41=""),"BLANK",IF(AND(AI41:AN41&lt;99),1,IF(AND(AI41:AN41="NA"),3,2)))</f>
        <v>3</v>
      </c>
      <c r="AI41" s="4" t="s">
        <v>7</v>
      </c>
      <c r="AJ41" s="4" t="s">
        <v>7</v>
      </c>
      <c r="AK41" s="4" t="s">
        <v>7</v>
      </c>
      <c r="AL41" s="4" t="s">
        <v>7</v>
      </c>
      <c r="AM41" s="4" t="s">
        <v>7</v>
      </c>
      <c r="AN41" s="5" t="s">
        <v>7</v>
      </c>
    </row>
    <row r="42" spans="1:40" x14ac:dyDescent="0.2">
      <c r="A42" s="39">
        <v>220</v>
      </c>
      <c r="B42" s="4" t="s">
        <v>58</v>
      </c>
      <c r="C42" s="30" t="s">
        <v>23</v>
      </c>
      <c r="D42" s="30">
        <v>5</v>
      </c>
      <c r="E42" s="30">
        <v>0</v>
      </c>
      <c r="F42" s="4">
        <v>3.9089999999999998</v>
      </c>
      <c r="G42" s="30">
        <v>29</v>
      </c>
      <c r="H42" s="33">
        <v>4.2327173169062284</v>
      </c>
      <c r="I42" s="33">
        <v>5.9657768651608487</v>
      </c>
      <c r="J42" s="33">
        <v>10.198494182067078</v>
      </c>
      <c r="K42" s="33">
        <v>5.7713894592744692</v>
      </c>
      <c r="L42" s="33">
        <v>4.4271047227926079</v>
      </c>
      <c r="M42" s="33">
        <v>10.198494182067078</v>
      </c>
      <c r="N42" s="33">
        <v>4.0219028062970565</v>
      </c>
      <c r="O42" s="33">
        <v>5.7138945927446958</v>
      </c>
      <c r="P42" s="33">
        <v>9.7357973990417523</v>
      </c>
      <c r="Q42" s="33" t="s">
        <v>7</v>
      </c>
      <c r="R42" s="33" t="s">
        <v>7</v>
      </c>
      <c r="S42" s="33" t="s">
        <v>7</v>
      </c>
      <c r="T42" s="34">
        <v>5</v>
      </c>
      <c r="U42" s="34">
        <v>17</v>
      </c>
      <c r="V42" s="4" t="s">
        <v>1</v>
      </c>
      <c r="W42" s="4">
        <v>1</v>
      </c>
      <c r="X42" s="4">
        <v>1</v>
      </c>
      <c r="Y42" s="4">
        <v>1</v>
      </c>
      <c r="Z42" s="56">
        <v>3</v>
      </c>
      <c r="AA42" s="9" cm="1">
        <f t="array" ref="AA42">IF(OR(AB42:AE42=""),"BLANK",IF(AND(AB42:AE42&lt;999),1,IF(AND(AB42:AE42="NA"),3,2)))</f>
        <v>1</v>
      </c>
      <c r="AB42" s="4">
        <v>34</v>
      </c>
      <c r="AC42" s="4">
        <v>18</v>
      </c>
      <c r="AD42" s="4">
        <v>18</v>
      </c>
      <c r="AE42" s="5">
        <v>70</v>
      </c>
      <c r="AF42" s="9">
        <f t="shared" si="0"/>
        <v>1</v>
      </c>
      <c r="AG42" s="5">
        <v>56</v>
      </c>
      <c r="AH42" s="9" cm="1">
        <f t="array" ref="AH42">IF(OR(AI42:AN42=""),"BLANK",IF(AND(AI42:AN42&lt;99),1,IF(AND(AI42:AN42="NA"),3,2)))</f>
        <v>3</v>
      </c>
      <c r="AI42" s="4" t="s">
        <v>7</v>
      </c>
      <c r="AJ42" s="4" t="s">
        <v>7</v>
      </c>
      <c r="AK42" s="4" t="s">
        <v>7</v>
      </c>
      <c r="AL42" s="4" t="s">
        <v>7</v>
      </c>
      <c r="AM42" s="4" t="s">
        <v>7</v>
      </c>
      <c r="AN42" s="5" t="s">
        <v>7</v>
      </c>
    </row>
    <row r="43" spans="1:40" x14ac:dyDescent="0.2">
      <c r="A43" s="39">
        <v>221</v>
      </c>
      <c r="B43" s="4" t="s">
        <v>46</v>
      </c>
      <c r="C43" s="30" t="s">
        <v>24</v>
      </c>
      <c r="D43" s="30">
        <v>5</v>
      </c>
      <c r="E43" s="30">
        <v>0</v>
      </c>
      <c r="F43" s="4">
        <v>3.7269999999999999</v>
      </c>
      <c r="G43" s="30">
        <v>28</v>
      </c>
      <c r="H43" s="33">
        <v>4.2190280629705681</v>
      </c>
      <c r="I43" s="33">
        <v>6.2067077344284733</v>
      </c>
      <c r="J43" s="33">
        <v>10.425735797399042</v>
      </c>
      <c r="K43" s="33">
        <v>4.1232032854209448</v>
      </c>
      <c r="L43" s="33">
        <v>6.1793292265571527</v>
      </c>
      <c r="M43" s="33">
        <v>10.302532511978097</v>
      </c>
      <c r="N43" s="33" t="s">
        <v>7</v>
      </c>
      <c r="O43" s="33" t="s">
        <v>7</v>
      </c>
      <c r="P43" s="33" t="s">
        <v>7</v>
      </c>
      <c r="Q43" s="33" t="s">
        <v>7</v>
      </c>
      <c r="R43" s="33" t="s">
        <v>7</v>
      </c>
      <c r="S43" s="33" t="s">
        <v>7</v>
      </c>
      <c r="T43" s="34">
        <v>4</v>
      </c>
      <c r="U43" s="34">
        <v>16</v>
      </c>
      <c r="V43" s="4" t="s">
        <v>1</v>
      </c>
      <c r="W43" s="4">
        <v>1</v>
      </c>
      <c r="X43" s="4">
        <v>1</v>
      </c>
      <c r="Y43" s="4">
        <v>1</v>
      </c>
      <c r="Z43" s="56">
        <v>3</v>
      </c>
      <c r="AA43" s="9" cm="1">
        <f t="array" ref="AA43">IF(OR(AB43:AE43=""),"BLANK",IF(AND(AB43:AE43&lt;999),1,IF(AND(AB43:AE43="NA"),3,2)))</f>
        <v>1</v>
      </c>
      <c r="AB43" s="4">
        <v>29</v>
      </c>
      <c r="AC43" s="4">
        <v>17</v>
      </c>
      <c r="AD43" s="4">
        <v>11</v>
      </c>
      <c r="AE43" s="5">
        <v>57</v>
      </c>
      <c r="AF43" s="9">
        <f t="shared" si="0"/>
        <v>1</v>
      </c>
      <c r="AG43" s="5">
        <v>59</v>
      </c>
      <c r="AH43" s="9" cm="1">
        <f t="array" ref="AH43">IF(OR(AI43:AN43=""),"BLANK",IF(AND(AI43:AN43&lt;99),1,IF(AND(AI43:AN43="NA"),3,2)))</f>
        <v>3</v>
      </c>
      <c r="AI43" s="4" t="s">
        <v>7</v>
      </c>
      <c r="AJ43" s="4" t="s">
        <v>7</v>
      </c>
      <c r="AK43" s="4" t="s">
        <v>7</v>
      </c>
      <c r="AL43" s="4" t="s">
        <v>7</v>
      </c>
      <c r="AM43" s="4" t="s">
        <v>7</v>
      </c>
      <c r="AN43" s="5" t="s">
        <v>7</v>
      </c>
    </row>
    <row r="44" spans="1:40" x14ac:dyDescent="0.2">
      <c r="A44" s="39">
        <v>224</v>
      </c>
      <c r="B44" s="4" t="s">
        <v>64</v>
      </c>
      <c r="C44" s="30" t="s">
        <v>24</v>
      </c>
      <c r="D44" s="30">
        <v>5</v>
      </c>
      <c r="E44" s="30">
        <v>0</v>
      </c>
      <c r="F44" s="4">
        <v>3.6360000000000001</v>
      </c>
      <c r="G44" s="30">
        <v>26</v>
      </c>
      <c r="H44" s="33">
        <v>4.1396303901437372</v>
      </c>
      <c r="I44" s="33" t="s">
        <v>7</v>
      </c>
      <c r="J44" s="33" t="s">
        <v>7</v>
      </c>
      <c r="K44" s="33" t="s">
        <v>7</v>
      </c>
      <c r="L44" s="33" t="s">
        <v>7</v>
      </c>
      <c r="M44" s="33" t="s">
        <v>7</v>
      </c>
      <c r="N44" s="33" t="s">
        <v>7</v>
      </c>
      <c r="O44" s="33" t="s">
        <v>7</v>
      </c>
      <c r="P44" s="33" t="s">
        <v>7</v>
      </c>
      <c r="Q44" s="33" t="s">
        <v>7</v>
      </c>
      <c r="R44" s="33" t="s">
        <v>7</v>
      </c>
      <c r="S44" s="33" t="s">
        <v>7</v>
      </c>
      <c r="T44" s="34">
        <v>7</v>
      </c>
      <c r="U44" s="34">
        <v>21</v>
      </c>
      <c r="V44" s="4" t="s">
        <v>1</v>
      </c>
      <c r="W44" s="4">
        <v>1</v>
      </c>
      <c r="X44" s="4">
        <v>1</v>
      </c>
      <c r="Y44" s="4">
        <v>1</v>
      </c>
      <c r="Z44" s="56">
        <v>3</v>
      </c>
      <c r="AA44" s="9" cm="1">
        <f t="array" ref="AA44">IF(OR(AB44:AE44=""),"BLANK",IF(AND(AB44:AE44&lt;999),1,IF(AND(AB44:AE44="NA"),3,2)))</f>
        <v>1</v>
      </c>
      <c r="AB44" s="4">
        <v>23</v>
      </c>
      <c r="AC44" s="4">
        <v>10</v>
      </c>
      <c r="AD44" s="4">
        <v>10</v>
      </c>
      <c r="AE44" s="5">
        <v>43</v>
      </c>
      <c r="AF44" s="9">
        <f t="shared" si="0"/>
        <v>1</v>
      </c>
      <c r="AG44" s="5">
        <v>31</v>
      </c>
      <c r="AH44" s="9" cm="1">
        <f t="array" ref="AH44">IF(OR(AI44:AN44=""),"BLANK",IF(AND(AI44:AN44&lt;99),1,IF(AND(AI44:AN44="NA"),3,2)))</f>
        <v>3</v>
      </c>
      <c r="AI44" s="4" t="s">
        <v>7</v>
      </c>
      <c r="AJ44" s="4" t="s">
        <v>7</v>
      </c>
      <c r="AK44" s="4" t="s">
        <v>7</v>
      </c>
      <c r="AL44" s="4" t="s">
        <v>7</v>
      </c>
      <c r="AM44" s="4" t="s">
        <v>7</v>
      </c>
      <c r="AN44" s="5" t="s">
        <v>7</v>
      </c>
    </row>
    <row r="45" spans="1:40" x14ac:dyDescent="0.2">
      <c r="A45" s="39">
        <v>232</v>
      </c>
      <c r="B45" s="4" t="s">
        <v>52</v>
      </c>
      <c r="C45" s="30" t="s">
        <v>23</v>
      </c>
      <c r="D45" s="30">
        <v>5</v>
      </c>
      <c r="E45" s="30">
        <v>0</v>
      </c>
      <c r="F45" s="4">
        <v>3.3639999999999999</v>
      </c>
      <c r="G45" s="30">
        <v>29</v>
      </c>
      <c r="H45" s="33">
        <v>4.128678986995209</v>
      </c>
      <c r="I45" s="33">
        <v>5.6919917864476384</v>
      </c>
      <c r="J45" s="33">
        <v>9.8206707734428473</v>
      </c>
      <c r="K45" s="33">
        <v>4.128678986995209</v>
      </c>
      <c r="L45" s="33">
        <v>5.7029431895961666</v>
      </c>
      <c r="M45" s="33">
        <v>9.8316221765913756</v>
      </c>
      <c r="N45" s="33">
        <v>4.0246406570841886</v>
      </c>
      <c r="O45" s="33">
        <v>5.3442847364818613</v>
      </c>
      <c r="P45" s="33">
        <v>9.3689253935660499</v>
      </c>
      <c r="Q45" s="33" t="s">
        <v>7</v>
      </c>
      <c r="R45" s="33" t="s">
        <v>7</v>
      </c>
      <c r="S45" s="33" t="s">
        <v>7</v>
      </c>
      <c r="T45" s="34">
        <v>3</v>
      </c>
      <c r="U45" s="34">
        <v>14</v>
      </c>
      <c r="V45" s="4" t="s">
        <v>1</v>
      </c>
      <c r="W45" s="4">
        <v>1</v>
      </c>
      <c r="X45" s="4">
        <v>1</v>
      </c>
      <c r="Y45" s="4">
        <v>1</v>
      </c>
      <c r="Z45" s="56">
        <v>3</v>
      </c>
      <c r="AA45" s="9" cm="1">
        <f t="array" ref="AA45">IF(OR(AB45:AE45=""),"BLANK",IF(AND(AB45:AE45&lt;999),1,IF(AND(AB45:AE45="NA"),3,2)))</f>
        <v>1</v>
      </c>
      <c r="AB45" s="4">
        <v>37</v>
      </c>
      <c r="AC45" s="4">
        <v>19</v>
      </c>
      <c r="AD45" s="4">
        <v>16</v>
      </c>
      <c r="AE45" s="5">
        <v>72</v>
      </c>
      <c r="AF45" s="9">
        <f t="shared" si="0"/>
        <v>1</v>
      </c>
      <c r="AG45" s="5">
        <v>69</v>
      </c>
      <c r="AH45" s="9" cm="1">
        <f t="array" ref="AH45">IF(OR(AI45:AN45=""),"BLANK",IF(AND(AI45:AN45&lt;99),1,IF(AND(AI45:AN45="NA"),3,2)))</f>
        <v>3</v>
      </c>
      <c r="AI45" s="4" t="s">
        <v>7</v>
      </c>
      <c r="AJ45" s="4" t="s">
        <v>7</v>
      </c>
      <c r="AK45" s="4" t="s">
        <v>7</v>
      </c>
      <c r="AL45" s="4" t="s">
        <v>7</v>
      </c>
      <c r="AM45" s="4" t="s">
        <v>7</v>
      </c>
      <c r="AN45" s="5" t="s">
        <v>7</v>
      </c>
    </row>
    <row r="46" spans="1:40" x14ac:dyDescent="0.2">
      <c r="A46" s="39">
        <v>236</v>
      </c>
      <c r="B46" s="4" t="s">
        <v>48</v>
      </c>
      <c r="C46" s="30" t="s">
        <v>24</v>
      </c>
      <c r="D46" s="30">
        <v>5</v>
      </c>
      <c r="E46" s="30">
        <v>0</v>
      </c>
      <c r="F46" s="4">
        <v>3.5449999999999999</v>
      </c>
      <c r="G46" s="30">
        <v>27</v>
      </c>
      <c r="H46" s="33">
        <v>4.0985626283367553</v>
      </c>
      <c r="I46" s="33">
        <v>5.9137577002053385</v>
      </c>
      <c r="J46" s="33">
        <v>10.012320328542094</v>
      </c>
      <c r="K46" s="33">
        <v>4.1451060917180014</v>
      </c>
      <c r="L46" s="33">
        <v>5.8590006844626972</v>
      </c>
      <c r="M46" s="33">
        <v>10.004106776180699</v>
      </c>
      <c r="N46" s="33">
        <v>4.0164271047227924</v>
      </c>
      <c r="O46" s="33">
        <v>5.5961670088980151</v>
      </c>
      <c r="P46" s="33">
        <v>9.6125941136208084</v>
      </c>
      <c r="Q46" s="33" t="s">
        <v>7</v>
      </c>
      <c r="R46" s="33" t="s">
        <v>7</v>
      </c>
      <c r="S46" s="33" t="s">
        <v>7</v>
      </c>
      <c r="T46" s="34">
        <v>7</v>
      </c>
      <c r="U46" s="34">
        <v>21</v>
      </c>
      <c r="V46" s="4" t="s">
        <v>1</v>
      </c>
      <c r="W46" s="4">
        <v>1</v>
      </c>
      <c r="X46" s="4">
        <v>1</v>
      </c>
      <c r="Y46" s="4">
        <v>1</v>
      </c>
      <c r="Z46" s="56">
        <v>3</v>
      </c>
      <c r="AA46" s="9" cm="1">
        <f t="array" ref="AA46">IF(OR(AB46:AE46=""),"BLANK",IF(AND(AB46:AE46&lt;999),1,IF(AND(AB46:AE46="NA"),3,2)))</f>
        <v>1</v>
      </c>
      <c r="AB46" s="4">
        <v>34</v>
      </c>
      <c r="AC46" s="4">
        <v>17</v>
      </c>
      <c r="AD46" s="4">
        <v>12</v>
      </c>
      <c r="AE46" s="5">
        <v>63</v>
      </c>
      <c r="AF46" s="9">
        <f t="shared" si="0"/>
        <v>1</v>
      </c>
      <c r="AG46" s="5">
        <v>51</v>
      </c>
      <c r="AH46" s="9" cm="1">
        <f t="array" ref="AH46">IF(OR(AI46:AN46=""),"BLANK",IF(AND(AI46:AN46&lt;99),1,IF(AND(AI46:AN46="NA"),3,2)))</f>
        <v>3</v>
      </c>
      <c r="AI46" s="4" t="s">
        <v>7</v>
      </c>
      <c r="AJ46" s="4" t="s">
        <v>7</v>
      </c>
      <c r="AK46" s="4" t="s">
        <v>7</v>
      </c>
      <c r="AL46" s="4" t="s">
        <v>7</v>
      </c>
      <c r="AM46" s="4" t="s">
        <v>7</v>
      </c>
      <c r="AN46" s="5" t="s">
        <v>7</v>
      </c>
    </row>
    <row r="47" spans="1:40" x14ac:dyDescent="0.2">
      <c r="A47" s="39">
        <v>245</v>
      </c>
      <c r="B47" s="4" t="s">
        <v>58</v>
      </c>
      <c r="C47" s="30" t="s">
        <v>23</v>
      </c>
      <c r="D47" s="30">
        <v>2</v>
      </c>
      <c r="E47" s="30">
        <v>0</v>
      </c>
      <c r="F47" s="4">
        <v>4</v>
      </c>
      <c r="G47" s="30">
        <v>29</v>
      </c>
      <c r="H47" s="33">
        <v>4.0985626283367553</v>
      </c>
      <c r="I47" s="33">
        <v>5.9712525667351128</v>
      </c>
      <c r="J47" s="33">
        <v>10.069815195071868</v>
      </c>
      <c r="K47" s="33">
        <v>4.1204654346338128</v>
      </c>
      <c r="L47" s="33">
        <v>5.9493497604380563</v>
      </c>
      <c r="M47" s="33">
        <v>10.069815195071868</v>
      </c>
      <c r="N47" s="33">
        <v>4.2792607802874745</v>
      </c>
      <c r="O47" s="33">
        <v>5.7084188911704308</v>
      </c>
      <c r="P47" s="33">
        <v>9.9876796714579061</v>
      </c>
      <c r="Q47" s="33">
        <v>3.1156741957563314</v>
      </c>
      <c r="R47" s="33">
        <v>6.3052703627652296</v>
      </c>
      <c r="S47" s="33">
        <v>9.4209445585215601</v>
      </c>
      <c r="T47" s="34">
        <v>3</v>
      </c>
      <c r="U47" s="34">
        <v>12</v>
      </c>
      <c r="V47" s="4" t="s">
        <v>1</v>
      </c>
      <c r="W47" s="4">
        <v>1</v>
      </c>
      <c r="X47" s="4">
        <v>1</v>
      </c>
      <c r="Y47" s="4">
        <v>1</v>
      </c>
      <c r="Z47" s="56">
        <v>3</v>
      </c>
      <c r="AA47" s="9" cm="1">
        <f t="array" ref="AA47">IF(OR(AB47:AE47=""),"BLANK",IF(AND(AB47:AE47&lt;999),1,IF(AND(AB47:AE47="NA"),3,2)))</f>
        <v>1</v>
      </c>
      <c r="AB47" s="4">
        <v>32</v>
      </c>
      <c r="AC47" s="4">
        <v>17</v>
      </c>
      <c r="AD47" s="4">
        <v>12</v>
      </c>
      <c r="AE47" s="5">
        <v>61</v>
      </c>
      <c r="AF47" s="9">
        <f t="shared" si="0"/>
        <v>1</v>
      </c>
      <c r="AG47" s="5">
        <v>54</v>
      </c>
      <c r="AH47" s="9" cm="1">
        <f t="array" ref="AH47">IF(OR(AI47:AN47=""),"BLANK",IF(AND(AI47:AN47&lt;99),1,IF(AND(AI47:AN47="NA"),3,2)))</f>
        <v>3</v>
      </c>
      <c r="AI47" s="4" t="s">
        <v>7</v>
      </c>
      <c r="AJ47" s="4" t="s">
        <v>7</v>
      </c>
      <c r="AK47" s="4" t="s">
        <v>7</v>
      </c>
      <c r="AL47" s="4" t="s">
        <v>7</v>
      </c>
      <c r="AM47" s="4" t="s">
        <v>7</v>
      </c>
      <c r="AN47" s="5" t="s">
        <v>7</v>
      </c>
    </row>
    <row r="48" spans="1:40" x14ac:dyDescent="0.2">
      <c r="A48" s="39">
        <v>252</v>
      </c>
      <c r="B48" s="4" t="s">
        <v>52</v>
      </c>
      <c r="C48" s="30" t="s">
        <v>24</v>
      </c>
      <c r="D48" s="30">
        <v>5</v>
      </c>
      <c r="E48" s="30">
        <v>0</v>
      </c>
      <c r="F48" s="4">
        <v>4</v>
      </c>
      <c r="G48" s="30">
        <v>29</v>
      </c>
      <c r="H48" s="33" t="s">
        <v>7</v>
      </c>
      <c r="I48" s="33" t="s">
        <v>7</v>
      </c>
      <c r="J48" s="33" t="s">
        <v>7</v>
      </c>
      <c r="K48" s="33" t="s">
        <v>7</v>
      </c>
      <c r="L48" s="33" t="s">
        <v>7</v>
      </c>
      <c r="M48" s="33" t="s">
        <v>7</v>
      </c>
      <c r="N48" s="33" t="s">
        <v>7</v>
      </c>
      <c r="O48" s="33" t="s">
        <v>7</v>
      </c>
      <c r="P48" s="33" t="s">
        <v>7</v>
      </c>
      <c r="Q48" s="33" t="s">
        <v>7</v>
      </c>
      <c r="R48" s="33" t="s">
        <v>7</v>
      </c>
      <c r="S48" s="33" t="s">
        <v>7</v>
      </c>
      <c r="T48" s="34">
        <v>4</v>
      </c>
      <c r="U48" s="34">
        <v>16</v>
      </c>
      <c r="V48" s="4" t="s">
        <v>1</v>
      </c>
      <c r="W48" s="4">
        <v>1</v>
      </c>
      <c r="X48" s="4">
        <v>1</v>
      </c>
      <c r="Y48" s="4">
        <v>1</v>
      </c>
      <c r="Z48" s="56">
        <v>3</v>
      </c>
      <c r="AA48" s="9" cm="1">
        <f t="array" ref="AA48">IF(OR(AB48:AE48=""),"BLANK",IF(AND(AB48:AE48&lt;999),1,IF(AND(AB48:AE48="NA"),3,2)))</f>
        <v>1</v>
      </c>
      <c r="AB48" s="4">
        <v>23</v>
      </c>
      <c r="AC48" s="4">
        <v>14</v>
      </c>
      <c r="AD48" s="4">
        <v>10</v>
      </c>
      <c r="AE48" s="5">
        <v>47</v>
      </c>
      <c r="AF48" s="9">
        <f t="shared" si="0"/>
        <v>1</v>
      </c>
      <c r="AG48" s="5">
        <v>42</v>
      </c>
      <c r="AH48" s="9" cm="1">
        <f t="array" ref="AH48">IF(OR(AI48:AN48=""),"BLANK",IF(AND(AI48:AN48&lt;99),1,IF(AND(AI48:AN48="NA"),3,2)))</f>
        <v>3</v>
      </c>
      <c r="AI48" s="4" t="s">
        <v>7</v>
      </c>
      <c r="AJ48" s="4" t="s">
        <v>7</v>
      </c>
      <c r="AK48" s="4" t="s">
        <v>7</v>
      </c>
      <c r="AL48" s="4" t="s">
        <v>7</v>
      </c>
      <c r="AM48" s="4" t="s">
        <v>7</v>
      </c>
      <c r="AN48" s="5" t="s">
        <v>7</v>
      </c>
    </row>
    <row r="49" spans="1:40" x14ac:dyDescent="0.2">
      <c r="A49" s="39">
        <v>253</v>
      </c>
      <c r="B49" s="4" t="s">
        <v>65</v>
      </c>
      <c r="C49" s="30" t="s">
        <v>24</v>
      </c>
      <c r="D49" s="30">
        <v>5</v>
      </c>
      <c r="E49" s="30">
        <v>0</v>
      </c>
      <c r="F49" s="4">
        <v>0.81799999999999995</v>
      </c>
      <c r="G49" s="30">
        <v>29</v>
      </c>
      <c r="H49" s="33" t="s">
        <v>7</v>
      </c>
      <c r="I49" s="33" t="s">
        <v>7</v>
      </c>
      <c r="J49" s="33" t="s">
        <v>7</v>
      </c>
      <c r="K49" s="33" t="s">
        <v>7</v>
      </c>
      <c r="L49" s="33" t="s">
        <v>7</v>
      </c>
      <c r="M49" s="33" t="s">
        <v>7</v>
      </c>
      <c r="N49" s="33" t="s">
        <v>7</v>
      </c>
      <c r="O49" s="33" t="s">
        <v>7</v>
      </c>
      <c r="P49" s="33" t="s">
        <v>7</v>
      </c>
      <c r="Q49" s="33" t="s">
        <v>7</v>
      </c>
      <c r="R49" s="33" t="s">
        <v>7</v>
      </c>
      <c r="S49" s="33" t="s">
        <v>7</v>
      </c>
      <c r="T49" s="34">
        <v>4</v>
      </c>
      <c r="U49" s="34">
        <v>16</v>
      </c>
      <c r="V49" s="4" t="s">
        <v>1</v>
      </c>
      <c r="W49" s="4">
        <v>1</v>
      </c>
      <c r="X49" s="4">
        <v>1</v>
      </c>
      <c r="Y49" s="4">
        <v>1</v>
      </c>
      <c r="Z49" s="56">
        <v>3</v>
      </c>
      <c r="AA49" s="9" cm="1">
        <f t="array" ref="AA49">IF(OR(AB49:AE49=""),"BLANK",IF(AND(AB49:AE49&lt;999),1,IF(AND(AB49:AE49="NA"),3,2)))</f>
        <v>1</v>
      </c>
      <c r="AB49" s="4">
        <v>20</v>
      </c>
      <c r="AC49" s="4">
        <v>12</v>
      </c>
      <c r="AD49" s="4">
        <v>8</v>
      </c>
      <c r="AE49" s="5">
        <v>40</v>
      </c>
      <c r="AF49" s="9">
        <f t="shared" si="0"/>
        <v>1</v>
      </c>
      <c r="AG49" s="5">
        <v>32</v>
      </c>
      <c r="AH49" s="9" cm="1">
        <f t="array" ref="AH49">IF(OR(AI49:AN49=""),"BLANK",IF(AND(AI49:AN49&lt;99),1,IF(AND(AI49:AN49="NA"),3,2)))</f>
        <v>3</v>
      </c>
      <c r="AI49" s="4" t="s">
        <v>7</v>
      </c>
      <c r="AJ49" s="4" t="s">
        <v>7</v>
      </c>
      <c r="AK49" s="4" t="s">
        <v>7</v>
      </c>
      <c r="AL49" s="4" t="s">
        <v>7</v>
      </c>
      <c r="AM49" s="4" t="s">
        <v>7</v>
      </c>
      <c r="AN49" s="5" t="s">
        <v>7</v>
      </c>
    </row>
    <row r="50" spans="1:40" x14ac:dyDescent="0.2">
      <c r="A50" s="39">
        <v>257</v>
      </c>
      <c r="B50" s="4" t="s">
        <v>66</v>
      </c>
      <c r="C50" s="30" t="s">
        <v>23</v>
      </c>
      <c r="D50" s="30">
        <v>5</v>
      </c>
      <c r="E50" s="30">
        <v>0</v>
      </c>
      <c r="F50" s="4">
        <v>4</v>
      </c>
      <c r="G50" s="30">
        <v>26</v>
      </c>
      <c r="H50" s="33">
        <v>4.3531827515400412</v>
      </c>
      <c r="I50" s="33" t="s">
        <v>7</v>
      </c>
      <c r="J50" s="33" t="s">
        <v>7</v>
      </c>
      <c r="K50" s="33">
        <v>4.3641341546885695</v>
      </c>
      <c r="L50" s="33" t="s">
        <v>7</v>
      </c>
      <c r="M50" s="33" t="s">
        <v>7</v>
      </c>
      <c r="N50" s="33" t="s">
        <v>7</v>
      </c>
      <c r="O50" s="33" t="s">
        <v>7</v>
      </c>
      <c r="P50" s="33" t="s">
        <v>7</v>
      </c>
      <c r="Q50" s="33" t="s">
        <v>7</v>
      </c>
      <c r="R50" s="33" t="s">
        <v>7</v>
      </c>
      <c r="S50" s="33" t="s">
        <v>7</v>
      </c>
      <c r="T50" s="34">
        <v>3</v>
      </c>
      <c r="U50" s="34">
        <v>13</v>
      </c>
      <c r="V50" s="4" t="s">
        <v>1</v>
      </c>
      <c r="W50" s="4">
        <v>1</v>
      </c>
      <c r="X50" s="4">
        <v>1</v>
      </c>
      <c r="Y50" s="4">
        <v>1</v>
      </c>
      <c r="Z50" s="56">
        <v>3</v>
      </c>
      <c r="AA50" s="9" cm="1">
        <f t="array" ref="AA50">IF(OR(AB50:AE50=""),"BLANK",IF(AND(AB50:AE50&lt;999),1,IF(AND(AB50:AE50="NA"),3,2)))</f>
        <v>1</v>
      </c>
      <c r="AB50" s="4">
        <v>19</v>
      </c>
      <c r="AC50" s="4">
        <v>13</v>
      </c>
      <c r="AD50" s="4">
        <v>5</v>
      </c>
      <c r="AE50" s="5">
        <v>37</v>
      </c>
      <c r="AF50" s="9">
        <f t="shared" si="0"/>
        <v>1</v>
      </c>
      <c r="AG50" s="5">
        <v>42</v>
      </c>
      <c r="AH50" s="9" cm="1">
        <f t="array" ref="AH50">IF(OR(AI50:AN50=""),"BLANK",IF(AND(AI50:AN50&lt;99),1,IF(AND(AI50:AN50="NA"),3,2)))</f>
        <v>3</v>
      </c>
      <c r="AI50" s="4" t="s">
        <v>7</v>
      </c>
      <c r="AJ50" s="4" t="s">
        <v>7</v>
      </c>
      <c r="AK50" s="4" t="s">
        <v>7</v>
      </c>
      <c r="AL50" s="4" t="s">
        <v>7</v>
      </c>
      <c r="AM50" s="4" t="s">
        <v>7</v>
      </c>
      <c r="AN50" s="5" t="s">
        <v>7</v>
      </c>
    </row>
    <row r="51" spans="1:40" x14ac:dyDescent="0.2">
      <c r="A51" s="39">
        <v>261</v>
      </c>
      <c r="B51" s="4" t="s">
        <v>65</v>
      </c>
      <c r="C51" s="30" t="s">
        <v>23</v>
      </c>
      <c r="D51" s="30">
        <v>5</v>
      </c>
      <c r="E51" s="30">
        <v>0</v>
      </c>
      <c r="F51" s="4">
        <v>3.8180000000000001</v>
      </c>
      <c r="G51" s="30">
        <v>27</v>
      </c>
      <c r="H51" s="33">
        <v>4.1998631074606436</v>
      </c>
      <c r="I51" s="33" t="s">
        <v>7</v>
      </c>
      <c r="J51" s="33" t="s">
        <v>7</v>
      </c>
      <c r="K51" s="33">
        <v>4.3148528405201914</v>
      </c>
      <c r="L51" s="33" t="s">
        <v>7</v>
      </c>
      <c r="M51" s="33" t="s">
        <v>7</v>
      </c>
      <c r="N51" s="33">
        <v>4.2299794661190964</v>
      </c>
      <c r="O51" s="33" t="s">
        <v>7</v>
      </c>
      <c r="P51" s="33" t="s">
        <v>7</v>
      </c>
      <c r="Q51" s="33" t="s">
        <v>7</v>
      </c>
      <c r="R51" s="33" t="s">
        <v>7</v>
      </c>
      <c r="S51" s="33" t="s">
        <v>7</v>
      </c>
      <c r="T51" s="34">
        <v>4</v>
      </c>
      <c r="U51" s="34">
        <v>16</v>
      </c>
      <c r="V51" s="4" t="s">
        <v>1</v>
      </c>
      <c r="W51" s="4">
        <v>1</v>
      </c>
      <c r="X51" s="4">
        <v>1</v>
      </c>
      <c r="Y51" s="4">
        <v>1</v>
      </c>
      <c r="Z51" s="56">
        <v>3</v>
      </c>
      <c r="AA51" s="9" cm="1">
        <f t="array" ref="AA51">IF(OR(AB51:AE51=""),"BLANK",IF(AND(AB51:AE51&lt;999),1,IF(AND(AB51:AE51="NA"),3,2)))</f>
        <v>1</v>
      </c>
      <c r="AB51" s="4">
        <v>37</v>
      </c>
      <c r="AC51" s="4">
        <v>23</v>
      </c>
      <c r="AD51" s="4">
        <v>16</v>
      </c>
      <c r="AE51" s="5">
        <v>76</v>
      </c>
      <c r="AF51" s="9">
        <f t="shared" si="0"/>
        <v>1</v>
      </c>
      <c r="AG51" s="5">
        <v>64</v>
      </c>
      <c r="AH51" s="9" cm="1">
        <f t="array" ref="AH51">IF(OR(AI51:AN51=""),"BLANK",IF(AND(AI51:AN51&lt;99),1,IF(AND(AI51:AN51="NA"),3,2)))</f>
        <v>3</v>
      </c>
      <c r="AI51" s="4" t="s">
        <v>7</v>
      </c>
      <c r="AJ51" s="4" t="s">
        <v>7</v>
      </c>
      <c r="AK51" s="4" t="s">
        <v>7</v>
      </c>
      <c r="AL51" s="4" t="s">
        <v>7</v>
      </c>
      <c r="AM51" s="4" t="s">
        <v>7</v>
      </c>
      <c r="AN51" s="5" t="s">
        <v>7</v>
      </c>
    </row>
    <row r="52" spans="1:40" x14ac:dyDescent="0.2">
      <c r="A52" s="39">
        <v>269</v>
      </c>
      <c r="B52" s="4" t="s">
        <v>65</v>
      </c>
      <c r="C52" s="30" t="s">
        <v>23</v>
      </c>
      <c r="D52" s="30">
        <v>5</v>
      </c>
      <c r="E52" s="30">
        <v>0</v>
      </c>
      <c r="F52" s="4">
        <v>4</v>
      </c>
      <c r="G52" s="30">
        <v>27</v>
      </c>
      <c r="H52" s="33" t="s">
        <v>7</v>
      </c>
      <c r="I52" s="33" t="s">
        <v>7</v>
      </c>
      <c r="J52" s="33" t="s">
        <v>7</v>
      </c>
      <c r="K52" s="33" t="s">
        <v>7</v>
      </c>
      <c r="L52" s="33" t="s">
        <v>7</v>
      </c>
      <c r="M52" s="33" t="s">
        <v>7</v>
      </c>
      <c r="N52" s="33" t="s">
        <v>7</v>
      </c>
      <c r="O52" s="33" t="s">
        <v>7</v>
      </c>
      <c r="P52" s="33" t="s">
        <v>7</v>
      </c>
      <c r="Q52" s="33" t="s">
        <v>7</v>
      </c>
      <c r="R52" s="33" t="s">
        <v>7</v>
      </c>
      <c r="S52" s="33" t="s">
        <v>7</v>
      </c>
      <c r="T52" s="34">
        <v>6</v>
      </c>
      <c r="U52" s="34">
        <v>18</v>
      </c>
      <c r="V52" s="4" t="s">
        <v>1</v>
      </c>
      <c r="W52" s="4">
        <v>1</v>
      </c>
      <c r="X52" s="4">
        <v>1</v>
      </c>
      <c r="Y52" s="4">
        <v>1</v>
      </c>
      <c r="Z52" s="56">
        <v>3</v>
      </c>
      <c r="AA52" s="9" cm="1">
        <f t="array" ref="AA52">IF(OR(AB52:AE52=""),"BLANK",IF(AND(AB52:AE52&lt;999),1,IF(AND(AB52:AE52="NA"),3,2)))</f>
        <v>1</v>
      </c>
      <c r="AB52" s="4">
        <v>24</v>
      </c>
      <c r="AC52" s="4">
        <v>17</v>
      </c>
      <c r="AD52" s="4">
        <v>10</v>
      </c>
      <c r="AE52" s="5">
        <v>51</v>
      </c>
      <c r="AF52" s="9">
        <f t="shared" si="0"/>
        <v>1</v>
      </c>
      <c r="AG52" s="5">
        <v>47</v>
      </c>
      <c r="AH52" s="9" cm="1">
        <f t="array" ref="AH52">IF(OR(AI52:AN52=""),"BLANK",IF(AND(AI52:AN52&lt;99),1,IF(AND(AI52:AN52="NA"),3,2)))</f>
        <v>3</v>
      </c>
      <c r="AI52" s="4" t="s">
        <v>7</v>
      </c>
      <c r="AJ52" s="4" t="s">
        <v>7</v>
      </c>
      <c r="AK52" s="4" t="s">
        <v>7</v>
      </c>
      <c r="AL52" s="4" t="s">
        <v>7</v>
      </c>
      <c r="AM52" s="4" t="s">
        <v>7</v>
      </c>
      <c r="AN52" s="5" t="s">
        <v>7</v>
      </c>
    </row>
    <row r="53" spans="1:40" x14ac:dyDescent="0.2">
      <c r="A53" s="39">
        <v>274</v>
      </c>
      <c r="B53" s="4" t="s">
        <v>66</v>
      </c>
      <c r="C53" s="30" t="s">
        <v>24</v>
      </c>
      <c r="D53" s="30">
        <v>5</v>
      </c>
      <c r="E53" s="30">
        <v>0</v>
      </c>
      <c r="F53" s="4">
        <v>4</v>
      </c>
      <c r="G53" s="30">
        <v>29</v>
      </c>
      <c r="H53" s="33">
        <v>4.043805612594114</v>
      </c>
      <c r="I53" s="33">
        <v>5.415468856947296</v>
      </c>
      <c r="J53" s="33">
        <v>9.4592744695414108</v>
      </c>
      <c r="K53" s="33">
        <v>4.043805612594114</v>
      </c>
      <c r="L53" s="33">
        <v>5.5003422313483918</v>
      </c>
      <c r="M53" s="33">
        <v>9.5441478439425058</v>
      </c>
      <c r="N53" s="33">
        <v>4.0301163586584527</v>
      </c>
      <c r="O53" s="33" t="s">
        <v>7</v>
      </c>
      <c r="P53" s="33" t="s">
        <v>7</v>
      </c>
      <c r="Q53" s="33">
        <v>3.1978097193702943</v>
      </c>
      <c r="R53" s="33" t="s">
        <v>7</v>
      </c>
      <c r="S53" s="33" t="s">
        <v>7</v>
      </c>
      <c r="T53" s="34">
        <v>5</v>
      </c>
      <c r="U53" s="34">
        <v>17</v>
      </c>
      <c r="V53" s="4" t="s">
        <v>1</v>
      </c>
      <c r="W53" s="4">
        <v>1</v>
      </c>
      <c r="X53" s="4">
        <v>1</v>
      </c>
      <c r="Y53" s="4">
        <v>1</v>
      </c>
      <c r="Z53" s="56">
        <v>3</v>
      </c>
      <c r="AA53" s="9" cm="1">
        <f t="array" ref="AA53">IF(OR(AB53:AE53=""),"BLANK",IF(AND(AB53:AE53&lt;999),1,IF(AND(AB53:AE53="NA"),3,2)))</f>
        <v>1</v>
      </c>
      <c r="AB53" s="4">
        <v>23</v>
      </c>
      <c r="AC53" s="4">
        <v>13</v>
      </c>
      <c r="AD53" s="4">
        <v>9</v>
      </c>
      <c r="AE53" s="5">
        <v>45</v>
      </c>
      <c r="AF53" s="9">
        <f t="shared" si="0"/>
        <v>1</v>
      </c>
      <c r="AG53" s="5">
        <v>43</v>
      </c>
      <c r="AH53" s="9" cm="1">
        <f t="array" ref="AH53">IF(OR(AI53:AN53=""),"BLANK",IF(AND(AI53:AN53&lt;99),1,IF(AND(AI53:AN53="NA"),3,2)))</f>
        <v>3</v>
      </c>
      <c r="AI53" s="4" t="s">
        <v>7</v>
      </c>
      <c r="AJ53" s="4" t="s">
        <v>7</v>
      </c>
      <c r="AK53" s="4" t="s">
        <v>7</v>
      </c>
      <c r="AL53" s="4" t="s">
        <v>7</v>
      </c>
      <c r="AM53" s="4" t="s">
        <v>7</v>
      </c>
      <c r="AN53" s="5" t="s">
        <v>7</v>
      </c>
    </row>
    <row r="54" spans="1:40" x14ac:dyDescent="0.2">
      <c r="A54" s="39">
        <v>295</v>
      </c>
      <c r="B54" s="4" t="s">
        <v>48</v>
      </c>
      <c r="C54" s="30" t="s">
        <v>23</v>
      </c>
      <c r="D54" s="30">
        <v>5</v>
      </c>
      <c r="E54" s="30">
        <v>0</v>
      </c>
      <c r="F54" s="4">
        <v>3.6360000000000001</v>
      </c>
      <c r="G54" s="30">
        <v>28</v>
      </c>
      <c r="H54" s="33" t="s">
        <v>7</v>
      </c>
      <c r="I54" s="33" t="s">
        <v>7</v>
      </c>
      <c r="J54" s="33" t="s">
        <v>7</v>
      </c>
      <c r="K54" s="33" t="s">
        <v>7</v>
      </c>
      <c r="L54" s="33" t="s">
        <v>7</v>
      </c>
      <c r="M54" s="33" t="s">
        <v>7</v>
      </c>
      <c r="N54" s="33" t="s">
        <v>7</v>
      </c>
      <c r="O54" s="33" t="s">
        <v>7</v>
      </c>
      <c r="P54" s="33" t="s">
        <v>7</v>
      </c>
      <c r="Q54" s="33" t="s">
        <v>7</v>
      </c>
      <c r="R54" s="33" t="s">
        <v>7</v>
      </c>
      <c r="S54" s="33" t="s">
        <v>7</v>
      </c>
      <c r="T54" s="34">
        <v>6</v>
      </c>
      <c r="U54" s="34">
        <v>18</v>
      </c>
      <c r="V54" s="4" t="s">
        <v>1</v>
      </c>
      <c r="W54" s="4">
        <v>1</v>
      </c>
      <c r="X54" s="4">
        <v>1</v>
      </c>
      <c r="Y54" s="4">
        <v>1</v>
      </c>
      <c r="Z54" s="56">
        <v>3</v>
      </c>
      <c r="AA54" s="9" cm="1">
        <f t="array" ref="AA54">IF(OR(AB54:AE54=""),"BLANK",IF(AND(AB54:AE54&lt;999),1,IF(AND(AB54:AE54="NA"),3,2)))</f>
        <v>1</v>
      </c>
      <c r="AB54" s="4">
        <v>28</v>
      </c>
      <c r="AC54" s="4">
        <v>17</v>
      </c>
      <c r="AD54" s="4">
        <v>12</v>
      </c>
      <c r="AE54" s="5">
        <v>57</v>
      </c>
      <c r="AF54" s="9">
        <f t="shared" si="0"/>
        <v>1</v>
      </c>
      <c r="AG54" s="5">
        <v>59</v>
      </c>
      <c r="AH54" s="9" cm="1">
        <f t="array" ref="AH54">IF(OR(AI54:AN54=""),"BLANK",IF(AND(AI54:AN54&lt;99),1,IF(AND(AI54:AN54="NA"),3,2)))</f>
        <v>3</v>
      </c>
      <c r="AI54" s="4" t="s">
        <v>7</v>
      </c>
      <c r="AJ54" s="4" t="s">
        <v>7</v>
      </c>
      <c r="AK54" s="4" t="s">
        <v>7</v>
      </c>
      <c r="AL54" s="4" t="s">
        <v>7</v>
      </c>
      <c r="AM54" s="4" t="s">
        <v>7</v>
      </c>
      <c r="AN54" s="5" t="s">
        <v>7</v>
      </c>
    </row>
    <row r="55" spans="1:40" x14ac:dyDescent="0.2">
      <c r="A55" s="39">
        <v>299</v>
      </c>
      <c r="B55" s="4" t="s">
        <v>58</v>
      </c>
      <c r="C55" s="30" t="s">
        <v>23</v>
      </c>
      <c r="D55" s="30">
        <v>5</v>
      </c>
      <c r="E55" s="30">
        <v>0</v>
      </c>
      <c r="F55" s="4">
        <v>4</v>
      </c>
      <c r="G55" s="30">
        <v>29</v>
      </c>
      <c r="H55" s="33" t="s">
        <v>7</v>
      </c>
      <c r="I55" s="33" t="s">
        <v>7</v>
      </c>
      <c r="J55" s="33" t="s">
        <v>7</v>
      </c>
      <c r="K55" s="33" t="s">
        <v>7</v>
      </c>
      <c r="L55" s="33" t="s">
        <v>7</v>
      </c>
      <c r="M55" s="33" t="s">
        <v>7</v>
      </c>
      <c r="N55" s="33" t="s">
        <v>7</v>
      </c>
      <c r="O55" s="33" t="s">
        <v>7</v>
      </c>
      <c r="P55" s="33" t="s">
        <v>7</v>
      </c>
      <c r="Q55" s="33" t="s">
        <v>7</v>
      </c>
      <c r="R55" s="33" t="s">
        <v>7</v>
      </c>
      <c r="S55" s="33" t="s">
        <v>7</v>
      </c>
      <c r="T55" s="34">
        <v>3</v>
      </c>
      <c r="U55" s="34">
        <v>14</v>
      </c>
      <c r="V55" s="4" t="s">
        <v>1</v>
      </c>
      <c r="W55" s="4">
        <v>1</v>
      </c>
      <c r="X55" s="4">
        <v>1</v>
      </c>
      <c r="Y55" s="4">
        <v>1</v>
      </c>
      <c r="Z55" s="56">
        <v>3</v>
      </c>
      <c r="AA55" s="9" cm="1">
        <f t="array" ref="AA55">IF(OR(AB55:AE55=""),"BLANK",IF(AND(AB55:AE55&lt;999),1,IF(AND(AB55:AE55="NA"),3,2)))</f>
        <v>1</v>
      </c>
      <c r="AB55" s="4">
        <v>32</v>
      </c>
      <c r="AC55" s="4">
        <v>21</v>
      </c>
      <c r="AD55" s="4">
        <v>13</v>
      </c>
      <c r="AE55" s="5">
        <v>66</v>
      </c>
      <c r="AF55" s="9">
        <f t="shared" si="0"/>
        <v>1</v>
      </c>
      <c r="AG55" s="5">
        <v>65</v>
      </c>
      <c r="AH55" s="9" cm="1">
        <f t="array" ref="AH55">IF(OR(AI55:AN55=""),"BLANK",IF(AND(AI55:AN55&lt;99),1,IF(AND(AI55:AN55="NA"),3,2)))</f>
        <v>3</v>
      </c>
      <c r="AI55" s="4" t="s">
        <v>7</v>
      </c>
      <c r="AJ55" s="4" t="s">
        <v>7</v>
      </c>
      <c r="AK55" s="4" t="s">
        <v>7</v>
      </c>
      <c r="AL55" s="4" t="s">
        <v>7</v>
      </c>
      <c r="AM55" s="4" t="s">
        <v>7</v>
      </c>
      <c r="AN55" s="5" t="s">
        <v>7</v>
      </c>
    </row>
    <row r="56" spans="1:40" x14ac:dyDescent="0.2">
      <c r="A56" s="39">
        <v>311</v>
      </c>
      <c r="B56" s="4" t="s">
        <v>66</v>
      </c>
      <c r="C56" s="30" t="s">
        <v>23</v>
      </c>
      <c r="D56" s="30">
        <v>5</v>
      </c>
      <c r="E56" s="30">
        <v>0</v>
      </c>
      <c r="F56" s="4">
        <v>3.7269999999999999</v>
      </c>
      <c r="G56" s="30">
        <v>29</v>
      </c>
      <c r="H56" s="33">
        <v>4.0821355236139629</v>
      </c>
      <c r="I56" s="33" t="s">
        <v>7</v>
      </c>
      <c r="J56" s="33" t="s">
        <v>7</v>
      </c>
      <c r="K56" s="33">
        <v>4.0985626283367553</v>
      </c>
      <c r="L56" s="33" t="s">
        <v>7</v>
      </c>
      <c r="M56" s="33" t="s">
        <v>7</v>
      </c>
      <c r="N56" s="33">
        <v>4.0492813141683781</v>
      </c>
      <c r="O56" s="33" t="s">
        <v>7</v>
      </c>
      <c r="P56" s="33" t="s">
        <v>7</v>
      </c>
      <c r="Q56" s="33">
        <v>3.2607802874743328</v>
      </c>
      <c r="R56" s="33" t="s">
        <v>7</v>
      </c>
      <c r="S56" s="33" t="s">
        <v>7</v>
      </c>
      <c r="T56" s="34">
        <v>3</v>
      </c>
      <c r="U56" s="34">
        <v>15</v>
      </c>
      <c r="V56" s="4" t="s">
        <v>1</v>
      </c>
      <c r="W56" s="4">
        <v>1</v>
      </c>
      <c r="X56" s="4">
        <v>1</v>
      </c>
      <c r="Y56" s="4">
        <v>1</v>
      </c>
      <c r="Z56" s="56">
        <v>3</v>
      </c>
      <c r="AA56" s="9" cm="1">
        <f t="array" ref="AA56">IF(OR(AB56:AE56=""),"BLANK",IF(AND(AB56:AE56&lt;999),1,IF(AND(AB56:AE56="NA"),3,2)))</f>
        <v>1</v>
      </c>
      <c r="AB56" s="4">
        <v>34</v>
      </c>
      <c r="AC56" s="4">
        <v>16</v>
      </c>
      <c r="AD56" s="4">
        <v>9</v>
      </c>
      <c r="AE56" s="5">
        <v>59</v>
      </c>
      <c r="AF56" s="9">
        <f t="shared" si="0"/>
        <v>1</v>
      </c>
      <c r="AG56" s="5">
        <v>46</v>
      </c>
      <c r="AH56" s="9" cm="1">
        <f t="array" ref="AH56">IF(OR(AI56:AN56=""),"BLANK",IF(AND(AI56:AN56&lt;99),1,IF(AND(AI56:AN56="NA"),3,2)))</f>
        <v>3</v>
      </c>
      <c r="AI56" s="4" t="s">
        <v>7</v>
      </c>
      <c r="AJ56" s="4" t="s">
        <v>7</v>
      </c>
      <c r="AK56" s="4" t="s">
        <v>7</v>
      </c>
      <c r="AL56" s="4" t="s">
        <v>7</v>
      </c>
      <c r="AM56" s="4" t="s">
        <v>7</v>
      </c>
      <c r="AN56" s="5" t="s">
        <v>7</v>
      </c>
    </row>
    <row r="57" spans="1:40" x14ac:dyDescent="0.2">
      <c r="A57" s="39">
        <v>318</v>
      </c>
      <c r="B57" s="4" t="s">
        <v>64</v>
      </c>
      <c r="C57" s="30" t="s">
        <v>23</v>
      </c>
      <c r="D57" s="30">
        <v>5</v>
      </c>
      <c r="E57" s="30">
        <v>0</v>
      </c>
      <c r="F57" s="4">
        <v>4</v>
      </c>
      <c r="G57" s="30">
        <v>28</v>
      </c>
      <c r="H57" s="33">
        <v>4.1177275838466807</v>
      </c>
      <c r="I57" s="33" t="s">
        <v>7</v>
      </c>
      <c r="J57" s="33" t="s">
        <v>7</v>
      </c>
      <c r="K57" s="33" t="s">
        <v>7</v>
      </c>
      <c r="L57" s="33" t="s">
        <v>7</v>
      </c>
      <c r="M57" s="33" t="s">
        <v>7</v>
      </c>
      <c r="N57" s="33" t="s">
        <v>7</v>
      </c>
      <c r="O57" s="33" t="s">
        <v>7</v>
      </c>
      <c r="P57" s="33" t="s">
        <v>7</v>
      </c>
      <c r="Q57" s="33" t="s">
        <v>7</v>
      </c>
      <c r="R57" s="33" t="s">
        <v>7</v>
      </c>
      <c r="S57" s="33" t="s">
        <v>7</v>
      </c>
      <c r="T57" s="34">
        <v>3</v>
      </c>
      <c r="U57" s="34">
        <v>14</v>
      </c>
      <c r="V57" s="4" t="s">
        <v>1</v>
      </c>
      <c r="W57" s="4">
        <v>1</v>
      </c>
      <c r="X57" s="4">
        <v>1</v>
      </c>
      <c r="Y57" s="4">
        <v>1</v>
      </c>
      <c r="Z57" s="56">
        <v>3</v>
      </c>
      <c r="AA57" s="9" cm="1">
        <f t="array" ref="AA57">IF(OR(AB57:AE57=""),"BLANK",IF(AND(AB57:AE57&lt;999),1,IF(AND(AB57:AE57="NA"),3,2)))</f>
        <v>1</v>
      </c>
      <c r="AB57" s="4">
        <v>32</v>
      </c>
      <c r="AC57" s="4">
        <v>18</v>
      </c>
      <c r="AD57" s="4">
        <v>11</v>
      </c>
      <c r="AE57" s="5">
        <v>61</v>
      </c>
      <c r="AF57" s="9">
        <f t="shared" si="0"/>
        <v>1</v>
      </c>
      <c r="AG57" s="5">
        <v>48</v>
      </c>
      <c r="AH57" s="9" cm="1">
        <f t="array" ref="AH57">IF(OR(AI57:AN57=""),"BLANK",IF(AND(AI57:AN57&lt;99),1,IF(AND(AI57:AN57="NA"),3,2)))</f>
        <v>3</v>
      </c>
      <c r="AI57" s="4" t="s">
        <v>7</v>
      </c>
      <c r="AJ57" s="4" t="s">
        <v>7</v>
      </c>
      <c r="AK57" s="4" t="s">
        <v>7</v>
      </c>
      <c r="AL57" s="4" t="s">
        <v>7</v>
      </c>
      <c r="AM57" s="4" t="s">
        <v>7</v>
      </c>
      <c r="AN57" s="5" t="s">
        <v>7</v>
      </c>
    </row>
    <row r="58" spans="1:40" x14ac:dyDescent="0.2">
      <c r="A58" s="39">
        <v>324</v>
      </c>
      <c r="B58" s="4" t="s">
        <v>49</v>
      </c>
      <c r="C58" s="30" t="s">
        <v>23</v>
      </c>
      <c r="D58" s="30">
        <v>5</v>
      </c>
      <c r="E58" s="30">
        <v>0</v>
      </c>
      <c r="F58" s="4">
        <v>3.2730000000000001</v>
      </c>
      <c r="G58" s="30">
        <v>29</v>
      </c>
      <c r="H58" s="33">
        <v>4.5256673511293632</v>
      </c>
      <c r="I58" s="33" t="s">
        <v>7</v>
      </c>
      <c r="J58" s="33" t="s">
        <v>7</v>
      </c>
      <c r="K58" s="33">
        <v>4.5256673511293632</v>
      </c>
      <c r="L58" s="33" t="s">
        <v>7</v>
      </c>
      <c r="M58" s="33" t="s">
        <v>7</v>
      </c>
      <c r="N58" s="33">
        <v>4.4134154688569476</v>
      </c>
      <c r="O58" s="33" t="s">
        <v>7</v>
      </c>
      <c r="P58" s="33" t="s">
        <v>7</v>
      </c>
      <c r="Q58" s="33">
        <v>3.0143737166324436</v>
      </c>
      <c r="R58" s="33" t="s">
        <v>7</v>
      </c>
      <c r="S58" s="33" t="s">
        <v>7</v>
      </c>
      <c r="T58" s="34">
        <v>4</v>
      </c>
      <c r="U58" s="34">
        <v>16</v>
      </c>
      <c r="V58" s="4" t="s">
        <v>1</v>
      </c>
      <c r="W58" s="4">
        <v>1</v>
      </c>
      <c r="X58" s="4">
        <v>1</v>
      </c>
      <c r="Y58" s="4">
        <v>1</v>
      </c>
      <c r="Z58" s="56">
        <v>3</v>
      </c>
      <c r="AA58" s="9" cm="1">
        <f t="array" ref="AA58">IF(OR(AB58:AE58=""),"BLANK",IF(AND(AB58:AE58&lt;999),1,IF(AND(AB58:AE58="NA"),3,2)))</f>
        <v>1</v>
      </c>
      <c r="AB58" s="4">
        <v>43</v>
      </c>
      <c r="AC58" s="4">
        <v>23</v>
      </c>
      <c r="AD58" s="4">
        <v>19</v>
      </c>
      <c r="AE58" s="5">
        <v>85</v>
      </c>
      <c r="AF58" s="9">
        <f t="shared" si="0"/>
        <v>1</v>
      </c>
      <c r="AG58" s="5">
        <v>67</v>
      </c>
      <c r="AH58" s="9" cm="1">
        <f t="array" ref="AH58">IF(OR(AI58:AN58=""),"BLANK",IF(AND(AI58:AN58&lt;99),1,IF(AND(AI58:AN58="NA"),3,2)))</f>
        <v>3</v>
      </c>
      <c r="AI58" s="4" t="s">
        <v>7</v>
      </c>
      <c r="AJ58" s="4" t="s">
        <v>7</v>
      </c>
      <c r="AK58" s="4" t="s">
        <v>7</v>
      </c>
      <c r="AL58" s="4" t="s">
        <v>7</v>
      </c>
      <c r="AM58" s="4" t="s">
        <v>7</v>
      </c>
      <c r="AN58" s="5" t="s">
        <v>7</v>
      </c>
    </row>
    <row r="59" spans="1:40" x14ac:dyDescent="0.2">
      <c r="A59" s="39">
        <v>326</v>
      </c>
      <c r="B59" s="4" t="s">
        <v>54</v>
      </c>
      <c r="C59" s="30" t="s">
        <v>23</v>
      </c>
      <c r="D59" s="30">
        <v>5</v>
      </c>
      <c r="E59" s="30">
        <v>0</v>
      </c>
      <c r="F59" s="4">
        <v>4</v>
      </c>
      <c r="G59" s="30">
        <v>29</v>
      </c>
      <c r="H59" s="33">
        <v>4.4079397672826834</v>
      </c>
      <c r="I59" s="33">
        <v>5.7084188911704308</v>
      </c>
      <c r="J59" s="33">
        <v>10.116358658453114</v>
      </c>
      <c r="K59" s="33">
        <v>4.4079397672826834</v>
      </c>
      <c r="L59" s="33">
        <v>5.7084188911704308</v>
      </c>
      <c r="M59" s="33">
        <v>10.116358658453114</v>
      </c>
      <c r="N59" s="33">
        <v>4.4052019164955514</v>
      </c>
      <c r="O59" s="33">
        <v>5.5003422313483918</v>
      </c>
      <c r="P59" s="33">
        <v>9.9055441478439423</v>
      </c>
      <c r="Q59" s="33">
        <v>3.3483915126625599</v>
      </c>
      <c r="R59" s="33">
        <v>6.3189596167008899</v>
      </c>
      <c r="S59" s="33">
        <v>9.6673511293634498</v>
      </c>
      <c r="T59" s="34">
        <v>3</v>
      </c>
      <c r="U59" s="34">
        <v>14</v>
      </c>
      <c r="V59" s="4" t="s">
        <v>1</v>
      </c>
      <c r="W59" s="4">
        <v>1</v>
      </c>
      <c r="X59" s="4">
        <v>1</v>
      </c>
      <c r="Y59" s="4">
        <v>1</v>
      </c>
      <c r="Z59" s="56">
        <v>3</v>
      </c>
      <c r="AA59" s="9" cm="1">
        <f t="array" ref="AA59">IF(OR(AB59:AE59=""),"BLANK",IF(AND(AB59:AE59&lt;999),1,IF(AND(AB59:AE59="NA"),3,2)))</f>
        <v>1</v>
      </c>
      <c r="AB59" s="4">
        <v>26</v>
      </c>
      <c r="AC59" s="4">
        <v>16</v>
      </c>
      <c r="AD59" s="4">
        <v>14</v>
      </c>
      <c r="AE59" s="5">
        <v>56</v>
      </c>
      <c r="AF59" s="9">
        <f t="shared" si="0"/>
        <v>1</v>
      </c>
      <c r="AG59" s="5">
        <v>50</v>
      </c>
      <c r="AH59" s="9" cm="1">
        <f t="array" ref="AH59">IF(OR(AI59:AN59=""),"BLANK",IF(AND(AI59:AN59&lt;99),1,IF(AND(AI59:AN59="NA"),3,2)))</f>
        <v>3</v>
      </c>
      <c r="AI59" s="4" t="s">
        <v>7</v>
      </c>
      <c r="AJ59" s="4" t="s">
        <v>7</v>
      </c>
      <c r="AK59" s="4" t="s">
        <v>7</v>
      </c>
      <c r="AL59" s="4" t="s">
        <v>7</v>
      </c>
      <c r="AM59" s="4" t="s">
        <v>7</v>
      </c>
      <c r="AN59" s="5" t="s">
        <v>7</v>
      </c>
    </row>
    <row r="60" spans="1:40" x14ac:dyDescent="0.2">
      <c r="A60" s="39">
        <v>327</v>
      </c>
      <c r="B60" s="4" t="s">
        <v>57</v>
      </c>
      <c r="C60" s="30" t="s">
        <v>23</v>
      </c>
      <c r="D60" s="30">
        <v>5</v>
      </c>
      <c r="E60" s="30">
        <v>0</v>
      </c>
      <c r="F60" s="4">
        <v>3.7269999999999999</v>
      </c>
      <c r="G60" s="30">
        <v>28</v>
      </c>
      <c r="H60" s="33">
        <v>4.1505817932922655</v>
      </c>
      <c r="I60" s="33">
        <v>5.6344969199178641</v>
      </c>
      <c r="J60" s="33">
        <v>9.7850787132101296</v>
      </c>
      <c r="K60" s="33">
        <v>4.1505817932922655</v>
      </c>
      <c r="L60" s="33" t="s">
        <v>7</v>
      </c>
      <c r="M60" s="33" t="s">
        <v>7</v>
      </c>
      <c r="N60" s="33">
        <v>4.1451060917180014</v>
      </c>
      <c r="O60" s="33">
        <v>5.5961670088980151</v>
      </c>
      <c r="P60" s="33">
        <v>9.7412731006160165</v>
      </c>
      <c r="Q60" s="33" t="s">
        <v>7</v>
      </c>
      <c r="R60" s="33" t="s">
        <v>7</v>
      </c>
      <c r="S60" s="33" t="s">
        <v>7</v>
      </c>
      <c r="T60" s="34">
        <v>4</v>
      </c>
      <c r="U60" s="34">
        <v>16</v>
      </c>
      <c r="V60" s="4" t="s">
        <v>1</v>
      </c>
      <c r="W60" s="4">
        <v>1</v>
      </c>
      <c r="X60" s="4">
        <v>1</v>
      </c>
      <c r="Y60" s="4">
        <v>1</v>
      </c>
      <c r="Z60" s="56">
        <v>3</v>
      </c>
      <c r="AA60" s="9" cm="1">
        <f t="array" ref="AA60">IF(OR(AB60:AE60=""),"BLANK",IF(AND(AB60:AE60&lt;999),1,IF(AND(AB60:AE60="NA"),3,2)))</f>
        <v>1</v>
      </c>
      <c r="AB60" s="4">
        <v>39</v>
      </c>
      <c r="AC60" s="4">
        <v>24</v>
      </c>
      <c r="AD60" s="4">
        <v>18</v>
      </c>
      <c r="AE60" s="5">
        <v>81</v>
      </c>
      <c r="AF60" s="9">
        <f t="shared" si="0"/>
        <v>1</v>
      </c>
      <c r="AG60" s="5">
        <v>75</v>
      </c>
      <c r="AH60" s="9" cm="1">
        <f t="array" ref="AH60">IF(OR(AI60:AN60=""),"BLANK",IF(AND(AI60:AN60&lt;99),1,IF(AND(AI60:AN60="NA"),3,2)))</f>
        <v>3</v>
      </c>
      <c r="AI60" s="4" t="s">
        <v>7</v>
      </c>
      <c r="AJ60" s="4" t="s">
        <v>7</v>
      </c>
      <c r="AK60" s="4" t="s">
        <v>7</v>
      </c>
      <c r="AL60" s="4" t="s">
        <v>7</v>
      </c>
      <c r="AM60" s="4" t="s">
        <v>7</v>
      </c>
      <c r="AN60" s="5" t="s">
        <v>7</v>
      </c>
    </row>
    <row r="61" spans="1:40" x14ac:dyDescent="0.2">
      <c r="A61" s="39">
        <v>335</v>
      </c>
      <c r="B61" s="4" t="s">
        <v>59</v>
      </c>
      <c r="C61" s="30" t="s">
        <v>23</v>
      </c>
      <c r="D61" s="30">
        <v>5</v>
      </c>
      <c r="E61" s="30">
        <v>0</v>
      </c>
      <c r="F61" s="4">
        <v>3.9089999999999998</v>
      </c>
      <c r="G61" s="30">
        <v>29</v>
      </c>
      <c r="H61" s="33">
        <v>4.3969883641341543</v>
      </c>
      <c r="I61" s="33">
        <v>5.2950034223134841</v>
      </c>
      <c r="J61" s="33">
        <v>9.6919917864476393</v>
      </c>
      <c r="K61" s="33">
        <v>4.4380561259411362</v>
      </c>
      <c r="L61" s="33">
        <v>5.2539356605065022</v>
      </c>
      <c r="M61" s="33">
        <v>9.6919917864476393</v>
      </c>
      <c r="N61" s="33">
        <v>4.3641341546885695</v>
      </c>
      <c r="O61" s="33">
        <v>5.2867898699520879</v>
      </c>
      <c r="P61" s="33">
        <v>9.6509240246406574</v>
      </c>
      <c r="Q61" s="33">
        <v>3.0198494182067077</v>
      </c>
      <c r="R61" s="33" t="s">
        <v>7</v>
      </c>
      <c r="S61" s="33" t="s">
        <v>7</v>
      </c>
      <c r="T61" s="34">
        <v>4</v>
      </c>
      <c r="U61" s="34">
        <v>16</v>
      </c>
      <c r="V61" s="4" t="s">
        <v>1</v>
      </c>
      <c r="W61" s="4">
        <v>1</v>
      </c>
      <c r="X61" s="4">
        <v>1</v>
      </c>
      <c r="Y61" s="4">
        <v>1</v>
      </c>
      <c r="Z61" s="56">
        <v>3</v>
      </c>
      <c r="AA61" s="9" cm="1">
        <f t="array" ref="AA61">IF(OR(AB61:AE61=""),"BLANK",IF(AND(AB61:AE61&lt;999),1,IF(AND(AB61:AE61="NA"),3,2)))</f>
        <v>1</v>
      </c>
      <c r="AB61" s="4">
        <v>27</v>
      </c>
      <c r="AC61" s="4">
        <v>15</v>
      </c>
      <c r="AD61" s="4">
        <v>10</v>
      </c>
      <c r="AE61" s="5">
        <v>52</v>
      </c>
      <c r="AF61" s="9">
        <f t="shared" si="0"/>
        <v>1</v>
      </c>
      <c r="AG61" s="5">
        <v>44</v>
      </c>
      <c r="AH61" s="9" cm="1">
        <f t="array" ref="AH61">IF(OR(AI61:AN61=""),"BLANK",IF(AND(AI61:AN61&lt;99),1,IF(AND(AI61:AN61="NA"),3,2)))</f>
        <v>3</v>
      </c>
      <c r="AI61" s="4" t="s">
        <v>7</v>
      </c>
      <c r="AJ61" s="4" t="s">
        <v>7</v>
      </c>
      <c r="AK61" s="4" t="s">
        <v>7</v>
      </c>
      <c r="AL61" s="4" t="s">
        <v>7</v>
      </c>
      <c r="AM61" s="4" t="s">
        <v>7</v>
      </c>
      <c r="AN61" s="5" t="s">
        <v>7</v>
      </c>
    </row>
    <row r="62" spans="1:40" x14ac:dyDescent="0.2">
      <c r="A62" s="39">
        <v>341</v>
      </c>
      <c r="B62" s="4" t="s">
        <v>58</v>
      </c>
      <c r="C62" s="30" t="s">
        <v>24</v>
      </c>
      <c r="D62" s="30">
        <v>5</v>
      </c>
      <c r="E62" s="30">
        <v>0</v>
      </c>
      <c r="F62" s="4">
        <v>4</v>
      </c>
      <c r="G62" s="30">
        <v>29</v>
      </c>
      <c r="H62" s="33">
        <v>4.1642710472279258</v>
      </c>
      <c r="I62" s="33">
        <v>5.5167693360711842</v>
      </c>
      <c r="J62" s="33">
        <v>9.681040383299111</v>
      </c>
      <c r="K62" s="33">
        <v>4.1587953456536617</v>
      </c>
      <c r="L62" s="33">
        <v>5.5167693360711842</v>
      </c>
      <c r="M62" s="33">
        <v>9.6755646817248468</v>
      </c>
      <c r="N62" s="33">
        <v>4.1806981519507183</v>
      </c>
      <c r="O62" s="33">
        <v>5.4592744695414099</v>
      </c>
      <c r="P62" s="33">
        <v>9.6399726214921291</v>
      </c>
      <c r="Q62" s="33">
        <v>3.2169746748802188</v>
      </c>
      <c r="R62" s="33">
        <v>6.3436002737850785</v>
      </c>
      <c r="S62" s="33">
        <v>9.5605749486652982</v>
      </c>
      <c r="T62" s="34">
        <v>3</v>
      </c>
      <c r="U62" s="34">
        <v>14</v>
      </c>
      <c r="V62" s="4" t="s">
        <v>1</v>
      </c>
      <c r="W62" s="4">
        <v>1</v>
      </c>
      <c r="X62" s="4">
        <v>1</v>
      </c>
      <c r="Y62" s="4">
        <v>1</v>
      </c>
      <c r="Z62" s="56">
        <v>3</v>
      </c>
      <c r="AA62" s="9" cm="1">
        <f t="array" ref="AA62">IF(OR(AB62:AE62=""),"BLANK",IF(AND(AB62:AE62&lt;999),1,IF(AND(AB62:AE62="NA"),3,2)))</f>
        <v>1</v>
      </c>
      <c r="AB62" s="4">
        <v>29</v>
      </c>
      <c r="AC62" s="4">
        <v>18</v>
      </c>
      <c r="AD62" s="4">
        <v>7</v>
      </c>
      <c r="AE62" s="5">
        <v>54</v>
      </c>
      <c r="AF62" s="9">
        <f t="shared" si="0"/>
        <v>1</v>
      </c>
      <c r="AG62" s="5">
        <v>41</v>
      </c>
      <c r="AH62" s="9" cm="1">
        <f t="array" ref="AH62">IF(OR(AI62:AN62=""),"BLANK",IF(AND(AI62:AN62&lt;99),1,IF(AND(AI62:AN62="NA"),3,2)))</f>
        <v>3</v>
      </c>
      <c r="AI62" s="4" t="s">
        <v>7</v>
      </c>
      <c r="AJ62" s="4" t="s">
        <v>7</v>
      </c>
      <c r="AK62" s="4" t="s">
        <v>7</v>
      </c>
      <c r="AL62" s="4" t="s">
        <v>7</v>
      </c>
      <c r="AM62" s="4" t="s">
        <v>7</v>
      </c>
      <c r="AN62" s="5" t="s">
        <v>7</v>
      </c>
    </row>
    <row r="63" spans="1:40" x14ac:dyDescent="0.2">
      <c r="A63" s="39">
        <v>346</v>
      </c>
      <c r="B63" s="4" t="s">
        <v>48</v>
      </c>
      <c r="C63" s="30" t="s">
        <v>23</v>
      </c>
      <c r="D63" s="30">
        <v>5</v>
      </c>
      <c r="E63" s="30">
        <v>0</v>
      </c>
      <c r="F63" s="4">
        <v>3.7269999999999999</v>
      </c>
      <c r="G63" s="30">
        <v>27</v>
      </c>
      <c r="H63" s="33">
        <v>4.2518822724161529</v>
      </c>
      <c r="I63" s="33">
        <v>5.5824777549623548</v>
      </c>
      <c r="J63" s="33">
        <v>9.8343600273785086</v>
      </c>
      <c r="K63" s="33">
        <v>4.26009582477755</v>
      </c>
      <c r="L63" s="33">
        <v>5.5742642026009586</v>
      </c>
      <c r="M63" s="33">
        <v>9.8343600273785086</v>
      </c>
      <c r="N63" s="33">
        <v>4.1861738535249833</v>
      </c>
      <c r="O63" s="33">
        <v>5.2511978097193701</v>
      </c>
      <c r="P63" s="33">
        <v>9.4373716632443525</v>
      </c>
      <c r="Q63" s="33">
        <v>3.2799452429842573</v>
      </c>
      <c r="R63" s="33">
        <v>6.2067077344284733</v>
      </c>
      <c r="S63" s="33">
        <v>9.4866529774127315</v>
      </c>
      <c r="T63" s="34">
        <v>3</v>
      </c>
      <c r="U63" s="34">
        <v>14</v>
      </c>
      <c r="V63" s="4" t="s">
        <v>1</v>
      </c>
      <c r="W63" s="4">
        <v>1</v>
      </c>
      <c r="X63" s="4">
        <v>1</v>
      </c>
      <c r="Y63" s="4">
        <v>1</v>
      </c>
      <c r="Z63" s="56">
        <v>3</v>
      </c>
      <c r="AA63" s="9" cm="1">
        <f t="array" ref="AA63">IF(OR(AB63:AE63=""),"BLANK",IF(AND(AB63:AE63&lt;999),1,IF(AND(AB63:AE63="NA"),3,2)))</f>
        <v>1</v>
      </c>
      <c r="AB63" s="4">
        <v>34</v>
      </c>
      <c r="AC63" s="4">
        <v>23</v>
      </c>
      <c r="AD63" s="4">
        <v>17</v>
      </c>
      <c r="AE63" s="5">
        <v>74</v>
      </c>
      <c r="AF63" s="9">
        <f t="shared" si="0"/>
        <v>1</v>
      </c>
      <c r="AG63" s="5">
        <v>69</v>
      </c>
      <c r="AH63" s="9" cm="1">
        <f t="array" ref="AH63">IF(OR(AI63:AN63=""),"BLANK",IF(AND(AI63:AN63&lt;99),1,IF(AND(AI63:AN63="NA"),3,2)))</f>
        <v>3</v>
      </c>
      <c r="AI63" s="4" t="s">
        <v>7</v>
      </c>
      <c r="AJ63" s="4" t="s">
        <v>7</v>
      </c>
      <c r="AK63" s="4" t="s">
        <v>7</v>
      </c>
      <c r="AL63" s="4" t="s">
        <v>7</v>
      </c>
      <c r="AM63" s="4" t="s">
        <v>7</v>
      </c>
      <c r="AN63" s="5" t="s">
        <v>7</v>
      </c>
    </row>
    <row r="64" spans="1:40" x14ac:dyDescent="0.2">
      <c r="A64" s="39">
        <v>349</v>
      </c>
      <c r="B64" s="4" t="s">
        <v>66</v>
      </c>
      <c r="C64" s="30" t="s">
        <v>23</v>
      </c>
      <c r="D64" s="30">
        <v>5</v>
      </c>
      <c r="E64" s="30">
        <v>0</v>
      </c>
      <c r="F64" s="4">
        <v>3.8180000000000001</v>
      </c>
      <c r="G64" s="30">
        <v>28</v>
      </c>
      <c r="H64" s="33">
        <v>3.9698836413415468</v>
      </c>
      <c r="I64" s="33" t="s">
        <v>7</v>
      </c>
      <c r="J64" s="33" t="s">
        <v>7</v>
      </c>
      <c r="K64" s="33">
        <v>3.978097193702943</v>
      </c>
      <c r="L64" s="33" t="s">
        <v>7</v>
      </c>
      <c r="M64" s="33" t="s">
        <v>7</v>
      </c>
      <c r="N64" s="33">
        <v>3.9671457905544147</v>
      </c>
      <c r="O64" s="33" t="s">
        <v>7</v>
      </c>
      <c r="P64" s="33" t="s">
        <v>7</v>
      </c>
      <c r="Q64" s="33">
        <v>3.4661190965092401</v>
      </c>
      <c r="R64" s="33" t="s">
        <v>7</v>
      </c>
      <c r="S64" s="33" t="s">
        <v>7</v>
      </c>
      <c r="T64" s="34">
        <v>6</v>
      </c>
      <c r="U64" s="34">
        <v>18</v>
      </c>
      <c r="V64" s="4" t="s">
        <v>1</v>
      </c>
      <c r="W64" s="4">
        <v>1</v>
      </c>
      <c r="X64" s="4">
        <v>1</v>
      </c>
      <c r="Y64" s="4">
        <v>1</v>
      </c>
      <c r="Z64" s="56">
        <v>3</v>
      </c>
      <c r="AA64" s="9" cm="1">
        <f t="array" ref="AA64">IF(OR(AB64:AE64=""),"BLANK",IF(AND(AB64:AE64&lt;999),1,IF(AND(AB64:AE64="NA"),3,2)))</f>
        <v>1</v>
      </c>
      <c r="AB64" s="4">
        <v>27</v>
      </c>
      <c r="AC64" s="4">
        <v>11</v>
      </c>
      <c r="AD64" s="4">
        <v>1</v>
      </c>
      <c r="AE64" s="5">
        <v>39</v>
      </c>
      <c r="AF64" s="9">
        <f t="shared" si="0"/>
        <v>1</v>
      </c>
      <c r="AG64" s="5">
        <v>46</v>
      </c>
      <c r="AH64" s="9" cm="1">
        <f t="array" ref="AH64">IF(OR(AI64:AN64=""),"BLANK",IF(AND(AI64:AN64&lt;99),1,IF(AND(AI64:AN64="NA"),3,2)))</f>
        <v>3</v>
      </c>
      <c r="AI64" s="4" t="s">
        <v>7</v>
      </c>
      <c r="AJ64" s="4" t="s">
        <v>7</v>
      </c>
      <c r="AK64" s="4" t="s">
        <v>7</v>
      </c>
      <c r="AL64" s="4" t="s">
        <v>7</v>
      </c>
      <c r="AM64" s="4" t="s">
        <v>7</v>
      </c>
      <c r="AN64" s="5" t="s">
        <v>7</v>
      </c>
    </row>
    <row r="65" spans="1:40" x14ac:dyDescent="0.2">
      <c r="A65" s="39">
        <v>360</v>
      </c>
      <c r="B65" s="4" t="s">
        <v>58</v>
      </c>
      <c r="C65" s="30" t="s">
        <v>24</v>
      </c>
      <c r="D65" s="30">
        <v>5</v>
      </c>
      <c r="E65" s="30">
        <v>0</v>
      </c>
      <c r="F65" s="4">
        <v>2.9089999999999998</v>
      </c>
      <c r="G65" s="30">
        <v>26</v>
      </c>
      <c r="H65" s="33">
        <v>3.808350444900753</v>
      </c>
      <c r="I65" s="33">
        <v>5.4099931553730318</v>
      </c>
      <c r="J65" s="33">
        <v>9.2183436002737853</v>
      </c>
      <c r="K65" s="33">
        <v>3.8329911019849416</v>
      </c>
      <c r="L65" s="33">
        <v>5.4674880219028061</v>
      </c>
      <c r="M65" s="33">
        <v>9.3004791238877473</v>
      </c>
      <c r="N65" s="33">
        <v>3.8439425051334704</v>
      </c>
      <c r="O65" s="33">
        <v>5.160848733744011</v>
      </c>
      <c r="P65" s="33">
        <v>9.0047912388774805</v>
      </c>
      <c r="Q65" s="33">
        <v>3.2936344969199181</v>
      </c>
      <c r="R65" s="33">
        <v>6.1683778234086244</v>
      </c>
      <c r="S65" s="33">
        <v>9.462012320328542</v>
      </c>
      <c r="T65" s="34">
        <v>6</v>
      </c>
      <c r="U65" s="34">
        <v>18</v>
      </c>
      <c r="V65" s="4" t="s">
        <v>1</v>
      </c>
      <c r="W65" s="4">
        <v>1</v>
      </c>
      <c r="X65" s="4">
        <v>1</v>
      </c>
      <c r="Y65" s="4">
        <v>1</v>
      </c>
      <c r="Z65" s="56">
        <v>3</v>
      </c>
      <c r="AA65" s="9" cm="1">
        <f t="array" ref="AA65">IF(OR(AB65:AE65=""),"BLANK",IF(AND(AB65:AE65&lt;999),1,IF(AND(AB65:AE65="NA"),3,2)))</f>
        <v>1</v>
      </c>
      <c r="AB65" s="4">
        <v>31</v>
      </c>
      <c r="AC65" s="4">
        <v>19</v>
      </c>
      <c r="AD65" s="4">
        <v>13</v>
      </c>
      <c r="AE65" s="5">
        <v>63</v>
      </c>
      <c r="AF65" s="9">
        <f t="shared" si="0"/>
        <v>1</v>
      </c>
      <c r="AG65" s="5">
        <v>56</v>
      </c>
      <c r="AH65" s="9" cm="1">
        <f t="array" ref="AH65">IF(OR(AI65:AN65=""),"BLANK",IF(AND(AI65:AN65&lt;99),1,IF(AND(AI65:AN65="NA"),3,2)))</f>
        <v>3</v>
      </c>
      <c r="AI65" s="4" t="s">
        <v>7</v>
      </c>
      <c r="AJ65" s="4" t="s">
        <v>7</v>
      </c>
      <c r="AK65" s="4" t="s">
        <v>7</v>
      </c>
      <c r="AL65" s="4" t="s">
        <v>7</v>
      </c>
      <c r="AM65" s="4" t="s">
        <v>7</v>
      </c>
      <c r="AN65" s="5" t="s">
        <v>7</v>
      </c>
    </row>
    <row r="66" spans="1:40" x14ac:dyDescent="0.2">
      <c r="A66" s="39">
        <v>361</v>
      </c>
      <c r="B66" s="4" t="s">
        <v>59</v>
      </c>
      <c r="C66" s="30" t="s">
        <v>23</v>
      </c>
      <c r="D66" s="30">
        <v>5</v>
      </c>
      <c r="E66" s="30">
        <v>0</v>
      </c>
      <c r="F66" s="4">
        <v>3.6360000000000001</v>
      </c>
      <c r="G66" s="30">
        <v>27</v>
      </c>
      <c r="H66" s="33">
        <v>4.1040383299110195</v>
      </c>
      <c r="I66" s="33">
        <v>5.4948665297741277</v>
      </c>
      <c r="J66" s="33">
        <v>9.5989048596851472</v>
      </c>
      <c r="K66" s="33">
        <v>4.1040383299110195</v>
      </c>
      <c r="L66" s="33">
        <v>5.5030800821355239</v>
      </c>
      <c r="M66" s="33">
        <v>9.6071184120465443</v>
      </c>
      <c r="N66" s="33" t="s">
        <v>7</v>
      </c>
      <c r="O66" s="33" t="s">
        <v>7</v>
      </c>
      <c r="P66" s="33">
        <v>9.3716632443531829</v>
      </c>
      <c r="Q66" s="33" t="s">
        <v>7</v>
      </c>
      <c r="R66" s="33" t="s">
        <v>7</v>
      </c>
      <c r="S66" s="33">
        <v>9.6536618754277885</v>
      </c>
      <c r="T66" s="34">
        <v>3</v>
      </c>
      <c r="U66" s="34">
        <v>14</v>
      </c>
      <c r="V66" s="4" t="s">
        <v>1</v>
      </c>
      <c r="W66" s="4">
        <v>1</v>
      </c>
      <c r="X66" s="4">
        <v>1</v>
      </c>
      <c r="Y66" s="4">
        <v>1</v>
      </c>
      <c r="Z66" s="56">
        <v>3</v>
      </c>
      <c r="AA66" s="9" cm="1">
        <f t="array" ref="AA66">IF(OR(AB66:AE66=""),"BLANK",IF(AND(AB66:AE66&lt;999),1,IF(AND(AB66:AE66="NA"),3,2)))</f>
        <v>1</v>
      </c>
      <c r="AB66" s="4">
        <v>27</v>
      </c>
      <c r="AC66" s="4">
        <v>17</v>
      </c>
      <c r="AD66" s="4">
        <v>13</v>
      </c>
      <c r="AE66" s="5">
        <v>57</v>
      </c>
      <c r="AF66" s="9">
        <f t="shared" si="0"/>
        <v>1</v>
      </c>
      <c r="AG66" s="5">
        <v>51</v>
      </c>
      <c r="AH66" s="9" cm="1">
        <f t="array" ref="AH66">IF(OR(AI66:AN66=""),"BLANK",IF(AND(AI66:AN66&lt;99),1,IF(AND(AI66:AN66="NA"),3,2)))</f>
        <v>3</v>
      </c>
      <c r="AI66" s="4" t="s">
        <v>7</v>
      </c>
      <c r="AJ66" s="4" t="s">
        <v>7</v>
      </c>
      <c r="AK66" s="4" t="s">
        <v>7</v>
      </c>
      <c r="AL66" s="4" t="s">
        <v>7</v>
      </c>
      <c r="AM66" s="4" t="s">
        <v>7</v>
      </c>
      <c r="AN66" s="5" t="s">
        <v>7</v>
      </c>
    </row>
    <row r="67" spans="1:40" x14ac:dyDescent="0.2">
      <c r="A67" s="39">
        <v>376</v>
      </c>
      <c r="B67" s="4" t="s">
        <v>48</v>
      </c>
      <c r="C67" s="30" t="s">
        <v>23</v>
      </c>
      <c r="D67" s="30">
        <v>5</v>
      </c>
      <c r="E67" s="30">
        <v>0</v>
      </c>
      <c r="F67" s="4">
        <v>4</v>
      </c>
      <c r="G67" s="30">
        <v>27</v>
      </c>
      <c r="H67" s="33">
        <v>4.4407939767282683</v>
      </c>
      <c r="I67" s="33" t="s">
        <v>7</v>
      </c>
      <c r="J67" s="33" t="s">
        <v>7</v>
      </c>
      <c r="K67" s="33">
        <v>4.4407939767282683</v>
      </c>
      <c r="L67" s="33" t="s">
        <v>7</v>
      </c>
      <c r="M67" s="33" t="s">
        <v>7</v>
      </c>
      <c r="N67" s="33">
        <v>4.4353182751540041</v>
      </c>
      <c r="O67" s="33" t="s">
        <v>7</v>
      </c>
      <c r="P67" s="33" t="s">
        <v>7</v>
      </c>
      <c r="Q67" s="33" t="s">
        <v>7</v>
      </c>
      <c r="R67" s="33" t="s">
        <v>7</v>
      </c>
      <c r="S67" s="33" t="s">
        <v>7</v>
      </c>
      <c r="T67" s="34">
        <v>2</v>
      </c>
      <c r="U67" s="34">
        <v>12</v>
      </c>
      <c r="V67" s="4" t="s">
        <v>1</v>
      </c>
      <c r="W67" s="4">
        <v>1</v>
      </c>
      <c r="X67" s="4">
        <v>1</v>
      </c>
      <c r="Y67" s="4">
        <v>1</v>
      </c>
      <c r="Z67" s="56">
        <v>3</v>
      </c>
      <c r="AA67" s="9" cm="1">
        <f t="array" ref="AA67">IF(OR(AB67:AE67=""),"BLANK",IF(AND(AB67:AE67&lt;999),1,IF(AND(AB67:AE67="NA"),3,2)))</f>
        <v>1</v>
      </c>
      <c r="AB67" s="4">
        <v>34</v>
      </c>
      <c r="AC67" s="4">
        <v>18</v>
      </c>
      <c r="AD67" s="4">
        <v>12</v>
      </c>
      <c r="AE67" s="5">
        <v>64</v>
      </c>
      <c r="AF67" s="9">
        <f t="shared" si="0"/>
        <v>1</v>
      </c>
      <c r="AG67" s="5">
        <v>41</v>
      </c>
      <c r="AH67" s="9" cm="1">
        <f t="array" ref="AH67">IF(OR(AI67:AN67=""),"BLANK",IF(AND(AI67:AN67&lt;99),1,IF(AND(AI67:AN67="NA"),3,2)))</f>
        <v>3</v>
      </c>
      <c r="AI67" s="4" t="s">
        <v>7</v>
      </c>
      <c r="AJ67" s="4" t="s">
        <v>7</v>
      </c>
      <c r="AK67" s="4" t="s">
        <v>7</v>
      </c>
      <c r="AL67" s="4" t="s">
        <v>7</v>
      </c>
      <c r="AM67" s="4" t="s">
        <v>7</v>
      </c>
      <c r="AN67" s="5" t="s">
        <v>7</v>
      </c>
    </row>
    <row r="68" spans="1:40" x14ac:dyDescent="0.2">
      <c r="A68" s="39">
        <v>378</v>
      </c>
      <c r="B68" s="4" t="s">
        <v>47</v>
      </c>
      <c r="C68" s="30" t="s">
        <v>23</v>
      </c>
      <c r="D68" s="30">
        <v>5</v>
      </c>
      <c r="E68" s="30">
        <v>0</v>
      </c>
      <c r="F68" s="4">
        <v>3.8180000000000001</v>
      </c>
      <c r="G68" s="30">
        <v>28</v>
      </c>
      <c r="H68" s="33">
        <v>4.2518822724161529</v>
      </c>
      <c r="I68" s="33">
        <v>5.5824777549623548</v>
      </c>
      <c r="J68" s="33">
        <v>9.8343600273785086</v>
      </c>
      <c r="K68" s="33">
        <v>4.2518822724161529</v>
      </c>
      <c r="L68" s="33">
        <v>5.5824777549623548</v>
      </c>
      <c r="M68" s="33">
        <v>9.8343600273785086</v>
      </c>
      <c r="N68" s="33">
        <v>4.1861738535249833</v>
      </c>
      <c r="O68" s="33" t="s">
        <v>7</v>
      </c>
      <c r="P68" s="33" t="s">
        <v>7</v>
      </c>
      <c r="Q68" s="33" t="s">
        <v>7</v>
      </c>
      <c r="R68" s="33" t="s">
        <v>7</v>
      </c>
      <c r="S68" s="33" t="s">
        <v>7</v>
      </c>
      <c r="T68" s="34">
        <v>3</v>
      </c>
      <c r="U68" s="34">
        <v>13</v>
      </c>
      <c r="V68" s="4" t="s">
        <v>1</v>
      </c>
      <c r="W68" s="4">
        <v>1</v>
      </c>
      <c r="X68" s="4">
        <v>1</v>
      </c>
      <c r="Y68" s="4">
        <v>1</v>
      </c>
      <c r="Z68" s="56">
        <v>3</v>
      </c>
      <c r="AA68" s="9" cm="1">
        <f t="array" ref="AA68">IF(OR(AB68:AE68=""),"BLANK",IF(AND(AB68:AE68&lt;999),1,IF(AND(AB68:AE68="NA"),3,2)))</f>
        <v>1</v>
      </c>
      <c r="AB68" s="4">
        <v>27</v>
      </c>
      <c r="AC68" s="4">
        <v>15</v>
      </c>
      <c r="AD68" s="4">
        <v>11</v>
      </c>
      <c r="AE68" s="5">
        <v>53</v>
      </c>
      <c r="AF68" s="9">
        <f t="shared" ref="AF68:AF131" si="1">IF(AG68="NA", 3,1)</f>
        <v>1</v>
      </c>
      <c r="AG68" s="5">
        <v>50</v>
      </c>
      <c r="AH68" s="9" cm="1">
        <f t="array" ref="AH68">IF(OR(AI68:AN68=""),"BLANK",IF(AND(AI68:AN68&lt;99),1,IF(AND(AI68:AN68="NA"),3,2)))</f>
        <v>3</v>
      </c>
      <c r="AI68" s="4" t="s">
        <v>7</v>
      </c>
      <c r="AJ68" s="4" t="s">
        <v>7</v>
      </c>
      <c r="AK68" s="4" t="s">
        <v>7</v>
      </c>
      <c r="AL68" s="4" t="s">
        <v>7</v>
      </c>
      <c r="AM68" s="4" t="s">
        <v>7</v>
      </c>
      <c r="AN68" s="5" t="s">
        <v>7</v>
      </c>
    </row>
    <row r="69" spans="1:40" x14ac:dyDescent="0.2">
      <c r="A69" s="39">
        <v>381</v>
      </c>
      <c r="B69" s="4" t="s">
        <v>59</v>
      </c>
      <c r="C69" s="30" t="s">
        <v>23</v>
      </c>
      <c r="D69" s="30">
        <v>5</v>
      </c>
      <c r="E69" s="30">
        <v>0</v>
      </c>
      <c r="F69" s="4">
        <v>4</v>
      </c>
      <c r="G69" s="30">
        <v>26</v>
      </c>
      <c r="H69" s="33" t="s">
        <v>7</v>
      </c>
      <c r="I69" s="33" t="s">
        <v>7</v>
      </c>
      <c r="J69" s="33" t="s">
        <v>7</v>
      </c>
      <c r="K69" s="33" t="s">
        <v>7</v>
      </c>
      <c r="L69" s="33" t="s">
        <v>7</v>
      </c>
      <c r="M69" s="33" t="s">
        <v>7</v>
      </c>
      <c r="N69" s="33" t="s">
        <v>7</v>
      </c>
      <c r="O69" s="33" t="s">
        <v>7</v>
      </c>
      <c r="P69" s="33" t="s">
        <v>7</v>
      </c>
      <c r="Q69" s="33" t="s">
        <v>7</v>
      </c>
      <c r="R69" s="33" t="s">
        <v>7</v>
      </c>
      <c r="S69" s="33" t="s">
        <v>7</v>
      </c>
      <c r="T69" s="34">
        <v>4</v>
      </c>
      <c r="U69" s="34">
        <v>16</v>
      </c>
      <c r="V69" s="4" t="s">
        <v>1</v>
      </c>
      <c r="W69" s="4">
        <v>1</v>
      </c>
      <c r="X69" s="4">
        <v>1</v>
      </c>
      <c r="Y69" s="4">
        <v>1</v>
      </c>
      <c r="Z69" s="56">
        <v>3</v>
      </c>
      <c r="AA69" s="9" cm="1">
        <f t="array" ref="AA69">IF(OR(AB69:AE69=""),"BLANK",IF(AND(AB69:AE69&lt;999),1,IF(AND(AB69:AE69="NA"),3,2)))</f>
        <v>1</v>
      </c>
      <c r="AB69" s="4">
        <v>38</v>
      </c>
      <c r="AC69" s="4">
        <v>25</v>
      </c>
      <c r="AD69" s="4">
        <v>18</v>
      </c>
      <c r="AE69" s="5">
        <v>81</v>
      </c>
      <c r="AF69" s="9">
        <f t="shared" si="1"/>
        <v>1</v>
      </c>
      <c r="AG69" s="5">
        <v>56</v>
      </c>
      <c r="AH69" s="9" cm="1">
        <f t="array" ref="AH69">IF(OR(AI69:AN69=""),"BLANK",IF(AND(AI69:AN69&lt;99),1,IF(AND(AI69:AN69="NA"),3,2)))</f>
        <v>3</v>
      </c>
      <c r="AI69" s="4" t="s">
        <v>7</v>
      </c>
      <c r="AJ69" s="4" t="s">
        <v>7</v>
      </c>
      <c r="AK69" s="4" t="s">
        <v>7</v>
      </c>
      <c r="AL69" s="4" t="s">
        <v>7</v>
      </c>
      <c r="AM69" s="4" t="s">
        <v>7</v>
      </c>
      <c r="AN69" s="5" t="s">
        <v>7</v>
      </c>
    </row>
    <row r="70" spans="1:40" x14ac:dyDescent="0.2">
      <c r="A70" s="39">
        <v>383</v>
      </c>
      <c r="B70" s="4" t="s">
        <v>48</v>
      </c>
      <c r="C70" s="30" t="s">
        <v>23</v>
      </c>
      <c r="D70" s="30">
        <v>5</v>
      </c>
      <c r="E70" s="30">
        <v>0</v>
      </c>
      <c r="F70" s="4">
        <v>3.4550000000000001</v>
      </c>
      <c r="G70" s="30">
        <v>27</v>
      </c>
      <c r="H70" s="33">
        <v>3.9452429842573578</v>
      </c>
      <c r="I70" s="33">
        <v>5.5003422313483918</v>
      </c>
      <c r="J70" s="33">
        <v>9.4455852156057496</v>
      </c>
      <c r="K70" s="33">
        <v>3.9452429842573578</v>
      </c>
      <c r="L70" s="33">
        <v>5.5605749486652973</v>
      </c>
      <c r="M70" s="33">
        <v>9.5058179329226551</v>
      </c>
      <c r="N70" s="33">
        <v>3.7700205338809036</v>
      </c>
      <c r="O70" s="33">
        <v>5.2429842573579739</v>
      </c>
      <c r="P70" s="33">
        <v>9.0130047912388775</v>
      </c>
      <c r="Q70" s="33">
        <v>3.2553045859000687</v>
      </c>
      <c r="R70" s="33">
        <v>6.1683778234086244</v>
      </c>
      <c r="S70" s="33">
        <v>9.4236824093086931</v>
      </c>
      <c r="T70" s="34">
        <v>2</v>
      </c>
      <c r="U70" s="34">
        <v>12</v>
      </c>
      <c r="V70" s="4" t="s">
        <v>1</v>
      </c>
      <c r="W70" s="4">
        <v>1</v>
      </c>
      <c r="X70" s="4">
        <v>1</v>
      </c>
      <c r="Y70" s="4">
        <v>1</v>
      </c>
      <c r="Z70" s="56">
        <v>3</v>
      </c>
      <c r="AA70" s="9" cm="1">
        <f t="array" ref="AA70">IF(OR(AB70:AE70=""),"BLANK",IF(AND(AB70:AE70&lt;999),1,IF(AND(AB70:AE70="NA"),3,2)))</f>
        <v>1</v>
      </c>
      <c r="AB70" s="4">
        <v>31</v>
      </c>
      <c r="AC70" s="4">
        <v>21</v>
      </c>
      <c r="AD70" s="4">
        <v>14</v>
      </c>
      <c r="AE70" s="5">
        <v>66</v>
      </c>
      <c r="AF70" s="9">
        <f t="shared" si="1"/>
        <v>1</v>
      </c>
      <c r="AG70" s="5">
        <v>58</v>
      </c>
      <c r="AH70" s="9" cm="1">
        <f t="array" ref="AH70">IF(OR(AI70:AN70=""),"BLANK",IF(AND(AI70:AN70&lt;99),1,IF(AND(AI70:AN70="NA"),3,2)))</f>
        <v>3</v>
      </c>
      <c r="AI70" s="4" t="s">
        <v>7</v>
      </c>
      <c r="AJ70" s="4" t="s">
        <v>7</v>
      </c>
      <c r="AK70" s="4" t="s">
        <v>7</v>
      </c>
      <c r="AL70" s="4" t="s">
        <v>7</v>
      </c>
      <c r="AM70" s="4" t="s">
        <v>7</v>
      </c>
      <c r="AN70" s="5" t="s">
        <v>7</v>
      </c>
    </row>
    <row r="71" spans="1:40" x14ac:dyDescent="0.2">
      <c r="A71" s="39">
        <v>408</v>
      </c>
      <c r="B71" s="4" t="s">
        <v>67</v>
      </c>
      <c r="C71" s="30" t="s">
        <v>24</v>
      </c>
      <c r="D71" s="30">
        <v>5</v>
      </c>
      <c r="E71" s="30">
        <v>0</v>
      </c>
      <c r="F71" s="4">
        <v>3.6360000000000001</v>
      </c>
      <c r="G71" s="30">
        <v>27</v>
      </c>
      <c r="H71" s="33">
        <v>4.0328542094455848</v>
      </c>
      <c r="I71" s="33" t="s">
        <v>7</v>
      </c>
      <c r="J71" s="33" t="s">
        <v>7</v>
      </c>
      <c r="K71" s="33">
        <v>4.0574948665297743</v>
      </c>
      <c r="L71" s="33" t="s">
        <v>7</v>
      </c>
      <c r="M71" s="33" t="s">
        <v>7</v>
      </c>
      <c r="N71" s="33">
        <v>4.043805612594114</v>
      </c>
      <c r="O71" s="33" t="s">
        <v>7</v>
      </c>
      <c r="P71" s="33" t="s">
        <v>7</v>
      </c>
      <c r="Q71" s="33" t="s">
        <v>7</v>
      </c>
      <c r="R71" s="33" t="s">
        <v>7</v>
      </c>
      <c r="S71" s="33" t="s">
        <v>7</v>
      </c>
      <c r="T71" s="34">
        <v>4</v>
      </c>
      <c r="U71" s="34">
        <v>16</v>
      </c>
      <c r="V71" s="4" t="s">
        <v>1</v>
      </c>
      <c r="W71" s="4">
        <v>1</v>
      </c>
      <c r="X71" s="4">
        <v>1</v>
      </c>
      <c r="Y71" s="4">
        <v>1</v>
      </c>
      <c r="Z71" s="56">
        <v>3</v>
      </c>
      <c r="AA71" s="9" cm="1">
        <f t="array" ref="AA71">IF(OR(AB71:AE71=""),"BLANK",IF(AND(AB71:AE71&lt;999),1,IF(AND(AB71:AE71="NA"),3,2)))</f>
        <v>1</v>
      </c>
      <c r="AB71" s="4">
        <v>21</v>
      </c>
      <c r="AC71" s="4">
        <v>10</v>
      </c>
      <c r="AD71" s="4">
        <v>8</v>
      </c>
      <c r="AE71" s="5">
        <v>39</v>
      </c>
      <c r="AF71" s="9">
        <f t="shared" si="1"/>
        <v>1</v>
      </c>
      <c r="AG71" s="5">
        <v>20</v>
      </c>
      <c r="AH71" s="9" cm="1">
        <f t="array" ref="AH71">IF(OR(AI71:AN71=""),"BLANK",IF(AND(AI71:AN71&lt;99),1,IF(AND(AI71:AN71="NA"),3,2)))</f>
        <v>3</v>
      </c>
      <c r="AI71" s="4" t="s">
        <v>7</v>
      </c>
      <c r="AJ71" s="4" t="s">
        <v>7</v>
      </c>
      <c r="AK71" s="4" t="s">
        <v>7</v>
      </c>
      <c r="AL71" s="4" t="s">
        <v>7</v>
      </c>
      <c r="AM71" s="4" t="s">
        <v>7</v>
      </c>
      <c r="AN71" s="5" t="s">
        <v>7</v>
      </c>
    </row>
    <row r="72" spans="1:40" x14ac:dyDescent="0.2">
      <c r="A72" s="39">
        <v>409</v>
      </c>
      <c r="B72" s="4" t="s">
        <v>58</v>
      </c>
      <c r="C72" s="30" t="s">
        <v>23</v>
      </c>
      <c r="D72" s="30">
        <v>5</v>
      </c>
      <c r="E72" s="30">
        <v>0</v>
      </c>
      <c r="F72" s="4">
        <v>3.4550000000000001</v>
      </c>
      <c r="G72" s="30">
        <v>27</v>
      </c>
      <c r="H72" s="33">
        <v>4.0027378507871321</v>
      </c>
      <c r="I72" s="33" t="s">
        <v>7</v>
      </c>
      <c r="J72" s="33" t="s">
        <v>7</v>
      </c>
      <c r="K72" s="33">
        <v>4.0602327173169064</v>
      </c>
      <c r="L72" s="33" t="s">
        <v>7</v>
      </c>
      <c r="M72" s="33" t="s">
        <v>7</v>
      </c>
      <c r="N72" s="33">
        <v>4.0684462696783026</v>
      </c>
      <c r="O72" s="33" t="s">
        <v>7</v>
      </c>
      <c r="P72" s="33" t="s">
        <v>7</v>
      </c>
      <c r="Q72" s="33" t="s">
        <v>7</v>
      </c>
      <c r="R72" s="33" t="s">
        <v>7</v>
      </c>
      <c r="S72" s="33" t="s">
        <v>7</v>
      </c>
      <c r="T72" s="34">
        <v>7</v>
      </c>
      <c r="U72" s="34">
        <v>21</v>
      </c>
      <c r="V72" s="4" t="s">
        <v>1</v>
      </c>
      <c r="W72" s="4">
        <v>1</v>
      </c>
      <c r="X72" s="4">
        <v>1</v>
      </c>
      <c r="Y72" s="4">
        <v>1</v>
      </c>
      <c r="Z72" s="56">
        <v>3</v>
      </c>
      <c r="AA72" s="9" cm="1">
        <f t="array" ref="AA72">IF(OR(AB72:AE72=""),"BLANK",IF(AND(AB72:AE72&lt;999),1,IF(AND(AB72:AE72="NA"),3,2)))</f>
        <v>1</v>
      </c>
      <c r="AB72" s="4">
        <v>30</v>
      </c>
      <c r="AC72" s="4">
        <v>23</v>
      </c>
      <c r="AD72" s="4">
        <v>11</v>
      </c>
      <c r="AE72" s="5">
        <v>64</v>
      </c>
      <c r="AF72" s="9">
        <f t="shared" si="1"/>
        <v>1</v>
      </c>
      <c r="AG72" s="5">
        <v>70</v>
      </c>
      <c r="AH72" s="9" cm="1">
        <f t="array" ref="AH72">IF(OR(AI72:AN72=""),"BLANK",IF(AND(AI72:AN72&lt;99),1,IF(AND(AI72:AN72="NA"),3,2)))</f>
        <v>3</v>
      </c>
      <c r="AI72" s="4" t="s">
        <v>7</v>
      </c>
      <c r="AJ72" s="4" t="s">
        <v>7</v>
      </c>
      <c r="AK72" s="4" t="s">
        <v>7</v>
      </c>
      <c r="AL72" s="4" t="s">
        <v>7</v>
      </c>
      <c r="AM72" s="4" t="s">
        <v>7</v>
      </c>
      <c r="AN72" s="5" t="s">
        <v>7</v>
      </c>
    </row>
    <row r="73" spans="1:40" x14ac:dyDescent="0.2">
      <c r="A73" s="39">
        <v>419</v>
      </c>
      <c r="B73" s="4" t="s">
        <v>48</v>
      </c>
      <c r="C73" s="30" t="s">
        <v>23</v>
      </c>
      <c r="D73" s="30">
        <v>5</v>
      </c>
      <c r="E73" s="30">
        <v>0</v>
      </c>
      <c r="F73" s="4">
        <v>3.6360000000000001</v>
      </c>
      <c r="G73" s="30">
        <v>30</v>
      </c>
      <c r="H73" s="33">
        <v>4.3340177960301167</v>
      </c>
      <c r="I73" s="33" t="s">
        <v>7</v>
      </c>
      <c r="J73" s="33" t="s">
        <v>7</v>
      </c>
      <c r="K73" s="33">
        <v>4.3312799452429847</v>
      </c>
      <c r="L73" s="33" t="s">
        <v>7</v>
      </c>
      <c r="M73" s="33" t="s">
        <v>7</v>
      </c>
      <c r="N73" s="33">
        <v>4.3093771389459272</v>
      </c>
      <c r="O73" s="33" t="s">
        <v>7</v>
      </c>
      <c r="P73" s="33" t="s">
        <v>7</v>
      </c>
      <c r="Q73" s="33" t="s">
        <v>7</v>
      </c>
      <c r="R73" s="33" t="s">
        <v>7</v>
      </c>
      <c r="S73" s="33" t="s">
        <v>7</v>
      </c>
      <c r="T73" s="34">
        <v>6</v>
      </c>
      <c r="U73" s="34">
        <v>18</v>
      </c>
      <c r="V73" s="4" t="s">
        <v>1</v>
      </c>
      <c r="W73" s="4">
        <v>1</v>
      </c>
      <c r="X73" s="4">
        <v>1</v>
      </c>
      <c r="Y73" s="4">
        <v>1</v>
      </c>
      <c r="Z73" s="56">
        <v>3</v>
      </c>
      <c r="AA73" s="9" cm="1">
        <f t="array" ref="AA73">IF(OR(AB73:AE73=""),"BLANK",IF(AND(AB73:AE73&lt;999),1,IF(AND(AB73:AE73="NA"),3,2)))</f>
        <v>1</v>
      </c>
      <c r="AB73" s="4">
        <v>14</v>
      </c>
      <c r="AC73" s="4">
        <v>11</v>
      </c>
      <c r="AD73" s="4">
        <v>8</v>
      </c>
      <c r="AE73" s="5">
        <v>33</v>
      </c>
      <c r="AF73" s="9">
        <f t="shared" si="1"/>
        <v>1</v>
      </c>
      <c r="AG73" s="5">
        <v>38</v>
      </c>
      <c r="AH73" s="9" cm="1">
        <f t="array" ref="AH73">IF(OR(AI73:AN73=""),"BLANK",IF(AND(AI73:AN73&lt;99),1,IF(AND(AI73:AN73="NA"),3,2)))</f>
        <v>3</v>
      </c>
      <c r="AI73" s="4" t="s">
        <v>7</v>
      </c>
      <c r="AJ73" s="4" t="s">
        <v>7</v>
      </c>
      <c r="AK73" s="4" t="s">
        <v>7</v>
      </c>
      <c r="AL73" s="4" t="s">
        <v>7</v>
      </c>
      <c r="AM73" s="4" t="s">
        <v>7</v>
      </c>
      <c r="AN73" s="5" t="s">
        <v>7</v>
      </c>
    </row>
    <row r="74" spans="1:40" x14ac:dyDescent="0.2">
      <c r="A74" s="39">
        <v>458</v>
      </c>
      <c r="B74" s="4" t="s">
        <v>56</v>
      </c>
      <c r="C74" s="30" t="s">
        <v>23</v>
      </c>
      <c r="D74" s="30">
        <v>5</v>
      </c>
      <c r="E74" s="30">
        <v>0</v>
      </c>
      <c r="F74" s="4">
        <v>3.3639999999999999</v>
      </c>
      <c r="G74" s="30">
        <v>30</v>
      </c>
      <c r="H74" s="33" t="s">
        <v>7</v>
      </c>
      <c r="I74" s="33" t="s">
        <v>7</v>
      </c>
      <c r="J74" s="33">
        <v>10.190280629705681</v>
      </c>
      <c r="K74" s="33" t="s">
        <v>7</v>
      </c>
      <c r="L74" s="33" t="s">
        <v>7</v>
      </c>
      <c r="M74" s="33">
        <v>10.190280629705681</v>
      </c>
      <c r="N74" s="33" t="s">
        <v>7</v>
      </c>
      <c r="O74" s="33" t="s">
        <v>7</v>
      </c>
      <c r="P74" s="33" t="s">
        <v>7</v>
      </c>
      <c r="Q74" s="33" t="s">
        <v>7</v>
      </c>
      <c r="R74" s="33" t="s">
        <v>7</v>
      </c>
      <c r="S74" s="33" t="s">
        <v>7</v>
      </c>
      <c r="T74" s="34">
        <v>4</v>
      </c>
      <c r="U74" s="34">
        <v>16</v>
      </c>
      <c r="V74" s="4" t="s">
        <v>1</v>
      </c>
      <c r="W74" s="4">
        <v>1</v>
      </c>
      <c r="X74" s="4">
        <v>1</v>
      </c>
      <c r="Y74" s="4">
        <v>1</v>
      </c>
      <c r="Z74" s="56">
        <v>3</v>
      </c>
      <c r="AA74" s="9" cm="1">
        <f t="array" ref="AA74">IF(OR(AB74:AE74=""),"BLANK",IF(AND(AB74:AE74&lt;999),1,IF(AND(AB74:AE74="NA"),3,2)))</f>
        <v>1</v>
      </c>
      <c r="AB74" s="4">
        <v>38</v>
      </c>
      <c r="AC74" s="4">
        <v>20</v>
      </c>
      <c r="AD74" s="4">
        <v>16</v>
      </c>
      <c r="AE74" s="5">
        <v>74</v>
      </c>
      <c r="AF74" s="9">
        <f t="shared" si="1"/>
        <v>1</v>
      </c>
      <c r="AG74" s="5">
        <v>66</v>
      </c>
      <c r="AH74" s="9" cm="1">
        <f t="array" ref="AH74">IF(OR(AI74:AN74=""),"BLANK",IF(AND(AI74:AN74&lt;99),1,IF(AND(AI74:AN74="NA"),3,2)))</f>
        <v>3</v>
      </c>
      <c r="AI74" s="4" t="s">
        <v>7</v>
      </c>
      <c r="AJ74" s="4" t="s">
        <v>7</v>
      </c>
      <c r="AK74" s="4" t="s">
        <v>7</v>
      </c>
      <c r="AL74" s="4" t="s">
        <v>7</v>
      </c>
      <c r="AM74" s="4" t="s">
        <v>7</v>
      </c>
      <c r="AN74" s="5" t="s">
        <v>7</v>
      </c>
    </row>
    <row r="75" spans="1:40" x14ac:dyDescent="0.2">
      <c r="A75" s="39">
        <v>465</v>
      </c>
      <c r="B75" s="4" t="s">
        <v>50</v>
      </c>
      <c r="C75" s="30" t="s">
        <v>23</v>
      </c>
      <c r="D75" s="30">
        <v>5</v>
      </c>
      <c r="E75" s="30">
        <v>0</v>
      </c>
      <c r="F75" s="4">
        <v>3.8180000000000001</v>
      </c>
      <c r="G75" s="30">
        <v>27</v>
      </c>
      <c r="H75" s="33">
        <v>4.1806981519507183</v>
      </c>
      <c r="I75" s="33">
        <v>5.3278576317590689</v>
      </c>
      <c r="J75" s="33">
        <v>9.508555783709788</v>
      </c>
      <c r="K75" s="33">
        <v>4.1806981519507183</v>
      </c>
      <c r="L75" s="33">
        <v>5.3388090349075972</v>
      </c>
      <c r="M75" s="33">
        <v>9.5195071868583163</v>
      </c>
      <c r="N75" s="33">
        <v>4.0246406570841886</v>
      </c>
      <c r="O75" s="33">
        <v>5.0978781656399725</v>
      </c>
      <c r="P75" s="33">
        <v>9.122518822724162</v>
      </c>
      <c r="Q75" s="33">
        <v>3.3264887063655029</v>
      </c>
      <c r="R75" s="33">
        <v>6.3025325119780975</v>
      </c>
      <c r="S75" s="33">
        <v>9.6290212183436008</v>
      </c>
      <c r="T75" s="34">
        <v>6</v>
      </c>
      <c r="U75" s="34">
        <v>18</v>
      </c>
      <c r="V75" s="4" t="s">
        <v>1</v>
      </c>
      <c r="W75" s="4">
        <v>1</v>
      </c>
      <c r="X75" s="4">
        <v>1</v>
      </c>
      <c r="Y75" s="4">
        <v>1</v>
      </c>
      <c r="Z75" s="56">
        <v>3</v>
      </c>
      <c r="AA75" s="9" cm="1">
        <f t="array" ref="AA75">IF(OR(AB75:AE75=""),"BLANK",IF(AND(AB75:AE75&lt;999),1,IF(AND(AB75:AE75="NA"),3,2)))</f>
        <v>1</v>
      </c>
      <c r="AB75" s="4">
        <v>34</v>
      </c>
      <c r="AC75" s="4">
        <v>21</v>
      </c>
      <c r="AD75" s="4">
        <v>13</v>
      </c>
      <c r="AE75" s="5">
        <v>68</v>
      </c>
      <c r="AF75" s="9">
        <f t="shared" si="1"/>
        <v>1</v>
      </c>
      <c r="AG75" s="5">
        <v>55</v>
      </c>
      <c r="AH75" s="9" cm="1">
        <f t="array" ref="AH75">IF(OR(AI75:AN75=""),"BLANK",IF(AND(AI75:AN75&lt;99),1,IF(AND(AI75:AN75="NA"),3,2)))</f>
        <v>3</v>
      </c>
      <c r="AI75" s="4" t="s">
        <v>7</v>
      </c>
      <c r="AJ75" s="4" t="s">
        <v>7</v>
      </c>
      <c r="AK75" s="4" t="s">
        <v>7</v>
      </c>
      <c r="AL75" s="4" t="s">
        <v>7</v>
      </c>
      <c r="AM75" s="4" t="s">
        <v>7</v>
      </c>
      <c r="AN75" s="5" t="s">
        <v>7</v>
      </c>
    </row>
    <row r="76" spans="1:40" x14ac:dyDescent="0.2">
      <c r="A76" s="39">
        <v>466</v>
      </c>
      <c r="B76" s="4" t="s">
        <v>53</v>
      </c>
      <c r="C76" s="30" t="s">
        <v>23</v>
      </c>
      <c r="D76" s="30">
        <v>5</v>
      </c>
      <c r="E76" s="30">
        <v>0</v>
      </c>
      <c r="F76" s="4">
        <v>3.6360000000000001</v>
      </c>
      <c r="G76" s="30">
        <v>30</v>
      </c>
      <c r="H76" s="33">
        <v>4.3723477070499657</v>
      </c>
      <c r="I76" s="33">
        <v>5.2703627652292946</v>
      </c>
      <c r="J76" s="33">
        <v>9.6427104722792603</v>
      </c>
      <c r="K76" s="33">
        <v>4.3641341546885695</v>
      </c>
      <c r="L76" s="33">
        <v>5.2703627652292946</v>
      </c>
      <c r="M76" s="33">
        <v>9.6344969199178649</v>
      </c>
      <c r="N76" s="33">
        <v>4.3312799452429847</v>
      </c>
      <c r="O76" s="33">
        <v>5.2676249144421625</v>
      </c>
      <c r="P76" s="33">
        <v>9.5989048596851472</v>
      </c>
      <c r="Q76" s="33" t="s">
        <v>7</v>
      </c>
      <c r="R76" s="33" t="s">
        <v>7</v>
      </c>
      <c r="S76" s="33" t="s">
        <v>7</v>
      </c>
      <c r="T76" s="34">
        <v>5</v>
      </c>
      <c r="U76" s="34">
        <v>16</v>
      </c>
      <c r="V76" s="4" t="s">
        <v>1</v>
      </c>
      <c r="W76" s="4">
        <v>1</v>
      </c>
      <c r="X76" s="4">
        <v>1</v>
      </c>
      <c r="Y76" s="4">
        <v>1</v>
      </c>
      <c r="Z76" s="56">
        <v>3</v>
      </c>
      <c r="AA76" s="9" cm="1">
        <f t="array" ref="AA76">IF(OR(AB76:AE76=""),"BLANK",IF(AND(AB76:AE76&lt;999),1,IF(AND(AB76:AE76="NA"),3,2)))</f>
        <v>1</v>
      </c>
      <c r="AB76" s="4">
        <v>32</v>
      </c>
      <c r="AC76" s="4">
        <v>20</v>
      </c>
      <c r="AD76" s="4">
        <v>15</v>
      </c>
      <c r="AE76" s="5">
        <v>67</v>
      </c>
      <c r="AF76" s="9">
        <f t="shared" si="1"/>
        <v>1</v>
      </c>
      <c r="AG76" s="5">
        <v>60</v>
      </c>
      <c r="AH76" s="9" cm="1">
        <f t="array" ref="AH76">IF(OR(AI76:AN76=""),"BLANK",IF(AND(AI76:AN76&lt;99),1,IF(AND(AI76:AN76="NA"),3,2)))</f>
        <v>3</v>
      </c>
      <c r="AI76" s="4" t="s">
        <v>7</v>
      </c>
      <c r="AJ76" s="4" t="s">
        <v>7</v>
      </c>
      <c r="AK76" s="4" t="s">
        <v>7</v>
      </c>
      <c r="AL76" s="4" t="s">
        <v>7</v>
      </c>
      <c r="AM76" s="4" t="s">
        <v>7</v>
      </c>
      <c r="AN76" s="5" t="s">
        <v>7</v>
      </c>
    </row>
    <row r="77" spans="1:40" x14ac:dyDescent="0.2">
      <c r="A77" s="39">
        <v>470</v>
      </c>
      <c r="B77" s="4" t="s">
        <v>56</v>
      </c>
      <c r="C77" s="30" t="s">
        <v>23</v>
      </c>
      <c r="D77" s="30">
        <v>5</v>
      </c>
      <c r="E77" s="30">
        <v>0</v>
      </c>
      <c r="F77" s="4">
        <v>3.5449999999999999</v>
      </c>
      <c r="G77" s="30">
        <v>29</v>
      </c>
      <c r="H77" s="33">
        <v>4.0492813141683781</v>
      </c>
      <c r="I77" s="33">
        <v>6.1273100616016425</v>
      </c>
      <c r="J77" s="33">
        <v>10.17659137577002</v>
      </c>
      <c r="K77" s="33">
        <v>4.1642710472279258</v>
      </c>
      <c r="L77" s="33">
        <v>6.0123203285420947</v>
      </c>
      <c r="M77" s="33">
        <v>10.17659137577002</v>
      </c>
      <c r="N77" s="33" t="s">
        <v>7</v>
      </c>
      <c r="O77" s="33" t="s">
        <v>7</v>
      </c>
      <c r="P77" s="33">
        <v>10.061601642710473</v>
      </c>
      <c r="Q77" s="33" t="s">
        <v>7</v>
      </c>
      <c r="R77" s="33" t="s">
        <v>7</v>
      </c>
      <c r="S77" s="33" t="s">
        <v>7</v>
      </c>
      <c r="T77" s="34">
        <v>5</v>
      </c>
      <c r="U77" s="35">
        <v>17.5</v>
      </c>
      <c r="V77" s="4" t="s">
        <v>1</v>
      </c>
      <c r="W77" s="4">
        <v>1</v>
      </c>
      <c r="X77" s="4">
        <v>1</v>
      </c>
      <c r="Y77" s="4">
        <v>1</v>
      </c>
      <c r="Z77" s="56">
        <v>3</v>
      </c>
      <c r="AA77" s="9" cm="1">
        <f t="array" ref="AA77">IF(OR(AB77:AE77=""),"BLANK",IF(AND(AB77:AE77&lt;999),1,IF(AND(AB77:AE77="NA"),3,2)))</f>
        <v>1</v>
      </c>
      <c r="AB77" s="4">
        <v>38</v>
      </c>
      <c r="AC77" s="4">
        <v>21</v>
      </c>
      <c r="AD77" s="4">
        <v>13</v>
      </c>
      <c r="AE77" s="5">
        <v>72</v>
      </c>
      <c r="AF77" s="9">
        <f t="shared" si="1"/>
        <v>1</v>
      </c>
      <c r="AG77" s="5">
        <v>82</v>
      </c>
      <c r="AH77" s="9" cm="1">
        <f t="array" ref="AH77">IF(OR(AI77:AN77=""),"BLANK",IF(AND(AI77:AN77&lt;99),1,IF(AND(AI77:AN77="NA"),3,2)))</f>
        <v>3</v>
      </c>
      <c r="AI77" s="4" t="s">
        <v>7</v>
      </c>
      <c r="AJ77" s="4" t="s">
        <v>7</v>
      </c>
      <c r="AK77" s="4" t="s">
        <v>7</v>
      </c>
      <c r="AL77" s="4" t="s">
        <v>7</v>
      </c>
      <c r="AM77" s="4" t="s">
        <v>7</v>
      </c>
      <c r="AN77" s="5" t="s">
        <v>7</v>
      </c>
    </row>
    <row r="78" spans="1:40" x14ac:dyDescent="0.2">
      <c r="A78" s="39">
        <v>474</v>
      </c>
      <c r="B78" s="4" t="s">
        <v>59</v>
      </c>
      <c r="C78" s="30" t="s">
        <v>23</v>
      </c>
      <c r="D78" s="30">
        <v>5</v>
      </c>
      <c r="E78" s="30">
        <v>0</v>
      </c>
      <c r="F78" s="4">
        <v>3.8180000000000001</v>
      </c>
      <c r="G78" s="30">
        <v>29</v>
      </c>
      <c r="H78" s="33" t="s">
        <v>7</v>
      </c>
      <c r="I78" s="33" t="s">
        <v>7</v>
      </c>
      <c r="J78" s="33" t="s">
        <v>7</v>
      </c>
      <c r="K78" s="33" t="s">
        <v>7</v>
      </c>
      <c r="L78" s="33" t="s">
        <v>7</v>
      </c>
      <c r="M78" s="33" t="s">
        <v>7</v>
      </c>
      <c r="N78" s="33" t="s">
        <v>7</v>
      </c>
      <c r="O78" s="33" t="s">
        <v>7</v>
      </c>
      <c r="P78" s="33" t="s">
        <v>7</v>
      </c>
      <c r="Q78" s="33" t="s">
        <v>7</v>
      </c>
      <c r="R78" s="33" t="s">
        <v>7</v>
      </c>
      <c r="S78" s="33" t="s">
        <v>7</v>
      </c>
      <c r="T78" s="34">
        <v>6</v>
      </c>
      <c r="U78" s="34">
        <v>18</v>
      </c>
      <c r="V78" s="4" t="s">
        <v>1</v>
      </c>
      <c r="W78" s="4">
        <v>1</v>
      </c>
      <c r="X78" s="4">
        <v>1</v>
      </c>
      <c r="Y78" s="4">
        <v>1</v>
      </c>
      <c r="Z78" s="56">
        <v>3</v>
      </c>
      <c r="AA78" s="9" cm="1">
        <f t="array" ref="AA78">IF(OR(AB78:AE78=""),"BLANK",IF(AND(AB78:AE78&lt;999),1,IF(AND(AB78:AE78="NA"),3,2)))</f>
        <v>1</v>
      </c>
      <c r="AB78" s="4">
        <v>32</v>
      </c>
      <c r="AC78" s="4">
        <v>17</v>
      </c>
      <c r="AD78" s="4">
        <v>15</v>
      </c>
      <c r="AE78" s="5">
        <v>64</v>
      </c>
      <c r="AF78" s="9">
        <f t="shared" si="1"/>
        <v>1</v>
      </c>
      <c r="AG78" s="5">
        <v>50</v>
      </c>
      <c r="AH78" s="9" cm="1">
        <f t="array" ref="AH78">IF(OR(AI78:AN78=""),"BLANK",IF(AND(AI78:AN78&lt;99),1,IF(AND(AI78:AN78="NA"),3,2)))</f>
        <v>3</v>
      </c>
      <c r="AI78" s="4" t="s">
        <v>7</v>
      </c>
      <c r="AJ78" s="4" t="s">
        <v>7</v>
      </c>
      <c r="AK78" s="4" t="s">
        <v>7</v>
      </c>
      <c r="AL78" s="4" t="s">
        <v>7</v>
      </c>
      <c r="AM78" s="4" t="s">
        <v>7</v>
      </c>
      <c r="AN78" s="5" t="s">
        <v>7</v>
      </c>
    </row>
    <row r="79" spans="1:40" x14ac:dyDescent="0.2">
      <c r="A79" s="39">
        <v>476</v>
      </c>
      <c r="B79" s="4" t="s">
        <v>67</v>
      </c>
      <c r="C79" s="30" t="s">
        <v>24</v>
      </c>
      <c r="D79" s="30">
        <v>5</v>
      </c>
      <c r="E79" s="30">
        <v>0</v>
      </c>
      <c r="F79" s="4">
        <v>4</v>
      </c>
      <c r="G79" s="30">
        <v>27</v>
      </c>
      <c r="H79" s="33" t="s">
        <v>7</v>
      </c>
      <c r="I79" s="33" t="s">
        <v>7</v>
      </c>
      <c r="J79" s="33" t="s">
        <v>7</v>
      </c>
      <c r="K79" s="33" t="s">
        <v>7</v>
      </c>
      <c r="L79" s="33" t="s">
        <v>7</v>
      </c>
      <c r="M79" s="33" t="s">
        <v>7</v>
      </c>
      <c r="N79" s="33" t="s">
        <v>7</v>
      </c>
      <c r="O79" s="33" t="s">
        <v>7</v>
      </c>
      <c r="P79" s="33" t="s">
        <v>7</v>
      </c>
      <c r="Q79" s="33" t="s">
        <v>7</v>
      </c>
      <c r="R79" s="33" t="s">
        <v>7</v>
      </c>
      <c r="S79" s="33" t="s">
        <v>7</v>
      </c>
      <c r="T79" s="34">
        <v>4</v>
      </c>
      <c r="U79" s="34">
        <v>16</v>
      </c>
      <c r="V79" s="4" t="s">
        <v>1</v>
      </c>
      <c r="W79" s="4">
        <v>1</v>
      </c>
      <c r="X79" s="4">
        <v>1</v>
      </c>
      <c r="Y79" s="4">
        <v>1</v>
      </c>
      <c r="Z79" s="56">
        <v>3</v>
      </c>
      <c r="AA79" s="9" cm="1">
        <f t="array" ref="AA79">IF(OR(AB79:AE79=""),"BLANK",IF(AND(AB79:AE79&lt;999),1,IF(AND(AB79:AE79="NA"),3,2)))</f>
        <v>1</v>
      </c>
      <c r="AB79" s="4">
        <v>23</v>
      </c>
      <c r="AC79" s="4">
        <v>14</v>
      </c>
      <c r="AD79" s="4">
        <v>11</v>
      </c>
      <c r="AE79" s="5">
        <v>48</v>
      </c>
      <c r="AF79" s="9">
        <f t="shared" si="1"/>
        <v>1</v>
      </c>
      <c r="AG79" s="5">
        <v>33</v>
      </c>
      <c r="AH79" s="9" cm="1">
        <f t="array" ref="AH79">IF(OR(AI79:AN79=""),"BLANK",IF(AND(AI79:AN79&lt;99),1,IF(AND(AI79:AN79="NA"),3,2)))</f>
        <v>3</v>
      </c>
      <c r="AI79" s="4" t="s">
        <v>7</v>
      </c>
      <c r="AJ79" s="4" t="s">
        <v>7</v>
      </c>
      <c r="AK79" s="4" t="s">
        <v>7</v>
      </c>
      <c r="AL79" s="4" t="s">
        <v>7</v>
      </c>
      <c r="AM79" s="4" t="s">
        <v>7</v>
      </c>
      <c r="AN79" s="5" t="s">
        <v>7</v>
      </c>
    </row>
    <row r="80" spans="1:40" x14ac:dyDescent="0.2">
      <c r="A80" s="39">
        <v>483</v>
      </c>
      <c r="B80" s="4" t="s">
        <v>65</v>
      </c>
      <c r="C80" s="30" t="s">
        <v>23</v>
      </c>
      <c r="D80" s="30">
        <v>5</v>
      </c>
      <c r="E80" s="30">
        <v>0</v>
      </c>
      <c r="F80" s="4">
        <v>4</v>
      </c>
      <c r="G80" s="30">
        <v>26</v>
      </c>
      <c r="H80" s="33">
        <v>4.1013004791238874</v>
      </c>
      <c r="I80" s="33" t="s">
        <v>7</v>
      </c>
      <c r="J80" s="33" t="s">
        <v>7</v>
      </c>
      <c r="K80" s="33">
        <v>4.1013004791238874</v>
      </c>
      <c r="L80" s="33" t="s">
        <v>7</v>
      </c>
      <c r="M80" s="33" t="s">
        <v>7</v>
      </c>
      <c r="N80" s="33">
        <v>4.1013004791238874</v>
      </c>
      <c r="O80" s="33" t="s">
        <v>7</v>
      </c>
      <c r="P80" s="33" t="s">
        <v>7</v>
      </c>
      <c r="Q80" s="33" t="s">
        <v>7</v>
      </c>
      <c r="R80" s="33" t="s">
        <v>7</v>
      </c>
      <c r="S80" s="33" t="s">
        <v>7</v>
      </c>
      <c r="T80" s="34">
        <v>4</v>
      </c>
      <c r="U80" s="34">
        <v>16</v>
      </c>
      <c r="V80" s="4" t="s">
        <v>1</v>
      </c>
      <c r="W80" s="4">
        <v>1</v>
      </c>
      <c r="X80" s="4">
        <v>1</v>
      </c>
      <c r="Y80" s="4">
        <v>1</v>
      </c>
      <c r="Z80" s="56">
        <v>3</v>
      </c>
      <c r="AA80" s="9" cm="1">
        <f t="array" ref="AA80">IF(OR(AB80:AE80=""),"BLANK",IF(AND(AB80:AE80&lt;999),1,IF(AND(AB80:AE80="NA"),3,2)))</f>
        <v>1</v>
      </c>
      <c r="AB80" s="4">
        <v>19</v>
      </c>
      <c r="AC80" s="4">
        <v>12</v>
      </c>
      <c r="AD80" s="4">
        <v>9</v>
      </c>
      <c r="AE80" s="5">
        <v>40</v>
      </c>
      <c r="AF80" s="9">
        <f t="shared" si="1"/>
        <v>1</v>
      </c>
      <c r="AG80" s="5">
        <v>38</v>
      </c>
      <c r="AH80" s="9" cm="1">
        <f t="array" ref="AH80">IF(OR(AI80:AN80=""),"BLANK",IF(AND(AI80:AN80&lt;99),1,IF(AND(AI80:AN80="NA"),3,2)))</f>
        <v>3</v>
      </c>
      <c r="AI80" s="4" t="s">
        <v>7</v>
      </c>
      <c r="AJ80" s="4" t="s">
        <v>7</v>
      </c>
      <c r="AK80" s="4" t="s">
        <v>7</v>
      </c>
      <c r="AL80" s="4" t="s">
        <v>7</v>
      </c>
      <c r="AM80" s="4" t="s">
        <v>7</v>
      </c>
      <c r="AN80" s="5" t="s">
        <v>7</v>
      </c>
    </row>
    <row r="81" spans="1:40" x14ac:dyDescent="0.2">
      <c r="A81" s="39">
        <v>492</v>
      </c>
      <c r="B81" s="4" t="s">
        <v>48</v>
      </c>
      <c r="C81" s="30" t="s">
        <v>23</v>
      </c>
      <c r="D81" s="30">
        <v>5</v>
      </c>
      <c r="E81" s="30">
        <v>0</v>
      </c>
      <c r="F81" s="4">
        <v>4</v>
      </c>
      <c r="G81" s="30">
        <v>30</v>
      </c>
      <c r="H81" s="33">
        <v>4.0246406570841886</v>
      </c>
      <c r="I81" s="33">
        <v>6.1765913757700206</v>
      </c>
      <c r="J81" s="33">
        <v>10.201232032854209</v>
      </c>
      <c r="K81" s="33">
        <v>4.0246406570841886</v>
      </c>
      <c r="L81" s="33">
        <v>6.1765913757700206</v>
      </c>
      <c r="M81" s="33">
        <v>10.201232032854209</v>
      </c>
      <c r="N81" s="33">
        <v>4.043805612594114</v>
      </c>
      <c r="O81" s="33" t="s">
        <v>7</v>
      </c>
      <c r="P81" s="33" t="s">
        <v>7</v>
      </c>
      <c r="Q81" s="33" t="s">
        <v>7</v>
      </c>
      <c r="R81" s="33" t="s">
        <v>7</v>
      </c>
      <c r="S81" s="33" t="s">
        <v>7</v>
      </c>
      <c r="T81" s="34">
        <v>6</v>
      </c>
      <c r="U81" s="34">
        <v>18</v>
      </c>
      <c r="V81" s="4" t="s">
        <v>1</v>
      </c>
      <c r="W81" s="4">
        <v>1</v>
      </c>
      <c r="X81" s="4">
        <v>1</v>
      </c>
      <c r="Y81" s="4">
        <v>1</v>
      </c>
      <c r="Z81" s="56">
        <v>3</v>
      </c>
      <c r="AA81" s="9" cm="1">
        <f t="array" ref="AA81">IF(OR(AB81:AE81=""),"BLANK",IF(AND(AB81:AE81&lt;999),1,IF(AND(AB81:AE81="NA"),3,2)))</f>
        <v>1</v>
      </c>
      <c r="AB81" s="4">
        <v>36</v>
      </c>
      <c r="AC81" s="4">
        <v>17</v>
      </c>
      <c r="AD81" s="4">
        <v>15</v>
      </c>
      <c r="AE81" s="5">
        <v>68</v>
      </c>
      <c r="AF81" s="9">
        <f t="shared" si="1"/>
        <v>1</v>
      </c>
      <c r="AG81" s="5">
        <v>74</v>
      </c>
      <c r="AH81" s="9" cm="1">
        <f t="array" ref="AH81">IF(OR(AI81:AN81=""),"BLANK",IF(AND(AI81:AN81&lt;99),1,IF(AND(AI81:AN81="NA"),3,2)))</f>
        <v>3</v>
      </c>
      <c r="AI81" s="4" t="s">
        <v>7</v>
      </c>
      <c r="AJ81" s="4" t="s">
        <v>7</v>
      </c>
      <c r="AK81" s="4" t="s">
        <v>7</v>
      </c>
      <c r="AL81" s="4" t="s">
        <v>7</v>
      </c>
      <c r="AM81" s="4" t="s">
        <v>7</v>
      </c>
      <c r="AN81" s="5" t="s">
        <v>7</v>
      </c>
    </row>
    <row r="82" spans="1:40" x14ac:dyDescent="0.2">
      <c r="A82" s="39">
        <v>495</v>
      </c>
      <c r="B82" s="4" t="s">
        <v>48</v>
      </c>
      <c r="C82" s="30" t="s">
        <v>24</v>
      </c>
      <c r="D82" s="30">
        <v>5</v>
      </c>
      <c r="E82" s="30">
        <v>0</v>
      </c>
      <c r="F82" s="4">
        <v>3.8180000000000001</v>
      </c>
      <c r="G82" s="30">
        <v>28</v>
      </c>
      <c r="H82" s="33">
        <v>4.0136892539356603</v>
      </c>
      <c r="I82" s="33" t="s">
        <v>7</v>
      </c>
      <c r="J82" s="33" t="s">
        <v>7</v>
      </c>
      <c r="K82" s="33">
        <v>4.0136892539356603</v>
      </c>
      <c r="L82" s="33" t="s">
        <v>7</v>
      </c>
      <c r="M82" s="33" t="s">
        <v>7</v>
      </c>
      <c r="N82" s="33" t="s">
        <v>7</v>
      </c>
      <c r="O82" s="33" t="s">
        <v>7</v>
      </c>
      <c r="P82" s="33" t="s">
        <v>7</v>
      </c>
      <c r="Q82" s="33" t="s">
        <v>7</v>
      </c>
      <c r="R82" s="33" t="s">
        <v>7</v>
      </c>
      <c r="S82" s="33" t="s">
        <v>7</v>
      </c>
      <c r="T82" s="34">
        <v>3</v>
      </c>
      <c r="U82" s="34">
        <v>14</v>
      </c>
      <c r="V82" s="4" t="s">
        <v>1</v>
      </c>
      <c r="W82" s="4">
        <v>1</v>
      </c>
      <c r="X82" s="4">
        <v>1</v>
      </c>
      <c r="Y82" s="4">
        <v>1</v>
      </c>
      <c r="Z82" s="56">
        <v>3</v>
      </c>
      <c r="AA82" s="9" cm="1">
        <f t="array" ref="AA82">IF(OR(AB82:AE82=""),"BLANK",IF(AND(AB82:AE82&lt;999),1,IF(AND(AB82:AE82="NA"),3,2)))</f>
        <v>1</v>
      </c>
      <c r="AB82" s="4">
        <v>16</v>
      </c>
      <c r="AC82" s="4">
        <v>9</v>
      </c>
      <c r="AD82" s="4">
        <v>3</v>
      </c>
      <c r="AE82" s="5">
        <v>28</v>
      </c>
      <c r="AF82" s="9">
        <f t="shared" si="1"/>
        <v>1</v>
      </c>
      <c r="AG82" s="5">
        <v>36</v>
      </c>
      <c r="AH82" s="9" cm="1">
        <f t="array" ref="AH82">IF(OR(AI82:AN82=""),"BLANK",IF(AND(AI82:AN82&lt;99),1,IF(AND(AI82:AN82="NA"),3,2)))</f>
        <v>3</v>
      </c>
      <c r="AI82" s="4" t="s">
        <v>7</v>
      </c>
      <c r="AJ82" s="4" t="s">
        <v>7</v>
      </c>
      <c r="AK82" s="4" t="s">
        <v>7</v>
      </c>
      <c r="AL82" s="4" t="s">
        <v>7</v>
      </c>
      <c r="AM82" s="4" t="s">
        <v>7</v>
      </c>
      <c r="AN82" s="5" t="s">
        <v>7</v>
      </c>
    </row>
    <row r="83" spans="1:40" x14ac:dyDescent="0.2">
      <c r="A83" s="39">
        <v>503</v>
      </c>
      <c r="B83" s="4" t="s">
        <v>58</v>
      </c>
      <c r="C83" s="30" t="s">
        <v>23</v>
      </c>
      <c r="D83" s="30">
        <v>5</v>
      </c>
      <c r="E83" s="30">
        <v>0</v>
      </c>
      <c r="F83" s="4">
        <v>3.5449999999999999</v>
      </c>
      <c r="G83" s="30">
        <v>29</v>
      </c>
      <c r="H83" s="33">
        <v>4.2573579739904179</v>
      </c>
      <c r="I83" s="33">
        <v>6.0670773442847361</v>
      </c>
      <c r="J83" s="33">
        <v>10.324435318275153</v>
      </c>
      <c r="K83" s="33">
        <v>4.2628336755646821</v>
      </c>
      <c r="L83" s="33">
        <v>6.061601642710472</v>
      </c>
      <c r="M83" s="33">
        <v>10.324435318275153</v>
      </c>
      <c r="N83" s="33">
        <v>4.0766598220396988</v>
      </c>
      <c r="O83" s="33">
        <v>6.0479123887748116</v>
      </c>
      <c r="P83" s="33">
        <v>10.124572210814511</v>
      </c>
      <c r="Q83" s="33" t="s">
        <v>7</v>
      </c>
      <c r="R83" s="33" t="s">
        <v>7</v>
      </c>
      <c r="S83" s="33" t="s">
        <v>7</v>
      </c>
      <c r="T83" s="34">
        <v>3</v>
      </c>
      <c r="U83" s="34">
        <v>14</v>
      </c>
      <c r="V83" s="4" t="s">
        <v>1</v>
      </c>
      <c r="W83" s="4">
        <v>1</v>
      </c>
      <c r="X83" s="4">
        <v>1</v>
      </c>
      <c r="Y83" s="4">
        <v>1</v>
      </c>
      <c r="Z83" s="56">
        <v>3</v>
      </c>
      <c r="AA83" s="9" cm="1">
        <f t="array" ref="AA83">IF(OR(AB83:AE83=""),"BLANK",IF(AND(AB83:AE83&lt;999),1,IF(AND(AB83:AE83="NA"),3,2)))</f>
        <v>1</v>
      </c>
      <c r="AB83" s="4">
        <v>27</v>
      </c>
      <c r="AC83" s="4">
        <v>21</v>
      </c>
      <c r="AD83" s="4">
        <v>15</v>
      </c>
      <c r="AE83" s="5">
        <v>63</v>
      </c>
      <c r="AF83" s="9">
        <f t="shared" si="1"/>
        <v>1</v>
      </c>
      <c r="AG83" s="5">
        <v>50</v>
      </c>
      <c r="AH83" s="9" cm="1">
        <f t="array" ref="AH83">IF(OR(AI83:AN83=""),"BLANK",IF(AND(AI83:AN83&lt;99),1,IF(AND(AI83:AN83="NA"),3,2)))</f>
        <v>3</v>
      </c>
      <c r="AI83" s="4" t="s">
        <v>7</v>
      </c>
      <c r="AJ83" s="4" t="s">
        <v>7</v>
      </c>
      <c r="AK83" s="4" t="s">
        <v>7</v>
      </c>
      <c r="AL83" s="4" t="s">
        <v>7</v>
      </c>
      <c r="AM83" s="4" t="s">
        <v>7</v>
      </c>
      <c r="AN83" s="5" t="s">
        <v>7</v>
      </c>
    </row>
    <row r="84" spans="1:40" x14ac:dyDescent="0.2">
      <c r="A84" s="39">
        <v>509</v>
      </c>
      <c r="B84" s="4" t="s">
        <v>54</v>
      </c>
      <c r="C84" s="30" t="s">
        <v>23</v>
      </c>
      <c r="D84" s="30">
        <v>5</v>
      </c>
      <c r="E84" s="30">
        <v>1</v>
      </c>
      <c r="F84" s="4">
        <v>3.6360000000000001</v>
      </c>
      <c r="G84" s="30">
        <v>30</v>
      </c>
      <c r="H84" s="33">
        <v>4.0109514031485283</v>
      </c>
      <c r="I84" s="33">
        <v>6.0041067761806985</v>
      </c>
      <c r="J84" s="33">
        <v>10.015058179329227</v>
      </c>
      <c r="K84" s="33">
        <v>4.0109514031485283</v>
      </c>
      <c r="L84" s="33">
        <v>6.0041067761806985</v>
      </c>
      <c r="M84" s="33">
        <v>10.015058179329227</v>
      </c>
      <c r="N84" s="33">
        <v>3.9863107460643397</v>
      </c>
      <c r="O84" s="33">
        <v>5.7275838466803561</v>
      </c>
      <c r="P84" s="33">
        <v>9.7138945927446958</v>
      </c>
      <c r="Q84" s="33" t="s">
        <v>7</v>
      </c>
      <c r="R84" s="33" t="s">
        <v>7</v>
      </c>
      <c r="S84" s="33" t="s">
        <v>7</v>
      </c>
      <c r="T84" s="34">
        <v>5</v>
      </c>
      <c r="U84" s="34">
        <v>16</v>
      </c>
      <c r="V84" s="4" t="s">
        <v>1</v>
      </c>
      <c r="W84" s="4">
        <v>1</v>
      </c>
      <c r="X84" s="4">
        <v>1</v>
      </c>
      <c r="Y84" s="4">
        <v>1</v>
      </c>
      <c r="Z84" s="56">
        <v>3</v>
      </c>
      <c r="AA84" s="9" cm="1">
        <f t="array" ref="AA84">IF(OR(AB84:AE84=""),"BLANK",IF(AND(AB84:AE84&lt;999),1,IF(AND(AB84:AE84="NA"),3,2)))</f>
        <v>1</v>
      </c>
      <c r="AB84" s="4">
        <v>43</v>
      </c>
      <c r="AC84" s="4">
        <v>24</v>
      </c>
      <c r="AD84" s="4">
        <v>15</v>
      </c>
      <c r="AE84" s="5">
        <v>82</v>
      </c>
      <c r="AF84" s="9">
        <f t="shared" si="1"/>
        <v>1</v>
      </c>
      <c r="AG84" s="5">
        <v>64</v>
      </c>
      <c r="AH84" s="9" cm="1">
        <f t="array" ref="AH84">IF(OR(AI84:AN84=""),"BLANK",IF(AND(AI84:AN84&lt;99),1,IF(AND(AI84:AN84="NA"),3,2)))</f>
        <v>3</v>
      </c>
      <c r="AI84" s="4" t="s">
        <v>7</v>
      </c>
      <c r="AJ84" s="4" t="s">
        <v>7</v>
      </c>
      <c r="AK84" s="4" t="s">
        <v>7</v>
      </c>
      <c r="AL84" s="4" t="s">
        <v>7</v>
      </c>
      <c r="AM84" s="4" t="s">
        <v>7</v>
      </c>
      <c r="AN84" s="5" t="s">
        <v>7</v>
      </c>
    </row>
    <row r="85" spans="1:40" x14ac:dyDescent="0.2">
      <c r="A85" s="39">
        <v>520</v>
      </c>
      <c r="B85" s="4" t="s">
        <v>54</v>
      </c>
      <c r="C85" s="30" t="s">
        <v>23</v>
      </c>
      <c r="D85" s="30">
        <v>5</v>
      </c>
      <c r="E85" s="30">
        <v>0</v>
      </c>
      <c r="F85" s="4">
        <v>3.1819999999999999</v>
      </c>
      <c r="G85" s="30">
        <v>27</v>
      </c>
      <c r="H85" s="33">
        <v>4.16974674880219</v>
      </c>
      <c r="I85" s="33" t="s">
        <v>7</v>
      </c>
      <c r="J85" s="33" t="s">
        <v>7</v>
      </c>
      <c r="K85" s="33">
        <v>4.1806981519507183</v>
      </c>
      <c r="L85" s="33" t="s">
        <v>7</v>
      </c>
      <c r="M85" s="33" t="s">
        <v>7</v>
      </c>
      <c r="N85" s="33">
        <v>3.9616700889801506</v>
      </c>
      <c r="O85" s="33" t="s">
        <v>7</v>
      </c>
      <c r="P85" s="33" t="s">
        <v>7</v>
      </c>
      <c r="Q85" s="33" t="s">
        <v>7</v>
      </c>
      <c r="R85" s="33" t="s">
        <v>7</v>
      </c>
      <c r="S85" s="33" t="s">
        <v>7</v>
      </c>
      <c r="T85" s="34">
        <v>4</v>
      </c>
      <c r="U85" s="34">
        <v>16</v>
      </c>
      <c r="V85" s="4" t="s">
        <v>1</v>
      </c>
      <c r="W85" s="4">
        <v>1</v>
      </c>
      <c r="X85" s="4">
        <v>1</v>
      </c>
      <c r="Y85" s="4">
        <v>1</v>
      </c>
      <c r="Z85" s="56">
        <v>3</v>
      </c>
      <c r="AA85" s="9" cm="1">
        <f t="array" ref="AA85">IF(OR(AB85:AE85=""),"BLANK",IF(AND(AB85:AE85&lt;999),1,IF(AND(AB85:AE85="NA"),3,2)))</f>
        <v>1</v>
      </c>
      <c r="AB85" s="4">
        <v>32</v>
      </c>
      <c r="AC85" s="4">
        <v>17</v>
      </c>
      <c r="AD85" s="4">
        <v>15</v>
      </c>
      <c r="AE85" s="5">
        <v>64</v>
      </c>
      <c r="AF85" s="9">
        <f t="shared" si="1"/>
        <v>1</v>
      </c>
      <c r="AG85" s="5">
        <v>68</v>
      </c>
      <c r="AH85" s="9" cm="1">
        <f t="array" ref="AH85">IF(OR(AI85:AN85=""),"BLANK",IF(AND(AI85:AN85&lt;99),1,IF(AND(AI85:AN85="NA"),3,2)))</f>
        <v>3</v>
      </c>
      <c r="AI85" s="4" t="s">
        <v>7</v>
      </c>
      <c r="AJ85" s="4" t="s">
        <v>7</v>
      </c>
      <c r="AK85" s="4" t="s">
        <v>7</v>
      </c>
      <c r="AL85" s="4" t="s">
        <v>7</v>
      </c>
      <c r="AM85" s="4" t="s">
        <v>7</v>
      </c>
      <c r="AN85" s="5" t="s">
        <v>7</v>
      </c>
    </row>
    <row r="86" spans="1:40" x14ac:dyDescent="0.2">
      <c r="A86" s="39">
        <v>528</v>
      </c>
      <c r="B86" s="4" t="s">
        <v>48</v>
      </c>
      <c r="C86" s="30" t="s">
        <v>24</v>
      </c>
      <c r="D86" s="30">
        <v>5</v>
      </c>
      <c r="E86" s="30">
        <v>0</v>
      </c>
      <c r="F86" s="4">
        <v>3.7269999999999999</v>
      </c>
      <c r="G86" s="30">
        <v>27</v>
      </c>
      <c r="H86" s="33">
        <v>4.0054757015742641</v>
      </c>
      <c r="I86" s="33" t="s">
        <v>7</v>
      </c>
      <c r="J86" s="33" t="s">
        <v>7</v>
      </c>
      <c r="K86" s="33">
        <v>4.0246406570841886</v>
      </c>
      <c r="L86" s="33" t="s">
        <v>7</v>
      </c>
      <c r="M86" s="33" t="s">
        <v>7</v>
      </c>
      <c r="N86" s="33">
        <v>4.0136892539356603</v>
      </c>
      <c r="O86" s="33" t="s">
        <v>7</v>
      </c>
      <c r="P86" s="33" t="s">
        <v>7</v>
      </c>
      <c r="Q86" s="33">
        <v>3.3347022587268995</v>
      </c>
      <c r="R86" s="33" t="s">
        <v>7</v>
      </c>
      <c r="S86" s="33" t="s">
        <v>7</v>
      </c>
      <c r="T86" s="34">
        <v>7</v>
      </c>
      <c r="U86" s="34">
        <v>21</v>
      </c>
      <c r="V86" s="4" t="s">
        <v>1</v>
      </c>
      <c r="W86" s="4">
        <v>1</v>
      </c>
      <c r="X86" s="4">
        <v>1</v>
      </c>
      <c r="Y86" s="4">
        <v>1</v>
      </c>
      <c r="Z86" s="56">
        <v>3</v>
      </c>
      <c r="AA86" s="9" cm="1">
        <f t="array" ref="AA86">IF(OR(AB86:AE86=""),"BLANK",IF(AND(AB86:AE86&lt;999),1,IF(AND(AB86:AE86="NA"),3,2)))</f>
        <v>1</v>
      </c>
      <c r="AB86" s="4">
        <v>26</v>
      </c>
      <c r="AC86" s="4">
        <v>11</v>
      </c>
      <c r="AD86" s="4">
        <v>11</v>
      </c>
      <c r="AE86" s="5">
        <v>48</v>
      </c>
      <c r="AF86" s="9">
        <f t="shared" si="1"/>
        <v>1</v>
      </c>
      <c r="AG86" s="5">
        <v>55</v>
      </c>
      <c r="AH86" s="9" cm="1">
        <f t="array" ref="AH86">IF(OR(AI86:AN86=""),"BLANK",IF(AND(AI86:AN86&lt;99),1,IF(AND(AI86:AN86="NA"),3,2)))</f>
        <v>3</v>
      </c>
      <c r="AI86" s="4" t="s">
        <v>7</v>
      </c>
      <c r="AJ86" s="4" t="s">
        <v>7</v>
      </c>
      <c r="AK86" s="4" t="s">
        <v>7</v>
      </c>
      <c r="AL86" s="4" t="s">
        <v>7</v>
      </c>
      <c r="AM86" s="4" t="s">
        <v>7</v>
      </c>
      <c r="AN86" s="5" t="s">
        <v>7</v>
      </c>
    </row>
    <row r="87" spans="1:40" x14ac:dyDescent="0.2">
      <c r="A87" s="39">
        <v>532</v>
      </c>
      <c r="B87" s="4" t="s">
        <v>59</v>
      </c>
      <c r="C87" s="30" t="s">
        <v>24</v>
      </c>
      <c r="D87" s="30">
        <v>5</v>
      </c>
      <c r="E87" s="30">
        <v>0</v>
      </c>
      <c r="F87" s="4">
        <v>4</v>
      </c>
      <c r="G87" s="30">
        <v>30</v>
      </c>
      <c r="H87" s="33">
        <v>4.1998631074606436</v>
      </c>
      <c r="I87" s="33" t="s">
        <v>7</v>
      </c>
      <c r="J87" s="33" t="s">
        <v>7</v>
      </c>
      <c r="K87" s="33">
        <v>4.1998631074606436</v>
      </c>
      <c r="L87" s="33" t="s">
        <v>7</v>
      </c>
      <c r="M87" s="33" t="s">
        <v>7</v>
      </c>
      <c r="N87" s="33">
        <v>4.2026009582477757</v>
      </c>
      <c r="O87" s="33" t="s">
        <v>7</v>
      </c>
      <c r="P87" s="33" t="s">
        <v>7</v>
      </c>
      <c r="Q87" s="33">
        <v>3.1978097193702943</v>
      </c>
      <c r="R87" s="33" t="s">
        <v>7</v>
      </c>
      <c r="S87" s="33" t="s">
        <v>7</v>
      </c>
      <c r="T87" s="34">
        <v>6</v>
      </c>
      <c r="U87" s="34">
        <v>18</v>
      </c>
      <c r="V87" s="4" t="s">
        <v>1</v>
      </c>
      <c r="W87" s="4">
        <v>1</v>
      </c>
      <c r="X87" s="4">
        <v>1</v>
      </c>
      <c r="Y87" s="4">
        <v>1</v>
      </c>
      <c r="Z87" s="56">
        <v>3</v>
      </c>
      <c r="AA87" s="9" cm="1">
        <f t="array" ref="AA87">IF(OR(AB87:AE87=""),"BLANK",IF(AND(AB87:AE87&lt;999),1,IF(AND(AB87:AE87="NA"),3,2)))</f>
        <v>1</v>
      </c>
      <c r="AB87" s="4">
        <v>25</v>
      </c>
      <c r="AC87" s="4">
        <v>16</v>
      </c>
      <c r="AD87" s="4">
        <v>11</v>
      </c>
      <c r="AE87" s="5">
        <v>52</v>
      </c>
      <c r="AF87" s="9">
        <f t="shared" si="1"/>
        <v>1</v>
      </c>
      <c r="AG87" s="5">
        <v>48</v>
      </c>
      <c r="AH87" s="9" cm="1">
        <f t="array" ref="AH87">IF(OR(AI87:AN87=""),"BLANK",IF(AND(AI87:AN87&lt;99),1,IF(AND(AI87:AN87="NA"),3,2)))</f>
        <v>3</v>
      </c>
      <c r="AI87" s="4" t="s">
        <v>7</v>
      </c>
      <c r="AJ87" s="4" t="s">
        <v>7</v>
      </c>
      <c r="AK87" s="4" t="s">
        <v>7</v>
      </c>
      <c r="AL87" s="4" t="s">
        <v>7</v>
      </c>
      <c r="AM87" s="4" t="s">
        <v>7</v>
      </c>
      <c r="AN87" s="5" t="s">
        <v>7</v>
      </c>
    </row>
    <row r="88" spans="1:40" x14ac:dyDescent="0.2">
      <c r="A88" s="39">
        <v>543</v>
      </c>
      <c r="B88" s="4" t="s">
        <v>58</v>
      </c>
      <c r="C88" s="30" t="s">
        <v>24</v>
      </c>
      <c r="D88" s="30">
        <v>5</v>
      </c>
      <c r="E88" s="30">
        <v>0</v>
      </c>
      <c r="F88" s="4">
        <v>4</v>
      </c>
      <c r="G88" s="30">
        <v>28</v>
      </c>
      <c r="H88" s="33">
        <v>4.2956878850102669</v>
      </c>
      <c r="I88" s="33" t="s">
        <v>7</v>
      </c>
      <c r="J88" s="33" t="s">
        <v>7</v>
      </c>
      <c r="K88" s="33">
        <v>4.2956878850102669</v>
      </c>
      <c r="L88" s="33" t="s">
        <v>7</v>
      </c>
      <c r="M88" s="33" t="s">
        <v>7</v>
      </c>
      <c r="N88" s="33">
        <v>4.2929500342231348</v>
      </c>
      <c r="O88" s="33" t="s">
        <v>7</v>
      </c>
      <c r="P88" s="33" t="s">
        <v>7</v>
      </c>
      <c r="Q88" s="33">
        <v>3.6221765913757702</v>
      </c>
      <c r="R88" s="33" t="s">
        <v>7</v>
      </c>
      <c r="S88" s="33" t="s">
        <v>7</v>
      </c>
      <c r="T88" s="34">
        <v>7</v>
      </c>
      <c r="U88" s="34">
        <v>21</v>
      </c>
      <c r="V88" s="4" t="s">
        <v>1</v>
      </c>
      <c r="W88" s="4">
        <v>1</v>
      </c>
      <c r="X88" s="4">
        <v>1</v>
      </c>
      <c r="Y88" s="4">
        <v>1</v>
      </c>
      <c r="Z88" s="56">
        <v>3</v>
      </c>
      <c r="AA88" s="9" cm="1">
        <f t="array" ref="AA88">IF(OR(AB88:AE88=""),"BLANK",IF(AND(AB88:AE88&lt;999),1,IF(AND(AB88:AE88="NA"),3,2)))</f>
        <v>1</v>
      </c>
      <c r="AB88" s="4">
        <v>29</v>
      </c>
      <c r="AC88" s="4">
        <v>18</v>
      </c>
      <c r="AD88" s="4">
        <v>15</v>
      </c>
      <c r="AE88" s="5">
        <v>62</v>
      </c>
      <c r="AF88" s="9">
        <f t="shared" si="1"/>
        <v>1</v>
      </c>
      <c r="AG88" s="5">
        <v>52</v>
      </c>
      <c r="AH88" s="9" cm="1">
        <f t="array" ref="AH88">IF(OR(AI88:AN88=""),"BLANK",IF(AND(AI88:AN88&lt;99),1,IF(AND(AI88:AN88="NA"),3,2)))</f>
        <v>3</v>
      </c>
      <c r="AI88" s="4" t="s">
        <v>7</v>
      </c>
      <c r="AJ88" s="4" t="s">
        <v>7</v>
      </c>
      <c r="AK88" s="4" t="s">
        <v>7</v>
      </c>
      <c r="AL88" s="4" t="s">
        <v>7</v>
      </c>
      <c r="AM88" s="4" t="s">
        <v>7</v>
      </c>
      <c r="AN88" s="5" t="s">
        <v>7</v>
      </c>
    </row>
    <row r="89" spans="1:40" x14ac:dyDescent="0.2">
      <c r="A89" s="39">
        <v>557</v>
      </c>
      <c r="B89" s="4" t="s">
        <v>54</v>
      </c>
      <c r="C89" s="30" t="s">
        <v>23</v>
      </c>
      <c r="D89" s="30">
        <v>5</v>
      </c>
      <c r="E89" s="30">
        <v>0</v>
      </c>
      <c r="F89" s="4">
        <v>4</v>
      </c>
      <c r="G89" s="30">
        <v>30</v>
      </c>
      <c r="H89" s="33">
        <v>4.1122518822724166</v>
      </c>
      <c r="I89" s="33">
        <v>5.675564681724846</v>
      </c>
      <c r="J89" s="33">
        <v>9.7878165639972625</v>
      </c>
      <c r="K89" s="33">
        <v>4.2491444216290208</v>
      </c>
      <c r="L89" s="33">
        <v>5.7878165639972625</v>
      </c>
      <c r="M89" s="33">
        <v>10.036960985626283</v>
      </c>
      <c r="N89" s="33">
        <v>4.1451060917180014</v>
      </c>
      <c r="O89" s="33">
        <v>5.5961670088980151</v>
      </c>
      <c r="P89" s="33">
        <v>9.7412731006160165</v>
      </c>
      <c r="Q89" s="33">
        <v>3.2553045859000687</v>
      </c>
      <c r="R89" s="33">
        <v>6.4750171115674195</v>
      </c>
      <c r="S89" s="33">
        <v>9.7303216974674882</v>
      </c>
      <c r="T89" s="34">
        <v>4</v>
      </c>
      <c r="U89" s="34">
        <v>16</v>
      </c>
      <c r="V89" s="4" t="s">
        <v>1</v>
      </c>
      <c r="W89" s="4">
        <v>1</v>
      </c>
      <c r="X89" s="4">
        <v>1</v>
      </c>
      <c r="Y89" s="4">
        <v>1</v>
      </c>
      <c r="Z89" s="56">
        <v>3</v>
      </c>
      <c r="AA89" s="9" cm="1">
        <f t="array" ref="AA89">IF(OR(AB89:AE89=""),"BLANK",IF(AND(AB89:AE89&lt;999),1,IF(AND(AB89:AE89="NA"),3,2)))</f>
        <v>1</v>
      </c>
      <c r="AB89" s="4">
        <v>35</v>
      </c>
      <c r="AC89" s="4">
        <v>19</v>
      </c>
      <c r="AD89" s="4">
        <v>15</v>
      </c>
      <c r="AE89" s="5">
        <v>69</v>
      </c>
      <c r="AF89" s="9">
        <f t="shared" si="1"/>
        <v>1</v>
      </c>
      <c r="AG89" s="5">
        <v>67</v>
      </c>
      <c r="AH89" s="9" cm="1">
        <f t="array" ref="AH89">IF(OR(AI89:AN89=""),"BLANK",IF(AND(AI89:AN89&lt;99),1,IF(AND(AI89:AN89="NA"),3,2)))</f>
        <v>3</v>
      </c>
      <c r="AI89" s="4" t="s">
        <v>7</v>
      </c>
      <c r="AJ89" s="4" t="s">
        <v>7</v>
      </c>
      <c r="AK89" s="4" t="s">
        <v>7</v>
      </c>
      <c r="AL89" s="4" t="s">
        <v>7</v>
      </c>
      <c r="AM89" s="4" t="s">
        <v>7</v>
      </c>
      <c r="AN89" s="5" t="s">
        <v>7</v>
      </c>
    </row>
    <row r="90" spans="1:40" x14ac:dyDescent="0.2">
      <c r="A90" s="39">
        <v>562</v>
      </c>
      <c r="B90" s="4" t="s">
        <v>66</v>
      </c>
      <c r="C90" s="30" t="s">
        <v>24</v>
      </c>
      <c r="D90" s="30">
        <v>5</v>
      </c>
      <c r="E90" s="30">
        <v>0</v>
      </c>
      <c r="F90" s="4">
        <v>3.6360000000000001</v>
      </c>
      <c r="G90" s="30">
        <v>27</v>
      </c>
      <c r="H90" s="33">
        <v>4.2546201232032859</v>
      </c>
      <c r="I90" s="33">
        <v>5.4839151266255985</v>
      </c>
      <c r="J90" s="33">
        <v>9.7385352498288835</v>
      </c>
      <c r="K90" s="33">
        <v>4.6214921286789874</v>
      </c>
      <c r="L90" s="33">
        <v>5.117043121149897</v>
      </c>
      <c r="M90" s="33">
        <v>9.7385352498288835</v>
      </c>
      <c r="N90" s="33">
        <v>3.9206023271731691</v>
      </c>
      <c r="O90" s="33">
        <v>5.1800136892539355</v>
      </c>
      <c r="P90" s="33">
        <v>9.1006160164271055</v>
      </c>
      <c r="Q90" s="33">
        <v>3.1950718685831623</v>
      </c>
      <c r="R90" s="33">
        <v>6.1108829568788501</v>
      </c>
      <c r="S90" s="33">
        <v>9.3059548254620115</v>
      </c>
      <c r="T90" s="34">
        <v>6</v>
      </c>
      <c r="U90" s="34">
        <v>18</v>
      </c>
      <c r="V90" s="4" t="s">
        <v>1</v>
      </c>
      <c r="W90" s="4">
        <v>1</v>
      </c>
      <c r="X90" s="4">
        <v>1</v>
      </c>
      <c r="Y90" s="4">
        <v>1</v>
      </c>
      <c r="Z90" s="56">
        <v>3</v>
      </c>
      <c r="AA90" s="9" cm="1">
        <f t="array" ref="AA90">IF(OR(AB90:AE90=""),"BLANK",IF(AND(AB90:AE90&lt;999),1,IF(AND(AB90:AE90="NA"),3,2)))</f>
        <v>1</v>
      </c>
      <c r="AB90" s="4">
        <v>29</v>
      </c>
      <c r="AC90" s="4">
        <v>17</v>
      </c>
      <c r="AD90" s="4">
        <v>10</v>
      </c>
      <c r="AE90" s="5">
        <v>56</v>
      </c>
      <c r="AF90" s="9">
        <f t="shared" si="1"/>
        <v>1</v>
      </c>
      <c r="AG90" s="5">
        <v>44</v>
      </c>
      <c r="AH90" s="9" cm="1">
        <f t="array" ref="AH90">IF(OR(AI90:AN90=""),"BLANK",IF(AND(AI90:AN90&lt;99),1,IF(AND(AI90:AN90="NA"),3,2)))</f>
        <v>3</v>
      </c>
      <c r="AI90" s="4" t="s">
        <v>7</v>
      </c>
      <c r="AJ90" s="4" t="s">
        <v>7</v>
      </c>
      <c r="AK90" s="4" t="s">
        <v>7</v>
      </c>
      <c r="AL90" s="4" t="s">
        <v>7</v>
      </c>
      <c r="AM90" s="4" t="s">
        <v>7</v>
      </c>
      <c r="AN90" s="5" t="s">
        <v>7</v>
      </c>
    </row>
    <row r="91" spans="1:40" x14ac:dyDescent="0.2">
      <c r="A91" s="39">
        <v>567</v>
      </c>
      <c r="B91" s="4" t="s">
        <v>55</v>
      </c>
      <c r="C91" s="30" t="s">
        <v>23</v>
      </c>
      <c r="D91" s="30">
        <v>2</v>
      </c>
      <c r="E91" s="30">
        <v>0</v>
      </c>
      <c r="F91" s="4">
        <v>3.5449999999999999</v>
      </c>
      <c r="G91" s="30">
        <v>29</v>
      </c>
      <c r="H91" s="33">
        <v>3.9644079397672827</v>
      </c>
      <c r="I91" s="33" t="s">
        <v>7</v>
      </c>
      <c r="J91" s="33" t="s">
        <v>7</v>
      </c>
      <c r="K91" s="33">
        <v>3.9671457905544147</v>
      </c>
      <c r="L91" s="33" t="s">
        <v>7</v>
      </c>
      <c r="M91" s="33" t="s">
        <v>7</v>
      </c>
      <c r="N91" s="33">
        <v>3.9561943874058865</v>
      </c>
      <c r="O91" s="33" t="s">
        <v>7</v>
      </c>
      <c r="P91" s="33" t="s">
        <v>7</v>
      </c>
      <c r="Q91" s="33" t="s">
        <v>7</v>
      </c>
      <c r="R91" s="33" t="s">
        <v>7</v>
      </c>
      <c r="S91" s="33" t="s">
        <v>7</v>
      </c>
      <c r="T91" s="34">
        <v>6</v>
      </c>
      <c r="U91" s="34">
        <v>18</v>
      </c>
      <c r="V91" s="4" t="s">
        <v>1</v>
      </c>
      <c r="W91" s="4">
        <v>1</v>
      </c>
      <c r="X91" s="4">
        <v>1</v>
      </c>
      <c r="Y91" s="4">
        <v>1</v>
      </c>
      <c r="Z91" s="56">
        <v>3</v>
      </c>
      <c r="AA91" s="9" cm="1">
        <f t="array" ref="AA91">IF(OR(AB91:AE91=""),"BLANK",IF(AND(AB91:AE91&lt;999),1,IF(AND(AB91:AE91="NA"),3,2)))</f>
        <v>1</v>
      </c>
      <c r="AB91" s="4">
        <v>54</v>
      </c>
      <c r="AC91" s="4">
        <v>28</v>
      </c>
      <c r="AD91" s="4">
        <v>17</v>
      </c>
      <c r="AE91" s="5">
        <v>99</v>
      </c>
      <c r="AF91" s="9">
        <f t="shared" si="1"/>
        <v>1</v>
      </c>
      <c r="AG91" s="5">
        <v>70</v>
      </c>
      <c r="AH91" s="9" cm="1">
        <f t="array" ref="AH91">IF(OR(AI91:AN91=""),"BLANK",IF(AND(AI91:AN91&lt;99),1,IF(AND(AI91:AN91="NA"),3,2)))</f>
        <v>3</v>
      </c>
      <c r="AI91" s="4" t="s">
        <v>7</v>
      </c>
      <c r="AJ91" s="4" t="s">
        <v>7</v>
      </c>
      <c r="AK91" s="4" t="s">
        <v>7</v>
      </c>
      <c r="AL91" s="4" t="s">
        <v>7</v>
      </c>
      <c r="AM91" s="4" t="s">
        <v>7</v>
      </c>
      <c r="AN91" s="5" t="s">
        <v>7</v>
      </c>
    </row>
    <row r="92" spans="1:40" x14ac:dyDescent="0.2">
      <c r="A92" s="39">
        <v>575</v>
      </c>
      <c r="B92" s="4" t="s">
        <v>46</v>
      </c>
      <c r="C92" s="30" t="s">
        <v>23</v>
      </c>
      <c r="D92" s="30">
        <v>5</v>
      </c>
      <c r="E92" s="30">
        <v>0</v>
      </c>
      <c r="F92" s="4">
        <v>4</v>
      </c>
      <c r="G92" s="30">
        <v>28</v>
      </c>
      <c r="H92" s="33">
        <v>3.8576317590691307</v>
      </c>
      <c r="I92" s="33">
        <v>5.2703627652292946</v>
      </c>
      <c r="J92" s="33">
        <v>9.1279945242984262</v>
      </c>
      <c r="K92" s="33">
        <v>3.8576317590691307</v>
      </c>
      <c r="L92" s="33">
        <v>5.2703627652292946</v>
      </c>
      <c r="M92" s="33">
        <v>9.1279945242984262</v>
      </c>
      <c r="N92" s="33">
        <v>3.8576317590691307</v>
      </c>
      <c r="O92" s="33">
        <v>5.0239561943874058</v>
      </c>
      <c r="P92" s="33">
        <v>8.8815879534565365</v>
      </c>
      <c r="Q92" s="33" t="s">
        <v>7</v>
      </c>
      <c r="R92" s="33" t="s">
        <v>7</v>
      </c>
      <c r="S92" s="33" t="s">
        <v>7</v>
      </c>
      <c r="T92" s="34">
        <v>5</v>
      </c>
      <c r="U92" s="34">
        <v>17</v>
      </c>
      <c r="V92" s="4" t="s">
        <v>1</v>
      </c>
      <c r="W92" s="4">
        <v>1</v>
      </c>
      <c r="X92" s="4">
        <v>1</v>
      </c>
      <c r="Y92" s="4">
        <v>1</v>
      </c>
      <c r="Z92" s="56">
        <v>3</v>
      </c>
      <c r="AA92" s="9" cm="1">
        <f t="array" ref="AA92">IF(OR(AB92:AE92=""),"BLANK",IF(AND(AB92:AE92&lt;999),1,IF(AND(AB92:AE92="NA"),3,2)))</f>
        <v>1</v>
      </c>
      <c r="AB92" s="4">
        <v>31</v>
      </c>
      <c r="AC92" s="4">
        <v>13</v>
      </c>
      <c r="AD92" s="4">
        <v>12</v>
      </c>
      <c r="AE92" s="5">
        <v>56</v>
      </c>
      <c r="AF92" s="9">
        <f t="shared" si="1"/>
        <v>1</v>
      </c>
      <c r="AG92" s="5">
        <v>63</v>
      </c>
      <c r="AH92" s="9" cm="1">
        <f t="array" ref="AH92">IF(OR(AI92:AN92=""),"BLANK",IF(AND(AI92:AN92&lt;99),1,IF(AND(AI92:AN92="NA"),3,2)))</f>
        <v>3</v>
      </c>
      <c r="AI92" s="4" t="s">
        <v>7</v>
      </c>
      <c r="AJ92" s="4" t="s">
        <v>7</v>
      </c>
      <c r="AK92" s="4" t="s">
        <v>7</v>
      </c>
      <c r="AL92" s="4" t="s">
        <v>7</v>
      </c>
      <c r="AM92" s="4" t="s">
        <v>7</v>
      </c>
      <c r="AN92" s="5" t="s">
        <v>7</v>
      </c>
    </row>
    <row r="93" spans="1:40" x14ac:dyDescent="0.2">
      <c r="A93" s="39">
        <v>580</v>
      </c>
      <c r="B93" s="4" t="s">
        <v>56</v>
      </c>
      <c r="C93" s="30" t="s">
        <v>24</v>
      </c>
      <c r="D93" s="30">
        <v>6</v>
      </c>
      <c r="E93" s="30">
        <v>0</v>
      </c>
      <c r="F93" s="4">
        <v>3.3639999999999999</v>
      </c>
      <c r="G93" s="30">
        <v>30</v>
      </c>
      <c r="H93" s="33" t="s">
        <v>7</v>
      </c>
      <c r="I93" s="33" t="s">
        <v>7</v>
      </c>
      <c r="J93" s="33" t="s">
        <v>7</v>
      </c>
      <c r="K93" s="33" t="s">
        <v>7</v>
      </c>
      <c r="L93" s="33" t="s">
        <v>7</v>
      </c>
      <c r="M93" s="33" t="s">
        <v>7</v>
      </c>
      <c r="N93" s="33" t="s">
        <v>7</v>
      </c>
      <c r="O93" s="33" t="s">
        <v>7</v>
      </c>
      <c r="P93" s="33" t="s">
        <v>7</v>
      </c>
      <c r="Q93" s="33" t="s">
        <v>7</v>
      </c>
      <c r="R93" s="33" t="s">
        <v>7</v>
      </c>
      <c r="S93" s="33" t="s">
        <v>7</v>
      </c>
      <c r="T93" s="34">
        <v>5</v>
      </c>
      <c r="U93" s="34">
        <v>16.5</v>
      </c>
      <c r="V93" s="4" t="s">
        <v>1</v>
      </c>
      <c r="W93" s="4">
        <v>1</v>
      </c>
      <c r="X93" s="4">
        <v>1</v>
      </c>
      <c r="Y93" s="4">
        <v>1</v>
      </c>
      <c r="Z93" s="56">
        <v>3</v>
      </c>
      <c r="AA93" s="9" cm="1">
        <f t="array" ref="AA93">IF(OR(AB93:AE93=""),"BLANK",IF(AND(AB93:AE93&lt;999),1,IF(AND(AB93:AE93="NA"),3,2)))</f>
        <v>1</v>
      </c>
      <c r="AB93" s="4">
        <v>43</v>
      </c>
      <c r="AC93" s="4">
        <v>27</v>
      </c>
      <c r="AD93" s="4">
        <v>14</v>
      </c>
      <c r="AE93" s="5">
        <v>84</v>
      </c>
      <c r="AF93" s="9">
        <f t="shared" si="1"/>
        <v>1</v>
      </c>
      <c r="AG93" s="5">
        <v>67</v>
      </c>
      <c r="AH93" s="9" cm="1">
        <f t="array" ref="AH93">IF(OR(AI93:AN93=""),"BLANK",IF(AND(AI93:AN93&lt;99),1,IF(AND(AI93:AN93="NA"),3,2)))</f>
        <v>3</v>
      </c>
      <c r="AI93" s="4" t="s">
        <v>7</v>
      </c>
      <c r="AJ93" s="4" t="s">
        <v>7</v>
      </c>
      <c r="AK93" s="4" t="s">
        <v>7</v>
      </c>
      <c r="AL93" s="4" t="s">
        <v>7</v>
      </c>
      <c r="AM93" s="4" t="s">
        <v>7</v>
      </c>
      <c r="AN93" s="5" t="s">
        <v>7</v>
      </c>
    </row>
    <row r="94" spans="1:40" x14ac:dyDescent="0.2">
      <c r="A94" s="39">
        <v>584</v>
      </c>
      <c r="B94" s="4" t="s">
        <v>60</v>
      </c>
      <c r="C94" s="30" t="s">
        <v>24</v>
      </c>
      <c r="D94" s="30">
        <v>2</v>
      </c>
      <c r="E94" s="30">
        <v>0</v>
      </c>
      <c r="F94" s="4">
        <v>4</v>
      </c>
      <c r="G94" s="30">
        <v>27</v>
      </c>
      <c r="H94" s="33" t="s">
        <v>7</v>
      </c>
      <c r="I94" s="33" t="s">
        <v>7</v>
      </c>
      <c r="J94" s="33" t="s">
        <v>7</v>
      </c>
      <c r="K94" s="33" t="s">
        <v>7</v>
      </c>
      <c r="L94" s="33" t="s">
        <v>7</v>
      </c>
      <c r="M94" s="33" t="s">
        <v>7</v>
      </c>
      <c r="N94" s="33" t="s">
        <v>7</v>
      </c>
      <c r="O94" s="33" t="s">
        <v>7</v>
      </c>
      <c r="P94" s="33" t="s">
        <v>7</v>
      </c>
      <c r="Q94" s="33" t="s">
        <v>7</v>
      </c>
      <c r="R94" s="33" t="s">
        <v>7</v>
      </c>
      <c r="S94" s="33" t="s">
        <v>7</v>
      </c>
      <c r="T94" s="34">
        <v>2</v>
      </c>
      <c r="U94" s="34">
        <v>12</v>
      </c>
      <c r="V94" s="4" t="s">
        <v>1</v>
      </c>
      <c r="W94" s="4">
        <v>1</v>
      </c>
      <c r="X94" s="4">
        <v>1</v>
      </c>
      <c r="Y94" s="4">
        <v>1</v>
      </c>
      <c r="Z94" s="56">
        <v>3</v>
      </c>
      <c r="AA94" s="9" cm="1">
        <f t="array" ref="AA94">IF(OR(AB94:AE94=""),"BLANK",IF(AND(AB94:AE94&lt;999),1,IF(AND(AB94:AE94="NA"),3,2)))</f>
        <v>1</v>
      </c>
      <c r="AB94" s="4">
        <v>38</v>
      </c>
      <c r="AC94" s="4">
        <v>23</v>
      </c>
      <c r="AD94" s="4">
        <v>16</v>
      </c>
      <c r="AE94" s="5">
        <v>77</v>
      </c>
      <c r="AF94" s="9">
        <f t="shared" si="1"/>
        <v>1</v>
      </c>
      <c r="AG94" s="5">
        <v>41</v>
      </c>
      <c r="AH94" s="9" cm="1">
        <f t="array" ref="AH94">IF(OR(AI94:AN94=""),"BLANK",IF(AND(AI94:AN94&lt;99),1,IF(AND(AI94:AN94="NA"),3,2)))</f>
        <v>3</v>
      </c>
      <c r="AI94" s="4" t="s">
        <v>7</v>
      </c>
      <c r="AJ94" s="4" t="s">
        <v>7</v>
      </c>
      <c r="AK94" s="4" t="s">
        <v>7</v>
      </c>
      <c r="AL94" s="4" t="s">
        <v>7</v>
      </c>
      <c r="AM94" s="4" t="s">
        <v>7</v>
      </c>
      <c r="AN94" s="5" t="s">
        <v>7</v>
      </c>
    </row>
    <row r="95" spans="1:40" x14ac:dyDescent="0.2">
      <c r="A95" s="39">
        <v>587</v>
      </c>
      <c r="B95" s="4" t="s">
        <v>61</v>
      </c>
      <c r="C95" s="30" t="s">
        <v>23</v>
      </c>
      <c r="D95" s="30">
        <v>2</v>
      </c>
      <c r="E95" s="30">
        <v>0</v>
      </c>
      <c r="F95" s="4">
        <v>4</v>
      </c>
      <c r="G95" s="30">
        <v>29</v>
      </c>
      <c r="H95" s="33">
        <v>4.0246406570841886</v>
      </c>
      <c r="I95" s="33" t="s">
        <v>7</v>
      </c>
      <c r="J95" s="33" t="s">
        <v>7</v>
      </c>
      <c r="K95" s="33" t="s">
        <v>7</v>
      </c>
      <c r="L95" s="33" t="s">
        <v>7</v>
      </c>
      <c r="M95" s="33" t="s">
        <v>7</v>
      </c>
      <c r="N95" s="33">
        <v>4.1122518822724166</v>
      </c>
      <c r="O95" s="33" t="s">
        <v>7</v>
      </c>
      <c r="P95" s="33" t="s">
        <v>7</v>
      </c>
      <c r="Q95" s="33">
        <v>4.1177275838466807</v>
      </c>
      <c r="R95" s="33" t="s">
        <v>7</v>
      </c>
      <c r="S95" s="33" t="s">
        <v>7</v>
      </c>
      <c r="T95" s="34">
        <v>6</v>
      </c>
      <c r="U95" s="34">
        <v>18</v>
      </c>
      <c r="V95" s="4" t="s">
        <v>1</v>
      </c>
      <c r="W95" s="4">
        <v>1</v>
      </c>
      <c r="X95" s="4">
        <v>1</v>
      </c>
      <c r="Y95" s="4">
        <v>1</v>
      </c>
      <c r="Z95" s="56">
        <v>3</v>
      </c>
      <c r="AA95" s="9" cm="1">
        <f t="array" ref="AA95">IF(OR(AB95:AE95=""),"BLANK",IF(AND(AB95:AE95&lt;999),1,IF(AND(AB95:AE95="NA"),3,2)))</f>
        <v>1</v>
      </c>
      <c r="AB95" s="4">
        <v>32</v>
      </c>
      <c r="AC95" s="4">
        <v>19</v>
      </c>
      <c r="AD95" s="4">
        <v>14</v>
      </c>
      <c r="AE95" s="5">
        <v>65</v>
      </c>
      <c r="AF95" s="9">
        <f t="shared" si="1"/>
        <v>1</v>
      </c>
      <c r="AG95" s="5">
        <v>59</v>
      </c>
      <c r="AH95" s="9" cm="1">
        <f t="array" ref="AH95">IF(OR(AI95:AN95=""),"BLANK",IF(AND(AI95:AN95&lt;99),1,IF(AND(AI95:AN95="NA"),3,2)))</f>
        <v>3</v>
      </c>
      <c r="AI95" s="4" t="s">
        <v>7</v>
      </c>
      <c r="AJ95" s="4" t="s">
        <v>7</v>
      </c>
      <c r="AK95" s="4" t="s">
        <v>7</v>
      </c>
      <c r="AL95" s="4" t="s">
        <v>7</v>
      </c>
      <c r="AM95" s="4" t="s">
        <v>7</v>
      </c>
      <c r="AN95" s="5" t="s">
        <v>7</v>
      </c>
    </row>
    <row r="96" spans="1:40" x14ac:dyDescent="0.2">
      <c r="A96" s="39">
        <v>591</v>
      </c>
      <c r="B96" s="4" t="s">
        <v>50</v>
      </c>
      <c r="C96" s="30" t="s">
        <v>23</v>
      </c>
      <c r="D96" s="30">
        <v>5</v>
      </c>
      <c r="E96" s="30">
        <v>0</v>
      </c>
      <c r="F96" s="4">
        <v>3.5449999999999999</v>
      </c>
      <c r="G96" s="30">
        <v>28</v>
      </c>
      <c r="H96" s="33">
        <v>4.5913757700205338</v>
      </c>
      <c r="I96" s="33">
        <v>5.2347707049965777</v>
      </c>
      <c r="J96" s="33">
        <v>9.8261464750171115</v>
      </c>
      <c r="K96" s="33" t="s">
        <v>7</v>
      </c>
      <c r="L96" s="33" t="s">
        <v>7</v>
      </c>
      <c r="M96" s="33">
        <v>9.9520876112251884</v>
      </c>
      <c r="N96" s="33">
        <v>4.3832991101984939</v>
      </c>
      <c r="O96" s="33">
        <v>5.1718001368925393</v>
      </c>
      <c r="P96" s="33">
        <v>9.5550992470910341</v>
      </c>
      <c r="Q96" s="33">
        <v>3.7919233401779602</v>
      </c>
      <c r="R96" s="33">
        <v>5.0814510609171801</v>
      </c>
      <c r="S96" s="33">
        <v>8.8733744010951412</v>
      </c>
      <c r="T96" s="34">
        <v>4</v>
      </c>
      <c r="U96" s="34">
        <v>16</v>
      </c>
      <c r="V96" s="4" t="s">
        <v>1</v>
      </c>
      <c r="W96" s="4">
        <v>1</v>
      </c>
      <c r="X96" s="4">
        <v>1</v>
      </c>
      <c r="Y96" s="4">
        <v>1</v>
      </c>
      <c r="Z96" s="56">
        <v>3</v>
      </c>
      <c r="AA96" s="9" cm="1">
        <f t="array" ref="AA96">IF(OR(AB96:AE96=""),"BLANK",IF(AND(AB96:AE96&lt;999),1,IF(AND(AB96:AE96="NA"),3,2)))</f>
        <v>1</v>
      </c>
      <c r="AB96" s="4">
        <v>48</v>
      </c>
      <c r="AC96" s="4">
        <v>33</v>
      </c>
      <c r="AD96" s="4">
        <v>21</v>
      </c>
      <c r="AE96" s="5">
        <v>102</v>
      </c>
      <c r="AF96" s="9">
        <f t="shared" si="1"/>
        <v>3</v>
      </c>
      <c r="AG96" s="5" t="s">
        <v>7</v>
      </c>
      <c r="AH96" s="9" cm="1">
        <f t="array" ref="AH96">IF(OR(AI96:AN96=""),"BLANK",IF(AND(AI96:AN96&lt;99),1,IF(AND(AI96:AN96="NA"),3,2)))</f>
        <v>3</v>
      </c>
      <c r="AI96" s="4" t="s">
        <v>7</v>
      </c>
      <c r="AJ96" s="4" t="s">
        <v>7</v>
      </c>
      <c r="AK96" s="4" t="s">
        <v>7</v>
      </c>
      <c r="AL96" s="4" t="s">
        <v>7</v>
      </c>
      <c r="AM96" s="4" t="s">
        <v>7</v>
      </c>
      <c r="AN96" s="5" t="s">
        <v>7</v>
      </c>
    </row>
    <row r="97" spans="1:40" x14ac:dyDescent="0.2">
      <c r="A97" s="39">
        <v>595</v>
      </c>
      <c r="B97" s="4" t="s">
        <v>54</v>
      </c>
      <c r="C97" s="30" t="s">
        <v>23</v>
      </c>
      <c r="D97" s="30">
        <v>5</v>
      </c>
      <c r="E97" s="30">
        <v>0</v>
      </c>
      <c r="F97" s="4">
        <v>3.9089999999999998</v>
      </c>
      <c r="G97" s="30">
        <v>27</v>
      </c>
      <c r="H97" s="33">
        <v>4.0602327173169064</v>
      </c>
      <c r="I97" s="33">
        <v>5.5222450376454484</v>
      </c>
      <c r="J97" s="33">
        <v>9.5824777549623548</v>
      </c>
      <c r="K97" s="33">
        <v>4.0602327173169064</v>
      </c>
      <c r="L97" s="33">
        <v>5.5222450376454484</v>
      </c>
      <c r="M97" s="33">
        <v>9.5824777549623548</v>
      </c>
      <c r="N97" s="33">
        <v>4.0246406570841886</v>
      </c>
      <c r="O97" s="33">
        <v>5.1279945242984262</v>
      </c>
      <c r="P97" s="33">
        <v>9.1526351813826139</v>
      </c>
      <c r="Q97" s="33" t="s">
        <v>7</v>
      </c>
      <c r="R97" s="33" t="s">
        <v>7</v>
      </c>
      <c r="S97" s="33" t="s">
        <v>7</v>
      </c>
      <c r="T97" s="34">
        <v>6</v>
      </c>
      <c r="U97" s="34">
        <v>18</v>
      </c>
      <c r="V97" s="4" t="s">
        <v>1</v>
      </c>
      <c r="W97" s="4">
        <v>1</v>
      </c>
      <c r="X97" s="4">
        <v>1</v>
      </c>
      <c r="Y97" s="4">
        <v>1</v>
      </c>
      <c r="Z97" s="56">
        <v>3</v>
      </c>
      <c r="AA97" s="9" cm="1">
        <f t="array" ref="AA97">IF(OR(AB97:AE97=""),"BLANK",IF(AND(AB97:AE97&lt;999),1,IF(AND(AB97:AE97="NA"),3,2)))</f>
        <v>1</v>
      </c>
      <c r="AB97" s="4">
        <v>40</v>
      </c>
      <c r="AC97" s="4">
        <v>24</v>
      </c>
      <c r="AD97" s="4">
        <v>16</v>
      </c>
      <c r="AE97" s="5">
        <v>80</v>
      </c>
      <c r="AF97" s="9">
        <f t="shared" si="1"/>
        <v>1</v>
      </c>
      <c r="AG97" s="5">
        <v>65</v>
      </c>
      <c r="AH97" s="9" cm="1">
        <f t="array" ref="AH97">IF(OR(AI97:AN97=""),"BLANK",IF(AND(AI97:AN97&lt;99),1,IF(AND(AI97:AN97="NA"),3,2)))</f>
        <v>3</v>
      </c>
      <c r="AI97" s="4" t="s">
        <v>7</v>
      </c>
      <c r="AJ97" s="4" t="s">
        <v>7</v>
      </c>
      <c r="AK97" s="4" t="s">
        <v>7</v>
      </c>
      <c r="AL97" s="4" t="s">
        <v>7</v>
      </c>
      <c r="AM97" s="4" t="s">
        <v>7</v>
      </c>
      <c r="AN97" s="5" t="s">
        <v>7</v>
      </c>
    </row>
    <row r="98" spans="1:40" x14ac:dyDescent="0.2">
      <c r="A98" s="39">
        <v>599</v>
      </c>
      <c r="B98" s="4" t="s">
        <v>52</v>
      </c>
      <c r="C98" s="30" t="s">
        <v>24</v>
      </c>
      <c r="D98" s="30">
        <v>5</v>
      </c>
      <c r="E98" s="30">
        <v>0</v>
      </c>
      <c r="F98" s="4">
        <v>3.9089999999999998</v>
      </c>
      <c r="G98" s="30">
        <v>26</v>
      </c>
      <c r="H98" s="33" t="s">
        <v>7</v>
      </c>
      <c r="I98" s="33" t="s">
        <v>7</v>
      </c>
      <c r="J98" s="33" t="s">
        <v>7</v>
      </c>
      <c r="K98" s="33" t="s">
        <v>7</v>
      </c>
      <c r="L98" s="33" t="s">
        <v>7</v>
      </c>
      <c r="M98" s="33" t="s">
        <v>7</v>
      </c>
      <c r="N98" s="33" t="s">
        <v>7</v>
      </c>
      <c r="O98" s="33" t="s">
        <v>7</v>
      </c>
      <c r="P98" s="33" t="s">
        <v>7</v>
      </c>
      <c r="Q98" s="33" t="s">
        <v>7</v>
      </c>
      <c r="R98" s="33" t="s">
        <v>7</v>
      </c>
      <c r="S98" s="33" t="s">
        <v>7</v>
      </c>
      <c r="T98" s="34">
        <v>6</v>
      </c>
      <c r="U98" s="34">
        <v>18</v>
      </c>
      <c r="V98" s="4" t="s">
        <v>1</v>
      </c>
      <c r="W98" s="4">
        <v>1</v>
      </c>
      <c r="X98" s="4">
        <v>1</v>
      </c>
      <c r="Y98" s="4">
        <v>1</v>
      </c>
      <c r="Z98" s="56">
        <v>3</v>
      </c>
      <c r="AA98" s="9" cm="1">
        <f t="array" ref="AA98">IF(OR(AB98:AE98=""),"BLANK",IF(AND(AB98:AE98&lt;999),1,IF(AND(AB98:AE98="NA"),3,2)))</f>
        <v>1</v>
      </c>
      <c r="AB98" s="4">
        <v>18</v>
      </c>
      <c r="AC98" s="4">
        <v>10</v>
      </c>
      <c r="AD98" s="4">
        <v>8</v>
      </c>
      <c r="AE98" s="5">
        <v>36</v>
      </c>
      <c r="AF98" s="9">
        <f t="shared" si="1"/>
        <v>1</v>
      </c>
      <c r="AG98" s="5">
        <v>35</v>
      </c>
      <c r="AH98" s="9" cm="1">
        <f t="array" ref="AH98">IF(OR(AI98:AN98=""),"BLANK",IF(AND(AI98:AN98&lt;99),1,IF(AND(AI98:AN98="NA"),3,2)))</f>
        <v>3</v>
      </c>
      <c r="AI98" s="4" t="s">
        <v>7</v>
      </c>
      <c r="AJ98" s="4" t="s">
        <v>7</v>
      </c>
      <c r="AK98" s="4" t="s">
        <v>7</v>
      </c>
      <c r="AL98" s="4" t="s">
        <v>7</v>
      </c>
      <c r="AM98" s="4" t="s">
        <v>7</v>
      </c>
      <c r="AN98" s="5" t="s">
        <v>7</v>
      </c>
    </row>
    <row r="99" spans="1:40" x14ac:dyDescent="0.2">
      <c r="A99" s="39">
        <v>604</v>
      </c>
      <c r="B99" s="4" t="s">
        <v>66</v>
      </c>
      <c r="C99" s="30" t="s">
        <v>24</v>
      </c>
      <c r="D99" s="30">
        <v>5</v>
      </c>
      <c r="E99" s="30">
        <v>0</v>
      </c>
      <c r="F99" s="4">
        <v>3.6360000000000001</v>
      </c>
      <c r="G99" s="30">
        <v>28</v>
      </c>
      <c r="H99" s="33">
        <v>4.0109514031485283</v>
      </c>
      <c r="I99" s="33">
        <v>5.3552361396303905</v>
      </c>
      <c r="J99" s="33">
        <v>9.3661875427789187</v>
      </c>
      <c r="K99" s="33">
        <v>4.0109514031485283</v>
      </c>
      <c r="L99" s="33">
        <v>5.3552361396303905</v>
      </c>
      <c r="M99" s="33">
        <v>9.3661875427789187</v>
      </c>
      <c r="N99" s="33">
        <v>4.0273785078713207</v>
      </c>
      <c r="O99" s="33">
        <v>5.248459958932238</v>
      </c>
      <c r="P99" s="33">
        <v>9.2758384668035596</v>
      </c>
      <c r="Q99" s="33">
        <v>3.3483915126625599</v>
      </c>
      <c r="R99" s="33">
        <v>6.020533880903491</v>
      </c>
      <c r="S99" s="33">
        <v>9.3689253935660499</v>
      </c>
      <c r="T99" s="34">
        <v>4</v>
      </c>
      <c r="U99" s="34">
        <v>16</v>
      </c>
      <c r="V99" s="4" t="s">
        <v>1</v>
      </c>
      <c r="W99" s="4">
        <v>1</v>
      </c>
      <c r="X99" s="4">
        <v>1</v>
      </c>
      <c r="Y99" s="4">
        <v>1</v>
      </c>
      <c r="Z99" s="56">
        <v>3</v>
      </c>
      <c r="AA99" s="9" cm="1">
        <f t="array" ref="AA99">IF(OR(AB99:AE99=""),"BLANK",IF(AND(AB99:AE99&lt;999),1,IF(AND(AB99:AE99="NA"),3,2)))</f>
        <v>1</v>
      </c>
      <c r="AB99" s="4">
        <v>32</v>
      </c>
      <c r="AC99" s="4">
        <v>16</v>
      </c>
      <c r="AD99" s="4">
        <v>11</v>
      </c>
      <c r="AE99" s="5">
        <v>59</v>
      </c>
      <c r="AF99" s="9">
        <f t="shared" si="1"/>
        <v>1</v>
      </c>
      <c r="AG99" s="5">
        <v>52</v>
      </c>
      <c r="AH99" s="9" cm="1">
        <f t="array" ref="AH99">IF(OR(AI99:AN99=""),"BLANK",IF(AND(AI99:AN99&lt;99),1,IF(AND(AI99:AN99="NA"),3,2)))</f>
        <v>3</v>
      </c>
      <c r="AI99" s="4" t="s">
        <v>7</v>
      </c>
      <c r="AJ99" s="4" t="s">
        <v>7</v>
      </c>
      <c r="AK99" s="4" t="s">
        <v>7</v>
      </c>
      <c r="AL99" s="4" t="s">
        <v>7</v>
      </c>
      <c r="AM99" s="4" t="s">
        <v>7</v>
      </c>
      <c r="AN99" s="5" t="s">
        <v>7</v>
      </c>
    </row>
    <row r="100" spans="1:40" x14ac:dyDescent="0.2">
      <c r="A100" s="39">
        <v>606</v>
      </c>
      <c r="B100" s="4" t="s">
        <v>47</v>
      </c>
      <c r="C100" s="30" t="s">
        <v>24</v>
      </c>
      <c r="D100" s="30">
        <v>5</v>
      </c>
      <c r="E100" s="30">
        <v>0</v>
      </c>
      <c r="F100" s="4">
        <v>3.5449999999999999</v>
      </c>
      <c r="G100" s="30">
        <v>29</v>
      </c>
      <c r="H100" s="33">
        <v>4.0930869267624912</v>
      </c>
      <c r="I100" s="33" t="s">
        <v>7</v>
      </c>
      <c r="J100" s="33" t="s">
        <v>7</v>
      </c>
      <c r="K100" s="33">
        <v>4.0930869267624912</v>
      </c>
      <c r="L100" s="33" t="s">
        <v>7</v>
      </c>
      <c r="M100" s="33" t="s">
        <v>7</v>
      </c>
      <c r="N100" s="33">
        <v>4.1067761806981515</v>
      </c>
      <c r="O100" s="33" t="s">
        <v>7</v>
      </c>
      <c r="P100" s="33" t="s">
        <v>7</v>
      </c>
      <c r="Q100" s="33" t="s">
        <v>7</v>
      </c>
      <c r="R100" s="33" t="s">
        <v>7</v>
      </c>
      <c r="S100" s="33" t="s">
        <v>7</v>
      </c>
      <c r="T100" s="34">
        <v>7</v>
      </c>
      <c r="U100" s="34">
        <v>21</v>
      </c>
      <c r="V100" s="4" t="s">
        <v>1</v>
      </c>
      <c r="W100" s="4">
        <v>1</v>
      </c>
      <c r="X100" s="4">
        <v>1</v>
      </c>
      <c r="Y100" s="4">
        <v>1</v>
      </c>
      <c r="Z100" s="56">
        <v>3</v>
      </c>
      <c r="AA100" s="9" cm="1">
        <f t="array" ref="AA100">IF(OR(AB100:AE100=""),"BLANK",IF(AND(AB100:AE100&lt;999),1,IF(AND(AB100:AE100="NA"),3,2)))</f>
        <v>1</v>
      </c>
      <c r="AB100" s="4">
        <v>31</v>
      </c>
      <c r="AC100" s="4">
        <v>18</v>
      </c>
      <c r="AD100" s="4">
        <v>11</v>
      </c>
      <c r="AE100" s="5">
        <v>60</v>
      </c>
      <c r="AF100" s="9">
        <f t="shared" si="1"/>
        <v>1</v>
      </c>
      <c r="AG100" s="5">
        <v>47</v>
      </c>
      <c r="AH100" s="9" cm="1">
        <f t="array" ref="AH100">IF(OR(AI100:AN100=""),"BLANK",IF(AND(AI100:AN100&lt;99),1,IF(AND(AI100:AN100="NA"),3,2)))</f>
        <v>3</v>
      </c>
      <c r="AI100" s="4" t="s">
        <v>7</v>
      </c>
      <c r="AJ100" s="4" t="s">
        <v>7</v>
      </c>
      <c r="AK100" s="4" t="s">
        <v>7</v>
      </c>
      <c r="AL100" s="4" t="s">
        <v>7</v>
      </c>
      <c r="AM100" s="4" t="s">
        <v>7</v>
      </c>
      <c r="AN100" s="5" t="s">
        <v>7</v>
      </c>
    </row>
    <row r="101" spans="1:40" x14ac:dyDescent="0.2">
      <c r="A101" s="39">
        <v>609</v>
      </c>
      <c r="B101" s="4" t="s">
        <v>58</v>
      </c>
      <c r="C101" s="30" t="s">
        <v>24</v>
      </c>
      <c r="D101" s="30">
        <v>5</v>
      </c>
      <c r="E101" s="30">
        <v>0</v>
      </c>
      <c r="F101" s="4">
        <v>3.5449999999999999</v>
      </c>
      <c r="G101" s="30">
        <v>29</v>
      </c>
      <c r="H101" s="33" t="s">
        <v>7</v>
      </c>
      <c r="I101" s="33" t="s">
        <v>7</v>
      </c>
      <c r="J101" s="33" t="s">
        <v>7</v>
      </c>
      <c r="K101" s="33" t="s">
        <v>7</v>
      </c>
      <c r="L101" s="33" t="s">
        <v>7</v>
      </c>
      <c r="M101" s="33" t="s">
        <v>7</v>
      </c>
      <c r="N101" s="33" t="s">
        <v>7</v>
      </c>
      <c r="O101" s="33" t="s">
        <v>7</v>
      </c>
      <c r="P101" s="33" t="s">
        <v>7</v>
      </c>
      <c r="Q101" s="33" t="s">
        <v>7</v>
      </c>
      <c r="R101" s="33" t="s">
        <v>7</v>
      </c>
      <c r="S101" s="33" t="s">
        <v>7</v>
      </c>
      <c r="T101" s="34">
        <v>5</v>
      </c>
      <c r="U101" s="34">
        <v>17</v>
      </c>
      <c r="V101" s="4" t="s">
        <v>1</v>
      </c>
      <c r="W101" s="4">
        <v>1</v>
      </c>
      <c r="X101" s="4">
        <v>1</v>
      </c>
      <c r="Y101" s="4">
        <v>1</v>
      </c>
      <c r="Z101" s="56">
        <v>3</v>
      </c>
      <c r="AA101" s="9" cm="1">
        <f t="array" ref="AA101">IF(OR(AB101:AE101=""),"BLANK",IF(AND(AB101:AE101&lt;999),1,IF(AND(AB101:AE101="NA"),3,2)))</f>
        <v>1</v>
      </c>
      <c r="AB101" s="4">
        <v>27</v>
      </c>
      <c r="AC101" s="4">
        <v>17</v>
      </c>
      <c r="AD101" s="4">
        <v>7</v>
      </c>
      <c r="AE101" s="5">
        <v>51</v>
      </c>
      <c r="AF101" s="9">
        <f t="shared" si="1"/>
        <v>1</v>
      </c>
      <c r="AG101" s="5">
        <v>42</v>
      </c>
      <c r="AH101" s="9" cm="1">
        <f t="array" ref="AH101">IF(OR(AI101:AN101=""),"BLANK",IF(AND(AI101:AN101&lt;99),1,IF(AND(AI101:AN101="NA"),3,2)))</f>
        <v>3</v>
      </c>
      <c r="AI101" s="4" t="s">
        <v>7</v>
      </c>
      <c r="AJ101" s="4" t="s">
        <v>7</v>
      </c>
      <c r="AK101" s="4" t="s">
        <v>7</v>
      </c>
      <c r="AL101" s="4" t="s">
        <v>7</v>
      </c>
      <c r="AM101" s="4" t="s">
        <v>7</v>
      </c>
      <c r="AN101" s="5" t="s">
        <v>7</v>
      </c>
    </row>
    <row r="102" spans="1:40" x14ac:dyDescent="0.2">
      <c r="A102" s="39">
        <v>611</v>
      </c>
      <c r="B102" s="4" t="s">
        <v>46</v>
      </c>
      <c r="C102" s="30" t="s">
        <v>23</v>
      </c>
      <c r="D102" s="30">
        <v>5</v>
      </c>
      <c r="E102" s="30">
        <v>0</v>
      </c>
      <c r="F102" s="4">
        <v>3.8180000000000001</v>
      </c>
      <c r="G102" s="30">
        <v>29</v>
      </c>
      <c r="H102" s="33">
        <v>4.0191649555099245</v>
      </c>
      <c r="I102" s="33">
        <v>5.7494866529774127</v>
      </c>
      <c r="J102" s="33">
        <v>9.7686516084873372</v>
      </c>
      <c r="K102" s="33">
        <v>4.0246406570841886</v>
      </c>
      <c r="L102" s="33">
        <v>5.7412731006160165</v>
      </c>
      <c r="M102" s="33">
        <v>9.765913757700206</v>
      </c>
      <c r="N102" s="33">
        <v>4.0109514031485283</v>
      </c>
      <c r="O102" s="33">
        <v>5.3634496919917867</v>
      </c>
      <c r="P102" s="33">
        <v>9.3744010951403141</v>
      </c>
      <c r="Q102" s="33" t="s">
        <v>7</v>
      </c>
      <c r="R102" s="33" t="s">
        <v>7</v>
      </c>
      <c r="S102" s="33" t="s">
        <v>7</v>
      </c>
      <c r="T102" s="34">
        <v>4</v>
      </c>
      <c r="U102" s="34">
        <v>16</v>
      </c>
      <c r="V102" s="4" t="s">
        <v>1</v>
      </c>
      <c r="W102" s="4">
        <v>1</v>
      </c>
      <c r="X102" s="4">
        <v>1</v>
      </c>
      <c r="Y102" s="4">
        <v>1</v>
      </c>
      <c r="Z102" s="56">
        <v>3</v>
      </c>
      <c r="AA102" s="9" cm="1">
        <f t="array" ref="AA102">IF(OR(AB102:AE102=""),"BLANK",IF(AND(AB102:AE102&lt;999),1,IF(AND(AB102:AE102="NA"),3,2)))</f>
        <v>1</v>
      </c>
      <c r="AB102" s="4">
        <v>36</v>
      </c>
      <c r="AC102" s="4">
        <v>20</v>
      </c>
      <c r="AD102" s="4">
        <v>16</v>
      </c>
      <c r="AE102" s="5">
        <v>72</v>
      </c>
      <c r="AF102" s="9">
        <f t="shared" si="1"/>
        <v>1</v>
      </c>
      <c r="AG102" s="5">
        <v>88</v>
      </c>
      <c r="AH102" s="9" cm="1">
        <f t="array" ref="AH102">IF(OR(AI102:AN102=""),"BLANK",IF(AND(AI102:AN102&lt;99),1,IF(AND(AI102:AN102="NA"),3,2)))</f>
        <v>3</v>
      </c>
      <c r="AI102" s="4" t="s">
        <v>7</v>
      </c>
      <c r="AJ102" s="4" t="s">
        <v>7</v>
      </c>
      <c r="AK102" s="4" t="s">
        <v>7</v>
      </c>
      <c r="AL102" s="4" t="s">
        <v>7</v>
      </c>
      <c r="AM102" s="4" t="s">
        <v>7</v>
      </c>
      <c r="AN102" s="5" t="s">
        <v>7</v>
      </c>
    </row>
    <row r="103" spans="1:40" x14ac:dyDescent="0.2">
      <c r="A103" s="39">
        <v>612</v>
      </c>
      <c r="B103" s="4" t="s">
        <v>53</v>
      </c>
      <c r="C103" s="30" t="s">
        <v>23</v>
      </c>
      <c r="D103" s="30">
        <v>5</v>
      </c>
      <c r="E103" s="30">
        <v>0</v>
      </c>
      <c r="F103" s="4">
        <v>3.5449999999999999</v>
      </c>
      <c r="G103" s="30">
        <v>29</v>
      </c>
      <c r="H103" s="33">
        <v>4.0383299110198498</v>
      </c>
      <c r="I103" s="33" t="s">
        <v>7</v>
      </c>
      <c r="J103" s="33" t="s">
        <v>7</v>
      </c>
      <c r="K103" s="33">
        <v>4.043805612594114</v>
      </c>
      <c r="L103" s="33" t="s">
        <v>7</v>
      </c>
      <c r="M103" s="33" t="s">
        <v>7</v>
      </c>
      <c r="N103" s="33">
        <v>3.9260780287474333</v>
      </c>
      <c r="O103" s="33" t="s">
        <v>7</v>
      </c>
      <c r="P103" s="33" t="s">
        <v>7</v>
      </c>
      <c r="Q103" s="33" t="s">
        <v>7</v>
      </c>
      <c r="R103" s="33" t="s">
        <v>7</v>
      </c>
      <c r="S103" s="33" t="s">
        <v>7</v>
      </c>
      <c r="T103" s="34">
        <v>3</v>
      </c>
      <c r="U103" s="34">
        <v>14.5</v>
      </c>
      <c r="V103" s="4" t="s">
        <v>1</v>
      </c>
      <c r="W103" s="4">
        <v>1</v>
      </c>
      <c r="X103" s="4">
        <v>1</v>
      </c>
      <c r="Y103" s="4">
        <v>1</v>
      </c>
      <c r="Z103" s="56">
        <v>3</v>
      </c>
      <c r="AA103" s="9" cm="1">
        <f t="array" ref="AA103">IF(OR(AB103:AE103=""),"BLANK",IF(AND(AB103:AE103&lt;999),1,IF(AND(AB103:AE103="NA"),3,2)))</f>
        <v>1</v>
      </c>
      <c r="AB103" s="4">
        <v>45</v>
      </c>
      <c r="AC103" s="4">
        <v>26</v>
      </c>
      <c r="AD103" s="4">
        <v>15</v>
      </c>
      <c r="AE103" s="5">
        <v>86</v>
      </c>
      <c r="AF103" s="9">
        <f t="shared" si="1"/>
        <v>1</v>
      </c>
      <c r="AG103" s="5">
        <v>69</v>
      </c>
      <c r="AH103" s="9" cm="1">
        <f t="array" ref="AH103">IF(OR(AI103:AN103=""),"BLANK",IF(AND(AI103:AN103&lt;99),1,IF(AND(AI103:AN103="NA"),3,2)))</f>
        <v>3</v>
      </c>
      <c r="AI103" s="4" t="s">
        <v>7</v>
      </c>
      <c r="AJ103" s="4" t="s">
        <v>7</v>
      </c>
      <c r="AK103" s="4" t="s">
        <v>7</v>
      </c>
      <c r="AL103" s="4" t="s">
        <v>7</v>
      </c>
      <c r="AM103" s="4" t="s">
        <v>7</v>
      </c>
      <c r="AN103" s="5" t="s">
        <v>7</v>
      </c>
    </row>
    <row r="104" spans="1:40" x14ac:dyDescent="0.2">
      <c r="A104" s="39">
        <v>615</v>
      </c>
      <c r="B104" s="4" t="s">
        <v>53</v>
      </c>
      <c r="C104" s="30" t="s">
        <v>24</v>
      </c>
      <c r="D104" s="30">
        <v>1</v>
      </c>
      <c r="E104" s="30">
        <v>0</v>
      </c>
      <c r="F104" s="4">
        <v>4</v>
      </c>
      <c r="G104" s="30">
        <v>26</v>
      </c>
      <c r="H104" s="33" t="s">
        <v>7</v>
      </c>
      <c r="I104" s="33" t="s">
        <v>7</v>
      </c>
      <c r="J104" s="33" t="s">
        <v>7</v>
      </c>
      <c r="K104" s="33" t="s">
        <v>7</v>
      </c>
      <c r="L104" s="33" t="s">
        <v>7</v>
      </c>
      <c r="M104" s="33" t="s">
        <v>7</v>
      </c>
      <c r="N104" s="33" t="s">
        <v>7</v>
      </c>
      <c r="O104" s="33" t="s">
        <v>7</v>
      </c>
      <c r="P104" s="33" t="s">
        <v>7</v>
      </c>
      <c r="Q104" s="33" t="s">
        <v>7</v>
      </c>
      <c r="R104" s="33" t="s">
        <v>7</v>
      </c>
      <c r="S104" s="33" t="s">
        <v>7</v>
      </c>
      <c r="T104" s="34">
        <v>2</v>
      </c>
      <c r="U104" s="34">
        <v>12</v>
      </c>
      <c r="V104" s="4" t="s">
        <v>1</v>
      </c>
      <c r="W104" s="4">
        <v>1</v>
      </c>
      <c r="X104" s="4">
        <v>1</v>
      </c>
      <c r="Y104" s="4">
        <v>1</v>
      </c>
      <c r="Z104" s="56">
        <v>3</v>
      </c>
      <c r="AA104" s="9" cm="1">
        <f t="array" ref="AA104">IF(OR(AB104:AE104=""),"BLANK",IF(AND(AB104:AE104&lt;999),1,IF(AND(AB104:AE104="NA"),3,2)))</f>
        <v>1</v>
      </c>
      <c r="AB104" s="4">
        <v>31</v>
      </c>
      <c r="AC104" s="4">
        <v>15</v>
      </c>
      <c r="AD104" s="4">
        <v>12</v>
      </c>
      <c r="AE104" s="5">
        <v>58</v>
      </c>
      <c r="AF104" s="9">
        <f t="shared" si="1"/>
        <v>1</v>
      </c>
      <c r="AG104" s="5">
        <v>60</v>
      </c>
      <c r="AH104" s="9" cm="1">
        <f t="array" ref="AH104">IF(OR(AI104:AN104=""),"BLANK",IF(AND(AI104:AN104&lt;99),1,IF(AND(AI104:AN104="NA"),3,2)))</f>
        <v>3</v>
      </c>
      <c r="AI104" s="4" t="s">
        <v>7</v>
      </c>
      <c r="AJ104" s="4" t="s">
        <v>7</v>
      </c>
      <c r="AK104" s="4" t="s">
        <v>7</v>
      </c>
      <c r="AL104" s="4" t="s">
        <v>7</v>
      </c>
      <c r="AM104" s="4" t="s">
        <v>7</v>
      </c>
      <c r="AN104" s="5" t="s">
        <v>7</v>
      </c>
    </row>
    <row r="105" spans="1:40" x14ac:dyDescent="0.2">
      <c r="A105" s="39">
        <v>616</v>
      </c>
      <c r="B105" s="4" t="s">
        <v>53</v>
      </c>
      <c r="C105" s="30" t="s">
        <v>24</v>
      </c>
      <c r="D105" s="30">
        <v>1</v>
      </c>
      <c r="E105" s="30">
        <v>0</v>
      </c>
      <c r="F105" s="4">
        <v>3.4550000000000001</v>
      </c>
      <c r="G105" s="30">
        <v>30</v>
      </c>
      <c r="H105" s="33" t="s">
        <v>7</v>
      </c>
      <c r="I105" s="33" t="s">
        <v>7</v>
      </c>
      <c r="J105" s="33" t="s">
        <v>7</v>
      </c>
      <c r="K105" s="33" t="s">
        <v>7</v>
      </c>
      <c r="L105" s="33" t="s">
        <v>7</v>
      </c>
      <c r="M105" s="33" t="s">
        <v>7</v>
      </c>
      <c r="N105" s="33" t="s">
        <v>7</v>
      </c>
      <c r="O105" s="33" t="s">
        <v>7</v>
      </c>
      <c r="P105" s="33" t="s">
        <v>7</v>
      </c>
      <c r="Q105" s="33" t="s">
        <v>7</v>
      </c>
      <c r="R105" s="33" t="s">
        <v>7</v>
      </c>
      <c r="S105" s="33" t="s">
        <v>7</v>
      </c>
      <c r="T105" s="34">
        <v>3</v>
      </c>
      <c r="U105" s="34">
        <v>15</v>
      </c>
      <c r="V105" s="4" t="s">
        <v>1</v>
      </c>
      <c r="W105" s="4">
        <v>1</v>
      </c>
      <c r="X105" s="4">
        <v>1</v>
      </c>
      <c r="Y105" s="4">
        <v>1</v>
      </c>
      <c r="Z105" s="56">
        <v>3</v>
      </c>
      <c r="AA105" s="9" cm="1">
        <f t="array" ref="AA105">IF(OR(AB105:AE105=""),"BLANK",IF(AND(AB105:AE105&lt;999),1,IF(AND(AB105:AE105="NA"),3,2)))</f>
        <v>1</v>
      </c>
      <c r="AB105" s="4">
        <v>40</v>
      </c>
      <c r="AC105" s="4">
        <v>25</v>
      </c>
      <c r="AD105" s="4">
        <v>14</v>
      </c>
      <c r="AE105" s="5">
        <v>79</v>
      </c>
      <c r="AF105" s="9">
        <f t="shared" si="1"/>
        <v>1</v>
      </c>
      <c r="AG105" s="5">
        <v>57</v>
      </c>
      <c r="AH105" s="9" cm="1">
        <f t="array" ref="AH105">IF(OR(AI105:AN105=""),"BLANK",IF(AND(AI105:AN105&lt;99),1,IF(AND(AI105:AN105="NA"),3,2)))</f>
        <v>3</v>
      </c>
      <c r="AI105" s="4" t="s">
        <v>7</v>
      </c>
      <c r="AJ105" s="4" t="s">
        <v>7</v>
      </c>
      <c r="AK105" s="4" t="s">
        <v>7</v>
      </c>
      <c r="AL105" s="4" t="s">
        <v>7</v>
      </c>
      <c r="AM105" s="4" t="s">
        <v>7</v>
      </c>
      <c r="AN105" s="5" t="s">
        <v>7</v>
      </c>
    </row>
    <row r="106" spans="1:40" x14ac:dyDescent="0.2">
      <c r="A106" s="39">
        <v>634</v>
      </c>
      <c r="B106" s="4" t="s">
        <v>56</v>
      </c>
      <c r="C106" s="30" t="s">
        <v>24</v>
      </c>
      <c r="D106" s="30">
        <v>1</v>
      </c>
      <c r="E106" s="30">
        <v>0</v>
      </c>
      <c r="F106" s="4">
        <v>3.1819999999999999</v>
      </c>
      <c r="G106" s="30">
        <v>29</v>
      </c>
      <c r="H106" s="33">
        <v>4.2956878850102669</v>
      </c>
      <c r="I106" s="33">
        <v>5.1362080766598224</v>
      </c>
      <c r="J106" s="33">
        <v>9.4318959616700884</v>
      </c>
      <c r="K106" s="33">
        <v>4.3750855578370977</v>
      </c>
      <c r="L106" s="33">
        <v>5.2840520191649558</v>
      </c>
      <c r="M106" s="33">
        <v>9.6591375770020527</v>
      </c>
      <c r="N106" s="33">
        <v>4.3723477070499657</v>
      </c>
      <c r="O106" s="33">
        <v>4.6735112936344967</v>
      </c>
      <c r="P106" s="33">
        <v>9.0458590006844624</v>
      </c>
      <c r="Q106" s="33" t="s">
        <v>7</v>
      </c>
      <c r="R106" s="33" t="s">
        <v>7</v>
      </c>
      <c r="S106" s="33" t="s">
        <v>7</v>
      </c>
      <c r="T106" s="34">
        <v>3</v>
      </c>
      <c r="U106" s="34">
        <v>15</v>
      </c>
      <c r="V106" s="4" t="s">
        <v>1</v>
      </c>
      <c r="W106" s="4">
        <v>1</v>
      </c>
      <c r="X106" s="4">
        <v>1</v>
      </c>
      <c r="Y106" s="4">
        <v>1</v>
      </c>
      <c r="Z106" s="56">
        <v>3</v>
      </c>
      <c r="AA106" s="9" cm="1">
        <f t="array" ref="AA106">IF(OR(AB106:AE106=""),"BLANK",IF(AND(AB106:AE106&lt;999),1,IF(AND(AB106:AE106="NA"),3,2)))</f>
        <v>1</v>
      </c>
      <c r="AB106" s="4">
        <v>32</v>
      </c>
      <c r="AC106" s="4">
        <v>21</v>
      </c>
      <c r="AD106" s="4">
        <v>13</v>
      </c>
      <c r="AE106" s="5">
        <v>66</v>
      </c>
      <c r="AF106" s="9">
        <f t="shared" si="1"/>
        <v>1</v>
      </c>
      <c r="AG106" s="5">
        <v>53</v>
      </c>
      <c r="AH106" s="9" cm="1">
        <f t="array" ref="AH106">IF(OR(AI106:AN106=""),"BLANK",IF(AND(AI106:AN106&lt;99),1,IF(AND(AI106:AN106="NA"),3,2)))</f>
        <v>3</v>
      </c>
      <c r="AI106" s="4" t="s">
        <v>7</v>
      </c>
      <c r="AJ106" s="4" t="s">
        <v>7</v>
      </c>
      <c r="AK106" s="4" t="s">
        <v>7</v>
      </c>
      <c r="AL106" s="4" t="s">
        <v>7</v>
      </c>
      <c r="AM106" s="4" t="s">
        <v>7</v>
      </c>
      <c r="AN106" s="5" t="s">
        <v>7</v>
      </c>
    </row>
    <row r="107" spans="1:40" x14ac:dyDescent="0.2">
      <c r="A107" s="39">
        <v>639</v>
      </c>
      <c r="B107" s="4" t="s">
        <v>54</v>
      </c>
      <c r="C107" s="30" t="s">
        <v>23</v>
      </c>
      <c r="D107" s="30">
        <v>5</v>
      </c>
      <c r="E107" s="30">
        <v>0</v>
      </c>
      <c r="F107" s="4">
        <v>4</v>
      </c>
      <c r="G107" s="30">
        <v>27</v>
      </c>
      <c r="H107" s="33">
        <v>3.805612594113621</v>
      </c>
      <c r="I107" s="33" t="s">
        <v>7</v>
      </c>
      <c r="J107" s="33" t="s">
        <v>7</v>
      </c>
      <c r="K107" s="33">
        <v>3.9288158795345653</v>
      </c>
      <c r="L107" s="33" t="s">
        <v>7</v>
      </c>
      <c r="M107" s="33" t="s">
        <v>7</v>
      </c>
      <c r="N107" s="33">
        <v>3.8138261464750172</v>
      </c>
      <c r="O107" s="33" t="s">
        <v>7</v>
      </c>
      <c r="P107" s="33" t="s">
        <v>7</v>
      </c>
      <c r="Q107" s="33" t="s">
        <v>7</v>
      </c>
      <c r="R107" s="33" t="s">
        <v>7</v>
      </c>
      <c r="S107" s="33" t="s">
        <v>7</v>
      </c>
      <c r="T107" s="34">
        <v>4</v>
      </c>
      <c r="U107" s="34">
        <v>16</v>
      </c>
      <c r="V107" s="4" t="s">
        <v>1</v>
      </c>
      <c r="W107" s="4">
        <v>1</v>
      </c>
      <c r="X107" s="4">
        <v>1</v>
      </c>
      <c r="Y107" s="4">
        <v>1</v>
      </c>
      <c r="Z107" s="56">
        <v>3</v>
      </c>
      <c r="AA107" s="9" cm="1">
        <f t="array" ref="AA107">IF(OR(AB107:AE107=""),"BLANK",IF(AND(AB107:AE107&lt;999),1,IF(AND(AB107:AE107="NA"),3,2)))</f>
        <v>1</v>
      </c>
      <c r="AB107" s="4">
        <v>36</v>
      </c>
      <c r="AC107" s="4">
        <v>20</v>
      </c>
      <c r="AD107" s="4">
        <v>13</v>
      </c>
      <c r="AE107" s="5">
        <v>69</v>
      </c>
      <c r="AF107" s="9">
        <f t="shared" si="1"/>
        <v>1</v>
      </c>
      <c r="AG107" s="5">
        <v>33</v>
      </c>
      <c r="AH107" s="9" cm="1">
        <f t="array" ref="AH107">IF(OR(AI107:AN107=""),"BLANK",IF(AND(AI107:AN107&lt;99),1,IF(AND(AI107:AN107="NA"),3,2)))</f>
        <v>3</v>
      </c>
      <c r="AI107" s="4" t="s">
        <v>7</v>
      </c>
      <c r="AJ107" s="4" t="s">
        <v>7</v>
      </c>
      <c r="AK107" s="4" t="s">
        <v>7</v>
      </c>
      <c r="AL107" s="4" t="s">
        <v>7</v>
      </c>
      <c r="AM107" s="4" t="s">
        <v>7</v>
      </c>
      <c r="AN107" s="5" t="s">
        <v>7</v>
      </c>
    </row>
    <row r="108" spans="1:40" x14ac:dyDescent="0.2">
      <c r="A108" s="39">
        <v>665</v>
      </c>
      <c r="B108" s="4" t="s">
        <v>56</v>
      </c>
      <c r="C108" s="30" t="s">
        <v>24</v>
      </c>
      <c r="D108" s="30">
        <v>1</v>
      </c>
      <c r="E108" s="30">
        <v>0</v>
      </c>
      <c r="F108" s="4">
        <v>3</v>
      </c>
      <c r="G108" s="30">
        <v>30</v>
      </c>
      <c r="H108" s="33" t="s">
        <v>7</v>
      </c>
      <c r="I108" s="33" t="s">
        <v>7</v>
      </c>
      <c r="J108" s="33" t="s">
        <v>7</v>
      </c>
      <c r="K108" s="33" t="s">
        <v>7</v>
      </c>
      <c r="L108" s="33" t="s">
        <v>7</v>
      </c>
      <c r="M108" s="33" t="s">
        <v>7</v>
      </c>
      <c r="N108" s="33" t="s">
        <v>7</v>
      </c>
      <c r="O108" s="33" t="s">
        <v>7</v>
      </c>
      <c r="P108" s="33" t="s">
        <v>7</v>
      </c>
      <c r="Q108" s="33" t="s">
        <v>7</v>
      </c>
      <c r="R108" s="33" t="s">
        <v>7</v>
      </c>
      <c r="S108" s="33" t="s">
        <v>7</v>
      </c>
      <c r="T108" s="34">
        <v>3</v>
      </c>
      <c r="U108" s="34">
        <v>15</v>
      </c>
      <c r="V108" s="4" t="s">
        <v>1</v>
      </c>
      <c r="W108" s="4">
        <v>1</v>
      </c>
      <c r="X108" s="4">
        <v>1</v>
      </c>
      <c r="Y108" s="4">
        <v>1</v>
      </c>
      <c r="Z108" s="56">
        <v>3</v>
      </c>
      <c r="AA108" s="9" cm="1">
        <f t="array" ref="AA108">IF(OR(AB108:AE108=""),"BLANK",IF(AND(AB108:AE108&lt;999),1,IF(AND(AB108:AE108="NA"),3,2)))</f>
        <v>1</v>
      </c>
      <c r="AB108" s="4">
        <v>34</v>
      </c>
      <c r="AC108" s="4">
        <v>20</v>
      </c>
      <c r="AD108" s="4">
        <v>13</v>
      </c>
      <c r="AE108" s="5">
        <v>67</v>
      </c>
      <c r="AF108" s="9">
        <f t="shared" si="1"/>
        <v>1</v>
      </c>
      <c r="AG108" s="5">
        <v>63</v>
      </c>
      <c r="AH108" s="9" cm="1">
        <f t="array" ref="AH108">IF(OR(AI108:AN108=""),"BLANK",IF(AND(AI108:AN108&lt;99),1,IF(AND(AI108:AN108="NA"),3,2)))</f>
        <v>3</v>
      </c>
      <c r="AI108" s="4" t="s">
        <v>7</v>
      </c>
      <c r="AJ108" s="4" t="s">
        <v>7</v>
      </c>
      <c r="AK108" s="4" t="s">
        <v>7</v>
      </c>
      <c r="AL108" s="4" t="s">
        <v>7</v>
      </c>
      <c r="AM108" s="4" t="s">
        <v>7</v>
      </c>
      <c r="AN108" s="5" t="s">
        <v>7</v>
      </c>
    </row>
    <row r="109" spans="1:40" x14ac:dyDescent="0.2">
      <c r="A109" s="39">
        <v>671</v>
      </c>
      <c r="B109" s="4" t="s">
        <v>58</v>
      </c>
      <c r="C109" s="30" t="s">
        <v>23</v>
      </c>
      <c r="D109" s="30">
        <v>5</v>
      </c>
      <c r="E109" s="30">
        <v>0</v>
      </c>
      <c r="F109" s="4">
        <v>2.7269999999999999</v>
      </c>
      <c r="G109" s="30">
        <v>29</v>
      </c>
      <c r="H109" s="33">
        <v>4.0821355236139629</v>
      </c>
      <c r="I109" s="33" t="s">
        <v>7</v>
      </c>
      <c r="J109" s="33" t="s">
        <v>7</v>
      </c>
      <c r="K109" s="33">
        <v>4.084873374401095</v>
      </c>
      <c r="L109" s="33" t="s">
        <v>7</v>
      </c>
      <c r="M109" s="33" t="s">
        <v>7</v>
      </c>
      <c r="N109" s="33">
        <v>4.0273785078713207</v>
      </c>
      <c r="O109" s="33" t="s">
        <v>7</v>
      </c>
      <c r="P109" s="33" t="s">
        <v>7</v>
      </c>
      <c r="Q109" s="33">
        <v>3.2580424366872007</v>
      </c>
      <c r="R109" s="33" t="s">
        <v>7</v>
      </c>
      <c r="S109" s="33" t="s">
        <v>7</v>
      </c>
      <c r="T109" s="34">
        <v>6</v>
      </c>
      <c r="U109" s="34">
        <v>18</v>
      </c>
      <c r="V109" s="4" t="s">
        <v>1</v>
      </c>
      <c r="W109" s="4">
        <v>1</v>
      </c>
      <c r="X109" s="4">
        <v>1</v>
      </c>
      <c r="Y109" s="4">
        <v>1</v>
      </c>
      <c r="Z109" s="56">
        <v>3</v>
      </c>
      <c r="AA109" s="9" cm="1">
        <f t="array" ref="AA109">IF(OR(AB109:AE109=""),"BLANK",IF(AND(AB109:AE109&lt;999),1,IF(AND(AB109:AE109="NA"),3,2)))</f>
        <v>1</v>
      </c>
      <c r="AB109" s="4">
        <v>32</v>
      </c>
      <c r="AC109" s="4">
        <v>15</v>
      </c>
      <c r="AD109" s="4">
        <v>11</v>
      </c>
      <c r="AE109" s="5">
        <v>58</v>
      </c>
      <c r="AF109" s="9">
        <f t="shared" si="1"/>
        <v>1</v>
      </c>
      <c r="AG109" s="5">
        <v>56</v>
      </c>
      <c r="AH109" s="9" cm="1">
        <f t="array" ref="AH109">IF(OR(AI109:AN109=""),"BLANK",IF(AND(AI109:AN109&lt;99),1,IF(AND(AI109:AN109="NA"),3,2)))</f>
        <v>3</v>
      </c>
      <c r="AI109" s="4" t="s">
        <v>7</v>
      </c>
      <c r="AJ109" s="4" t="s">
        <v>7</v>
      </c>
      <c r="AK109" s="4" t="s">
        <v>7</v>
      </c>
      <c r="AL109" s="4" t="s">
        <v>7</v>
      </c>
      <c r="AM109" s="4" t="s">
        <v>7</v>
      </c>
      <c r="AN109" s="5" t="s">
        <v>7</v>
      </c>
    </row>
    <row r="110" spans="1:40" x14ac:dyDescent="0.2">
      <c r="A110" s="39">
        <v>674</v>
      </c>
      <c r="B110" s="4" t="s">
        <v>59</v>
      </c>
      <c r="C110" s="30" t="s">
        <v>24</v>
      </c>
      <c r="D110" s="30">
        <v>6</v>
      </c>
      <c r="E110" s="30">
        <v>0</v>
      </c>
      <c r="F110" s="4">
        <v>2.0910000000000002</v>
      </c>
      <c r="G110" s="30">
        <v>29</v>
      </c>
      <c r="H110" s="33">
        <v>3.9644079397672827</v>
      </c>
      <c r="I110" s="33">
        <v>4.7529089664613275</v>
      </c>
      <c r="J110" s="33">
        <v>8.7173169062286107</v>
      </c>
      <c r="K110" s="33">
        <v>3.9644079397672827</v>
      </c>
      <c r="L110" s="33">
        <v>4.7529089664613275</v>
      </c>
      <c r="M110" s="33">
        <v>8.7173169062286107</v>
      </c>
      <c r="N110" s="33">
        <v>3.9753593429158109</v>
      </c>
      <c r="O110" s="33">
        <v>4.4599589322381927</v>
      </c>
      <c r="P110" s="33">
        <v>8.4353182751540032</v>
      </c>
      <c r="Q110" s="33" t="s">
        <v>7</v>
      </c>
      <c r="R110" s="33" t="s">
        <v>7</v>
      </c>
      <c r="S110" s="33" t="s">
        <v>7</v>
      </c>
      <c r="T110" s="34">
        <v>6</v>
      </c>
      <c r="U110" s="34">
        <v>18</v>
      </c>
      <c r="V110" s="4" t="s">
        <v>1</v>
      </c>
      <c r="W110" s="4">
        <v>1</v>
      </c>
      <c r="X110" s="4">
        <v>1</v>
      </c>
      <c r="Y110" s="4">
        <v>1</v>
      </c>
      <c r="Z110" s="56">
        <v>3</v>
      </c>
      <c r="AA110" s="9" cm="1">
        <f t="array" ref="AA110">IF(OR(AB110:AE110=""),"BLANK",IF(AND(AB110:AE110&lt;999),1,IF(AND(AB110:AE110="NA"),3,2)))</f>
        <v>2</v>
      </c>
      <c r="AB110" s="4">
        <v>22</v>
      </c>
      <c r="AC110" s="4">
        <v>18</v>
      </c>
      <c r="AD110" s="4" t="s">
        <v>7</v>
      </c>
      <c r="AE110" s="5">
        <v>40</v>
      </c>
      <c r="AF110" s="9">
        <f t="shared" si="1"/>
        <v>1</v>
      </c>
      <c r="AG110" s="5">
        <v>41</v>
      </c>
      <c r="AH110" s="9" cm="1">
        <f t="array" ref="AH110">IF(OR(AI110:AN110=""),"BLANK",IF(AND(AI110:AN110&lt;99),1,IF(AND(AI110:AN110="NA"),3,2)))</f>
        <v>3</v>
      </c>
      <c r="AI110" s="4" t="s">
        <v>7</v>
      </c>
      <c r="AJ110" s="4" t="s">
        <v>7</v>
      </c>
      <c r="AK110" s="4" t="s">
        <v>7</v>
      </c>
      <c r="AL110" s="4" t="s">
        <v>7</v>
      </c>
      <c r="AM110" s="4" t="s">
        <v>7</v>
      </c>
      <c r="AN110" s="5" t="s">
        <v>7</v>
      </c>
    </row>
    <row r="111" spans="1:40" x14ac:dyDescent="0.2">
      <c r="A111" s="39">
        <v>676</v>
      </c>
      <c r="B111" s="4" t="s">
        <v>65</v>
      </c>
      <c r="C111" s="30" t="s">
        <v>23</v>
      </c>
      <c r="D111" s="30">
        <v>5</v>
      </c>
      <c r="E111" s="30">
        <v>0</v>
      </c>
      <c r="F111" s="4">
        <v>3.5449999999999999</v>
      </c>
      <c r="G111" s="30">
        <v>26</v>
      </c>
      <c r="H111" s="33">
        <v>3.7043121149897331</v>
      </c>
      <c r="I111" s="33" t="s">
        <v>7</v>
      </c>
      <c r="J111" s="33" t="s">
        <v>7</v>
      </c>
      <c r="K111" s="33" t="s">
        <v>7</v>
      </c>
      <c r="L111" s="33" t="s">
        <v>7</v>
      </c>
      <c r="M111" s="33" t="s">
        <v>7</v>
      </c>
      <c r="N111" s="33" t="s">
        <v>7</v>
      </c>
      <c r="O111" s="33" t="s">
        <v>7</v>
      </c>
      <c r="P111" s="33" t="s">
        <v>7</v>
      </c>
      <c r="Q111" s="33">
        <v>3.3730321697467489</v>
      </c>
      <c r="R111" s="33" t="s">
        <v>7</v>
      </c>
      <c r="S111" s="33" t="s">
        <v>7</v>
      </c>
      <c r="T111" s="34">
        <v>3</v>
      </c>
      <c r="U111" s="34">
        <v>15</v>
      </c>
      <c r="V111" s="4" t="s">
        <v>1</v>
      </c>
      <c r="W111" s="4">
        <v>1</v>
      </c>
      <c r="X111" s="4">
        <v>1</v>
      </c>
      <c r="Y111" s="4">
        <v>1</v>
      </c>
      <c r="Z111" s="56">
        <v>3</v>
      </c>
      <c r="AA111" s="9" cm="1">
        <f t="array" ref="AA111">IF(OR(AB111:AE111=""),"BLANK",IF(AND(AB111:AE111&lt;999),1,IF(AND(AB111:AE111="NA"),3,2)))</f>
        <v>1</v>
      </c>
      <c r="AB111" s="4">
        <v>32</v>
      </c>
      <c r="AC111" s="4">
        <v>12</v>
      </c>
      <c r="AD111" s="4">
        <v>11</v>
      </c>
      <c r="AE111" s="5">
        <v>55</v>
      </c>
      <c r="AF111" s="9">
        <f t="shared" si="1"/>
        <v>1</v>
      </c>
      <c r="AG111" s="5">
        <v>56</v>
      </c>
      <c r="AH111" s="9" cm="1">
        <f t="array" ref="AH111">IF(OR(AI111:AN111=""),"BLANK",IF(AND(AI111:AN111&lt;99),1,IF(AND(AI111:AN111="NA"),3,2)))</f>
        <v>3</v>
      </c>
      <c r="AI111" s="4" t="s">
        <v>7</v>
      </c>
      <c r="AJ111" s="4" t="s">
        <v>7</v>
      </c>
      <c r="AK111" s="4" t="s">
        <v>7</v>
      </c>
      <c r="AL111" s="4" t="s">
        <v>7</v>
      </c>
      <c r="AM111" s="4" t="s">
        <v>7</v>
      </c>
      <c r="AN111" s="5" t="s">
        <v>7</v>
      </c>
    </row>
    <row r="112" spans="1:40" x14ac:dyDescent="0.2">
      <c r="A112" s="39">
        <v>680</v>
      </c>
      <c r="B112" s="4" t="s">
        <v>59</v>
      </c>
      <c r="C112" s="30" t="s">
        <v>24</v>
      </c>
      <c r="D112" s="30">
        <v>5</v>
      </c>
      <c r="E112" s="30">
        <v>0</v>
      </c>
      <c r="F112" s="4">
        <v>3.5449999999999999</v>
      </c>
      <c r="G112" s="30">
        <v>27</v>
      </c>
      <c r="H112" s="33">
        <v>3.8220396988364134</v>
      </c>
      <c r="I112" s="33">
        <v>5.1663244353182751</v>
      </c>
      <c r="J112" s="33">
        <v>8.988364134154688</v>
      </c>
      <c r="K112" s="33">
        <v>3.893223819301848</v>
      </c>
      <c r="L112" s="33">
        <v>5.0951403148528405</v>
      </c>
      <c r="M112" s="33">
        <v>8.988364134154688</v>
      </c>
      <c r="N112" s="33">
        <v>3.7809719370294319</v>
      </c>
      <c r="O112" s="33">
        <v>5.1526351813826148</v>
      </c>
      <c r="P112" s="33">
        <v>8.9336071184120467</v>
      </c>
      <c r="Q112" s="33">
        <v>3.4743326488706368</v>
      </c>
      <c r="R112" s="33">
        <v>5.9192334017796027</v>
      </c>
      <c r="S112" s="33">
        <v>9.3935660506502394</v>
      </c>
      <c r="T112" s="34">
        <v>5</v>
      </c>
      <c r="U112" s="34">
        <v>16</v>
      </c>
      <c r="V112" s="4" t="s">
        <v>1</v>
      </c>
      <c r="W112" s="4">
        <v>1</v>
      </c>
      <c r="X112" s="4">
        <v>1</v>
      </c>
      <c r="Y112" s="4">
        <v>1</v>
      </c>
      <c r="Z112" s="56">
        <v>3</v>
      </c>
      <c r="AA112" s="9" cm="1">
        <f t="array" ref="AA112">IF(OR(AB112:AE112=""),"BLANK",IF(AND(AB112:AE112&lt;999),1,IF(AND(AB112:AE112="NA"),3,2)))</f>
        <v>1</v>
      </c>
      <c r="AB112" s="4">
        <v>30</v>
      </c>
      <c r="AC112" s="4">
        <v>17</v>
      </c>
      <c r="AD112" s="4">
        <v>10</v>
      </c>
      <c r="AE112" s="5">
        <v>57</v>
      </c>
      <c r="AF112" s="9">
        <f t="shared" si="1"/>
        <v>1</v>
      </c>
      <c r="AG112" s="5">
        <v>58</v>
      </c>
      <c r="AH112" s="9" cm="1">
        <f t="array" ref="AH112">IF(OR(AI112:AN112=""),"BLANK",IF(AND(AI112:AN112&lt;99),1,IF(AND(AI112:AN112="NA"),3,2)))</f>
        <v>3</v>
      </c>
      <c r="AI112" s="4" t="s">
        <v>7</v>
      </c>
      <c r="AJ112" s="4" t="s">
        <v>7</v>
      </c>
      <c r="AK112" s="4" t="s">
        <v>7</v>
      </c>
      <c r="AL112" s="4" t="s">
        <v>7</v>
      </c>
      <c r="AM112" s="4" t="s">
        <v>7</v>
      </c>
      <c r="AN112" s="5" t="s">
        <v>7</v>
      </c>
    </row>
    <row r="113" spans="1:40" x14ac:dyDescent="0.2">
      <c r="A113" s="39">
        <v>684</v>
      </c>
      <c r="B113" s="4" t="s">
        <v>47</v>
      </c>
      <c r="C113" s="30" t="s">
        <v>23</v>
      </c>
      <c r="D113" s="30">
        <v>4</v>
      </c>
      <c r="E113" s="30">
        <v>0</v>
      </c>
      <c r="F113" s="4">
        <v>4</v>
      </c>
      <c r="G113" s="30">
        <v>26</v>
      </c>
      <c r="H113" s="33">
        <v>4.1971252566735116</v>
      </c>
      <c r="I113" s="33">
        <v>5.0841889117043122</v>
      </c>
      <c r="J113" s="33">
        <v>9.2813141683778237</v>
      </c>
      <c r="K113" s="33" t="s">
        <v>7</v>
      </c>
      <c r="L113" s="33">
        <v>5.3415468856947292</v>
      </c>
      <c r="M113" s="33" t="s">
        <v>7</v>
      </c>
      <c r="N113" s="33">
        <v>4.1204654346338128</v>
      </c>
      <c r="O113" s="33">
        <v>4.8377823408624234</v>
      </c>
      <c r="P113" s="33">
        <v>8.9582477754962362</v>
      </c>
      <c r="Q113" s="33">
        <v>3.2963723477070501</v>
      </c>
      <c r="R113" s="33" t="s">
        <v>7</v>
      </c>
      <c r="S113" s="33" t="s">
        <v>7</v>
      </c>
      <c r="T113" s="34">
        <v>3</v>
      </c>
      <c r="U113" s="34">
        <v>12</v>
      </c>
      <c r="V113" s="4" t="s">
        <v>1</v>
      </c>
      <c r="W113" s="4">
        <v>1</v>
      </c>
      <c r="X113" s="4">
        <v>1</v>
      </c>
      <c r="Y113" s="4">
        <v>1</v>
      </c>
      <c r="Z113" s="56">
        <v>3</v>
      </c>
      <c r="AA113" s="9" cm="1">
        <f t="array" ref="AA113">IF(OR(AB113:AE113=""),"BLANK",IF(AND(AB113:AE113&lt;999),1,IF(AND(AB113:AE113="NA"),3,2)))</f>
        <v>1</v>
      </c>
      <c r="AB113" s="4">
        <v>37</v>
      </c>
      <c r="AC113" s="4">
        <v>22</v>
      </c>
      <c r="AD113" s="4">
        <v>15</v>
      </c>
      <c r="AE113" s="5">
        <v>74</v>
      </c>
      <c r="AF113" s="9">
        <f t="shared" si="1"/>
        <v>1</v>
      </c>
      <c r="AG113" s="5">
        <v>40</v>
      </c>
      <c r="AH113" s="9" cm="1">
        <f t="array" ref="AH113">IF(OR(AI113:AN113=""),"BLANK",IF(AND(AI113:AN113&lt;99),1,IF(AND(AI113:AN113="NA"),3,2)))</f>
        <v>3</v>
      </c>
      <c r="AI113" s="4" t="s">
        <v>7</v>
      </c>
      <c r="AJ113" s="4" t="s">
        <v>7</v>
      </c>
      <c r="AK113" s="4" t="s">
        <v>7</v>
      </c>
      <c r="AL113" s="4" t="s">
        <v>7</v>
      </c>
      <c r="AM113" s="4" t="s">
        <v>7</v>
      </c>
      <c r="AN113" s="5" t="s">
        <v>7</v>
      </c>
    </row>
    <row r="114" spans="1:40" x14ac:dyDescent="0.2">
      <c r="A114" s="39">
        <v>688</v>
      </c>
      <c r="B114" s="4" t="s">
        <v>58</v>
      </c>
      <c r="C114" s="30" t="s">
        <v>24</v>
      </c>
      <c r="D114" s="30">
        <v>5</v>
      </c>
      <c r="E114" s="30">
        <v>0</v>
      </c>
      <c r="F114" s="4">
        <v>4</v>
      </c>
      <c r="G114" s="30">
        <v>29</v>
      </c>
      <c r="H114" s="33">
        <v>3.9096509240246409</v>
      </c>
      <c r="I114" s="33">
        <v>5.4811772758384665</v>
      </c>
      <c r="J114" s="33">
        <v>9.3908281998631082</v>
      </c>
      <c r="K114" s="33">
        <v>3.9288158795345653</v>
      </c>
      <c r="L114" s="33">
        <v>5.4565366187542779</v>
      </c>
      <c r="M114" s="33">
        <v>9.3853524982888441</v>
      </c>
      <c r="N114" s="33">
        <v>3.9288158795345653</v>
      </c>
      <c r="O114" s="33">
        <v>5.6208076659822037</v>
      </c>
      <c r="P114" s="33">
        <v>9.54962354551677</v>
      </c>
      <c r="Q114" s="33">
        <v>3.3566050650239561</v>
      </c>
      <c r="R114" s="33">
        <v>5.8726899383983575</v>
      </c>
      <c r="S114" s="33">
        <v>9.2292950034223136</v>
      </c>
      <c r="T114" s="34">
        <v>7</v>
      </c>
      <c r="U114" s="34">
        <v>21</v>
      </c>
      <c r="V114" s="4" t="s">
        <v>1</v>
      </c>
      <c r="W114" s="4">
        <v>1</v>
      </c>
      <c r="X114" s="4">
        <v>1</v>
      </c>
      <c r="Y114" s="4">
        <v>1</v>
      </c>
      <c r="Z114" s="56">
        <v>3</v>
      </c>
      <c r="AA114" s="9" cm="1">
        <f t="array" ref="AA114">IF(OR(AB114:AE114=""),"BLANK",IF(AND(AB114:AE114&lt;999),1,IF(AND(AB114:AE114="NA"),3,2)))</f>
        <v>1</v>
      </c>
      <c r="AB114" s="4">
        <v>29</v>
      </c>
      <c r="AC114" s="4">
        <v>20</v>
      </c>
      <c r="AD114" s="4">
        <v>12</v>
      </c>
      <c r="AE114" s="5">
        <v>61</v>
      </c>
      <c r="AF114" s="9">
        <f t="shared" si="1"/>
        <v>1</v>
      </c>
      <c r="AG114" s="5">
        <v>50</v>
      </c>
      <c r="AH114" s="9" cm="1">
        <f t="array" ref="AH114">IF(OR(AI114:AN114=""),"BLANK",IF(AND(AI114:AN114&lt;99),1,IF(AND(AI114:AN114="NA"),3,2)))</f>
        <v>3</v>
      </c>
      <c r="AI114" s="4" t="s">
        <v>7</v>
      </c>
      <c r="AJ114" s="4" t="s">
        <v>7</v>
      </c>
      <c r="AK114" s="4" t="s">
        <v>7</v>
      </c>
      <c r="AL114" s="4" t="s">
        <v>7</v>
      </c>
      <c r="AM114" s="4" t="s">
        <v>7</v>
      </c>
      <c r="AN114" s="5" t="s">
        <v>7</v>
      </c>
    </row>
    <row r="115" spans="1:40" x14ac:dyDescent="0.2">
      <c r="A115" s="39">
        <v>695</v>
      </c>
      <c r="B115" s="4" t="s">
        <v>48</v>
      </c>
      <c r="C115" s="30" t="s">
        <v>23</v>
      </c>
      <c r="D115" s="30">
        <v>5</v>
      </c>
      <c r="E115" s="30">
        <v>0</v>
      </c>
      <c r="F115" s="4">
        <v>4</v>
      </c>
      <c r="G115" s="30">
        <v>29</v>
      </c>
      <c r="H115" s="33">
        <v>4.0109514031485283</v>
      </c>
      <c r="I115" s="33">
        <v>5.7303216974674882</v>
      </c>
      <c r="J115" s="33">
        <v>9.7412731006160165</v>
      </c>
      <c r="K115" s="33">
        <v>4.0109514031485283</v>
      </c>
      <c r="L115" s="33">
        <v>5.7303216974674882</v>
      </c>
      <c r="M115" s="33">
        <v>9.7412731006160165</v>
      </c>
      <c r="N115" s="33">
        <v>4.0602327173169064</v>
      </c>
      <c r="O115" s="33">
        <v>5.5030800821355239</v>
      </c>
      <c r="P115" s="33">
        <v>9.5633127994524294</v>
      </c>
      <c r="Q115" s="33" t="s">
        <v>7</v>
      </c>
      <c r="R115" s="33" t="s">
        <v>7</v>
      </c>
      <c r="S115" s="33" t="s">
        <v>7</v>
      </c>
      <c r="T115" s="34">
        <v>4</v>
      </c>
      <c r="U115" s="34">
        <v>16</v>
      </c>
      <c r="V115" s="4" t="s">
        <v>1</v>
      </c>
      <c r="W115" s="4">
        <v>1</v>
      </c>
      <c r="X115" s="4">
        <v>1</v>
      </c>
      <c r="Y115" s="4">
        <v>1</v>
      </c>
      <c r="Z115" s="56">
        <v>3</v>
      </c>
      <c r="AA115" s="9" cm="1">
        <f t="array" ref="AA115">IF(OR(AB115:AE115=""),"BLANK",IF(AND(AB115:AE115&lt;999),1,IF(AND(AB115:AE115="NA"),3,2)))</f>
        <v>1</v>
      </c>
      <c r="AB115" s="4">
        <v>35</v>
      </c>
      <c r="AC115" s="4">
        <v>26</v>
      </c>
      <c r="AD115" s="4">
        <v>17</v>
      </c>
      <c r="AE115" s="5">
        <v>78</v>
      </c>
      <c r="AF115" s="9">
        <f t="shared" si="1"/>
        <v>1</v>
      </c>
      <c r="AG115" s="5">
        <v>75</v>
      </c>
      <c r="AH115" s="9" cm="1">
        <f t="array" ref="AH115">IF(OR(AI115:AN115=""),"BLANK",IF(AND(AI115:AN115&lt;99),1,IF(AND(AI115:AN115="NA"),3,2)))</f>
        <v>3</v>
      </c>
      <c r="AI115" s="4" t="s">
        <v>7</v>
      </c>
      <c r="AJ115" s="4" t="s">
        <v>7</v>
      </c>
      <c r="AK115" s="4" t="s">
        <v>7</v>
      </c>
      <c r="AL115" s="4" t="s">
        <v>7</v>
      </c>
      <c r="AM115" s="4" t="s">
        <v>7</v>
      </c>
      <c r="AN115" s="5" t="s">
        <v>7</v>
      </c>
    </row>
    <row r="116" spans="1:40" x14ac:dyDescent="0.2">
      <c r="A116" s="39">
        <v>719</v>
      </c>
      <c r="B116" s="4" t="s">
        <v>59</v>
      </c>
      <c r="C116" s="30" t="s">
        <v>23</v>
      </c>
      <c r="D116" s="30">
        <v>5</v>
      </c>
      <c r="E116" s="30">
        <v>1</v>
      </c>
      <c r="F116" s="4">
        <v>4</v>
      </c>
      <c r="G116" s="30">
        <v>27</v>
      </c>
      <c r="H116" s="33">
        <v>4.0328542094455848</v>
      </c>
      <c r="I116" s="33">
        <v>5.5496235455167691</v>
      </c>
      <c r="J116" s="33">
        <v>9.5824777549623548</v>
      </c>
      <c r="K116" s="33">
        <v>4.0657084188911705</v>
      </c>
      <c r="L116" s="33">
        <v>5.5195071868583163</v>
      </c>
      <c r="M116" s="33">
        <v>9.5852156057494859</v>
      </c>
      <c r="N116" s="33">
        <v>3.978097193702943</v>
      </c>
      <c r="O116" s="33">
        <v>5.1745379876796713</v>
      </c>
      <c r="P116" s="33">
        <v>9.1526351813826139</v>
      </c>
      <c r="Q116" s="33">
        <v>3.3730321697467489</v>
      </c>
      <c r="R116" s="33">
        <v>6.1902806297056809</v>
      </c>
      <c r="S116" s="33">
        <v>9.5633127994524294</v>
      </c>
      <c r="T116" s="34">
        <v>6</v>
      </c>
      <c r="U116" s="34">
        <v>18</v>
      </c>
      <c r="V116" s="4" t="s">
        <v>1</v>
      </c>
      <c r="W116" s="4">
        <v>1</v>
      </c>
      <c r="X116" s="4">
        <v>1</v>
      </c>
      <c r="Y116" s="4">
        <v>1</v>
      </c>
      <c r="Z116" s="56">
        <v>3</v>
      </c>
      <c r="AA116" s="9" cm="1">
        <f t="array" ref="AA116">IF(OR(AB116:AE116=""),"BLANK",IF(AND(AB116:AE116&lt;999),1,IF(AND(AB116:AE116="NA"),3,2)))</f>
        <v>1</v>
      </c>
      <c r="AB116" s="4">
        <v>28</v>
      </c>
      <c r="AC116" s="4">
        <v>19</v>
      </c>
      <c r="AD116" s="4">
        <v>14</v>
      </c>
      <c r="AE116" s="5">
        <v>61</v>
      </c>
      <c r="AF116" s="9">
        <f t="shared" si="1"/>
        <v>1</v>
      </c>
      <c r="AG116" s="5">
        <v>63</v>
      </c>
      <c r="AH116" s="9" cm="1">
        <f t="array" ref="AH116">IF(OR(AI116:AN116=""),"BLANK",IF(AND(AI116:AN116&lt;99),1,IF(AND(AI116:AN116="NA"),3,2)))</f>
        <v>3</v>
      </c>
      <c r="AI116" s="4" t="s">
        <v>7</v>
      </c>
      <c r="AJ116" s="4" t="s">
        <v>7</v>
      </c>
      <c r="AK116" s="4" t="s">
        <v>7</v>
      </c>
      <c r="AL116" s="4" t="s">
        <v>7</v>
      </c>
      <c r="AM116" s="4" t="s">
        <v>7</v>
      </c>
      <c r="AN116" s="5" t="s">
        <v>7</v>
      </c>
    </row>
    <row r="117" spans="1:40" x14ac:dyDescent="0.2">
      <c r="A117" s="39">
        <v>741</v>
      </c>
      <c r="B117" s="4" t="s">
        <v>63</v>
      </c>
      <c r="C117" s="30" t="s">
        <v>23</v>
      </c>
      <c r="D117" s="30">
        <v>2</v>
      </c>
      <c r="E117" s="30">
        <v>0</v>
      </c>
      <c r="F117" s="4">
        <v>4</v>
      </c>
      <c r="G117" s="30">
        <v>27</v>
      </c>
      <c r="H117" s="33">
        <v>4.0383299110198498</v>
      </c>
      <c r="I117" s="33">
        <v>5.4236824093086931</v>
      </c>
      <c r="J117" s="33">
        <v>9.462012320328542</v>
      </c>
      <c r="K117" s="33">
        <v>4.0383299110198498</v>
      </c>
      <c r="L117" s="33">
        <v>5.4757015742642023</v>
      </c>
      <c r="M117" s="33">
        <v>9.5140314852840522</v>
      </c>
      <c r="N117" s="33">
        <v>4.0191649555099245</v>
      </c>
      <c r="O117" s="33">
        <v>5.1553730321697468</v>
      </c>
      <c r="P117" s="33">
        <v>9.1745379876796722</v>
      </c>
      <c r="Q117" s="33" t="s">
        <v>7</v>
      </c>
      <c r="R117" s="33" t="s">
        <v>7</v>
      </c>
      <c r="S117" s="33" t="s">
        <v>7</v>
      </c>
      <c r="T117" s="34">
        <v>6</v>
      </c>
      <c r="U117" s="34">
        <v>18</v>
      </c>
      <c r="V117" s="4" t="s">
        <v>1</v>
      </c>
      <c r="W117" s="4">
        <v>1</v>
      </c>
      <c r="X117" s="4">
        <v>1</v>
      </c>
      <c r="Y117" s="4">
        <v>1</v>
      </c>
      <c r="Z117" s="56">
        <v>3</v>
      </c>
      <c r="AA117" s="9" cm="1">
        <f t="array" ref="AA117">IF(OR(AB117:AE117=""),"BLANK",IF(AND(AB117:AE117&lt;999),1,IF(AND(AB117:AE117="NA"),3,2)))</f>
        <v>1</v>
      </c>
      <c r="AB117" s="4">
        <v>38</v>
      </c>
      <c r="AC117" s="4">
        <v>23</v>
      </c>
      <c r="AD117" s="4">
        <v>13</v>
      </c>
      <c r="AE117" s="5">
        <v>74</v>
      </c>
      <c r="AF117" s="9">
        <f t="shared" si="1"/>
        <v>1</v>
      </c>
      <c r="AG117" s="5">
        <v>83</v>
      </c>
      <c r="AH117" s="9" cm="1">
        <f t="array" ref="AH117">IF(OR(AI117:AN117=""),"BLANK",IF(AND(AI117:AN117&lt;99),1,IF(AND(AI117:AN117="NA"),3,2)))</f>
        <v>3</v>
      </c>
      <c r="AI117" s="4" t="s">
        <v>7</v>
      </c>
      <c r="AJ117" s="4" t="s">
        <v>7</v>
      </c>
      <c r="AK117" s="4" t="s">
        <v>7</v>
      </c>
      <c r="AL117" s="4" t="s">
        <v>7</v>
      </c>
      <c r="AM117" s="4" t="s">
        <v>7</v>
      </c>
      <c r="AN117" s="5" t="s">
        <v>7</v>
      </c>
    </row>
    <row r="118" spans="1:40" x14ac:dyDescent="0.2">
      <c r="A118" s="39">
        <v>746</v>
      </c>
      <c r="B118" s="4" t="s">
        <v>57</v>
      </c>
      <c r="C118" s="30" t="s">
        <v>23</v>
      </c>
      <c r="D118" s="30">
        <v>5</v>
      </c>
      <c r="E118" s="30">
        <v>0</v>
      </c>
      <c r="F118" s="4">
        <v>3.1819999999999999</v>
      </c>
      <c r="G118" s="30">
        <v>28</v>
      </c>
      <c r="H118" s="33" t="s">
        <v>7</v>
      </c>
      <c r="I118" s="33" t="s">
        <v>7</v>
      </c>
      <c r="J118" s="33">
        <v>9.7056810403832987</v>
      </c>
      <c r="K118" s="33" t="s">
        <v>7</v>
      </c>
      <c r="L118" s="33" t="s">
        <v>7</v>
      </c>
      <c r="M118" s="33">
        <v>9.7056810403832987</v>
      </c>
      <c r="N118" s="33" t="s">
        <v>7</v>
      </c>
      <c r="O118" s="33" t="s">
        <v>7</v>
      </c>
      <c r="P118" s="33">
        <v>9.4401095140314855</v>
      </c>
      <c r="Q118" s="33" t="s">
        <v>7</v>
      </c>
      <c r="R118" s="33" t="s">
        <v>7</v>
      </c>
      <c r="S118" s="33" t="s">
        <v>7</v>
      </c>
      <c r="T118" s="34">
        <v>3</v>
      </c>
      <c r="U118" s="34">
        <v>15</v>
      </c>
      <c r="V118" s="4" t="s">
        <v>1</v>
      </c>
      <c r="W118" s="4">
        <v>1</v>
      </c>
      <c r="X118" s="4">
        <v>1</v>
      </c>
      <c r="Y118" s="4">
        <v>1</v>
      </c>
      <c r="Z118" s="56">
        <v>3</v>
      </c>
      <c r="AA118" s="9" cm="1">
        <f t="array" ref="AA118">IF(OR(AB118:AE118=""),"BLANK",IF(AND(AB118:AE118&lt;999),1,IF(AND(AB118:AE118="NA"),3,2)))</f>
        <v>1</v>
      </c>
      <c r="AB118" s="4">
        <v>29</v>
      </c>
      <c r="AC118" s="4">
        <v>17</v>
      </c>
      <c r="AD118" s="4">
        <v>9</v>
      </c>
      <c r="AE118" s="5">
        <v>55</v>
      </c>
      <c r="AF118" s="9">
        <f t="shared" si="1"/>
        <v>1</v>
      </c>
      <c r="AG118" s="5">
        <v>47</v>
      </c>
      <c r="AH118" s="9" cm="1">
        <f t="array" ref="AH118">IF(OR(AI118:AN118=""),"BLANK",IF(AND(AI118:AN118&lt;99),1,IF(AND(AI118:AN118="NA"),3,2)))</f>
        <v>3</v>
      </c>
      <c r="AI118" s="4" t="s">
        <v>7</v>
      </c>
      <c r="AJ118" s="4" t="s">
        <v>7</v>
      </c>
      <c r="AK118" s="4" t="s">
        <v>7</v>
      </c>
      <c r="AL118" s="4" t="s">
        <v>7</v>
      </c>
      <c r="AM118" s="4" t="s">
        <v>7</v>
      </c>
      <c r="AN118" s="5" t="s">
        <v>7</v>
      </c>
    </row>
    <row r="119" spans="1:40" x14ac:dyDescent="0.2">
      <c r="A119" s="39">
        <v>752</v>
      </c>
      <c r="B119" s="4" t="s">
        <v>64</v>
      </c>
      <c r="C119" s="30" t="s">
        <v>23</v>
      </c>
      <c r="D119" s="30">
        <v>5</v>
      </c>
      <c r="E119" s="30">
        <v>0</v>
      </c>
      <c r="F119" s="4">
        <v>4</v>
      </c>
      <c r="G119" s="30">
        <v>28</v>
      </c>
      <c r="H119" s="33">
        <v>4.0136892539356603</v>
      </c>
      <c r="I119" s="33" t="s">
        <v>7</v>
      </c>
      <c r="J119" s="33" t="s">
        <v>7</v>
      </c>
      <c r="K119" s="33">
        <v>4.0410677618069819</v>
      </c>
      <c r="L119" s="33" t="s">
        <v>7</v>
      </c>
      <c r="M119" s="33" t="s">
        <v>7</v>
      </c>
      <c r="N119" s="33">
        <v>3.9835728952772076</v>
      </c>
      <c r="O119" s="33" t="s">
        <v>7</v>
      </c>
      <c r="P119" s="33" t="s">
        <v>7</v>
      </c>
      <c r="Q119" s="33">
        <v>3.0472279260780288</v>
      </c>
      <c r="R119" s="33" t="s">
        <v>7</v>
      </c>
      <c r="S119" s="33" t="s">
        <v>7</v>
      </c>
      <c r="T119" s="34">
        <v>3</v>
      </c>
      <c r="U119" s="34">
        <v>12</v>
      </c>
      <c r="V119" s="4" t="s">
        <v>1</v>
      </c>
      <c r="W119" s="4">
        <v>1</v>
      </c>
      <c r="X119" s="4">
        <v>1</v>
      </c>
      <c r="Y119" s="4">
        <v>1</v>
      </c>
      <c r="Z119" s="56">
        <v>3</v>
      </c>
      <c r="AA119" s="9" cm="1">
        <f t="array" ref="AA119">IF(OR(AB119:AE119=""),"BLANK",IF(AND(AB119:AE119&lt;999),1,IF(AND(AB119:AE119="NA"),3,2)))</f>
        <v>1</v>
      </c>
      <c r="AB119" s="4">
        <v>22</v>
      </c>
      <c r="AC119" s="4">
        <v>21</v>
      </c>
      <c r="AD119" s="4">
        <v>10</v>
      </c>
      <c r="AE119" s="5">
        <v>53</v>
      </c>
      <c r="AF119" s="9">
        <f t="shared" si="1"/>
        <v>1</v>
      </c>
      <c r="AG119" s="5">
        <v>34</v>
      </c>
      <c r="AH119" s="9" cm="1">
        <f t="array" ref="AH119">IF(OR(AI119:AN119=""),"BLANK",IF(AND(AI119:AN119&lt;99),1,IF(AND(AI119:AN119="NA"),3,2)))</f>
        <v>3</v>
      </c>
      <c r="AI119" s="4" t="s">
        <v>7</v>
      </c>
      <c r="AJ119" s="4" t="s">
        <v>7</v>
      </c>
      <c r="AK119" s="4" t="s">
        <v>7</v>
      </c>
      <c r="AL119" s="4" t="s">
        <v>7</v>
      </c>
      <c r="AM119" s="4" t="s">
        <v>7</v>
      </c>
      <c r="AN119" s="5" t="s">
        <v>7</v>
      </c>
    </row>
    <row r="120" spans="1:40" x14ac:dyDescent="0.2">
      <c r="A120" s="39">
        <v>754</v>
      </c>
      <c r="B120" s="4" t="s">
        <v>54</v>
      </c>
      <c r="C120" s="30" t="s">
        <v>23</v>
      </c>
      <c r="D120" s="30">
        <v>5</v>
      </c>
      <c r="E120" s="30">
        <v>0</v>
      </c>
      <c r="F120" s="4">
        <v>3.6360000000000001</v>
      </c>
      <c r="G120" s="30">
        <v>28</v>
      </c>
      <c r="H120" s="33">
        <v>4.0711841204654347</v>
      </c>
      <c r="I120" s="33" t="s">
        <v>7</v>
      </c>
      <c r="J120" s="33" t="s">
        <v>7</v>
      </c>
      <c r="K120" s="33">
        <v>4.0657084188911705</v>
      </c>
      <c r="L120" s="33" t="s">
        <v>7</v>
      </c>
      <c r="M120" s="33" t="s">
        <v>7</v>
      </c>
      <c r="N120" s="33">
        <v>4.0164271047227924</v>
      </c>
      <c r="O120" s="33" t="s">
        <v>7</v>
      </c>
      <c r="P120" s="33" t="s">
        <v>7</v>
      </c>
      <c r="Q120" s="33">
        <v>3.137577002053388</v>
      </c>
      <c r="R120" s="33" t="s">
        <v>7</v>
      </c>
      <c r="S120" s="33" t="s">
        <v>7</v>
      </c>
      <c r="T120" s="34">
        <v>6</v>
      </c>
      <c r="U120" s="34">
        <v>18</v>
      </c>
      <c r="V120" s="4" t="s">
        <v>1</v>
      </c>
      <c r="W120" s="4">
        <v>1</v>
      </c>
      <c r="X120" s="4">
        <v>1</v>
      </c>
      <c r="Y120" s="4">
        <v>1</v>
      </c>
      <c r="Z120" s="56">
        <v>3</v>
      </c>
      <c r="AA120" s="9" cm="1">
        <f t="array" ref="AA120">IF(OR(AB120:AE120=""),"BLANK",IF(AND(AB120:AE120&lt;999),1,IF(AND(AB120:AE120="NA"),3,2)))</f>
        <v>1</v>
      </c>
      <c r="AB120" s="4">
        <v>35</v>
      </c>
      <c r="AC120" s="4">
        <v>23</v>
      </c>
      <c r="AD120" s="4">
        <v>16</v>
      </c>
      <c r="AE120" s="5">
        <v>74</v>
      </c>
      <c r="AF120" s="9">
        <f t="shared" si="1"/>
        <v>1</v>
      </c>
      <c r="AG120" s="5">
        <v>52</v>
      </c>
      <c r="AH120" s="9" cm="1">
        <f t="array" ref="AH120">IF(OR(AI120:AN120=""),"BLANK",IF(AND(AI120:AN120&lt;99),1,IF(AND(AI120:AN120="NA"),3,2)))</f>
        <v>3</v>
      </c>
      <c r="AI120" s="4" t="s">
        <v>7</v>
      </c>
      <c r="AJ120" s="4" t="s">
        <v>7</v>
      </c>
      <c r="AK120" s="4" t="s">
        <v>7</v>
      </c>
      <c r="AL120" s="4" t="s">
        <v>7</v>
      </c>
      <c r="AM120" s="4" t="s">
        <v>7</v>
      </c>
      <c r="AN120" s="5" t="s">
        <v>7</v>
      </c>
    </row>
    <row r="121" spans="1:40" x14ac:dyDescent="0.2">
      <c r="A121" s="39">
        <v>760</v>
      </c>
      <c r="B121" s="4" t="s">
        <v>65</v>
      </c>
      <c r="C121" s="30" t="s">
        <v>24</v>
      </c>
      <c r="D121" s="30">
        <v>5</v>
      </c>
      <c r="E121" s="30">
        <v>0</v>
      </c>
      <c r="F121" s="4">
        <v>3.3639999999999999</v>
      </c>
      <c r="G121" s="30">
        <v>28</v>
      </c>
      <c r="H121" s="33" t="s">
        <v>7</v>
      </c>
      <c r="I121" s="33" t="s">
        <v>7</v>
      </c>
      <c r="J121" s="33" t="s">
        <v>7</v>
      </c>
      <c r="K121" s="33" t="s">
        <v>7</v>
      </c>
      <c r="L121" s="33" t="s">
        <v>7</v>
      </c>
      <c r="M121" s="33" t="s">
        <v>7</v>
      </c>
      <c r="N121" s="33" t="s">
        <v>7</v>
      </c>
      <c r="O121" s="33" t="s">
        <v>7</v>
      </c>
      <c r="P121" s="33" t="s">
        <v>7</v>
      </c>
      <c r="Q121" s="33" t="s">
        <v>7</v>
      </c>
      <c r="R121" s="33" t="s">
        <v>7</v>
      </c>
      <c r="S121" s="33" t="s">
        <v>7</v>
      </c>
      <c r="T121" s="34">
        <v>4</v>
      </c>
      <c r="U121" s="34">
        <v>16</v>
      </c>
      <c r="V121" s="4" t="s">
        <v>1</v>
      </c>
      <c r="W121" s="4">
        <v>1</v>
      </c>
      <c r="X121" s="4">
        <v>1</v>
      </c>
      <c r="Y121" s="4">
        <v>1</v>
      </c>
      <c r="Z121" s="56">
        <v>3</v>
      </c>
      <c r="AA121" s="9" cm="1">
        <f t="array" ref="AA121">IF(OR(AB121:AE121=""),"BLANK",IF(AND(AB121:AE121&lt;999),1,IF(AND(AB121:AE121="NA"),3,2)))</f>
        <v>1</v>
      </c>
      <c r="AB121" s="4">
        <v>30</v>
      </c>
      <c r="AC121" s="4">
        <v>15</v>
      </c>
      <c r="AD121" s="4">
        <v>11</v>
      </c>
      <c r="AE121" s="5">
        <v>56</v>
      </c>
      <c r="AF121" s="9">
        <f t="shared" si="1"/>
        <v>1</v>
      </c>
      <c r="AG121" s="5">
        <v>29</v>
      </c>
      <c r="AH121" s="9" cm="1">
        <f t="array" ref="AH121">IF(OR(AI121:AN121=""),"BLANK",IF(AND(AI121:AN121&lt;99),1,IF(AND(AI121:AN121="NA"),3,2)))</f>
        <v>3</v>
      </c>
      <c r="AI121" s="4" t="s">
        <v>7</v>
      </c>
      <c r="AJ121" s="4" t="s">
        <v>7</v>
      </c>
      <c r="AK121" s="4" t="s">
        <v>7</v>
      </c>
      <c r="AL121" s="4" t="s">
        <v>7</v>
      </c>
      <c r="AM121" s="4" t="s">
        <v>7</v>
      </c>
      <c r="AN121" s="5" t="s">
        <v>7</v>
      </c>
    </row>
    <row r="122" spans="1:40" x14ac:dyDescent="0.2">
      <c r="A122" s="39">
        <v>770</v>
      </c>
      <c r="B122" s="4" t="s">
        <v>66</v>
      </c>
      <c r="C122" s="30" t="s">
        <v>24</v>
      </c>
      <c r="D122" s="30">
        <v>5</v>
      </c>
      <c r="E122" s="30">
        <v>0</v>
      </c>
      <c r="F122" s="4">
        <v>3.9089999999999998</v>
      </c>
      <c r="G122" s="30">
        <v>26</v>
      </c>
      <c r="H122" s="33">
        <v>4.0602327173169064</v>
      </c>
      <c r="I122" s="33" t="s">
        <v>7</v>
      </c>
      <c r="J122" s="33" t="s">
        <v>7</v>
      </c>
      <c r="K122" s="33">
        <v>4.0602327173169064</v>
      </c>
      <c r="L122" s="33" t="s">
        <v>7</v>
      </c>
      <c r="M122" s="33" t="s">
        <v>7</v>
      </c>
      <c r="N122" s="33">
        <v>4.0985626283367553</v>
      </c>
      <c r="O122" s="33">
        <v>5.5550992470910332</v>
      </c>
      <c r="P122" s="33">
        <v>9.6536618754277885</v>
      </c>
      <c r="Q122" s="33" t="s">
        <v>7</v>
      </c>
      <c r="R122" s="33" t="s">
        <v>7</v>
      </c>
      <c r="S122" s="33" t="s">
        <v>7</v>
      </c>
      <c r="T122" s="34">
        <v>4</v>
      </c>
      <c r="U122" s="34">
        <v>16</v>
      </c>
      <c r="V122" s="4" t="s">
        <v>1</v>
      </c>
      <c r="W122" s="4">
        <v>1</v>
      </c>
      <c r="X122" s="4">
        <v>1</v>
      </c>
      <c r="Y122" s="4">
        <v>1</v>
      </c>
      <c r="Z122" s="56">
        <v>3</v>
      </c>
      <c r="AA122" s="9" cm="1">
        <f t="array" ref="AA122">IF(OR(AB122:AE122=""),"BLANK",IF(AND(AB122:AE122&lt;999),1,IF(AND(AB122:AE122="NA"),3,2)))</f>
        <v>1</v>
      </c>
      <c r="AB122" s="4">
        <v>22</v>
      </c>
      <c r="AC122" s="4">
        <v>15</v>
      </c>
      <c r="AD122" s="4">
        <v>11</v>
      </c>
      <c r="AE122" s="5">
        <v>48</v>
      </c>
      <c r="AF122" s="9">
        <f t="shared" si="1"/>
        <v>1</v>
      </c>
      <c r="AG122" s="5">
        <v>45</v>
      </c>
      <c r="AH122" s="9" cm="1">
        <f t="array" ref="AH122">IF(OR(AI122:AN122=""),"BLANK",IF(AND(AI122:AN122&lt;99),1,IF(AND(AI122:AN122="NA"),3,2)))</f>
        <v>3</v>
      </c>
      <c r="AI122" s="4" t="s">
        <v>7</v>
      </c>
      <c r="AJ122" s="4" t="s">
        <v>7</v>
      </c>
      <c r="AK122" s="4" t="s">
        <v>7</v>
      </c>
      <c r="AL122" s="4" t="s">
        <v>7</v>
      </c>
      <c r="AM122" s="4" t="s">
        <v>7</v>
      </c>
      <c r="AN122" s="5" t="s">
        <v>7</v>
      </c>
    </row>
    <row r="123" spans="1:40" x14ac:dyDescent="0.2">
      <c r="A123" s="39">
        <v>772</v>
      </c>
      <c r="B123" s="4" t="s">
        <v>48</v>
      </c>
      <c r="C123" s="30" t="s">
        <v>24</v>
      </c>
      <c r="D123" s="30">
        <v>5</v>
      </c>
      <c r="E123" s="30">
        <v>0</v>
      </c>
      <c r="F123" s="4">
        <v>3.2730000000000001</v>
      </c>
      <c r="G123" s="30">
        <v>27</v>
      </c>
      <c r="H123" s="33">
        <v>4.0273785078713207</v>
      </c>
      <c r="I123" s="33">
        <v>5.7303216974674882</v>
      </c>
      <c r="J123" s="33">
        <v>9.7577002053388089</v>
      </c>
      <c r="K123" s="33">
        <v>4.0246406570841886</v>
      </c>
      <c r="L123" s="33">
        <v>5.7275838466803561</v>
      </c>
      <c r="M123" s="33">
        <v>9.7522245037645447</v>
      </c>
      <c r="N123" s="33">
        <v>4.0766598220396988</v>
      </c>
      <c r="O123" s="33">
        <v>5.5222450376454484</v>
      </c>
      <c r="P123" s="33">
        <v>9.5989048596851472</v>
      </c>
      <c r="Q123" s="33">
        <v>3.7399041752224504</v>
      </c>
      <c r="R123" s="33">
        <v>6.0260095824777551</v>
      </c>
      <c r="S123" s="33">
        <v>9.765913757700206</v>
      </c>
      <c r="T123" s="34">
        <v>5</v>
      </c>
      <c r="U123" s="34">
        <v>17</v>
      </c>
      <c r="V123" s="4" t="s">
        <v>1</v>
      </c>
      <c r="W123" s="4">
        <v>1</v>
      </c>
      <c r="X123" s="4">
        <v>1</v>
      </c>
      <c r="Y123" s="4">
        <v>1</v>
      </c>
      <c r="Z123" s="56">
        <v>3</v>
      </c>
      <c r="AA123" s="9" cm="1">
        <f t="array" ref="AA123">IF(OR(AB123:AE123=""),"BLANK",IF(AND(AB123:AE123&lt;999),1,IF(AND(AB123:AE123="NA"),3,2)))</f>
        <v>1</v>
      </c>
      <c r="AB123" s="4">
        <v>34</v>
      </c>
      <c r="AC123" s="4">
        <v>22</v>
      </c>
      <c r="AD123" s="4">
        <v>15</v>
      </c>
      <c r="AE123" s="5">
        <v>71</v>
      </c>
      <c r="AF123" s="9">
        <f t="shared" si="1"/>
        <v>1</v>
      </c>
      <c r="AG123" s="5">
        <v>47</v>
      </c>
      <c r="AH123" s="9" cm="1">
        <f t="array" ref="AH123">IF(OR(AI123:AN123=""),"BLANK",IF(AND(AI123:AN123&lt;99),1,IF(AND(AI123:AN123="NA"),3,2)))</f>
        <v>3</v>
      </c>
      <c r="AI123" s="4" t="s">
        <v>7</v>
      </c>
      <c r="AJ123" s="4" t="s">
        <v>7</v>
      </c>
      <c r="AK123" s="4" t="s">
        <v>7</v>
      </c>
      <c r="AL123" s="4" t="s">
        <v>7</v>
      </c>
      <c r="AM123" s="4" t="s">
        <v>7</v>
      </c>
      <c r="AN123" s="5" t="s">
        <v>7</v>
      </c>
    </row>
    <row r="124" spans="1:40" x14ac:dyDescent="0.2">
      <c r="A124" s="39">
        <v>779</v>
      </c>
      <c r="B124" s="4" t="s">
        <v>51</v>
      </c>
      <c r="C124" s="30" t="s">
        <v>23</v>
      </c>
      <c r="D124" s="30">
        <v>5</v>
      </c>
      <c r="E124" s="30">
        <v>0</v>
      </c>
      <c r="F124" s="4">
        <v>3.9089999999999998</v>
      </c>
      <c r="G124" s="30">
        <v>30</v>
      </c>
      <c r="H124" s="33">
        <v>4.1149897330595486</v>
      </c>
      <c r="I124" s="33">
        <v>5.5770020533880906</v>
      </c>
      <c r="J124" s="33">
        <v>9.6919917864476393</v>
      </c>
      <c r="K124" s="33">
        <v>4.1149897330595486</v>
      </c>
      <c r="L124" s="33">
        <v>5.7878165639972625</v>
      </c>
      <c r="M124" s="33">
        <v>9.9028062970568111</v>
      </c>
      <c r="N124" s="33">
        <v>4.0766598220396988</v>
      </c>
      <c r="O124" s="33">
        <v>5.1909650924024637</v>
      </c>
      <c r="P124" s="33">
        <v>9.2676249144421625</v>
      </c>
      <c r="Q124" s="33">
        <v>3.2114989733059547</v>
      </c>
      <c r="R124" s="33">
        <v>6.1574264202600961</v>
      </c>
      <c r="S124" s="33">
        <v>9.3689253935660499</v>
      </c>
      <c r="T124" s="34">
        <v>6</v>
      </c>
      <c r="U124" s="34">
        <v>18</v>
      </c>
      <c r="V124" s="4" t="s">
        <v>1</v>
      </c>
      <c r="W124" s="4">
        <v>1</v>
      </c>
      <c r="X124" s="4">
        <v>1</v>
      </c>
      <c r="Y124" s="4">
        <v>1</v>
      </c>
      <c r="Z124" s="56">
        <v>3</v>
      </c>
      <c r="AA124" s="9" cm="1">
        <f t="array" ref="AA124">IF(OR(AB124:AE124=""),"BLANK",IF(AND(AB124:AE124&lt;999),1,IF(AND(AB124:AE124="NA"),3,2)))</f>
        <v>1</v>
      </c>
      <c r="AB124" s="4">
        <v>37</v>
      </c>
      <c r="AC124" s="4">
        <v>20</v>
      </c>
      <c r="AD124" s="4">
        <v>16</v>
      </c>
      <c r="AE124" s="5">
        <v>73</v>
      </c>
      <c r="AF124" s="9">
        <f t="shared" si="1"/>
        <v>1</v>
      </c>
      <c r="AG124" s="5">
        <v>59</v>
      </c>
      <c r="AH124" s="9" cm="1">
        <f t="array" ref="AH124">IF(OR(AI124:AN124=""),"BLANK",IF(AND(AI124:AN124&lt;99),1,IF(AND(AI124:AN124="NA"),3,2)))</f>
        <v>3</v>
      </c>
      <c r="AI124" s="4" t="s">
        <v>7</v>
      </c>
      <c r="AJ124" s="4" t="s">
        <v>7</v>
      </c>
      <c r="AK124" s="4" t="s">
        <v>7</v>
      </c>
      <c r="AL124" s="4" t="s">
        <v>7</v>
      </c>
      <c r="AM124" s="4" t="s">
        <v>7</v>
      </c>
      <c r="AN124" s="5" t="s">
        <v>7</v>
      </c>
    </row>
    <row r="125" spans="1:40" x14ac:dyDescent="0.2">
      <c r="A125" s="39">
        <v>784</v>
      </c>
      <c r="B125" s="4" t="s">
        <v>50</v>
      </c>
      <c r="C125" s="30" t="s">
        <v>23</v>
      </c>
      <c r="D125" s="30">
        <v>5</v>
      </c>
      <c r="E125" s="30">
        <v>0</v>
      </c>
      <c r="F125" s="4">
        <v>4</v>
      </c>
      <c r="G125" s="30">
        <v>27</v>
      </c>
      <c r="H125" s="33">
        <v>4.0383299110198498</v>
      </c>
      <c r="I125" s="33">
        <v>5.4428473648186175</v>
      </c>
      <c r="J125" s="33">
        <v>9.4811772758384674</v>
      </c>
      <c r="K125" s="33">
        <v>4.0383299110198498</v>
      </c>
      <c r="L125" s="33">
        <v>5.4483230663928817</v>
      </c>
      <c r="M125" s="33">
        <v>9.4866529774127315</v>
      </c>
      <c r="N125" s="33">
        <v>4.043805612594114</v>
      </c>
      <c r="O125" s="33">
        <v>5.0349075975359341</v>
      </c>
      <c r="P125" s="33">
        <v>9.0787132101300472</v>
      </c>
      <c r="Q125" s="33">
        <v>3.2032854209445585</v>
      </c>
      <c r="R125" s="33" t="s">
        <v>7</v>
      </c>
      <c r="S125" s="33" t="s">
        <v>7</v>
      </c>
      <c r="T125" s="34">
        <v>4</v>
      </c>
      <c r="U125" s="34">
        <v>16</v>
      </c>
      <c r="V125" s="4" t="s">
        <v>1</v>
      </c>
      <c r="W125" s="4">
        <v>1</v>
      </c>
      <c r="X125" s="4">
        <v>1</v>
      </c>
      <c r="Y125" s="4">
        <v>1</v>
      </c>
      <c r="Z125" s="56">
        <v>3</v>
      </c>
      <c r="AA125" s="9" cm="1">
        <f t="array" ref="AA125">IF(OR(AB125:AE125=""),"BLANK",IF(AND(AB125:AE125&lt;999),1,IF(AND(AB125:AE125="NA"),3,2)))</f>
        <v>1</v>
      </c>
      <c r="AB125" s="4">
        <v>32</v>
      </c>
      <c r="AC125" s="4">
        <v>19</v>
      </c>
      <c r="AD125" s="4">
        <v>14</v>
      </c>
      <c r="AE125" s="5">
        <v>65</v>
      </c>
      <c r="AF125" s="9">
        <f t="shared" si="1"/>
        <v>1</v>
      </c>
      <c r="AG125" s="5">
        <v>59</v>
      </c>
      <c r="AH125" s="9" cm="1">
        <f t="array" ref="AH125">IF(OR(AI125:AN125=""),"BLANK",IF(AND(AI125:AN125&lt;99),1,IF(AND(AI125:AN125="NA"),3,2)))</f>
        <v>3</v>
      </c>
      <c r="AI125" s="4" t="s">
        <v>7</v>
      </c>
      <c r="AJ125" s="4" t="s">
        <v>7</v>
      </c>
      <c r="AK125" s="4" t="s">
        <v>7</v>
      </c>
      <c r="AL125" s="4" t="s">
        <v>7</v>
      </c>
      <c r="AM125" s="4" t="s">
        <v>7</v>
      </c>
      <c r="AN125" s="5" t="s">
        <v>7</v>
      </c>
    </row>
    <row r="126" spans="1:40" x14ac:dyDescent="0.2">
      <c r="A126" s="39">
        <v>799</v>
      </c>
      <c r="B126" s="4" t="s">
        <v>59</v>
      </c>
      <c r="C126" s="30" t="s">
        <v>23</v>
      </c>
      <c r="D126" s="30">
        <v>5</v>
      </c>
      <c r="E126" s="30">
        <v>0</v>
      </c>
      <c r="F126" s="4">
        <v>3.6360000000000001</v>
      </c>
      <c r="G126" s="30">
        <v>30</v>
      </c>
      <c r="H126" s="33">
        <v>4.0930869267624912</v>
      </c>
      <c r="I126" s="33">
        <v>5.6016427104722792</v>
      </c>
      <c r="J126" s="33">
        <v>9.6947296372347704</v>
      </c>
      <c r="K126" s="33">
        <v>4.0930869267624912</v>
      </c>
      <c r="L126" s="33">
        <v>5.6016427104722792</v>
      </c>
      <c r="M126" s="33">
        <v>9.6947296372347704</v>
      </c>
      <c r="N126" s="33">
        <v>4.0574948665297743</v>
      </c>
      <c r="O126" s="33">
        <v>5.4428473648186175</v>
      </c>
      <c r="P126" s="33">
        <v>9.500342231348391</v>
      </c>
      <c r="Q126" s="33" t="s">
        <v>7</v>
      </c>
      <c r="R126" s="33" t="s">
        <v>7</v>
      </c>
      <c r="S126" s="33" t="s">
        <v>7</v>
      </c>
      <c r="T126" s="34">
        <v>6</v>
      </c>
      <c r="U126" s="34">
        <v>18</v>
      </c>
      <c r="V126" s="4" t="s">
        <v>1</v>
      </c>
      <c r="W126" s="4">
        <v>1</v>
      </c>
      <c r="X126" s="4">
        <v>1</v>
      </c>
      <c r="Y126" s="4">
        <v>1</v>
      </c>
      <c r="Z126" s="56">
        <v>3</v>
      </c>
      <c r="AA126" s="9" cm="1">
        <f t="array" ref="AA126">IF(OR(AB126:AE126=""),"BLANK",IF(AND(AB126:AE126&lt;999),1,IF(AND(AB126:AE126="NA"),3,2)))</f>
        <v>1</v>
      </c>
      <c r="AB126" s="4">
        <v>41</v>
      </c>
      <c r="AC126" s="4">
        <v>16</v>
      </c>
      <c r="AD126" s="4">
        <v>16</v>
      </c>
      <c r="AE126" s="5">
        <v>73</v>
      </c>
      <c r="AF126" s="9">
        <f t="shared" si="1"/>
        <v>1</v>
      </c>
      <c r="AG126" s="5">
        <v>74</v>
      </c>
      <c r="AH126" s="9" cm="1">
        <f t="array" ref="AH126">IF(OR(AI126:AN126=""),"BLANK",IF(AND(AI126:AN126&lt;99),1,IF(AND(AI126:AN126="NA"),3,2)))</f>
        <v>3</v>
      </c>
      <c r="AI126" s="4" t="s">
        <v>7</v>
      </c>
      <c r="AJ126" s="4" t="s">
        <v>7</v>
      </c>
      <c r="AK126" s="4" t="s">
        <v>7</v>
      </c>
      <c r="AL126" s="4" t="s">
        <v>7</v>
      </c>
      <c r="AM126" s="4" t="s">
        <v>7</v>
      </c>
      <c r="AN126" s="5" t="s">
        <v>7</v>
      </c>
    </row>
    <row r="127" spans="1:40" x14ac:dyDescent="0.2">
      <c r="A127" s="39">
        <v>801</v>
      </c>
      <c r="B127" s="4" t="s">
        <v>50</v>
      </c>
      <c r="C127" s="30" t="s">
        <v>23</v>
      </c>
      <c r="D127" s="30">
        <v>5</v>
      </c>
      <c r="E127" s="30">
        <v>0</v>
      </c>
      <c r="F127" s="4">
        <v>4</v>
      </c>
      <c r="G127" s="30">
        <v>28</v>
      </c>
      <c r="H127" s="33" t="s">
        <v>7</v>
      </c>
      <c r="I127" s="33" t="s">
        <v>7</v>
      </c>
      <c r="J127" s="33" t="s">
        <v>7</v>
      </c>
      <c r="K127" s="33" t="s">
        <v>7</v>
      </c>
      <c r="L127" s="33" t="s">
        <v>7</v>
      </c>
      <c r="M127" s="33" t="s">
        <v>7</v>
      </c>
      <c r="N127" s="33" t="s">
        <v>7</v>
      </c>
      <c r="O127" s="33" t="s">
        <v>7</v>
      </c>
      <c r="P127" s="33">
        <v>9.1690622861054081</v>
      </c>
      <c r="Q127" s="33" t="s">
        <v>7</v>
      </c>
      <c r="R127" s="33" t="s">
        <v>7</v>
      </c>
      <c r="S127" s="33" t="s">
        <v>7</v>
      </c>
      <c r="T127" s="34">
        <v>6</v>
      </c>
      <c r="U127" s="34">
        <v>18</v>
      </c>
      <c r="V127" s="4" t="s">
        <v>1</v>
      </c>
      <c r="W127" s="4">
        <v>1</v>
      </c>
      <c r="X127" s="4">
        <v>1</v>
      </c>
      <c r="Y127" s="4">
        <v>1</v>
      </c>
      <c r="Z127" s="56">
        <v>3</v>
      </c>
      <c r="AA127" s="9" cm="1">
        <f t="array" ref="AA127">IF(OR(AB127:AE127=""),"BLANK",IF(AND(AB127:AE127&lt;999),1,IF(AND(AB127:AE127="NA"),3,2)))</f>
        <v>1</v>
      </c>
      <c r="AB127" s="4">
        <v>29</v>
      </c>
      <c r="AC127" s="4">
        <v>17</v>
      </c>
      <c r="AD127" s="4">
        <v>14</v>
      </c>
      <c r="AE127" s="5">
        <v>60</v>
      </c>
      <c r="AF127" s="9">
        <f t="shared" si="1"/>
        <v>1</v>
      </c>
      <c r="AG127" s="5">
        <v>57</v>
      </c>
      <c r="AH127" s="9" cm="1">
        <f t="array" ref="AH127">IF(OR(AI127:AN127=""),"BLANK",IF(AND(AI127:AN127&lt;99),1,IF(AND(AI127:AN127="NA"),3,2)))</f>
        <v>3</v>
      </c>
      <c r="AI127" s="4" t="s">
        <v>7</v>
      </c>
      <c r="AJ127" s="4" t="s">
        <v>7</v>
      </c>
      <c r="AK127" s="4" t="s">
        <v>7</v>
      </c>
      <c r="AL127" s="4" t="s">
        <v>7</v>
      </c>
      <c r="AM127" s="4" t="s">
        <v>7</v>
      </c>
      <c r="AN127" s="5" t="s">
        <v>7</v>
      </c>
    </row>
    <row r="128" spans="1:40" x14ac:dyDescent="0.2">
      <c r="A128" s="39">
        <v>812</v>
      </c>
      <c r="B128" s="4" t="s">
        <v>62</v>
      </c>
      <c r="C128" s="30" t="s">
        <v>23</v>
      </c>
      <c r="D128" s="30">
        <v>5</v>
      </c>
      <c r="E128" s="30">
        <v>0</v>
      </c>
      <c r="F128" s="4">
        <v>4</v>
      </c>
      <c r="G128" s="30">
        <v>28</v>
      </c>
      <c r="H128" s="33">
        <v>4.0054757015742641</v>
      </c>
      <c r="I128" s="33">
        <v>5.4784394250513344</v>
      </c>
      <c r="J128" s="33">
        <v>9.4839151266255985</v>
      </c>
      <c r="K128" s="33">
        <v>4.0027378507871321</v>
      </c>
      <c r="L128" s="33">
        <v>5.4784394250513344</v>
      </c>
      <c r="M128" s="33">
        <v>9.4811772758384674</v>
      </c>
      <c r="N128" s="33">
        <v>4.0246406570841886</v>
      </c>
      <c r="O128" s="33">
        <v>5.0595482546201236</v>
      </c>
      <c r="P128" s="33">
        <v>9.0841889117043113</v>
      </c>
      <c r="Q128" s="33">
        <v>3.2251882272416155</v>
      </c>
      <c r="R128" s="33">
        <v>6.1601642710472282</v>
      </c>
      <c r="S128" s="33">
        <v>9.3853524982888441</v>
      </c>
      <c r="T128" s="34">
        <v>4</v>
      </c>
      <c r="U128" s="34">
        <v>16</v>
      </c>
      <c r="V128" s="4" t="s">
        <v>1</v>
      </c>
      <c r="W128" s="4">
        <v>1</v>
      </c>
      <c r="X128" s="4">
        <v>1</v>
      </c>
      <c r="Y128" s="4">
        <v>1</v>
      </c>
      <c r="Z128" s="56">
        <v>3</v>
      </c>
      <c r="AA128" s="9" cm="1">
        <f t="array" ref="AA128">IF(OR(AB128:AE128=""),"BLANK",IF(AND(AB128:AE128&lt;999),1,IF(AND(AB128:AE128="NA"),3,2)))</f>
        <v>1</v>
      </c>
      <c r="AB128" s="4">
        <v>37</v>
      </c>
      <c r="AC128" s="4">
        <v>24</v>
      </c>
      <c r="AD128" s="4">
        <v>16</v>
      </c>
      <c r="AE128" s="5">
        <v>77</v>
      </c>
      <c r="AF128" s="9">
        <f t="shared" si="1"/>
        <v>1</v>
      </c>
      <c r="AG128" s="5">
        <v>55</v>
      </c>
      <c r="AH128" s="9" cm="1">
        <f t="array" ref="AH128">IF(OR(AI128:AN128=""),"BLANK",IF(AND(AI128:AN128&lt;99),1,IF(AND(AI128:AN128="NA"),3,2)))</f>
        <v>3</v>
      </c>
      <c r="AI128" s="4" t="s">
        <v>7</v>
      </c>
      <c r="AJ128" s="4" t="s">
        <v>7</v>
      </c>
      <c r="AK128" s="4" t="s">
        <v>7</v>
      </c>
      <c r="AL128" s="4" t="s">
        <v>7</v>
      </c>
      <c r="AM128" s="4" t="s">
        <v>7</v>
      </c>
      <c r="AN128" s="5" t="s">
        <v>7</v>
      </c>
    </row>
    <row r="129" spans="1:40" x14ac:dyDescent="0.2">
      <c r="A129" s="39">
        <v>815</v>
      </c>
      <c r="B129" s="4" t="s">
        <v>49</v>
      </c>
      <c r="C129" s="30" t="s">
        <v>23</v>
      </c>
      <c r="D129" s="30">
        <v>5</v>
      </c>
      <c r="E129" s="30">
        <v>0</v>
      </c>
      <c r="F129" s="4">
        <v>3.9089999999999998</v>
      </c>
      <c r="G129" s="30">
        <v>30</v>
      </c>
      <c r="H129" s="33">
        <v>4.3997262149212863</v>
      </c>
      <c r="I129" s="33">
        <v>4.9883641341546889</v>
      </c>
      <c r="J129" s="33">
        <v>9.3880903490759753</v>
      </c>
      <c r="K129" s="33">
        <v>4.4654346338124569</v>
      </c>
      <c r="L129" s="33">
        <v>5.1471594798083506</v>
      </c>
      <c r="M129" s="33">
        <v>9.6125941136208084</v>
      </c>
      <c r="N129" s="33">
        <v>4.4517453798767965</v>
      </c>
      <c r="O129" s="33">
        <v>4.5749486652977414</v>
      </c>
      <c r="P129" s="33">
        <v>9.0266940451745388</v>
      </c>
      <c r="Q129" s="33">
        <v>3.6413415468856947</v>
      </c>
      <c r="R129" s="33" t="s">
        <v>7</v>
      </c>
      <c r="S129" s="33" t="s">
        <v>7</v>
      </c>
      <c r="T129" s="34">
        <v>4</v>
      </c>
      <c r="U129" s="34">
        <v>16</v>
      </c>
      <c r="V129" s="4" t="s">
        <v>1</v>
      </c>
      <c r="W129" s="4">
        <v>1</v>
      </c>
      <c r="X129" s="4">
        <v>1</v>
      </c>
      <c r="Y129" s="4">
        <v>1</v>
      </c>
      <c r="Z129" s="56">
        <v>3</v>
      </c>
      <c r="AA129" s="9" cm="1">
        <f t="array" ref="AA129">IF(OR(AB129:AE129=""),"BLANK",IF(AND(AB129:AE129&lt;999),1,IF(AND(AB129:AE129="NA"),3,2)))</f>
        <v>1</v>
      </c>
      <c r="AB129" s="4">
        <v>37</v>
      </c>
      <c r="AC129" s="4">
        <v>26</v>
      </c>
      <c r="AD129" s="4">
        <v>19</v>
      </c>
      <c r="AE129" s="5">
        <v>82</v>
      </c>
      <c r="AF129" s="9">
        <f t="shared" si="1"/>
        <v>1</v>
      </c>
      <c r="AG129" s="5">
        <v>74</v>
      </c>
      <c r="AH129" s="9" cm="1">
        <f t="array" ref="AH129">IF(OR(AI129:AN129=""),"BLANK",IF(AND(AI129:AN129&lt;99),1,IF(AND(AI129:AN129="NA"),3,2)))</f>
        <v>3</v>
      </c>
      <c r="AI129" s="4" t="s">
        <v>7</v>
      </c>
      <c r="AJ129" s="4" t="s">
        <v>7</v>
      </c>
      <c r="AK129" s="4" t="s">
        <v>7</v>
      </c>
      <c r="AL129" s="4" t="s">
        <v>7</v>
      </c>
      <c r="AM129" s="4" t="s">
        <v>7</v>
      </c>
      <c r="AN129" s="5" t="s">
        <v>7</v>
      </c>
    </row>
    <row r="130" spans="1:40" x14ac:dyDescent="0.2">
      <c r="A130" s="39">
        <v>817</v>
      </c>
      <c r="B130" s="4" t="s">
        <v>51</v>
      </c>
      <c r="C130" s="30" t="s">
        <v>23</v>
      </c>
      <c r="D130" s="30">
        <v>4</v>
      </c>
      <c r="E130" s="30">
        <v>0</v>
      </c>
      <c r="F130" s="4">
        <v>4</v>
      </c>
      <c r="G130" s="30">
        <v>29</v>
      </c>
      <c r="H130" s="33">
        <v>4.4407939767282683</v>
      </c>
      <c r="I130" s="33">
        <v>5.5715263518138265</v>
      </c>
      <c r="J130" s="33">
        <v>10.012320328542094</v>
      </c>
      <c r="K130" s="33">
        <v>4.4407939767282683</v>
      </c>
      <c r="L130" s="33">
        <v>5.5715263518138265</v>
      </c>
      <c r="M130" s="33">
        <v>10.012320328542094</v>
      </c>
      <c r="N130" s="33">
        <v>4.3997262149212863</v>
      </c>
      <c r="O130" s="33">
        <v>5.5715263518138265</v>
      </c>
      <c r="P130" s="33">
        <v>9.9712525667351137</v>
      </c>
      <c r="Q130" s="33" t="s">
        <v>7</v>
      </c>
      <c r="R130" s="33" t="s">
        <v>7</v>
      </c>
      <c r="S130" s="33" t="s">
        <v>7</v>
      </c>
      <c r="T130" s="34">
        <v>7</v>
      </c>
      <c r="U130" s="34">
        <v>21</v>
      </c>
      <c r="V130" s="4" t="s">
        <v>1</v>
      </c>
      <c r="W130" s="4">
        <v>1</v>
      </c>
      <c r="X130" s="4">
        <v>1</v>
      </c>
      <c r="Y130" s="4">
        <v>1</v>
      </c>
      <c r="Z130" s="56">
        <v>3</v>
      </c>
      <c r="AA130" s="9" cm="1">
        <f t="array" ref="AA130">IF(OR(AB130:AE130=""),"BLANK",IF(AND(AB130:AE130&lt;999),1,IF(AND(AB130:AE130="NA"),3,2)))</f>
        <v>1</v>
      </c>
      <c r="AB130" s="4">
        <v>38</v>
      </c>
      <c r="AC130" s="4">
        <v>22</v>
      </c>
      <c r="AD130" s="4">
        <v>13</v>
      </c>
      <c r="AE130" s="5">
        <v>73</v>
      </c>
      <c r="AF130" s="9">
        <f t="shared" si="1"/>
        <v>1</v>
      </c>
      <c r="AG130" s="5">
        <v>67</v>
      </c>
      <c r="AH130" s="9" cm="1">
        <f t="array" ref="AH130">IF(OR(AI130:AN130=""),"BLANK",IF(AND(AI130:AN130&lt;99),1,IF(AND(AI130:AN130="NA"),3,2)))</f>
        <v>3</v>
      </c>
      <c r="AI130" s="4" t="s">
        <v>7</v>
      </c>
      <c r="AJ130" s="4" t="s">
        <v>7</v>
      </c>
      <c r="AK130" s="4" t="s">
        <v>7</v>
      </c>
      <c r="AL130" s="4" t="s">
        <v>7</v>
      </c>
      <c r="AM130" s="4" t="s">
        <v>7</v>
      </c>
      <c r="AN130" s="5" t="s">
        <v>7</v>
      </c>
    </row>
    <row r="131" spans="1:40" x14ac:dyDescent="0.2">
      <c r="A131" s="39">
        <v>818</v>
      </c>
      <c r="B131" s="4" t="s">
        <v>61</v>
      </c>
      <c r="C131" s="30" t="s">
        <v>23</v>
      </c>
      <c r="D131" s="30">
        <v>5</v>
      </c>
      <c r="E131" s="30">
        <v>0</v>
      </c>
      <c r="F131" s="4">
        <v>3.5449999999999999</v>
      </c>
      <c r="G131" s="30">
        <v>26</v>
      </c>
      <c r="H131" s="33">
        <v>4.4626967830253248</v>
      </c>
      <c r="I131" s="33" t="s">
        <v>7</v>
      </c>
      <c r="J131" s="33" t="s">
        <v>7</v>
      </c>
      <c r="K131" s="33">
        <v>4.4626967830253248</v>
      </c>
      <c r="L131" s="33" t="s">
        <v>7</v>
      </c>
      <c r="M131" s="33" t="s">
        <v>7</v>
      </c>
      <c r="N131" s="33">
        <v>4.3750855578370977</v>
      </c>
      <c r="O131" s="33" t="s">
        <v>7</v>
      </c>
      <c r="P131" s="33" t="s">
        <v>7</v>
      </c>
      <c r="Q131" s="33" t="s">
        <v>7</v>
      </c>
      <c r="R131" s="33" t="s">
        <v>7</v>
      </c>
      <c r="S131" s="33" t="s">
        <v>7</v>
      </c>
      <c r="T131" s="34">
        <v>2</v>
      </c>
      <c r="U131" s="34">
        <v>12</v>
      </c>
      <c r="V131" s="4" t="s">
        <v>1</v>
      </c>
      <c r="W131" s="4">
        <v>1</v>
      </c>
      <c r="X131" s="4">
        <v>1</v>
      </c>
      <c r="Y131" s="4">
        <v>1</v>
      </c>
      <c r="Z131" s="56">
        <v>3</v>
      </c>
      <c r="AA131" s="9" cm="1">
        <f t="array" ref="AA131">IF(OR(AB131:AE131=""),"BLANK",IF(AND(AB131:AE131&lt;999),1,IF(AND(AB131:AE131="NA"),3,2)))</f>
        <v>1</v>
      </c>
      <c r="AB131" s="4">
        <v>34</v>
      </c>
      <c r="AC131" s="4">
        <v>21</v>
      </c>
      <c r="AD131" s="4">
        <v>15</v>
      </c>
      <c r="AE131" s="5">
        <v>70</v>
      </c>
      <c r="AF131" s="9">
        <f t="shared" si="1"/>
        <v>1</v>
      </c>
      <c r="AG131" s="5">
        <v>66</v>
      </c>
      <c r="AH131" s="9" cm="1">
        <f t="array" ref="AH131">IF(OR(AI131:AN131=""),"BLANK",IF(AND(AI131:AN131&lt;99),1,IF(AND(AI131:AN131="NA"),3,2)))</f>
        <v>3</v>
      </c>
      <c r="AI131" s="4" t="s">
        <v>7</v>
      </c>
      <c r="AJ131" s="4" t="s">
        <v>7</v>
      </c>
      <c r="AK131" s="4" t="s">
        <v>7</v>
      </c>
      <c r="AL131" s="4" t="s">
        <v>7</v>
      </c>
      <c r="AM131" s="4" t="s">
        <v>7</v>
      </c>
      <c r="AN131" s="5" t="s">
        <v>7</v>
      </c>
    </row>
    <row r="132" spans="1:40" x14ac:dyDescent="0.2">
      <c r="A132" s="39">
        <v>819</v>
      </c>
      <c r="B132" s="4" t="s">
        <v>64</v>
      </c>
      <c r="C132" s="30" t="s">
        <v>24</v>
      </c>
      <c r="D132" s="30">
        <v>5</v>
      </c>
      <c r="E132" s="30">
        <v>0</v>
      </c>
      <c r="F132" s="4">
        <v>4</v>
      </c>
      <c r="G132" s="30">
        <v>26</v>
      </c>
      <c r="H132" s="33">
        <v>4.131416837782341</v>
      </c>
      <c r="I132" s="33" t="s">
        <v>7</v>
      </c>
      <c r="J132" s="33" t="s">
        <v>7</v>
      </c>
      <c r="K132" s="33">
        <v>4.1505817932922655</v>
      </c>
      <c r="L132" s="33" t="s">
        <v>7</v>
      </c>
      <c r="M132" s="33" t="s">
        <v>7</v>
      </c>
      <c r="N132" s="33" t="s">
        <v>7</v>
      </c>
      <c r="O132" s="33" t="s">
        <v>7</v>
      </c>
      <c r="P132" s="33" t="s">
        <v>7</v>
      </c>
      <c r="Q132" s="33" t="s">
        <v>7</v>
      </c>
      <c r="R132" s="33" t="s">
        <v>7</v>
      </c>
      <c r="S132" s="33" t="s">
        <v>7</v>
      </c>
      <c r="T132" s="34">
        <v>6</v>
      </c>
      <c r="U132" s="34">
        <v>18</v>
      </c>
      <c r="V132" s="4" t="s">
        <v>1</v>
      </c>
      <c r="W132" s="4">
        <v>1</v>
      </c>
      <c r="X132" s="4">
        <v>1</v>
      </c>
      <c r="Y132" s="4">
        <v>1</v>
      </c>
      <c r="Z132" s="56">
        <v>3</v>
      </c>
      <c r="AA132" s="9" cm="1">
        <f t="array" ref="AA132">IF(OR(AB132:AE132=""),"BLANK",IF(AND(AB132:AE132&lt;999),1,IF(AND(AB132:AE132="NA"),3,2)))</f>
        <v>1</v>
      </c>
      <c r="AB132" s="4">
        <v>32</v>
      </c>
      <c r="AC132" s="4">
        <v>15</v>
      </c>
      <c r="AD132" s="4">
        <v>11</v>
      </c>
      <c r="AE132" s="5">
        <v>58</v>
      </c>
      <c r="AF132" s="9">
        <f t="shared" ref="AF132:AF195" si="2">IF(AG132="NA", 3,1)</f>
        <v>1</v>
      </c>
      <c r="AG132" s="5">
        <v>47</v>
      </c>
      <c r="AH132" s="9" cm="1">
        <f t="array" ref="AH132">IF(OR(AI132:AN132=""),"BLANK",IF(AND(AI132:AN132&lt;99),1,IF(AND(AI132:AN132="NA"),3,2)))</f>
        <v>3</v>
      </c>
      <c r="AI132" s="4" t="s">
        <v>7</v>
      </c>
      <c r="AJ132" s="4" t="s">
        <v>7</v>
      </c>
      <c r="AK132" s="4" t="s">
        <v>7</v>
      </c>
      <c r="AL132" s="4" t="s">
        <v>7</v>
      </c>
      <c r="AM132" s="4" t="s">
        <v>7</v>
      </c>
      <c r="AN132" s="5" t="s">
        <v>7</v>
      </c>
    </row>
    <row r="133" spans="1:40" x14ac:dyDescent="0.2">
      <c r="A133" s="39">
        <v>823</v>
      </c>
      <c r="B133" s="4" t="s">
        <v>52</v>
      </c>
      <c r="C133" s="30" t="s">
        <v>23</v>
      </c>
      <c r="D133" s="30">
        <v>5</v>
      </c>
      <c r="E133" s="30">
        <v>0</v>
      </c>
      <c r="F133" s="4">
        <v>4</v>
      </c>
      <c r="G133" s="30">
        <v>26</v>
      </c>
      <c r="H133" s="33">
        <v>4.084873374401095</v>
      </c>
      <c r="I133" s="33">
        <v>5.5222450376454484</v>
      </c>
      <c r="J133" s="33">
        <v>9.6071184120465443</v>
      </c>
      <c r="K133" s="33">
        <v>4.1040383299110195</v>
      </c>
      <c r="L133" s="33">
        <v>5.631759069130732</v>
      </c>
      <c r="M133" s="33">
        <v>9.7357973990417523</v>
      </c>
      <c r="N133" s="33">
        <v>3.9753593429158109</v>
      </c>
      <c r="O133" s="33">
        <v>5.0924024640657084</v>
      </c>
      <c r="P133" s="33">
        <v>9.0677618069815189</v>
      </c>
      <c r="Q133" s="33">
        <v>3.1950718685831623</v>
      </c>
      <c r="R133" s="33" t="s">
        <v>7</v>
      </c>
      <c r="S133" s="33" t="s">
        <v>7</v>
      </c>
      <c r="T133" s="34">
        <v>3</v>
      </c>
      <c r="U133" s="34">
        <v>14</v>
      </c>
      <c r="V133" s="4" t="s">
        <v>1</v>
      </c>
      <c r="W133" s="4">
        <v>1</v>
      </c>
      <c r="X133" s="4">
        <v>1</v>
      </c>
      <c r="Y133" s="4">
        <v>1</v>
      </c>
      <c r="Z133" s="56">
        <v>3</v>
      </c>
      <c r="AA133" s="9" cm="1">
        <f t="array" ref="AA133">IF(OR(AB133:AE133=""),"BLANK",IF(AND(AB133:AE133&lt;999),1,IF(AND(AB133:AE133="NA"),3,2)))</f>
        <v>1</v>
      </c>
      <c r="AB133" s="4">
        <v>38</v>
      </c>
      <c r="AC133" s="4">
        <v>16</v>
      </c>
      <c r="AD133" s="4">
        <v>14</v>
      </c>
      <c r="AE133" s="5">
        <v>68</v>
      </c>
      <c r="AF133" s="9">
        <f t="shared" si="2"/>
        <v>1</v>
      </c>
      <c r="AG133" s="5">
        <v>54</v>
      </c>
      <c r="AH133" s="9" cm="1">
        <f t="array" ref="AH133">IF(OR(AI133:AN133=""),"BLANK",IF(AND(AI133:AN133&lt;99),1,IF(AND(AI133:AN133="NA"),3,2)))</f>
        <v>3</v>
      </c>
      <c r="AI133" s="4" t="s">
        <v>7</v>
      </c>
      <c r="AJ133" s="4" t="s">
        <v>7</v>
      </c>
      <c r="AK133" s="4" t="s">
        <v>7</v>
      </c>
      <c r="AL133" s="4" t="s">
        <v>7</v>
      </c>
      <c r="AM133" s="4" t="s">
        <v>7</v>
      </c>
      <c r="AN133" s="5" t="s">
        <v>7</v>
      </c>
    </row>
    <row r="134" spans="1:40" x14ac:dyDescent="0.2">
      <c r="A134" s="39">
        <v>829</v>
      </c>
      <c r="B134" s="4" t="s">
        <v>61</v>
      </c>
      <c r="C134" s="30" t="s">
        <v>24</v>
      </c>
      <c r="D134" s="30">
        <v>5</v>
      </c>
      <c r="E134" s="30">
        <v>0</v>
      </c>
      <c r="F134" s="4">
        <v>3.8180000000000001</v>
      </c>
      <c r="G134" s="30">
        <v>28</v>
      </c>
      <c r="H134" s="33">
        <v>4.131416837782341</v>
      </c>
      <c r="I134" s="33">
        <v>5.4045174537987677</v>
      </c>
      <c r="J134" s="33">
        <v>9.5359342915811087</v>
      </c>
      <c r="K134" s="33">
        <v>4.131416837782341</v>
      </c>
      <c r="L134" s="33">
        <v>5.6646132785763177</v>
      </c>
      <c r="M134" s="33">
        <v>9.7960301163586578</v>
      </c>
      <c r="N134" s="33">
        <v>4.1341546885694731</v>
      </c>
      <c r="O134" s="33">
        <v>5.248459958932238</v>
      </c>
      <c r="P134" s="33">
        <v>9.3826146475017111</v>
      </c>
      <c r="Q134" s="33">
        <v>3.2580424366872007</v>
      </c>
      <c r="R134" s="33">
        <v>6.2039698836413413</v>
      </c>
      <c r="S134" s="33">
        <v>9.462012320328542</v>
      </c>
      <c r="T134" s="34">
        <v>4</v>
      </c>
      <c r="U134" s="34">
        <v>16</v>
      </c>
      <c r="V134" s="4" t="s">
        <v>1</v>
      </c>
      <c r="W134" s="4">
        <v>1</v>
      </c>
      <c r="X134" s="4">
        <v>1</v>
      </c>
      <c r="Y134" s="4">
        <v>1</v>
      </c>
      <c r="Z134" s="56">
        <v>3</v>
      </c>
      <c r="AA134" s="9" cm="1">
        <f t="array" ref="AA134">IF(OR(AB134:AE134=""),"BLANK",IF(AND(AB134:AE134&lt;999),1,IF(AND(AB134:AE134="NA"),3,2)))</f>
        <v>1</v>
      </c>
      <c r="AB134" s="4">
        <v>30</v>
      </c>
      <c r="AC134" s="4">
        <v>20</v>
      </c>
      <c r="AD134" s="4">
        <v>16</v>
      </c>
      <c r="AE134" s="5">
        <v>66</v>
      </c>
      <c r="AF134" s="9">
        <f t="shared" si="2"/>
        <v>1</v>
      </c>
      <c r="AG134" s="5">
        <v>60</v>
      </c>
      <c r="AH134" s="9" cm="1">
        <f t="array" ref="AH134">IF(OR(AI134:AN134=""),"BLANK",IF(AND(AI134:AN134&lt;99),1,IF(AND(AI134:AN134="NA"),3,2)))</f>
        <v>3</v>
      </c>
      <c r="AI134" s="4" t="s">
        <v>7</v>
      </c>
      <c r="AJ134" s="4" t="s">
        <v>7</v>
      </c>
      <c r="AK134" s="4" t="s">
        <v>7</v>
      </c>
      <c r="AL134" s="4" t="s">
        <v>7</v>
      </c>
      <c r="AM134" s="4" t="s">
        <v>7</v>
      </c>
      <c r="AN134" s="5" t="s">
        <v>7</v>
      </c>
    </row>
    <row r="135" spans="1:40" x14ac:dyDescent="0.2">
      <c r="A135" s="39">
        <v>831</v>
      </c>
      <c r="B135" s="4" t="s">
        <v>54</v>
      </c>
      <c r="C135" s="30" t="s">
        <v>23</v>
      </c>
      <c r="D135" s="30">
        <v>5</v>
      </c>
      <c r="E135" s="30">
        <v>0</v>
      </c>
      <c r="F135" s="4">
        <v>3.3639999999999999</v>
      </c>
      <c r="G135" s="30">
        <v>29</v>
      </c>
      <c r="H135" s="33">
        <v>4.0082135523613962</v>
      </c>
      <c r="I135" s="33">
        <v>5.4236824093086931</v>
      </c>
      <c r="J135" s="33">
        <v>9.4318959616700884</v>
      </c>
      <c r="K135" s="33">
        <v>4.0082135523613962</v>
      </c>
      <c r="L135" s="33">
        <v>5.4236824093086931</v>
      </c>
      <c r="M135" s="33">
        <v>9.4318959616700884</v>
      </c>
      <c r="N135" s="33">
        <v>4.0273785078713207</v>
      </c>
      <c r="O135" s="33">
        <v>5.0978781656399725</v>
      </c>
      <c r="P135" s="33">
        <v>9.1252566735112932</v>
      </c>
      <c r="Q135" s="33">
        <v>3.2388774811772758</v>
      </c>
      <c r="R135" s="33">
        <v>6.2669404517453797</v>
      </c>
      <c r="S135" s="33">
        <v>9.5058179329226551</v>
      </c>
      <c r="T135" s="34">
        <v>3</v>
      </c>
      <c r="U135" s="34">
        <v>14</v>
      </c>
      <c r="V135" s="4" t="s">
        <v>1</v>
      </c>
      <c r="W135" s="4">
        <v>1</v>
      </c>
      <c r="X135" s="4">
        <v>1</v>
      </c>
      <c r="Y135" s="4">
        <v>1</v>
      </c>
      <c r="Z135" s="56">
        <v>3</v>
      </c>
      <c r="AA135" s="9" cm="1">
        <f t="array" ref="AA135">IF(OR(AB135:AE135=""),"BLANK",IF(AND(AB135:AE135&lt;999),1,IF(AND(AB135:AE135="NA"),3,2)))</f>
        <v>1</v>
      </c>
      <c r="AB135" s="4">
        <v>27</v>
      </c>
      <c r="AC135" s="4">
        <v>14</v>
      </c>
      <c r="AD135" s="4">
        <v>13</v>
      </c>
      <c r="AE135" s="5">
        <v>54</v>
      </c>
      <c r="AF135" s="9">
        <f t="shared" si="2"/>
        <v>1</v>
      </c>
      <c r="AG135" s="5">
        <v>69</v>
      </c>
      <c r="AH135" s="9" cm="1">
        <f t="array" ref="AH135">IF(OR(AI135:AN135=""),"BLANK",IF(AND(AI135:AN135&lt;99),1,IF(AND(AI135:AN135="NA"),3,2)))</f>
        <v>3</v>
      </c>
      <c r="AI135" s="4" t="s">
        <v>7</v>
      </c>
      <c r="AJ135" s="4" t="s">
        <v>7</v>
      </c>
      <c r="AK135" s="4" t="s">
        <v>7</v>
      </c>
      <c r="AL135" s="4" t="s">
        <v>7</v>
      </c>
      <c r="AM135" s="4" t="s">
        <v>7</v>
      </c>
      <c r="AN135" s="5" t="s">
        <v>7</v>
      </c>
    </row>
    <row r="136" spans="1:40" x14ac:dyDescent="0.2">
      <c r="A136" s="39">
        <v>832</v>
      </c>
      <c r="B136" s="4" t="s">
        <v>50</v>
      </c>
      <c r="C136" s="30" t="s">
        <v>24</v>
      </c>
      <c r="D136" s="30">
        <v>5</v>
      </c>
      <c r="E136" s="30">
        <v>0</v>
      </c>
      <c r="F136" s="4">
        <v>4</v>
      </c>
      <c r="G136" s="30">
        <v>30</v>
      </c>
      <c r="H136" s="33" t="s">
        <v>7</v>
      </c>
      <c r="I136" s="33" t="s">
        <v>7</v>
      </c>
      <c r="J136" s="33" t="s">
        <v>7</v>
      </c>
      <c r="K136" s="33" t="s">
        <v>7</v>
      </c>
      <c r="L136" s="33" t="s">
        <v>7</v>
      </c>
      <c r="M136" s="33" t="s">
        <v>7</v>
      </c>
      <c r="N136" s="33" t="s">
        <v>7</v>
      </c>
      <c r="O136" s="33" t="s">
        <v>7</v>
      </c>
      <c r="P136" s="33" t="s">
        <v>7</v>
      </c>
      <c r="Q136" s="33" t="s">
        <v>7</v>
      </c>
      <c r="R136" s="33" t="s">
        <v>7</v>
      </c>
      <c r="S136" s="33" t="s">
        <v>7</v>
      </c>
      <c r="T136" s="34">
        <v>6</v>
      </c>
      <c r="U136" s="34">
        <v>18</v>
      </c>
      <c r="V136" s="4" t="s">
        <v>1</v>
      </c>
      <c r="W136" s="4">
        <v>1</v>
      </c>
      <c r="X136" s="4">
        <v>1</v>
      </c>
      <c r="Y136" s="4">
        <v>1</v>
      </c>
      <c r="Z136" s="56">
        <v>3</v>
      </c>
      <c r="AA136" s="9" cm="1">
        <f t="array" ref="AA136">IF(OR(AB136:AE136=""),"BLANK",IF(AND(AB136:AE136&lt;999),1,IF(AND(AB136:AE136="NA"),3,2)))</f>
        <v>1</v>
      </c>
      <c r="AB136" s="4">
        <v>36</v>
      </c>
      <c r="AC136" s="4">
        <v>23</v>
      </c>
      <c r="AD136" s="4">
        <v>15</v>
      </c>
      <c r="AE136" s="5">
        <v>74</v>
      </c>
      <c r="AF136" s="9">
        <f t="shared" si="2"/>
        <v>1</v>
      </c>
      <c r="AG136" s="5">
        <v>59</v>
      </c>
      <c r="AH136" s="9" cm="1">
        <f t="array" ref="AH136">IF(OR(AI136:AN136=""),"BLANK",IF(AND(AI136:AN136&lt;99),1,IF(AND(AI136:AN136="NA"),3,2)))</f>
        <v>3</v>
      </c>
      <c r="AI136" s="4" t="s">
        <v>7</v>
      </c>
      <c r="AJ136" s="4" t="s">
        <v>7</v>
      </c>
      <c r="AK136" s="4" t="s">
        <v>7</v>
      </c>
      <c r="AL136" s="4" t="s">
        <v>7</v>
      </c>
      <c r="AM136" s="4" t="s">
        <v>7</v>
      </c>
      <c r="AN136" s="5" t="s">
        <v>7</v>
      </c>
    </row>
    <row r="137" spans="1:40" x14ac:dyDescent="0.2">
      <c r="A137" s="39">
        <v>833</v>
      </c>
      <c r="B137" s="4" t="s">
        <v>48</v>
      </c>
      <c r="C137" s="30" t="s">
        <v>23</v>
      </c>
      <c r="D137" s="30">
        <v>5</v>
      </c>
      <c r="E137" s="30">
        <v>0</v>
      </c>
      <c r="F137" s="4">
        <v>3.6360000000000001</v>
      </c>
      <c r="G137" s="30">
        <v>27</v>
      </c>
      <c r="H137" s="33">
        <v>4.0027378507871321</v>
      </c>
      <c r="I137" s="33">
        <v>5.6153319644079396</v>
      </c>
      <c r="J137" s="33">
        <v>9.6180698151950725</v>
      </c>
      <c r="K137" s="33">
        <v>4.0219028062970565</v>
      </c>
      <c r="L137" s="33">
        <v>5.5961670088980151</v>
      </c>
      <c r="M137" s="33">
        <v>9.6180698151950725</v>
      </c>
      <c r="N137" s="33">
        <v>4.0219028062970565</v>
      </c>
      <c r="O137" s="33">
        <v>5.5222450376454484</v>
      </c>
      <c r="P137" s="33">
        <v>9.5441478439425058</v>
      </c>
      <c r="Q137" s="33">
        <v>3.2361396303901437</v>
      </c>
      <c r="R137" s="33">
        <v>6.0698151950718682</v>
      </c>
      <c r="S137" s="33">
        <v>9.3059548254620115</v>
      </c>
      <c r="T137" s="34">
        <v>3</v>
      </c>
      <c r="U137" s="34">
        <v>14</v>
      </c>
      <c r="V137" s="4" t="s">
        <v>1</v>
      </c>
      <c r="W137" s="4">
        <v>1</v>
      </c>
      <c r="X137" s="4">
        <v>1</v>
      </c>
      <c r="Y137" s="4">
        <v>1</v>
      </c>
      <c r="Z137" s="56">
        <v>3</v>
      </c>
      <c r="AA137" s="9" cm="1">
        <f t="array" ref="AA137">IF(OR(AB137:AE137=""),"BLANK",IF(AND(AB137:AE137&lt;999),1,IF(AND(AB137:AE137="NA"),3,2)))</f>
        <v>1</v>
      </c>
      <c r="AB137" s="4">
        <v>25</v>
      </c>
      <c r="AC137" s="4">
        <v>20</v>
      </c>
      <c r="AD137" s="4">
        <v>16</v>
      </c>
      <c r="AE137" s="5">
        <v>61</v>
      </c>
      <c r="AF137" s="9">
        <f t="shared" si="2"/>
        <v>1</v>
      </c>
      <c r="AG137" s="5">
        <v>42</v>
      </c>
      <c r="AH137" s="9" cm="1">
        <f t="array" ref="AH137">IF(OR(AI137:AN137=""),"BLANK",IF(AND(AI137:AN137&lt;99),1,IF(AND(AI137:AN137="NA"),3,2)))</f>
        <v>3</v>
      </c>
      <c r="AI137" s="4" t="s">
        <v>7</v>
      </c>
      <c r="AJ137" s="4" t="s">
        <v>7</v>
      </c>
      <c r="AK137" s="4" t="s">
        <v>7</v>
      </c>
      <c r="AL137" s="4" t="s">
        <v>7</v>
      </c>
      <c r="AM137" s="4" t="s">
        <v>7</v>
      </c>
      <c r="AN137" s="5" t="s">
        <v>7</v>
      </c>
    </row>
    <row r="138" spans="1:40" x14ac:dyDescent="0.2">
      <c r="A138" s="39">
        <v>835</v>
      </c>
      <c r="B138" s="4" t="s">
        <v>60</v>
      </c>
      <c r="C138" s="30" t="s">
        <v>23</v>
      </c>
      <c r="D138" s="30">
        <v>5</v>
      </c>
      <c r="E138" s="30">
        <v>0</v>
      </c>
      <c r="F138" s="4">
        <v>3.3639999999999999</v>
      </c>
      <c r="G138" s="30">
        <v>28</v>
      </c>
      <c r="H138" s="33">
        <v>4.561259411362081</v>
      </c>
      <c r="I138" s="33">
        <v>4.2984257357973989</v>
      </c>
      <c r="J138" s="33">
        <v>8.85968514715948</v>
      </c>
      <c r="K138" s="33">
        <v>4.6187542778918553</v>
      </c>
      <c r="L138" s="33">
        <v>4.2409308692676246</v>
      </c>
      <c r="M138" s="33">
        <v>8.85968514715948</v>
      </c>
      <c r="N138" s="33">
        <v>4.4845995893223822</v>
      </c>
      <c r="O138" s="33">
        <v>4.0492813141683781</v>
      </c>
      <c r="P138" s="33">
        <v>8.5338809034907595</v>
      </c>
      <c r="Q138" s="33" t="s">
        <v>7</v>
      </c>
      <c r="R138" s="33" t="s">
        <v>7</v>
      </c>
      <c r="S138" s="33" t="s">
        <v>7</v>
      </c>
      <c r="T138" s="34">
        <v>4</v>
      </c>
      <c r="U138" s="34">
        <v>16</v>
      </c>
      <c r="V138" s="4" t="s">
        <v>1</v>
      </c>
      <c r="W138" s="4">
        <v>1</v>
      </c>
      <c r="X138" s="4">
        <v>1</v>
      </c>
      <c r="Y138" s="4">
        <v>1</v>
      </c>
      <c r="Z138" s="56">
        <v>3</v>
      </c>
      <c r="AA138" s="9" cm="1">
        <f t="array" ref="AA138">IF(OR(AB138:AE138=""),"BLANK",IF(AND(AB138:AE138&lt;999),1,IF(AND(AB138:AE138="NA"),3,2)))</f>
        <v>1</v>
      </c>
      <c r="AB138" s="4">
        <v>35</v>
      </c>
      <c r="AC138" s="4">
        <v>20</v>
      </c>
      <c r="AD138" s="4">
        <v>16</v>
      </c>
      <c r="AE138" s="5">
        <v>71</v>
      </c>
      <c r="AF138" s="9">
        <f t="shared" si="2"/>
        <v>1</v>
      </c>
      <c r="AG138" s="5">
        <v>70</v>
      </c>
      <c r="AH138" s="9" cm="1">
        <f t="array" ref="AH138">IF(OR(AI138:AN138=""),"BLANK",IF(AND(AI138:AN138&lt;99),1,IF(AND(AI138:AN138="NA"),3,2)))</f>
        <v>3</v>
      </c>
      <c r="AI138" s="4" t="s">
        <v>7</v>
      </c>
      <c r="AJ138" s="4" t="s">
        <v>7</v>
      </c>
      <c r="AK138" s="4" t="s">
        <v>7</v>
      </c>
      <c r="AL138" s="4" t="s">
        <v>7</v>
      </c>
      <c r="AM138" s="4" t="s">
        <v>7</v>
      </c>
      <c r="AN138" s="5" t="s">
        <v>7</v>
      </c>
    </row>
    <row r="139" spans="1:40" x14ac:dyDescent="0.2">
      <c r="A139" s="39">
        <v>836</v>
      </c>
      <c r="B139" s="4" t="s">
        <v>46</v>
      </c>
      <c r="C139" s="30" t="s">
        <v>23</v>
      </c>
      <c r="D139" s="30">
        <v>5</v>
      </c>
      <c r="E139" s="30">
        <v>0</v>
      </c>
      <c r="F139" s="4">
        <v>3.8180000000000001</v>
      </c>
      <c r="G139" s="30">
        <v>28</v>
      </c>
      <c r="H139" s="33" t="s">
        <v>7</v>
      </c>
      <c r="I139" s="33" t="s">
        <v>7</v>
      </c>
      <c r="J139" s="33" t="s">
        <v>7</v>
      </c>
      <c r="K139" s="33" t="s">
        <v>7</v>
      </c>
      <c r="L139" s="33" t="s">
        <v>7</v>
      </c>
      <c r="M139" s="33" t="s">
        <v>7</v>
      </c>
      <c r="N139" s="33" t="s">
        <v>7</v>
      </c>
      <c r="O139" s="33" t="s">
        <v>7</v>
      </c>
      <c r="P139" s="33" t="s">
        <v>7</v>
      </c>
      <c r="Q139" s="33" t="s">
        <v>7</v>
      </c>
      <c r="R139" s="33" t="s">
        <v>7</v>
      </c>
      <c r="S139" s="33" t="s">
        <v>7</v>
      </c>
      <c r="T139" s="34">
        <v>6</v>
      </c>
      <c r="U139" s="34">
        <v>18</v>
      </c>
      <c r="V139" s="4" t="s">
        <v>1</v>
      </c>
      <c r="W139" s="4">
        <v>1</v>
      </c>
      <c r="X139" s="4">
        <v>1</v>
      </c>
      <c r="Y139" s="4">
        <v>1</v>
      </c>
      <c r="Z139" s="56">
        <v>3</v>
      </c>
      <c r="AA139" s="9" cm="1">
        <f t="array" ref="AA139">IF(OR(AB139:AE139=""),"BLANK",IF(AND(AB139:AE139&lt;999),1,IF(AND(AB139:AE139="NA"),3,2)))</f>
        <v>1</v>
      </c>
      <c r="AB139" s="4">
        <v>29</v>
      </c>
      <c r="AC139" s="4">
        <v>16</v>
      </c>
      <c r="AD139" s="4">
        <v>12</v>
      </c>
      <c r="AE139" s="5">
        <v>57</v>
      </c>
      <c r="AF139" s="9">
        <f t="shared" si="2"/>
        <v>1</v>
      </c>
      <c r="AG139" s="5">
        <v>46</v>
      </c>
      <c r="AH139" s="9" cm="1">
        <f t="array" ref="AH139">IF(OR(AI139:AN139=""),"BLANK",IF(AND(AI139:AN139&lt;99),1,IF(AND(AI139:AN139="NA"),3,2)))</f>
        <v>3</v>
      </c>
      <c r="AI139" s="4" t="s">
        <v>7</v>
      </c>
      <c r="AJ139" s="4" t="s">
        <v>7</v>
      </c>
      <c r="AK139" s="4" t="s">
        <v>7</v>
      </c>
      <c r="AL139" s="4" t="s">
        <v>7</v>
      </c>
      <c r="AM139" s="4" t="s">
        <v>7</v>
      </c>
      <c r="AN139" s="5" t="s">
        <v>7</v>
      </c>
    </row>
    <row r="140" spans="1:40" x14ac:dyDescent="0.2">
      <c r="A140" s="39">
        <v>841</v>
      </c>
      <c r="B140" s="4" t="s">
        <v>61</v>
      </c>
      <c r="C140" s="30" t="s">
        <v>23</v>
      </c>
      <c r="D140" s="30">
        <v>5</v>
      </c>
      <c r="E140" s="30">
        <v>0</v>
      </c>
      <c r="F140" s="4">
        <v>3.8180000000000001</v>
      </c>
      <c r="G140" s="30">
        <v>28</v>
      </c>
      <c r="H140" s="33">
        <v>3.9972621492128679</v>
      </c>
      <c r="I140" s="33">
        <v>5.5687885010266944</v>
      </c>
      <c r="J140" s="33">
        <v>9.5660506502395624</v>
      </c>
      <c r="K140" s="33">
        <v>3.9972621492128679</v>
      </c>
      <c r="L140" s="33">
        <v>5.5687885010266944</v>
      </c>
      <c r="M140" s="33">
        <v>9.5660506502395624</v>
      </c>
      <c r="N140" s="33">
        <v>4</v>
      </c>
      <c r="O140" s="33">
        <v>5.1964407939767279</v>
      </c>
      <c r="P140" s="33">
        <v>9.1964407939767288</v>
      </c>
      <c r="Q140" s="33" t="s">
        <v>7</v>
      </c>
      <c r="R140" s="33" t="s">
        <v>7</v>
      </c>
      <c r="S140" s="33" t="s">
        <v>7</v>
      </c>
      <c r="T140" s="34">
        <v>7</v>
      </c>
      <c r="U140" s="34">
        <v>21</v>
      </c>
      <c r="V140" s="4" t="s">
        <v>1</v>
      </c>
      <c r="W140" s="4">
        <v>1</v>
      </c>
      <c r="X140" s="4">
        <v>1</v>
      </c>
      <c r="Y140" s="4">
        <v>1</v>
      </c>
      <c r="Z140" s="56">
        <v>3</v>
      </c>
      <c r="AA140" s="9" cm="1">
        <f t="array" ref="AA140">IF(OR(AB140:AE140=""),"BLANK",IF(AND(AB140:AE140&lt;999),1,IF(AND(AB140:AE140="NA"),3,2)))</f>
        <v>1</v>
      </c>
      <c r="AB140" s="4">
        <v>39</v>
      </c>
      <c r="AC140" s="4">
        <v>25</v>
      </c>
      <c r="AD140" s="4">
        <v>18</v>
      </c>
      <c r="AE140" s="5">
        <v>82</v>
      </c>
      <c r="AF140" s="9">
        <f t="shared" si="2"/>
        <v>3</v>
      </c>
      <c r="AG140" s="5" t="s">
        <v>7</v>
      </c>
      <c r="AH140" s="9" cm="1">
        <f t="array" ref="AH140">IF(OR(AI140:AN140=""),"BLANK",IF(AND(AI140:AN140&lt;99),1,IF(AND(AI140:AN140="NA"),3,2)))</f>
        <v>3</v>
      </c>
      <c r="AI140" s="4" t="s">
        <v>7</v>
      </c>
      <c r="AJ140" s="4" t="s">
        <v>7</v>
      </c>
      <c r="AK140" s="4" t="s">
        <v>7</v>
      </c>
      <c r="AL140" s="4" t="s">
        <v>7</v>
      </c>
      <c r="AM140" s="4" t="s">
        <v>7</v>
      </c>
      <c r="AN140" s="5" t="s">
        <v>7</v>
      </c>
    </row>
    <row r="141" spans="1:40" x14ac:dyDescent="0.2">
      <c r="A141" s="39">
        <v>843</v>
      </c>
      <c r="B141" s="4" t="s">
        <v>66</v>
      </c>
      <c r="C141" s="30" t="s">
        <v>24</v>
      </c>
      <c r="D141" s="30">
        <v>5</v>
      </c>
      <c r="E141" s="30">
        <v>0</v>
      </c>
      <c r="F141" s="4">
        <v>3.3639999999999999</v>
      </c>
      <c r="G141" s="30">
        <v>26</v>
      </c>
      <c r="H141" s="33" t="s">
        <v>7</v>
      </c>
      <c r="I141" s="33" t="s">
        <v>7</v>
      </c>
      <c r="J141" s="33" t="s">
        <v>7</v>
      </c>
      <c r="K141" s="33" t="s">
        <v>7</v>
      </c>
      <c r="L141" s="33" t="s">
        <v>7</v>
      </c>
      <c r="M141" s="33" t="s">
        <v>7</v>
      </c>
      <c r="N141" s="33" t="s">
        <v>7</v>
      </c>
      <c r="O141" s="33" t="s">
        <v>7</v>
      </c>
      <c r="P141" s="33" t="s">
        <v>7</v>
      </c>
      <c r="Q141" s="33" t="s">
        <v>7</v>
      </c>
      <c r="R141" s="33" t="s">
        <v>7</v>
      </c>
      <c r="S141" s="33" t="s">
        <v>7</v>
      </c>
      <c r="T141" s="34">
        <v>4</v>
      </c>
      <c r="U141" s="34">
        <v>16</v>
      </c>
      <c r="V141" s="4" t="s">
        <v>1</v>
      </c>
      <c r="W141" s="4">
        <v>1</v>
      </c>
      <c r="X141" s="4">
        <v>1</v>
      </c>
      <c r="Y141" s="4">
        <v>1</v>
      </c>
      <c r="Z141" s="56">
        <v>3</v>
      </c>
      <c r="AA141" s="9" cm="1">
        <f t="array" ref="AA141">IF(OR(AB141:AE141=""),"BLANK",IF(AND(AB141:AE141&lt;999),1,IF(AND(AB141:AE141="NA"),3,2)))</f>
        <v>1</v>
      </c>
      <c r="AB141" s="4">
        <v>24</v>
      </c>
      <c r="AC141" s="4">
        <v>15</v>
      </c>
      <c r="AD141" s="4">
        <v>12</v>
      </c>
      <c r="AE141" s="5">
        <v>51</v>
      </c>
      <c r="AF141" s="9">
        <f t="shared" si="2"/>
        <v>1</v>
      </c>
      <c r="AG141" s="5">
        <v>47</v>
      </c>
      <c r="AH141" s="9" cm="1">
        <f t="array" ref="AH141">IF(OR(AI141:AN141=""),"BLANK",IF(AND(AI141:AN141&lt;99),1,IF(AND(AI141:AN141="NA"),3,2)))</f>
        <v>3</v>
      </c>
      <c r="AI141" s="4" t="s">
        <v>7</v>
      </c>
      <c r="AJ141" s="4" t="s">
        <v>7</v>
      </c>
      <c r="AK141" s="4" t="s">
        <v>7</v>
      </c>
      <c r="AL141" s="4" t="s">
        <v>7</v>
      </c>
      <c r="AM141" s="4" t="s">
        <v>7</v>
      </c>
      <c r="AN141" s="5" t="s">
        <v>7</v>
      </c>
    </row>
    <row r="142" spans="1:40" x14ac:dyDescent="0.2">
      <c r="A142" s="39">
        <v>849</v>
      </c>
      <c r="B142" s="4" t="s">
        <v>63</v>
      </c>
      <c r="C142" s="30" t="s">
        <v>24</v>
      </c>
      <c r="D142" s="30">
        <v>5</v>
      </c>
      <c r="E142" s="30">
        <v>0</v>
      </c>
      <c r="F142" s="4">
        <v>3.6360000000000001</v>
      </c>
      <c r="G142" s="30">
        <v>29</v>
      </c>
      <c r="H142" s="33">
        <v>4.1587953456536617</v>
      </c>
      <c r="I142" s="33">
        <v>5.7577002053388089</v>
      </c>
      <c r="J142" s="33">
        <v>9.9164955509924706</v>
      </c>
      <c r="K142" s="33">
        <v>4.2354551676933605</v>
      </c>
      <c r="L142" s="33">
        <v>5.7002053388090346</v>
      </c>
      <c r="M142" s="33">
        <v>9.935660506502396</v>
      </c>
      <c r="N142" s="33">
        <v>4.476386036960986</v>
      </c>
      <c r="O142" s="33">
        <v>5.4318959616700893</v>
      </c>
      <c r="P142" s="33">
        <v>9.9082819986310753</v>
      </c>
      <c r="Q142" s="33" t="s">
        <v>7</v>
      </c>
      <c r="R142" s="33" t="s">
        <v>7</v>
      </c>
      <c r="S142" s="33" t="s">
        <v>7</v>
      </c>
      <c r="T142" s="34">
        <v>7</v>
      </c>
      <c r="U142" s="34">
        <v>21</v>
      </c>
      <c r="V142" s="4" t="s">
        <v>1</v>
      </c>
      <c r="W142" s="4">
        <v>1</v>
      </c>
      <c r="X142" s="4">
        <v>1</v>
      </c>
      <c r="Y142" s="4">
        <v>1</v>
      </c>
      <c r="Z142" s="56">
        <v>3</v>
      </c>
      <c r="AA142" s="9" cm="1">
        <f t="array" ref="AA142">IF(OR(AB142:AE142=""),"BLANK",IF(AND(AB142:AE142&lt;999),1,IF(AND(AB142:AE142="NA"),3,2)))</f>
        <v>1</v>
      </c>
      <c r="AB142" s="4">
        <v>35</v>
      </c>
      <c r="AC142" s="4">
        <v>18</v>
      </c>
      <c r="AD142" s="4">
        <v>12</v>
      </c>
      <c r="AE142" s="5">
        <v>65</v>
      </c>
      <c r="AF142" s="9">
        <f t="shared" si="2"/>
        <v>1</v>
      </c>
      <c r="AG142" s="5">
        <v>70</v>
      </c>
      <c r="AH142" s="9" cm="1">
        <f t="array" ref="AH142">IF(OR(AI142:AN142=""),"BLANK",IF(AND(AI142:AN142&lt;99),1,IF(AND(AI142:AN142="NA"),3,2)))</f>
        <v>3</v>
      </c>
      <c r="AI142" s="4" t="s">
        <v>7</v>
      </c>
      <c r="AJ142" s="4" t="s">
        <v>7</v>
      </c>
      <c r="AK142" s="4" t="s">
        <v>7</v>
      </c>
      <c r="AL142" s="4" t="s">
        <v>7</v>
      </c>
      <c r="AM142" s="4" t="s">
        <v>7</v>
      </c>
      <c r="AN142" s="5" t="s">
        <v>7</v>
      </c>
    </row>
    <row r="143" spans="1:40" x14ac:dyDescent="0.2">
      <c r="A143" s="39">
        <v>860</v>
      </c>
      <c r="B143" s="4" t="s">
        <v>65</v>
      </c>
      <c r="C143" s="30" t="s">
        <v>23</v>
      </c>
      <c r="D143" s="30">
        <v>5</v>
      </c>
      <c r="E143" s="30">
        <v>0</v>
      </c>
      <c r="F143" s="4">
        <v>4</v>
      </c>
      <c r="G143" s="30">
        <v>27</v>
      </c>
      <c r="H143" s="33">
        <v>3.9863107460643397</v>
      </c>
      <c r="I143" s="33">
        <v>5.5249828884325805</v>
      </c>
      <c r="J143" s="33">
        <v>9.5112936344969192</v>
      </c>
      <c r="K143" s="33">
        <v>3.9863107460643397</v>
      </c>
      <c r="L143" s="33">
        <v>5.5824777549623548</v>
      </c>
      <c r="M143" s="33">
        <v>9.5687885010266935</v>
      </c>
      <c r="N143" s="33">
        <v>3.9698836413415468</v>
      </c>
      <c r="O143" s="33">
        <v>5.2731006160164275</v>
      </c>
      <c r="P143" s="33">
        <v>9.2429842573579748</v>
      </c>
      <c r="Q143" s="33">
        <v>3.184120465434634</v>
      </c>
      <c r="R143" s="33" t="s">
        <v>7</v>
      </c>
      <c r="S143" s="33" t="s">
        <v>7</v>
      </c>
      <c r="T143" s="34">
        <v>4</v>
      </c>
      <c r="U143" s="34">
        <v>16</v>
      </c>
      <c r="V143" s="4" t="s">
        <v>1</v>
      </c>
      <c r="W143" s="4">
        <v>1</v>
      </c>
      <c r="X143" s="4">
        <v>1</v>
      </c>
      <c r="Y143" s="4">
        <v>1</v>
      </c>
      <c r="Z143" s="56">
        <v>3</v>
      </c>
      <c r="AA143" s="9" cm="1">
        <f t="array" ref="AA143">IF(OR(AB143:AE143=""),"BLANK",IF(AND(AB143:AE143&lt;999),1,IF(AND(AB143:AE143="NA"),3,2)))</f>
        <v>1</v>
      </c>
      <c r="AB143" s="4">
        <v>26</v>
      </c>
      <c r="AC143" s="4">
        <v>23</v>
      </c>
      <c r="AD143" s="4">
        <v>15</v>
      </c>
      <c r="AE143" s="5">
        <v>64</v>
      </c>
      <c r="AF143" s="9">
        <f t="shared" si="2"/>
        <v>1</v>
      </c>
      <c r="AG143" s="5">
        <v>40</v>
      </c>
      <c r="AH143" s="9" cm="1">
        <f t="array" ref="AH143">IF(OR(AI143:AN143=""),"BLANK",IF(AND(AI143:AN143&lt;99),1,IF(AND(AI143:AN143="NA"),3,2)))</f>
        <v>3</v>
      </c>
      <c r="AI143" s="4" t="s">
        <v>7</v>
      </c>
      <c r="AJ143" s="4" t="s">
        <v>7</v>
      </c>
      <c r="AK143" s="4" t="s">
        <v>7</v>
      </c>
      <c r="AL143" s="4" t="s">
        <v>7</v>
      </c>
      <c r="AM143" s="4" t="s">
        <v>7</v>
      </c>
      <c r="AN143" s="5" t="s">
        <v>7</v>
      </c>
    </row>
    <row r="144" spans="1:40" x14ac:dyDescent="0.2">
      <c r="A144" s="39">
        <v>865</v>
      </c>
      <c r="B144" s="4" t="s">
        <v>65</v>
      </c>
      <c r="C144" s="30" t="s">
        <v>23</v>
      </c>
      <c r="D144" s="30">
        <v>5</v>
      </c>
      <c r="E144" s="30">
        <v>0</v>
      </c>
      <c r="F144" s="4">
        <v>3.3639999999999999</v>
      </c>
      <c r="G144" s="30">
        <v>27</v>
      </c>
      <c r="H144" s="33" t="s">
        <v>7</v>
      </c>
      <c r="I144" s="33" t="s">
        <v>7</v>
      </c>
      <c r="J144" s="33" t="s">
        <v>7</v>
      </c>
      <c r="K144" s="33" t="s">
        <v>7</v>
      </c>
      <c r="L144" s="33" t="s">
        <v>7</v>
      </c>
      <c r="M144" s="33" t="s">
        <v>7</v>
      </c>
      <c r="N144" s="33" t="s">
        <v>7</v>
      </c>
      <c r="O144" s="33" t="s">
        <v>7</v>
      </c>
      <c r="P144" s="33" t="s">
        <v>7</v>
      </c>
      <c r="Q144" s="33" t="s">
        <v>7</v>
      </c>
      <c r="R144" s="33" t="s">
        <v>7</v>
      </c>
      <c r="S144" s="33" t="s">
        <v>7</v>
      </c>
      <c r="T144" s="34">
        <v>2</v>
      </c>
      <c r="U144" s="34">
        <v>12</v>
      </c>
      <c r="V144" s="4" t="s">
        <v>1</v>
      </c>
      <c r="W144" s="4">
        <v>1</v>
      </c>
      <c r="X144" s="4">
        <v>1</v>
      </c>
      <c r="Y144" s="4">
        <v>1</v>
      </c>
      <c r="Z144" s="56">
        <v>3</v>
      </c>
      <c r="AA144" s="9" cm="1">
        <f t="array" ref="AA144">IF(OR(AB144:AE144=""),"BLANK",IF(AND(AB144:AE144&lt;999),1,IF(AND(AB144:AE144="NA"),3,2)))</f>
        <v>1</v>
      </c>
      <c r="AB144" s="4">
        <v>21</v>
      </c>
      <c r="AC144" s="4">
        <v>10</v>
      </c>
      <c r="AD144" s="4">
        <v>8</v>
      </c>
      <c r="AE144" s="5">
        <v>39</v>
      </c>
      <c r="AF144" s="9">
        <f t="shared" si="2"/>
        <v>1</v>
      </c>
      <c r="AG144" s="5">
        <v>39</v>
      </c>
      <c r="AH144" s="9" cm="1">
        <f t="array" ref="AH144">IF(OR(AI144:AN144=""),"BLANK",IF(AND(AI144:AN144&lt;99),1,IF(AND(AI144:AN144="NA"),3,2)))</f>
        <v>3</v>
      </c>
      <c r="AI144" s="4" t="s">
        <v>7</v>
      </c>
      <c r="AJ144" s="4" t="s">
        <v>7</v>
      </c>
      <c r="AK144" s="4" t="s">
        <v>7</v>
      </c>
      <c r="AL144" s="4" t="s">
        <v>7</v>
      </c>
      <c r="AM144" s="4" t="s">
        <v>7</v>
      </c>
      <c r="AN144" s="5" t="s">
        <v>7</v>
      </c>
    </row>
    <row r="145" spans="1:40" x14ac:dyDescent="0.2">
      <c r="A145" s="39">
        <v>867</v>
      </c>
      <c r="B145" s="4" t="s">
        <v>64</v>
      </c>
      <c r="C145" s="30" t="s">
        <v>24</v>
      </c>
      <c r="D145" s="30">
        <v>5</v>
      </c>
      <c r="E145" s="30">
        <v>0</v>
      </c>
      <c r="F145" s="4">
        <v>2.7269999999999999</v>
      </c>
      <c r="G145" s="30">
        <v>26</v>
      </c>
      <c r="H145" s="33">
        <v>4.1396303901437372</v>
      </c>
      <c r="I145" s="33" t="s">
        <v>7</v>
      </c>
      <c r="J145" s="33" t="s">
        <v>7</v>
      </c>
      <c r="K145" s="33">
        <v>4.1396303901437372</v>
      </c>
      <c r="L145" s="33" t="s">
        <v>7</v>
      </c>
      <c r="M145" s="33" t="s">
        <v>7</v>
      </c>
      <c r="N145" s="33">
        <v>4.1943874058863795</v>
      </c>
      <c r="O145" s="33" t="s">
        <v>7</v>
      </c>
      <c r="P145" s="33" t="s">
        <v>7</v>
      </c>
      <c r="Q145" s="33">
        <v>3.3100616016427105</v>
      </c>
      <c r="R145" s="33" t="s">
        <v>7</v>
      </c>
      <c r="S145" s="33" t="s">
        <v>7</v>
      </c>
      <c r="T145" s="34">
        <v>4</v>
      </c>
      <c r="U145" s="34">
        <v>16</v>
      </c>
      <c r="V145" s="4" t="s">
        <v>1</v>
      </c>
      <c r="W145" s="4">
        <v>1</v>
      </c>
      <c r="X145" s="4">
        <v>1</v>
      </c>
      <c r="Y145" s="4">
        <v>1</v>
      </c>
      <c r="Z145" s="56">
        <v>3</v>
      </c>
      <c r="AA145" s="9" cm="1">
        <f t="array" ref="AA145">IF(OR(AB145:AE145=""),"BLANK",IF(AND(AB145:AE145&lt;999),1,IF(AND(AB145:AE145="NA"),3,2)))</f>
        <v>1</v>
      </c>
      <c r="AB145" s="4">
        <v>32</v>
      </c>
      <c r="AC145" s="4">
        <v>20</v>
      </c>
      <c r="AD145" s="4">
        <v>14</v>
      </c>
      <c r="AE145" s="5">
        <v>66</v>
      </c>
      <c r="AF145" s="9">
        <f t="shared" si="2"/>
        <v>1</v>
      </c>
      <c r="AG145" s="5">
        <v>51</v>
      </c>
      <c r="AH145" s="9" cm="1">
        <f t="array" ref="AH145">IF(OR(AI145:AN145=""),"BLANK",IF(AND(AI145:AN145&lt;99),1,IF(AND(AI145:AN145="NA"),3,2)))</f>
        <v>3</v>
      </c>
      <c r="AI145" s="4" t="s">
        <v>7</v>
      </c>
      <c r="AJ145" s="4" t="s">
        <v>7</v>
      </c>
      <c r="AK145" s="4" t="s">
        <v>7</v>
      </c>
      <c r="AL145" s="4" t="s">
        <v>7</v>
      </c>
      <c r="AM145" s="4" t="s">
        <v>7</v>
      </c>
      <c r="AN145" s="5" t="s">
        <v>7</v>
      </c>
    </row>
    <row r="146" spans="1:40" x14ac:dyDescent="0.2">
      <c r="A146" s="39">
        <v>872</v>
      </c>
      <c r="B146" s="4" t="s">
        <v>54</v>
      </c>
      <c r="C146" s="30" t="s">
        <v>23</v>
      </c>
      <c r="D146" s="30">
        <v>5</v>
      </c>
      <c r="E146" s="30">
        <v>0</v>
      </c>
      <c r="F146" s="4">
        <v>3.1819999999999999</v>
      </c>
      <c r="G146" s="30">
        <v>30</v>
      </c>
      <c r="H146" s="33">
        <v>3.9589322381930185</v>
      </c>
      <c r="I146" s="33">
        <v>5.4428473648186175</v>
      </c>
      <c r="J146" s="33">
        <v>9.4017796030116365</v>
      </c>
      <c r="K146" s="33">
        <v>3.9589322381930185</v>
      </c>
      <c r="L146" s="33">
        <v>5.4428473648186175</v>
      </c>
      <c r="M146" s="33">
        <v>9.4017796030116365</v>
      </c>
      <c r="N146" s="33">
        <v>3.9972621492128679</v>
      </c>
      <c r="O146" s="33">
        <v>5.0814510609171801</v>
      </c>
      <c r="P146" s="33">
        <v>9.0787132101300472</v>
      </c>
      <c r="Q146" s="33">
        <v>3.353867214236824</v>
      </c>
      <c r="R146" s="33" t="s">
        <v>7</v>
      </c>
      <c r="S146" s="33" t="s">
        <v>7</v>
      </c>
      <c r="T146" s="34">
        <v>6</v>
      </c>
      <c r="U146" s="34">
        <v>18</v>
      </c>
      <c r="V146" s="4" t="s">
        <v>1</v>
      </c>
      <c r="W146" s="4">
        <v>1</v>
      </c>
      <c r="X146" s="4">
        <v>1</v>
      </c>
      <c r="Y146" s="4">
        <v>1</v>
      </c>
      <c r="Z146" s="56">
        <v>3</v>
      </c>
      <c r="AA146" s="9" cm="1">
        <f t="array" ref="AA146">IF(OR(AB146:AE146=""),"BLANK",IF(AND(AB146:AE146&lt;999),1,IF(AND(AB146:AE146="NA"),3,2)))</f>
        <v>1</v>
      </c>
      <c r="AB146" s="4">
        <v>28</v>
      </c>
      <c r="AC146" s="4">
        <v>21</v>
      </c>
      <c r="AD146" s="4">
        <v>15</v>
      </c>
      <c r="AE146" s="5">
        <v>64</v>
      </c>
      <c r="AF146" s="9">
        <f t="shared" si="2"/>
        <v>1</v>
      </c>
      <c r="AG146" s="5">
        <v>58</v>
      </c>
      <c r="AH146" s="9" cm="1">
        <f t="array" ref="AH146">IF(OR(AI146:AN146=""),"BLANK",IF(AND(AI146:AN146&lt;99),1,IF(AND(AI146:AN146="NA"),3,2)))</f>
        <v>3</v>
      </c>
      <c r="AI146" s="4" t="s">
        <v>7</v>
      </c>
      <c r="AJ146" s="4" t="s">
        <v>7</v>
      </c>
      <c r="AK146" s="4" t="s">
        <v>7</v>
      </c>
      <c r="AL146" s="4" t="s">
        <v>7</v>
      </c>
      <c r="AM146" s="4" t="s">
        <v>7</v>
      </c>
      <c r="AN146" s="5" t="s">
        <v>7</v>
      </c>
    </row>
    <row r="147" spans="1:40" x14ac:dyDescent="0.2">
      <c r="A147" s="39">
        <v>881</v>
      </c>
      <c r="B147" s="4" t="s">
        <v>48</v>
      </c>
      <c r="C147" s="30" t="s">
        <v>23</v>
      </c>
      <c r="D147" s="30">
        <v>5</v>
      </c>
      <c r="E147" s="30">
        <v>0</v>
      </c>
      <c r="F147" s="4">
        <v>4</v>
      </c>
      <c r="G147" s="30">
        <v>29</v>
      </c>
      <c r="H147" s="33">
        <v>4.1834360027378512</v>
      </c>
      <c r="I147" s="33" t="s">
        <v>7</v>
      </c>
      <c r="J147" s="33" t="s">
        <v>7</v>
      </c>
      <c r="K147" s="33">
        <v>4.1834360027378512</v>
      </c>
      <c r="L147" s="33" t="s">
        <v>7</v>
      </c>
      <c r="M147" s="33" t="s">
        <v>7</v>
      </c>
      <c r="N147" s="33">
        <v>4.1451060917180014</v>
      </c>
      <c r="O147" s="33" t="s">
        <v>7</v>
      </c>
      <c r="P147" s="33" t="s">
        <v>7</v>
      </c>
      <c r="Q147" s="33" t="s">
        <v>7</v>
      </c>
      <c r="R147" s="33" t="s">
        <v>7</v>
      </c>
      <c r="S147" s="33" t="s">
        <v>7</v>
      </c>
      <c r="T147" s="34">
        <v>6</v>
      </c>
      <c r="U147" s="34">
        <v>18</v>
      </c>
      <c r="V147" s="4" t="s">
        <v>1</v>
      </c>
      <c r="W147" s="4">
        <v>1</v>
      </c>
      <c r="X147" s="4">
        <v>1</v>
      </c>
      <c r="Y147" s="4">
        <v>1</v>
      </c>
      <c r="Z147" s="56">
        <v>3</v>
      </c>
      <c r="AA147" s="9" cm="1">
        <f t="array" ref="AA147">IF(OR(AB147:AE147=""),"BLANK",IF(AND(AB147:AE147&lt;999),1,IF(AND(AB147:AE147="NA"),3,2)))</f>
        <v>1</v>
      </c>
      <c r="AB147" s="4">
        <v>24</v>
      </c>
      <c r="AC147" s="4">
        <v>17</v>
      </c>
      <c r="AD147" s="4">
        <v>13</v>
      </c>
      <c r="AE147" s="5">
        <v>54</v>
      </c>
      <c r="AF147" s="9">
        <f t="shared" si="2"/>
        <v>1</v>
      </c>
      <c r="AG147" s="5">
        <v>57</v>
      </c>
      <c r="AH147" s="9" cm="1">
        <f t="array" ref="AH147">IF(OR(AI147:AN147=""),"BLANK",IF(AND(AI147:AN147&lt;99),1,IF(AND(AI147:AN147="NA"),3,2)))</f>
        <v>3</v>
      </c>
      <c r="AI147" s="4" t="s">
        <v>7</v>
      </c>
      <c r="AJ147" s="4" t="s">
        <v>7</v>
      </c>
      <c r="AK147" s="4" t="s">
        <v>7</v>
      </c>
      <c r="AL147" s="4" t="s">
        <v>7</v>
      </c>
      <c r="AM147" s="4" t="s">
        <v>7</v>
      </c>
      <c r="AN147" s="5" t="s">
        <v>7</v>
      </c>
    </row>
    <row r="148" spans="1:40" x14ac:dyDescent="0.2">
      <c r="A148" s="39">
        <v>883</v>
      </c>
      <c r="B148" s="4" t="s">
        <v>51</v>
      </c>
      <c r="C148" s="30" t="s">
        <v>23</v>
      </c>
      <c r="D148" s="30">
        <v>5</v>
      </c>
      <c r="E148" s="30">
        <v>0</v>
      </c>
      <c r="F148" s="4">
        <v>3.5449999999999999</v>
      </c>
      <c r="G148" s="30">
        <v>30</v>
      </c>
      <c r="H148" s="33">
        <v>4.4052019164955514</v>
      </c>
      <c r="I148" s="33" t="s">
        <v>7</v>
      </c>
      <c r="J148" s="33" t="s">
        <v>7</v>
      </c>
      <c r="K148" s="33">
        <v>4.4024640657084193</v>
      </c>
      <c r="L148" s="33" t="s">
        <v>7</v>
      </c>
      <c r="M148" s="33" t="s">
        <v>7</v>
      </c>
      <c r="N148" s="33">
        <v>4.213552361396304</v>
      </c>
      <c r="O148" s="33" t="s">
        <v>7</v>
      </c>
      <c r="P148" s="33" t="s">
        <v>7</v>
      </c>
      <c r="Q148" s="33" t="s">
        <v>7</v>
      </c>
      <c r="R148" s="33" t="s">
        <v>7</v>
      </c>
      <c r="S148" s="33" t="s">
        <v>7</v>
      </c>
      <c r="T148" s="34">
        <v>3</v>
      </c>
      <c r="U148" s="34">
        <v>14</v>
      </c>
      <c r="V148" s="4" t="s">
        <v>1</v>
      </c>
      <c r="W148" s="4">
        <v>1</v>
      </c>
      <c r="X148" s="4">
        <v>1</v>
      </c>
      <c r="Y148" s="4">
        <v>1</v>
      </c>
      <c r="Z148" s="56">
        <v>3</v>
      </c>
      <c r="AA148" s="9" cm="1">
        <f t="array" ref="AA148">IF(OR(AB148:AE148=""),"BLANK",IF(AND(AB148:AE148&lt;999),1,IF(AND(AB148:AE148="NA"),3,2)))</f>
        <v>1</v>
      </c>
      <c r="AB148" s="4">
        <v>40</v>
      </c>
      <c r="AC148" s="4">
        <v>19</v>
      </c>
      <c r="AD148" s="4">
        <v>14</v>
      </c>
      <c r="AE148" s="5">
        <v>73</v>
      </c>
      <c r="AF148" s="9">
        <f t="shared" si="2"/>
        <v>1</v>
      </c>
      <c r="AG148" s="5">
        <v>52</v>
      </c>
      <c r="AH148" s="9" cm="1">
        <f t="array" ref="AH148">IF(OR(AI148:AN148=""),"BLANK",IF(AND(AI148:AN148&lt;99),1,IF(AND(AI148:AN148="NA"),3,2)))</f>
        <v>3</v>
      </c>
      <c r="AI148" s="4" t="s">
        <v>7</v>
      </c>
      <c r="AJ148" s="4" t="s">
        <v>7</v>
      </c>
      <c r="AK148" s="4" t="s">
        <v>7</v>
      </c>
      <c r="AL148" s="4" t="s">
        <v>7</v>
      </c>
      <c r="AM148" s="4" t="s">
        <v>7</v>
      </c>
      <c r="AN148" s="5" t="s">
        <v>7</v>
      </c>
    </row>
    <row r="149" spans="1:40" x14ac:dyDescent="0.2">
      <c r="A149" s="39">
        <v>884</v>
      </c>
      <c r="B149" s="4" t="s">
        <v>56</v>
      </c>
      <c r="C149" s="30" t="s">
        <v>23</v>
      </c>
      <c r="D149" s="30">
        <v>5</v>
      </c>
      <c r="E149" s="30">
        <v>0</v>
      </c>
      <c r="F149" s="4">
        <v>4</v>
      </c>
      <c r="G149" s="30">
        <v>30</v>
      </c>
      <c r="H149" s="33">
        <v>4.046543463381246</v>
      </c>
      <c r="I149" s="33">
        <v>5.722108145106092</v>
      </c>
      <c r="J149" s="33">
        <v>9.7686516084873372</v>
      </c>
      <c r="K149" s="33">
        <v>4.0657084188911705</v>
      </c>
      <c r="L149" s="33">
        <v>5.7029431895961666</v>
      </c>
      <c r="M149" s="33">
        <v>9.7686516084873372</v>
      </c>
      <c r="N149" s="33">
        <v>4.0246406570841886</v>
      </c>
      <c r="O149" s="33">
        <v>5.7029431895961666</v>
      </c>
      <c r="P149" s="33">
        <v>9.7275838466803553</v>
      </c>
      <c r="Q149" s="33" t="s">
        <v>7</v>
      </c>
      <c r="R149" s="33" t="s">
        <v>7</v>
      </c>
      <c r="S149" s="33" t="s">
        <v>7</v>
      </c>
      <c r="T149" s="34">
        <v>4</v>
      </c>
      <c r="U149" s="34">
        <v>16</v>
      </c>
      <c r="V149" s="4" t="s">
        <v>1</v>
      </c>
      <c r="W149" s="4">
        <v>1</v>
      </c>
      <c r="X149" s="4">
        <v>1</v>
      </c>
      <c r="Y149" s="4">
        <v>1</v>
      </c>
      <c r="Z149" s="56">
        <v>3</v>
      </c>
      <c r="AA149" s="9" cm="1">
        <f t="array" ref="AA149">IF(OR(AB149:AE149=""),"BLANK",IF(AND(AB149:AE149&lt;999),1,IF(AND(AB149:AE149="NA"),3,2)))</f>
        <v>1</v>
      </c>
      <c r="AB149" s="4">
        <v>35</v>
      </c>
      <c r="AC149" s="4">
        <v>24</v>
      </c>
      <c r="AD149" s="4">
        <v>16</v>
      </c>
      <c r="AE149" s="5">
        <v>75</v>
      </c>
      <c r="AF149" s="9">
        <f t="shared" si="2"/>
        <v>1</v>
      </c>
      <c r="AG149" s="5">
        <v>77</v>
      </c>
      <c r="AH149" s="9" cm="1">
        <f t="array" ref="AH149">IF(OR(AI149:AN149=""),"BLANK",IF(AND(AI149:AN149&lt;99),1,IF(AND(AI149:AN149="NA"),3,2)))</f>
        <v>3</v>
      </c>
      <c r="AI149" s="4" t="s">
        <v>7</v>
      </c>
      <c r="AJ149" s="4" t="s">
        <v>7</v>
      </c>
      <c r="AK149" s="4" t="s">
        <v>7</v>
      </c>
      <c r="AL149" s="4" t="s">
        <v>7</v>
      </c>
      <c r="AM149" s="4" t="s">
        <v>7</v>
      </c>
      <c r="AN149" s="5" t="s">
        <v>7</v>
      </c>
    </row>
    <row r="150" spans="1:40" x14ac:dyDescent="0.2">
      <c r="A150" s="39">
        <v>886</v>
      </c>
      <c r="B150" s="4" t="s">
        <v>61</v>
      </c>
      <c r="C150" s="30" t="s">
        <v>23</v>
      </c>
      <c r="D150" s="30">
        <v>5</v>
      </c>
      <c r="E150" s="30">
        <v>0</v>
      </c>
      <c r="F150" s="4">
        <v>3.8180000000000001</v>
      </c>
      <c r="G150" s="30">
        <v>28</v>
      </c>
      <c r="H150" s="33">
        <v>3.978097193702943</v>
      </c>
      <c r="I150" s="33">
        <v>5.763175906913073</v>
      </c>
      <c r="J150" s="33">
        <v>9.7412731006160165</v>
      </c>
      <c r="K150" s="33">
        <v>3.978097193702943</v>
      </c>
      <c r="L150" s="33">
        <v>5.763175906913073</v>
      </c>
      <c r="M150" s="33">
        <v>9.7412731006160165</v>
      </c>
      <c r="N150" s="33" t="s">
        <v>7</v>
      </c>
      <c r="O150" s="33" t="s">
        <v>7</v>
      </c>
      <c r="P150" s="33" t="s">
        <v>7</v>
      </c>
      <c r="Q150" s="33" t="s">
        <v>7</v>
      </c>
      <c r="R150" s="33" t="s">
        <v>7</v>
      </c>
      <c r="S150" s="33" t="s">
        <v>7</v>
      </c>
      <c r="T150" s="34">
        <v>4</v>
      </c>
      <c r="U150" s="34">
        <v>16</v>
      </c>
      <c r="V150" s="4" t="s">
        <v>1</v>
      </c>
      <c r="W150" s="4">
        <v>1</v>
      </c>
      <c r="X150" s="4">
        <v>1</v>
      </c>
      <c r="Y150" s="4">
        <v>1</v>
      </c>
      <c r="Z150" s="56">
        <v>3</v>
      </c>
      <c r="AA150" s="9" cm="1">
        <f t="array" ref="AA150">IF(OR(AB150:AE150=""),"BLANK",IF(AND(AB150:AE150&lt;999),1,IF(AND(AB150:AE150="NA"),3,2)))</f>
        <v>1</v>
      </c>
      <c r="AB150" s="4">
        <v>29</v>
      </c>
      <c r="AC150" s="4">
        <v>19</v>
      </c>
      <c r="AD150" s="4">
        <v>16</v>
      </c>
      <c r="AE150" s="5">
        <v>64</v>
      </c>
      <c r="AF150" s="9">
        <f t="shared" si="2"/>
        <v>1</v>
      </c>
      <c r="AG150" s="5">
        <v>62</v>
      </c>
      <c r="AH150" s="9" cm="1">
        <f t="array" ref="AH150">IF(OR(AI150:AN150=""),"BLANK",IF(AND(AI150:AN150&lt;99),1,IF(AND(AI150:AN150="NA"),3,2)))</f>
        <v>3</v>
      </c>
      <c r="AI150" s="4" t="s">
        <v>7</v>
      </c>
      <c r="AJ150" s="4" t="s">
        <v>7</v>
      </c>
      <c r="AK150" s="4" t="s">
        <v>7</v>
      </c>
      <c r="AL150" s="4" t="s">
        <v>7</v>
      </c>
      <c r="AM150" s="4" t="s">
        <v>7</v>
      </c>
      <c r="AN150" s="5" t="s">
        <v>7</v>
      </c>
    </row>
    <row r="151" spans="1:40" x14ac:dyDescent="0.2">
      <c r="A151" s="39">
        <v>889</v>
      </c>
      <c r="B151" s="4" t="s">
        <v>49</v>
      </c>
      <c r="C151" s="30" t="s">
        <v>23</v>
      </c>
      <c r="D151" s="30">
        <v>5</v>
      </c>
      <c r="E151" s="30">
        <v>0</v>
      </c>
      <c r="F151" s="4">
        <v>3.8180000000000001</v>
      </c>
      <c r="G151" s="30">
        <v>30</v>
      </c>
      <c r="H151" s="33">
        <v>4.0657084188911705</v>
      </c>
      <c r="I151" s="33">
        <v>5.1937029431895958</v>
      </c>
      <c r="J151" s="33">
        <v>9.2594113620807672</v>
      </c>
      <c r="K151" s="33">
        <v>4.0657084188911705</v>
      </c>
      <c r="L151" s="33">
        <v>5.1937029431895958</v>
      </c>
      <c r="M151" s="33">
        <v>9.2594113620807672</v>
      </c>
      <c r="N151" s="33">
        <v>4.0547570157426422</v>
      </c>
      <c r="O151" s="33">
        <v>4.8733744010951403</v>
      </c>
      <c r="P151" s="33">
        <v>8.9281314168377826</v>
      </c>
      <c r="Q151" s="33" t="s">
        <v>7</v>
      </c>
      <c r="R151" s="33" t="s">
        <v>7</v>
      </c>
      <c r="S151" s="33" t="s">
        <v>7</v>
      </c>
      <c r="T151" s="34">
        <v>4</v>
      </c>
      <c r="U151" s="34">
        <v>16</v>
      </c>
      <c r="V151" s="4" t="s">
        <v>1</v>
      </c>
      <c r="W151" s="4">
        <v>1</v>
      </c>
      <c r="X151" s="4">
        <v>1</v>
      </c>
      <c r="Y151" s="4">
        <v>1</v>
      </c>
      <c r="Z151" s="56">
        <v>3</v>
      </c>
      <c r="AA151" s="9" cm="1">
        <f t="array" ref="AA151">IF(OR(AB151:AE151=""),"BLANK",IF(AND(AB151:AE151&lt;999),1,IF(AND(AB151:AE151="NA"),3,2)))</f>
        <v>1</v>
      </c>
      <c r="AB151" s="4">
        <v>20</v>
      </c>
      <c r="AC151" s="4">
        <v>20</v>
      </c>
      <c r="AD151" s="4">
        <v>16</v>
      </c>
      <c r="AE151" s="5">
        <v>56</v>
      </c>
      <c r="AF151" s="9">
        <f t="shared" si="2"/>
        <v>1</v>
      </c>
      <c r="AG151" s="5">
        <v>44</v>
      </c>
      <c r="AH151" s="9" cm="1">
        <f t="array" ref="AH151">IF(OR(AI151:AN151=""),"BLANK",IF(AND(AI151:AN151&lt;99),1,IF(AND(AI151:AN151="NA"),3,2)))</f>
        <v>3</v>
      </c>
      <c r="AI151" s="4" t="s">
        <v>7</v>
      </c>
      <c r="AJ151" s="4" t="s">
        <v>7</v>
      </c>
      <c r="AK151" s="4" t="s">
        <v>7</v>
      </c>
      <c r="AL151" s="4" t="s">
        <v>7</v>
      </c>
      <c r="AM151" s="4" t="s">
        <v>7</v>
      </c>
      <c r="AN151" s="5" t="s">
        <v>7</v>
      </c>
    </row>
    <row r="152" spans="1:40" x14ac:dyDescent="0.2">
      <c r="A152" s="39">
        <v>890</v>
      </c>
      <c r="B152" s="4" t="s">
        <v>47</v>
      </c>
      <c r="C152" s="30" t="s">
        <v>24</v>
      </c>
      <c r="D152" s="30">
        <v>5</v>
      </c>
      <c r="E152" s="30">
        <v>0</v>
      </c>
      <c r="F152" s="4">
        <v>3.9089999999999998</v>
      </c>
      <c r="G152" s="30">
        <v>26</v>
      </c>
      <c r="H152" s="33">
        <v>3.9945242984257359</v>
      </c>
      <c r="I152" s="33" t="s">
        <v>7</v>
      </c>
      <c r="J152" s="33" t="s">
        <v>7</v>
      </c>
      <c r="K152" s="33">
        <v>4.0136892539356603</v>
      </c>
      <c r="L152" s="33" t="s">
        <v>7</v>
      </c>
      <c r="M152" s="33" t="s">
        <v>7</v>
      </c>
      <c r="N152" s="33">
        <v>4.0109514031485283</v>
      </c>
      <c r="O152" s="33" t="s">
        <v>7</v>
      </c>
      <c r="P152" s="33" t="s">
        <v>7</v>
      </c>
      <c r="Q152" s="33" t="s">
        <v>7</v>
      </c>
      <c r="R152" s="33" t="s">
        <v>7</v>
      </c>
      <c r="S152" s="33" t="s">
        <v>7</v>
      </c>
      <c r="T152" s="34">
        <v>3</v>
      </c>
      <c r="U152" s="34">
        <v>15</v>
      </c>
      <c r="V152" s="4" t="s">
        <v>1</v>
      </c>
      <c r="W152" s="4">
        <v>1</v>
      </c>
      <c r="X152" s="4">
        <v>1</v>
      </c>
      <c r="Y152" s="4">
        <v>1</v>
      </c>
      <c r="Z152" s="56">
        <v>3</v>
      </c>
      <c r="AA152" s="9" cm="1">
        <f t="array" ref="AA152">IF(OR(AB152:AE152=""),"BLANK",IF(AND(AB152:AE152&lt;999),1,IF(AND(AB152:AE152="NA"),3,2)))</f>
        <v>1</v>
      </c>
      <c r="AB152" s="4">
        <v>25</v>
      </c>
      <c r="AC152" s="4">
        <v>17</v>
      </c>
      <c r="AD152" s="4">
        <v>11</v>
      </c>
      <c r="AE152" s="5">
        <v>53</v>
      </c>
      <c r="AF152" s="9">
        <f t="shared" si="2"/>
        <v>1</v>
      </c>
      <c r="AG152" s="5">
        <v>40</v>
      </c>
      <c r="AH152" s="9" cm="1">
        <f t="array" ref="AH152">IF(OR(AI152:AN152=""),"BLANK",IF(AND(AI152:AN152&lt;99),1,IF(AND(AI152:AN152="NA"),3,2)))</f>
        <v>3</v>
      </c>
      <c r="AI152" s="4" t="s">
        <v>7</v>
      </c>
      <c r="AJ152" s="4" t="s">
        <v>7</v>
      </c>
      <c r="AK152" s="4" t="s">
        <v>7</v>
      </c>
      <c r="AL152" s="4" t="s">
        <v>7</v>
      </c>
      <c r="AM152" s="4" t="s">
        <v>7</v>
      </c>
      <c r="AN152" s="5" t="s">
        <v>7</v>
      </c>
    </row>
    <row r="153" spans="1:40" x14ac:dyDescent="0.2">
      <c r="A153" s="39">
        <v>891</v>
      </c>
      <c r="B153" s="4" t="s">
        <v>56</v>
      </c>
      <c r="C153" s="30" t="s">
        <v>24</v>
      </c>
      <c r="D153" s="30">
        <v>5</v>
      </c>
      <c r="E153" s="30">
        <v>0</v>
      </c>
      <c r="F153" s="4">
        <v>3.3639999999999999</v>
      </c>
      <c r="G153" s="30">
        <v>29</v>
      </c>
      <c r="H153" s="33">
        <v>4.213552361396304</v>
      </c>
      <c r="I153" s="33">
        <v>5.678302532511978</v>
      </c>
      <c r="J153" s="33">
        <v>9.8918548939082829</v>
      </c>
      <c r="K153" s="33" t="s">
        <v>7</v>
      </c>
      <c r="L153" s="33">
        <v>5.6919917864476384</v>
      </c>
      <c r="M153" s="33" t="s">
        <v>7</v>
      </c>
      <c r="N153" s="33">
        <v>4.2327173169062284</v>
      </c>
      <c r="O153" s="33">
        <v>5.6399726214921291</v>
      </c>
      <c r="P153" s="33">
        <v>9.8726899383983575</v>
      </c>
      <c r="Q153" s="33" t="s">
        <v>7</v>
      </c>
      <c r="R153" s="33" t="s">
        <v>7</v>
      </c>
      <c r="S153" s="33" t="s">
        <v>7</v>
      </c>
      <c r="T153" s="34">
        <v>6</v>
      </c>
      <c r="U153" s="34">
        <v>18</v>
      </c>
      <c r="V153" s="4" t="s">
        <v>1</v>
      </c>
      <c r="W153" s="4">
        <v>1</v>
      </c>
      <c r="X153" s="4">
        <v>1</v>
      </c>
      <c r="Y153" s="4">
        <v>1</v>
      </c>
      <c r="Z153" s="56">
        <v>3</v>
      </c>
      <c r="AA153" s="9" cm="1">
        <f t="array" ref="AA153">IF(OR(AB153:AE153=""),"BLANK",IF(AND(AB153:AE153&lt;999),1,IF(AND(AB153:AE153="NA"),3,2)))</f>
        <v>1</v>
      </c>
      <c r="AB153" s="4">
        <v>48</v>
      </c>
      <c r="AC153" s="4">
        <v>25</v>
      </c>
      <c r="AD153" s="4">
        <v>19</v>
      </c>
      <c r="AE153" s="5">
        <v>92</v>
      </c>
      <c r="AF153" s="9">
        <f t="shared" si="2"/>
        <v>1</v>
      </c>
      <c r="AG153" s="5">
        <v>72</v>
      </c>
      <c r="AH153" s="9" cm="1">
        <f t="array" ref="AH153">IF(OR(AI153:AN153=""),"BLANK",IF(AND(AI153:AN153&lt;99),1,IF(AND(AI153:AN153="NA"),3,2)))</f>
        <v>3</v>
      </c>
      <c r="AI153" s="4" t="s">
        <v>7</v>
      </c>
      <c r="AJ153" s="4" t="s">
        <v>7</v>
      </c>
      <c r="AK153" s="4" t="s">
        <v>7</v>
      </c>
      <c r="AL153" s="4" t="s">
        <v>7</v>
      </c>
      <c r="AM153" s="4" t="s">
        <v>7</v>
      </c>
      <c r="AN153" s="5" t="s">
        <v>7</v>
      </c>
    </row>
    <row r="154" spans="1:40" x14ac:dyDescent="0.2">
      <c r="A154" s="39">
        <v>898</v>
      </c>
      <c r="B154" s="4" t="s">
        <v>61</v>
      </c>
      <c r="C154" s="30" t="s">
        <v>23</v>
      </c>
      <c r="D154" s="30">
        <v>5</v>
      </c>
      <c r="E154" s="30">
        <v>0</v>
      </c>
      <c r="F154" s="4">
        <v>3.7269999999999999</v>
      </c>
      <c r="G154" s="30">
        <v>28</v>
      </c>
      <c r="H154" s="33">
        <v>3.9835728952772076</v>
      </c>
      <c r="I154" s="33">
        <v>5.5770020533880906</v>
      </c>
      <c r="J154" s="33">
        <v>9.5605749486652982</v>
      </c>
      <c r="K154" s="33">
        <v>3.9835728952772076</v>
      </c>
      <c r="L154" s="33">
        <v>5.6618754277891856</v>
      </c>
      <c r="M154" s="33">
        <v>9.6454483230663932</v>
      </c>
      <c r="N154" s="33">
        <v>4.0410677618069819</v>
      </c>
      <c r="O154" s="33">
        <v>5.292265571526352</v>
      </c>
      <c r="P154" s="33">
        <v>9.3333333333333339</v>
      </c>
      <c r="Q154" s="33">
        <v>3.3374401095140316</v>
      </c>
      <c r="R154" s="33" t="s">
        <v>7</v>
      </c>
      <c r="S154" s="33" t="s">
        <v>7</v>
      </c>
      <c r="T154" s="34">
        <v>4</v>
      </c>
      <c r="U154" s="34">
        <v>16</v>
      </c>
      <c r="V154" s="4" t="s">
        <v>1</v>
      </c>
      <c r="W154" s="4">
        <v>1</v>
      </c>
      <c r="X154" s="4">
        <v>1</v>
      </c>
      <c r="Y154" s="4">
        <v>1</v>
      </c>
      <c r="Z154" s="56">
        <v>3</v>
      </c>
      <c r="AA154" s="9" cm="1">
        <f t="array" ref="AA154">IF(OR(AB154:AE154=""),"BLANK",IF(AND(AB154:AE154&lt;999),1,IF(AND(AB154:AE154="NA"),3,2)))</f>
        <v>1</v>
      </c>
      <c r="AB154" s="4">
        <v>38</v>
      </c>
      <c r="AC154" s="4">
        <v>23</v>
      </c>
      <c r="AD154" s="4">
        <v>14</v>
      </c>
      <c r="AE154" s="5">
        <v>75</v>
      </c>
      <c r="AF154" s="9">
        <f t="shared" si="2"/>
        <v>1</v>
      </c>
      <c r="AG154" s="5">
        <v>67</v>
      </c>
      <c r="AH154" s="9" cm="1">
        <f t="array" ref="AH154">IF(OR(AI154:AN154=""),"BLANK",IF(AND(AI154:AN154&lt;99),1,IF(AND(AI154:AN154="NA"),3,2)))</f>
        <v>3</v>
      </c>
      <c r="AI154" s="4" t="s">
        <v>7</v>
      </c>
      <c r="AJ154" s="4" t="s">
        <v>7</v>
      </c>
      <c r="AK154" s="4" t="s">
        <v>7</v>
      </c>
      <c r="AL154" s="4" t="s">
        <v>7</v>
      </c>
      <c r="AM154" s="4" t="s">
        <v>7</v>
      </c>
      <c r="AN154" s="5" t="s">
        <v>7</v>
      </c>
    </row>
    <row r="155" spans="1:40" x14ac:dyDescent="0.2">
      <c r="A155" s="39">
        <v>927</v>
      </c>
      <c r="B155" s="4" t="s">
        <v>49</v>
      </c>
      <c r="C155" s="30" t="s">
        <v>23</v>
      </c>
      <c r="D155" s="30">
        <v>5</v>
      </c>
      <c r="E155" s="30">
        <v>0</v>
      </c>
      <c r="F155" s="4">
        <v>4</v>
      </c>
      <c r="G155" s="30">
        <v>27</v>
      </c>
      <c r="H155" s="33">
        <v>4.1232032854209448</v>
      </c>
      <c r="I155" s="33">
        <v>5.3661875427789187</v>
      </c>
      <c r="J155" s="33">
        <v>9.4893908281998627</v>
      </c>
      <c r="K155" s="33">
        <v>4.1232032854209448</v>
      </c>
      <c r="L155" s="33">
        <v>5.3661875427789187</v>
      </c>
      <c r="M155" s="33">
        <v>9.4893908281998627</v>
      </c>
      <c r="N155" s="33">
        <v>4.1204654346338128</v>
      </c>
      <c r="O155" s="33">
        <v>4.9774127310061598</v>
      </c>
      <c r="P155" s="33">
        <v>9.0978781656399725</v>
      </c>
      <c r="Q155" s="33" t="s">
        <v>7</v>
      </c>
      <c r="R155" s="33" t="s">
        <v>7</v>
      </c>
      <c r="S155" s="33" t="s">
        <v>7</v>
      </c>
      <c r="T155" s="34">
        <v>4</v>
      </c>
      <c r="U155" s="34">
        <v>16</v>
      </c>
      <c r="V155" s="4" t="s">
        <v>1</v>
      </c>
      <c r="W155" s="4">
        <v>1</v>
      </c>
      <c r="X155" s="4">
        <v>1</v>
      </c>
      <c r="Y155" s="4">
        <v>1</v>
      </c>
      <c r="Z155" s="56">
        <v>3</v>
      </c>
      <c r="AA155" s="9" cm="1">
        <f t="array" ref="AA155">IF(OR(AB155:AE155=""),"BLANK",IF(AND(AB155:AE155&lt;999),1,IF(AND(AB155:AE155="NA"),3,2)))</f>
        <v>1</v>
      </c>
      <c r="AB155" s="4">
        <v>32</v>
      </c>
      <c r="AC155" s="4">
        <v>19</v>
      </c>
      <c r="AD155" s="4">
        <v>13</v>
      </c>
      <c r="AE155" s="5">
        <v>64</v>
      </c>
      <c r="AF155" s="9">
        <f t="shared" si="2"/>
        <v>1</v>
      </c>
      <c r="AG155" s="5">
        <v>79</v>
      </c>
      <c r="AH155" s="9" cm="1">
        <f t="array" ref="AH155">IF(OR(AI155:AN155=""),"BLANK",IF(AND(AI155:AN155&lt;99),1,IF(AND(AI155:AN155="NA"),3,2)))</f>
        <v>3</v>
      </c>
      <c r="AI155" s="4" t="s">
        <v>7</v>
      </c>
      <c r="AJ155" s="4" t="s">
        <v>7</v>
      </c>
      <c r="AK155" s="4" t="s">
        <v>7</v>
      </c>
      <c r="AL155" s="4" t="s">
        <v>7</v>
      </c>
      <c r="AM155" s="4" t="s">
        <v>7</v>
      </c>
      <c r="AN155" s="5" t="s">
        <v>7</v>
      </c>
    </row>
    <row r="156" spans="1:40" x14ac:dyDescent="0.2">
      <c r="A156" s="39">
        <v>929</v>
      </c>
      <c r="B156" s="4" t="s">
        <v>68</v>
      </c>
      <c r="C156" s="30" t="s">
        <v>23</v>
      </c>
      <c r="D156" s="30">
        <v>5</v>
      </c>
      <c r="E156" s="30">
        <v>0</v>
      </c>
      <c r="F156" s="4">
        <v>3.4550000000000001</v>
      </c>
      <c r="G156" s="30">
        <v>26</v>
      </c>
      <c r="H156" s="33">
        <v>4.0520191649555102</v>
      </c>
      <c r="I156" s="33" t="s">
        <v>7</v>
      </c>
      <c r="J156" s="33" t="s">
        <v>7</v>
      </c>
      <c r="K156" s="33">
        <v>4.0520191649555102</v>
      </c>
      <c r="L156" s="33" t="s">
        <v>7</v>
      </c>
      <c r="M156" s="33" t="s">
        <v>7</v>
      </c>
      <c r="N156" s="33">
        <v>4.0602327173169064</v>
      </c>
      <c r="O156" s="33" t="s">
        <v>7</v>
      </c>
      <c r="P156" s="33" t="s">
        <v>7</v>
      </c>
      <c r="Q156" s="33" t="s">
        <v>7</v>
      </c>
      <c r="R156" s="33" t="s">
        <v>7</v>
      </c>
      <c r="S156" s="33" t="s">
        <v>7</v>
      </c>
      <c r="T156" s="34">
        <v>3</v>
      </c>
      <c r="U156" s="34">
        <v>13</v>
      </c>
      <c r="V156" s="4" t="s">
        <v>1</v>
      </c>
      <c r="W156" s="4">
        <v>1</v>
      </c>
      <c r="X156" s="4">
        <v>1</v>
      </c>
      <c r="Y156" s="4">
        <v>1</v>
      </c>
      <c r="Z156" s="56">
        <v>3</v>
      </c>
      <c r="AA156" s="9" cm="1">
        <f t="array" ref="AA156">IF(OR(AB156:AE156=""),"BLANK",IF(AND(AB156:AE156&lt;999),1,IF(AND(AB156:AE156="NA"),3,2)))</f>
        <v>1</v>
      </c>
      <c r="AB156" s="4">
        <v>53</v>
      </c>
      <c r="AC156" s="4">
        <v>31</v>
      </c>
      <c r="AD156" s="4">
        <v>18</v>
      </c>
      <c r="AE156" s="5">
        <v>102</v>
      </c>
      <c r="AF156" s="9">
        <f t="shared" si="2"/>
        <v>1</v>
      </c>
      <c r="AG156" s="5">
        <v>90</v>
      </c>
      <c r="AH156" s="9" cm="1">
        <f t="array" ref="AH156">IF(OR(AI156:AN156=""),"BLANK",IF(AND(AI156:AN156&lt;99),1,IF(AND(AI156:AN156="NA"),3,2)))</f>
        <v>3</v>
      </c>
      <c r="AI156" s="4" t="s">
        <v>7</v>
      </c>
      <c r="AJ156" s="4" t="s">
        <v>7</v>
      </c>
      <c r="AK156" s="4" t="s">
        <v>7</v>
      </c>
      <c r="AL156" s="4" t="s">
        <v>7</v>
      </c>
      <c r="AM156" s="4" t="s">
        <v>7</v>
      </c>
      <c r="AN156" s="5" t="s">
        <v>7</v>
      </c>
    </row>
    <row r="157" spans="1:40" x14ac:dyDescent="0.2">
      <c r="A157" s="39">
        <v>934</v>
      </c>
      <c r="B157" s="4" t="s">
        <v>46</v>
      </c>
      <c r="C157" s="30" t="s">
        <v>23</v>
      </c>
      <c r="D157" s="30">
        <v>5</v>
      </c>
      <c r="E157" s="30">
        <v>0</v>
      </c>
      <c r="F157" s="4">
        <v>4</v>
      </c>
      <c r="G157" s="30">
        <v>28</v>
      </c>
      <c r="H157" s="33">
        <v>4.0273785078713207</v>
      </c>
      <c r="I157" s="33">
        <v>5.5195071868583163</v>
      </c>
      <c r="J157" s="33">
        <v>9.546885694729637</v>
      </c>
      <c r="K157" s="33">
        <v>4.0273785078713207</v>
      </c>
      <c r="L157" s="33">
        <v>5.5195071868583163</v>
      </c>
      <c r="M157" s="33">
        <v>9.546885694729637</v>
      </c>
      <c r="N157" s="33">
        <v>3.9726214921286789</v>
      </c>
      <c r="O157" s="33">
        <v>5.1964407939767279</v>
      </c>
      <c r="P157" s="33">
        <v>9.1690622861054081</v>
      </c>
      <c r="Q157" s="33">
        <v>3.2881587953456535</v>
      </c>
      <c r="R157" s="33">
        <v>6.4010951403148528</v>
      </c>
      <c r="S157" s="33">
        <v>9.6892539356605063</v>
      </c>
      <c r="T157" s="34">
        <v>3</v>
      </c>
      <c r="U157" s="34">
        <v>13</v>
      </c>
      <c r="V157" s="4" t="s">
        <v>1</v>
      </c>
      <c r="W157" s="4">
        <v>1</v>
      </c>
      <c r="X157" s="4">
        <v>1</v>
      </c>
      <c r="Y157" s="4">
        <v>1</v>
      </c>
      <c r="Z157" s="56">
        <v>3</v>
      </c>
      <c r="AA157" s="9" cm="1">
        <f t="array" ref="AA157">IF(OR(AB157:AE157=""),"BLANK",IF(AND(AB157:AE157&lt;999),1,IF(AND(AB157:AE157="NA"),3,2)))</f>
        <v>1</v>
      </c>
      <c r="AB157" s="4">
        <v>44</v>
      </c>
      <c r="AC157" s="4">
        <v>23</v>
      </c>
      <c r="AD157" s="4">
        <v>15</v>
      </c>
      <c r="AE157" s="5">
        <v>82</v>
      </c>
      <c r="AF157" s="9">
        <f t="shared" si="2"/>
        <v>1</v>
      </c>
      <c r="AG157" s="5">
        <v>68</v>
      </c>
      <c r="AH157" s="9" cm="1">
        <f t="array" ref="AH157">IF(OR(AI157:AN157=""),"BLANK",IF(AND(AI157:AN157&lt;99),1,IF(AND(AI157:AN157="NA"),3,2)))</f>
        <v>3</v>
      </c>
      <c r="AI157" s="4" t="s">
        <v>7</v>
      </c>
      <c r="AJ157" s="4" t="s">
        <v>7</v>
      </c>
      <c r="AK157" s="4" t="s">
        <v>7</v>
      </c>
      <c r="AL157" s="4" t="s">
        <v>7</v>
      </c>
      <c r="AM157" s="4" t="s">
        <v>7</v>
      </c>
      <c r="AN157" s="5" t="s">
        <v>7</v>
      </c>
    </row>
    <row r="158" spans="1:40" x14ac:dyDescent="0.2">
      <c r="A158" s="39">
        <v>935</v>
      </c>
      <c r="B158" s="4" t="s">
        <v>67</v>
      </c>
      <c r="C158" s="30" t="s">
        <v>24</v>
      </c>
      <c r="D158" s="30">
        <v>5</v>
      </c>
      <c r="E158" s="30">
        <v>0</v>
      </c>
      <c r="F158" s="4">
        <v>4</v>
      </c>
      <c r="G158" s="30">
        <v>26</v>
      </c>
      <c r="H158" s="33">
        <v>4.0136892539356603</v>
      </c>
      <c r="I158" s="33" t="s">
        <v>7</v>
      </c>
      <c r="J158" s="33" t="s">
        <v>7</v>
      </c>
      <c r="K158" s="33">
        <v>4.0109514031485283</v>
      </c>
      <c r="L158" s="33" t="s">
        <v>7</v>
      </c>
      <c r="M158" s="33" t="s">
        <v>7</v>
      </c>
      <c r="N158" s="33">
        <v>4.0027378507871321</v>
      </c>
      <c r="O158" s="33" t="s">
        <v>7</v>
      </c>
      <c r="P158" s="33" t="s">
        <v>7</v>
      </c>
      <c r="Q158" s="33">
        <v>3.2553045859000687</v>
      </c>
      <c r="R158" s="33" t="s">
        <v>7</v>
      </c>
      <c r="S158" s="33" t="s">
        <v>7</v>
      </c>
      <c r="T158" s="34">
        <v>5</v>
      </c>
      <c r="U158" s="34">
        <v>17</v>
      </c>
      <c r="V158" s="4" t="s">
        <v>1</v>
      </c>
      <c r="W158" s="4">
        <v>1</v>
      </c>
      <c r="X158" s="4">
        <v>1</v>
      </c>
      <c r="Y158" s="4">
        <v>1</v>
      </c>
      <c r="Z158" s="56">
        <v>3</v>
      </c>
      <c r="AA158" s="9" cm="1">
        <f t="array" ref="AA158">IF(OR(AB158:AE158=""),"BLANK",IF(AND(AB158:AE158&lt;999),1,IF(AND(AB158:AE158="NA"),3,2)))</f>
        <v>1</v>
      </c>
      <c r="AB158" s="4">
        <v>23</v>
      </c>
      <c r="AC158" s="4">
        <v>13</v>
      </c>
      <c r="AD158" s="4">
        <v>6</v>
      </c>
      <c r="AE158" s="5">
        <v>42</v>
      </c>
      <c r="AF158" s="9">
        <f t="shared" si="2"/>
        <v>1</v>
      </c>
      <c r="AG158" s="5">
        <v>40</v>
      </c>
      <c r="AH158" s="9" cm="1">
        <f t="array" ref="AH158">IF(OR(AI158:AN158=""),"BLANK",IF(AND(AI158:AN158&lt;99),1,IF(AND(AI158:AN158="NA"),3,2)))</f>
        <v>3</v>
      </c>
      <c r="AI158" s="4" t="s">
        <v>7</v>
      </c>
      <c r="AJ158" s="4" t="s">
        <v>7</v>
      </c>
      <c r="AK158" s="4" t="s">
        <v>7</v>
      </c>
      <c r="AL158" s="4" t="s">
        <v>7</v>
      </c>
      <c r="AM158" s="4" t="s">
        <v>7</v>
      </c>
      <c r="AN158" s="5" t="s">
        <v>7</v>
      </c>
    </row>
    <row r="159" spans="1:40" x14ac:dyDescent="0.2">
      <c r="A159" s="39">
        <v>940</v>
      </c>
      <c r="B159" s="4" t="s">
        <v>62</v>
      </c>
      <c r="C159" s="30" t="s">
        <v>23</v>
      </c>
      <c r="D159" s="30">
        <v>5</v>
      </c>
      <c r="E159" s="30">
        <v>0</v>
      </c>
      <c r="F159" s="4">
        <v>3</v>
      </c>
      <c r="G159" s="30">
        <v>29</v>
      </c>
      <c r="H159" s="33">
        <v>4.0629705681040384</v>
      </c>
      <c r="I159" s="33">
        <v>5.3497604380561263</v>
      </c>
      <c r="J159" s="33">
        <v>9.4127310061601648</v>
      </c>
      <c r="K159" s="33">
        <v>4.0629705681040384</v>
      </c>
      <c r="L159" s="33">
        <v>5.3935660506502394</v>
      </c>
      <c r="M159" s="33">
        <v>9.4565366187542779</v>
      </c>
      <c r="N159" s="33">
        <v>4.0246406570841886</v>
      </c>
      <c r="O159" s="33">
        <v>5.075975359342916</v>
      </c>
      <c r="P159" s="33">
        <v>9.1006160164271055</v>
      </c>
      <c r="Q159" s="33">
        <v>3.57015742642026</v>
      </c>
      <c r="R159" s="33">
        <v>6.0862422997946615</v>
      </c>
      <c r="S159" s="33">
        <v>9.6563997262149215</v>
      </c>
      <c r="T159" s="34">
        <v>3</v>
      </c>
      <c r="U159" s="34">
        <v>14</v>
      </c>
      <c r="V159" s="4" t="s">
        <v>1</v>
      </c>
      <c r="W159" s="4">
        <v>1</v>
      </c>
      <c r="X159" s="4">
        <v>1</v>
      </c>
      <c r="Y159" s="4">
        <v>1</v>
      </c>
      <c r="Z159" s="56">
        <v>3</v>
      </c>
      <c r="AA159" s="9" cm="1">
        <f t="array" ref="AA159">IF(OR(AB159:AE159=""),"BLANK",IF(AND(AB159:AE159&lt;999),1,IF(AND(AB159:AE159="NA"),3,2)))</f>
        <v>1</v>
      </c>
      <c r="AB159" s="4">
        <v>25</v>
      </c>
      <c r="AC159" s="4">
        <v>16</v>
      </c>
      <c r="AD159" s="4">
        <v>16</v>
      </c>
      <c r="AE159" s="5">
        <v>57</v>
      </c>
      <c r="AF159" s="9">
        <f t="shared" si="2"/>
        <v>1</v>
      </c>
      <c r="AG159" s="5">
        <v>46</v>
      </c>
      <c r="AH159" s="9" cm="1">
        <f t="array" ref="AH159">IF(OR(AI159:AN159=""),"BLANK",IF(AND(AI159:AN159&lt;99),1,IF(AND(AI159:AN159="NA"),3,2)))</f>
        <v>3</v>
      </c>
      <c r="AI159" s="4" t="s">
        <v>7</v>
      </c>
      <c r="AJ159" s="4" t="s">
        <v>7</v>
      </c>
      <c r="AK159" s="4" t="s">
        <v>7</v>
      </c>
      <c r="AL159" s="4" t="s">
        <v>7</v>
      </c>
      <c r="AM159" s="4" t="s">
        <v>7</v>
      </c>
      <c r="AN159" s="5" t="s">
        <v>7</v>
      </c>
    </row>
    <row r="160" spans="1:40" x14ac:dyDescent="0.2">
      <c r="A160" s="39">
        <v>941</v>
      </c>
      <c r="B160" s="4" t="s">
        <v>50</v>
      </c>
      <c r="C160" s="30" t="s">
        <v>23</v>
      </c>
      <c r="D160" s="30">
        <v>5</v>
      </c>
      <c r="E160" s="30">
        <v>0</v>
      </c>
      <c r="F160" s="4">
        <v>3.6360000000000001</v>
      </c>
      <c r="G160" s="30">
        <v>29</v>
      </c>
      <c r="H160" s="33" t="s">
        <v>7</v>
      </c>
      <c r="I160" s="33" t="s">
        <v>7</v>
      </c>
      <c r="J160" s="33">
        <v>9.8945927446954141</v>
      </c>
      <c r="K160" s="33" t="s">
        <v>7</v>
      </c>
      <c r="L160" s="33" t="s">
        <v>7</v>
      </c>
      <c r="M160" s="33">
        <v>9.9657768651608496</v>
      </c>
      <c r="N160" s="33" t="s">
        <v>7</v>
      </c>
      <c r="O160" s="33" t="s">
        <v>7</v>
      </c>
      <c r="P160" s="33">
        <v>9.7549623545516777</v>
      </c>
      <c r="Q160" s="33" t="s">
        <v>7</v>
      </c>
      <c r="R160" s="33" t="s">
        <v>7</v>
      </c>
      <c r="S160" s="33" t="s">
        <v>7</v>
      </c>
      <c r="T160" s="34">
        <v>6</v>
      </c>
      <c r="U160" s="34">
        <v>18</v>
      </c>
      <c r="V160" s="4" t="s">
        <v>1</v>
      </c>
      <c r="W160" s="4">
        <v>1</v>
      </c>
      <c r="X160" s="4">
        <v>1</v>
      </c>
      <c r="Y160" s="4">
        <v>1</v>
      </c>
      <c r="Z160" s="56">
        <v>3</v>
      </c>
      <c r="AA160" s="9" cm="1">
        <f t="array" ref="AA160">IF(OR(AB160:AE160=""),"BLANK",IF(AND(AB160:AE160&lt;999),1,IF(AND(AB160:AE160="NA"),3,2)))</f>
        <v>1</v>
      </c>
      <c r="AB160" s="4">
        <v>50</v>
      </c>
      <c r="AC160" s="4">
        <v>17</v>
      </c>
      <c r="AD160" s="4">
        <v>14</v>
      </c>
      <c r="AE160" s="5">
        <v>81</v>
      </c>
      <c r="AF160" s="9">
        <f t="shared" si="2"/>
        <v>1</v>
      </c>
      <c r="AG160" s="5">
        <v>77</v>
      </c>
      <c r="AH160" s="9" cm="1">
        <f t="array" ref="AH160">IF(OR(AI160:AN160=""),"BLANK",IF(AND(AI160:AN160&lt;99),1,IF(AND(AI160:AN160="NA"),3,2)))</f>
        <v>3</v>
      </c>
      <c r="AI160" s="4" t="s">
        <v>7</v>
      </c>
      <c r="AJ160" s="4" t="s">
        <v>7</v>
      </c>
      <c r="AK160" s="4" t="s">
        <v>7</v>
      </c>
      <c r="AL160" s="4" t="s">
        <v>7</v>
      </c>
      <c r="AM160" s="4" t="s">
        <v>7</v>
      </c>
      <c r="AN160" s="5" t="s">
        <v>7</v>
      </c>
    </row>
    <row r="161" spans="1:40" x14ac:dyDescent="0.2">
      <c r="A161" s="39">
        <v>943</v>
      </c>
      <c r="B161" s="4" t="s">
        <v>51</v>
      </c>
      <c r="C161" s="30" t="s">
        <v>24</v>
      </c>
      <c r="D161" s="30">
        <v>5</v>
      </c>
      <c r="E161" s="30">
        <v>0</v>
      </c>
      <c r="F161" s="4">
        <v>3.6360000000000001</v>
      </c>
      <c r="G161" s="30">
        <v>29</v>
      </c>
      <c r="H161" s="33">
        <v>4.301163586584531</v>
      </c>
      <c r="I161" s="33" t="s">
        <v>7</v>
      </c>
      <c r="J161" s="33" t="s">
        <v>7</v>
      </c>
      <c r="K161" s="33">
        <v>4.301163586584531</v>
      </c>
      <c r="L161" s="33" t="s">
        <v>7</v>
      </c>
      <c r="M161" s="33" t="s">
        <v>7</v>
      </c>
      <c r="N161" s="33">
        <v>3.9698836413415468</v>
      </c>
      <c r="O161" s="33" t="s">
        <v>7</v>
      </c>
      <c r="P161" s="33" t="s">
        <v>7</v>
      </c>
      <c r="Q161" s="33">
        <v>3.3511293634496919</v>
      </c>
      <c r="R161" s="33" t="s">
        <v>7</v>
      </c>
      <c r="S161" s="33" t="s">
        <v>7</v>
      </c>
      <c r="T161" s="34">
        <v>3</v>
      </c>
      <c r="U161" s="34">
        <v>14</v>
      </c>
      <c r="V161" s="4" t="s">
        <v>1</v>
      </c>
      <c r="W161" s="4">
        <v>1</v>
      </c>
      <c r="X161" s="4">
        <v>1</v>
      </c>
      <c r="Y161" s="4">
        <v>1</v>
      </c>
      <c r="Z161" s="56">
        <v>3</v>
      </c>
      <c r="AA161" s="9" cm="1">
        <f t="array" ref="AA161">IF(OR(AB161:AE161=""),"BLANK",IF(AND(AB161:AE161&lt;999),1,IF(AND(AB161:AE161="NA"),3,2)))</f>
        <v>1</v>
      </c>
      <c r="AB161" s="4">
        <v>53</v>
      </c>
      <c r="AC161" s="4">
        <v>25</v>
      </c>
      <c r="AD161" s="4">
        <v>16</v>
      </c>
      <c r="AE161" s="5">
        <v>94</v>
      </c>
      <c r="AF161" s="9">
        <f t="shared" si="2"/>
        <v>1</v>
      </c>
      <c r="AG161" s="5">
        <v>66</v>
      </c>
      <c r="AH161" s="9" cm="1">
        <f t="array" ref="AH161">IF(OR(AI161:AN161=""),"BLANK",IF(AND(AI161:AN161&lt;99),1,IF(AND(AI161:AN161="NA"),3,2)))</f>
        <v>3</v>
      </c>
      <c r="AI161" s="4" t="s">
        <v>7</v>
      </c>
      <c r="AJ161" s="4" t="s">
        <v>7</v>
      </c>
      <c r="AK161" s="4" t="s">
        <v>7</v>
      </c>
      <c r="AL161" s="4" t="s">
        <v>7</v>
      </c>
      <c r="AM161" s="4" t="s">
        <v>7</v>
      </c>
      <c r="AN161" s="5" t="s">
        <v>7</v>
      </c>
    </row>
    <row r="162" spans="1:40" x14ac:dyDescent="0.2">
      <c r="A162" s="39">
        <v>946</v>
      </c>
      <c r="B162" s="4" t="s">
        <v>61</v>
      </c>
      <c r="C162" s="30" t="s">
        <v>24</v>
      </c>
      <c r="D162" s="30">
        <v>5</v>
      </c>
      <c r="E162" s="30">
        <v>0</v>
      </c>
      <c r="F162" s="4">
        <v>3.5449999999999999</v>
      </c>
      <c r="G162" s="30">
        <v>30</v>
      </c>
      <c r="H162" s="33">
        <v>4.0301163586584527</v>
      </c>
      <c r="I162" s="33">
        <v>5.3059548254620124</v>
      </c>
      <c r="J162" s="33">
        <v>9.3360711841204651</v>
      </c>
      <c r="K162" s="33">
        <v>4.0301163586584527</v>
      </c>
      <c r="L162" s="33">
        <v>5.3059548254620124</v>
      </c>
      <c r="M162" s="33">
        <v>9.3360711841204651</v>
      </c>
      <c r="N162" s="33">
        <v>4.0082135523613962</v>
      </c>
      <c r="O162" s="33">
        <v>5.2703627652292946</v>
      </c>
      <c r="P162" s="33">
        <v>9.2785763175906908</v>
      </c>
      <c r="Q162" s="33" t="s">
        <v>7</v>
      </c>
      <c r="R162" s="33" t="s">
        <v>7</v>
      </c>
      <c r="S162" s="33" t="s">
        <v>7</v>
      </c>
      <c r="T162" s="34">
        <v>3</v>
      </c>
      <c r="U162" s="34">
        <v>15</v>
      </c>
      <c r="V162" s="4" t="s">
        <v>1</v>
      </c>
      <c r="W162" s="4">
        <v>1</v>
      </c>
      <c r="X162" s="4">
        <v>1</v>
      </c>
      <c r="Y162" s="4">
        <v>1</v>
      </c>
      <c r="Z162" s="56">
        <v>3</v>
      </c>
      <c r="AA162" s="9" cm="1">
        <f t="array" ref="AA162">IF(OR(AB162:AE162=""),"BLANK",IF(AND(AB162:AE162&lt;999),1,IF(AND(AB162:AE162="NA"),3,2)))</f>
        <v>1</v>
      </c>
      <c r="AB162" s="4">
        <v>32</v>
      </c>
      <c r="AC162" s="4">
        <v>23</v>
      </c>
      <c r="AD162" s="4">
        <v>14</v>
      </c>
      <c r="AE162" s="5">
        <v>69</v>
      </c>
      <c r="AF162" s="9">
        <f t="shared" si="2"/>
        <v>1</v>
      </c>
      <c r="AG162" s="5">
        <v>59</v>
      </c>
      <c r="AH162" s="9" cm="1">
        <f t="array" ref="AH162">IF(OR(AI162:AN162=""),"BLANK",IF(AND(AI162:AN162&lt;99),1,IF(AND(AI162:AN162="NA"),3,2)))</f>
        <v>3</v>
      </c>
      <c r="AI162" s="4" t="s">
        <v>7</v>
      </c>
      <c r="AJ162" s="4" t="s">
        <v>7</v>
      </c>
      <c r="AK162" s="4" t="s">
        <v>7</v>
      </c>
      <c r="AL162" s="4" t="s">
        <v>7</v>
      </c>
      <c r="AM162" s="4" t="s">
        <v>7</v>
      </c>
      <c r="AN162" s="5" t="s">
        <v>7</v>
      </c>
    </row>
    <row r="163" spans="1:40" x14ac:dyDescent="0.2">
      <c r="A163" s="39">
        <v>953</v>
      </c>
      <c r="B163" s="4" t="s">
        <v>64</v>
      </c>
      <c r="C163" s="30" t="s">
        <v>23</v>
      </c>
      <c r="D163" s="30">
        <v>4</v>
      </c>
      <c r="E163" s="30">
        <v>0</v>
      </c>
      <c r="F163" s="4">
        <v>4</v>
      </c>
      <c r="G163" s="30">
        <v>27</v>
      </c>
      <c r="H163" s="33">
        <v>3.7754962354551678</v>
      </c>
      <c r="I163" s="33" t="s">
        <v>7</v>
      </c>
      <c r="J163" s="33" t="s">
        <v>7</v>
      </c>
      <c r="K163" s="33" t="s">
        <v>7</v>
      </c>
      <c r="L163" s="33" t="s">
        <v>7</v>
      </c>
      <c r="M163" s="33" t="s">
        <v>7</v>
      </c>
      <c r="N163" s="33">
        <v>3.893223819301848</v>
      </c>
      <c r="O163" s="33" t="s">
        <v>7</v>
      </c>
      <c r="P163" s="33" t="s">
        <v>7</v>
      </c>
      <c r="Q163" s="33">
        <v>3.3127994524298425</v>
      </c>
      <c r="R163" s="33" t="s">
        <v>7</v>
      </c>
      <c r="S163" s="33" t="s">
        <v>7</v>
      </c>
      <c r="T163" s="34">
        <v>3</v>
      </c>
      <c r="U163" s="34">
        <v>15</v>
      </c>
      <c r="V163" s="4" t="s">
        <v>1</v>
      </c>
      <c r="W163" s="4">
        <v>1</v>
      </c>
      <c r="X163" s="4">
        <v>1</v>
      </c>
      <c r="Y163" s="4">
        <v>1</v>
      </c>
      <c r="Z163" s="56">
        <v>3</v>
      </c>
      <c r="AA163" s="9" cm="1">
        <f t="array" ref="AA163">IF(OR(AB163:AE163=""),"BLANK",IF(AND(AB163:AE163&lt;999),1,IF(AND(AB163:AE163="NA"),3,2)))</f>
        <v>1</v>
      </c>
      <c r="AB163" s="4">
        <v>29</v>
      </c>
      <c r="AC163" s="4">
        <v>16</v>
      </c>
      <c r="AD163" s="4">
        <v>13</v>
      </c>
      <c r="AE163" s="5">
        <v>58</v>
      </c>
      <c r="AF163" s="9">
        <f t="shared" si="2"/>
        <v>1</v>
      </c>
      <c r="AG163" s="5">
        <v>44</v>
      </c>
      <c r="AH163" s="9" cm="1">
        <f t="array" ref="AH163">IF(OR(AI163:AN163=""),"BLANK",IF(AND(AI163:AN163&lt;99),1,IF(AND(AI163:AN163="NA"),3,2)))</f>
        <v>3</v>
      </c>
      <c r="AI163" s="4" t="s">
        <v>7</v>
      </c>
      <c r="AJ163" s="4" t="s">
        <v>7</v>
      </c>
      <c r="AK163" s="4" t="s">
        <v>7</v>
      </c>
      <c r="AL163" s="4" t="s">
        <v>7</v>
      </c>
      <c r="AM163" s="4" t="s">
        <v>7</v>
      </c>
      <c r="AN163" s="5" t="s">
        <v>7</v>
      </c>
    </row>
    <row r="164" spans="1:40" x14ac:dyDescent="0.2">
      <c r="A164" s="39">
        <v>961</v>
      </c>
      <c r="B164" s="4" t="s">
        <v>53</v>
      </c>
      <c r="C164" s="30" t="s">
        <v>24</v>
      </c>
      <c r="D164" s="30">
        <v>5</v>
      </c>
      <c r="E164" s="30">
        <v>0</v>
      </c>
      <c r="F164" s="4">
        <v>3.4550000000000001</v>
      </c>
      <c r="G164" s="30">
        <v>30</v>
      </c>
      <c r="H164" s="33">
        <v>4.1998631074606436</v>
      </c>
      <c r="I164" s="33" t="s">
        <v>7</v>
      </c>
      <c r="J164" s="33" t="s">
        <v>7</v>
      </c>
      <c r="K164" s="33">
        <v>4.1998631074606436</v>
      </c>
      <c r="L164" s="33" t="s">
        <v>7</v>
      </c>
      <c r="M164" s="33" t="s">
        <v>7</v>
      </c>
      <c r="N164" s="33">
        <v>4.1834360027378512</v>
      </c>
      <c r="O164" s="33" t="s">
        <v>7</v>
      </c>
      <c r="P164" s="33" t="s">
        <v>7</v>
      </c>
      <c r="Q164" s="33" t="s">
        <v>7</v>
      </c>
      <c r="R164" s="33" t="s">
        <v>7</v>
      </c>
      <c r="S164" s="33" t="s">
        <v>7</v>
      </c>
      <c r="T164" s="34">
        <v>3</v>
      </c>
      <c r="U164" s="34">
        <v>14</v>
      </c>
      <c r="V164" s="4" t="s">
        <v>1</v>
      </c>
      <c r="W164" s="4">
        <v>1</v>
      </c>
      <c r="X164" s="4">
        <v>1</v>
      </c>
      <c r="Y164" s="4">
        <v>1</v>
      </c>
      <c r="Z164" s="56">
        <v>3</v>
      </c>
      <c r="AA164" s="9" cm="1">
        <f t="array" ref="AA164">IF(OR(AB164:AE164=""),"BLANK",IF(AND(AB164:AE164&lt;999),1,IF(AND(AB164:AE164="NA"),3,2)))</f>
        <v>1</v>
      </c>
      <c r="AB164" s="4">
        <v>44</v>
      </c>
      <c r="AC164" s="4">
        <v>22</v>
      </c>
      <c r="AD164" s="4">
        <v>19</v>
      </c>
      <c r="AE164" s="5">
        <v>85</v>
      </c>
      <c r="AF164" s="9">
        <f t="shared" si="2"/>
        <v>1</v>
      </c>
      <c r="AG164" s="5">
        <v>64</v>
      </c>
      <c r="AH164" s="9" cm="1">
        <f t="array" ref="AH164">IF(OR(AI164:AN164=""),"BLANK",IF(AND(AI164:AN164&lt;99),1,IF(AND(AI164:AN164="NA"),3,2)))</f>
        <v>3</v>
      </c>
      <c r="AI164" s="4" t="s">
        <v>7</v>
      </c>
      <c r="AJ164" s="4" t="s">
        <v>7</v>
      </c>
      <c r="AK164" s="4" t="s">
        <v>7</v>
      </c>
      <c r="AL164" s="4" t="s">
        <v>7</v>
      </c>
      <c r="AM164" s="4" t="s">
        <v>7</v>
      </c>
      <c r="AN164" s="5" t="s">
        <v>7</v>
      </c>
    </row>
    <row r="165" spans="1:40" x14ac:dyDescent="0.2">
      <c r="A165" s="39">
        <v>965</v>
      </c>
      <c r="B165" s="4" t="s">
        <v>46</v>
      </c>
      <c r="C165" s="30" t="s">
        <v>23</v>
      </c>
      <c r="D165" s="30">
        <v>5</v>
      </c>
      <c r="E165" s="30">
        <v>0</v>
      </c>
      <c r="F165" s="4">
        <v>3.7269999999999999</v>
      </c>
      <c r="G165" s="30">
        <v>29</v>
      </c>
      <c r="H165" s="33">
        <v>4.0520191649555102</v>
      </c>
      <c r="I165" s="33" t="s">
        <v>7</v>
      </c>
      <c r="J165" s="33" t="s">
        <v>7</v>
      </c>
      <c r="K165" s="33">
        <v>4.0520191649555102</v>
      </c>
      <c r="L165" s="33" t="s">
        <v>7</v>
      </c>
      <c r="M165" s="33" t="s">
        <v>7</v>
      </c>
      <c r="N165" s="33" t="s">
        <v>7</v>
      </c>
      <c r="O165" s="33" t="s">
        <v>7</v>
      </c>
      <c r="P165" s="33" t="s">
        <v>7</v>
      </c>
      <c r="Q165" s="33" t="s">
        <v>7</v>
      </c>
      <c r="R165" s="33" t="s">
        <v>7</v>
      </c>
      <c r="S165" s="33" t="s">
        <v>7</v>
      </c>
      <c r="T165" s="34">
        <v>7</v>
      </c>
      <c r="U165" s="34">
        <v>21</v>
      </c>
      <c r="V165" s="4" t="s">
        <v>1</v>
      </c>
      <c r="W165" s="4">
        <v>1</v>
      </c>
      <c r="X165" s="4">
        <v>1</v>
      </c>
      <c r="Y165" s="4">
        <v>1</v>
      </c>
      <c r="Z165" s="56">
        <v>3</v>
      </c>
      <c r="AA165" s="9" cm="1">
        <f t="array" ref="AA165">IF(OR(AB165:AE165=""),"BLANK",IF(AND(AB165:AE165&lt;999),1,IF(AND(AB165:AE165="NA"),3,2)))</f>
        <v>1</v>
      </c>
      <c r="AB165" s="4">
        <v>30</v>
      </c>
      <c r="AC165" s="4">
        <v>19</v>
      </c>
      <c r="AD165" s="4">
        <v>14</v>
      </c>
      <c r="AE165" s="5">
        <v>63</v>
      </c>
      <c r="AF165" s="9">
        <f t="shared" si="2"/>
        <v>1</v>
      </c>
      <c r="AG165" s="5">
        <v>45</v>
      </c>
      <c r="AH165" s="9" cm="1">
        <f t="array" ref="AH165">IF(OR(AI165:AN165=""),"BLANK",IF(AND(AI165:AN165&lt;99),1,IF(AND(AI165:AN165="NA"),3,2)))</f>
        <v>3</v>
      </c>
      <c r="AI165" s="4" t="s">
        <v>7</v>
      </c>
      <c r="AJ165" s="4" t="s">
        <v>7</v>
      </c>
      <c r="AK165" s="4" t="s">
        <v>7</v>
      </c>
      <c r="AL165" s="4" t="s">
        <v>7</v>
      </c>
      <c r="AM165" s="4" t="s">
        <v>7</v>
      </c>
      <c r="AN165" s="5" t="s">
        <v>7</v>
      </c>
    </row>
    <row r="166" spans="1:40" x14ac:dyDescent="0.2">
      <c r="A166" s="39">
        <v>974</v>
      </c>
      <c r="B166" s="4" t="s">
        <v>61</v>
      </c>
      <c r="C166" s="30" t="s">
        <v>24</v>
      </c>
      <c r="D166" s="30">
        <v>5</v>
      </c>
      <c r="E166" s="30">
        <v>0</v>
      </c>
      <c r="F166" s="4">
        <v>4</v>
      </c>
      <c r="G166" s="30">
        <v>29</v>
      </c>
      <c r="H166" s="33">
        <v>4.0876112251882271</v>
      </c>
      <c r="I166" s="33" t="s">
        <v>7</v>
      </c>
      <c r="J166" s="33" t="s">
        <v>7</v>
      </c>
      <c r="K166" s="33">
        <v>4.1505817932922655</v>
      </c>
      <c r="L166" s="33" t="s">
        <v>7</v>
      </c>
      <c r="M166" s="33" t="s">
        <v>7</v>
      </c>
      <c r="N166" s="33">
        <v>4.043805612594114</v>
      </c>
      <c r="O166" s="33">
        <v>4.9418206707734429</v>
      </c>
      <c r="P166" s="33">
        <v>8.9856262833675569</v>
      </c>
      <c r="Q166" s="33" t="s">
        <v>7</v>
      </c>
      <c r="R166" s="33" t="s">
        <v>7</v>
      </c>
      <c r="S166" s="33" t="s">
        <v>7</v>
      </c>
      <c r="T166" s="34">
        <v>6</v>
      </c>
      <c r="U166" s="34">
        <v>18</v>
      </c>
      <c r="V166" s="4" t="s">
        <v>1</v>
      </c>
      <c r="W166" s="4">
        <v>1</v>
      </c>
      <c r="X166" s="4">
        <v>1</v>
      </c>
      <c r="Y166" s="4">
        <v>1</v>
      </c>
      <c r="Z166" s="56">
        <v>3</v>
      </c>
      <c r="AA166" s="9" cm="1">
        <f t="array" ref="AA166">IF(OR(AB166:AE166=""),"BLANK",IF(AND(AB166:AE166&lt;999),1,IF(AND(AB166:AE166="NA"),3,2)))</f>
        <v>1</v>
      </c>
      <c r="AB166" s="4">
        <v>29</v>
      </c>
      <c r="AC166" s="4">
        <v>12</v>
      </c>
      <c r="AD166" s="4">
        <v>9</v>
      </c>
      <c r="AE166" s="5">
        <v>50</v>
      </c>
      <c r="AF166" s="9">
        <f t="shared" si="2"/>
        <v>1</v>
      </c>
      <c r="AG166" s="5">
        <v>43</v>
      </c>
      <c r="AH166" s="9" cm="1">
        <f t="array" ref="AH166">IF(OR(AI166:AN166=""),"BLANK",IF(AND(AI166:AN166&lt;99),1,IF(AND(AI166:AN166="NA"),3,2)))</f>
        <v>3</v>
      </c>
      <c r="AI166" s="4" t="s">
        <v>7</v>
      </c>
      <c r="AJ166" s="4" t="s">
        <v>7</v>
      </c>
      <c r="AK166" s="4" t="s">
        <v>7</v>
      </c>
      <c r="AL166" s="4" t="s">
        <v>7</v>
      </c>
      <c r="AM166" s="4" t="s">
        <v>7</v>
      </c>
      <c r="AN166" s="5" t="s">
        <v>7</v>
      </c>
    </row>
    <row r="167" spans="1:40" x14ac:dyDescent="0.2">
      <c r="A167" s="39">
        <v>975</v>
      </c>
      <c r="B167" s="4" t="s">
        <v>55</v>
      </c>
      <c r="C167" s="30" t="s">
        <v>23</v>
      </c>
      <c r="D167" s="30">
        <v>3</v>
      </c>
      <c r="E167" s="30">
        <v>1</v>
      </c>
      <c r="F167" s="4">
        <v>3.1819999999999999</v>
      </c>
      <c r="G167" s="30">
        <v>28</v>
      </c>
      <c r="H167" s="33" t="s">
        <v>7</v>
      </c>
      <c r="I167" s="33" t="s">
        <v>7</v>
      </c>
      <c r="J167" s="33">
        <v>9.6865160848733751</v>
      </c>
      <c r="K167" s="33" t="s">
        <v>7</v>
      </c>
      <c r="L167" s="33" t="s">
        <v>7</v>
      </c>
      <c r="M167" s="33" t="s">
        <v>7</v>
      </c>
      <c r="N167" s="33" t="s">
        <v>7</v>
      </c>
      <c r="O167" s="33" t="s">
        <v>7</v>
      </c>
      <c r="P167" s="33">
        <v>9.5989048596851472</v>
      </c>
      <c r="Q167" s="33" t="s">
        <v>7</v>
      </c>
      <c r="R167" s="33" t="s">
        <v>7</v>
      </c>
      <c r="S167" s="33" t="s">
        <v>7</v>
      </c>
      <c r="T167" s="34">
        <v>1</v>
      </c>
      <c r="U167" s="34">
        <v>11</v>
      </c>
      <c r="V167" s="4" t="s">
        <v>1</v>
      </c>
      <c r="W167" s="4">
        <v>1</v>
      </c>
      <c r="X167" s="4">
        <v>1</v>
      </c>
      <c r="Y167" s="4">
        <v>1</v>
      </c>
      <c r="Z167" s="56">
        <v>3</v>
      </c>
      <c r="AA167" s="9" cm="1">
        <f t="array" ref="AA167">IF(OR(AB167:AE167=""),"BLANK",IF(AND(AB167:AE167&lt;999),1,IF(AND(AB167:AE167="NA"),3,2)))</f>
        <v>1</v>
      </c>
      <c r="AB167" s="4">
        <v>36</v>
      </c>
      <c r="AC167" s="4">
        <v>24</v>
      </c>
      <c r="AD167" s="4">
        <v>17</v>
      </c>
      <c r="AE167" s="5">
        <v>77</v>
      </c>
      <c r="AF167" s="9">
        <f t="shared" si="2"/>
        <v>1</v>
      </c>
      <c r="AG167" s="5">
        <v>72</v>
      </c>
      <c r="AH167" s="9" cm="1">
        <f t="array" ref="AH167">IF(OR(AI167:AN167=""),"BLANK",IF(AND(AI167:AN167&lt;99),1,IF(AND(AI167:AN167="NA"),3,2)))</f>
        <v>3</v>
      </c>
      <c r="AI167" s="4" t="s">
        <v>7</v>
      </c>
      <c r="AJ167" s="4" t="s">
        <v>7</v>
      </c>
      <c r="AK167" s="4" t="s">
        <v>7</v>
      </c>
      <c r="AL167" s="4" t="s">
        <v>7</v>
      </c>
      <c r="AM167" s="4" t="s">
        <v>7</v>
      </c>
      <c r="AN167" s="5" t="s">
        <v>7</v>
      </c>
    </row>
    <row r="168" spans="1:40" x14ac:dyDescent="0.2">
      <c r="A168" s="39">
        <v>976</v>
      </c>
      <c r="B168" s="4" t="s">
        <v>61</v>
      </c>
      <c r="C168" s="30" t="s">
        <v>23</v>
      </c>
      <c r="D168" s="30">
        <v>5</v>
      </c>
      <c r="E168" s="30">
        <v>0</v>
      </c>
      <c r="F168" s="4">
        <v>3.9089999999999998</v>
      </c>
      <c r="G168" s="30">
        <v>30</v>
      </c>
      <c r="H168" s="33">
        <v>3.9698836413415468</v>
      </c>
      <c r="I168" s="33">
        <v>5.4948665297741277</v>
      </c>
      <c r="J168" s="33">
        <v>9.464750171115675</v>
      </c>
      <c r="K168" s="33">
        <v>3.9698836413415468</v>
      </c>
      <c r="L168" s="33">
        <v>5.4948665297741277</v>
      </c>
      <c r="M168" s="33">
        <v>9.464750171115675</v>
      </c>
      <c r="N168" s="33">
        <v>4.0301163586584527</v>
      </c>
      <c r="O168" s="33">
        <v>5.0020533880903493</v>
      </c>
      <c r="P168" s="33">
        <v>9.0321697467488029</v>
      </c>
      <c r="Q168" s="33">
        <v>3.3675564681724848</v>
      </c>
      <c r="R168" s="33">
        <v>5.9274469541409998</v>
      </c>
      <c r="S168" s="33">
        <v>9.2950034223134832</v>
      </c>
      <c r="T168" s="34">
        <v>3</v>
      </c>
      <c r="U168" s="34">
        <v>14</v>
      </c>
      <c r="V168" s="4" t="s">
        <v>1</v>
      </c>
      <c r="W168" s="4">
        <v>1</v>
      </c>
      <c r="X168" s="4">
        <v>1</v>
      </c>
      <c r="Y168" s="4">
        <v>1</v>
      </c>
      <c r="Z168" s="56">
        <v>3</v>
      </c>
      <c r="AA168" s="9" cm="1">
        <f t="array" ref="AA168">IF(OR(AB168:AE168=""),"BLANK",IF(AND(AB168:AE168&lt;999),1,IF(AND(AB168:AE168="NA"),3,2)))</f>
        <v>1</v>
      </c>
      <c r="AB168" s="4">
        <v>30</v>
      </c>
      <c r="AC168" s="4">
        <v>17</v>
      </c>
      <c r="AD168" s="4">
        <v>12</v>
      </c>
      <c r="AE168" s="5">
        <v>59</v>
      </c>
      <c r="AF168" s="9">
        <f t="shared" si="2"/>
        <v>1</v>
      </c>
      <c r="AG168" s="5">
        <v>58</v>
      </c>
      <c r="AH168" s="9" cm="1">
        <f t="array" ref="AH168">IF(OR(AI168:AN168=""),"BLANK",IF(AND(AI168:AN168&lt;99),1,IF(AND(AI168:AN168="NA"),3,2)))</f>
        <v>3</v>
      </c>
      <c r="AI168" s="4" t="s">
        <v>7</v>
      </c>
      <c r="AJ168" s="4" t="s">
        <v>7</v>
      </c>
      <c r="AK168" s="4" t="s">
        <v>7</v>
      </c>
      <c r="AL168" s="4" t="s">
        <v>7</v>
      </c>
      <c r="AM168" s="4" t="s">
        <v>7</v>
      </c>
      <c r="AN168" s="5" t="s">
        <v>7</v>
      </c>
    </row>
    <row r="169" spans="1:40" x14ac:dyDescent="0.2">
      <c r="A169" s="39">
        <v>978</v>
      </c>
      <c r="B169" s="4" t="s">
        <v>46</v>
      </c>
      <c r="C169" s="30" t="s">
        <v>24</v>
      </c>
      <c r="D169" s="30">
        <v>5</v>
      </c>
      <c r="E169" s="30">
        <v>0</v>
      </c>
      <c r="F169" s="4">
        <v>3.7269999999999999</v>
      </c>
      <c r="G169" s="30">
        <v>28</v>
      </c>
      <c r="H169" s="33" t="s">
        <v>7</v>
      </c>
      <c r="I169" s="33" t="s">
        <v>7</v>
      </c>
      <c r="J169" s="33" t="s">
        <v>7</v>
      </c>
      <c r="K169" s="33" t="s">
        <v>7</v>
      </c>
      <c r="L169" s="33" t="s">
        <v>7</v>
      </c>
      <c r="M169" s="33" t="s">
        <v>7</v>
      </c>
      <c r="N169" s="33" t="s">
        <v>7</v>
      </c>
      <c r="O169" s="33" t="s">
        <v>7</v>
      </c>
      <c r="P169" s="33" t="s">
        <v>7</v>
      </c>
      <c r="Q169" s="33" t="s">
        <v>7</v>
      </c>
      <c r="R169" s="33" t="s">
        <v>7</v>
      </c>
      <c r="S169" s="33" t="s">
        <v>7</v>
      </c>
      <c r="T169" s="34">
        <v>6</v>
      </c>
      <c r="U169" s="34">
        <v>18</v>
      </c>
      <c r="V169" s="4" t="s">
        <v>1</v>
      </c>
      <c r="W169" s="4">
        <v>1</v>
      </c>
      <c r="X169" s="4">
        <v>1</v>
      </c>
      <c r="Y169" s="4">
        <v>1</v>
      </c>
      <c r="Z169" s="56">
        <v>3</v>
      </c>
      <c r="AA169" s="9" cm="1">
        <f t="array" ref="AA169">IF(OR(AB169:AE169=""),"BLANK",IF(AND(AB169:AE169&lt;999),1,IF(AND(AB169:AE169="NA"),3,2)))</f>
        <v>1</v>
      </c>
      <c r="AB169" s="4">
        <v>40</v>
      </c>
      <c r="AC169" s="4">
        <v>20</v>
      </c>
      <c r="AD169" s="4">
        <v>12</v>
      </c>
      <c r="AE169" s="5">
        <v>72</v>
      </c>
      <c r="AF169" s="9">
        <f t="shared" si="2"/>
        <v>1</v>
      </c>
      <c r="AG169" s="5">
        <v>60</v>
      </c>
      <c r="AH169" s="9" cm="1">
        <f t="array" ref="AH169">IF(OR(AI169:AN169=""),"BLANK",IF(AND(AI169:AN169&lt;99),1,IF(AND(AI169:AN169="NA"),3,2)))</f>
        <v>3</v>
      </c>
      <c r="AI169" s="4" t="s">
        <v>7</v>
      </c>
      <c r="AJ169" s="4" t="s">
        <v>7</v>
      </c>
      <c r="AK169" s="4" t="s">
        <v>7</v>
      </c>
      <c r="AL169" s="4" t="s">
        <v>7</v>
      </c>
      <c r="AM169" s="4" t="s">
        <v>7</v>
      </c>
      <c r="AN169" s="5" t="s">
        <v>7</v>
      </c>
    </row>
    <row r="170" spans="1:40" x14ac:dyDescent="0.2">
      <c r="A170" s="39">
        <v>980</v>
      </c>
      <c r="B170" s="4" t="s">
        <v>46</v>
      </c>
      <c r="C170" s="30" t="s">
        <v>24</v>
      </c>
      <c r="D170" s="30">
        <v>5</v>
      </c>
      <c r="E170" s="30">
        <v>0</v>
      </c>
      <c r="F170" s="4">
        <v>3.8180000000000001</v>
      </c>
      <c r="G170" s="30">
        <v>27</v>
      </c>
      <c r="H170" s="33" t="s">
        <v>7</v>
      </c>
      <c r="I170" s="33" t="s">
        <v>7</v>
      </c>
      <c r="J170" s="33" t="s">
        <v>7</v>
      </c>
      <c r="K170" s="33" t="s">
        <v>7</v>
      </c>
      <c r="L170" s="33" t="s">
        <v>7</v>
      </c>
      <c r="M170" s="33" t="s">
        <v>7</v>
      </c>
      <c r="N170" s="33" t="s">
        <v>7</v>
      </c>
      <c r="O170" s="33" t="s">
        <v>7</v>
      </c>
      <c r="P170" s="33" t="s">
        <v>7</v>
      </c>
      <c r="Q170" s="33" t="s">
        <v>7</v>
      </c>
      <c r="R170" s="33" t="s">
        <v>7</v>
      </c>
      <c r="S170" s="33" t="s">
        <v>7</v>
      </c>
      <c r="T170" s="34">
        <v>7</v>
      </c>
      <c r="U170" s="34">
        <v>21</v>
      </c>
      <c r="V170" s="4" t="s">
        <v>1</v>
      </c>
      <c r="W170" s="4">
        <v>1</v>
      </c>
      <c r="X170" s="4">
        <v>1</v>
      </c>
      <c r="Y170" s="4">
        <v>1</v>
      </c>
      <c r="Z170" s="56">
        <v>3</v>
      </c>
      <c r="AA170" s="9" cm="1">
        <f t="array" ref="AA170">IF(OR(AB170:AE170=""),"BLANK",IF(AND(AB170:AE170&lt;999),1,IF(AND(AB170:AE170="NA"),3,2)))</f>
        <v>1</v>
      </c>
      <c r="AB170" s="4">
        <v>26</v>
      </c>
      <c r="AC170" s="4">
        <v>19</v>
      </c>
      <c r="AD170" s="4">
        <v>12</v>
      </c>
      <c r="AE170" s="5">
        <v>57</v>
      </c>
      <c r="AF170" s="9">
        <f t="shared" si="2"/>
        <v>3</v>
      </c>
      <c r="AG170" s="5" t="s">
        <v>7</v>
      </c>
      <c r="AH170" s="9" cm="1">
        <f t="array" ref="AH170">IF(OR(AI170:AN170=""),"BLANK",IF(AND(AI170:AN170&lt;99),1,IF(AND(AI170:AN170="NA"),3,2)))</f>
        <v>3</v>
      </c>
      <c r="AI170" s="4" t="s">
        <v>7</v>
      </c>
      <c r="AJ170" s="4" t="s">
        <v>7</v>
      </c>
      <c r="AK170" s="4" t="s">
        <v>7</v>
      </c>
      <c r="AL170" s="4" t="s">
        <v>7</v>
      </c>
      <c r="AM170" s="4" t="s">
        <v>7</v>
      </c>
      <c r="AN170" s="5" t="s">
        <v>7</v>
      </c>
    </row>
    <row r="171" spans="1:40" x14ac:dyDescent="0.2">
      <c r="A171" s="39">
        <v>988</v>
      </c>
      <c r="B171" s="4" t="s">
        <v>56</v>
      </c>
      <c r="C171" s="30" t="s">
        <v>23</v>
      </c>
      <c r="D171" s="30">
        <v>5</v>
      </c>
      <c r="E171" s="30">
        <v>0</v>
      </c>
      <c r="F171" s="4">
        <v>3.2730000000000001</v>
      </c>
      <c r="G171" s="30">
        <v>28</v>
      </c>
      <c r="H171" s="33">
        <v>4.1067761806981515</v>
      </c>
      <c r="I171" s="33">
        <v>5.6427104722792611</v>
      </c>
      <c r="J171" s="33">
        <v>9.7494866529774136</v>
      </c>
      <c r="K171" s="33">
        <v>4.1067761806981515</v>
      </c>
      <c r="L171" s="33">
        <v>5.6399726214921291</v>
      </c>
      <c r="M171" s="33">
        <v>9.7467488021902806</v>
      </c>
      <c r="N171" s="33">
        <v>3.9288158795345653</v>
      </c>
      <c r="O171" s="33">
        <v>5.637234770704997</v>
      </c>
      <c r="P171" s="33">
        <v>9.5660506502395624</v>
      </c>
      <c r="Q171" s="33" t="s">
        <v>7</v>
      </c>
      <c r="R171" s="33" t="s">
        <v>7</v>
      </c>
      <c r="S171" s="33" t="s">
        <v>7</v>
      </c>
      <c r="T171" s="34">
        <v>5</v>
      </c>
      <c r="U171" s="34">
        <v>17</v>
      </c>
      <c r="V171" s="4" t="s">
        <v>1</v>
      </c>
      <c r="W171" s="4">
        <v>1</v>
      </c>
      <c r="X171" s="4">
        <v>1</v>
      </c>
      <c r="Y171" s="4">
        <v>1</v>
      </c>
      <c r="Z171" s="56">
        <v>3</v>
      </c>
      <c r="AA171" s="9" cm="1">
        <f t="array" ref="AA171">IF(OR(AB171:AE171=""),"BLANK",IF(AND(AB171:AE171&lt;999),1,IF(AND(AB171:AE171="NA"),3,2)))</f>
        <v>1</v>
      </c>
      <c r="AB171" s="4">
        <v>37</v>
      </c>
      <c r="AC171" s="4">
        <v>20</v>
      </c>
      <c r="AD171" s="4">
        <v>14</v>
      </c>
      <c r="AE171" s="5">
        <v>71</v>
      </c>
      <c r="AF171" s="9">
        <f t="shared" si="2"/>
        <v>1</v>
      </c>
      <c r="AG171" s="5">
        <v>61</v>
      </c>
      <c r="AH171" s="9" cm="1">
        <f t="array" ref="AH171">IF(OR(AI171:AN171=""),"BLANK",IF(AND(AI171:AN171&lt;99),1,IF(AND(AI171:AN171="NA"),3,2)))</f>
        <v>3</v>
      </c>
      <c r="AI171" s="4" t="s">
        <v>7</v>
      </c>
      <c r="AJ171" s="4" t="s">
        <v>7</v>
      </c>
      <c r="AK171" s="4" t="s">
        <v>7</v>
      </c>
      <c r="AL171" s="4" t="s">
        <v>7</v>
      </c>
      <c r="AM171" s="4" t="s">
        <v>7</v>
      </c>
      <c r="AN171" s="5" t="s">
        <v>7</v>
      </c>
    </row>
    <row r="172" spans="1:40" x14ac:dyDescent="0.2">
      <c r="A172" s="39">
        <v>989</v>
      </c>
      <c r="B172" s="4" t="s">
        <v>56</v>
      </c>
      <c r="C172" s="30" t="s">
        <v>24</v>
      </c>
      <c r="D172" s="30">
        <v>5</v>
      </c>
      <c r="E172" s="30">
        <v>0</v>
      </c>
      <c r="F172" s="4">
        <v>3.6360000000000001</v>
      </c>
      <c r="G172" s="30">
        <v>29</v>
      </c>
      <c r="H172" s="33">
        <v>4.1067761806981515</v>
      </c>
      <c r="I172" s="33">
        <v>5.6427104722792611</v>
      </c>
      <c r="J172" s="33">
        <v>9.7494866529774136</v>
      </c>
      <c r="K172" s="33">
        <v>4.1067761806981515</v>
      </c>
      <c r="L172" s="33">
        <v>5.6399726214921291</v>
      </c>
      <c r="M172" s="33">
        <v>9.7467488021902806</v>
      </c>
      <c r="N172" s="33">
        <v>3.9425051334702257</v>
      </c>
      <c r="O172" s="33">
        <v>5.6344969199178641</v>
      </c>
      <c r="P172" s="33">
        <v>9.5770020533880906</v>
      </c>
      <c r="Q172" s="33" t="s">
        <v>7</v>
      </c>
      <c r="R172" s="33" t="s">
        <v>7</v>
      </c>
      <c r="S172" s="33" t="s">
        <v>7</v>
      </c>
      <c r="T172" s="34">
        <v>4</v>
      </c>
      <c r="U172" s="34">
        <v>16</v>
      </c>
      <c r="V172" s="4" t="s">
        <v>1</v>
      </c>
      <c r="W172" s="4">
        <v>1</v>
      </c>
      <c r="X172" s="4">
        <v>1</v>
      </c>
      <c r="Y172" s="4">
        <v>1</v>
      </c>
      <c r="Z172" s="56">
        <v>3</v>
      </c>
      <c r="AA172" s="9" cm="1">
        <f t="array" ref="AA172">IF(OR(AB172:AE172=""),"BLANK",IF(AND(AB172:AE172&lt;999),1,IF(AND(AB172:AE172="NA"),3,2)))</f>
        <v>1</v>
      </c>
      <c r="AB172" s="4">
        <v>37</v>
      </c>
      <c r="AC172" s="4">
        <v>21</v>
      </c>
      <c r="AD172" s="4">
        <v>12</v>
      </c>
      <c r="AE172" s="5">
        <v>70</v>
      </c>
      <c r="AF172" s="9">
        <f t="shared" si="2"/>
        <v>1</v>
      </c>
      <c r="AG172" s="5">
        <v>66</v>
      </c>
      <c r="AH172" s="9" cm="1">
        <f t="array" ref="AH172">IF(OR(AI172:AN172=""),"BLANK",IF(AND(AI172:AN172&lt;99),1,IF(AND(AI172:AN172="NA"),3,2)))</f>
        <v>3</v>
      </c>
      <c r="AI172" s="4" t="s">
        <v>7</v>
      </c>
      <c r="AJ172" s="4" t="s">
        <v>7</v>
      </c>
      <c r="AK172" s="4" t="s">
        <v>7</v>
      </c>
      <c r="AL172" s="4" t="s">
        <v>7</v>
      </c>
      <c r="AM172" s="4" t="s">
        <v>7</v>
      </c>
      <c r="AN172" s="5" t="s">
        <v>7</v>
      </c>
    </row>
    <row r="173" spans="1:40" x14ac:dyDescent="0.2">
      <c r="A173" s="39">
        <v>998</v>
      </c>
      <c r="B173" s="4" t="s">
        <v>56</v>
      </c>
      <c r="C173" s="30" t="s">
        <v>23</v>
      </c>
      <c r="D173" s="30">
        <v>5</v>
      </c>
      <c r="E173" s="30">
        <v>0</v>
      </c>
      <c r="F173" s="4">
        <v>3.5449999999999999</v>
      </c>
      <c r="G173" s="30">
        <v>30</v>
      </c>
      <c r="H173" s="33">
        <v>4.043805612594114</v>
      </c>
      <c r="I173" s="33" t="s">
        <v>7</v>
      </c>
      <c r="J173" s="33" t="s">
        <v>7</v>
      </c>
      <c r="K173" s="33">
        <v>4.0328542094455848</v>
      </c>
      <c r="L173" s="33" t="s">
        <v>7</v>
      </c>
      <c r="M173" s="33" t="s">
        <v>7</v>
      </c>
      <c r="N173" s="33">
        <v>3.9616700889801506</v>
      </c>
      <c r="O173" s="33" t="s">
        <v>7</v>
      </c>
      <c r="P173" s="33" t="s">
        <v>7</v>
      </c>
      <c r="Q173" s="33" t="s">
        <v>7</v>
      </c>
      <c r="R173" s="33" t="s">
        <v>7</v>
      </c>
      <c r="S173" s="33" t="s">
        <v>7</v>
      </c>
      <c r="T173" s="34">
        <v>7</v>
      </c>
      <c r="U173" s="34">
        <v>21</v>
      </c>
      <c r="V173" s="4" t="s">
        <v>1</v>
      </c>
      <c r="W173" s="4">
        <v>1</v>
      </c>
      <c r="X173" s="4">
        <v>1</v>
      </c>
      <c r="Y173" s="4">
        <v>1</v>
      </c>
      <c r="Z173" s="56">
        <v>3</v>
      </c>
      <c r="AA173" s="9" cm="1">
        <f t="array" ref="AA173">IF(OR(AB173:AE173=""),"BLANK",IF(AND(AB173:AE173&lt;999),1,IF(AND(AB173:AE173="NA"),3,2)))</f>
        <v>1</v>
      </c>
      <c r="AB173" s="4">
        <v>42</v>
      </c>
      <c r="AC173" s="4">
        <v>29</v>
      </c>
      <c r="AD173" s="4">
        <v>16</v>
      </c>
      <c r="AE173" s="5">
        <v>87</v>
      </c>
      <c r="AF173" s="9">
        <f t="shared" si="2"/>
        <v>1</v>
      </c>
      <c r="AG173" s="5">
        <v>77</v>
      </c>
      <c r="AH173" s="9" cm="1">
        <f t="array" ref="AH173">IF(OR(AI173:AN173=""),"BLANK",IF(AND(AI173:AN173&lt;99),1,IF(AND(AI173:AN173="NA"),3,2)))</f>
        <v>3</v>
      </c>
      <c r="AI173" s="4" t="s">
        <v>7</v>
      </c>
      <c r="AJ173" s="4" t="s">
        <v>7</v>
      </c>
      <c r="AK173" s="4" t="s">
        <v>7</v>
      </c>
      <c r="AL173" s="4" t="s">
        <v>7</v>
      </c>
      <c r="AM173" s="4" t="s">
        <v>7</v>
      </c>
      <c r="AN173" s="5" t="s">
        <v>7</v>
      </c>
    </row>
    <row r="174" spans="1:40" x14ac:dyDescent="0.2">
      <c r="A174" s="39">
        <v>1003</v>
      </c>
      <c r="B174" s="4" t="s">
        <v>46</v>
      </c>
      <c r="C174" s="30" t="s">
        <v>24</v>
      </c>
      <c r="D174" s="30">
        <v>5</v>
      </c>
      <c r="E174" s="30">
        <v>0</v>
      </c>
      <c r="F174" s="4">
        <v>4</v>
      </c>
      <c r="G174" s="30">
        <v>28</v>
      </c>
      <c r="H174" s="33">
        <v>3.9342915811088295</v>
      </c>
      <c r="I174" s="33">
        <v>5.2731006160164275</v>
      </c>
      <c r="J174" s="33">
        <v>9.207392197125257</v>
      </c>
      <c r="K174" s="33">
        <v>3.9342915811088295</v>
      </c>
      <c r="L174" s="33">
        <v>5.2731006160164275</v>
      </c>
      <c r="M174" s="33">
        <v>9.207392197125257</v>
      </c>
      <c r="N174" s="33">
        <v>3.9206023271731691</v>
      </c>
      <c r="O174" s="33">
        <v>5.0020533880903493</v>
      </c>
      <c r="P174" s="33">
        <v>8.9226557152635184</v>
      </c>
      <c r="Q174" s="33">
        <v>3.2772073921971252</v>
      </c>
      <c r="R174" s="33">
        <v>6.362765229295003</v>
      </c>
      <c r="S174" s="33">
        <v>9.6399726214921291</v>
      </c>
      <c r="T174" s="34">
        <v>3</v>
      </c>
      <c r="U174" s="34">
        <v>15</v>
      </c>
      <c r="V174" s="4" t="s">
        <v>1</v>
      </c>
      <c r="W174" s="4">
        <v>1</v>
      </c>
      <c r="X174" s="4">
        <v>1</v>
      </c>
      <c r="Y174" s="4">
        <v>1</v>
      </c>
      <c r="Z174" s="56">
        <v>3</v>
      </c>
      <c r="AA174" s="9" cm="1">
        <f t="array" ref="AA174">IF(OR(AB174:AE174=""),"BLANK",IF(AND(AB174:AE174&lt;999),1,IF(AND(AB174:AE174="NA"),3,2)))</f>
        <v>1</v>
      </c>
      <c r="AB174" s="4">
        <v>32</v>
      </c>
      <c r="AC174" s="4">
        <v>16</v>
      </c>
      <c r="AD174" s="4">
        <v>13</v>
      </c>
      <c r="AE174" s="5">
        <v>61</v>
      </c>
      <c r="AF174" s="9">
        <f t="shared" si="2"/>
        <v>1</v>
      </c>
      <c r="AG174" s="5">
        <v>49</v>
      </c>
      <c r="AH174" s="9" cm="1">
        <f t="array" ref="AH174">IF(OR(AI174:AN174=""),"BLANK",IF(AND(AI174:AN174&lt;99),1,IF(AND(AI174:AN174="NA"),3,2)))</f>
        <v>3</v>
      </c>
      <c r="AI174" s="4" t="s">
        <v>7</v>
      </c>
      <c r="AJ174" s="4" t="s">
        <v>7</v>
      </c>
      <c r="AK174" s="4" t="s">
        <v>7</v>
      </c>
      <c r="AL174" s="4" t="s">
        <v>7</v>
      </c>
      <c r="AM174" s="4" t="s">
        <v>7</v>
      </c>
      <c r="AN174" s="5" t="s">
        <v>7</v>
      </c>
    </row>
    <row r="175" spans="1:40" x14ac:dyDescent="0.2">
      <c r="A175" s="39">
        <v>1007</v>
      </c>
      <c r="B175" s="4" t="s">
        <v>47</v>
      </c>
      <c r="C175" s="30" t="s">
        <v>24</v>
      </c>
      <c r="D175" s="30">
        <v>5</v>
      </c>
      <c r="E175" s="30">
        <v>0</v>
      </c>
      <c r="F175" s="4">
        <v>3.5449999999999999</v>
      </c>
      <c r="G175" s="30">
        <v>29</v>
      </c>
      <c r="H175" s="33">
        <v>4.0821355236139629</v>
      </c>
      <c r="I175" s="33">
        <v>5.0650239561943877</v>
      </c>
      <c r="J175" s="33">
        <v>9.1471594798083498</v>
      </c>
      <c r="K175" s="33">
        <v>4.1013004791238874</v>
      </c>
      <c r="L175" s="33">
        <v>5.0485968514715944</v>
      </c>
      <c r="M175" s="33">
        <v>9.1498973305954827</v>
      </c>
      <c r="N175" s="33">
        <v>4.0273785078713207</v>
      </c>
      <c r="O175" s="33">
        <v>4.9993155373032172</v>
      </c>
      <c r="P175" s="33">
        <v>9.0266940451745388</v>
      </c>
      <c r="Q175" s="33">
        <v>3.482546201232033</v>
      </c>
      <c r="R175" s="33">
        <v>5.7960301163586587</v>
      </c>
      <c r="S175" s="33">
        <v>9.2785763175906908</v>
      </c>
      <c r="T175" s="34">
        <v>6</v>
      </c>
      <c r="U175" s="34">
        <v>18</v>
      </c>
      <c r="V175" s="4" t="s">
        <v>1</v>
      </c>
      <c r="W175" s="4">
        <v>1</v>
      </c>
      <c r="X175" s="4">
        <v>1</v>
      </c>
      <c r="Y175" s="4">
        <v>1</v>
      </c>
      <c r="Z175" s="56">
        <v>3</v>
      </c>
      <c r="AA175" s="9" cm="1">
        <f t="array" ref="AA175">IF(OR(AB175:AE175=""),"BLANK",IF(AND(AB175:AE175&lt;999),1,IF(AND(AB175:AE175="NA"),3,2)))</f>
        <v>1</v>
      </c>
      <c r="AB175" s="4">
        <v>31</v>
      </c>
      <c r="AC175" s="4">
        <v>17</v>
      </c>
      <c r="AD175" s="4">
        <v>8</v>
      </c>
      <c r="AE175" s="5">
        <v>56</v>
      </c>
      <c r="AF175" s="9">
        <f t="shared" si="2"/>
        <v>1</v>
      </c>
      <c r="AG175" s="5">
        <v>35</v>
      </c>
      <c r="AH175" s="9" cm="1">
        <f t="array" ref="AH175">IF(OR(AI175:AN175=""),"BLANK",IF(AND(AI175:AN175&lt;99),1,IF(AND(AI175:AN175="NA"),3,2)))</f>
        <v>3</v>
      </c>
      <c r="AI175" s="4" t="s">
        <v>7</v>
      </c>
      <c r="AJ175" s="4" t="s">
        <v>7</v>
      </c>
      <c r="AK175" s="4" t="s">
        <v>7</v>
      </c>
      <c r="AL175" s="4" t="s">
        <v>7</v>
      </c>
      <c r="AM175" s="4" t="s">
        <v>7</v>
      </c>
      <c r="AN175" s="5" t="s">
        <v>7</v>
      </c>
    </row>
    <row r="176" spans="1:40" x14ac:dyDescent="0.2">
      <c r="A176" s="39">
        <v>1008</v>
      </c>
      <c r="B176" s="4" t="s">
        <v>53</v>
      </c>
      <c r="C176" s="30" t="s">
        <v>24</v>
      </c>
      <c r="D176" s="30">
        <v>2</v>
      </c>
      <c r="E176" s="30">
        <v>0</v>
      </c>
      <c r="F176" s="4">
        <v>4</v>
      </c>
      <c r="G176" s="30">
        <v>29</v>
      </c>
      <c r="H176" s="33">
        <v>4.043805612594114</v>
      </c>
      <c r="I176" s="33" t="s">
        <v>7</v>
      </c>
      <c r="J176" s="33" t="s">
        <v>7</v>
      </c>
      <c r="K176" s="33">
        <v>4.043805612594114</v>
      </c>
      <c r="L176" s="33" t="s">
        <v>7</v>
      </c>
      <c r="M176" s="33" t="s">
        <v>7</v>
      </c>
      <c r="N176" s="33">
        <v>4.0739219712525667</v>
      </c>
      <c r="O176" s="33" t="s">
        <v>7</v>
      </c>
      <c r="P176" s="33" t="s">
        <v>7</v>
      </c>
      <c r="Q176" s="33" t="s">
        <v>7</v>
      </c>
      <c r="R176" s="33" t="s">
        <v>7</v>
      </c>
      <c r="S176" s="33" t="s">
        <v>7</v>
      </c>
      <c r="T176" s="34">
        <v>4</v>
      </c>
      <c r="U176" s="34">
        <v>16</v>
      </c>
      <c r="V176" s="4" t="s">
        <v>1</v>
      </c>
      <c r="W176" s="4">
        <v>1</v>
      </c>
      <c r="X176" s="4">
        <v>1</v>
      </c>
      <c r="Y176" s="4">
        <v>1</v>
      </c>
      <c r="Z176" s="56">
        <v>3</v>
      </c>
      <c r="AA176" s="9" cm="1">
        <f t="array" ref="AA176">IF(OR(AB176:AE176=""),"BLANK",IF(AND(AB176:AE176&lt;999),1,IF(AND(AB176:AE176="NA"),3,2)))</f>
        <v>1</v>
      </c>
      <c r="AB176" s="4">
        <v>37</v>
      </c>
      <c r="AC176" s="4">
        <v>27</v>
      </c>
      <c r="AD176" s="4">
        <v>18</v>
      </c>
      <c r="AE176" s="5">
        <v>82</v>
      </c>
      <c r="AF176" s="9">
        <f t="shared" si="2"/>
        <v>1</v>
      </c>
      <c r="AG176" s="5">
        <v>77</v>
      </c>
      <c r="AH176" s="9" cm="1">
        <f t="array" ref="AH176">IF(OR(AI176:AN176=""),"BLANK",IF(AND(AI176:AN176&lt;99),1,IF(AND(AI176:AN176="NA"),3,2)))</f>
        <v>3</v>
      </c>
      <c r="AI176" s="4" t="s">
        <v>7</v>
      </c>
      <c r="AJ176" s="4" t="s">
        <v>7</v>
      </c>
      <c r="AK176" s="4" t="s">
        <v>7</v>
      </c>
      <c r="AL176" s="4" t="s">
        <v>7</v>
      </c>
      <c r="AM176" s="4" t="s">
        <v>7</v>
      </c>
      <c r="AN176" s="5" t="s">
        <v>7</v>
      </c>
    </row>
    <row r="177" spans="1:40" x14ac:dyDescent="0.2">
      <c r="A177" s="39">
        <v>1011</v>
      </c>
      <c r="B177" s="4" t="s">
        <v>48</v>
      </c>
      <c r="C177" s="30" t="s">
        <v>24</v>
      </c>
      <c r="D177" s="30">
        <v>5</v>
      </c>
      <c r="E177" s="30">
        <v>0</v>
      </c>
      <c r="F177" s="4">
        <v>3.3639999999999999</v>
      </c>
      <c r="G177" s="30">
        <v>27</v>
      </c>
      <c r="H177" s="33" t="s">
        <v>7</v>
      </c>
      <c r="I177" s="33" t="s">
        <v>7</v>
      </c>
      <c r="J177" s="33" t="s">
        <v>7</v>
      </c>
      <c r="K177" s="33" t="s">
        <v>7</v>
      </c>
      <c r="L177" s="33" t="s">
        <v>7</v>
      </c>
      <c r="M177" s="33" t="s">
        <v>7</v>
      </c>
      <c r="N177" s="33" t="s">
        <v>7</v>
      </c>
      <c r="O177" s="33" t="s">
        <v>7</v>
      </c>
      <c r="P177" s="33" t="s">
        <v>7</v>
      </c>
      <c r="Q177" s="33" t="s">
        <v>7</v>
      </c>
      <c r="R177" s="33" t="s">
        <v>7</v>
      </c>
      <c r="S177" s="33" t="s">
        <v>7</v>
      </c>
      <c r="T177" s="34">
        <v>3</v>
      </c>
      <c r="U177" s="34">
        <v>14</v>
      </c>
      <c r="V177" s="4" t="s">
        <v>1</v>
      </c>
      <c r="W177" s="4">
        <v>1</v>
      </c>
      <c r="X177" s="4">
        <v>1</v>
      </c>
      <c r="Y177" s="4">
        <v>1</v>
      </c>
      <c r="Z177" s="56">
        <v>3</v>
      </c>
      <c r="AA177" s="9" cm="1">
        <f t="array" ref="AA177">IF(OR(AB177:AE177=""),"BLANK",IF(AND(AB177:AE177&lt;999),1,IF(AND(AB177:AE177="NA"),3,2)))</f>
        <v>1</v>
      </c>
      <c r="AB177" s="4">
        <v>20</v>
      </c>
      <c r="AC177" s="4">
        <v>12</v>
      </c>
      <c r="AD177" s="4">
        <v>9</v>
      </c>
      <c r="AE177" s="5">
        <v>41</v>
      </c>
      <c r="AF177" s="9">
        <f t="shared" si="2"/>
        <v>1</v>
      </c>
      <c r="AG177" s="5">
        <v>29</v>
      </c>
      <c r="AH177" s="9" cm="1">
        <f t="array" ref="AH177">IF(OR(AI177:AN177=""),"BLANK",IF(AND(AI177:AN177&lt;99),1,IF(AND(AI177:AN177="NA"),3,2)))</f>
        <v>3</v>
      </c>
      <c r="AI177" s="4" t="s">
        <v>7</v>
      </c>
      <c r="AJ177" s="4" t="s">
        <v>7</v>
      </c>
      <c r="AK177" s="4" t="s">
        <v>7</v>
      </c>
      <c r="AL177" s="4" t="s">
        <v>7</v>
      </c>
      <c r="AM177" s="4" t="s">
        <v>7</v>
      </c>
      <c r="AN177" s="5" t="s">
        <v>7</v>
      </c>
    </row>
    <row r="178" spans="1:40" x14ac:dyDescent="0.2">
      <c r="A178" s="39">
        <v>1013</v>
      </c>
      <c r="B178" s="4" t="s">
        <v>53</v>
      </c>
      <c r="C178" s="30" t="s">
        <v>23</v>
      </c>
      <c r="D178" s="30">
        <v>5</v>
      </c>
      <c r="E178" s="30">
        <v>0</v>
      </c>
      <c r="F178" s="4">
        <v>4</v>
      </c>
      <c r="G178" s="30">
        <v>29</v>
      </c>
      <c r="H178" s="33">
        <v>4.0219028062970565</v>
      </c>
      <c r="I178" s="33">
        <v>5.0841889117043122</v>
      </c>
      <c r="J178" s="33">
        <v>9.1060917180013696</v>
      </c>
      <c r="K178" s="33">
        <v>4.0219028062970565</v>
      </c>
      <c r="L178" s="33">
        <v>5.0841889117043122</v>
      </c>
      <c r="M178" s="33">
        <v>9.1060917180013696</v>
      </c>
      <c r="N178" s="33">
        <v>4.0574948665297743</v>
      </c>
      <c r="O178" s="33">
        <v>4.7912388774811774</v>
      </c>
      <c r="P178" s="33">
        <v>8.8487337440109517</v>
      </c>
      <c r="Q178" s="33" t="s">
        <v>7</v>
      </c>
      <c r="R178" s="33" t="s">
        <v>7</v>
      </c>
      <c r="S178" s="33" t="s">
        <v>7</v>
      </c>
      <c r="T178" s="34">
        <v>3</v>
      </c>
      <c r="U178" s="34">
        <v>15</v>
      </c>
      <c r="V178" s="4" t="s">
        <v>1</v>
      </c>
      <c r="W178" s="4">
        <v>1</v>
      </c>
      <c r="X178" s="4">
        <v>1</v>
      </c>
      <c r="Y178" s="4">
        <v>1</v>
      </c>
      <c r="Z178" s="56">
        <v>3</v>
      </c>
      <c r="AA178" s="9" cm="1">
        <f t="array" ref="AA178">IF(OR(AB178:AE178=""),"BLANK",IF(AND(AB178:AE178&lt;999),1,IF(AND(AB178:AE178="NA"),3,2)))</f>
        <v>1</v>
      </c>
      <c r="AB178" s="4">
        <v>39</v>
      </c>
      <c r="AC178" s="4">
        <v>24</v>
      </c>
      <c r="AD178" s="4">
        <v>19</v>
      </c>
      <c r="AE178" s="5">
        <v>82</v>
      </c>
      <c r="AF178" s="9">
        <f t="shared" si="2"/>
        <v>1</v>
      </c>
      <c r="AG178" s="5">
        <v>75</v>
      </c>
      <c r="AH178" s="9" cm="1">
        <f t="array" ref="AH178">IF(OR(AI178:AN178=""),"BLANK",IF(AND(AI178:AN178&lt;99),1,IF(AND(AI178:AN178="NA"),3,2)))</f>
        <v>3</v>
      </c>
      <c r="AI178" s="4" t="s">
        <v>7</v>
      </c>
      <c r="AJ178" s="4" t="s">
        <v>7</v>
      </c>
      <c r="AK178" s="4" t="s">
        <v>7</v>
      </c>
      <c r="AL178" s="4" t="s">
        <v>7</v>
      </c>
      <c r="AM178" s="4" t="s">
        <v>7</v>
      </c>
      <c r="AN178" s="5" t="s">
        <v>7</v>
      </c>
    </row>
    <row r="179" spans="1:40" x14ac:dyDescent="0.2">
      <c r="A179" s="39">
        <v>1022</v>
      </c>
      <c r="B179" s="4" t="s">
        <v>55</v>
      </c>
      <c r="C179" s="30" t="s">
        <v>23</v>
      </c>
      <c r="D179" s="30">
        <v>5</v>
      </c>
      <c r="E179" s="30">
        <v>0</v>
      </c>
      <c r="F179" s="4">
        <v>3.3639999999999999</v>
      </c>
      <c r="G179" s="30">
        <v>30</v>
      </c>
      <c r="H179" s="33">
        <v>4</v>
      </c>
      <c r="I179" s="33">
        <v>5.4893908281998627</v>
      </c>
      <c r="J179" s="33">
        <v>9.4893908281998627</v>
      </c>
      <c r="K179" s="33">
        <v>4</v>
      </c>
      <c r="L179" s="33">
        <v>5.4893908281998627</v>
      </c>
      <c r="M179" s="33">
        <v>9.4893908281998627</v>
      </c>
      <c r="N179" s="33">
        <v>3.9616700889801506</v>
      </c>
      <c r="O179" s="33">
        <v>5.5030800821355239</v>
      </c>
      <c r="P179" s="33">
        <v>9.464750171115675</v>
      </c>
      <c r="Q179" s="33" t="s">
        <v>7</v>
      </c>
      <c r="R179" s="33" t="s">
        <v>7</v>
      </c>
      <c r="S179" s="33" t="s">
        <v>7</v>
      </c>
      <c r="T179" s="34">
        <v>4</v>
      </c>
      <c r="U179" s="34">
        <v>16</v>
      </c>
      <c r="V179" s="4" t="s">
        <v>1</v>
      </c>
      <c r="W179" s="4">
        <v>1</v>
      </c>
      <c r="X179" s="4">
        <v>1</v>
      </c>
      <c r="Y179" s="4">
        <v>1</v>
      </c>
      <c r="Z179" s="56">
        <v>3</v>
      </c>
      <c r="AA179" s="9" cm="1">
        <f t="array" ref="AA179">IF(OR(AB179:AE179=""),"BLANK",IF(AND(AB179:AE179&lt;999),1,IF(AND(AB179:AE179="NA"),3,2)))</f>
        <v>1</v>
      </c>
      <c r="AB179" s="4">
        <v>39</v>
      </c>
      <c r="AC179" s="4">
        <v>24</v>
      </c>
      <c r="AD179" s="4">
        <v>17</v>
      </c>
      <c r="AE179" s="5">
        <v>80</v>
      </c>
      <c r="AF179" s="9">
        <f t="shared" si="2"/>
        <v>1</v>
      </c>
      <c r="AG179" s="5">
        <v>69</v>
      </c>
      <c r="AH179" s="9" cm="1">
        <f t="array" ref="AH179">IF(OR(AI179:AN179=""),"BLANK",IF(AND(AI179:AN179&lt;99),1,IF(AND(AI179:AN179="NA"),3,2)))</f>
        <v>3</v>
      </c>
      <c r="AI179" s="4" t="s">
        <v>7</v>
      </c>
      <c r="AJ179" s="4" t="s">
        <v>7</v>
      </c>
      <c r="AK179" s="4" t="s">
        <v>7</v>
      </c>
      <c r="AL179" s="4" t="s">
        <v>7</v>
      </c>
      <c r="AM179" s="4" t="s">
        <v>7</v>
      </c>
      <c r="AN179" s="5" t="s">
        <v>7</v>
      </c>
    </row>
    <row r="180" spans="1:40" x14ac:dyDescent="0.2">
      <c r="A180" s="39">
        <v>1023</v>
      </c>
      <c r="B180" s="4" t="s">
        <v>65</v>
      </c>
      <c r="C180" s="30" t="s">
        <v>23</v>
      </c>
      <c r="D180" s="30">
        <v>5</v>
      </c>
      <c r="E180" s="30">
        <v>0</v>
      </c>
      <c r="F180" s="4">
        <v>3.8180000000000001</v>
      </c>
      <c r="G180" s="30">
        <v>27</v>
      </c>
      <c r="H180" s="33">
        <v>3.9616700889801506</v>
      </c>
      <c r="I180" s="33">
        <v>5.3497604380561263</v>
      </c>
      <c r="J180" s="33">
        <v>9.3114305270362774</v>
      </c>
      <c r="K180" s="33">
        <v>3.9479808350444903</v>
      </c>
      <c r="L180" s="33">
        <v>5.3497604380561263</v>
      </c>
      <c r="M180" s="33">
        <v>9.2977412731006162</v>
      </c>
      <c r="N180" s="33">
        <v>3.9863107460643397</v>
      </c>
      <c r="O180" s="33">
        <v>5.3634496919917867</v>
      </c>
      <c r="P180" s="33">
        <v>9.3497604380561263</v>
      </c>
      <c r="Q180" s="33">
        <v>3.4086242299794662</v>
      </c>
      <c r="R180" s="33">
        <v>6.023271731690623</v>
      </c>
      <c r="S180" s="33">
        <v>9.4318959616700884</v>
      </c>
      <c r="T180" s="34">
        <v>6</v>
      </c>
      <c r="U180" s="34">
        <v>18</v>
      </c>
      <c r="V180" s="4" t="s">
        <v>1</v>
      </c>
      <c r="W180" s="4">
        <v>1</v>
      </c>
      <c r="X180" s="4">
        <v>1</v>
      </c>
      <c r="Y180" s="4">
        <v>1</v>
      </c>
      <c r="Z180" s="56">
        <v>3</v>
      </c>
      <c r="AA180" s="9" cm="1">
        <f t="array" ref="AA180">IF(OR(AB180:AE180=""),"BLANK",IF(AND(AB180:AE180&lt;999),1,IF(AND(AB180:AE180="NA"),3,2)))</f>
        <v>1</v>
      </c>
      <c r="AB180" s="4">
        <v>24</v>
      </c>
      <c r="AC180" s="4">
        <v>12</v>
      </c>
      <c r="AD180" s="4">
        <v>12</v>
      </c>
      <c r="AE180" s="5">
        <v>48</v>
      </c>
      <c r="AF180" s="9">
        <f t="shared" si="2"/>
        <v>1</v>
      </c>
      <c r="AG180" s="5">
        <v>40</v>
      </c>
      <c r="AH180" s="9" cm="1">
        <f t="array" ref="AH180">IF(OR(AI180:AN180=""),"BLANK",IF(AND(AI180:AN180&lt;99),1,IF(AND(AI180:AN180="NA"),3,2)))</f>
        <v>3</v>
      </c>
      <c r="AI180" s="4" t="s">
        <v>7</v>
      </c>
      <c r="AJ180" s="4" t="s">
        <v>7</v>
      </c>
      <c r="AK180" s="4" t="s">
        <v>7</v>
      </c>
      <c r="AL180" s="4" t="s">
        <v>7</v>
      </c>
      <c r="AM180" s="4" t="s">
        <v>7</v>
      </c>
      <c r="AN180" s="5" t="s">
        <v>7</v>
      </c>
    </row>
    <row r="181" spans="1:40" x14ac:dyDescent="0.2">
      <c r="A181" s="39">
        <v>1031</v>
      </c>
      <c r="B181" s="4" t="s">
        <v>51</v>
      </c>
      <c r="C181" s="30" t="s">
        <v>23</v>
      </c>
      <c r="D181" s="30">
        <v>6</v>
      </c>
      <c r="E181" s="30">
        <v>1</v>
      </c>
      <c r="F181" s="4">
        <v>3.6360000000000001</v>
      </c>
      <c r="G181" s="30">
        <v>27</v>
      </c>
      <c r="H181" s="33">
        <v>4.1067761806981515</v>
      </c>
      <c r="I181" s="33">
        <v>5.5195071868583163</v>
      </c>
      <c r="J181" s="33">
        <v>9.6262833675564679</v>
      </c>
      <c r="K181" s="33">
        <v>4.1067761806981515</v>
      </c>
      <c r="L181" s="33">
        <v>5.5195071868583163</v>
      </c>
      <c r="M181" s="33">
        <v>9.6262833675564679</v>
      </c>
      <c r="N181" s="33">
        <v>4.043805612594114</v>
      </c>
      <c r="O181" s="33">
        <v>5.0212183436002737</v>
      </c>
      <c r="P181" s="33">
        <v>9.0650239561943877</v>
      </c>
      <c r="Q181" s="33" t="s">
        <v>7</v>
      </c>
      <c r="R181" s="33" t="s">
        <v>7</v>
      </c>
      <c r="S181" s="33" t="s">
        <v>7</v>
      </c>
      <c r="T181" s="34">
        <v>4</v>
      </c>
      <c r="U181" s="34">
        <v>16</v>
      </c>
      <c r="V181" s="4" t="s">
        <v>1</v>
      </c>
      <c r="W181" s="4">
        <v>1</v>
      </c>
      <c r="X181" s="4">
        <v>1</v>
      </c>
      <c r="Y181" s="4">
        <v>1</v>
      </c>
      <c r="Z181" s="56">
        <v>3</v>
      </c>
      <c r="AA181" s="9" cm="1">
        <f t="array" ref="AA181">IF(OR(AB181:AE181=""),"BLANK",IF(AND(AB181:AE181&lt;999),1,IF(AND(AB181:AE181="NA"),3,2)))</f>
        <v>1</v>
      </c>
      <c r="AB181" s="4">
        <v>21</v>
      </c>
      <c r="AC181" s="4">
        <v>13</v>
      </c>
      <c r="AD181" s="4">
        <v>7</v>
      </c>
      <c r="AE181" s="5">
        <v>41</v>
      </c>
      <c r="AF181" s="9">
        <f t="shared" si="2"/>
        <v>1</v>
      </c>
      <c r="AG181" s="5">
        <v>40</v>
      </c>
      <c r="AH181" s="9" cm="1">
        <f t="array" ref="AH181">IF(OR(AI181:AN181=""),"BLANK",IF(AND(AI181:AN181&lt;99),1,IF(AND(AI181:AN181="NA"),3,2)))</f>
        <v>3</v>
      </c>
      <c r="AI181" s="4" t="s">
        <v>7</v>
      </c>
      <c r="AJ181" s="4" t="s">
        <v>7</v>
      </c>
      <c r="AK181" s="4" t="s">
        <v>7</v>
      </c>
      <c r="AL181" s="4" t="s">
        <v>7</v>
      </c>
      <c r="AM181" s="4" t="s">
        <v>7</v>
      </c>
      <c r="AN181" s="5" t="s">
        <v>7</v>
      </c>
    </row>
    <row r="182" spans="1:40" x14ac:dyDescent="0.2">
      <c r="A182" s="39">
        <v>1041</v>
      </c>
      <c r="B182" s="4" t="s">
        <v>56</v>
      </c>
      <c r="C182" s="30" t="s">
        <v>23</v>
      </c>
      <c r="D182" s="30">
        <v>5</v>
      </c>
      <c r="E182" s="30">
        <v>0</v>
      </c>
      <c r="F182" s="4">
        <v>3.2730000000000001</v>
      </c>
      <c r="G182" s="30">
        <v>29</v>
      </c>
      <c r="H182" s="33" t="s">
        <v>7</v>
      </c>
      <c r="I182" s="33" t="s">
        <v>7</v>
      </c>
      <c r="J182" s="33" t="s">
        <v>7</v>
      </c>
      <c r="K182" s="33" t="s">
        <v>7</v>
      </c>
      <c r="L182" s="33" t="s">
        <v>7</v>
      </c>
      <c r="M182" s="33" t="s">
        <v>7</v>
      </c>
      <c r="N182" s="33" t="s">
        <v>7</v>
      </c>
      <c r="O182" s="33" t="s">
        <v>7</v>
      </c>
      <c r="P182" s="33" t="s">
        <v>7</v>
      </c>
      <c r="Q182" s="33" t="s">
        <v>7</v>
      </c>
      <c r="R182" s="33" t="s">
        <v>7</v>
      </c>
      <c r="S182" s="33" t="s">
        <v>7</v>
      </c>
      <c r="T182" s="34">
        <v>4</v>
      </c>
      <c r="U182" s="34">
        <v>16</v>
      </c>
      <c r="V182" s="4" t="s">
        <v>1</v>
      </c>
      <c r="W182" s="4">
        <v>1</v>
      </c>
      <c r="X182" s="4">
        <v>1</v>
      </c>
      <c r="Y182" s="4">
        <v>1</v>
      </c>
      <c r="Z182" s="56">
        <v>3</v>
      </c>
      <c r="AA182" s="9" cm="1">
        <f t="array" ref="AA182">IF(OR(AB182:AE182=""),"BLANK",IF(AND(AB182:AE182&lt;999),1,IF(AND(AB182:AE182="NA"),3,2)))</f>
        <v>1</v>
      </c>
      <c r="AB182" s="4">
        <v>42</v>
      </c>
      <c r="AC182" s="4">
        <v>26</v>
      </c>
      <c r="AD182" s="4">
        <v>21</v>
      </c>
      <c r="AE182" s="5">
        <v>89</v>
      </c>
      <c r="AF182" s="9">
        <f t="shared" si="2"/>
        <v>1</v>
      </c>
      <c r="AG182" s="5">
        <v>77</v>
      </c>
      <c r="AH182" s="9" cm="1">
        <f t="array" ref="AH182">IF(OR(AI182:AN182=""),"BLANK",IF(AND(AI182:AN182&lt;99),1,IF(AND(AI182:AN182="NA"),3,2)))</f>
        <v>3</v>
      </c>
      <c r="AI182" s="4" t="s">
        <v>7</v>
      </c>
      <c r="AJ182" s="4" t="s">
        <v>7</v>
      </c>
      <c r="AK182" s="4" t="s">
        <v>7</v>
      </c>
      <c r="AL182" s="4" t="s">
        <v>7</v>
      </c>
      <c r="AM182" s="4" t="s">
        <v>7</v>
      </c>
      <c r="AN182" s="5" t="s">
        <v>7</v>
      </c>
    </row>
    <row r="183" spans="1:40" x14ac:dyDescent="0.2">
      <c r="A183" s="39">
        <v>1043</v>
      </c>
      <c r="B183" s="4" t="s">
        <v>65</v>
      </c>
      <c r="C183" s="30" t="s">
        <v>24</v>
      </c>
      <c r="D183" s="30">
        <v>5</v>
      </c>
      <c r="E183" s="30">
        <v>0</v>
      </c>
      <c r="F183" s="4">
        <v>2.6360000000000001</v>
      </c>
      <c r="G183" s="30">
        <v>26</v>
      </c>
      <c r="H183" s="33" t="s">
        <v>7</v>
      </c>
      <c r="I183" s="33" t="s">
        <v>7</v>
      </c>
      <c r="J183" s="33" t="s">
        <v>7</v>
      </c>
      <c r="K183" s="33" t="s">
        <v>7</v>
      </c>
      <c r="L183" s="33" t="s">
        <v>7</v>
      </c>
      <c r="M183" s="33" t="s">
        <v>7</v>
      </c>
      <c r="N183" s="33" t="s">
        <v>7</v>
      </c>
      <c r="O183" s="33" t="s">
        <v>7</v>
      </c>
      <c r="P183" s="33" t="s">
        <v>7</v>
      </c>
      <c r="Q183" s="33" t="s">
        <v>7</v>
      </c>
      <c r="R183" s="33" t="s">
        <v>7</v>
      </c>
      <c r="S183" s="33" t="s">
        <v>7</v>
      </c>
      <c r="T183" s="34">
        <v>7</v>
      </c>
      <c r="U183" s="34">
        <v>21</v>
      </c>
      <c r="V183" s="4" t="s">
        <v>1</v>
      </c>
      <c r="W183" s="4">
        <v>1</v>
      </c>
      <c r="X183" s="4">
        <v>1</v>
      </c>
      <c r="Y183" s="4">
        <v>1</v>
      </c>
      <c r="Z183" s="56">
        <v>3</v>
      </c>
      <c r="AA183" s="9" cm="1">
        <f t="array" ref="AA183">IF(OR(AB183:AE183=""),"BLANK",IF(AND(AB183:AE183&lt;999),1,IF(AND(AB183:AE183="NA"),3,2)))</f>
        <v>1</v>
      </c>
      <c r="AB183" s="4">
        <v>29</v>
      </c>
      <c r="AC183" s="4">
        <v>20</v>
      </c>
      <c r="AD183" s="4">
        <v>11</v>
      </c>
      <c r="AE183" s="5">
        <v>60</v>
      </c>
      <c r="AF183" s="9">
        <f t="shared" si="2"/>
        <v>1</v>
      </c>
      <c r="AG183" s="5">
        <v>32</v>
      </c>
      <c r="AH183" s="9" cm="1">
        <f t="array" ref="AH183">IF(OR(AI183:AN183=""),"BLANK",IF(AND(AI183:AN183&lt;99),1,IF(AND(AI183:AN183="NA"),3,2)))</f>
        <v>3</v>
      </c>
      <c r="AI183" s="4" t="s">
        <v>7</v>
      </c>
      <c r="AJ183" s="4" t="s">
        <v>7</v>
      </c>
      <c r="AK183" s="4" t="s">
        <v>7</v>
      </c>
      <c r="AL183" s="4" t="s">
        <v>7</v>
      </c>
      <c r="AM183" s="4" t="s">
        <v>7</v>
      </c>
      <c r="AN183" s="5" t="s">
        <v>7</v>
      </c>
    </row>
    <row r="184" spans="1:40" x14ac:dyDescent="0.2">
      <c r="A184" s="39">
        <v>1045</v>
      </c>
      <c r="B184" s="4" t="s">
        <v>65</v>
      </c>
      <c r="C184" s="30" t="s">
        <v>23</v>
      </c>
      <c r="D184" s="30">
        <v>5</v>
      </c>
      <c r="E184" s="30">
        <v>0</v>
      </c>
      <c r="F184" s="4">
        <v>3.5449999999999999</v>
      </c>
      <c r="G184" s="30">
        <v>30</v>
      </c>
      <c r="H184" s="33">
        <v>4.3723477070499657</v>
      </c>
      <c r="I184" s="33">
        <v>5.0787132101300481</v>
      </c>
      <c r="J184" s="33">
        <v>9.4510609171800137</v>
      </c>
      <c r="K184" s="33">
        <v>4.3723477070499657</v>
      </c>
      <c r="L184" s="33">
        <v>5.0787132101300481</v>
      </c>
      <c r="M184" s="33">
        <v>9.4510609171800137</v>
      </c>
      <c r="N184" s="33" t="s">
        <v>7</v>
      </c>
      <c r="O184" s="33" t="s">
        <v>7</v>
      </c>
      <c r="P184" s="33" t="s">
        <v>7</v>
      </c>
      <c r="Q184" s="33">
        <v>3.3127994524298425</v>
      </c>
      <c r="R184" s="33" t="s">
        <v>7</v>
      </c>
      <c r="S184" s="33" t="s">
        <v>7</v>
      </c>
      <c r="T184" s="34">
        <v>5</v>
      </c>
      <c r="U184" s="34">
        <v>18</v>
      </c>
      <c r="V184" s="4" t="s">
        <v>1</v>
      </c>
      <c r="W184" s="4">
        <v>1</v>
      </c>
      <c r="X184" s="4">
        <v>1</v>
      </c>
      <c r="Y184" s="4">
        <v>1</v>
      </c>
      <c r="Z184" s="56">
        <v>3</v>
      </c>
      <c r="AA184" s="9" cm="1">
        <f t="array" ref="AA184">IF(OR(AB184:AE184=""),"BLANK",IF(AND(AB184:AE184&lt;999),1,IF(AND(AB184:AE184="NA"),3,2)))</f>
        <v>1</v>
      </c>
      <c r="AB184" s="4">
        <v>28</v>
      </c>
      <c r="AC184" s="4">
        <v>16</v>
      </c>
      <c r="AD184" s="4">
        <v>15</v>
      </c>
      <c r="AE184" s="5">
        <v>59</v>
      </c>
      <c r="AF184" s="9">
        <f t="shared" si="2"/>
        <v>1</v>
      </c>
      <c r="AG184" s="5">
        <v>39</v>
      </c>
      <c r="AH184" s="9" cm="1">
        <f t="array" ref="AH184">IF(OR(AI184:AN184=""),"BLANK",IF(AND(AI184:AN184&lt;99),1,IF(AND(AI184:AN184="NA"),3,2)))</f>
        <v>3</v>
      </c>
      <c r="AI184" s="4" t="s">
        <v>7</v>
      </c>
      <c r="AJ184" s="4" t="s">
        <v>7</v>
      </c>
      <c r="AK184" s="4" t="s">
        <v>7</v>
      </c>
      <c r="AL184" s="4" t="s">
        <v>7</v>
      </c>
      <c r="AM184" s="4" t="s">
        <v>7</v>
      </c>
      <c r="AN184" s="5" t="s">
        <v>7</v>
      </c>
    </row>
    <row r="185" spans="1:40" x14ac:dyDescent="0.2">
      <c r="A185" s="39">
        <v>1054</v>
      </c>
      <c r="B185" s="4" t="s">
        <v>48</v>
      </c>
      <c r="C185" s="30" t="s">
        <v>23</v>
      </c>
      <c r="D185" s="30">
        <v>5</v>
      </c>
      <c r="E185" s="30">
        <v>0</v>
      </c>
      <c r="F185" s="4">
        <v>2.5449999999999999</v>
      </c>
      <c r="G185" s="30">
        <v>30</v>
      </c>
      <c r="H185" s="33">
        <v>3.871321013004791</v>
      </c>
      <c r="I185" s="33">
        <v>5.3360711841204651</v>
      </c>
      <c r="J185" s="33">
        <v>9.207392197125257</v>
      </c>
      <c r="K185" s="33">
        <v>3.8795345653661877</v>
      </c>
      <c r="L185" s="33">
        <v>5.3278576317590689</v>
      </c>
      <c r="M185" s="33">
        <v>9.207392197125257</v>
      </c>
      <c r="N185" s="33">
        <v>3.9178644763860371</v>
      </c>
      <c r="O185" s="33" t="s">
        <v>7</v>
      </c>
      <c r="P185" s="33" t="s">
        <v>7</v>
      </c>
      <c r="Q185" s="33">
        <v>3.2197125256673513</v>
      </c>
      <c r="R185" s="33" t="s">
        <v>7</v>
      </c>
      <c r="S185" s="33" t="s">
        <v>7</v>
      </c>
      <c r="T185" s="34">
        <v>7</v>
      </c>
      <c r="U185" s="34">
        <v>21</v>
      </c>
      <c r="V185" s="4" t="s">
        <v>1</v>
      </c>
      <c r="W185" s="4">
        <v>1</v>
      </c>
      <c r="X185" s="4">
        <v>1</v>
      </c>
      <c r="Y185" s="4">
        <v>1</v>
      </c>
      <c r="Z185" s="56">
        <v>3</v>
      </c>
      <c r="AA185" s="9" cm="1">
        <f t="array" ref="AA185">IF(OR(AB185:AE185=""),"BLANK",IF(AND(AB185:AE185&lt;999),1,IF(AND(AB185:AE185="NA"),3,2)))</f>
        <v>1</v>
      </c>
      <c r="AB185" s="4">
        <v>39</v>
      </c>
      <c r="AC185" s="4">
        <v>23</v>
      </c>
      <c r="AD185" s="4">
        <v>13</v>
      </c>
      <c r="AE185" s="5">
        <v>75</v>
      </c>
      <c r="AF185" s="9">
        <f t="shared" si="2"/>
        <v>1</v>
      </c>
      <c r="AG185" s="5">
        <v>55</v>
      </c>
      <c r="AH185" s="9" cm="1">
        <f t="array" ref="AH185">IF(OR(AI185:AN185=""),"BLANK",IF(AND(AI185:AN185&lt;99),1,IF(AND(AI185:AN185="NA"),3,2)))</f>
        <v>3</v>
      </c>
      <c r="AI185" s="4" t="s">
        <v>7</v>
      </c>
      <c r="AJ185" s="4" t="s">
        <v>7</v>
      </c>
      <c r="AK185" s="4" t="s">
        <v>7</v>
      </c>
      <c r="AL185" s="4" t="s">
        <v>7</v>
      </c>
      <c r="AM185" s="4" t="s">
        <v>7</v>
      </c>
      <c r="AN185" s="5" t="s">
        <v>7</v>
      </c>
    </row>
    <row r="186" spans="1:40" x14ac:dyDescent="0.2">
      <c r="A186" s="39">
        <v>1058</v>
      </c>
      <c r="B186" s="4" t="s">
        <v>63</v>
      </c>
      <c r="C186" s="30" t="s">
        <v>23</v>
      </c>
      <c r="D186" s="30">
        <v>5</v>
      </c>
      <c r="E186" s="30">
        <v>0</v>
      </c>
      <c r="F186" s="4">
        <v>3.2730000000000001</v>
      </c>
      <c r="G186" s="30">
        <v>28</v>
      </c>
      <c r="H186" s="33">
        <v>3.9945242984257359</v>
      </c>
      <c r="I186" s="33">
        <v>5.5633127994524294</v>
      </c>
      <c r="J186" s="33">
        <v>9.5578370978781653</v>
      </c>
      <c r="K186" s="33">
        <v>3.9945242984257359</v>
      </c>
      <c r="L186" s="33">
        <v>5.5633127994524294</v>
      </c>
      <c r="M186" s="33">
        <v>9.5578370978781653</v>
      </c>
      <c r="N186" s="33" t="s">
        <v>7</v>
      </c>
      <c r="O186" s="33" t="s">
        <v>7</v>
      </c>
      <c r="P186" s="33">
        <v>9.5742642026009577</v>
      </c>
      <c r="Q186" s="33" t="s">
        <v>7</v>
      </c>
      <c r="R186" s="33" t="s">
        <v>7</v>
      </c>
      <c r="S186" s="33" t="s">
        <v>7</v>
      </c>
      <c r="T186" s="34">
        <v>4</v>
      </c>
      <c r="U186" s="34">
        <v>16</v>
      </c>
      <c r="V186" s="4" t="s">
        <v>1</v>
      </c>
      <c r="W186" s="4">
        <v>1</v>
      </c>
      <c r="X186" s="4">
        <v>1</v>
      </c>
      <c r="Y186" s="4">
        <v>1</v>
      </c>
      <c r="Z186" s="56">
        <v>3</v>
      </c>
      <c r="AA186" s="9" cm="1">
        <f t="array" ref="AA186">IF(OR(AB186:AE186=""),"BLANK",IF(AND(AB186:AE186&lt;999),1,IF(AND(AB186:AE186="NA"),3,2)))</f>
        <v>1</v>
      </c>
      <c r="AB186" s="4">
        <v>32</v>
      </c>
      <c r="AC186" s="4">
        <v>16</v>
      </c>
      <c r="AD186" s="4">
        <v>9</v>
      </c>
      <c r="AE186" s="5">
        <v>57</v>
      </c>
      <c r="AF186" s="9">
        <f t="shared" si="2"/>
        <v>1</v>
      </c>
      <c r="AG186" s="5">
        <v>60</v>
      </c>
      <c r="AH186" s="9" cm="1">
        <f t="array" ref="AH186">IF(OR(AI186:AN186=""),"BLANK",IF(AND(AI186:AN186&lt;99),1,IF(AND(AI186:AN186="NA"),3,2)))</f>
        <v>3</v>
      </c>
      <c r="AI186" s="4" t="s">
        <v>7</v>
      </c>
      <c r="AJ186" s="4" t="s">
        <v>7</v>
      </c>
      <c r="AK186" s="4" t="s">
        <v>7</v>
      </c>
      <c r="AL186" s="4" t="s">
        <v>7</v>
      </c>
      <c r="AM186" s="4" t="s">
        <v>7</v>
      </c>
      <c r="AN186" s="5" t="s">
        <v>7</v>
      </c>
    </row>
    <row r="187" spans="1:40" x14ac:dyDescent="0.2">
      <c r="A187" s="39">
        <v>1084</v>
      </c>
      <c r="B187" s="4" t="s">
        <v>48</v>
      </c>
      <c r="C187" s="30" t="s">
        <v>23</v>
      </c>
      <c r="D187" s="30">
        <v>5</v>
      </c>
      <c r="E187" s="30">
        <v>0</v>
      </c>
      <c r="F187" s="4">
        <v>4</v>
      </c>
      <c r="G187" s="30">
        <v>26</v>
      </c>
      <c r="H187" s="33">
        <v>3.9507186858316223</v>
      </c>
      <c r="I187" s="33">
        <v>5.4976043805612598</v>
      </c>
      <c r="J187" s="33">
        <v>9.4483230663928808</v>
      </c>
      <c r="K187" s="33">
        <v>3.9479808350444903</v>
      </c>
      <c r="L187" s="33">
        <v>5.4976043805612598</v>
      </c>
      <c r="M187" s="33">
        <v>9.4455852156057496</v>
      </c>
      <c r="N187" s="33" t="s">
        <v>7</v>
      </c>
      <c r="O187" s="33" t="s">
        <v>7</v>
      </c>
      <c r="P187" s="33" t="s">
        <v>7</v>
      </c>
      <c r="Q187" s="33">
        <v>3.2908966461327855</v>
      </c>
      <c r="R187" s="33" t="s">
        <v>7</v>
      </c>
      <c r="S187" s="33" t="s">
        <v>7</v>
      </c>
      <c r="T187" s="34">
        <v>4</v>
      </c>
      <c r="U187" s="34">
        <v>16</v>
      </c>
      <c r="V187" s="4" t="s">
        <v>1</v>
      </c>
      <c r="W187" s="4">
        <v>1</v>
      </c>
      <c r="X187" s="4">
        <v>1</v>
      </c>
      <c r="Y187" s="4">
        <v>1</v>
      </c>
      <c r="Z187" s="56">
        <v>3</v>
      </c>
      <c r="AA187" s="9" cm="1">
        <f t="array" ref="AA187">IF(OR(AB187:AE187=""),"BLANK",IF(AND(AB187:AE187&lt;999),1,IF(AND(AB187:AE187="NA"),3,2)))</f>
        <v>1</v>
      </c>
      <c r="AB187" s="4">
        <v>33</v>
      </c>
      <c r="AC187" s="4">
        <v>20</v>
      </c>
      <c r="AD187" s="4">
        <v>13</v>
      </c>
      <c r="AE187" s="5">
        <v>66</v>
      </c>
      <c r="AF187" s="9">
        <f t="shared" si="2"/>
        <v>1</v>
      </c>
      <c r="AG187" s="5">
        <v>55</v>
      </c>
      <c r="AH187" s="9" cm="1">
        <f t="array" ref="AH187">IF(OR(AI187:AN187=""),"BLANK",IF(AND(AI187:AN187&lt;99),1,IF(AND(AI187:AN187="NA"),3,2)))</f>
        <v>3</v>
      </c>
      <c r="AI187" s="4" t="s">
        <v>7</v>
      </c>
      <c r="AJ187" s="4" t="s">
        <v>7</v>
      </c>
      <c r="AK187" s="4" t="s">
        <v>7</v>
      </c>
      <c r="AL187" s="4" t="s">
        <v>7</v>
      </c>
      <c r="AM187" s="4" t="s">
        <v>7</v>
      </c>
      <c r="AN187" s="5" t="s">
        <v>7</v>
      </c>
    </row>
    <row r="188" spans="1:40" x14ac:dyDescent="0.2">
      <c r="A188" s="39">
        <v>1093</v>
      </c>
      <c r="B188" s="4" t="s">
        <v>58</v>
      </c>
      <c r="C188" s="30" t="s">
        <v>24</v>
      </c>
      <c r="D188" s="30">
        <v>5</v>
      </c>
      <c r="E188" s="30">
        <v>0</v>
      </c>
      <c r="F188" s="4">
        <v>3.6360000000000001</v>
      </c>
      <c r="G188" s="30">
        <v>27</v>
      </c>
      <c r="H188" s="33">
        <v>3.698836413415469</v>
      </c>
      <c r="I188" s="33">
        <v>5.3853524982888432</v>
      </c>
      <c r="J188" s="33">
        <v>9.0841889117043113</v>
      </c>
      <c r="K188" s="33">
        <v>3.698836413415469</v>
      </c>
      <c r="L188" s="33">
        <v>5.4072553045858998</v>
      </c>
      <c r="M188" s="33">
        <v>9.1060917180013696</v>
      </c>
      <c r="N188" s="33">
        <v>3.698836413415469</v>
      </c>
      <c r="O188" s="33">
        <v>5.0787132101300481</v>
      </c>
      <c r="P188" s="33">
        <v>8.7775496235455162</v>
      </c>
      <c r="Q188" s="33" t="s">
        <v>7</v>
      </c>
      <c r="R188" s="33" t="s">
        <v>7</v>
      </c>
      <c r="S188" s="33" t="s">
        <v>7</v>
      </c>
      <c r="T188" s="34">
        <v>6</v>
      </c>
      <c r="U188" s="34">
        <v>18</v>
      </c>
      <c r="V188" s="4" t="s">
        <v>1</v>
      </c>
      <c r="W188" s="4">
        <v>1</v>
      </c>
      <c r="X188" s="4">
        <v>1</v>
      </c>
      <c r="Y188" s="4">
        <v>1</v>
      </c>
      <c r="Z188" s="56">
        <v>3</v>
      </c>
      <c r="AA188" s="9" cm="1">
        <f t="array" ref="AA188">IF(OR(AB188:AE188=""),"BLANK",IF(AND(AB188:AE188&lt;999),1,IF(AND(AB188:AE188="NA"),3,2)))</f>
        <v>1</v>
      </c>
      <c r="AB188" s="4">
        <v>29</v>
      </c>
      <c r="AC188" s="4">
        <v>16</v>
      </c>
      <c r="AD188" s="4">
        <v>11</v>
      </c>
      <c r="AE188" s="5">
        <v>56</v>
      </c>
      <c r="AF188" s="9">
        <f t="shared" si="2"/>
        <v>1</v>
      </c>
      <c r="AG188" s="5">
        <v>40</v>
      </c>
      <c r="AH188" s="9" cm="1">
        <f t="array" ref="AH188">IF(OR(AI188:AN188=""),"BLANK",IF(AND(AI188:AN188&lt;99),1,IF(AND(AI188:AN188="NA"),3,2)))</f>
        <v>3</v>
      </c>
      <c r="AI188" s="4" t="s">
        <v>7</v>
      </c>
      <c r="AJ188" s="4" t="s">
        <v>7</v>
      </c>
      <c r="AK188" s="4" t="s">
        <v>7</v>
      </c>
      <c r="AL188" s="4" t="s">
        <v>7</v>
      </c>
      <c r="AM188" s="4" t="s">
        <v>7</v>
      </c>
      <c r="AN188" s="5" t="s">
        <v>7</v>
      </c>
    </row>
    <row r="189" spans="1:40" x14ac:dyDescent="0.2">
      <c r="A189" s="39">
        <v>1108</v>
      </c>
      <c r="B189" s="4" t="s">
        <v>48</v>
      </c>
      <c r="C189" s="30" t="s">
        <v>24</v>
      </c>
      <c r="D189" s="30">
        <v>5</v>
      </c>
      <c r="E189" s="30">
        <v>0</v>
      </c>
      <c r="F189" s="4">
        <v>4</v>
      </c>
      <c r="G189" s="30">
        <v>27</v>
      </c>
      <c r="H189" s="33" t="s">
        <v>7</v>
      </c>
      <c r="I189" s="33" t="s">
        <v>7</v>
      </c>
      <c r="J189" s="33" t="s">
        <v>7</v>
      </c>
      <c r="K189" s="33" t="s">
        <v>7</v>
      </c>
      <c r="L189" s="33" t="s">
        <v>7</v>
      </c>
      <c r="M189" s="33" t="s">
        <v>7</v>
      </c>
      <c r="N189" s="33" t="s">
        <v>7</v>
      </c>
      <c r="O189" s="33" t="s">
        <v>7</v>
      </c>
      <c r="P189" s="33" t="s">
        <v>7</v>
      </c>
      <c r="Q189" s="33" t="s">
        <v>7</v>
      </c>
      <c r="R189" s="33" t="s">
        <v>7</v>
      </c>
      <c r="S189" s="33" t="s">
        <v>7</v>
      </c>
      <c r="T189" s="34">
        <v>4</v>
      </c>
      <c r="U189" s="34">
        <v>16</v>
      </c>
      <c r="V189" s="4" t="s">
        <v>1</v>
      </c>
      <c r="W189" s="4">
        <v>1</v>
      </c>
      <c r="X189" s="4">
        <v>1</v>
      </c>
      <c r="Y189" s="4">
        <v>1</v>
      </c>
      <c r="Z189" s="56">
        <v>3</v>
      </c>
      <c r="AA189" s="9" cm="1">
        <f t="array" ref="AA189">IF(OR(AB189:AE189=""),"BLANK",IF(AND(AB189:AE189&lt;999),1,IF(AND(AB189:AE189="NA"),3,2)))</f>
        <v>1</v>
      </c>
      <c r="AB189" s="4">
        <v>23</v>
      </c>
      <c r="AC189" s="4">
        <v>13</v>
      </c>
      <c r="AD189" s="4">
        <v>8</v>
      </c>
      <c r="AE189" s="5">
        <v>44</v>
      </c>
      <c r="AF189" s="9">
        <f t="shared" si="2"/>
        <v>1</v>
      </c>
      <c r="AG189" s="5">
        <v>43</v>
      </c>
      <c r="AH189" s="9" cm="1">
        <f t="array" ref="AH189">IF(OR(AI189:AN189=""),"BLANK",IF(AND(AI189:AN189&lt;99),1,IF(AND(AI189:AN189="NA"),3,2)))</f>
        <v>3</v>
      </c>
      <c r="AI189" s="4" t="s">
        <v>7</v>
      </c>
      <c r="AJ189" s="4" t="s">
        <v>7</v>
      </c>
      <c r="AK189" s="4" t="s">
        <v>7</v>
      </c>
      <c r="AL189" s="4" t="s">
        <v>7</v>
      </c>
      <c r="AM189" s="4" t="s">
        <v>7</v>
      </c>
      <c r="AN189" s="5" t="s">
        <v>7</v>
      </c>
    </row>
    <row r="190" spans="1:40" x14ac:dyDescent="0.2">
      <c r="A190" s="39">
        <v>1119</v>
      </c>
      <c r="B190" s="4" t="s">
        <v>56</v>
      </c>
      <c r="C190" s="30" t="s">
        <v>24</v>
      </c>
      <c r="D190" s="30">
        <v>1</v>
      </c>
      <c r="E190" s="30">
        <v>0</v>
      </c>
      <c r="F190" s="4">
        <v>3.6360000000000001</v>
      </c>
      <c r="G190" s="30">
        <v>29</v>
      </c>
      <c r="H190" s="33" t="s">
        <v>7</v>
      </c>
      <c r="I190" s="33" t="s">
        <v>7</v>
      </c>
      <c r="J190" s="33">
        <v>9.6755646817248468</v>
      </c>
      <c r="K190" s="33" t="s">
        <v>7</v>
      </c>
      <c r="L190" s="33" t="s">
        <v>7</v>
      </c>
      <c r="M190" s="33">
        <v>9.6755646817248468</v>
      </c>
      <c r="N190" s="33" t="s">
        <v>7</v>
      </c>
      <c r="O190" s="33" t="s">
        <v>7</v>
      </c>
      <c r="P190" s="33">
        <v>9.6016427104722801</v>
      </c>
      <c r="Q190" s="33" t="s">
        <v>7</v>
      </c>
      <c r="R190" s="33" t="s">
        <v>7</v>
      </c>
      <c r="S190" s="33" t="s">
        <v>7</v>
      </c>
      <c r="T190" s="34">
        <v>4</v>
      </c>
      <c r="U190" s="34">
        <v>16</v>
      </c>
      <c r="V190" s="4" t="s">
        <v>1</v>
      </c>
      <c r="W190" s="4">
        <v>1</v>
      </c>
      <c r="X190" s="4">
        <v>1</v>
      </c>
      <c r="Y190" s="4">
        <v>1</v>
      </c>
      <c r="Z190" s="56">
        <v>3</v>
      </c>
      <c r="AA190" s="9" cm="1">
        <f t="array" ref="AA190">IF(OR(AB190:AE190=""),"BLANK",IF(AND(AB190:AE190&lt;999),1,IF(AND(AB190:AE190="NA"),3,2)))</f>
        <v>1</v>
      </c>
      <c r="AB190" s="4">
        <v>33</v>
      </c>
      <c r="AC190" s="4">
        <v>28</v>
      </c>
      <c r="AD190" s="4">
        <v>20</v>
      </c>
      <c r="AE190" s="5">
        <v>81</v>
      </c>
      <c r="AF190" s="9">
        <f t="shared" si="2"/>
        <v>1</v>
      </c>
      <c r="AG190" s="5">
        <v>70</v>
      </c>
      <c r="AH190" s="9" cm="1">
        <f t="array" ref="AH190">IF(OR(AI190:AN190=""),"BLANK",IF(AND(AI190:AN190&lt;99),1,IF(AND(AI190:AN190="NA"),3,2)))</f>
        <v>3</v>
      </c>
      <c r="AI190" s="4" t="s">
        <v>7</v>
      </c>
      <c r="AJ190" s="4" t="s">
        <v>7</v>
      </c>
      <c r="AK190" s="4" t="s">
        <v>7</v>
      </c>
      <c r="AL190" s="4" t="s">
        <v>7</v>
      </c>
      <c r="AM190" s="4" t="s">
        <v>7</v>
      </c>
      <c r="AN190" s="5" t="s">
        <v>7</v>
      </c>
    </row>
    <row r="191" spans="1:40" x14ac:dyDescent="0.2">
      <c r="A191" s="39">
        <v>1123</v>
      </c>
      <c r="B191" s="4" t="s">
        <v>56</v>
      </c>
      <c r="C191" s="30" t="s">
        <v>24</v>
      </c>
      <c r="D191" s="30">
        <v>1</v>
      </c>
      <c r="E191" s="30">
        <v>0</v>
      </c>
      <c r="F191" s="4">
        <v>4</v>
      </c>
      <c r="G191" s="30">
        <v>29</v>
      </c>
      <c r="H191" s="33" t="s">
        <v>7</v>
      </c>
      <c r="I191" s="33" t="s">
        <v>7</v>
      </c>
      <c r="J191" s="33" t="s">
        <v>7</v>
      </c>
      <c r="K191" s="33" t="s">
        <v>7</v>
      </c>
      <c r="L191" s="33" t="s">
        <v>7</v>
      </c>
      <c r="M191" s="33" t="s">
        <v>7</v>
      </c>
      <c r="N191" s="33" t="s">
        <v>7</v>
      </c>
      <c r="O191" s="33" t="s">
        <v>7</v>
      </c>
      <c r="P191" s="33" t="s">
        <v>7</v>
      </c>
      <c r="Q191" s="33" t="s">
        <v>7</v>
      </c>
      <c r="R191" s="33" t="s">
        <v>7</v>
      </c>
      <c r="S191" s="33" t="s">
        <v>7</v>
      </c>
      <c r="T191" s="34">
        <v>5</v>
      </c>
      <c r="U191" s="34">
        <v>17</v>
      </c>
      <c r="V191" s="4" t="s">
        <v>1</v>
      </c>
      <c r="W191" s="4">
        <v>1</v>
      </c>
      <c r="X191" s="4">
        <v>1</v>
      </c>
      <c r="Y191" s="4">
        <v>1</v>
      </c>
      <c r="Z191" s="56">
        <v>3</v>
      </c>
      <c r="AA191" s="9" cm="1">
        <f t="array" ref="AA191">IF(OR(AB191:AE191=""),"BLANK",IF(AND(AB191:AE191&lt;999),1,IF(AND(AB191:AE191="NA"),3,2)))</f>
        <v>1</v>
      </c>
      <c r="AB191" s="4">
        <v>46</v>
      </c>
      <c r="AC191" s="4">
        <v>32</v>
      </c>
      <c r="AD191" s="4">
        <v>18</v>
      </c>
      <c r="AE191" s="5">
        <v>96</v>
      </c>
      <c r="AF191" s="9">
        <f t="shared" si="2"/>
        <v>1</v>
      </c>
      <c r="AG191" s="5">
        <v>76</v>
      </c>
      <c r="AH191" s="9" cm="1">
        <f t="array" ref="AH191">IF(OR(AI191:AN191=""),"BLANK",IF(AND(AI191:AN191&lt;99),1,IF(AND(AI191:AN191="NA"),3,2)))</f>
        <v>3</v>
      </c>
      <c r="AI191" s="4" t="s">
        <v>7</v>
      </c>
      <c r="AJ191" s="4" t="s">
        <v>7</v>
      </c>
      <c r="AK191" s="4" t="s">
        <v>7</v>
      </c>
      <c r="AL191" s="4" t="s">
        <v>7</v>
      </c>
      <c r="AM191" s="4" t="s">
        <v>7</v>
      </c>
      <c r="AN191" s="5" t="s">
        <v>7</v>
      </c>
    </row>
    <row r="192" spans="1:40" x14ac:dyDescent="0.2">
      <c r="A192" s="39">
        <v>1124</v>
      </c>
      <c r="B192" s="4" t="s">
        <v>53</v>
      </c>
      <c r="C192" s="30" t="s">
        <v>23</v>
      </c>
      <c r="D192" s="30">
        <v>1</v>
      </c>
      <c r="E192" s="30">
        <v>0</v>
      </c>
      <c r="F192" s="4">
        <v>3.8180000000000001</v>
      </c>
      <c r="G192" s="30">
        <v>30</v>
      </c>
      <c r="H192" s="33">
        <v>4.1451060917180014</v>
      </c>
      <c r="I192" s="33" t="s">
        <v>7</v>
      </c>
      <c r="J192" s="33" t="s">
        <v>7</v>
      </c>
      <c r="K192" s="33">
        <v>4.1451060917180014</v>
      </c>
      <c r="L192" s="33" t="s">
        <v>7</v>
      </c>
      <c r="M192" s="33" t="s">
        <v>7</v>
      </c>
      <c r="N192" s="33">
        <v>4.2765229295003424</v>
      </c>
      <c r="O192" s="33" t="s">
        <v>7</v>
      </c>
      <c r="P192" s="33" t="s">
        <v>7</v>
      </c>
      <c r="Q192" s="33" t="s">
        <v>7</v>
      </c>
      <c r="R192" s="33" t="s">
        <v>7</v>
      </c>
      <c r="S192" s="33" t="s">
        <v>7</v>
      </c>
      <c r="T192" s="34">
        <v>5</v>
      </c>
      <c r="U192" s="34">
        <v>17</v>
      </c>
      <c r="V192" s="4" t="s">
        <v>1</v>
      </c>
      <c r="W192" s="4">
        <v>1</v>
      </c>
      <c r="X192" s="4">
        <v>1</v>
      </c>
      <c r="Y192" s="4">
        <v>1</v>
      </c>
      <c r="Z192" s="56">
        <v>3</v>
      </c>
      <c r="AA192" s="9" cm="1">
        <f t="array" ref="AA192">IF(OR(AB192:AE192=""),"BLANK",IF(AND(AB192:AE192&lt;999),1,IF(AND(AB192:AE192="NA"),3,2)))</f>
        <v>1</v>
      </c>
      <c r="AB192" s="4">
        <v>38</v>
      </c>
      <c r="AC192" s="4">
        <v>22</v>
      </c>
      <c r="AD192" s="4">
        <v>16</v>
      </c>
      <c r="AE192" s="5">
        <v>76</v>
      </c>
      <c r="AF192" s="9">
        <f t="shared" si="2"/>
        <v>1</v>
      </c>
      <c r="AG192" s="5">
        <v>79</v>
      </c>
      <c r="AH192" s="9" cm="1">
        <f t="array" ref="AH192">IF(OR(AI192:AN192=""),"BLANK",IF(AND(AI192:AN192&lt;99),1,IF(AND(AI192:AN192="NA"),3,2)))</f>
        <v>3</v>
      </c>
      <c r="AI192" s="4" t="s">
        <v>7</v>
      </c>
      <c r="AJ192" s="4" t="s">
        <v>7</v>
      </c>
      <c r="AK192" s="4" t="s">
        <v>7</v>
      </c>
      <c r="AL192" s="4" t="s">
        <v>7</v>
      </c>
      <c r="AM192" s="4" t="s">
        <v>7</v>
      </c>
      <c r="AN192" s="5" t="s">
        <v>7</v>
      </c>
    </row>
    <row r="193" spans="1:40" x14ac:dyDescent="0.2">
      <c r="A193" s="39">
        <v>1136</v>
      </c>
      <c r="B193" s="4" t="s">
        <v>58</v>
      </c>
      <c r="C193" s="30" t="s">
        <v>24</v>
      </c>
      <c r="D193" s="30">
        <v>5</v>
      </c>
      <c r="E193" s="30">
        <v>0</v>
      </c>
      <c r="F193" s="4">
        <v>4</v>
      </c>
      <c r="G193" s="30">
        <v>27</v>
      </c>
      <c r="H193" s="33">
        <v>3.8165639972621492</v>
      </c>
      <c r="I193" s="33" t="s">
        <v>7</v>
      </c>
      <c r="J193" s="33" t="s">
        <v>7</v>
      </c>
      <c r="K193" s="33">
        <v>3.8357289527720737</v>
      </c>
      <c r="L193" s="33" t="s">
        <v>7</v>
      </c>
      <c r="M193" s="33" t="s">
        <v>7</v>
      </c>
      <c r="N193" s="33">
        <v>3.7782340862422998</v>
      </c>
      <c r="O193" s="33" t="s">
        <v>7</v>
      </c>
      <c r="P193" s="33" t="s">
        <v>7</v>
      </c>
      <c r="Q193" s="33">
        <v>3.5126625598904861</v>
      </c>
      <c r="R193" s="33" t="s">
        <v>7</v>
      </c>
      <c r="S193" s="33" t="s">
        <v>7</v>
      </c>
      <c r="T193" s="34">
        <v>6</v>
      </c>
      <c r="U193" s="34">
        <v>18</v>
      </c>
      <c r="V193" s="4" t="s">
        <v>1</v>
      </c>
      <c r="W193" s="4">
        <v>1</v>
      </c>
      <c r="X193" s="4">
        <v>1</v>
      </c>
      <c r="Y193" s="4">
        <v>1</v>
      </c>
      <c r="Z193" s="56">
        <v>3</v>
      </c>
      <c r="AA193" s="9" cm="1">
        <f t="array" ref="AA193">IF(OR(AB193:AE193=""),"BLANK",IF(AND(AB193:AE193&lt;999),1,IF(AND(AB193:AE193="NA"),3,2)))</f>
        <v>1</v>
      </c>
      <c r="AB193" s="4">
        <v>21</v>
      </c>
      <c r="AC193" s="4">
        <v>13</v>
      </c>
      <c r="AD193" s="4">
        <v>7</v>
      </c>
      <c r="AE193" s="5">
        <v>41</v>
      </c>
      <c r="AF193" s="9">
        <f t="shared" si="2"/>
        <v>1</v>
      </c>
      <c r="AG193" s="5">
        <v>27</v>
      </c>
      <c r="AH193" s="9" cm="1">
        <f t="array" ref="AH193">IF(OR(AI193:AN193=""),"BLANK",IF(AND(AI193:AN193&lt;99),1,IF(AND(AI193:AN193="NA"),3,2)))</f>
        <v>3</v>
      </c>
      <c r="AI193" s="4" t="s">
        <v>7</v>
      </c>
      <c r="AJ193" s="4" t="s">
        <v>7</v>
      </c>
      <c r="AK193" s="4" t="s">
        <v>7</v>
      </c>
      <c r="AL193" s="4" t="s">
        <v>7</v>
      </c>
      <c r="AM193" s="4" t="s">
        <v>7</v>
      </c>
      <c r="AN193" s="5" t="s">
        <v>7</v>
      </c>
    </row>
    <row r="194" spans="1:40" x14ac:dyDescent="0.2">
      <c r="A194" s="39">
        <v>1139</v>
      </c>
      <c r="B194" s="4" t="s">
        <v>47</v>
      </c>
      <c r="C194" s="30" t="s">
        <v>23</v>
      </c>
      <c r="D194" s="30">
        <v>5</v>
      </c>
      <c r="E194" s="30">
        <v>0</v>
      </c>
      <c r="F194" s="4">
        <v>3.7269999999999999</v>
      </c>
      <c r="G194" s="30">
        <v>30</v>
      </c>
      <c r="H194" s="33">
        <v>3.8439425051334704</v>
      </c>
      <c r="I194" s="33">
        <v>5.1635865845311431</v>
      </c>
      <c r="J194" s="33">
        <v>9.0075290896646134</v>
      </c>
      <c r="K194" s="33">
        <v>3.786447638603696</v>
      </c>
      <c r="L194" s="33">
        <v>5.1635865845311431</v>
      </c>
      <c r="M194" s="33">
        <v>8.9500342231348391</v>
      </c>
      <c r="N194" s="33">
        <v>3.8138261464750172</v>
      </c>
      <c r="O194" s="33">
        <v>5.0896646132785763</v>
      </c>
      <c r="P194" s="33">
        <v>8.9034907597535931</v>
      </c>
      <c r="Q194" s="33">
        <v>3.3483915126625599</v>
      </c>
      <c r="R194" s="33">
        <v>6.0807665982203973</v>
      </c>
      <c r="S194" s="33">
        <v>9.4291581108829572</v>
      </c>
      <c r="T194" s="34">
        <v>4</v>
      </c>
      <c r="U194" s="34">
        <v>16</v>
      </c>
      <c r="V194" s="4" t="s">
        <v>1</v>
      </c>
      <c r="W194" s="4">
        <v>1</v>
      </c>
      <c r="X194" s="4">
        <v>1</v>
      </c>
      <c r="Y194" s="4">
        <v>1</v>
      </c>
      <c r="Z194" s="56">
        <v>3</v>
      </c>
      <c r="AA194" s="9" cm="1">
        <f t="array" ref="AA194">IF(OR(AB194:AE194=""),"BLANK",IF(AND(AB194:AE194&lt;999),1,IF(AND(AB194:AE194="NA"),3,2)))</f>
        <v>1</v>
      </c>
      <c r="AB194" s="4">
        <v>38</v>
      </c>
      <c r="AC194" s="4">
        <v>29</v>
      </c>
      <c r="AD194" s="4">
        <v>20</v>
      </c>
      <c r="AE194" s="5">
        <v>87</v>
      </c>
      <c r="AF194" s="9">
        <f t="shared" si="2"/>
        <v>1</v>
      </c>
      <c r="AG194" s="5">
        <v>63</v>
      </c>
      <c r="AH194" s="9" cm="1">
        <f t="array" ref="AH194">IF(OR(AI194:AN194=""),"BLANK",IF(AND(AI194:AN194&lt;99),1,IF(AND(AI194:AN194="NA"),3,2)))</f>
        <v>3</v>
      </c>
      <c r="AI194" s="4" t="s">
        <v>7</v>
      </c>
      <c r="AJ194" s="4" t="s">
        <v>7</v>
      </c>
      <c r="AK194" s="4" t="s">
        <v>7</v>
      </c>
      <c r="AL194" s="4" t="s">
        <v>7</v>
      </c>
      <c r="AM194" s="4" t="s">
        <v>7</v>
      </c>
      <c r="AN194" s="5" t="s">
        <v>7</v>
      </c>
    </row>
    <row r="195" spans="1:40" x14ac:dyDescent="0.2">
      <c r="A195" s="39">
        <v>1141</v>
      </c>
      <c r="B195" s="4" t="s">
        <v>47</v>
      </c>
      <c r="C195" s="30" t="s">
        <v>24</v>
      </c>
      <c r="D195" s="30">
        <v>5</v>
      </c>
      <c r="E195" s="30">
        <v>0</v>
      </c>
      <c r="F195" s="4">
        <v>3.3639999999999999</v>
      </c>
      <c r="G195" s="30">
        <v>29</v>
      </c>
      <c r="H195" s="33">
        <v>3.8795345653661877</v>
      </c>
      <c r="I195" s="33">
        <v>5.3552361396303905</v>
      </c>
      <c r="J195" s="33">
        <v>9.2347707049965777</v>
      </c>
      <c r="K195" s="33">
        <v>3.8795345653661877</v>
      </c>
      <c r="L195" s="33">
        <v>5.3579739904175225</v>
      </c>
      <c r="M195" s="33">
        <v>9.2375085557837107</v>
      </c>
      <c r="N195" s="33">
        <v>3.8658453114305269</v>
      </c>
      <c r="O195" s="33">
        <v>5.3114305270362765</v>
      </c>
      <c r="P195" s="33">
        <v>9.1772758384668034</v>
      </c>
      <c r="Q195" s="33">
        <v>3.2772073921971252</v>
      </c>
      <c r="R195" s="33">
        <v>6.0698151950718682</v>
      </c>
      <c r="S195" s="33">
        <v>9.3470225872689934</v>
      </c>
      <c r="T195" s="34">
        <v>6</v>
      </c>
      <c r="U195" s="34">
        <v>18</v>
      </c>
      <c r="V195" s="4" t="s">
        <v>1</v>
      </c>
      <c r="W195" s="4">
        <v>1</v>
      </c>
      <c r="X195" s="4">
        <v>1</v>
      </c>
      <c r="Y195" s="4">
        <v>1</v>
      </c>
      <c r="Z195" s="56">
        <v>3</v>
      </c>
      <c r="AA195" s="9" cm="1">
        <f t="array" ref="AA195">IF(OR(AB195:AE195=""),"BLANK",IF(AND(AB195:AE195&lt;999),1,IF(AND(AB195:AE195="NA"),3,2)))</f>
        <v>1</v>
      </c>
      <c r="AB195" s="4">
        <v>32</v>
      </c>
      <c r="AC195" s="4">
        <v>17</v>
      </c>
      <c r="AD195" s="4">
        <v>11</v>
      </c>
      <c r="AE195" s="5">
        <v>60</v>
      </c>
      <c r="AF195" s="9">
        <f t="shared" si="2"/>
        <v>1</v>
      </c>
      <c r="AG195" s="5">
        <v>58</v>
      </c>
      <c r="AH195" s="9" cm="1">
        <f t="array" ref="AH195">IF(OR(AI195:AN195=""),"BLANK",IF(AND(AI195:AN195&lt;99),1,IF(AND(AI195:AN195="NA"),3,2)))</f>
        <v>3</v>
      </c>
      <c r="AI195" s="4" t="s">
        <v>7</v>
      </c>
      <c r="AJ195" s="4" t="s">
        <v>7</v>
      </c>
      <c r="AK195" s="4" t="s">
        <v>7</v>
      </c>
      <c r="AL195" s="4" t="s">
        <v>7</v>
      </c>
      <c r="AM195" s="4" t="s">
        <v>7</v>
      </c>
      <c r="AN195" s="5" t="s">
        <v>7</v>
      </c>
    </row>
    <row r="196" spans="1:40" x14ac:dyDescent="0.2">
      <c r="A196" s="39">
        <v>1146</v>
      </c>
      <c r="B196" s="4" t="s">
        <v>53</v>
      </c>
      <c r="C196" s="30" t="s">
        <v>23</v>
      </c>
      <c r="D196" s="30">
        <v>3</v>
      </c>
      <c r="E196" s="30">
        <v>1</v>
      </c>
      <c r="F196" s="4">
        <v>3.6360000000000001</v>
      </c>
      <c r="G196" s="30">
        <v>28</v>
      </c>
      <c r="H196" s="33">
        <v>4.131416837782341</v>
      </c>
      <c r="I196" s="33">
        <v>5.4784394250513344</v>
      </c>
      <c r="J196" s="33">
        <v>9.6098562628336754</v>
      </c>
      <c r="K196" s="33">
        <v>4.128678986995209</v>
      </c>
      <c r="L196" s="33">
        <v>5.4811772758384665</v>
      </c>
      <c r="M196" s="33">
        <v>9.6098562628336754</v>
      </c>
      <c r="N196" s="33">
        <v>4.0191649555099245</v>
      </c>
      <c r="O196" s="33">
        <v>5.4757015742642023</v>
      </c>
      <c r="P196" s="33">
        <v>9.4948665297741268</v>
      </c>
      <c r="Q196" s="33" t="s">
        <v>7</v>
      </c>
      <c r="R196" s="33" t="s">
        <v>7</v>
      </c>
      <c r="S196" s="33" t="s">
        <v>7</v>
      </c>
      <c r="T196" s="34">
        <v>5</v>
      </c>
      <c r="U196" s="34">
        <v>17</v>
      </c>
      <c r="V196" s="4" t="s">
        <v>1</v>
      </c>
      <c r="W196" s="4">
        <v>1</v>
      </c>
      <c r="X196" s="4">
        <v>1</v>
      </c>
      <c r="Y196" s="4">
        <v>1</v>
      </c>
      <c r="Z196" s="56">
        <v>3</v>
      </c>
      <c r="AA196" s="9" cm="1">
        <f t="array" ref="AA196">IF(OR(AB196:AE196=""),"BLANK",IF(AND(AB196:AE196&lt;999),1,IF(AND(AB196:AE196="NA"),3,2)))</f>
        <v>1</v>
      </c>
      <c r="AB196" s="4">
        <v>39</v>
      </c>
      <c r="AC196" s="4">
        <v>21</v>
      </c>
      <c r="AD196" s="4">
        <v>16</v>
      </c>
      <c r="AE196" s="5">
        <v>76</v>
      </c>
      <c r="AF196" s="9">
        <f t="shared" ref="AF196:AF259" si="3">IF(AG196="NA", 3,1)</f>
        <v>1</v>
      </c>
      <c r="AG196" s="5">
        <v>58</v>
      </c>
      <c r="AH196" s="9" cm="1">
        <f t="array" ref="AH196">IF(OR(AI196:AN196=""),"BLANK",IF(AND(AI196:AN196&lt;99),1,IF(AND(AI196:AN196="NA"),3,2)))</f>
        <v>3</v>
      </c>
      <c r="AI196" s="4" t="s">
        <v>7</v>
      </c>
      <c r="AJ196" s="4" t="s">
        <v>7</v>
      </c>
      <c r="AK196" s="4" t="s">
        <v>7</v>
      </c>
      <c r="AL196" s="4" t="s">
        <v>7</v>
      </c>
      <c r="AM196" s="4" t="s">
        <v>7</v>
      </c>
      <c r="AN196" s="5" t="s">
        <v>7</v>
      </c>
    </row>
    <row r="197" spans="1:40" x14ac:dyDescent="0.2">
      <c r="A197" s="39">
        <v>1149</v>
      </c>
      <c r="B197" s="4" t="s">
        <v>60</v>
      </c>
      <c r="C197" s="30" t="s">
        <v>24</v>
      </c>
      <c r="D197" s="30">
        <v>5</v>
      </c>
      <c r="E197" s="30">
        <v>0</v>
      </c>
      <c r="F197" s="4">
        <v>3.0910000000000002</v>
      </c>
      <c r="G197" s="30">
        <v>28</v>
      </c>
      <c r="H197" s="33">
        <v>3.9123887748117729</v>
      </c>
      <c r="I197" s="33">
        <v>5.3689253935660508</v>
      </c>
      <c r="J197" s="33">
        <v>9.2813141683778237</v>
      </c>
      <c r="K197" s="33">
        <v>3.9288158795345653</v>
      </c>
      <c r="L197" s="33">
        <v>5.3524982888432584</v>
      </c>
      <c r="M197" s="33">
        <v>9.2813141683778237</v>
      </c>
      <c r="N197" s="33">
        <v>3.9397672826830936</v>
      </c>
      <c r="O197" s="33">
        <v>5.1389459274469544</v>
      </c>
      <c r="P197" s="33">
        <v>9.0787132101300472</v>
      </c>
      <c r="Q197" s="33" t="s">
        <v>7</v>
      </c>
      <c r="R197" s="33" t="s">
        <v>7</v>
      </c>
      <c r="S197" s="33" t="s">
        <v>7</v>
      </c>
      <c r="T197" s="34">
        <v>6</v>
      </c>
      <c r="U197" s="34">
        <v>18</v>
      </c>
      <c r="V197" s="4" t="s">
        <v>1</v>
      </c>
      <c r="W197" s="4">
        <v>1</v>
      </c>
      <c r="X197" s="4">
        <v>1</v>
      </c>
      <c r="Y197" s="4">
        <v>1</v>
      </c>
      <c r="Z197" s="56">
        <v>3</v>
      </c>
      <c r="AA197" s="9" cm="1">
        <f t="array" ref="AA197">IF(OR(AB197:AE197=""),"BLANK",IF(AND(AB197:AE197&lt;999),1,IF(AND(AB197:AE197="NA"),3,2)))</f>
        <v>1</v>
      </c>
      <c r="AB197" s="4">
        <v>32</v>
      </c>
      <c r="AC197" s="4">
        <v>24</v>
      </c>
      <c r="AD197" s="4">
        <v>17</v>
      </c>
      <c r="AE197" s="5">
        <v>73</v>
      </c>
      <c r="AF197" s="9">
        <f t="shared" si="3"/>
        <v>1</v>
      </c>
      <c r="AG197" s="5">
        <v>69</v>
      </c>
      <c r="AH197" s="9" cm="1">
        <f t="array" ref="AH197">IF(OR(AI197:AN197=""),"BLANK",IF(AND(AI197:AN197&lt;99),1,IF(AND(AI197:AN197="NA"),3,2)))</f>
        <v>3</v>
      </c>
      <c r="AI197" s="4" t="s">
        <v>7</v>
      </c>
      <c r="AJ197" s="4" t="s">
        <v>7</v>
      </c>
      <c r="AK197" s="4" t="s">
        <v>7</v>
      </c>
      <c r="AL197" s="4" t="s">
        <v>7</v>
      </c>
      <c r="AM197" s="4" t="s">
        <v>7</v>
      </c>
      <c r="AN197" s="5" t="s">
        <v>7</v>
      </c>
    </row>
    <row r="198" spans="1:40" x14ac:dyDescent="0.2">
      <c r="A198" s="39">
        <v>1153</v>
      </c>
      <c r="B198" s="4" t="s">
        <v>46</v>
      </c>
      <c r="C198" s="30" t="s">
        <v>24</v>
      </c>
      <c r="D198" s="30">
        <v>5</v>
      </c>
      <c r="E198" s="30">
        <v>0</v>
      </c>
      <c r="F198" s="4">
        <v>3.7269999999999999</v>
      </c>
      <c r="G198" s="30">
        <v>30</v>
      </c>
      <c r="H198" s="33">
        <v>3.8439425051334704</v>
      </c>
      <c r="I198" s="33">
        <v>5.3059548254620124</v>
      </c>
      <c r="J198" s="33">
        <v>9.1498973305954827</v>
      </c>
      <c r="K198" s="33">
        <v>3.8439425051334704</v>
      </c>
      <c r="L198" s="33">
        <v>5.3059548254620124</v>
      </c>
      <c r="M198" s="33">
        <v>9.1498973305954827</v>
      </c>
      <c r="N198" s="33">
        <v>3.9726214921286789</v>
      </c>
      <c r="O198" s="33">
        <v>5.0266940451745379</v>
      </c>
      <c r="P198" s="33">
        <v>8.9993155373032163</v>
      </c>
      <c r="Q198" s="33">
        <v>3.3100616016427105</v>
      </c>
      <c r="R198" s="33">
        <v>6.1409993155373028</v>
      </c>
      <c r="S198" s="33">
        <v>9.4510609171800137</v>
      </c>
      <c r="T198" s="34">
        <v>2</v>
      </c>
      <c r="U198" s="34">
        <v>12</v>
      </c>
      <c r="V198" s="4" t="s">
        <v>1</v>
      </c>
      <c r="W198" s="4">
        <v>1</v>
      </c>
      <c r="X198" s="4">
        <v>1</v>
      </c>
      <c r="Y198" s="4">
        <v>1</v>
      </c>
      <c r="Z198" s="56">
        <v>3</v>
      </c>
      <c r="AA198" s="9" cm="1">
        <f t="array" ref="AA198">IF(OR(AB198:AE198=""),"BLANK",IF(AND(AB198:AE198&lt;999),1,IF(AND(AB198:AE198="NA"),3,2)))</f>
        <v>1</v>
      </c>
      <c r="AB198" s="4">
        <v>23</v>
      </c>
      <c r="AC198" s="4">
        <v>18</v>
      </c>
      <c r="AD198" s="4">
        <v>15</v>
      </c>
      <c r="AE198" s="5">
        <v>56</v>
      </c>
      <c r="AF198" s="9">
        <f t="shared" si="3"/>
        <v>1</v>
      </c>
      <c r="AG198" s="5">
        <v>60</v>
      </c>
      <c r="AH198" s="9" cm="1">
        <f t="array" ref="AH198">IF(OR(AI198:AN198=""),"BLANK",IF(AND(AI198:AN198&lt;99),1,IF(AND(AI198:AN198="NA"),3,2)))</f>
        <v>3</v>
      </c>
      <c r="AI198" s="4" t="s">
        <v>7</v>
      </c>
      <c r="AJ198" s="4" t="s">
        <v>7</v>
      </c>
      <c r="AK198" s="4" t="s">
        <v>7</v>
      </c>
      <c r="AL198" s="4" t="s">
        <v>7</v>
      </c>
      <c r="AM198" s="4" t="s">
        <v>7</v>
      </c>
      <c r="AN198" s="5" t="s">
        <v>7</v>
      </c>
    </row>
    <row r="199" spans="1:40" x14ac:dyDescent="0.2">
      <c r="A199" s="39">
        <v>1154</v>
      </c>
      <c r="B199" s="4" t="s">
        <v>68</v>
      </c>
      <c r="C199" s="30" t="s">
        <v>23</v>
      </c>
      <c r="D199" s="30">
        <v>5</v>
      </c>
      <c r="E199" s="30">
        <v>0</v>
      </c>
      <c r="F199" s="4">
        <v>4</v>
      </c>
      <c r="G199" s="30">
        <v>27</v>
      </c>
      <c r="H199" s="33">
        <v>4.2902121834360027</v>
      </c>
      <c r="I199" s="33" t="s">
        <v>7</v>
      </c>
      <c r="J199" s="33" t="s">
        <v>7</v>
      </c>
      <c r="K199" s="33">
        <v>4.2902121834360027</v>
      </c>
      <c r="L199" s="33" t="s">
        <v>7</v>
      </c>
      <c r="M199" s="33" t="s">
        <v>7</v>
      </c>
      <c r="N199" s="33" t="s">
        <v>7</v>
      </c>
      <c r="O199" s="33" t="s">
        <v>7</v>
      </c>
      <c r="P199" s="33" t="s">
        <v>7</v>
      </c>
      <c r="Q199" s="33" t="s">
        <v>7</v>
      </c>
      <c r="R199" s="33" t="s">
        <v>7</v>
      </c>
      <c r="S199" s="33" t="s">
        <v>7</v>
      </c>
      <c r="T199" s="34">
        <v>2</v>
      </c>
      <c r="U199" s="34">
        <v>12</v>
      </c>
      <c r="V199" s="4" t="s">
        <v>1</v>
      </c>
      <c r="W199" s="4">
        <v>1</v>
      </c>
      <c r="X199" s="4">
        <v>1</v>
      </c>
      <c r="Y199" s="4">
        <v>1</v>
      </c>
      <c r="Z199" s="56">
        <v>3</v>
      </c>
      <c r="AA199" s="9" cm="1">
        <f t="array" ref="AA199">IF(OR(AB199:AE199=""),"BLANK",IF(AND(AB199:AE199&lt;999),1,IF(AND(AB199:AE199="NA"),3,2)))</f>
        <v>1</v>
      </c>
      <c r="AB199" s="4">
        <v>35</v>
      </c>
      <c r="AC199" s="4">
        <v>20</v>
      </c>
      <c r="AD199" s="4">
        <v>14</v>
      </c>
      <c r="AE199" s="5">
        <v>69</v>
      </c>
      <c r="AF199" s="9">
        <f t="shared" si="3"/>
        <v>1</v>
      </c>
      <c r="AG199" s="5">
        <v>56</v>
      </c>
      <c r="AH199" s="9" cm="1">
        <f t="array" ref="AH199">IF(OR(AI199:AN199=""),"BLANK",IF(AND(AI199:AN199&lt;99),1,IF(AND(AI199:AN199="NA"),3,2)))</f>
        <v>3</v>
      </c>
      <c r="AI199" s="4" t="s">
        <v>7</v>
      </c>
      <c r="AJ199" s="4" t="s">
        <v>7</v>
      </c>
      <c r="AK199" s="4" t="s">
        <v>7</v>
      </c>
      <c r="AL199" s="4" t="s">
        <v>7</v>
      </c>
      <c r="AM199" s="4" t="s">
        <v>7</v>
      </c>
      <c r="AN199" s="5" t="s">
        <v>7</v>
      </c>
    </row>
    <row r="200" spans="1:40" x14ac:dyDescent="0.2">
      <c r="A200" s="39">
        <v>1157</v>
      </c>
      <c r="B200" s="4" t="s">
        <v>68</v>
      </c>
      <c r="C200" s="30" t="s">
        <v>23</v>
      </c>
      <c r="D200" s="30">
        <v>5</v>
      </c>
      <c r="E200" s="30">
        <v>0</v>
      </c>
      <c r="F200" s="4">
        <v>3.6360000000000001</v>
      </c>
      <c r="G200" s="30">
        <v>30</v>
      </c>
      <c r="H200" s="33">
        <v>4.1177275838466807</v>
      </c>
      <c r="I200" s="33">
        <v>5.5359342915811087</v>
      </c>
      <c r="J200" s="33">
        <v>9.6536618754277885</v>
      </c>
      <c r="K200" s="33">
        <v>4.1177275838466807</v>
      </c>
      <c r="L200" s="33">
        <v>5.5359342915811087</v>
      </c>
      <c r="M200" s="33">
        <v>9.6536618754277885</v>
      </c>
      <c r="N200" s="33" t="s">
        <v>7</v>
      </c>
      <c r="O200" s="33" t="s">
        <v>7</v>
      </c>
      <c r="P200" s="33">
        <v>9.4976043805612598</v>
      </c>
      <c r="Q200" s="33" t="s">
        <v>7</v>
      </c>
      <c r="R200" s="33" t="s">
        <v>7</v>
      </c>
      <c r="S200" s="33" t="s">
        <v>7</v>
      </c>
      <c r="T200" s="34">
        <v>5</v>
      </c>
      <c r="U200" s="34">
        <v>18</v>
      </c>
      <c r="V200" s="4" t="s">
        <v>1</v>
      </c>
      <c r="W200" s="4">
        <v>1</v>
      </c>
      <c r="X200" s="4">
        <v>1</v>
      </c>
      <c r="Y200" s="4">
        <v>1</v>
      </c>
      <c r="Z200" s="56">
        <v>3</v>
      </c>
      <c r="AA200" s="9" cm="1">
        <f t="array" ref="AA200">IF(OR(AB200:AE200=""),"BLANK",IF(AND(AB200:AE200&lt;999),1,IF(AND(AB200:AE200="NA"),3,2)))</f>
        <v>1</v>
      </c>
      <c r="AB200" s="4">
        <v>42</v>
      </c>
      <c r="AC200" s="4">
        <v>29</v>
      </c>
      <c r="AD200" s="4">
        <v>17</v>
      </c>
      <c r="AE200" s="5">
        <v>88</v>
      </c>
      <c r="AF200" s="9">
        <f t="shared" si="3"/>
        <v>1</v>
      </c>
      <c r="AG200" s="5">
        <v>82</v>
      </c>
      <c r="AH200" s="9" cm="1">
        <f t="array" ref="AH200">IF(OR(AI200:AN200=""),"BLANK",IF(AND(AI200:AN200&lt;99),1,IF(AND(AI200:AN200="NA"),3,2)))</f>
        <v>3</v>
      </c>
      <c r="AI200" s="4" t="s">
        <v>7</v>
      </c>
      <c r="AJ200" s="4" t="s">
        <v>7</v>
      </c>
      <c r="AK200" s="4" t="s">
        <v>7</v>
      </c>
      <c r="AL200" s="4" t="s">
        <v>7</v>
      </c>
      <c r="AM200" s="4" t="s">
        <v>7</v>
      </c>
      <c r="AN200" s="5" t="s">
        <v>7</v>
      </c>
    </row>
    <row r="201" spans="1:40" x14ac:dyDescent="0.2">
      <c r="A201" s="39">
        <v>1158</v>
      </c>
      <c r="B201" s="4" t="s">
        <v>63</v>
      </c>
      <c r="C201" s="30" t="s">
        <v>23</v>
      </c>
      <c r="D201" s="30">
        <v>2</v>
      </c>
      <c r="E201" s="30">
        <v>0</v>
      </c>
      <c r="F201" s="4">
        <v>3.6360000000000001</v>
      </c>
      <c r="G201" s="30">
        <v>29</v>
      </c>
      <c r="H201" s="33" t="s">
        <v>7</v>
      </c>
      <c r="I201" s="33" t="s">
        <v>7</v>
      </c>
      <c r="J201" s="33" t="s">
        <v>7</v>
      </c>
      <c r="K201" s="33" t="s">
        <v>7</v>
      </c>
      <c r="L201" s="33" t="s">
        <v>7</v>
      </c>
      <c r="M201" s="33" t="s">
        <v>7</v>
      </c>
      <c r="N201" s="33" t="s">
        <v>7</v>
      </c>
      <c r="O201" s="33" t="s">
        <v>7</v>
      </c>
      <c r="P201" s="33" t="s">
        <v>7</v>
      </c>
      <c r="Q201" s="33" t="s">
        <v>7</v>
      </c>
      <c r="R201" s="33" t="s">
        <v>7</v>
      </c>
      <c r="S201" s="33" t="s">
        <v>7</v>
      </c>
      <c r="T201" s="34">
        <v>4</v>
      </c>
      <c r="U201" s="34">
        <v>16</v>
      </c>
      <c r="V201" s="4" t="s">
        <v>1</v>
      </c>
      <c r="W201" s="4">
        <v>1</v>
      </c>
      <c r="X201" s="4">
        <v>1</v>
      </c>
      <c r="Y201" s="4">
        <v>1</v>
      </c>
      <c r="Z201" s="56">
        <v>3</v>
      </c>
      <c r="AA201" s="9" cm="1">
        <f t="array" ref="AA201">IF(OR(AB201:AE201=""),"BLANK",IF(AND(AB201:AE201&lt;999),1,IF(AND(AB201:AE201="NA"),3,2)))</f>
        <v>1</v>
      </c>
      <c r="AB201" s="4">
        <v>41</v>
      </c>
      <c r="AC201" s="4">
        <v>23</v>
      </c>
      <c r="AD201" s="4">
        <v>14</v>
      </c>
      <c r="AE201" s="5">
        <v>78</v>
      </c>
      <c r="AF201" s="9">
        <f t="shared" si="3"/>
        <v>1</v>
      </c>
      <c r="AG201" s="5">
        <v>62</v>
      </c>
      <c r="AH201" s="9" cm="1">
        <f t="array" ref="AH201">IF(OR(AI201:AN201=""),"BLANK",IF(AND(AI201:AN201&lt;99),1,IF(AND(AI201:AN201="NA"),3,2)))</f>
        <v>3</v>
      </c>
      <c r="AI201" s="4" t="s">
        <v>7</v>
      </c>
      <c r="AJ201" s="4" t="s">
        <v>7</v>
      </c>
      <c r="AK201" s="4" t="s">
        <v>7</v>
      </c>
      <c r="AL201" s="4" t="s">
        <v>7</v>
      </c>
      <c r="AM201" s="4" t="s">
        <v>7</v>
      </c>
      <c r="AN201" s="5" t="s">
        <v>7</v>
      </c>
    </row>
    <row r="202" spans="1:40" x14ac:dyDescent="0.2">
      <c r="A202" s="39">
        <v>1159</v>
      </c>
      <c r="B202" s="4" t="s">
        <v>63</v>
      </c>
      <c r="C202" s="30" t="s">
        <v>24</v>
      </c>
      <c r="D202" s="30">
        <v>6</v>
      </c>
      <c r="E202" s="30">
        <v>0</v>
      </c>
      <c r="F202" s="4">
        <v>4</v>
      </c>
      <c r="G202" s="30">
        <v>27</v>
      </c>
      <c r="H202" s="33" t="s">
        <v>7</v>
      </c>
      <c r="I202" s="33" t="s">
        <v>7</v>
      </c>
      <c r="J202" s="33" t="s">
        <v>7</v>
      </c>
      <c r="K202" s="33" t="s">
        <v>7</v>
      </c>
      <c r="L202" s="33" t="s">
        <v>7</v>
      </c>
      <c r="M202" s="33" t="s">
        <v>7</v>
      </c>
      <c r="N202" s="33" t="s">
        <v>7</v>
      </c>
      <c r="O202" s="33" t="s">
        <v>7</v>
      </c>
      <c r="P202" s="33" t="s">
        <v>7</v>
      </c>
      <c r="Q202" s="33" t="s">
        <v>7</v>
      </c>
      <c r="R202" s="33" t="s">
        <v>7</v>
      </c>
      <c r="S202" s="33" t="s">
        <v>7</v>
      </c>
      <c r="T202" s="34">
        <v>6</v>
      </c>
      <c r="U202" s="34">
        <v>18</v>
      </c>
      <c r="V202" s="4" t="s">
        <v>1</v>
      </c>
      <c r="W202" s="4">
        <v>1</v>
      </c>
      <c r="X202" s="4">
        <v>1</v>
      </c>
      <c r="Y202" s="4">
        <v>1</v>
      </c>
      <c r="Z202" s="56">
        <v>3</v>
      </c>
      <c r="AA202" s="9" cm="1">
        <f t="array" ref="AA202">IF(OR(AB202:AE202=""),"BLANK",IF(AND(AB202:AE202&lt;999),1,IF(AND(AB202:AE202="NA"),3,2)))</f>
        <v>1</v>
      </c>
      <c r="AB202" s="4">
        <v>28</v>
      </c>
      <c r="AC202" s="4">
        <v>17</v>
      </c>
      <c r="AD202" s="4">
        <v>13</v>
      </c>
      <c r="AE202" s="5">
        <v>58</v>
      </c>
      <c r="AF202" s="9">
        <f t="shared" si="3"/>
        <v>1</v>
      </c>
      <c r="AG202" s="5">
        <v>53</v>
      </c>
      <c r="AH202" s="9" cm="1">
        <f t="array" ref="AH202">IF(OR(AI202:AN202=""),"BLANK",IF(AND(AI202:AN202&lt;99),1,IF(AND(AI202:AN202="NA"),3,2)))</f>
        <v>3</v>
      </c>
      <c r="AI202" s="4" t="s">
        <v>7</v>
      </c>
      <c r="AJ202" s="4" t="s">
        <v>7</v>
      </c>
      <c r="AK202" s="4" t="s">
        <v>7</v>
      </c>
      <c r="AL202" s="4" t="s">
        <v>7</v>
      </c>
      <c r="AM202" s="4" t="s">
        <v>7</v>
      </c>
      <c r="AN202" s="5" t="s">
        <v>7</v>
      </c>
    </row>
    <row r="203" spans="1:40" x14ac:dyDescent="0.2">
      <c r="A203" s="39">
        <v>1165</v>
      </c>
      <c r="B203" s="4" t="s">
        <v>53</v>
      </c>
      <c r="C203" s="30" t="s">
        <v>23</v>
      </c>
      <c r="D203" s="30">
        <v>3</v>
      </c>
      <c r="E203" s="30">
        <v>1</v>
      </c>
      <c r="F203" s="4">
        <v>3.6360000000000001</v>
      </c>
      <c r="G203" s="30">
        <v>30</v>
      </c>
      <c r="H203" s="33" t="s">
        <v>7</v>
      </c>
      <c r="I203" s="33" t="s">
        <v>7</v>
      </c>
      <c r="J203" s="33" t="s">
        <v>7</v>
      </c>
      <c r="K203" s="33" t="s">
        <v>7</v>
      </c>
      <c r="L203" s="33" t="s">
        <v>7</v>
      </c>
      <c r="M203" s="33" t="s">
        <v>7</v>
      </c>
      <c r="N203" s="33" t="s">
        <v>7</v>
      </c>
      <c r="O203" s="33" t="s">
        <v>7</v>
      </c>
      <c r="P203" s="33" t="s">
        <v>7</v>
      </c>
      <c r="Q203" s="33" t="s">
        <v>7</v>
      </c>
      <c r="R203" s="33" t="s">
        <v>7</v>
      </c>
      <c r="S203" s="33" t="s">
        <v>7</v>
      </c>
      <c r="T203" s="34">
        <v>3</v>
      </c>
      <c r="U203" s="34">
        <v>12.5</v>
      </c>
      <c r="V203" s="4" t="s">
        <v>1</v>
      </c>
      <c r="W203" s="4">
        <v>1</v>
      </c>
      <c r="X203" s="4">
        <v>1</v>
      </c>
      <c r="Y203" s="4">
        <v>1</v>
      </c>
      <c r="Z203" s="56">
        <v>3</v>
      </c>
      <c r="AA203" s="9" cm="1">
        <f t="array" ref="AA203">IF(OR(AB203:AE203=""),"BLANK",IF(AND(AB203:AE203&lt;999),1,IF(AND(AB203:AE203="NA"),3,2)))</f>
        <v>1</v>
      </c>
      <c r="AB203" s="4">
        <v>45</v>
      </c>
      <c r="AC203" s="4">
        <v>21</v>
      </c>
      <c r="AD203" s="4">
        <v>19</v>
      </c>
      <c r="AE203" s="5">
        <v>85</v>
      </c>
      <c r="AF203" s="9">
        <f t="shared" si="3"/>
        <v>1</v>
      </c>
      <c r="AG203" s="5">
        <v>75</v>
      </c>
      <c r="AH203" s="9" cm="1">
        <f t="array" ref="AH203">IF(OR(AI203:AN203=""),"BLANK",IF(AND(AI203:AN203&lt;99),1,IF(AND(AI203:AN203="NA"),3,2)))</f>
        <v>3</v>
      </c>
      <c r="AI203" s="4" t="s">
        <v>7</v>
      </c>
      <c r="AJ203" s="4" t="s">
        <v>7</v>
      </c>
      <c r="AK203" s="4" t="s">
        <v>7</v>
      </c>
      <c r="AL203" s="4" t="s">
        <v>7</v>
      </c>
      <c r="AM203" s="4" t="s">
        <v>7</v>
      </c>
      <c r="AN203" s="5" t="s">
        <v>7</v>
      </c>
    </row>
    <row r="204" spans="1:40" x14ac:dyDescent="0.2">
      <c r="A204" s="39">
        <v>1168</v>
      </c>
      <c r="B204" s="4" t="s">
        <v>56</v>
      </c>
      <c r="C204" s="30" t="s">
        <v>24</v>
      </c>
      <c r="D204" s="30">
        <v>5</v>
      </c>
      <c r="E204" s="30">
        <v>0</v>
      </c>
      <c r="F204" s="4">
        <v>3.3639999999999999</v>
      </c>
      <c r="G204" s="30">
        <v>28</v>
      </c>
      <c r="H204" s="33" t="s">
        <v>7</v>
      </c>
      <c r="I204" s="33" t="s">
        <v>7</v>
      </c>
      <c r="J204" s="33" t="s">
        <v>7</v>
      </c>
      <c r="K204" s="33" t="s">
        <v>7</v>
      </c>
      <c r="L204" s="33" t="s">
        <v>7</v>
      </c>
      <c r="M204" s="33" t="s">
        <v>7</v>
      </c>
      <c r="N204" s="33" t="s">
        <v>7</v>
      </c>
      <c r="O204" s="33" t="s">
        <v>7</v>
      </c>
      <c r="P204" s="33" t="s">
        <v>7</v>
      </c>
      <c r="Q204" s="33" t="s">
        <v>7</v>
      </c>
      <c r="R204" s="33" t="s">
        <v>7</v>
      </c>
      <c r="S204" s="33" t="s">
        <v>7</v>
      </c>
      <c r="T204" s="34">
        <v>5</v>
      </c>
      <c r="U204" s="34">
        <v>16.5</v>
      </c>
      <c r="V204" s="4" t="s">
        <v>1</v>
      </c>
      <c r="W204" s="4">
        <v>1</v>
      </c>
      <c r="X204" s="4">
        <v>1</v>
      </c>
      <c r="Y204" s="4">
        <v>1</v>
      </c>
      <c r="Z204" s="56">
        <v>3</v>
      </c>
      <c r="AA204" s="9" cm="1">
        <f t="array" ref="AA204">IF(OR(AB204:AE204=""),"BLANK",IF(AND(AB204:AE204&lt;999),1,IF(AND(AB204:AE204="NA"),3,2)))</f>
        <v>1</v>
      </c>
      <c r="AB204" s="4">
        <v>45</v>
      </c>
      <c r="AC204" s="4">
        <v>28</v>
      </c>
      <c r="AD204" s="4">
        <v>13</v>
      </c>
      <c r="AE204" s="5">
        <v>86</v>
      </c>
      <c r="AF204" s="9">
        <f t="shared" si="3"/>
        <v>1</v>
      </c>
      <c r="AG204" s="5">
        <v>88</v>
      </c>
      <c r="AH204" s="9" cm="1">
        <f t="array" ref="AH204">IF(OR(AI204:AN204=""),"BLANK",IF(AND(AI204:AN204&lt;99),1,IF(AND(AI204:AN204="NA"),3,2)))</f>
        <v>3</v>
      </c>
      <c r="AI204" s="4" t="s">
        <v>7</v>
      </c>
      <c r="AJ204" s="4" t="s">
        <v>7</v>
      </c>
      <c r="AK204" s="4" t="s">
        <v>7</v>
      </c>
      <c r="AL204" s="4" t="s">
        <v>7</v>
      </c>
      <c r="AM204" s="4" t="s">
        <v>7</v>
      </c>
      <c r="AN204" s="5" t="s">
        <v>7</v>
      </c>
    </row>
    <row r="205" spans="1:40" x14ac:dyDescent="0.2">
      <c r="A205" s="39">
        <v>1169</v>
      </c>
      <c r="B205" s="4" t="s">
        <v>55</v>
      </c>
      <c r="C205" s="30" t="s">
        <v>23</v>
      </c>
      <c r="D205" s="30">
        <v>5</v>
      </c>
      <c r="E205" s="30">
        <v>0</v>
      </c>
      <c r="F205" s="4">
        <v>3.5449999999999999</v>
      </c>
      <c r="G205" s="30">
        <v>28</v>
      </c>
      <c r="H205" s="33">
        <v>3.978097193702943</v>
      </c>
      <c r="I205" s="33" t="s">
        <v>7</v>
      </c>
      <c r="J205" s="33" t="s">
        <v>7</v>
      </c>
      <c r="K205" s="33">
        <v>3.978097193702943</v>
      </c>
      <c r="L205" s="33" t="s">
        <v>7</v>
      </c>
      <c r="M205" s="33" t="s">
        <v>7</v>
      </c>
      <c r="N205" s="33">
        <v>4.0054757015742641</v>
      </c>
      <c r="O205" s="33" t="s">
        <v>7</v>
      </c>
      <c r="P205" s="33" t="s">
        <v>7</v>
      </c>
      <c r="Q205" s="33" t="s">
        <v>7</v>
      </c>
      <c r="R205" s="33" t="s">
        <v>7</v>
      </c>
      <c r="S205" s="33" t="s">
        <v>7</v>
      </c>
      <c r="T205" s="34">
        <v>5</v>
      </c>
      <c r="U205" s="34">
        <v>17</v>
      </c>
      <c r="V205" s="4" t="s">
        <v>1</v>
      </c>
      <c r="W205" s="4">
        <v>1</v>
      </c>
      <c r="X205" s="4">
        <v>1</v>
      </c>
      <c r="Y205" s="4">
        <v>1</v>
      </c>
      <c r="Z205" s="56">
        <v>3</v>
      </c>
      <c r="AA205" s="9" cm="1">
        <f t="array" ref="AA205">IF(OR(AB205:AE205=""),"BLANK",IF(AND(AB205:AE205&lt;999),1,IF(AND(AB205:AE205="NA"),3,2)))</f>
        <v>1</v>
      </c>
      <c r="AB205" s="4">
        <v>32</v>
      </c>
      <c r="AC205" s="4">
        <v>20</v>
      </c>
      <c r="AD205" s="4">
        <v>19</v>
      </c>
      <c r="AE205" s="5">
        <v>71</v>
      </c>
      <c r="AF205" s="9">
        <f t="shared" si="3"/>
        <v>1</v>
      </c>
      <c r="AG205" s="5">
        <v>74</v>
      </c>
      <c r="AH205" s="9" cm="1">
        <f t="array" ref="AH205">IF(OR(AI205:AN205=""),"BLANK",IF(AND(AI205:AN205&lt;99),1,IF(AND(AI205:AN205="NA"),3,2)))</f>
        <v>3</v>
      </c>
      <c r="AI205" s="4" t="s">
        <v>7</v>
      </c>
      <c r="AJ205" s="4" t="s">
        <v>7</v>
      </c>
      <c r="AK205" s="4" t="s">
        <v>7</v>
      </c>
      <c r="AL205" s="4" t="s">
        <v>7</v>
      </c>
      <c r="AM205" s="4" t="s">
        <v>7</v>
      </c>
      <c r="AN205" s="5" t="s">
        <v>7</v>
      </c>
    </row>
    <row r="206" spans="1:40" x14ac:dyDescent="0.2">
      <c r="A206" s="39">
        <v>1172</v>
      </c>
      <c r="B206" s="4" t="s">
        <v>68</v>
      </c>
      <c r="C206" s="30" t="s">
        <v>24</v>
      </c>
      <c r="D206" s="30">
        <v>5</v>
      </c>
      <c r="E206" s="30">
        <v>0</v>
      </c>
      <c r="F206" s="4">
        <v>3.6360000000000001</v>
      </c>
      <c r="G206" s="30">
        <v>28</v>
      </c>
      <c r="H206" s="33">
        <v>3.9589322381930185</v>
      </c>
      <c r="I206" s="33">
        <v>5.6919917864476384</v>
      </c>
      <c r="J206" s="33">
        <v>9.6509240246406574</v>
      </c>
      <c r="K206" s="33">
        <v>3.9589322381930185</v>
      </c>
      <c r="L206" s="33">
        <v>5.6919917864476384</v>
      </c>
      <c r="M206" s="33">
        <v>9.6509240246406574</v>
      </c>
      <c r="N206" s="33">
        <v>3.8959616700889801</v>
      </c>
      <c r="O206" s="33">
        <v>5.6673511293634498</v>
      </c>
      <c r="P206" s="33">
        <v>9.5633127994524294</v>
      </c>
      <c r="Q206" s="33" t="s">
        <v>7</v>
      </c>
      <c r="R206" s="33" t="s">
        <v>7</v>
      </c>
      <c r="S206" s="33" t="s">
        <v>7</v>
      </c>
      <c r="T206" s="34">
        <v>5</v>
      </c>
      <c r="U206" s="34">
        <v>17</v>
      </c>
      <c r="V206" s="4" t="s">
        <v>1</v>
      </c>
      <c r="W206" s="4">
        <v>1</v>
      </c>
      <c r="X206" s="4">
        <v>1</v>
      </c>
      <c r="Y206" s="4">
        <v>1</v>
      </c>
      <c r="Z206" s="56">
        <v>3</v>
      </c>
      <c r="AA206" s="9" cm="1">
        <f t="array" ref="AA206">IF(OR(AB206:AE206=""),"BLANK",IF(AND(AB206:AE206&lt;999),1,IF(AND(AB206:AE206="NA"),3,2)))</f>
        <v>1</v>
      </c>
      <c r="AB206" s="4">
        <v>46</v>
      </c>
      <c r="AC206" s="4">
        <v>29</v>
      </c>
      <c r="AD206" s="4">
        <v>19</v>
      </c>
      <c r="AE206" s="5">
        <v>94</v>
      </c>
      <c r="AF206" s="9">
        <f t="shared" si="3"/>
        <v>1</v>
      </c>
      <c r="AG206" s="5">
        <v>73</v>
      </c>
      <c r="AH206" s="9" cm="1">
        <f t="array" ref="AH206">IF(OR(AI206:AN206=""),"BLANK",IF(AND(AI206:AN206&lt;99),1,IF(AND(AI206:AN206="NA"),3,2)))</f>
        <v>3</v>
      </c>
      <c r="AI206" s="4" t="s">
        <v>7</v>
      </c>
      <c r="AJ206" s="4" t="s">
        <v>7</v>
      </c>
      <c r="AK206" s="4" t="s">
        <v>7</v>
      </c>
      <c r="AL206" s="4" t="s">
        <v>7</v>
      </c>
      <c r="AM206" s="4" t="s">
        <v>7</v>
      </c>
      <c r="AN206" s="5" t="s">
        <v>7</v>
      </c>
    </row>
    <row r="207" spans="1:40" x14ac:dyDescent="0.2">
      <c r="A207" s="39">
        <v>1175</v>
      </c>
      <c r="B207" s="4" t="s">
        <v>57</v>
      </c>
      <c r="C207" s="30" t="s">
        <v>24</v>
      </c>
      <c r="D207" s="30">
        <v>1</v>
      </c>
      <c r="E207" s="30">
        <v>0</v>
      </c>
      <c r="F207" s="4">
        <v>3.7269999999999999</v>
      </c>
      <c r="G207" s="30">
        <v>29</v>
      </c>
      <c r="H207" s="33">
        <v>3.9096509240246409</v>
      </c>
      <c r="I207" s="33">
        <v>5.2648870636550305</v>
      </c>
      <c r="J207" s="33">
        <v>9.1745379876796722</v>
      </c>
      <c r="K207" s="33">
        <v>3.9096509240246409</v>
      </c>
      <c r="L207" s="33">
        <v>5.5879534565366189</v>
      </c>
      <c r="M207" s="33">
        <v>9.4976043805612598</v>
      </c>
      <c r="N207" s="33" t="s">
        <v>7</v>
      </c>
      <c r="O207" s="33" t="s">
        <v>7</v>
      </c>
      <c r="P207" s="33">
        <v>9.073237508555783</v>
      </c>
      <c r="Q207" s="33">
        <v>3.1676933607118412</v>
      </c>
      <c r="R207" s="33">
        <v>6.2094455852156054</v>
      </c>
      <c r="S207" s="33">
        <v>9.377138945927447</v>
      </c>
      <c r="T207" s="34">
        <v>3</v>
      </c>
      <c r="U207" s="34">
        <v>15</v>
      </c>
      <c r="V207" s="4" t="s">
        <v>1</v>
      </c>
      <c r="W207" s="4">
        <v>1</v>
      </c>
      <c r="X207" s="4">
        <v>1</v>
      </c>
      <c r="Y207" s="4">
        <v>1</v>
      </c>
      <c r="Z207" s="56">
        <v>3</v>
      </c>
      <c r="AA207" s="9" cm="1">
        <f t="array" ref="AA207">IF(OR(AB207:AE207=""),"BLANK",IF(AND(AB207:AE207&lt;999),1,IF(AND(AB207:AE207="NA"),3,2)))</f>
        <v>1</v>
      </c>
      <c r="AB207" s="4">
        <v>38</v>
      </c>
      <c r="AC207" s="4">
        <v>20</v>
      </c>
      <c r="AD207" s="4">
        <v>14</v>
      </c>
      <c r="AE207" s="5">
        <v>72</v>
      </c>
      <c r="AF207" s="9">
        <f t="shared" si="3"/>
        <v>1</v>
      </c>
      <c r="AG207" s="5">
        <v>68</v>
      </c>
      <c r="AH207" s="9" cm="1">
        <f t="array" ref="AH207">IF(OR(AI207:AN207=""),"BLANK",IF(AND(AI207:AN207&lt;99),1,IF(AND(AI207:AN207="NA"),3,2)))</f>
        <v>3</v>
      </c>
      <c r="AI207" s="4" t="s">
        <v>7</v>
      </c>
      <c r="AJ207" s="4" t="s">
        <v>7</v>
      </c>
      <c r="AK207" s="4" t="s">
        <v>7</v>
      </c>
      <c r="AL207" s="4" t="s">
        <v>7</v>
      </c>
      <c r="AM207" s="4" t="s">
        <v>7</v>
      </c>
      <c r="AN207" s="5" t="s">
        <v>7</v>
      </c>
    </row>
    <row r="208" spans="1:40" x14ac:dyDescent="0.2">
      <c r="A208" s="39">
        <v>1178</v>
      </c>
      <c r="B208" s="4" t="s">
        <v>64</v>
      </c>
      <c r="C208" s="30" t="s">
        <v>23</v>
      </c>
      <c r="D208" s="30">
        <v>5</v>
      </c>
      <c r="E208" s="30">
        <v>0</v>
      </c>
      <c r="F208" s="4">
        <v>4</v>
      </c>
      <c r="G208" s="30">
        <v>29</v>
      </c>
      <c r="H208" s="33" t="s">
        <v>7</v>
      </c>
      <c r="I208" s="33" t="s">
        <v>7</v>
      </c>
      <c r="J208" s="33" t="s">
        <v>7</v>
      </c>
      <c r="K208" s="33" t="s">
        <v>7</v>
      </c>
      <c r="L208" s="33" t="s">
        <v>7</v>
      </c>
      <c r="M208" s="33" t="s">
        <v>7</v>
      </c>
      <c r="N208" s="33" t="s">
        <v>7</v>
      </c>
      <c r="O208" s="33" t="s">
        <v>7</v>
      </c>
      <c r="P208" s="33" t="s">
        <v>7</v>
      </c>
      <c r="Q208" s="33" t="s">
        <v>7</v>
      </c>
      <c r="R208" s="33" t="s">
        <v>7</v>
      </c>
      <c r="S208" s="33" t="s">
        <v>7</v>
      </c>
      <c r="T208" s="34">
        <v>7</v>
      </c>
      <c r="U208" s="34">
        <v>21</v>
      </c>
      <c r="V208" s="4" t="s">
        <v>1</v>
      </c>
      <c r="W208" s="4">
        <v>1</v>
      </c>
      <c r="X208" s="4">
        <v>1</v>
      </c>
      <c r="Y208" s="4">
        <v>1</v>
      </c>
      <c r="Z208" s="56">
        <v>3</v>
      </c>
      <c r="AA208" s="9" cm="1">
        <f t="array" ref="AA208">IF(OR(AB208:AE208=""),"BLANK",IF(AND(AB208:AE208&lt;999),1,IF(AND(AB208:AE208="NA"),3,2)))</f>
        <v>1</v>
      </c>
      <c r="AB208" s="4">
        <v>23</v>
      </c>
      <c r="AC208" s="4">
        <v>14</v>
      </c>
      <c r="AD208" s="4">
        <v>9</v>
      </c>
      <c r="AE208" s="5">
        <v>46</v>
      </c>
      <c r="AF208" s="9">
        <f t="shared" si="3"/>
        <v>1</v>
      </c>
      <c r="AG208" s="5">
        <v>44</v>
      </c>
      <c r="AH208" s="9" cm="1">
        <f t="array" ref="AH208">IF(OR(AI208:AN208=""),"BLANK",IF(AND(AI208:AN208&lt;99),1,IF(AND(AI208:AN208="NA"),3,2)))</f>
        <v>3</v>
      </c>
      <c r="AI208" s="4" t="s">
        <v>7</v>
      </c>
      <c r="AJ208" s="4" t="s">
        <v>7</v>
      </c>
      <c r="AK208" s="4" t="s">
        <v>7</v>
      </c>
      <c r="AL208" s="4" t="s">
        <v>7</v>
      </c>
      <c r="AM208" s="4" t="s">
        <v>7</v>
      </c>
      <c r="AN208" s="5" t="s">
        <v>7</v>
      </c>
    </row>
    <row r="209" spans="1:40" x14ac:dyDescent="0.2">
      <c r="A209" s="39">
        <v>1183</v>
      </c>
      <c r="B209" s="4" t="s">
        <v>53</v>
      </c>
      <c r="C209" s="30" t="s">
        <v>24</v>
      </c>
      <c r="D209" s="30">
        <v>5</v>
      </c>
      <c r="E209" s="30">
        <v>0</v>
      </c>
      <c r="F209" s="4">
        <v>3.5449999999999999</v>
      </c>
      <c r="G209" s="30">
        <v>30</v>
      </c>
      <c r="H209" s="33">
        <v>3.8412046543463383</v>
      </c>
      <c r="I209" s="33">
        <v>5.6536618754277894</v>
      </c>
      <c r="J209" s="33">
        <v>9.4948665297741268</v>
      </c>
      <c r="K209" s="33">
        <v>3.8412046543463383</v>
      </c>
      <c r="L209" s="33">
        <v>5.6536618754277894</v>
      </c>
      <c r="M209" s="33">
        <v>9.4948665297741268</v>
      </c>
      <c r="N209" s="33" t="s">
        <v>7</v>
      </c>
      <c r="O209" s="33" t="s">
        <v>7</v>
      </c>
      <c r="P209" s="33">
        <v>9.4811772758384674</v>
      </c>
      <c r="Q209" s="33" t="s">
        <v>7</v>
      </c>
      <c r="R209" s="33" t="s">
        <v>7</v>
      </c>
      <c r="S209" s="33" t="s">
        <v>7</v>
      </c>
      <c r="T209" s="34">
        <v>3</v>
      </c>
      <c r="U209" s="34">
        <v>15</v>
      </c>
      <c r="V209" s="4" t="s">
        <v>1</v>
      </c>
      <c r="W209" s="4">
        <v>1</v>
      </c>
      <c r="X209" s="4">
        <v>1</v>
      </c>
      <c r="Y209" s="4">
        <v>1</v>
      </c>
      <c r="Z209" s="56">
        <v>3</v>
      </c>
      <c r="AA209" s="9" cm="1">
        <f t="array" ref="AA209">IF(OR(AB209:AE209=""),"BLANK",IF(AND(AB209:AE209&lt;999),1,IF(AND(AB209:AE209="NA"),3,2)))</f>
        <v>1</v>
      </c>
      <c r="AB209" s="4">
        <v>34</v>
      </c>
      <c r="AC209" s="4">
        <v>23</v>
      </c>
      <c r="AD209" s="4">
        <v>15</v>
      </c>
      <c r="AE209" s="5">
        <v>72</v>
      </c>
      <c r="AF209" s="9">
        <f t="shared" si="3"/>
        <v>1</v>
      </c>
      <c r="AG209" s="5">
        <v>69</v>
      </c>
      <c r="AH209" s="9" cm="1">
        <f t="array" ref="AH209">IF(OR(AI209:AN209=""),"BLANK",IF(AND(AI209:AN209&lt;99),1,IF(AND(AI209:AN209="NA"),3,2)))</f>
        <v>3</v>
      </c>
      <c r="AI209" s="4" t="s">
        <v>7</v>
      </c>
      <c r="AJ209" s="4" t="s">
        <v>7</v>
      </c>
      <c r="AK209" s="4" t="s">
        <v>7</v>
      </c>
      <c r="AL209" s="4" t="s">
        <v>7</v>
      </c>
      <c r="AM209" s="4" t="s">
        <v>7</v>
      </c>
      <c r="AN209" s="5" t="s">
        <v>7</v>
      </c>
    </row>
    <row r="210" spans="1:40" x14ac:dyDescent="0.2">
      <c r="A210" s="39">
        <v>1195</v>
      </c>
      <c r="B210" s="4" t="s">
        <v>66</v>
      </c>
      <c r="C210" s="30" t="s">
        <v>23</v>
      </c>
      <c r="D210" s="30">
        <v>5</v>
      </c>
      <c r="E210" s="30">
        <v>0</v>
      </c>
      <c r="F210" s="4">
        <v>3.4550000000000001</v>
      </c>
      <c r="G210" s="30">
        <v>29</v>
      </c>
      <c r="H210" s="33" t="s">
        <v>7</v>
      </c>
      <c r="I210" s="33" t="s">
        <v>7</v>
      </c>
      <c r="J210" s="33" t="s">
        <v>7</v>
      </c>
      <c r="K210" s="33" t="s">
        <v>7</v>
      </c>
      <c r="L210" s="33" t="s">
        <v>7</v>
      </c>
      <c r="M210" s="33" t="s">
        <v>7</v>
      </c>
      <c r="N210" s="33" t="s">
        <v>7</v>
      </c>
      <c r="O210" s="33" t="s">
        <v>7</v>
      </c>
      <c r="P210" s="33" t="s">
        <v>7</v>
      </c>
      <c r="Q210" s="33" t="s">
        <v>7</v>
      </c>
      <c r="R210" s="33" t="s">
        <v>7</v>
      </c>
      <c r="S210" s="33" t="s">
        <v>7</v>
      </c>
      <c r="T210" s="34">
        <v>4</v>
      </c>
      <c r="U210" s="34">
        <v>16</v>
      </c>
      <c r="V210" s="4" t="s">
        <v>1</v>
      </c>
      <c r="W210" s="4">
        <v>1</v>
      </c>
      <c r="X210" s="4">
        <v>1</v>
      </c>
      <c r="Y210" s="4">
        <v>1</v>
      </c>
      <c r="Z210" s="56">
        <v>3</v>
      </c>
      <c r="AA210" s="9" cm="1">
        <f t="array" ref="AA210">IF(OR(AB210:AE210=""),"BLANK",IF(AND(AB210:AE210&lt;999),1,IF(AND(AB210:AE210="NA"),3,2)))</f>
        <v>1</v>
      </c>
      <c r="AB210" s="4">
        <v>29</v>
      </c>
      <c r="AC210" s="4">
        <v>18</v>
      </c>
      <c r="AD210" s="4">
        <v>11</v>
      </c>
      <c r="AE210" s="5">
        <v>58</v>
      </c>
      <c r="AF210" s="9">
        <f t="shared" si="3"/>
        <v>1</v>
      </c>
      <c r="AG210" s="5">
        <v>48</v>
      </c>
      <c r="AH210" s="9" cm="1">
        <f t="array" ref="AH210">IF(OR(AI210:AN210=""),"BLANK",IF(AND(AI210:AN210&lt;99),1,IF(AND(AI210:AN210="NA"),3,2)))</f>
        <v>3</v>
      </c>
      <c r="AI210" s="4" t="s">
        <v>7</v>
      </c>
      <c r="AJ210" s="4" t="s">
        <v>7</v>
      </c>
      <c r="AK210" s="4" t="s">
        <v>7</v>
      </c>
      <c r="AL210" s="4" t="s">
        <v>7</v>
      </c>
      <c r="AM210" s="4" t="s">
        <v>7</v>
      </c>
      <c r="AN210" s="5" t="s">
        <v>7</v>
      </c>
    </row>
    <row r="211" spans="1:40" x14ac:dyDescent="0.2">
      <c r="A211" s="39">
        <v>1196</v>
      </c>
      <c r="B211" s="4" t="s">
        <v>56</v>
      </c>
      <c r="C211" s="30" t="s">
        <v>23</v>
      </c>
      <c r="D211" s="30">
        <v>5</v>
      </c>
      <c r="E211" s="30">
        <v>0</v>
      </c>
      <c r="F211" s="4">
        <v>3.6360000000000001</v>
      </c>
      <c r="G211" s="30">
        <v>30</v>
      </c>
      <c r="H211" s="33" t="s">
        <v>7</v>
      </c>
      <c r="I211" s="33" t="s">
        <v>7</v>
      </c>
      <c r="J211" s="33" t="s">
        <v>7</v>
      </c>
      <c r="K211" s="33" t="s">
        <v>7</v>
      </c>
      <c r="L211" s="33" t="s">
        <v>7</v>
      </c>
      <c r="M211" s="33" t="s">
        <v>7</v>
      </c>
      <c r="N211" s="33" t="s">
        <v>7</v>
      </c>
      <c r="O211" s="33" t="s">
        <v>7</v>
      </c>
      <c r="P211" s="33" t="s">
        <v>7</v>
      </c>
      <c r="Q211" s="33" t="s">
        <v>7</v>
      </c>
      <c r="R211" s="33" t="s">
        <v>7</v>
      </c>
      <c r="S211" s="33" t="s">
        <v>7</v>
      </c>
      <c r="T211" s="34">
        <v>5</v>
      </c>
      <c r="U211" s="34">
        <v>16</v>
      </c>
      <c r="V211" s="4" t="s">
        <v>1</v>
      </c>
      <c r="W211" s="4">
        <v>1</v>
      </c>
      <c r="X211" s="4">
        <v>1</v>
      </c>
      <c r="Y211" s="4">
        <v>1</v>
      </c>
      <c r="Z211" s="56">
        <v>3</v>
      </c>
      <c r="AA211" s="9" cm="1">
        <f t="array" ref="AA211">IF(OR(AB211:AE211=""),"BLANK",IF(AND(AB211:AE211&lt;999),1,IF(AND(AB211:AE211="NA"),3,2)))</f>
        <v>1</v>
      </c>
      <c r="AB211" s="4">
        <v>42</v>
      </c>
      <c r="AC211" s="4">
        <v>21</v>
      </c>
      <c r="AD211" s="4">
        <v>17</v>
      </c>
      <c r="AE211" s="5">
        <v>80</v>
      </c>
      <c r="AF211" s="9">
        <f t="shared" si="3"/>
        <v>1</v>
      </c>
      <c r="AG211" s="5">
        <v>86</v>
      </c>
      <c r="AH211" s="9" cm="1">
        <f t="array" ref="AH211">IF(OR(AI211:AN211=""),"BLANK",IF(AND(AI211:AN211&lt;99),1,IF(AND(AI211:AN211="NA"),3,2)))</f>
        <v>3</v>
      </c>
      <c r="AI211" s="4" t="s">
        <v>7</v>
      </c>
      <c r="AJ211" s="4" t="s">
        <v>7</v>
      </c>
      <c r="AK211" s="4" t="s">
        <v>7</v>
      </c>
      <c r="AL211" s="4" t="s">
        <v>7</v>
      </c>
      <c r="AM211" s="4" t="s">
        <v>7</v>
      </c>
      <c r="AN211" s="5" t="s">
        <v>7</v>
      </c>
    </row>
    <row r="212" spans="1:40" x14ac:dyDescent="0.2">
      <c r="A212" s="39">
        <v>1199</v>
      </c>
      <c r="B212" s="4" t="s">
        <v>53</v>
      </c>
      <c r="C212" s="30" t="s">
        <v>24</v>
      </c>
      <c r="D212" s="30">
        <v>5</v>
      </c>
      <c r="E212" s="30">
        <v>1</v>
      </c>
      <c r="F212" s="4">
        <v>3.7269999999999999</v>
      </c>
      <c r="G212" s="30">
        <v>30</v>
      </c>
      <c r="H212" s="33" t="s">
        <v>7</v>
      </c>
      <c r="I212" s="33" t="s">
        <v>7</v>
      </c>
      <c r="J212" s="33" t="s">
        <v>7</v>
      </c>
      <c r="K212" s="33" t="s">
        <v>7</v>
      </c>
      <c r="L212" s="33" t="s">
        <v>7</v>
      </c>
      <c r="M212" s="33" t="s">
        <v>7</v>
      </c>
      <c r="N212" s="33" t="s">
        <v>7</v>
      </c>
      <c r="O212" s="33" t="s">
        <v>7</v>
      </c>
      <c r="P212" s="33" t="s">
        <v>7</v>
      </c>
      <c r="Q212" s="33" t="s">
        <v>7</v>
      </c>
      <c r="R212" s="33" t="s">
        <v>7</v>
      </c>
      <c r="S212" s="33" t="s">
        <v>7</v>
      </c>
      <c r="T212" s="34">
        <v>5</v>
      </c>
      <c r="U212" s="34">
        <v>16</v>
      </c>
      <c r="V212" s="4" t="s">
        <v>1</v>
      </c>
      <c r="W212" s="4">
        <v>1</v>
      </c>
      <c r="X212" s="4">
        <v>1</v>
      </c>
      <c r="Y212" s="4">
        <v>1</v>
      </c>
      <c r="Z212" s="56">
        <v>3</v>
      </c>
      <c r="AA212" s="9" cm="1">
        <f t="array" ref="AA212">IF(OR(AB212:AE212=""),"BLANK",IF(AND(AB212:AE212&lt;999),1,IF(AND(AB212:AE212="NA"),3,2)))</f>
        <v>1</v>
      </c>
      <c r="AB212" s="4">
        <v>42</v>
      </c>
      <c r="AC212" s="4">
        <v>16</v>
      </c>
      <c r="AD212" s="4">
        <v>16</v>
      </c>
      <c r="AE212" s="5">
        <v>74</v>
      </c>
      <c r="AF212" s="9">
        <f t="shared" si="3"/>
        <v>1</v>
      </c>
      <c r="AG212" s="5">
        <v>78</v>
      </c>
      <c r="AH212" s="9" cm="1">
        <f t="array" ref="AH212">IF(OR(AI212:AN212=""),"BLANK",IF(AND(AI212:AN212&lt;99),1,IF(AND(AI212:AN212="NA"),3,2)))</f>
        <v>3</v>
      </c>
      <c r="AI212" s="4" t="s">
        <v>7</v>
      </c>
      <c r="AJ212" s="4" t="s">
        <v>7</v>
      </c>
      <c r="AK212" s="4" t="s">
        <v>7</v>
      </c>
      <c r="AL212" s="4" t="s">
        <v>7</v>
      </c>
      <c r="AM212" s="4" t="s">
        <v>7</v>
      </c>
      <c r="AN212" s="5" t="s">
        <v>7</v>
      </c>
    </row>
    <row r="213" spans="1:40" x14ac:dyDescent="0.2">
      <c r="A213" s="39">
        <v>1200</v>
      </c>
      <c r="B213" s="4" t="s">
        <v>47</v>
      </c>
      <c r="C213" s="30" t="s">
        <v>23</v>
      </c>
      <c r="D213" s="30">
        <v>5</v>
      </c>
      <c r="E213" s="30">
        <v>1</v>
      </c>
      <c r="F213" s="4">
        <v>4</v>
      </c>
      <c r="G213" s="30">
        <v>26</v>
      </c>
      <c r="H213" s="33">
        <v>3.8740588637919235</v>
      </c>
      <c r="I213" s="33">
        <v>5.4236824093086931</v>
      </c>
      <c r="J213" s="33">
        <v>9.2977412731006162</v>
      </c>
      <c r="K213" s="33">
        <v>3.8740588637919235</v>
      </c>
      <c r="L213" s="33">
        <v>5.4236824093086931</v>
      </c>
      <c r="M213" s="33">
        <v>9.2977412731006162</v>
      </c>
      <c r="N213" s="33">
        <v>3.9644079397672827</v>
      </c>
      <c r="O213" s="33" t="s">
        <v>7</v>
      </c>
      <c r="P213" s="33" t="s">
        <v>7</v>
      </c>
      <c r="Q213" s="33">
        <v>3.3456536618754278</v>
      </c>
      <c r="R213" s="33" t="s">
        <v>7</v>
      </c>
      <c r="S213" s="33" t="s">
        <v>7</v>
      </c>
      <c r="T213" s="34">
        <v>2</v>
      </c>
      <c r="U213" s="34">
        <v>12</v>
      </c>
      <c r="V213" s="4" t="s">
        <v>1</v>
      </c>
      <c r="W213" s="4">
        <v>1</v>
      </c>
      <c r="X213" s="4">
        <v>1</v>
      </c>
      <c r="Y213" s="4">
        <v>1</v>
      </c>
      <c r="Z213" s="56">
        <v>3</v>
      </c>
      <c r="AA213" s="9" cm="1">
        <f t="array" ref="AA213">IF(OR(AB213:AE213=""),"BLANK",IF(AND(AB213:AE213&lt;999),1,IF(AND(AB213:AE213="NA"),3,2)))</f>
        <v>1</v>
      </c>
      <c r="AB213" s="4">
        <v>32</v>
      </c>
      <c r="AC213" s="4">
        <v>20</v>
      </c>
      <c r="AD213" s="4">
        <v>13</v>
      </c>
      <c r="AE213" s="5">
        <v>65</v>
      </c>
      <c r="AF213" s="9">
        <f t="shared" si="3"/>
        <v>1</v>
      </c>
      <c r="AG213" s="5">
        <v>63</v>
      </c>
      <c r="AH213" s="9" cm="1">
        <f t="array" ref="AH213">IF(OR(AI213:AN213=""),"BLANK",IF(AND(AI213:AN213&lt;99),1,IF(AND(AI213:AN213="NA"),3,2)))</f>
        <v>3</v>
      </c>
      <c r="AI213" s="4" t="s">
        <v>7</v>
      </c>
      <c r="AJ213" s="4" t="s">
        <v>7</v>
      </c>
      <c r="AK213" s="4" t="s">
        <v>7</v>
      </c>
      <c r="AL213" s="4" t="s">
        <v>7</v>
      </c>
      <c r="AM213" s="4" t="s">
        <v>7</v>
      </c>
      <c r="AN213" s="5" t="s">
        <v>7</v>
      </c>
    </row>
    <row r="214" spans="1:40" x14ac:dyDescent="0.2">
      <c r="A214" s="39">
        <v>1220</v>
      </c>
      <c r="B214" s="4" t="s">
        <v>46</v>
      </c>
      <c r="C214" s="30" t="s">
        <v>23</v>
      </c>
      <c r="D214" s="30">
        <v>5</v>
      </c>
      <c r="E214" s="30">
        <v>0</v>
      </c>
      <c r="F214" s="4">
        <v>4</v>
      </c>
      <c r="G214" s="30">
        <v>29</v>
      </c>
      <c r="H214" s="33">
        <v>4.1779603011635862</v>
      </c>
      <c r="I214" s="33">
        <v>4.8213552361396301</v>
      </c>
      <c r="J214" s="33">
        <v>8.9993155373032163</v>
      </c>
      <c r="K214" s="33">
        <v>4.1779603011635862</v>
      </c>
      <c r="L214" s="33">
        <v>5.0540725530458586</v>
      </c>
      <c r="M214" s="33">
        <v>9.2320328542094447</v>
      </c>
      <c r="N214" s="33">
        <v>4.1040383299110195</v>
      </c>
      <c r="O214" s="33">
        <v>4.7446954140999313</v>
      </c>
      <c r="P214" s="33">
        <v>8.8487337440109517</v>
      </c>
      <c r="Q214" s="33" t="s">
        <v>7</v>
      </c>
      <c r="R214" s="33" t="s">
        <v>7</v>
      </c>
      <c r="S214" s="33" t="s">
        <v>7</v>
      </c>
      <c r="T214" s="34">
        <v>5</v>
      </c>
      <c r="U214" s="34">
        <v>16</v>
      </c>
      <c r="V214" s="4" t="s">
        <v>1</v>
      </c>
      <c r="W214" s="4">
        <v>1</v>
      </c>
      <c r="X214" s="4">
        <v>1</v>
      </c>
      <c r="Y214" s="4">
        <v>1</v>
      </c>
      <c r="Z214" s="56">
        <v>3</v>
      </c>
      <c r="AA214" s="9" cm="1">
        <f t="array" ref="AA214">IF(OR(AB214:AE214=""),"BLANK",IF(AND(AB214:AE214&lt;999),1,IF(AND(AB214:AE214="NA"),3,2)))</f>
        <v>1</v>
      </c>
      <c r="AB214" s="4">
        <v>33</v>
      </c>
      <c r="AC214" s="4">
        <v>15</v>
      </c>
      <c r="AD214" s="4">
        <v>13</v>
      </c>
      <c r="AE214" s="5">
        <v>61</v>
      </c>
      <c r="AF214" s="9">
        <f t="shared" si="3"/>
        <v>1</v>
      </c>
      <c r="AG214" s="5">
        <v>68</v>
      </c>
      <c r="AH214" s="9" cm="1">
        <f t="array" ref="AH214">IF(OR(AI214:AN214=""),"BLANK",IF(AND(AI214:AN214&lt;99),1,IF(AND(AI214:AN214="NA"),3,2)))</f>
        <v>3</v>
      </c>
      <c r="AI214" s="4" t="s">
        <v>7</v>
      </c>
      <c r="AJ214" s="4" t="s">
        <v>7</v>
      </c>
      <c r="AK214" s="4" t="s">
        <v>7</v>
      </c>
      <c r="AL214" s="4" t="s">
        <v>7</v>
      </c>
      <c r="AM214" s="4" t="s">
        <v>7</v>
      </c>
      <c r="AN214" s="5" t="s">
        <v>7</v>
      </c>
    </row>
    <row r="215" spans="1:40" x14ac:dyDescent="0.2">
      <c r="A215" s="39">
        <v>1225</v>
      </c>
      <c r="B215" s="4" t="s">
        <v>69</v>
      </c>
      <c r="C215" s="30" t="s">
        <v>23</v>
      </c>
      <c r="D215" s="30">
        <v>5</v>
      </c>
      <c r="E215" s="30">
        <v>0</v>
      </c>
      <c r="F215" s="4">
        <v>3.3639999999999999</v>
      </c>
      <c r="G215" s="30">
        <v>28</v>
      </c>
      <c r="H215" s="33">
        <v>3.9342915811088295</v>
      </c>
      <c r="I215" s="33" t="s">
        <v>7</v>
      </c>
      <c r="J215" s="33" t="s">
        <v>7</v>
      </c>
      <c r="K215" s="33">
        <v>3.9671457905544147</v>
      </c>
      <c r="L215" s="33" t="s">
        <v>7</v>
      </c>
      <c r="M215" s="33" t="s">
        <v>7</v>
      </c>
      <c r="N215" s="33">
        <v>3.9534565366187544</v>
      </c>
      <c r="O215" s="33" t="s">
        <v>7</v>
      </c>
      <c r="P215" s="33" t="s">
        <v>7</v>
      </c>
      <c r="Q215" s="33">
        <v>3.3702943189596168</v>
      </c>
      <c r="R215" s="33" t="s">
        <v>7</v>
      </c>
      <c r="S215" s="33" t="s">
        <v>7</v>
      </c>
      <c r="T215" s="34">
        <v>3</v>
      </c>
      <c r="U215" s="34">
        <v>14</v>
      </c>
      <c r="V215" s="4" t="s">
        <v>1</v>
      </c>
      <c r="W215" s="4">
        <v>1</v>
      </c>
      <c r="X215" s="4">
        <v>1</v>
      </c>
      <c r="Y215" s="4">
        <v>1</v>
      </c>
      <c r="Z215" s="56">
        <v>3</v>
      </c>
      <c r="AA215" s="9" cm="1">
        <f t="array" ref="AA215">IF(OR(AB215:AE215=""),"BLANK",IF(AND(AB215:AE215&lt;999),1,IF(AND(AB215:AE215="NA"),3,2)))</f>
        <v>1</v>
      </c>
      <c r="AB215" s="4">
        <v>16</v>
      </c>
      <c r="AC215" s="4">
        <v>8</v>
      </c>
      <c r="AD215" s="4">
        <v>6</v>
      </c>
      <c r="AE215" s="5">
        <v>30</v>
      </c>
      <c r="AF215" s="9">
        <f t="shared" si="3"/>
        <v>1</v>
      </c>
      <c r="AG215" s="5">
        <v>38</v>
      </c>
      <c r="AH215" s="9" cm="1">
        <f t="array" ref="AH215">IF(OR(AI215:AN215=""),"BLANK",IF(AND(AI215:AN215&lt;99),1,IF(AND(AI215:AN215="NA"),3,2)))</f>
        <v>3</v>
      </c>
      <c r="AI215" s="4" t="s">
        <v>7</v>
      </c>
      <c r="AJ215" s="4" t="s">
        <v>7</v>
      </c>
      <c r="AK215" s="4" t="s">
        <v>7</v>
      </c>
      <c r="AL215" s="4" t="s">
        <v>7</v>
      </c>
      <c r="AM215" s="4" t="s">
        <v>7</v>
      </c>
      <c r="AN215" s="5" t="s">
        <v>7</v>
      </c>
    </row>
    <row r="216" spans="1:40" x14ac:dyDescent="0.2">
      <c r="A216" s="39">
        <v>1226</v>
      </c>
      <c r="B216" s="4" t="s">
        <v>47</v>
      </c>
      <c r="C216" s="30" t="s">
        <v>23</v>
      </c>
      <c r="D216" s="30">
        <v>5</v>
      </c>
      <c r="E216" s="30">
        <v>0</v>
      </c>
      <c r="F216" s="4">
        <v>4</v>
      </c>
      <c r="G216" s="30">
        <v>30</v>
      </c>
      <c r="H216" s="33">
        <v>3.890485968514716</v>
      </c>
      <c r="I216" s="33">
        <v>5.3689253935660508</v>
      </c>
      <c r="J216" s="33">
        <v>9.2594113620807672</v>
      </c>
      <c r="K216" s="33" t="s">
        <v>7</v>
      </c>
      <c r="L216" s="33" t="s">
        <v>7</v>
      </c>
      <c r="M216" s="33" t="s">
        <v>7</v>
      </c>
      <c r="N216" s="33">
        <v>4.2053388090349078</v>
      </c>
      <c r="O216" s="33">
        <v>4.991101984941821</v>
      </c>
      <c r="P216" s="33">
        <v>9.1964407939767288</v>
      </c>
      <c r="Q216" s="33">
        <v>3.4140999315537304</v>
      </c>
      <c r="R216" s="33">
        <v>6.3189596167008899</v>
      </c>
      <c r="S216" s="33">
        <v>9.7330595482546194</v>
      </c>
      <c r="T216" s="34">
        <v>3</v>
      </c>
      <c r="U216" s="34">
        <v>15</v>
      </c>
      <c r="V216" s="4" t="s">
        <v>1</v>
      </c>
      <c r="W216" s="4">
        <v>1</v>
      </c>
      <c r="X216" s="4">
        <v>1</v>
      </c>
      <c r="Y216" s="4">
        <v>1</v>
      </c>
      <c r="Z216" s="56">
        <v>3</v>
      </c>
      <c r="AA216" s="9" cm="1">
        <f t="array" ref="AA216">IF(OR(AB216:AE216=""),"BLANK",IF(AND(AB216:AE216&lt;999),1,IF(AND(AB216:AE216="NA"),3,2)))</f>
        <v>1</v>
      </c>
      <c r="AB216" s="4">
        <v>22</v>
      </c>
      <c r="AC216" s="4">
        <v>11</v>
      </c>
      <c r="AD216" s="4">
        <v>11</v>
      </c>
      <c r="AE216" s="5">
        <v>44</v>
      </c>
      <c r="AF216" s="9">
        <f t="shared" si="3"/>
        <v>1</v>
      </c>
      <c r="AG216" s="5">
        <v>43</v>
      </c>
      <c r="AH216" s="9" cm="1">
        <f t="array" ref="AH216">IF(OR(AI216:AN216=""),"BLANK",IF(AND(AI216:AN216&lt;99),1,IF(AND(AI216:AN216="NA"),3,2)))</f>
        <v>3</v>
      </c>
      <c r="AI216" s="4" t="s">
        <v>7</v>
      </c>
      <c r="AJ216" s="4" t="s">
        <v>7</v>
      </c>
      <c r="AK216" s="4" t="s">
        <v>7</v>
      </c>
      <c r="AL216" s="4" t="s">
        <v>7</v>
      </c>
      <c r="AM216" s="4" t="s">
        <v>7</v>
      </c>
      <c r="AN216" s="5" t="s">
        <v>7</v>
      </c>
    </row>
    <row r="217" spans="1:40" x14ac:dyDescent="0.2">
      <c r="A217" s="39">
        <v>1240</v>
      </c>
      <c r="B217" s="4" t="s">
        <v>51</v>
      </c>
      <c r="C217" s="30" t="s">
        <v>23</v>
      </c>
      <c r="D217" s="30">
        <v>5</v>
      </c>
      <c r="E217" s="30">
        <v>0</v>
      </c>
      <c r="F217" s="4">
        <v>4</v>
      </c>
      <c r="G217" s="30">
        <v>30</v>
      </c>
      <c r="H217" s="33">
        <v>3.9671457905544147</v>
      </c>
      <c r="I217" s="33">
        <v>4.9774127310061598</v>
      </c>
      <c r="J217" s="33">
        <v>8.944558521560575</v>
      </c>
      <c r="K217" s="33">
        <v>3.9671457905544147</v>
      </c>
      <c r="L217" s="33">
        <v>4.9774127310061598</v>
      </c>
      <c r="M217" s="33">
        <v>8.944558521560575</v>
      </c>
      <c r="N217" s="33">
        <v>3.9589322381930185</v>
      </c>
      <c r="O217" s="33">
        <v>4.9253935660506505</v>
      </c>
      <c r="P217" s="33">
        <v>8.8843258042436695</v>
      </c>
      <c r="Q217" s="33">
        <v>3.1649555099247091</v>
      </c>
      <c r="R217" s="33">
        <v>5.935660506502396</v>
      </c>
      <c r="S217" s="33">
        <v>9.1006160164271055</v>
      </c>
      <c r="T217" s="34">
        <v>4</v>
      </c>
      <c r="U217" s="34">
        <v>16</v>
      </c>
      <c r="V217" s="4" t="s">
        <v>1</v>
      </c>
      <c r="W217" s="4">
        <v>1</v>
      </c>
      <c r="X217" s="4">
        <v>1</v>
      </c>
      <c r="Y217" s="4">
        <v>1</v>
      </c>
      <c r="Z217" s="56">
        <v>3</v>
      </c>
      <c r="AA217" s="9" cm="1">
        <f t="array" ref="AA217">IF(OR(AB217:AE217=""),"BLANK",IF(AND(AB217:AE217&lt;999),1,IF(AND(AB217:AE217="NA"),3,2)))</f>
        <v>1</v>
      </c>
      <c r="AB217" s="4">
        <v>32</v>
      </c>
      <c r="AC217" s="4">
        <v>15</v>
      </c>
      <c r="AD217" s="4">
        <v>10</v>
      </c>
      <c r="AE217" s="5">
        <v>57</v>
      </c>
      <c r="AF217" s="9">
        <f t="shared" si="3"/>
        <v>1</v>
      </c>
      <c r="AG217" s="5">
        <v>54</v>
      </c>
      <c r="AH217" s="9" cm="1">
        <f t="array" ref="AH217">IF(OR(AI217:AN217=""),"BLANK",IF(AND(AI217:AN217&lt;99),1,IF(AND(AI217:AN217="NA"),3,2)))</f>
        <v>3</v>
      </c>
      <c r="AI217" s="4" t="s">
        <v>7</v>
      </c>
      <c r="AJ217" s="4" t="s">
        <v>7</v>
      </c>
      <c r="AK217" s="4" t="s">
        <v>7</v>
      </c>
      <c r="AL217" s="4" t="s">
        <v>7</v>
      </c>
      <c r="AM217" s="4" t="s">
        <v>7</v>
      </c>
      <c r="AN217" s="5" t="s">
        <v>7</v>
      </c>
    </row>
    <row r="218" spans="1:40" x14ac:dyDescent="0.2">
      <c r="A218" s="39">
        <v>1245</v>
      </c>
      <c r="B218" s="4" t="s">
        <v>46</v>
      </c>
      <c r="C218" s="30" t="s">
        <v>24</v>
      </c>
      <c r="D218" s="30">
        <v>3</v>
      </c>
      <c r="E218" s="30">
        <v>1</v>
      </c>
      <c r="F218" s="4">
        <v>3.3639999999999999</v>
      </c>
      <c r="G218" s="30">
        <v>28</v>
      </c>
      <c r="H218" s="33">
        <v>3.9835728952772076</v>
      </c>
      <c r="I218" s="33">
        <v>5.2813141683778237</v>
      </c>
      <c r="J218" s="33">
        <v>9.2648870636550313</v>
      </c>
      <c r="K218" s="33">
        <v>4.991101984941821</v>
      </c>
      <c r="L218" s="33">
        <v>4.2737850787132103</v>
      </c>
      <c r="M218" s="33">
        <v>9.2648870636550313</v>
      </c>
      <c r="N218" s="33">
        <v>3.9726214921286789</v>
      </c>
      <c r="O218" s="33">
        <v>5.0540725530458586</v>
      </c>
      <c r="P218" s="33">
        <v>9.0266940451745388</v>
      </c>
      <c r="Q218" s="33" t="s">
        <v>7</v>
      </c>
      <c r="R218" s="33" t="s">
        <v>7</v>
      </c>
      <c r="S218" s="33" t="s">
        <v>7</v>
      </c>
      <c r="T218" s="34">
        <v>7</v>
      </c>
      <c r="U218" s="34">
        <v>21</v>
      </c>
      <c r="V218" s="4" t="s">
        <v>1</v>
      </c>
      <c r="W218" s="4">
        <v>1</v>
      </c>
      <c r="X218" s="4">
        <v>1</v>
      </c>
      <c r="Y218" s="4">
        <v>1</v>
      </c>
      <c r="Z218" s="56">
        <v>3</v>
      </c>
      <c r="AA218" s="9" cm="1">
        <f t="array" ref="AA218">IF(OR(AB218:AE218=""),"BLANK",IF(AND(AB218:AE218&lt;999),1,IF(AND(AB218:AE218="NA"),3,2)))</f>
        <v>1</v>
      </c>
      <c r="AB218" s="4">
        <v>26</v>
      </c>
      <c r="AC218" s="4">
        <v>17</v>
      </c>
      <c r="AD218" s="4">
        <v>12</v>
      </c>
      <c r="AE218" s="5">
        <v>55</v>
      </c>
      <c r="AF218" s="9">
        <f t="shared" si="3"/>
        <v>1</v>
      </c>
      <c r="AG218" s="5">
        <v>61</v>
      </c>
      <c r="AH218" s="9" cm="1">
        <f t="array" ref="AH218">IF(OR(AI218:AN218=""),"BLANK",IF(AND(AI218:AN218&lt;99),1,IF(AND(AI218:AN218="NA"),3,2)))</f>
        <v>3</v>
      </c>
      <c r="AI218" s="4" t="s">
        <v>7</v>
      </c>
      <c r="AJ218" s="4" t="s">
        <v>7</v>
      </c>
      <c r="AK218" s="4" t="s">
        <v>7</v>
      </c>
      <c r="AL218" s="4" t="s">
        <v>7</v>
      </c>
      <c r="AM218" s="4" t="s">
        <v>7</v>
      </c>
      <c r="AN218" s="5" t="s">
        <v>7</v>
      </c>
    </row>
    <row r="219" spans="1:40" x14ac:dyDescent="0.2">
      <c r="A219" s="39">
        <v>1247</v>
      </c>
      <c r="B219" s="4" t="s">
        <v>47</v>
      </c>
      <c r="C219" s="30" t="s">
        <v>23</v>
      </c>
      <c r="D219" s="30">
        <v>5</v>
      </c>
      <c r="E219" s="30">
        <v>0</v>
      </c>
      <c r="F219" s="4">
        <v>4</v>
      </c>
      <c r="G219" s="30">
        <v>28</v>
      </c>
      <c r="H219" s="33" t="s">
        <v>7</v>
      </c>
      <c r="I219" s="33" t="s">
        <v>7</v>
      </c>
      <c r="J219" s="33" t="s">
        <v>7</v>
      </c>
      <c r="K219" s="33" t="s">
        <v>7</v>
      </c>
      <c r="L219" s="33" t="s">
        <v>7</v>
      </c>
      <c r="M219" s="33" t="s">
        <v>7</v>
      </c>
      <c r="N219" s="33" t="s">
        <v>7</v>
      </c>
      <c r="O219" s="33" t="s">
        <v>7</v>
      </c>
      <c r="P219" s="33" t="s">
        <v>7</v>
      </c>
      <c r="Q219" s="33" t="s">
        <v>7</v>
      </c>
      <c r="R219" s="33" t="s">
        <v>7</v>
      </c>
      <c r="S219" s="33" t="s">
        <v>7</v>
      </c>
      <c r="T219" s="34">
        <v>4</v>
      </c>
      <c r="U219" s="34">
        <v>16</v>
      </c>
      <c r="V219" s="4" t="s">
        <v>1</v>
      </c>
      <c r="W219" s="4">
        <v>1</v>
      </c>
      <c r="X219" s="4">
        <v>1</v>
      </c>
      <c r="Y219" s="4">
        <v>1</v>
      </c>
      <c r="Z219" s="56">
        <v>3</v>
      </c>
      <c r="AA219" s="9" cm="1">
        <f t="array" ref="AA219">IF(OR(AB219:AE219=""),"BLANK",IF(AND(AB219:AE219&lt;999),1,IF(AND(AB219:AE219="NA"),3,2)))</f>
        <v>1</v>
      </c>
      <c r="AB219" s="4">
        <v>28</v>
      </c>
      <c r="AC219" s="4">
        <v>17</v>
      </c>
      <c r="AD219" s="4">
        <v>13</v>
      </c>
      <c r="AE219" s="5">
        <v>58</v>
      </c>
      <c r="AF219" s="9">
        <f t="shared" si="3"/>
        <v>1</v>
      </c>
      <c r="AG219" s="5">
        <v>37</v>
      </c>
      <c r="AH219" s="9" cm="1">
        <f t="array" ref="AH219">IF(OR(AI219:AN219=""),"BLANK",IF(AND(AI219:AN219&lt;99),1,IF(AND(AI219:AN219="NA"),3,2)))</f>
        <v>3</v>
      </c>
      <c r="AI219" s="4" t="s">
        <v>7</v>
      </c>
      <c r="AJ219" s="4" t="s">
        <v>7</v>
      </c>
      <c r="AK219" s="4" t="s">
        <v>7</v>
      </c>
      <c r="AL219" s="4" t="s">
        <v>7</v>
      </c>
      <c r="AM219" s="4" t="s">
        <v>7</v>
      </c>
      <c r="AN219" s="5" t="s">
        <v>7</v>
      </c>
    </row>
    <row r="220" spans="1:40" x14ac:dyDescent="0.2">
      <c r="A220" s="39">
        <v>1251</v>
      </c>
      <c r="B220" s="4" t="s">
        <v>57</v>
      </c>
      <c r="C220" s="30" t="s">
        <v>23</v>
      </c>
      <c r="D220" s="30">
        <v>2</v>
      </c>
      <c r="E220" s="30">
        <v>0</v>
      </c>
      <c r="F220" s="4">
        <v>4</v>
      </c>
      <c r="G220" s="30">
        <v>29</v>
      </c>
      <c r="H220" s="33" t="s">
        <v>7</v>
      </c>
      <c r="I220" s="33" t="s">
        <v>7</v>
      </c>
      <c r="J220" s="33" t="s">
        <v>7</v>
      </c>
      <c r="K220" s="33" t="s">
        <v>7</v>
      </c>
      <c r="L220" s="33" t="s">
        <v>7</v>
      </c>
      <c r="M220" s="33" t="s">
        <v>7</v>
      </c>
      <c r="N220" s="33" t="s">
        <v>7</v>
      </c>
      <c r="O220" s="33" t="s">
        <v>7</v>
      </c>
      <c r="P220" s="33" t="s">
        <v>7</v>
      </c>
      <c r="Q220" s="33" t="s">
        <v>7</v>
      </c>
      <c r="R220" s="33" t="s">
        <v>7</v>
      </c>
      <c r="S220" s="33" t="s">
        <v>7</v>
      </c>
      <c r="T220" s="34">
        <v>3</v>
      </c>
      <c r="U220" s="34">
        <v>15</v>
      </c>
      <c r="V220" s="4" t="s">
        <v>1</v>
      </c>
      <c r="W220" s="4">
        <v>1</v>
      </c>
      <c r="X220" s="4">
        <v>1</v>
      </c>
      <c r="Y220" s="4">
        <v>1</v>
      </c>
      <c r="Z220" s="56">
        <v>3</v>
      </c>
      <c r="AA220" s="9" cm="1">
        <f t="array" ref="AA220">IF(OR(AB220:AE220=""),"BLANK",IF(AND(AB220:AE220&lt;999),1,IF(AND(AB220:AE220="NA"),3,2)))</f>
        <v>1</v>
      </c>
      <c r="AB220" s="4">
        <v>33</v>
      </c>
      <c r="AC220" s="4">
        <v>26</v>
      </c>
      <c r="AD220" s="4">
        <v>16</v>
      </c>
      <c r="AE220" s="5">
        <v>75</v>
      </c>
      <c r="AF220" s="9">
        <f t="shared" si="3"/>
        <v>1</v>
      </c>
      <c r="AG220" s="5">
        <v>79</v>
      </c>
      <c r="AH220" s="9" cm="1">
        <f t="array" ref="AH220">IF(OR(AI220:AN220=""),"BLANK",IF(AND(AI220:AN220&lt;99),1,IF(AND(AI220:AN220="NA"),3,2)))</f>
        <v>3</v>
      </c>
      <c r="AI220" s="4" t="s">
        <v>7</v>
      </c>
      <c r="AJ220" s="4" t="s">
        <v>7</v>
      </c>
      <c r="AK220" s="4" t="s">
        <v>7</v>
      </c>
      <c r="AL220" s="4" t="s">
        <v>7</v>
      </c>
      <c r="AM220" s="4" t="s">
        <v>7</v>
      </c>
      <c r="AN220" s="5" t="s">
        <v>7</v>
      </c>
    </row>
    <row r="221" spans="1:40" x14ac:dyDescent="0.2">
      <c r="A221" s="39">
        <v>1267</v>
      </c>
      <c r="B221" s="4" t="s">
        <v>53</v>
      </c>
      <c r="C221" s="30" t="s">
        <v>23</v>
      </c>
      <c r="D221" s="30">
        <v>6</v>
      </c>
      <c r="E221" s="30">
        <v>1</v>
      </c>
      <c r="F221" s="4">
        <v>2.6360000000000001</v>
      </c>
      <c r="G221" s="30">
        <v>30</v>
      </c>
      <c r="H221" s="33">
        <v>4.0027378507871321</v>
      </c>
      <c r="I221" s="33" t="s">
        <v>7</v>
      </c>
      <c r="J221" s="33" t="s">
        <v>7</v>
      </c>
      <c r="K221" s="33">
        <v>4.0027378507871321</v>
      </c>
      <c r="L221" s="33" t="s">
        <v>7</v>
      </c>
      <c r="M221" s="33" t="s">
        <v>7</v>
      </c>
      <c r="N221" s="33">
        <v>3.9917864476386038</v>
      </c>
      <c r="O221" s="33" t="s">
        <v>7</v>
      </c>
      <c r="P221" s="33" t="s">
        <v>7</v>
      </c>
      <c r="Q221" s="33" t="s">
        <v>7</v>
      </c>
      <c r="R221" s="33" t="s">
        <v>7</v>
      </c>
      <c r="S221" s="33" t="s">
        <v>7</v>
      </c>
      <c r="T221" s="34">
        <v>3</v>
      </c>
      <c r="U221" s="34">
        <v>14</v>
      </c>
      <c r="V221" s="4" t="s">
        <v>1</v>
      </c>
      <c r="W221" s="4">
        <v>1</v>
      </c>
      <c r="X221" s="4">
        <v>1</v>
      </c>
      <c r="Y221" s="4">
        <v>1</v>
      </c>
      <c r="Z221" s="56">
        <v>3</v>
      </c>
      <c r="AA221" s="9" cm="1">
        <f t="array" ref="AA221">IF(OR(AB221:AE221=""),"BLANK",IF(AND(AB221:AE221&lt;999),1,IF(AND(AB221:AE221="NA"),3,2)))</f>
        <v>1</v>
      </c>
      <c r="AB221" s="4">
        <v>41</v>
      </c>
      <c r="AC221" s="4">
        <v>21</v>
      </c>
      <c r="AD221" s="4">
        <v>12</v>
      </c>
      <c r="AE221" s="5">
        <v>74</v>
      </c>
      <c r="AF221" s="9">
        <f t="shared" si="3"/>
        <v>1</v>
      </c>
      <c r="AG221" s="5">
        <v>77</v>
      </c>
      <c r="AH221" s="9" cm="1">
        <f t="array" ref="AH221">IF(OR(AI221:AN221=""),"BLANK",IF(AND(AI221:AN221&lt;99),1,IF(AND(AI221:AN221="NA"),3,2)))</f>
        <v>3</v>
      </c>
      <c r="AI221" s="4" t="s">
        <v>7</v>
      </c>
      <c r="AJ221" s="4" t="s">
        <v>7</v>
      </c>
      <c r="AK221" s="4" t="s">
        <v>7</v>
      </c>
      <c r="AL221" s="4" t="s">
        <v>7</v>
      </c>
      <c r="AM221" s="4" t="s">
        <v>7</v>
      </c>
      <c r="AN221" s="5" t="s">
        <v>7</v>
      </c>
    </row>
    <row r="222" spans="1:40" x14ac:dyDescent="0.2">
      <c r="A222" s="39">
        <v>1272</v>
      </c>
      <c r="B222" s="4" t="s">
        <v>56</v>
      </c>
      <c r="C222" s="30" t="s">
        <v>23</v>
      </c>
      <c r="D222" s="30">
        <v>1</v>
      </c>
      <c r="E222" s="30">
        <v>0</v>
      </c>
      <c r="F222" s="4">
        <v>4</v>
      </c>
      <c r="G222" s="30">
        <v>28</v>
      </c>
      <c r="H222" s="33">
        <v>4.3039014373716631</v>
      </c>
      <c r="I222" s="33" t="s">
        <v>7</v>
      </c>
      <c r="J222" s="33" t="s">
        <v>7</v>
      </c>
      <c r="K222" s="33">
        <v>4.2381930184804926</v>
      </c>
      <c r="L222" s="33" t="s">
        <v>7</v>
      </c>
      <c r="M222" s="33" t="s">
        <v>7</v>
      </c>
      <c r="N222" s="33">
        <v>4.2436687200547567</v>
      </c>
      <c r="O222" s="33" t="s">
        <v>7</v>
      </c>
      <c r="P222" s="33" t="s">
        <v>7</v>
      </c>
      <c r="Q222" s="33" t="s">
        <v>7</v>
      </c>
      <c r="R222" s="33" t="s">
        <v>7</v>
      </c>
      <c r="S222" s="33" t="s">
        <v>7</v>
      </c>
      <c r="T222" s="34">
        <v>7</v>
      </c>
      <c r="U222" s="34">
        <v>21</v>
      </c>
      <c r="V222" s="4" t="s">
        <v>1</v>
      </c>
      <c r="W222" s="4">
        <v>1</v>
      </c>
      <c r="X222" s="4">
        <v>1</v>
      </c>
      <c r="Y222" s="4">
        <v>1</v>
      </c>
      <c r="Z222" s="56">
        <v>3</v>
      </c>
      <c r="AA222" s="9" cm="1">
        <f t="array" ref="AA222">IF(OR(AB222:AE222=""),"BLANK",IF(AND(AB222:AE222&lt;999),1,IF(AND(AB222:AE222="NA"),3,2)))</f>
        <v>1</v>
      </c>
      <c r="AB222" s="4">
        <v>42</v>
      </c>
      <c r="AC222" s="4">
        <v>22</v>
      </c>
      <c r="AD222" s="4">
        <v>17</v>
      </c>
      <c r="AE222" s="5">
        <v>81</v>
      </c>
      <c r="AF222" s="9">
        <f t="shared" si="3"/>
        <v>1</v>
      </c>
      <c r="AG222" s="5">
        <v>67</v>
      </c>
      <c r="AH222" s="9" cm="1">
        <f t="array" ref="AH222">IF(OR(AI222:AN222=""),"BLANK",IF(AND(AI222:AN222&lt;99),1,IF(AND(AI222:AN222="NA"),3,2)))</f>
        <v>3</v>
      </c>
      <c r="AI222" s="4" t="s">
        <v>7</v>
      </c>
      <c r="AJ222" s="4" t="s">
        <v>7</v>
      </c>
      <c r="AK222" s="4" t="s">
        <v>7</v>
      </c>
      <c r="AL222" s="4" t="s">
        <v>7</v>
      </c>
      <c r="AM222" s="4" t="s">
        <v>7</v>
      </c>
      <c r="AN222" s="5" t="s">
        <v>7</v>
      </c>
    </row>
    <row r="223" spans="1:40" x14ac:dyDescent="0.2">
      <c r="A223" s="39">
        <v>1309</v>
      </c>
      <c r="B223" s="4" t="s">
        <v>60</v>
      </c>
      <c r="C223" s="30" t="s">
        <v>24</v>
      </c>
      <c r="D223" s="30">
        <v>5</v>
      </c>
      <c r="E223" s="30">
        <v>0</v>
      </c>
      <c r="F223" s="4">
        <v>4</v>
      </c>
      <c r="G223" s="30">
        <v>30</v>
      </c>
      <c r="H223" s="33" t="s">
        <v>7</v>
      </c>
      <c r="I223" s="33" t="s">
        <v>7</v>
      </c>
      <c r="J223" s="33" t="s">
        <v>7</v>
      </c>
      <c r="K223" s="33" t="s">
        <v>7</v>
      </c>
      <c r="L223" s="33" t="s">
        <v>7</v>
      </c>
      <c r="M223" s="33" t="s">
        <v>7</v>
      </c>
      <c r="N223" s="33" t="s">
        <v>7</v>
      </c>
      <c r="O223" s="33" t="s">
        <v>7</v>
      </c>
      <c r="P223" s="33" t="s">
        <v>7</v>
      </c>
      <c r="Q223" s="33" t="s">
        <v>7</v>
      </c>
      <c r="R223" s="33" t="s">
        <v>7</v>
      </c>
      <c r="S223" s="33" t="s">
        <v>7</v>
      </c>
      <c r="T223" s="34">
        <v>3</v>
      </c>
      <c r="U223" s="34">
        <v>13</v>
      </c>
      <c r="V223" s="4" t="s">
        <v>1</v>
      </c>
      <c r="W223" s="4">
        <v>1</v>
      </c>
      <c r="X223" s="4">
        <v>1</v>
      </c>
      <c r="Y223" s="4">
        <v>1</v>
      </c>
      <c r="Z223" s="56">
        <v>3</v>
      </c>
      <c r="AA223" s="9" cm="1">
        <f t="array" ref="AA223">IF(OR(AB223:AE223=""),"BLANK",IF(AND(AB223:AE223&lt;999),1,IF(AND(AB223:AE223="NA"),3,2)))</f>
        <v>1</v>
      </c>
      <c r="AB223" s="4">
        <v>32</v>
      </c>
      <c r="AC223" s="4">
        <v>16</v>
      </c>
      <c r="AD223" s="4">
        <v>14</v>
      </c>
      <c r="AE223" s="5">
        <v>62</v>
      </c>
      <c r="AF223" s="9">
        <f t="shared" si="3"/>
        <v>1</v>
      </c>
      <c r="AG223" s="5">
        <v>50</v>
      </c>
      <c r="AH223" s="9" cm="1">
        <f t="array" ref="AH223">IF(OR(AI223:AN223=""),"BLANK",IF(AND(AI223:AN223&lt;99),1,IF(AND(AI223:AN223="NA"),3,2)))</f>
        <v>3</v>
      </c>
      <c r="AI223" s="4" t="s">
        <v>7</v>
      </c>
      <c r="AJ223" s="4" t="s">
        <v>7</v>
      </c>
      <c r="AK223" s="4" t="s">
        <v>7</v>
      </c>
      <c r="AL223" s="4" t="s">
        <v>7</v>
      </c>
      <c r="AM223" s="4" t="s">
        <v>7</v>
      </c>
      <c r="AN223" s="5" t="s">
        <v>7</v>
      </c>
    </row>
    <row r="224" spans="1:40" x14ac:dyDescent="0.2">
      <c r="A224" s="39">
        <v>1316</v>
      </c>
      <c r="B224" s="4" t="s">
        <v>57</v>
      </c>
      <c r="C224" s="30" t="s">
        <v>24</v>
      </c>
      <c r="D224" s="30">
        <v>5</v>
      </c>
      <c r="E224" s="30">
        <v>0</v>
      </c>
      <c r="F224" s="4">
        <v>4</v>
      </c>
      <c r="G224" s="30">
        <v>28</v>
      </c>
      <c r="H224" s="33">
        <v>3.9671457905544147</v>
      </c>
      <c r="I224" s="33">
        <v>5.1827515400410675</v>
      </c>
      <c r="J224" s="33">
        <v>9.1498973305954827</v>
      </c>
      <c r="K224" s="33">
        <v>3.9671457905544147</v>
      </c>
      <c r="L224" s="33">
        <v>5.4510609171800137</v>
      </c>
      <c r="M224" s="33">
        <v>9.4182067077344289</v>
      </c>
      <c r="N224" s="33">
        <v>3.9945242984257359</v>
      </c>
      <c r="O224" s="33">
        <v>4.8459958932238196</v>
      </c>
      <c r="P224" s="33">
        <v>8.8405201916495546</v>
      </c>
      <c r="Q224" s="33">
        <v>3.3210130047912387</v>
      </c>
      <c r="R224" s="33">
        <v>5.9137577002053385</v>
      </c>
      <c r="S224" s="33">
        <v>9.2347707049965777</v>
      </c>
      <c r="T224" s="34">
        <v>7</v>
      </c>
      <c r="U224" s="34">
        <v>21</v>
      </c>
      <c r="V224" s="4" t="s">
        <v>1</v>
      </c>
      <c r="W224" s="4">
        <v>1</v>
      </c>
      <c r="X224" s="4">
        <v>1</v>
      </c>
      <c r="Y224" s="4">
        <v>1</v>
      </c>
      <c r="Z224" s="56">
        <v>3</v>
      </c>
      <c r="AA224" s="9" cm="1">
        <f t="array" ref="AA224">IF(OR(AB224:AE224=""),"BLANK",IF(AND(AB224:AE224&lt;999),1,IF(AND(AB224:AE224="NA"),3,2)))</f>
        <v>1</v>
      </c>
      <c r="AB224" s="4">
        <v>39</v>
      </c>
      <c r="AC224" s="4">
        <v>20</v>
      </c>
      <c r="AD224" s="4">
        <v>14</v>
      </c>
      <c r="AE224" s="5">
        <v>73</v>
      </c>
      <c r="AF224" s="9">
        <f t="shared" si="3"/>
        <v>1</v>
      </c>
      <c r="AG224" s="5">
        <v>63</v>
      </c>
      <c r="AH224" s="9" cm="1">
        <f t="array" ref="AH224">IF(OR(AI224:AN224=""),"BLANK",IF(AND(AI224:AN224&lt;99),1,IF(AND(AI224:AN224="NA"),3,2)))</f>
        <v>3</v>
      </c>
      <c r="AI224" s="4" t="s">
        <v>7</v>
      </c>
      <c r="AJ224" s="4" t="s">
        <v>7</v>
      </c>
      <c r="AK224" s="4" t="s">
        <v>7</v>
      </c>
      <c r="AL224" s="4" t="s">
        <v>7</v>
      </c>
      <c r="AM224" s="4" t="s">
        <v>7</v>
      </c>
      <c r="AN224" s="5" t="s">
        <v>7</v>
      </c>
    </row>
    <row r="225" spans="1:40" x14ac:dyDescent="0.2">
      <c r="A225" s="39">
        <v>1356</v>
      </c>
      <c r="B225" s="4" t="s">
        <v>61</v>
      </c>
      <c r="C225" s="30" t="s">
        <v>23</v>
      </c>
      <c r="D225" s="30">
        <v>5</v>
      </c>
      <c r="E225" s="30">
        <v>0</v>
      </c>
      <c r="F225" s="4">
        <v>3.4550000000000001</v>
      </c>
      <c r="G225" s="30">
        <v>28</v>
      </c>
      <c r="H225" s="33">
        <v>4.0301163586584527</v>
      </c>
      <c r="I225" s="33">
        <v>5.3497604380561263</v>
      </c>
      <c r="J225" s="33">
        <v>9.3798767967145782</v>
      </c>
      <c r="K225" s="33">
        <v>4.0301163586584527</v>
      </c>
      <c r="L225" s="33">
        <v>5.3497604380561263</v>
      </c>
      <c r="M225" s="33">
        <v>9.3798767967145782</v>
      </c>
      <c r="N225" s="33">
        <v>4.0273785078713207</v>
      </c>
      <c r="O225" s="33">
        <v>5.330595482546201</v>
      </c>
      <c r="P225" s="33">
        <v>9.3579739904175216</v>
      </c>
      <c r="Q225" s="33">
        <v>3.3127994524298425</v>
      </c>
      <c r="R225" s="33" t="s">
        <v>7</v>
      </c>
      <c r="S225" s="33" t="s">
        <v>7</v>
      </c>
      <c r="T225" s="34">
        <v>3</v>
      </c>
      <c r="U225" s="34">
        <v>14.5</v>
      </c>
      <c r="V225" s="4" t="s">
        <v>1</v>
      </c>
      <c r="W225" s="4">
        <v>1</v>
      </c>
      <c r="X225" s="4">
        <v>1</v>
      </c>
      <c r="Y225" s="4">
        <v>1</v>
      </c>
      <c r="Z225" s="56">
        <v>3</v>
      </c>
      <c r="AA225" s="9" cm="1">
        <f t="array" ref="AA225">IF(OR(AB225:AE225=""),"BLANK",IF(AND(AB225:AE225&lt;999),1,IF(AND(AB225:AE225="NA"),3,2)))</f>
        <v>1</v>
      </c>
      <c r="AB225" s="4">
        <v>29</v>
      </c>
      <c r="AC225" s="4">
        <v>16</v>
      </c>
      <c r="AD225" s="4">
        <v>14</v>
      </c>
      <c r="AE225" s="5">
        <v>59</v>
      </c>
      <c r="AF225" s="9">
        <f t="shared" si="3"/>
        <v>1</v>
      </c>
      <c r="AG225" s="5">
        <v>58</v>
      </c>
      <c r="AH225" s="9" cm="1">
        <f t="array" ref="AH225">IF(OR(AI225:AN225=""),"BLANK",IF(AND(AI225:AN225&lt;99),1,IF(AND(AI225:AN225="NA"),3,2)))</f>
        <v>3</v>
      </c>
      <c r="AI225" s="4" t="s">
        <v>7</v>
      </c>
      <c r="AJ225" s="4" t="s">
        <v>7</v>
      </c>
      <c r="AK225" s="4" t="s">
        <v>7</v>
      </c>
      <c r="AL225" s="4" t="s">
        <v>7</v>
      </c>
      <c r="AM225" s="4" t="s">
        <v>7</v>
      </c>
      <c r="AN225" s="5" t="s">
        <v>7</v>
      </c>
    </row>
    <row r="226" spans="1:40" x14ac:dyDescent="0.2">
      <c r="A226" s="39">
        <v>1362</v>
      </c>
      <c r="B226" s="4" t="s">
        <v>46</v>
      </c>
      <c r="C226" s="30" t="s">
        <v>23</v>
      </c>
      <c r="D226" s="30">
        <v>3</v>
      </c>
      <c r="E226" s="30">
        <v>1</v>
      </c>
      <c r="F226" s="4">
        <v>3.9089999999999998</v>
      </c>
      <c r="G226" s="30">
        <v>29</v>
      </c>
      <c r="H226" s="33">
        <v>3.9726214921286789</v>
      </c>
      <c r="I226" s="33">
        <v>5.1334702258726903</v>
      </c>
      <c r="J226" s="33">
        <v>9.1060917180013696</v>
      </c>
      <c r="K226" s="33">
        <v>3.9726214921286789</v>
      </c>
      <c r="L226" s="33">
        <v>5.4182067077344289</v>
      </c>
      <c r="M226" s="33">
        <v>9.3908281998631082</v>
      </c>
      <c r="N226" s="33" t="s">
        <v>7</v>
      </c>
      <c r="O226" s="33" t="s">
        <v>7</v>
      </c>
      <c r="P226" s="33">
        <v>9.0540725530458595</v>
      </c>
      <c r="Q226" s="33" t="s">
        <v>7</v>
      </c>
      <c r="R226" s="33" t="s">
        <v>7</v>
      </c>
      <c r="S226" s="33" t="s">
        <v>7</v>
      </c>
      <c r="T226" s="34">
        <v>5</v>
      </c>
      <c r="U226" s="34">
        <v>20</v>
      </c>
      <c r="V226" s="4" t="s">
        <v>1</v>
      </c>
      <c r="W226" s="4">
        <v>1</v>
      </c>
      <c r="X226" s="4">
        <v>1</v>
      </c>
      <c r="Y226" s="4">
        <v>1</v>
      </c>
      <c r="Z226" s="56">
        <v>3</v>
      </c>
      <c r="AA226" s="9" cm="1">
        <f t="array" ref="AA226">IF(OR(AB226:AE226=""),"BLANK",IF(AND(AB226:AE226&lt;999),1,IF(AND(AB226:AE226="NA"),3,2)))</f>
        <v>1</v>
      </c>
      <c r="AB226" s="4">
        <v>29</v>
      </c>
      <c r="AC226" s="4">
        <v>18</v>
      </c>
      <c r="AD226" s="4">
        <v>14</v>
      </c>
      <c r="AE226" s="5">
        <v>61</v>
      </c>
      <c r="AF226" s="9">
        <f t="shared" si="3"/>
        <v>1</v>
      </c>
      <c r="AG226" s="5">
        <v>59</v>
      </c>
      <c r="AH226" s="9" cm="1">
        <f t="array" ref="AH226">IF(OR(AI226:AN226=""),"BLANK",IF(AND(AI226:AN226&lt;99),1,IF(AND(AI226:AN226="NA"),3,2)))</f>
        <v>3</v>
      </c>
      <c r="AI226" s="4" t="s">
        <v>7</v>
      </c>
      <c r="AJ226" s="4" t="s">
        <v>7</v>
      </c>
      <c r="AK226" s="4" t="s">
        <v>7</v>
      </c>
      <c r="AL226" s="4" t="s">
        <v>7</v>
      </c>
      <c r="AM226" s="4" t="s">
        <v>7</v>
      </c>
      <c r="AN226" s="5" t="s">
        <v>7</v>
      </c>
    </row>
    <row r="227" spans="1:40" x14ac:dyDescent="0.2">
      <c r="A227" s="39">
        <v>1370</v>
      </c>
      <c r="B227" s="4" t="s">
        <v>55</v>
      </c>
      <c r="C227" s="30" t="s">
        <v>23</v>
      </c>
      <c r="D227" s="30">
        <v>1</v>
      </c>
      <c r="E227" s="30">
        <v>0</v>
      </c>
      <c r="F227" s="4">
        <v>3.2730000000000001</v>
      </c>
      <c r="G227" s="30">
        <v>28</v>
      </c>
      <c r="H227" s="33">
        <v>4.1396303901437372</v>
      </c>
      <c r="I227" s="33">
        <v>5.1006160164271046</v>
      </c>
      <c r="J227" s="33">
        <v>9.2402464065708418</v>
      </c>
      <c r="K227" s="33">
        <v>4.1396303901437372</v>
      </c>
      <c r="L227" s="33">
        <v>5.1006160164271046</v>
      </c>
      <c r="M227" s="33">
        <v>9.2402464065708418</v>
      </c>
      <c r="N227" s="33">
        <v>4.1560574948665296</v>
      </c>
      <c r="O227" s="33">
        <v>5.0431211498973303</v>
      </c>
      <c r="P227" s="33">
        <v>9.1991786447638599</v>
      </c>
      <c r="Q227" s="33" t="s">
        <v>7</v>
      </c>
      <c r="R227" s="33" t="s">
        <v>7</v>
      </c>
      <c r="S227" s="33" t="s">
        <v>7</v>
      </c>
      <c r="T227" s="34">
        <v>7</v>
      </c>
      <c r="U227" s="34">
        <v>21</v>
      </c>
      <c r="V227" s="4" t="s">
        <v>1</v>
      </c>
      <c r="W227" s="4">
        <v>1</v>
      </c>
      <c r="X227" s="4">
        <v>1</v>
      </c>
      <c r="Y227" s="4">
        <v>1</v>
      </c>
      <c r="Z227" s="56">
        <v>3</v>
      </c>
      <c r="AA227" s="9" cm="1">
        <f t="array" ref="AA227">IF(OR(AB227:AE227=""),"BLANK",IF(AND(AB227:AE227&lt;999),1,IF(AND(AB227:AE227="NA"),3,2)))</f>
        <v>1</v>
      </c>
      <c r="AB227" s="4">
        <v>45</v>
      </c>
      <c r="AC227" s="4">
        <v>20</v>
      </c>
      <c r="AD227" s="4">
        <v>14</v>
      </c>
      <c r="AE227" s="5">
        <v>79</v>
      </c>
      <c r="AF227" s="9">
        <f t="shared" si="3"/>
        <v>1</v>
      </c>
      <c r="AG227" s="5">
        <v>66</v>
      </c>
      <c r="AH227" s="9" cm="1">
        <f t="array" ref="AH227">IF(OR(AI227:AN227=""),"BLANK",IF(AND(AI227:AN227&lt;99),1,IF(AND(AI227:AN227="NA"),3,2)))</f>
        <v>3</v>
      </c>
      <c r="AI227" s="4" t="s">
        <v>7</v>
      </c>
      <c r="AJ227" s="4" t="s">
        <v>7</v>
      </c>
      <c r="AK227" s="4" t="s">
        <v>7</v>
      </c>
      <c r="AL227" s="4" t="s">
        <v>7</v>
      </c>
      <c r="AM227" s="4" t="s">
        <v>7</v>
      </c>
      <c r="AN227" s="5" t="s">
        <v>7</v>
      </c>
    </row>
    <row r="228" spans="1:40" x14ac:dyDescent="0.2">
      <c r="A228" s="39">
        <v>1372</v>
      </c>
      <c r="B228" s="4" t="s">
        <v>61</v>
      </c>
      <c r="C228" s="30" t="s">
        <v>24</v>
      </c>
      <c r="D228" s="30">
        <v>5</v>
      </c>
      <c r="E228" s="30">
        <v>0</v>
      </c>
      <c r="F228" s="4">
        <v>3.6360000000000001</v>
      </c>
      <c r="G228" s="30">
        <v>26</v>
      </c>
      <c r="H228" s="33" t="s">
        <v>7</v>
      </c>
      <c r="I228" s="33" t="s">
        <v>7</v>
      </c>
      <c r="J228" s="33" t="s">
        <v>7</v>
      </c>
      <c r="K228" s="33" t="s">
        <v>7</v>
      </c>
      <c r="L228" s="33" t="s">
        <v>7</v>
      </c>
      <c r="M228" s="33" t="s">
        <v>7</v>
      </c>
      <c r="N228" s="33" t="s">
        <v>7</v>
      </c>
      <c r="O228" s="33" t="s">
        <v>7</v>
      </c>
      <c r="P228" s="33" t="s">
        <v>7</v>
      </c>
      <c r="Q228" s="33" t="s">
        <v>7</v>
      </c>
      <c r="R228" s="33" t="s">
        <v>7</v>
      </c>
      <c r="S228" s="33" t="s">
        <v>7</v>
      </c>
      <c r="T228" s="34">
        <v>4</v>
      </c>
      <c r="U228" s="34">
        <v>16</v>
      </c>
      <c r="V228" s="4" t="s">
        <v>1</v>
      </c>
      <c r="W228" s="4">
        <v>1</v>
      </c>
      <c r="X228" s="4">
        <v>1</v>
      </c>
      <c r="Y228" s="4">
        <v>1</v>
      </c>
      <c r="Z228" s="56">
        <v>3</v>
      </c>
      <c r="AA228" s="9" cm="1">
        <f t="array" ref="AA228">IF(OR(AB228:AE228=""),"BLANK",IF(AND(AB228:AE228&lt;999),1,IF(AND(AB228:AE228="NA"),3,2)))</f>
        <v>1</v>
      </c>
      <c r="AB228" s="4">
        <v>34</v>
      </c>
      <c r="AC228" s="4">
        <v>19</v>
      </c>
      <c r="AD228" s="4">
        <v>14</v>
      </c>
      <c r="AE228" s="5">
        <v>67</v>
      </c>
      <c r="AF228" s="9">
        <f t="shared" si="3"/>
        <v>1</v>
      </c>
      <c r="AG228" s="5">
        <v>61</v>
      </c>
      <c r="AH228" s="9" cm="1">
        <f t="array" ref="AH228">IF(OR(AI228:AN228=""),"BLANK",IF(AND(AI228:AN228&lt;99),1,IF(AND(AI228:AN228="NA"),3,2)))</f>
        <v>3</v>
      </c>
      <c r="AI228" s="4" t="s">
        <v>7</v>
      </c>
      <c r="AJ228" s="4" t="s">
        <v>7</v>
      </c>
      <c r="AK228" s="4" t="s">
        <v>7</v>
      </c>
      <c r="AL228" s="4" t="s">
        <v>7</v>
      </c>
      <c r="AM228" s="4" t="s">
        <v>7</v>
      </c>
      <c r="AN228" s="5" t="s">
        <v>7</v>
      </c>
    </row>
    <row r="229" spans="1:40" x14ac:dyDescent="0.2">
      <c r="A229" s="39">
        <v>1402</v>
      </c>
      <c r="B229" s="4" t="s">
        <v>54</v>
      </c>
      <c r="C229" s="30" t="s">
        <v>24</v>
      </c>
      <c r="D229" s="30">
        <v>5</v>
      </c>
      <c r="E229" s="30">
        <v>0</v>
      </c>
      <c r="F229" s="4">
        <v>3.1819999999999999</v>
      </c>
      <c r="G229" s="30">
        <v>27</v>
      </c>
      <c r="H229" s="33">
        <v>3.9726214921286789</v>
      </c>
      <c r="I229" s="33">
        <v>5.2238193018480494</v>
      </c>
      <c r="J229" s="33">
        <v>9.1964407939767288</v>
      </c>
      <c r="K229" s="33">
        <v>3.9726214921286789</v>
      </c>
      <c r="L229" s="33">
        <v>5.2238193018480494</v>
      </c>
      <c r="M229" s="33">
        <v>9.1964407939767288</v>
      </c>
      <c r="N229" s="33" t="s">
        <v>7</v>
      </c>
      <c r="O229" s="33" t="s">
        <v>7</v>
      </c>
      <c r="P229" s="33">
        <v>8.9117043121149901</v>
      </c>
      <c r="Q229" s="33" t="s">
        <v>7</v>
      </c>
      <c r="R229" s="33" t="s">
        <v>7</v>
      </c>
      <c r="S229" s="33" t="s">
        <v>7</v>
      </c>
      <c r="T229" s="34">
        <v>6</v>
      </c>
      <c r="U229" s="34">
        <v>18</v>
      </c>
      <c r="V229" s="4" t="s">
        <v>1</v>
      </c>
      <c r="W229" s="4">
        <v>1</v>
      </c>
      <c r="X229" s="4">
        <v>1</v>
      </c>
      <c r="Y229" s="4">
        <v>1</v>
      </c>
      <c r="Z229" s="56">
        <v>3</v>
      </c>
      <c r="AA229" s="9" cm="1">
        <f t="array" ref="AA229">IF(OR(AB229:AE229=""),"BLANK",IF(AND(AB229:AE229&lt;999),1,IF(AND(AB229:AE229="NA"),3,2)))</f>
        <v>1</v>
      </c>
      <c r="AB229" s="4">
        <v>31</v>
      </c>
      <c r="AC229" s="4">
        <v>19</v>
      </c>
      <c r="AD229" s="4">
        <v>16</v>
      </c>
      <c r="AE229" s="5">
        <v>66</v>
      </c>
      <c r="AF229" s="9">
        <f t="shared" si="3"/>
        <v>1</v>
      </c>
      <c r="AG229" s="5">
        <v>54</v>
      </c>
      <c r="AH229" s="9" cm="1">
        <f t="array" ref="AH229">IF(OR(AI229:AN229=""),"BLANK",IF(AND(AI229:AN229&lt;99),1,IF(AND(AI229:AN229="NA"),3,2)))</f>
        <v>3</v>
      </c>
      <c r="AI229" s="4" t="s">
        <v>7</v>
      </c>
      <c r="AJ229" s="4" t="s">
        <v>7</v>
      </c>
      <c r="AK229" s="4" t="s">
        <v>7</v>
      </c>
      <c r="AL229" s="4" t="s">
        <v>7</v>
      </c>
      <c r="AM229" s="4" t="s">
        <v>7</v>
      </c>
      <c r="AN229" s="5" t="s">
        <v>7</v>
      </c>
    </row>
    <row r="230" spans="1:40" x14ac:dyDescent="0.2">
      <c r="A230" s="39">
        <v>1421</v>
      </c>
      <c r="B230" s="4" t="s">
        <v>51</v>
      </c>
      <c r="C230" s="30" t="s">
        <v>24</v>
      </c>
      <c r="D230" s="30">
        <v>5</v>
      </c>
      <c r="E230" s="30">
        <v>0</v>
      </c>
      <c r="F230" s="4">
        <v>3.3</v>
      </c>
      <c r="G230" s="30">
        <v>28</v>
      </c>
      <c r="H230" s="33">
        <v>3.9397672826830936</v>
      </c>
      <c r="I230" s="33" t="s">
        <v>7</v>
      </c>
      <c r="J230" s="33" t="s">
        <v>7</v>
      </c>
      <c r="K230" s="33">
        <v>4</v>
      </c>
      <c r="L230" s="33" t="s">
        <v>7</v>
      </c>
      <c r="M230" s="33" t="s">
        <v>7</v>
      </c>
      <c r="N230" s="33">
        <v>3.9698836413415468</v>
      </c>
      <c r="O230" s="33" t="s">
        <v>7</v>
      </c>
      <c r="P230" s="33" t="s">
        <v>7</v>
      </c>
      <c r="Q230" s="33">
        <v>3.2334017796030117</v>
      </c>
      <c r="R230" s="33" t="s">
        <v>7</v>
      </c>
      <c r="S230" s="33" t="s">
        <v>7</v>
      </c>
      <c r="T230" s="34">
        <v>3</v>
      </c>
      <c r="U230" s="34">
        <v>13</v>
      </c>
      <c r="V230" s="4" t="s">
        <v>1</v>
      </c>
      <c r="W230" s="4">
        <v>1</v>
      </c>
      <c r="X230" s="4">
        <v>1</v>
      </c>
      <c r="Y230" s="4">
        <v>1</v>
      </c>
      <c r="Z230" s="56">
        <v>3</v>
      </c>
      <c r="AA230" s="9" cm="1">
        <f t="array" ref="AA230">IF(OR(AB230:AE230=""),"BLANK",IF(AND(AB230:AE230&lt;999),1,IF(AND(AB230:AE230="NA"),3,2)))</f>
        <v>1</v>
      </c>
      <c r="AB230" s="4">
        <v>19</v>
      </c>
      <c r="AC230" s="4">
        <v>5</v>
      </c>
      <c r="AD230" s="4">
        <v>3</v>
      </c>
      <c r="AE230" s="5">
        <v>27</v>
      </c>
      <c r="AF230" s="9">
        <f t="shared" si="3"/>
        <v>1</v>
      </c>
      <c r="AG230" s="5">
        <v>38</v>
      </c>
      <c r="AH230" s="9" cm="1">
        <f t="array" ref="AH230">IF(OR(AI230:AN230=""),"BLANK",IF(AND(AI230:AN230&lt;99),1,IF(AND(AI230:AN230="NA"),3,2)))</f>
        <v>3</v>
      </c>
      <c r="AI230" s="4" t="s">
        <v>7</v>
      </c>
      <c r="AJ230" s="4" t="s">
        <v>7</v>
      </c>
      <c r="AK230" s="4" t="s">
        <v>7</v>
      </c>
      <c r="AL230" s="4" t="s">
        <v>7</v>
      </c>
      <c r="AM230" s="4" t="s">
        <v>7</v>
      </c>
      <c r="AN230" s="5" t="s">
        <v>7</v>
      </c>
    </row>
    <row r="231" spans="1:40" x14ac:dyDescent="0.2">
      <c r="A231" s="39">
        <v>1431</v>
      </c>
      <c r="B231" s="4" t="s">
        <v>49</v>
      </c>
      <c r="C231" s="30" t="s">
        <v>23</v>
      </c>
      <c r="D231" s="30">
        <v>4</v>
      </c>
      <c r="E231" s="30">
        <v>0</v>
      </c>
      <c r="F231" s="4">
        <v>3.9089999999999998</v>
      </c>
      <c r="G231" s="30">
        <v>29</v>
      </c>
      <c r="H231" s="33">
        <v>4.0629705681040384</v>
      </c>
      <c r="I231" s="33">
        <v>5.3086926762491444</v>
      </c>
      <c r="J231" s="33">
        <v>9.3716632443531829</v>
      </c>
      <c r="K231" s="33">
        <v>4.0629705681040384</v>
      </c>
      <c r="L231" s="33">
        <v>5.3086926762491444</v>
      </c>
      <c r="M231" s="33">
        <v>9.3716632443531829</v>
      </c>
      <c r="N231" s="33">
        <v>4.0328542094455848</v>
      </c>
      <c r="O231" s="33">
        <v>5.2292950034223136</v>
      </c>
      <c r="P231" s="33">
        <v>9.2621492128678984</v>
      </c>
      <c r="Q231" s="33">
        <v>3.7508555783709787</v>
      </c>
      <c r="R231" s="33">
        <v>5.292265571526352</v>
      </c>
      <c r="S231" s="33">
        <v>9.0431211498973312</v>
      </c>
      <c r="T231" s="34">
        <v>3</v>
      </c>
      <c r="U231" s="34">
        <v>14</v>
      </c>
      <c r="V231" s="4" t="s">
        <v>1</v>
      </c>
      <c r="W231" s="4">
        <v>1</v>
      </c>
      <c r="X231" s="4">
        <v>1</v>
      </c>
      <c r="Y231" s="4">
        <v>1</v>
      </c>
      <c r="Z231" s="56">
        <v>3</v>
      </c>
      <c r="AA231" s="9" cm="1">
        <f t="array" ref="AA231">IF(OR(AB231:AE231=""),"BLANK",IF(AND(AB231:AE231&lt;999),1,IF(AND(AB231:AE231="NA"),3,2)))</f>
        <v>1</v>
      </c>
      <c r="AB231" s="4">
        <v>32</v>
      </c>
      <c r="AC231" s="4">
        <v>19</v>
      </c>
      <c r="AD231" s="4">
        <v>16</v>
      </c>
      <c r="AE231" s="5">
        <v>67</v>
      </c>
      <c r="AF231" s="9">
        <f t="shared" si="3"/>
        <v>1</v>
      </c>
      <c r="AG231" s="5">
        <v>66</v>
      </c>
      <c r="AH231" s="9" cm="1">
        <f t="array" ref="AH231">IF(OR(AI231:AN231=""),"BLANK",IF(AND(AI231:AN231&lt;99),1,IF(AND(AI231:AN231="NA"),3,2)))</f>
        <v>3</v>
      </c>
      <c r="AI231" s="4" t="s">
        <v>7</v>
      </c>
      <c r="AJ231" s="4" t="s">
        <v>7</v>
      </c>
      <c r="AK231" s="4" t="s">
        <v>7</v>
      </c>
      <c r="AL231" s="4" t="s">
        <v>7</v>
      </c>
      <c r="AM231" s="4" t="s">
        <v>7</v>
      </c>
      <c r="AN231" s="5" t="s">
        <v>7</v>
      </c>
    </row>
    <row r="232" spans="1:40" x14ac:dyDescent="0.2">
      <c r="A232" s="39">
        <v>1432</v>
      </c>
      <c r="B232" s="4" t="s">
        <v>57</v>
      </c>
      <c r="C232" s="30" t="s">
        <v>23</v>
      </c>
      <c r="D232" s="30">
        <v>5</v>
      </c>
      <c r="E232" s="30">
        <v>0</v>
      </c>
      <c r="F232" s="4">
        <v>3.8180000000000001</v>
      </c>
      <c r="G232" s="30">
        <v>30</v>
      </c>
      <c r="H232" s="33" t="s">
        <v>7</v>
      </c>
      <c r="I232" s="33" t="s">
        <v>7</v>
      </c>
      <c r="J232" s="33" t="s">
        <v>7</v>
      </c>
      <c r="K232" s="33" t="s">
        <v>7</v>
      </c>
      <c r="L232" s="33" t="s">
        <v>7</v>
      </c>
      <c r="M232" s="33" t="s">
        <v>7</v>
      </c>
      <c r="N232" s="33" t="s">
        <v>7</v>
      </c>
      <c r="O232" s="33" t="s">
        <v>7</v>
      </c>
      <c r="P232" s="33" t="s">
        <v>7</v>
      </c>
      <c r="Q232" s="33" t="s">
        <v>7</v>
      </c>
      <c r="R232" s="33" t="s">
        <v>7</v>
      </c>
      <c r="S232" s="33" t="s">
        <v>7</v>
      </c>
      <c r="T232" s="34">
        <v>4</v>
      </c>
      <c r="U232" s="34">
        <v>16</v>
      </c>
      <c r="V232" s="4" t="s">
        <v>1</v>
      </c>
      <c r="W232" s="4">
        <v>1</v>
      </c>
      <c r="X232" s="4">
        <v>1</v>
      </c>
      <c r="Y232" s="4">
        <v>1</v>
      </c>
      <c r="Z232" s="56">
        <v>3</v>
      </c>
      <c r="AA232" s="9" cm="1">
        <f t="array" ref="AA232">IF(OR(AB232:AE232=""),"BLANK",IF(AND(AB232:AE232&lt;999),1,IF(AND(AB232:AE232="NA"),3,2)))</f>
        <v>1</v>
      </c>
      <c r="AB232" s="4">
        <v>32</v>
      </c>
      <c r="AC232" s="4">
        <v>22</v>
      </c>
      <c r="AD232" s="4">
        <v>12</v>
      </c>
      <c r="AE232" s="5">
        <v>66</v>
      </c>
      <c r="AF232" s="9">
        <f t="shared" si="3"/>
        <v>1</v>
      </c>
      <c r="AG232" s="5">
        <v>56</v>
      </c>
      <c r="AH232" s="9" cm="1">
        <f t="array" ref="AH232">IF(OR(AI232:AN232=""),"BLANK",IF(AND(AI232:AN232&lt;99),1,IF(AND(AI232:AN232="NA"),3,2)))</f>
        <v>3</v>
      </c>
      <c r="AI232" s="4" t="s">
        <v>7</v>
      </c>
      <c r="AJ232" s="4" t="s">
        <v>7</v>
      </c>
      <c r="AK232" s="4" t="s">
        <v>7</v>
      </c>
      <c r="AL232" s="4" t="s">
        <v>7</v>
      </c>
      <c r="AM232" s="4" t="s">
        <v>7</v>
      </c>
      <c r="AN232" s="5" t="s">
        <v>7</v>
      </c>
    </row>
    <row r="233" spans="1:40" x14ac:dyDescent="0.2">
      <c r="A233" s="39">
        <v>1439</v>
      </c>
      <c r="B233" s="4" t="s">
        <v>63</v>
      </c>
      <c r="C233" s="30" t="s">
        <v>23</v>
      </c>
      <c r="D233" s="30">
        <v>2</v>
      </c>
      <c r="E233" s="30">
        <v>0</v>
      </c>
      <c r="F233" s="4">
        <v>2.9089999999999998</v>
      </c>
      <c r="G233" s="30">
        <v>27</v>
      </c>
      <c r="H233" s="33">
        <v>4.0711841204654347</v>
      </c>
      <c r="I233" s="33">
        <v>5.0951403148528405</v>
      </c>
      <c r="J233" s="33">
        <v>9.1663244353182751</v>
      </c>
      <c r="K233" s="33">
        <v>4.0602327173169064</v>
      </c>
      <c r="L233" s="33">
        <v>5.0951403148528405</v>
      </c>
      <c r="M233" s="33">
        <v>9.1553730321697468</v>
      </c>
      <c r="N233" s="33">
        <v>4.2546201232032859</v>
      </c>
      <c r="O233" s="33">
        <v>4.8377823408624234</v>
      </c>
      <c r="P233" s="33">
        <v>9.0924024640657084</v>
      </c>
      <c r="Q233" s="33" t="s">
        <v>7</v>
      </c>
      <c r="R233" s="33" t="s">
        <v>7</v>
      </c>
      <c r="S233" s="33" t="s">
        <v>7</v>
      </c>
      <c r="T233" s="34">
        <v>4</v>
      </c>
      <c r="U233" s="34">
        <v>16</v>
      </c>
      <c r="V233" s="4" t="s">
        <v>1</v>
      </c>
      <c r="W233" s="4">
        <v>1</v>
      </c>
      <c r="X233" s="4">
        <v>1</v>
      </c>
      <c r="Y233" s="4">
        <v>1</v>
      </c>
      <c r="Z233" s="56">
        <v>3</v>
      </c>
      <c r="AA233" s="9" cm="1">
        <f t="array" ref="AA233">IF(OR(AB233:AE233=""),"BLANK",IF(AND(AB233:AE233&lt;999),1,IF(AND(AB233:AE233="NA"),3,2)))</f>
        <v>1</v>
      </c>
      <c r="AB233" s="4">
        <v>39</v>
      </c>
      <c r="AC233" s="4">
        <v>25</v>
      </c>
      <c r="AD233" s="4">
        <v>16</v>
      </c>
      <c r="AE233" s="5">
        <v>80</v>
      </c>
      <c r="AF233" s="9">
        <f t="shared" si="3"/>
        <v>1</v>
      </c>
      <c r="AG233" s="5">
        <v>61</v>
      </c>
      <c r="AH233" s="9" cm="1">
        <f t="array" ref="AH233">IF(OR(AI233:AN233=""),"BLANK",IF(AND(AI233:AN233&lt;99),1,IF(AND(AI233:AN233="NA"),3,2)))</f>
        <v>3</v>
      </c>
      <c r="AI233" s="4" t="s">
        <v>7</v>
      </c>
      <c r="AJ233" s="4" t="s">
        <v>7</v>
      </c>
      <c r="AK233" s="4" t="s">
        <v>7</v>
      </c>
      <c r="AL233" s="4" t="s">
        <v>7</v>
      </c>
      <c r="AM233" s="4" t="s">
        <v>7</v>
      </c>
      <c r="AN233" s="5" t="s">
        <v>7</v>
      </c>
    </row>
    <row r="234" spans="1:40" x14ac:dyDescent="0.2">
      <c r="A234" s="39">
        <v>1444</v>
      </c>
      <c r="B234" s="4" t="s">
        <v>55</v>
      </c>
      <c r="C234" s="30" t="s">
        <v>23</v>
      </c>
      <c r="D234" s="30">
        <v>5</v>
      </c>
      <c r="E234" s="30">
        <v>0</v>
      </c>
      <c r="F234" s="4">
        <v>4</v>
      </c>
      <c r="G234" s="30">
        <v>28</v>
      </c>
      <c r="H234" s="33">
        <v>3.9808350444900751</v>
      </c>
      <c r="I234" s="33" t="s">
        <v>7</v>
      </c>
      <c r="J234" s="33" t="s">
        <v>7</v>
      </c>
      <c r="K234" s="33">
        <v>3.9808350444900751</v>
      </c>
      <c r="L234" s="33" t="s">
        <v>7</v>
      </c>
      <c r="M234" s="33" t="s">
        <v>7</v>
      </c>
      <c r="N234" s="33">
        <v>4.0082135523613962</v>
      </c>
      <c r="O234" s="33" t="s">
        <v>7</v>
      </c>
      <c r="P234" s="33" t="s">
        <v>7</v>
      </c>
      <c r="Q234" s="33" t="s">
        <v>7</v>
      </c>
      <c r="R234" s="33" t="s">
        <v>7</v>
      </c>
      <c r="S234" s="33" t="s">
        <v>7</v>
      </c>
      <c r="T234" s="34">
        <v>3</v>
      </c>
      <c r="U234" s="34">
        <v>15</v>
      </c>
      <c r="V234" s="4" t="s">
        <v>1</v>
      </c>
      <c r="W234" s="4">
        <v>1</v>
      </c>
      <c r="X234" s="4">
        <v>1</v>
      </c>
      <c r="Y234" s="4">
        <v>1</v>
      </c>
      <c r="Z234" s="56">
        <v>3</v>
      </c>
      <c r="AA234" s="9" cm="1">
        <f t="array" ref="AA234">IF(OR(AB234:AE234=""),"BLANK",IF(AND(AB234:AE234&lt;999),1,IF(AND(AB234:AE234="NA"),3,2)))</f>
        <v>1</v>
      </c>
      <c r="AB234" s="4">
        <v>37</v>
      </c>
      <c r="AC234" s="4">
        <v>20</v>
      </c>
      <c r="AD234" s="4">
        <v>15</v>
      </c>
      <c r="AE234" s="5">
        <v>72</v>
      </c>
      <c r="AF234" s="9">
        <f t="shared" si="3"/>
        <v>1</v>
      </c>
      <c r="AG234" s="5">
        <v>60</v>
      </c>
      <c r="AH234" s="9" cm="1">
        <f t="array" ref="AH234">IF(OR(AI234:AN234=""),"BLANK",IF(AND(AI234:AN234&lt;99),1,IF(AND(AI234:AN234="NA"),3,2)))</f>
        <v>3</v>
      </c>
      <c r="AI234" s="4" t="s">
        <v>7</v>
      </c>
      <c r="AJ234" s="4" t="s">
        <v>7</v>
      </c>
      <c r="AK234" s="4" t="s">
        <v>7</v>
      </c>
      <c r="AL234" s="4" t="s">
        <v>7</v>
      </c>
      <c r="AM234" s="4" t="s">
        <v>7</v>
      </c>
      <c r="AN234" s="5" t="s">
        <v>7</v>
      </c>
    </row>
    <row r="235" spans="1:40" x14ac:dyDescent="0.2">
      <c r="A235" s="39">
        <v>1451</v>
      </c>
      <c r="B235" s="4" t="s">
        <v>63</v>
      </c>
      <c r="C235" s="30" t="s">
        <v>23</v>
      </c>
      <c r="D235" s="30">
        <v>2</v>
      </c>
      <c r="E235" s="30">
        <v>0</v>
      </c>
      <c r="F235" s="4">
        <v>4</v>
      </c>
      <c r="G235" s="30">
        <v>28</v>
      </c>
      <c r="H235" s="33">
        <v>3.9917864476386038</v>
      </c>
      <c r="I235" s="33" t="s">
        <v>7</v>
      </c>
      <c r="J235" s="33" t="s">
        <v>7</v>
      </c>
      <c r="K235" s="33">
        <v>3.9917864476386038</v>
      </c>
      <c r="L235" s="33" t="s">
        <v>7</v>
      </c>
      <c r="M235" s="33" t="s">
        <v>7</v>
      </c>
      <c r="N235" s="33">
        <v>4.0109514031485283</v>
      </c>
      <c r="O235" s="33" t="s">
        <v>7</v>
      </c>
      <c r="P235" s="33" t="s">
        <v>7</v>
      </c>
      <c r="Q235" s="33" t="s">
        <v>7</v>
      </c>
      <c r="R235" s="33" t="s">
        <v>7</v>
      </c>
      <c r="S235" s="33" t="s">
        <v>7</v>
      </c>
      <c r="T235" s="34">
        <v>3</v>
      </c>
      <c r="U235" s="34">
        <v>15</v>
      </c>
      <c r="V235" s="4" t="s">
        <v>1</v>
      </c>
      <c r="W235" s="4">
        <v>1</v>
      </c>
      <c r="X235" s="4">
        <v>1</v>
      </c>
      <c r="Y235" s="4">
        <v>1</v>
      </c>
      <c r="Z235" s="56">
        <v>3</v>
      </c>
      <c r="AA235" s="9" cm="1">
        <f t="array" ref="AA235">IF(OR(AB235:AE235=""),"BLANK",IF(AND(AB235:AE235&lt;999),1,IF(AND(AB235:AE235="NA"),3,2)))</f>
        <v>1</v>
      </c>
      <c r="AB235" s="4">
        <v>41</v>
      </c>
      <c r="AC235" s="4">
        <v>29</v>
      </c>
      <c r="AD235" s="4">
        <v>16</v>
      </c>
      <c r="AE235" s="5">
        <v>86</v>
      </c>
      <c r="AF235" s="9">
        <f t="shared" si="3"/>
        <v>1</v>
      </c>
      <c r="AG235" s="5">
        <v>60</v>
      </c>
      <c r="AH235" s="9" cm="1">
        <f t="array" ref="AH235">IF(OR(AI235:AN235=""),"BLANK",IF(AND(AI235:AN235&lt;99),1,IF(AND(AI235:AN235="NA"),3,2)))</f>
        <v>3</v>
      </c>
      <c r="AI235" s="4" t="s">
        <v>7</v>
      </c>
      <c r="AJ235" s="4" t="s">
        <v>7</v>
      </c>
      <c r="AK235" s="4" t="s">
        <v>7</v>
      </c>
      <c r="AL235" s="4" t="s">
        <v>7</v>
      </c>
      <c r="AM235" s="4" t="s">
        <v>7</v>
      </c>
      <c r="AN235" s="5" t="s">
        <v>7</v>
      </c>
    </row>
    <row r="236" spans="1:40" x14ac:dyDescent="0.2">
      <c r="A236" s="39">
        <v>1452</v>
      </c>
      <c r="B236" s="4" t="s">
        <v>60</v>
      </c>
      <c r="C236" s="30" t="s">
        <v>24</v>
      </c>
      <c r="D236" s="30">
        <v>5</v>
      </c>
      <c r="E236" s="30">
        <v>0</v>
      </c>
      <c r="F236" s="4">
        <v>3</v>
      </c>
      <c r="G236" s="30">
        <v>30</v>
      </c>
      <c r="H236" s="33">
        <v>4.2354551676933605</v>
      </c>
      <c r="I236" s="33">
        <v>5.2292950034223136</v>
      </c>
      <c r="J236" s="33">
        <v>9.464750171115675</v>
      </c>
      <c r="K236" s="33">
        <v>4.2354551676933605</v>
      </c>
      <c r="L236" s="33">
        <v>5.2320328542094456</v>
      </c>
      <c r="M236" s="33">
        <v>9.4674880219028061</v>
      </c>
      <c r="N236" s="33">
        <v>4.1149897330595486</v>
      </c>
      <c r="O236" s="33">
        <v>5.2101300479123891</v>
      </c>
      <c r="P236" s="33">
        <v>9.3251197809719368</v>
      </c>
      <c r="Q236" s="33">
        <v>3.2881587953456535</v>
      </c>
      <c r="R236" s="33">
        <v>5.9630390143737166</v>
      </c>
      <c r="S236" s="33">
        <v>9.2511978097193701</v>
      </c>
      <c r="T236" s="34">
        <v>6</v>
      </c>
      <c r="U236" s="34">
        <v>18</v>
      </c>
      <c r="V236" s="4" t="s">
        <v>1</v>
      </c>
      <c r="W236" s="4">
        <v>1</v>
      </c>
      <c r="X236" s="4">
        <v>1</v>
      </c>
      <c r="Y236" s="4">
        <v>1</v>
      </c>
      <c r="Z236" s="56">
        <v>3</v>
      </c>
      <c r="AA236" s="9" cm="1">
        <f t="array" ref="AA236">IF(OR(AB236:AE236=""),"BLANK",IF(AND(AB236:AE236&lt;999),1,IF(AND(AB236:AE236="NA"),3,2)))</f>
        <v>1</v>
      </c>
      <c r="AB236" s="4">
        <v>34</v>
      </c>
      <c r="AC236" s="4">
        <v>20</v>
      </c>
      <c r="AD236" s="4">
        <v>12</v>
      </c>
      <c r="AE236" s="5">
        <v>66</v>
      </c>
      <c r="AF236" s="9">
        <f t="shared" si="3"/>
        <v>1</v>
      </c>
      <c r="AG236" s="5">
        <v>61</v>
      </c>
      <c r="AH236" s="9" cm="1">
        <f t="array" ref="AH236">IF(OR(AI236:AN236=""),"BLANK",IF(AND(AI236:AN236&lt;99),1,IF(AND(AI236:AN236="NA"),3,2)))</f>
        <v>3</v>
      </c>
      <c r="AI236" s="4" t="s">
        <v>7</v>
      </c>
      <c r="AJ236" s="4" t="s">
        <v>7</v>
      </c>
      <c r="AK236" s="4" t="s">
        <v>7</v>
      </c>
      <c r="AL236" s="4" t="s">
        <v>7</v>
      </c>
      <c r="AM236" s="4" t="s">
        <v>7</v>
      </c>
      <c r="AN236" s="5" t="s">
        <v>7</v>
      </c>
    </row>
    <row r="237" spans="1:40" x14ac:dyDescent="0.2">
      <c r="A237" s="39">
        <v>1457</v>
      </c>
      <c r="B237" s="4" t="s">
        <v>63</v>
      </c>
      <c r="C237" s="30" t="s">
        <v>23</v>
      </c>
      <c r="D237" s="30">
        <v>5</v>
      </c>
      <c r="E237" s="30">
        <v>0</v>
      </c>
      <c r="F237" s="4">
        <v>3.3639999999999999</v>
      </c>
      <c r="G237" s="30">
        <v>30</v>
      </c>
      <c r="H237" s="33" t="s">
        <v>7</v>
      </c>
      <c r="I237" s="33" t="s">
        <v>7</v>
      </c>
      <c r="J237" s="33" t="s">
        <v>7</v>
      </c>
      <c r="K237" s="33" t="s">
        <v>7</v>
      </c>
      <c r="L237" s="33" t="s">
        <v>7</v>
      </c>
      <c r="M237" s="33" t="s">
        <v>7</v>
      </c>
      <c r="N237" s="33" t="s">
        <v>7</v>
      </c>
      <c r="O237" s="33" t="s">
        <v>7</v>
      </c>
      <c r="P237" s="33" t="s">
        <v>7</v>
      </c>
      <c r="Q237" s="33" t="s">
        <v>7</v>
      </c>
      <c r="R237" s="33" t="s">
        <v>7</v>
      </c>
      <c r="S237" s="33" t="s">
        <v>7</v>
      </c>
      <c r="T237" s="34">
        <v>2</v>
      </c>
      <c r="U237" s="34">
        <v>12</v>
      </c>
      <c r="V237" s="4" t="s">
        <v>1</v>
      </c>
      <c r="W237" s="4">
        <v>1</v>
      </c>
      <c r="X237" s="4">
        <v>1</v>
      </c>
      <c r="Y237" s="4">
        <v>1</v>
      </c>
      <c r="Z237" s="56">
        <v>3</v>
      </c>
      <c r="AA237" s="9" cm="1">
        <f t="array" ref="AA237">IF(OR(AB237:AE237=""),"BLANK",IF(AND(AB237:AE237&lt;999),1,IF(AND(AB237:AE237="NA"),3,2)))</f>
        <v>1</v>
      </c>
      <c r="AB237" s="4">
        <v>32</v>
      </c>
      <c r="AC237" s="4">
        <v>16</v>
      </c>
      <c r="AD237" s="4">
        <v>8</v>
      </c>
      <c r="AE237" s="5">
        <v>56</v>
      </c>
      <c r="AF237" s="9">
        <f t="shared" si="3"/>
        <v>1</v>
      </c>
      <c r="AG237" s="5">
        <v>40</v>
      </c>
      <c r="AH237" s="9" cm="1">
        <f t="array" ref="AH237">IF(OR(AI237:AN237=""),"BLANK",IF(AND(AI237:AN237&lt;99),1,IF(AND(AI237:AN237="NA"),3,2)))</f>
        <v>3</v>
      </c>
      <c r="AI237" s="4" t="s">
        <v>7</v>
      </c>
      <c r="AJ237" s="4" t="s">
        <v>7</v>
      </c>
      <c r="AK237" s="4" t="s">
        <v>7</v>
      </c>
      <c r="AL237" s="4" t="s">
        <v>7</v>
      </c>
      <c r="AM237" s="4" t="s">
        <v>7</v>
      </c>
      <c r="AN237" s="5" t="s">
        <v>7</v>
      </c>
    </row>
    <row r="238" spans="1:40" x14ac:dyDescent="0.2">
      <c r="A238" s="39">
        <v>1467</v>
      </c>
      <c r="B238" s="4" t="s">
        <v>55</v>
      </c>
      <c r="C238" s="30" t="s">
        <v>23</v>
      </c>
      <c r="D238" s="30">
        <v>5</v>
      </c>
      <c r="E238" s="30">
        <v>0</v>
      </c>
      <c r="F238" s="4">
        <v>4</v>
      </c>
      <c r="G238" s="30">
        <v>28</v>
      </c>
      <c r="H238" s="33">
        <v>4.0054757015742641</v>
      </c>
      <c r="I238" s="33">
        <v>5.1800136892539355</v>
      </c>
      <c r="J238" s="33">
        <v>9.1854893908282005</v>
      </c>
      <c r="K238" s="33">
        <v>4.3887748117727581</v>
      </c>
      <c r="L238" s="33">
        <v>4.7967145790554415</v>
      </c>
      <c r="M238" s="33">
        <v>9.1854893908282005</v>
      </c>
      <c r="N238" s="33">
        <v>4.4106776180698155</v>
      </c>
      <c r="O238" s="33">
        <v>4.7912388774811774</v>
      </c>
      <c r="P238" s="33">
        <v>9.2019164955509929</v>
      </c>
      <c r="Q238" s="33" t="s">
        <v>7</v>
      </c>
      <c r="R238" s="33" t="s">
        <v>7</v>
      </c>
      <c r="S238" s="33" t="s">
        <v>7</v>
      </c>
      <c r="T238" s="34">
        <v>4</v>
      </c>
      <c r="U238" s="34">
        <v>16</v>
      </c>
      <c r="V238" s="4" t="s">
        <v>1</v>
      </c>
      <c r="W238" s="4">
        <v>1</v>
      </c>
      <c r="X238" s="4">
        <v>1</v>
      </c>
      <c r="Y238" s="4">
        <v>1</v>
      </c>
      <c r="Z238" s="56">
        <v>3</v>
      </c>
      <c r="AA238" s="9" cm="1">
        <f t="array" ref="AA238">IF(OR(AB238:AE238=""),"BLANK",IF(AND(AB238:AE238&lt;999),1,IF(AND(AB238:AE238="NA"),3,2)))</f>
        <v>1</v>
      </c>
      <c r="AB238" s="4">
        <v>27</v>
      </c>
      <c r="AC238" s="4">
        <v>15</v>
      </c>
      <c r="AD238" s="4">
        <v>10</v>
      </c>
      <c r="AE238" s="5">
        <v>52</v>
      </c>
      <c r="AF238" s="9">
        <f t="shared" si="3"/>
        <v>1</v>
      </c>
      <c r="AG238" s="5">
        <v>50</v>
      </c>
      <c r="AH238" s="9" cm="1">
        <f t="array" ref="AH238">IF(OR(AI238:AN238=""),"BLANK",IF(AND(AI238:AN238&lt;99),1,IF(AND(AI238:AN238="NA"),3,2)))</f>
        <v>3</v>
      </c>
      <c r="AI238" s="4" t="s">
        <v>7</v>
      </c>
      <c r="AJ238" s="4" t="s">
        <v>7</v>
      </c>
      <c r="AK238" s="4" t="s">
        <v>7</v>
      </c>
      <c r="AL238" s="4" t="s">
        <v>7</v>
      </c>
      <c r="AM238" s="4" t="s">
        <v>7</v>
      </c>
      <c r="AN238" s="5" t="s">
        <v>7</v>
      </c>
    </row>
    <row r="239" spans="1:40" x14ac:dyDescent="0.2">
      <c r="A239" s="39">
        <v>1468</v>
      </c>
      <c r="B239" s="4" t="s">
        <v>55</v>
      </c>
      <c r="C239" s="30" t="s">
        <v>24</v>
      </c>
      <c r="D239" s="30">
        <v>5</v>
      </c>
      <c r="E239" s="30">
        <v>0</v>
      </c>
      <c r="F239" s="4">
        <v>3.8180000000000001</v>
      </c>
      <c r="G239" s="30">
        <v>30</v>
      </c>
      <c r="H239" s="33" t="s">
        <v>7</v>
      </c>
      <c r="I239" s="33" t="s">
        <v>7</v>
      </c>
      <c r="J239" s="33">
        <v>8.944558521560575</v>
      </c>
      <c r="K239" s="33" t="s">
        <v>7</v>
      </c>
      <c r="L239" s="33" t="s">
        <v>7</v>
      </c>
      <c r="M239" s="33">
        <v>9.2347707049965777</v>
      </c>
      <c r="N239" s="33" t="s">
        <v>7</v>
      </c>
      <c r="O239" s="33" t="s">
        <v>7</v>
      </c>
      <c r="P239" s="33" t="s">
        <v>7</v>
      </c>
      <c r="Q239" s="33" t="s">
        <v>7</v>
      </c>
      <c r="R239" s="33" t="s">
        <v>7</v>
      </c>
      <c r="S239" s="33" t="s">
        <v>7</v>
      </c>
      <c r="T239" s="34">
        <v>4</v>
      </c>
      <c r="U239" s="34">
        <v>16</v>
      </c>
      <c r="V239" s="4" t="s">
        <v>1</v>
      </c>
      <c r="W239" s="4">
        <v>1</v>
      </c>
      <c r="X239" s="4">
        <v>1</v>
      </c>
      <c r="Y239" s="4">
        <v>1</v>
      </c>
      <c r="Z239" s="56">
        <v>3</v>
      </c>
      <c r="AA239" s="9" cm="1">
        <f t="array" ref="AA239">IF(OR(AB239:AE239=""),"BLANK",IF(AND(AB239:AE239&lt;999),1,IF(AND(AB239:AE239="NA"),3,2)))</f>
        <v>1</v>
      </c>
      <c r="AB239" s="4">
        <v>32</v>
      </c>
      <c r="AC239" s="4">
        <v>16</v>
      </c>
      <c r="AD239" s="4">
        <v>11</v>
      </c>
      <c r="AE239" s="5">
        <v>59</v>
      </c>
      <c r="AF239" s="9">
        <f t="shared" si="3"/>
        <v>1</v>
      </c>
      <c r="AG239" s="5">
        <v>55</v>
      </c>
      <c r="AH239" s="9" cm="1">
        <f t="array" ref="AH239">IF(OR(AI239:AN239=""),"BLANK",IF(AND(AI239:AN239&lt;99),1,IF(AND(AI239:AN239="NA"),3,2)))</f>
        <v>3</v>
      </c>
      <c r="AI239" s="4" t="s">
        <v>7</v>
      </c>
      <c r="AJ239" s="4" t="s">
        <v>7</v>
      </c>
      <c r="AK239" s="4" t="s">
        <v>7</v>
      </c>
      <c r="AL239" s="4" t="s">
        <v>7</v>
      </c>
      <c r="AM239" s="4" t="s">
        <v>7</v>
      </c>
      <c r="AN239" s="5" t="s">
        <v>7</v>
      </c>
    </row>
    <row r="240" spans="1:40" x14ac:dyDescent="0.2">
      <c r="A240" s="39">
        <v>1476</v>
      </c>
      <c r="B240" s="4" t="s">
        <v>59</v>
      </c>
      <c r="C240" s="30" t="s">
        <v>24</v>
      </c>
      <c r="D240" s="30">
        <v>5</v>
      </c>
      <c r="E240" s="30">
        <v>0</v>
      </c>
      <c r="F240" s="4">
        <v>3.6360000000000001</v>
      </c>
      <c r="G240" s="30">
        <v>28</v>
      </c>
      <c r="H240" s="33">
        <v>3.6331279945242985</v>
      </c>
      <c r="I240" s="33">
        <v>5.1362080766598224</v>
      </c>
      <c r="J240" s="33">
        <v>8.7693360711841208</v>
      </c>
      <c r="K240" s="33">
        <v>3.6331279945242985</v>
      </c>
      <c r="L240" s="33">
        <v>5.3689253935660508</v>
      </c>
      <c r="M240" s="33">
        <v>9.0020533880903493</v>
      </c>
      <c r="N240" s="33">
        <v>3.8110882956878851</v>
      </c>
      <c r="O240" s="33">
        <v>4.6789869952087608</v>
      </c>
      <c r="P240" s="33">
        <v>8.4900752908966464</v>
      </c>
      <c r="Q240" s="33">
        <v>3.2772073921971252</v>
      </c>
      <c r="R240" s="33">
        <v>5.8809034907597537</v>
      </c>
      <c r="S240" s="33">
        <v>9.158110882956878</v>
      </c>
      <c r="T240" s="34">
        <v>6</v>
      </c>
      <c r="U240" s="34">
        <v>18</v>
      </c>
      <c r="V240" s="4" t="s">
        <v>1</v>
      </c>
      <c r="W240" s="4">
        <v>1</v>
      </c>
      <c r="X240" s="4">
        <v>1</v>
      </c>
      <c r="Y240" s="4">
        <v>1</v>
      </c>
      <c r="Z240" s="56">
        <v>3</v>
      </c>
      <c r="AA240" s="9" cm="1">
        <f t="array" ref="AA240">IF(OR(AB240:AE240=""),"BLANK",IF(AND(AB240:AE240&lt;999),1,IF(AND(AB240:AE240="NA"),3,2)))</f>
        <v>1</v>
      </c>
      <c r="AB240" s="4">
        <v>26</v>
      </c>
      <c r="AC240" s="4">
        <v>14</v>
      </c>
      <c r="AD240" s="4">
        <v>14</v>
      </c>
      <c r="AE240" s="5">
        <v>54</v>
      </c>
      <c r="AF240" s="9">
        <f t="shared" si="3"/>
        <v>1</v>
      </c>
      <c r="AG240" s="5">
        <v>45</v>
      </c>
      <c r="AH240" s="9" cm="1">
        <f t="array" ref="AH240">IF(OR(AI240:AN240=""),"BLANK",IF(AND(AI240:AN240&lt;99),1,IF(AND(AI240:AN240="NA"),3,2)))</f>
        <v>3</v>
      </c>
      <c r="AI240" s="4" t="s">
        <v>7</v>
      </c>
      <c r="AJ240" s="4" t="s">
        <v>7</v>
      </c>
      <c r="AK240" s="4" t="s">
        <v>7</v>
      </c>
      <c r="AL240" s="4" t="s">
        <v>7</v>
      </c>
      <c r="AM240" s="4" t="s">
        <v>7</v>
      </c>
      <c r="AN240" s="5" t="s">
        <v>7</v>
      </c>
    </row>
    <row r="241" spans="1:40" x14ac:dyDescent="0.2">
      <c r="A241" s="39">
        <v>1484</v>
      </c>
      <c r="B241" s="4" t="s">
        <v>54</v>
      </c>
      <c r="C241" s="30" t="s">
        <v>24</v>
      </c>
      <c r="D241" s="30">
        <v>5</v>
      </c>
      <c r="E241" s="30">
        <v>0</v>
      </c>
      <c r="F241" s="4">
        <v>3.9089999999999998</v>
      </c>
      <c r="G241" s="30">
        <v>28</v>
      </c>
      <c r="H241" s="33">
        <v>4.2847364818617386</v>
      </c>
      <c r="I241" s="33">
        <v>6.0013689253935665</v>
      </c>
      <c r="J241" s="33">
        <v>10.286105407255304</v>
      </c>
      <c r="K241" s="33">
        <v>4.2847364818617386</v>
      </c>
      <c r="L241" s="33">
        <v>6.0013689253935665</v>
      </c>
      <c r="M241" s="33">
        <v>10.286105407255304</v>
      </c>
      <c r="N241" s="33">
        <v>4.2628336755646821</v>
      </c>
      <c r="O241" s="33" t="s">
        <v>7</v>
      </c>
      <c r="P241" s="33" t="s">
        <v>7</v>
      </c>
      <c r="Q241" s="33">
        <v>4.128678986995209</v>
      </c>
      <c r="R241" s="33" t="s">
        <v>7</v>
      </c>
      <c r="S241" s="33" t="s">
        <v>7</v>
      </c>
      <c r="T241" s="34">
        <v>5</v>
      </c>
      <c r="U241" s="34">
        <v>17</v>
      </c>
      <c r="V241" s="4" t="s">
        <v>1</v>
      </c>
      <c r="W241" s="4">
        <v>1</v>
      </c>
      <c r="X241" s="4">
        <v>1</v>
      </c>
      <c r="Y241" s="4">
        <v>1</v>
      </c>
      <c r="Z241" s="56">
        <v>3</v>
      </c>
      <c r="AA241" s="9" cm="1">
        <f t="array" ref="AA241">IF(OR(AB241:AE241=""),"BLANK",IF(AND(AB241:AE241&lt;999),1,IF(AND(AB241:AE241="NA"),3,2)))</f>
        <v>1</v>
      </c>
      <c r="AB241" s="4">
        <v>33</v>
      </c>
      <c r="AC241" s="4">
        <v>21</v>
      </c>
      <c r="AD241" s="4">
        <v>15</v>
      </c>
      <c r="AE241" s="5">
        <v>69</v>
      </c>
      <c r="AF241" s="9">
        <f t="shared" si="3"/>
        <v>1</v>
      </c>
      <c r="AG241" s="5">
        <v>54</v>
      </c>
      <c r="AH241" s="9" cm="1">
        <f t="array" ref="AH241">IF(OR(AI241:AN241=""),"BLANK",IF(AND(AI241:AN241&lt;99),1,IF(AND(AI241:AN241="NA"),3,2)))</f>
        <v>3</v>
      </c>
      <c r="AI241" s="4" t="s">
        <v>7</v>
      </c>
      <c r="AJ241" s="4" t="s">
        <v>7</v>
      </c>
      <c r="AK241" s="4" t="s">
        <v>7</v>
      </c>
      <c r="AL241" s="4" t="s">
        <v>7</v>
      </c>
      <c r="AM241" s="4" t="s">
        <v>7</v>
      </c>
      <c r="AN241" s="5" t="s">
        <v>7</v>
      </c>
    </row>
    <row r="242" spans="1:40" x14ac:dyDescent="0.2">
      <c r="A242" s="39">
        <v>1531</v>
      </c>
      <c r="B242" s="4" t="s">
        <v>65</v>
      </c>
      <c r="C242" s="30" t="s">
        <v>24</v>
      </c>
      <c r="D242" s="30">
        <v>5</v>
      </c>
      <c r="E242" s="30">
        <v>0</v>
      </c>
      <c r="F242" s="4">
        <v>3.0910000000000002</v>
      </c>
      <c r="G242" s="30">
        <v>27</v>
      </c>
      <c r="H242" s="33" t="s">
        <v>7</v>
      </c>
      <c r="I242" s="33" t="s">
        <v>7</v>
      </c>
      <c r="J242" s="33" t="s">
        <v>7</v>
      </c>
      <c r="K242" s="33" t="s">
        <v>7</v>
      </c>
      <c r="L242" s="33" t="s">
        <v>7</v>
      </c>
      <c r="M242" s="33" t="s">
        <v>7</v>
      </c>
      <c r="N242" s="33" t="s">
        <v>7</v>
      </c>
      <c r="O242" s="33" t="s">
        <v>7</v>
      </c>
      <c r="P242" s="33" t="s">
        <v>7</v>
      </c>
      <c r="Q242" s="33" t="s">
        <v>7</v>
      </c>
      <c r="R242" s="33" t="s">
        <v>7</v>
      </c>
      <c r="S242" s="33" t="s">
        <v>7</v>
      </c>
      <c r="T242" s="34">
        <v>4</v>
      </c>
      <c r="U242" s="34">
        <v>16</v>
      </c>
      <c r="V242" s="4" t="s">
        <v>1</v>
      </c>
      <c r="W242" s="4">
        <v>1</v>
      </c>
      <c r="X242" s="4">
        <v>1</v>
      </c>
      <c r="Y242" s="4">
        <v>1</v>
      </c>
      <c r="Z242" s="56">
        <v>3</v>
      </c>
      <c r="AA242" s="9" cm="1">
        <f t="array" ref="AA242">IF(OR(AB242:AE242=""),"BLANK",IF(AND(AB242:AE242&lt;999),1,IF(AND(AB242:AE242="NA"),3,2)))</f>
        <v>1</v>
      </c>
      <c r="AB242" s="4">
        <v>18</v>
      </c>
      <c r="AC242" s="4">
        <v>11</v>
      </c>
      <c r="AD242" s="4">
        <v>8</v>
      </c>
      <c r="AE242" s="5">
        <v>37</v>
      </c>
      <c r="AF242" s="9">
        <f t="shared" si="3"/>
        <v>1</v>
      </c>
      <c r="AG242" s="5">
        <v>37</v>
      </c>
      <c r="AH242" s="9" cm="1">
        <f t="array" ref="AH242">IF(OR(AI242:AN242=""),"BLANK",IF(AND(AI242:AN242&lt;99),1,IF(AND(AI242:AN242="NA"),3,2)))</f>
        <v>3</v>
      </c>
      <c r="AI242" s="4" t="s">
        <v>7</v>
      </c>
      <c r="AJ242" s="4" t="s">
        <v>7</v>
      </c>
      <c r="AK242" s="4" t="s">
        <v>7</v>
      </c>
      <c r="AL242" s="4" t="s">
        <v>7</v>
      </c>
      <c r="AM242" s="4" t="s">
        <v>7</v>
      </c>
      <c r="AN242" s="5" t="s">
        <v>7</v>
      </c>
    </row>
    <row r="243" spans="1:40" x14ac:dyDescent="0.2">
      <c r="A243" s="39">
        <v>1543</v>
      </c>
      <c r="B243" s="4" t="s">
        <v>50</v>
      </c>
      <c r="C243" s="30" t="s">
        <v>24</v>
      </c>
      <c r="D243" s="30">
        <v>3</v>
      </c>
      <c r="E243" s="30">
        <v>0</v>
      </c>
      <c r="F243" s="4">
        <v>3.5449999999999999</v>
      </c>
      <c r="G243" s="30">
        <v>29</v>
      </c>
      <c r="H243" s="33">
        <v>4.0985626283367553</v>
      </c>
      <c r="I243" s="33">
        <v>4.4955509924709105</v>
      </c>
      <c r="J243" s="33">
        <v>8.5941136208076667</v>
      </c>
      <c r="K243" s="33">
        <v>4.0903490759753591</v>
      </c>
      <c r="L243" s="33">
        <v>4.5037645448323067</v>
      </c>
      <c r="M243" s="33">
        <v>8.5941136208076667</v>
      </c>
      <c r="N243" s="33">
        <v>4.0711841204654347</v>
      </c>
      <c r="O243" s="33">
        <v>4.386036960985626</v>
      </c>
      <c r="P243" s="33">
        <v>8.4572210814510616</v>
      </c>
      <c r="Q243" s="33" t="s">
        <v>7</v>
      </c>
      <c r="R243" s="33" t="s">
        <v>7</v>
      </c>
      <c r="S243" s="33" t="s">
        <v>7</v>
      </c>
      <c r="T243" s="34">
        <v>6</v>
      </c>
      <c r="U243" s="34">
        <v>18</v>
      </c>
      <c r="V243" s="4" t="s">
        <v>1</v>
      </c>
      <c r="W243" s="4">
        <v>1</v>
      </c>
      <c r="X243" s="4">
        <v>1</v>
      </c>
      <c r="Y243" s="4">
        <v>1</v>
      </c>
      <c r="Z243" s="56">
        <v>3</v>
      </c>
      <c r="AA243" s="9" cm="1">
        <f t="array" ref="AA243">IF(OR(AB243:AE243=""),"BLANK",IF(AND(AB243:AE243&lt;999),1,IF(AND(AB243:AE243="NA"),3,2)))</f>
        <v>1</v>
      </c>
      <c r="AB243" s="4">
        <v>42</v>
      </c>
      <c r="AC243" s="4">
        <v>28</v>
      </c>
      <c r="AD243" s="4">
        <v>18</v>
      </c>
      <c r="AE243" s="5">
        <v>88</v>
      </c>
      <c r="AF243" s="9">
        <f t="shared" si="3"/>
        <v>1</v>
      </c>
      <c r="AG243" s="5">
        <v>72</v>
      </c>
      <c r="AH243" s="9" cm="1">
        <f t="array" ref="AH243">IF(OR(AI243:AN243=""),"BLANK",IF(AND(AI243:AN243&lt;99),1,IF(AND(AI243:AN243="NA"),3,2)))</f>
        <v>3</v>
      </c>
      <c r="AI243" s="4" t="s">
        <v>7</v>
      </c>
      <c r="AJ243" s="4" t="s">
        <v>7</v>
      </c>
      <c r="AK243" s="4" t="s">
        <v>7</v>
      </c>
      <c r="AL243" s="4" t="s">
        <v>7</v>
      </c>
      <c r="AM243" s="4" t="s">
        <v>7</v>
      </c>
      <c r="AN243" s="5" t="s">
        <v>7</v>
      </c>
    </row>
    <row r="244" spans="1:40" x14ac:dyDescent="0.2">
      <c r="A244" s="39">
        <v>1577</v>
      </c>
      <c r="B244" s="4" t="s">
        <v>56</v>
      </c>
      <c r="C244" s="30" t="s">
        <v>23</v>
      </c>
      <c r="D244" s="30">
        <v>5</v>
      </c>
      <c r="E244" s="30">
        <v>0</v>
      </c>
      <c r="F244" s="4">
        <v>3.2730000000000001</v>
      </c>
      <c r="G244" s="30">
        <v>27</v>
      </c>
      <c r="H244" s="33">
        <v>4.1478439425051334</v>
      </c>
      <c r="I244" s="33">
        <v>4.7994524298425736</v>
      </c>
      <c r="J244" s="33">
        <v>8.9472963723477079</v>
      </c>
      <c r="K244" s="33">
        <v>4.1478439425051334</v>
      </c>
      <c r="L244" s="33">
        <v>4.7994524298425736</v>
      </c>
      <c r="M244" s="33">
        <v>8.9472963723477079</v>
      </c>
      <c r="N244" s="33">
        <v>4.1670088980150579</v>
      </c>
      <c r="O244" s="33">
        <v>4.5749486652977414</v>
      </c>
      <c r="P244" s="33">
        <v>8.7419575633128002</v>
      </c>
      <c r="Q244" s="33" t="s">
        <v>7</v>
      </c>
      <c r="R244" s="33" t="s">
        <v>7</v>
      </c>
      <c r="S244" s="33" t="s">
        <v>7</v>
      </c>
      <c r="T244" s="34">
        <v>4</v>
      </c>
      <c r="U244" s="34">
        <v>16</v>
      </c>
      <c r="V244" s="4" t="s">
        <v>1</v>
      </c>
      <c r="W244" s="4">
        <v>1</v>
      </c>
      <c r="X244" s="4">
        <v>1</v>
      </c>
      <c r="Y244" s="4">
        <v>1</v>
      </c>
      <c r="Z244" s="56">
        <v>3</v>
      </c>
      <c r="AA244" s="9" cm="1">
        <f t="array" ref="AA244">IF(OR(AB244:AE244=""),"BLANK",IF(AND(AB244:AE244&lt;999),1,IF(AND(AB244:AE244="NA"),3,2)))</f>
        <v>1</v>
      </c>
      <c r="AB244" s="4">
        <v>40</v>
      </c>
      <c r="AC244" s="4">
        <v>13</v>
      </c>
      <c r="AD244" s="4">
        <v>11</v>
      </c>
      <c r="AE244" s="5">
        <v>64</v>
      </c>
      <c r="AF244" s="9">
        <f t="shared" si="3"/>
        <v>1</v>
      </c>
      <c r="AG244" s="5">
        <v>68</v>
      </c>
      <c r="AH244" s="9" cm="1">
        <f t="array" ref="AH244">IF(OR(AI244:AN244=""),"BLANK",IF(AND(AI244:AN244&lt;99),1,IF(AND(AI244:AN244="NA"),3,2)))</f>
        <v>3</v>
      </c>
      <c r="AI244" s="4" t="s">
        <v>7</v>
      </c>
      <c r="AJ244" s="4" t="s">
        <v>7</v>
      </c>
      <c r="AK244" s="4" t="s">
        <v>7</v>
      </c>
      <c r="AL244" s="4" t="s">
        <v>7</v>
      </c>
      <c r="AM244" s="4" t="s">
        <v>7</v>
      </c>
      <c r="AN244" s="5" t="s">
        <v>7</v>
      </c>
    </row>
    <row r="245" spans="1:40" x14ac:dyDescent="0.2">
      <c r="A245" s="39">
        <v>1591</v>
      </c>
      <c r="B245" s="4" t="s">
        <v>47</v>
      </c>
      <c r="C245" s="30" t="s">
        <v>23</v>
      </c>
      <c r="D245" s="30">
        <v>5</v>
      </c>
      <c r="E245" s="30">
        <v>0</v>
      </c>
      <c r="F245" s="4">
        <v>4</v>
      </c>
      <c r="G245" s="30">
        <v>28</v>
      </c>
      <c r="H245" s="33">
        <v>3.7481177275838466</v>
      </c>
      <c r="I245" s="33">
        <v>5.207392197125257</v>
      </c>
      <c r="J245" s="33">
        <v>8.9555099247091032</v>
      </c>
      <c r="K245" s="33">
        <v>3.761806981519507</v>
      </c>
      <c r="L245" s="33">
        <v>5.1937029431895958</v>
      </c>
      <c r="M245" s="33">
        <v>8.9555099247091032</v>
      </c>
      <c r="N245" s="33">
        <v>3.7453798767967146</v>
      </c>
      <c r="O245" s="33">
        <v>5.1498973305954827</v>
      </c>
      <c r="P245" s="33">
        <v>8.8952772073921977</v>
      </c>
      <c r="Q245" s="33">
        <v>3.5071868583162216</v>
      </c>
      <c r="R245" s="33" t="s">
        <v>7</v>
      </c>
      <c r="S245" s="33" t="s">
        <v>7</v>
      </c>
      <c r="T245" s="34">
        <v>4</v>
      </c>
      <c r="U245" s="34">
        <v>16</v>
      </c>
      <c r="V245" s="4" t="s">
        <v>1</v>
      </c>
      <c r="W245" s="4">
        <v>1</v>
      </c>
      <c r="X245" s="4">
        <v>1</v>
      </c>
      <c r="Y245" s="4">
        <v>1</v>
      </c>
      <c r="Z245" s="56">
        <v>3</v>
      </c>
      <c r="AA245" s="9" cm="1">
        <f t="array" ref="AA245">IF(OR(AB245:AE245=""),"BLANK",IF(AND(AB245:AE245&lt;999),1,IF(AND(AB245:AE245="NA"),3,2)))</f>
        <v>1</v>
      </c>
      <c r="AB245" s="4">
        <v>32</v>
      </c>
      <c r="AC245" s="4">
        <v>22</v>
      </c>
      <c r="AD245" s="4">
        <v>16</v>
      </c>
      <c r="AE245" s="5">
        <v>70</v>
      </c>
      <c r="AF245" s="9">
        <f t="shared" si="3"/>
        <v>1</v>
      </c>
      <c r="AG245" s="5">
        <v>45</v>
      </c>
      <c r="AH245" s="9" cm="1">
        <f t="array" ref="AH245">IF(OR(AI245:AN245=""),"BLANK",IF(AND(AI245:AN245&lt;99),1,IF(AND(AI245:AN245="NA"),3,2)))</f>
        <v>3</v>
      </c>
      <c r="AI245" s="4" t="s">
        <v>7</v>
      </c>
      <c r="AJ245" s="4" t="s">
        <v>7</v>
      </c>
      <c r="AK245" s="4" t="s">
        <v>7</v>
      </c>
      <c r="AL245" s="4" t="s">
        <v>7</v>
      </c>
      <c r="AM245" s="4" t="s">
        <v>7</v>
      </c>
      <c r="AN245" s="5" t="s">
        <v>7</v>
      </c>
    </row>
    <row r="246" spans="1:40" x14ac:dyDescent="0.2">
      <c r="A246" s="39">
        <v>1600</v>
      </c>
      <c r="B246" s="4" t="s">
        <v>67</v>
      </c>
      <c r="C246" s="30" t="s">
        <v>23</v>
      </c>
      <c r="D246" s="30">
        <v>5</v>
      </c>
      <c r="E246" s="30">
        <v>0</v>
      </c>
      <c r="F246" s="4">
        <v>3.4550000000000001</v>
      </c>
      <c r="G246" s="30">
        <v>26</v>
      </c>
      <c r="H246" s="33">
        <v>3.8165639972621492</v>
      </c>
      <c r="I246" s="33" t="s">
        <v>7</v>
      </c>
      <c r="J246" s="33" t="s">
        <v>7</v>
      </c>
      <c r="K246" s="33" t="s">
        <v>7</v>
      </c>
      <c r="L246" s="33" t="s">
        <v>7</v>
      </c>
      <c r="M246" s="33" t="s">
        <v>7</v>
      </c>
      <c r="N246" s="33">
        <v>3.7919233401779602</v>
      </c>
      <c r="O246" s="33" t="s">
        <v>7</v>
      </c>
      <c r="P246" s="33" t="s">
        <v>7</v>
      </c>
      <c r="Q246" s="33">
        <v>3.4086242299794662</v>
      </c>
      <c r="R246" s="33" t="s">
        <v>7</v>
      </c>
      <c r="S246" s="33" t="s">
        <v>7</v>
      </c>
      <c r="T246" s="34">
        <v>3</v>
      </c>
      <c r="U246" s="34">
        <v>14.5</v>
      </c>
      <c r="V246" s="4" t="s">
        <v>1</v>
      </c>
      <c r="W246" s="4">
        <v>1</v>
      </c>
      <c r="X246" s="4">
        <v>1</v>
      </c>
      <c r="Y246" s="4">
        <v>1</v>
      </c>
      <c r="Z246" s="56">
        <v>3</v>
      </c>
      <c r="AA246" s="9" cm="1">
        <f t="array" ref="AA246">IF(OR(AB246:AE246=""),"BLANK",IF(AND(AB246:AE246&lt;999),1,IF(AND(AB246:AE246="NA"),3,2)))</f>
        <v>1</v>
      </c>
      <c r="AB246" s="4">
        <v>28</v>
      </c>
      <c r="AC246" s="4">
        <v>17</v>
      </c>
      <c r="AD246" s="4">
        <v>15</v>
      </c>
      <c r="AE246" s="5">
        <v>60</v>
      </c>
      <c r="AF246" s="9">
        <f t="shared" si="3"/>
        <v>1</v>
      </c>
      <c r="AG246" s="5">
        <v>41</v>
      </c>
      <c r="AH246" s="9" cm="1">
        <f t="array" ref="AH246">IF(OR(AI246:AN246=""),"BLANK",IF(AND(AI246:AN246&lt;99),1,IF(AND(AI246:AN246="NA"),3,2)))</f>
        <v>3</v>
      </c>
      <c r="AI246" s="4" t="s">
        <v>7</v>
      </c>
      <c r="AJ246" s="4" t="s">
        <v>7</v>
      </c>
      <c r="AK246" s="4" t="s">
        <v>7</v>
      </c>
      <c r="AL246" s="4" t="s">
        <v>7</v>
      </c>
      <c r="AM246" s="4" t="s">
        <v>7</v>
      </c>
      <c r="AN246" s="5" t="s">
        <v>7</v>
      </c>
    </row>
    <row r="247" spans="1:40" x14ac:dyDescent="0.2">
      <c r="A247" s="39">
        <v>1613</v>
      </c>
      <c r="B247" s="4" t="s">
        <v>48</v>
      </c>
      <c r="C247" s="30" t="s">
        <v>24</v>
      </c>
      <c r="D247" s="30">
        <v>5</v>
      </c>
      <c r="E247" s="30">
        <v>0</v>
      </c>
      <c r="F247" s="4">
        <v>4</v>
      </c>
      <c r="G247" s="30">
        <v>27</v>
      </c>
      <c r="H247" s="33">
        <v>3.7672826830937716</v>
      </c>
      <c r="I247" s="33">
        <v>5.0978781656399725</v>
      </c>
      <c r="J247" s="33">
        <v>8.8651608487337441</v>
      </c>
      <c r="K247" s="33">
        <v>3.7672826830937716</v>
      </c>
      <c r="L247" s="33">
        <v>5.2320328542094456</v>
      </c>
      <c r="M247" s="33">
        <v>8.9993155373032163</v>
      </c>
      <c r="N247" s="33" t="s">
        <v>7</v>
      </c>
      <c r="O247" s="33" t="s">
        <v>7</v>
      </c>
      <c r="P247" s="33" t="s">
        <v>7</v>
      </c>
      <c r="Q247" s="33">
        <v>3.3182751540041067</v>
      </c>
      <c r="R247" s="33" t="s">
        <v>7</v>
      </c>
      <c r="S247" s="33" t="s">
        <v>7</v>
      </c>
      <c r="T247" s="34">
        <v>4</v>
      </c>
      <c r="U247" s="34">
        <v>16</v>
      </c>
      <c r="V247" s="4" t="s">
        <v>1</v>
      </c>
      <c r="W247" s="4">
        <v>1</v>
      </c>
      <c r="X247" s="4">
        <v>1</v>
      </c>
      <c r="Y247" s="4">
        <v>1</v>
      </c>
      <c r="Z247" s="56">
        <v>3</v>
      </c>
      <c r="AA247" s="9" cm="1">
        <f t="array" ref="AA247">IF(OR(AB247:AE247=""),"BLANK",IF(AND(AB247:AE247&lt;999),1,IF(AND(AB247:AE247="NA"),3,2)))</f>
        <v>1</v>
      </c>
      <c r="AB247" s="4">
        <v>25</v>
      </c>
      <c r="AC247" s="4">
        <v>13</v>
      </c>
      <c r="AD247" s="4">
        <v>7</v>
      </c>
      <c r="AE247" s="5">
        <v>45</v>
      </c>
      <c r="AF247" s="9">
        <f t="shared" si="3"/>
        <v>1</v>
      </c>
      <c r="AG247" s="5">
        <v>46</v>
      </c>
      <c r="AH247" s="9" cm="1">
        <f t="array" ref="AH247">IF(OR(AI247:AN247=""),"BLANK",IF(AND(AI247:AN247&lt;99),1,IF(AND(AI247:AN247="NA"),3,2)))</f>
        <v>3</v>
      </c>
      <c r="AI247" s="4" t="s">
        <v>7</v>
      </c>
      <c r="AJ247" s="4" t="s">
        <v>7</v>
      </c>
      <c r="AK247" s="4" t="s">
        <v>7</v>
      </c>
      <c r="AL247" s="4" t="s">
        <v>7</v>
      </c>
      <c r="AM247" s="4" t="s">
        <v>7</v>
      </c>
      <c r="AN247" s="5" t="s">
        <v>7</v>
      </c>
    </row>
    <row r="248" spans="1:40" x14ac:dyDescent="0.2">
      <c r="A248" s="39">
        <v>1615</v>
      </c>
      <c r="B248" s="4" t="s">
        <v>57</v>
      </c>
      <c r="C248" s="30" t="s">
        <v>23</v>
      </c>
      <c r="D248" s="30">
        <v>5</v>
      </c>
      <c r="E248" s="30">
        <v>0</v>
      </c>
      <c r="F248" s="4">
        <v>3.6360000000000001</v>
      </c>
      <c r="G248" s="30">
        <v>30</v>
      </c>
      <c r="H248" s="33">
        <v>4.1396303901437372</v>
      </c>
      <c r="I248" s="33">
        <v>4.7720739219712529</v>
      </c>
      <c r="J248" s="33">
        <v>8.9117043121149901</v>
      </c>
      <c r="K248" s="33">
        <v>4.1396303901437372</v>
      </c>
      <c r="L248" s="33">
        <v>4.7720739219712529</v>
      </c>
      <c r="M248" s="33">
        <v>8.9117043121149901</v>
      </c>
      <c r="N248" s="33">
        <v>4.0136892539356603</v>
      </c>
      <c r="O248" s="33">
        <v>4.5749486652977414</v>
      </c>
      <c r="P248" s="33">
        <v>8.5886379192334026</v>
      </c>
      <c r="Q248" s="33">
        <v>3.2580424366872007</v>
      </c>
      <c r="R248" s="33">
        <v>5.9219712525667347</v>
      </c>
      <c r="S248" s="33">
        <v>9.1800136892539363</v>
      </c>
      <c r="T248" s="34">
        <v>4</v>
      </c>
      <c r="U248" s="34">
        <v>16</v>
      </c>
      <c r="V248" s="4" t="s">
        <v>1</v>
      </c>
      <c r="W248" s="4">
        <v>1</v>
      </c>
      <c r="X248" s="4">
        <v>1</v>
      </c>
      <c r="Y248" s="4">
        <v>1</v>
      </c>
      <c r="Z248" s="56">
        <v>3</v>
      </c>
      <c r="AA248" s="9" cm="1">
        <f t="array" ref="AA248">IF(OR(AB248:AE248=""),"BLANK",IF(AND(AB248:AE248&lt;999),1,IF(AND(AB248:AE248="NA"),3,2)))</f>
        <v>1</v>
      </c>
      <c r="AB248" s="4">
        <v>37</v>
      </c>
      <c r="AC248" s="4">
        <v>21</v>
      </c>
      <c r="AD248" s="4">
        <v>16</v>
      </c>
      <c r="AE248" s="5">
        <v>74</v>
      </c>
      <c r="AF248" s="9">
        <f t="shared" si="3"/>
        <v>1</v>
      </c>
      <c r="AG248" s="5">
        <v>65</v>
      </c>
      <c r="AH248" s="9" cm="1">
        <f t="array" ref="AH248">IF(OR(AI248:AN248=""),"BLANK",IF(AND(AI248:AN248&lt;99),1,IF(AND(AI248:AN248="NA"),3,2)))</f>
        <v>3</v>
      </c>
      <c r="AI248" s="4" t="s">
        <v>7</v>
      </c>
      <c r="AJ248" s="4" t="s">
        <v>7</v>
      </c>
      <c r="AK248" s="4" t="s">
        <v>7</v>
      </c>
      <c r="AL248" s="4" t="s">
        <v>7</v>
      </c>
      <c r="AM248" s="4" t="s">
        <v>7</v>
      </c>
      <c r="AN248" s="5" t="s">
        <v>7</v>
      </c>
    </row>
    <row r="249" spans="1:40" x14ac:dyDescent="0.2">
      <c r="A249" s="39">
        <v>1617</v>
      </c>
      <c r="B249" s="4" t="s">
        <v>47</v>
      </c>
      <c r="C249" s="30" t="s">
        <v>23</v>
      </c>
      <c r="D249" s="30">
        <v>5</v>
      </c>
      <c r="E249" s="30">
        <v>0</v>
      </c>
      <c r="F249" s="4">
        <v>4</v>
      </c>
      <c r="G249" s="30">
        <v>27</v>
      </c>
      <c r="H249" s="33">
        <v>4.0082135523613962</v>
      </c>
      <c r="I249" s="33">
        <v>4.9226557152635184</v>
      </c>
      <c r="J249" s="33">
        <v>8.9308692676249137</v>
      </c>
      <c r="K249" s="33">
        <v>4.0082135523613962</v>
      </c>
      <c r="L249" s="33">
        <v>4.9226557152635184</v>
      </c>
      <c r="M249" s="33">
        <v>8.9308692676249137</v>
      </c>
      <c r="N249" s="33" t="s">
        <v>7</v>
      </c>
      <c r="O249" s="33" t="s">
        <v>7</v>
      </c>
      <c r="P249" s="33" t="s">
        <v>7</v>
      </c>
      <c r="Q249" s="33" t="s">
        <v>7</v>
      </c>
      <c r="R249" s="33" t="s">
        <v>7</v>
      </c>
      <c r="S249" s="33" t="s">
        <v>7</v>
      </c>
      <c r="T249" s="34">
        <v>3</v>
      </c>
      <c r="U249" s="34">
        <v>14</v>
      </c>
      <c r="V249" s="4" t="s">
        <v>1</v>
      </c>
      <c r="W249" s="4">
        <v>1</v>
      </c>
      <c r="X249" s="4">
        <v>1</v>
      </c>
      <c r="Y249" s="4">
        <v>1</v>
      </c>
      <c r="Z249" s="56">
        <v>3</v>
      </c>
      <c r="AA249" s="9" cm="1">
        <f t="array" ref="AA249">IF(OR(AB249:AE249=""),"BLANK",IF(AND(AB249:AE249&lt;999),1,IF(AND(AB249:AE249="NA"),3,2)))</f>
        <v>1</v>
      </c>
      <c r="AB249" s="4">
        <v>32</v>
      </c>
      <c r="AC249" s="4">
        <v>19</v>
      </c>
      <c r="AD249" s="4">
        <v>12</v>
      </c>
      <c r="AE249" s="5">
        <v>63</v>
      </c>
      <c r="AF249" s="9">
        <f t="shared" si="3"/>
        <v>1</v>
      </c>
      <c r="AG249" s="5">
        <v>58</v>
      </c>
      <c r="AH249" s="9" cm="1">
        <f t="array" ref="AH249">IF(OR(AI249:AN249=""),"BLANK",IF(AND(AI249:AN249&lt;99),1,IF(AND(AI249:AN249="NA"),3,2)))</f>
        <v>3</v>
      </c>
      <c r="AI249" s="4" t="s">
        <v>7</v>
      </c>
      <c r="AJ249" s="4" t="s">
        <v>7</v>
      </c>
      <c r="AK249" s="4" t="s">
        <v>7</v>
      </c>
      <c r="AL249" s="4" t="s">
        <v>7</v>
      </c>
      <c r="AM249" s="4" t="s">
        <v>7</v>
      </c>
      <c r="AN249" s="5" t="s">
        <v>7</v>
      </c>
    </row>
    <row r="250" spans="1:40" x14ac:dyDescent="0.2">
      <c r="A250" s="39">
        <v>1626</v>
      </c>
      <c r="B250" s="4" t="s">
        <v>66</v>
      </c>
      <c r="C250" s="30" t="s">
        <v>23</v>
      </c>
      <c r="D250" s="30">
        <v>5</v>
      </c>
      <c r="E250" s="30">
        <v>0</v>
      </c>
      <c r="F250" s="4">
        <v>3.4550000000000001</v>
      </c>
      <c r="G250" s="30">
        <v>29</v>
      </c>
      <c r="H250" s="33">
        <v>3.7180013689253935</v>
      </c>
      <c r="I250" s="33" t="s">
        <v>7</v>
      </c>
      <c r="J250" s="33" t="s">
        <v>7</v>
      </c>
      <c r="K250" s="33">
        <v>3.7207392197125255</v>
      </c>
      <c r="L250" s="33" t="s">
        <v>7</v>
      </c>
      <c r="M250" s="33" t="s">
        <v>7</v>
      </c>
      <c r="N250" s="33">
        <v>3.7371663244353184</v>
      </c>
      <c r="O250" s="33" t="s">
        <v>7</v>
      </c>
      <c r="P250" s="33" t="s">
        <v>7</v>
      </c>
      <c r="Q250" s="33">
        <v>3.3921971252566734</v>
      </c>
      <c r="R250" s="33" t="s">
        <v>7</v>
      </c>
      <c r="S250" s="33" t="s">
        <v>7</v>
      </c>
      <c r="T250" s="34">
        <v>6</v>
      </c>
      <c r="U250" s="34">
        <v>18</v>
      </c>
      <c r="V250" s="4" t="s">
        <v>1</v>
      </c>
      <c r="W250" s="4">
        <v>1</v>
      </c>
      <c r="X250" s="4">
        <v>1</v>
      </c>
      <c r="Y250" s="4">
        <v>1</v>
      </c>
      <c r="Z250" s="56">
        <v>3</v>
      </c>
      <c r="AA250" s="9" cm="1">
        <f t="array" ref="AA250">IF(OR(AB250:AE250=""),"BLANK",IF(AND(AB250:AE250&lt;999),1,IF(AND(AB250:AE250="NA"),3,2)))</f>
        <v>1</v>
      </c>
      <c r="AB250" s="4">
        <v>21</v>
      </c>
      <c r="AC250" s="4">
        <v>11</v>
      </c>
      <c r="AD250" s="4">
        <v>11</v>
      </c>
      <c r="AE250" s="5">
        <v>43</v>
      </c>
      <c r="AF250" s="9">
        <f t="shared" si="3"/>
        <v>1</v>
      </c>
      <c r="AG250" s="5">
        <v>29</v>
      </c>
      <c r="AH250" s="9" cm="1">
        <f t="array" ref="AH250">IF(OR(AI250:AN250=""),"BLANK",IF(AND(AI250:AN250&lt;99),1,IF(AND(AI250:AN250="NA"),3,2)))</f>
        <v>3</v>
      </c>
      <c r="AI250" s="4" t="s">
        <v>7</v>
      </c>
      <c r="AJ250" s="4" t="s">
        <v>7</v>
      </c>
      <c r="AK250" s="4" t="s">
        <v>7</v>
      </c>
      <c r="AL250" s="4" t="s">
        <v>7</v>
      </c>
      <c r="AM250" s="4" t="s">
        <v>7</v>
      </c>
      <c r="AN250" s="5" t="s">
        <v>7</v>
      </c>
    </row>
    <row r="251" spans="1:40" x14ac:dyDescent="0.2">
      <c r="A251" s="39">
        <v>1637</v>
      </c>
      <c r="B251" s="4" t="s">
        <v>48</v>
      </c>
      <c r="C251" s="30" t="s">
        <v>23</v>
      </c>
      <c r="D251" s="30">
        <v>5</v>
      </c>
      <c r="E251" s="30">
        <v>0</v>
      </c>
      <c r="F251" s="4">
        <v>3.9089999999999998</v>
      </c>
      <c r="G251" s="30">
        <v>30</v>
      </c>
      <c r="H251" s="33">
        <v>3.8165639972621492</v>
      </c>
      <c r="I251" s="33" t="s">
        <v>7</v>
      </c>
      <c r="J251" s="33" t="s">
        <v>7</v>
      </c>
      <c r="K251" s="33">
        <v>3.8165639972621492</v>
      </c>
      <c r="L251" s="33" t="s">
        <v>7</v>
      </c>
      <c r="M251" s="33" t="s">
        <v>7</v>
      </c>
      <c r="N251" s="33">
        <v>3.7782340862422998</v>
      </c>
      <c r="O251" s="33" t="s">
        <v>7</v>
      </c>
      <c r="P251" s="33" t="s">
        <v>7</v>
      </c>
      <c r="Q251" s="33">
        <v>3.3100616016427105</v>
      </c>
      <c r="R251" s="33" t="s">
        <v>7</v>
      </c>
      <c r="S251" s="33" t="s">
        <v>7</v>
      </c>
      <c r="T251" s="34">
        <v>7</v>
      </c>
      <c r="U251" s="34">
        <v>21</v>
      </c>
      <c r="V251" s="4" t="s">
        <v>1</v>
      </c>
      <c r="W251" s="4">
        <v>1</v>
      </c>
      <c r="X251" s="4">
        <v>1</v>
      </c>
      <c r="Y251" s="4">
        <v>1</v>
      </c>
      <c r="Z251" s="56">
        <v>3</v>
      </c>
      <c r="AA251" s="9" cm="1">
        <f t="array" ref="AA251">IF(OR(AB251:AE251=""),"BLANK",IF(AND(AB251:AE251&lt;999),1,IF(AND(AB251:AE251="NA"),3,2)))</f>
        <v>1</v>
      </c>
      <c r="AB251" s="4">
        <v>21</v>
      </c>
      <c r="AC251" s="4">
        <v>13</v>
      </c>
      <c r="AD251" s="4">
        <v>8</v>
      </c>
      <c r="AE251" s="5">
        <v>42</v>
      </c>
      <c r="AF251" s="9">
        <f t="shared" si="3"/>
        <v>1</v>
      </c>
      <c r="AG251" s="5">
        <v>31</v>
      </c>
      <c r="AH251" s="9" cm="1">
        <f t="array" ref="AH251">IF(OR(AI251:AN251=""),"BLANK",IF(AND(AI251:AN251&lt;99),1,IF(AND(AI251:AN251="NA"),3,2)))</f>
        <v>3</v>
      </c>
      <c r="AI251" s="4" t="s">
        <v>7</v>
      </c>
      <c r="AJ251" s="4" t="s">
        <v>7</v>
      </c>
      <c r="AK251" s="4" t="s">
        <v>7</v>
      </c>
      <c r="AL251" s="4" t="s">
        <v>7</v>
      </c>
      <c r="AM251" s="4" t="s">
        <v>7</v>
      </c>
      <c r="AN251" s="5" t="s">
        <v>7</v>
      </c>
    </row>
    <row r="252" spans="1:40" x14ac:dyDescent="0.2">
      <c r="A252" s="39">
        <v>1656</v>
      </c>
      <c r="B252" s="4" t="s">
        <v>67</v>
      </c>
      <c r="C252" s="30" t="s">
        <v>23</v>
      </c>
      <c r="D252" s="30">
        <v>5</v>
      </c>
      <c r="E252" s="30">
        <v>0</v>
      </c>
      <c r="F252" s="4">
        <v>4</v>
      </c>
      <c r="G252" s="30">
        <v>27</v>
      </c>
      <c r="H252" s="33">
        <v>3.676933607118412</v>
      </c>
      <c r="I252" s="33">
        <v>5.3114305270362765</v>
      </c>
      <c r="J252" s="33">
        <v>8.988364134154688</v>
      </c>
      <c r="K252" s="33">
        <v>3.6960985626283369</v>
      </c>
      <c r="L252" s="33">
        <v>5.292265571526352</v>
      </c>
      <c r="M252" s="33">
        <v>8.988364134154688</v>
      </c>
      <c r="N252" s="33">
        <v>3.7125256673511293</v>
      </c>
      <c r="O252" s="33">
        <v>5.2950034223134841</v>
      </c>
      <c r="P252" s="33">
        <v>9.0075290896646134</v>
      </c>
      <c r="Q252" s="33">
        <v>3.4469541409993156</v>
      </c>
      <c r="R252" s="33">
        <v>5.848049281314168</v>
      </c>
      <c r="S252" s="33">
        <v>9.2950034223134832</v>
      </c>
      <c r="T252" s="34">
        <v>4</v>
      </c>
      <c r="U252" s="34">
        <v>16</v>
      </c>
      <c r="V252" s="4" t="s">
        <v>1</v>
      </c>
      <c r="W252" s="4">
        <v>1</v>
      </c>
      <c r="X252" s="4">
        <v>1</v>
      </c>
      <c r="Y252" s="4">
        <v>1</v>
      </c>
      <c r="Z252" s="56">
        <v>3</v>
      </c>
      <c r="AA252" s="9" cm="1">
        <f t="array" ref="AA252">IF(OR(AB252:AE252=""),"BLANK",IF(AND(AB252:AE252&lt;999),1,IF(AND(AB252:AE252="NA"),3,2)))</f>
        <v>1</v>
      </c>
      <c r="AB252" s="4">
        <v>26</v>
      </c>
      <c r="AC252" s="4">
        <v>17</v>
      </c>
      <c r="AD252" s="4">
        <v>13</v>
      </c>
      <c r="AE252" s="5">
        <v>56</v>
      </c>
      <c r="AF252" s="9">
        <f t="shared" si="3"/>
        <v>1</v>
      </c>
      <c r="AG252" s="5">
        <v>44</v>
      </c>
      <c r="AH252" s="9" cm="1">
        <f t="array" ref="AH252">IF(OR(AI252:AN252=""),"BLANK",IF(AND(AI252:AN252&lt;99),1,IF(AND(AI252:AN252="NA"),3,2)))</f>
        <v>3</v>
      </c>
      <c r="AI252" s="4" t="s">
        <v>7</v>
      </c>
      <c r="AJ252" s="4" t="s">
        <v>7</v>
      </c>
      <c r="AK252" s="4" t="s">
        <v>7</v>
      </c>
      <c r="AL252" s="4" t="s">
        <v>7</v>
      </c>
      <c r="AM252" s="4" t="s">
        <v>7</v>
      </c>
      <c r="AN252" s="5" t="s">
        <v>7</v>
      </c>
    </row>
    <row r="253" spans="1:40" x14ac:dyDescent="0.2">
      <c r="A253" s="39">
        <v>1664</v>
      </c>
      <c r="B253" s="4" t="s">
        <v>66</v>
      </c>
      <c r="C253" s="30" t="s">
        <v>24</v>
      </c>
      <c r="D253" s="30">
        <v>5</v>
      </c>
      <c r="E253" s="30">
        <v>0</v>
      </c>
      <c r="F253" s="4">
        <v>4</v>
      </c>
      <c r="G253" s="30">
        <v>29</v>
      </c>
      <c r="H253" s="33">
        <v>3.8165639972621492</v>
      </c>
      <c r="I253" s="33">
        <v>5.415468856947296</v>
      </c>
      <c r="J253" s="33">
        <v>9.2320328542094447</v>
      </c>
      <c r="K253" s="33">
        <v>3.8329911019849416</v>
      </c>
      <c r="L253" s="33">
        <v>5.4017796030116356</v>
      </c>
      <c r="M253" s="33">
        <v>9.2347707049965777</v>
      </c>
      <c r="N253" s="33">
        <v>3.7809719370294319</v>
      </c>
      <c r="O253" s="33" t="s">
        <v>7</v>
      </c>
      <c r="P253" s="33" t="s">
        <v>7</v>
      </c>
      <c r="Q253" s="33">
        <v>3.3100616016427105</v>
      </c>
      <c r="R253" s="33" t="s">
        <v>7</v>
      </c>
      <c r="S253" s="33" t="s">
        <v>7</v>
      </c>
      <c r="T253" s="34">
        <v>2</v>
      </c>
      <c r="U253" s="34">
        <v>12</v>
      </c>
      <c r="V253" s="4" t="s">
        <v>1</v>
      </c>
      <c r="W253" s="4">
        <v>1</v>
      </c>
      <c r="X253" s="4">
        <v>1</v>
      </c>
      <c r="Y253" s="4">
        <v>1</v>
      </c>
      <c r="Z253" s="56">
        <v>3</v>
      </c>
      <c r="AA253" s="9" cm="1">
        <f t="array" ref="AA253">IF(OR(AB253:AE253=""),"BLANK",IF(AND(AB253:AE253&lt;999),1,IF(AND(AB253:AE253="NA"),3,2)))</f>
        <v>1</v>
      </c>
      <c r="AB253" s="4">
        <v>32</v>
      </c>
      <c r="AC253" s="4">
        <v>18</v>
      </c>
      <c r="AD253" s="4">
        <v>13</v>
      </c>
      <c r="AE253" s="5">
        <v>63</v>
      </c>
      <c r="AF253" s="9">
        <f t="shared" si="3"/>
        <v>1</v>
      </c>
      <c r="AG253" s="5">
        <v>45</v>
      </c>
      <c r="AH253" s="9" cm="1">
        <f t="array" ref="AH253">IF(OR(AI253:AN253=""),"BLANK",IF(AND(AI253:AN253&lt;99),1,IF(AND(AI253:AN253="NA"),3,2)))</f>
        <v>3</v>
      </c>
      <c r="AI253" s="4" t="s">
        <v>7</v>
      </c>
      <c r="AJ253" s="4" t="s">
        <v>7</v>
      </c>
      <c r="AK253" s="4" t="s">
        <v>7</v>
      </c>
      <c r="AL253" s="4" t="s">
        <v>7</v>
      </c>
      <c r="AM253" s="4" t="s">
        <v>7</v>
      </c>
      <c r="AN253" s="5" t="s">
        <v>7</v>
      </c>
    </row>
    <row r="254" spans="1:40" x14ac:dyDescent="0.2">
      <c r="A254" s="39">
        <v>1665</v>
      </c>
      <c r="B254" s="4" t="s">
        <v>55</v>
      </c>
      <c r="C254" s="30" t="s">
        <v>24</v>
      </c>
      <c r="D254" s="30">
        <v>5</v>
      </c>
      <c r="E254" s="30">
        <v>0</v>
      </c>
      <c r="F254" s="4">
        <v>3.5449999999999999</v>
      </c>
      <c r="G254" s="30">
        <v>27</v>
      </c>
      <c r="H254" s="33" t="s">
        <v>7</v>
      </c>
      <c r="I254" s="33" t="s">
        <v>7</v>
      </c>
      <c r="J254" s="33" t="s">
        <v>7</v>
      </c>
      <c r="K254" s="33" t="s">
        <v>7</v>
      </c>
      <c r="L254" s="33" t="s">
        <v>7</v>
      </c>
      <c r="M254" s="33" t="s">
        <v>7</v>
      </c>
      <c r="N254" s="33" t="s">
        <v>7</v>
      </c>
      <c r="O254" s="33" t="s">
        <v>7</v>
      </c>
      <c r="P254" s="33" t="s">
        <v>7</v>
      </c>
      <c r="Q254" s="33" t="s">
        <v>7</v>
      </c>
      <c r="R254" s="33" t="s">
        <v>7</v>
      </c>
      <c r="S254" s="33" t="s">
        <v>7</v>
      </c>
      <c r="T254" s="34">
        <v>6</v>
      </c>
      <c r="U254" s="34">
        <v>18</v>
      </c>
      <c r="V254" s="4" t="s">
        <v>1</v>
      </c>
      <c r="W254" s="4">
        <v>1</v>
      </c>
      <c r="X254" s="4">
        <v>1</v>
      </c>
      <c r="Y254" s="4">
        <v>1</v>
      </c>
      <c r="Z254" s="56">
        <v>3</v>
      </c>
      <c r="AA254" s="9" cm="1">
        <f t="array" ref="AA254">IF(OR(AB254:AE254=""),"BLANK",IF(AND(AB254:AE254&lt;999),1,IF(AND(AB254:AE254="NA"),3,2)))</f>
        <v>1</v>
      </c>
      <c r="AB254" s="4">
        <v>35</v>
      </c>
      <c r="AC254" s="4">
        <v>21</v>
      </c>
      <c r="AD254" s="4">
        <v>12</v>
      </c>
      <c r="AE254" s="5">
        <v>68</v>
      </c>
      <c r="AF254" s="9">
        <f t="shared" si="3"/>
        <v>1</v>
      </c>
      <c r="AG254" s="5">
        <v>57</v>
      </c>
      <c r="AH254" s="9" cm="1">
        <f t="array" ref="AH254">IF(OR(AI254:AN254=""),"BLANK",IF(AND(AI254:AN254&lt;99),1,IF(AND(AI254:AN254="NA"),3,2)))</f>
        <v>3</v>
      </c>
      <c r="AI254" s="4" t="s">
        <v>7</v>
      </c>
      <c r="AJ254" s="4" t="s">
        <v>7</v>
      </c>
      <c r="AK254" s="4" t="s">
        <v>7</v>
      </c>
      <c r="AL254" s="4" t="s">
        <v>7</v>
      </c>
      <c r="AM254" s="4" t="s">
        <v>7</v>
      </c>
      <c r="AN254" s="5" t="s">
        <v>7</v>
      </c>
    </row>
    <row r="255" spans="1:40" x14ac:dyDescent="0.2">
      <c r="A255" s="39">
        <v>1685</v>
      </c>
      <c r="B255" s="4" t="s">
        <v>54</v>
      </c>
      <c r="C255" s="30" t="s">
        <v>23</v>
      </c>
      <c r="D255" s="30">
        <v>5</v>
      </c>
      <c r="E255" s="30">
        <v>0</v>
      </c>
      <c r="F255" s="4">
        <v>3.2730000000000001</v>
      </c>
      <c r="G255" s="30">
        <v>28</v>
      </c>
      <c r="H255" s="33">
        <v>3.7152635181382614</v>
      </c>
      <c r="I255" s="33">
        <v>5.0978781656399725</v>
      </c>
      <c r="J255" s="33">
        <v>8.8131416837782339</v>
      </c>
      <c r="K255" s="33">
        <v>3.7180013689253935</v>
      </c>
      <c r="L255" s="33">
        <v>5.0951403148528405</v>
      </c>
      <c r="M255" s="33">
        <v>8.8131416837782339</v>
      </c>
      <c r="N255" s="33">
        <v>3.8329911019849416</v>
      </c>
      <c r="O255" s="33">
        <v>4.6926762491444221</v>
      </c>
      <c r="P255" s="33">
        <v>8.5256673511293641</v>
      </c>
      <c r="Q255" s="33">
        <v>3.378507871321013</v>
      </c>
      <c r="R255" s="33">
        <v>5.8945927446954141</v>
      </c>
      <c r="S255" s="33">
        <v>9.2731006160164267</v>
      </c>
      <c r="T255" s="34">
        <v>6</v>
      </c>
      <c r="U255" s="34">
        <v>18</v>
      </c>
      <c r="V255" s="4" t="s">
        <v>1</v>
      </c>
      <c r="W255" s="4">
        <v>1</v>
      </c>
      <c r="X255" s="4">
        <v>1</v>
      </c>
      <c r="Y255" s="4">
        <v>1</v>
      </c>
      <c r="Z255" s="56">
        <v>3</v>
      </c>
      <c r="AA255" s="9" cm="1">
        <f t="array" ref="AA255">IF(OR(AB255:AE255=""),"BLANK",IF(AND(AB255:AE255&lt;999),1,IF(AND(AB255:AE255="NA"),3,2)))</f>
        <v>1</v>
      </c>
      <c r="AB255" s="4">
        <v>39</v>
      </c>
      <c r="AC255" s="4">
        <v>24</v>
      </c>
      <c r="AD255" s="4">
        <v>16</v>
      </c>
      <c r="AE255" s="5">
        <v>79</v>
      </c>
      <c r="AF255" s="9">
        <f t="shared" si="3"/>
        <v>1</v>
      </c>
      <c r="AG255" s="5">
        <v>58</v>
      </c>
      <c r="AH255" s="9" cm="1">
        <f t="array" ref="AH255">IF(OR(AI255:AN255=""),"BLANK",IF(AND(AI255:AN255&lt;99),1,IF(AND(AI255:AN255="NA"),3,2)))</f>
        <v>3</v>
      </c>
      <c r="AI255" s="4" t="s">
        <v>7</v>
      </c>
      <c r="AJ255" s="4" t="s">
        <v>7</v>
      </c>
      <c r="AK255" s="4" t="s">
        <v>7</v>
      </c>
      <c r="AL255" s="4" t="s">
        <v>7</v>
      </c>
      <c r="AM255" s="4" t="s">
        <v>7</v>
      </c>
      <c r="AN255" s="5" t="s">
        <v>7</v>
      </c>
    </row>
    <row r="256" spans="1:40" x14ac:dyDescent="0.2">
      <c r="A256" s="39">
        <v>1751</v>
      </c>
      <c r="B256" s="4" t="s">
        <v>61</v>
      </c>
      <c r="C256" s="30" t="s">
        <v>24</v>
      </c>
      <c r="D256" s="30">
        <v>5</v>
      </c>
      <c r="E256" s="30">
        <v>0</v>
      </c>
      <c r="F256" s="4">
        <v>3.1819999999999999</v>
      </c>
      <c r="G256" s="30">
        <v>28</v>
      </c>
      <c r="H256" s="33">
        <v>3.8193018480492813</v>
      </c>
      <c r="I256" s="33">
        <v>5.0650239561943877</v>
      </c>
      <c r="J256" s="33">
        <v>8.8843258042436695</v>
      </c>
      <c r="K256" s="33">
        <v>3.8138261464750172</v>
      </c>
      <c r="L256" s="33">
        <v>5.0650239561943877</v>
      </c>
      <c r="M256" s="33">
        <v>8.8788501026694053</v>
      </c>
      <c r="N256" s="33">
        <v>3.7371663244353184</v>
      </c>
      <c r="O256" s="33">
        <v>4.7802874743326491</v>
      </c>
      <c r="P256" s="33">
        <v>8.517453798767967</v>
      </c>
      <c r="Q256" s="33">
        <v>4.0164271047227924</v>
      </c>
      <c r="R256" s="33">
        <v>5.3826146475017111</v>
      </c>
      <c r="S256" s="33">
        <v>9.3990417522245036</v>
      </c>
      <c r="T256" s="34">
        <v>3</v>
      </c>
      <c r="U256" s="34">
        <v>15</v>
      </c>
      <c r="V256" s="4" t="s">
        <v>1</v>
      </c>
      <c r="W256" s="4">
        <v>1</v>
      </c>
      <c r="X256" s="4">
        <v>1</v>
      </c>
      <c r="Y256" s="4">
        <v>1</v>
      </c>
      <c r="Z256" s="56">
        <v>3</v>
      </c>
      <c r="AA256" s="9" cm="1">
        <f t="array" ref="AA256">IF(OR(AB256:AE256=""),"BLANK",IF(AND(AB256:AE256&lt;999),1,IF(AND(AB256:AE256="NA"),3,2)))</f>
        <v>1</v>
      </c>
      <c r="AB256" s="4">
        <v>34</v>
      </c>
      <c r="AC256" s="4">
        <v>26</v>
      </c>
      <c r="AD256" s="4">
        <v>18</v>
      </c>
      <c r="AE256" s="5">
        <v>78</v>
      </c>
      <c r="AF256" s="9">
        <f t="shared" si="3"/>
        <v>1</v>
      </c>
      <c r="AG256" s="5">
        <v>68</v>
      </c>
      <c r="AH256" s="9" cm="1">
        <f t="array" ref="AH256">IF(OR(AI256:AN256=""),"BLANK",IF(AND(AI256:AN256&lt;99),1,IF(AND(AI256:AN256="NA"),3,2)))</f>
        <v>3</v>
      </c>
      <c r="AI256" s="4" t="s">
        <v>7</v>
      </c>
      <c r="AJ256" s="4" t="s">
        <v>7</v>
      </c>
      <c r="AK256" s="4" t="s">
        <v>7</v>
      </c>
      <c r="AL256" s="4" t="s">
        <v>7</v>
      </c>
      <c r="AM256" s="4" t="s">
        <v>7</v>
      </c>
      <c r="AN256" s="5" t="s">
        <v>7</v>
      </c>
    </row>
    <row r="257" spans="1:40" x14ac:dyDescent="0.2">
      <c r="A257" s="39">
        <v>1759</v>
      </c>
      <c r="B257" s="4" t="s">
        <v>54</v>
      </c>
      <c r="C257" s="30" t="s">
        <v>24</v>
      </c>
      <c r="D257" s="30">
        <v>5</v>
      </c>
      <c r="E257" s="30">
        <v>0</v>
      </c>
      <c r="F257" s="4">
        <v>3.7269999999999999</v>
      </c>
      <c r="G257" s="30">
        <v>30</v>
      </c>
      <c r="H257" s="33">
        <v>4.1067761806981515</v>
      </c>
      <c r="I257" s="33">
        <v>4.7008898015058183</v>
      </c>
      <c r="J257" s="33">
        <v>8.8076659822039698</v>
      </c>
      <c r="K257" s="33">
        <v>4.1067761806981515</v>
      </c>
      <c r="L257" s="33">
        <v>4.777549623545517</v>
      </c>
      <c r="M257" s="33">
        <v>8.8843258042436695</v>
      </c>
      <c r="N257" s="33">
        <v>4.1560574948665296</v>
      </c>
      <c r="O257" s="33">
        <v>4.7173169062286107</v>
      </c>
      <c r="P257" s="33">
        <v>8.8733744010951412</v>
      </c>
      <c r="Q257" s="33" t="s">
        <v>7</v>
      </c>
      <c r="R257" s="33" t="s">
        <v>7</v>
      </c>
      <c r="S257" s="33" t="s">
        <v>7</v>
      </c>
      <c r="T257" s="34">
        <v>6</v>
      </c>
      <c r="U257" s="34">
        <v>18</v>
      </c>
      <c r="V257" s="4" t="s">
        <v>1</v>
      </c>
      <c r="W257" s="4">
        <v>1</v>
      </c>
      <c r="X257" s="4">
        <v>1</v>
      </c>
      <c r="Y257" s="4">
        <v>1</v>
      </c>
      <c r="Z257" s="56">
        <v>3</v>
      </c>
      <c r="AA257" s="9" cm="1">
        <f t="array" ref="AA257">IF(OR(AB257:AE257=""),"BLANK",IF(AND(AB257:AE257&lt;999),1,IF(AND(AB257:AE257="NA"),3,2)))</f>
        <v>1</v>
      </c>
      <c r="AB257" s="4">
        <v>31</v>
      </c>
      <c r="AC257" s="4">
        <v>17</v>
      </c>
      <c r="AD257" s="4">
        <v>14</v>
      </c>
      <c r="AE257" s="5">
        <v>62</v>
      </c>
      <c r="AF257" s="9">
        <f t="shared" si="3"/>
        <v>1</v>
      </c>
      <c r="AG257" s="5">
        <v>69</v>
      </c>
      <c r="AH257" s="9" cm="1">
        <f t="array" ref="AH257">IF(OR(AI257:AN257=""),"BLANK",IF(AND(AI257:AN257&lt;99),1,IF(AND(AI257:AN257="NA"),3,2)))</f>
        <v>3</v>
      </c>
      <c r="AI257" s="4" t="s">
        <v>7</v>
      </c>
      <c r="AJ257" s="4" t="s">
        <v>7</v>
      </c>
      <c r="AK257" s="4" t="s">
        <v>7</v>
      </c>
      <c r="AL257" s="4" t="s">
        <v>7</v>
      </c>
      <c r="AM257" s="4" t="s">
        <v>7</v>
      </c>
      <c r="AN257" s="5" t="s">
        <v>7</v>
      </c>
    </row>
    <row r="258" spans="1:40" x14ac:dyDescent="0.2">
      <c r="A258" s="39">
        <v>1767</v>
      </c>
      <c r="B258" s="4" t="s">
        <v>60</v>
      </c>
      <c r="C258" s="30" t="s">
        <v>23</v>
      </c>
      <c r="D258" s="30">
        <v>5</v>
      </c>
      <c r="E258" s="30">
        <v>0</v>
      </c>
      <c r="F258" s="4">
        <v>4</v>
      </c>
      <c r="G258" s="30">
        <v>29</v>
      </c>
      <c r="H258" s="33">
        <v>4.0219028062970565</v>
      </c>
      <c r="I258" s="33">
        <v>5.0458590006844624</v>
      </c>
      <c r="J258" s="33">
        <v>9.0677618069815189</v>
      </c>
      <c r="K258" s="33">
        <v>4.0219028062970565</v>
      </c>
      <c r="L258" s="33">
        <v>5.0458590006844624</v>
      </c>
      <c r="M258" s="33">
        <v>9.0677618069815189</v>
      </c>
      <c r="N258" s="33">
        <v>4.0355920602327169</v>
      </c>
      <c r="O258" s="33">
        <v>4.944558521560575</v>
      </c>
      <c r="P258" s="33">
        <v>8.9801505817932927</v>
      </c>
      <c r="Q258" s="33" t="s">
        <v>7</v>
      </c>
      <c r="R258" s="33" t="s">
        <v>7</v>
      </c>
      <c r="S258" s="33" t="s">
        <v>7</v>
      </c>
      <c r="T258" s="34">
        <v>4</v>
      </c>
      <c r="U258" s="34">
        <v>16</v>
      </c>
      <c r="V258" s="4" t="s">
        <v>1</v>
      </c>
      <c r="W258" s="4">
        <v>1</v>
      </c>
      <c r="X258" s="4">
        <v>1</v>
      </c>
      <c r="Y258" s="4">
        <v>1</v>
      </c>
      <c r="Z258" s="56">
        <v>3</v>
      </c>
      <c r="AA258" s="9" cm="1">
        <f t="array" ref="AA258">IF(OR(AB258:AE258=""),"BLANK",IF(AND(AB258:AE258&lt;999),1,IF(AND(AB258:AE258="NA"),3,2)))</f>
        <v>1</v>
      </c>
      <c r="AB258" s="4">
        <v>29</v>
      </c>
      <c r="AC258" s="4">
        <v>19</v>
      </c>
      <c r="AD258" s="4">
        <v>14</v>
      </c>
      <c r="AE258" s="5">
        <v>62</v>
      </c>
      <c r="AF258" s="9">
        <f t="shared" si="3"/>
        <v>1</v>
      </c>
      <c r="AG258" s="5">
        <v>75</v>
      </c>
      <c r="AH258" s="9" cm="1">
        <f t="array" ref="AH258">IF(OR(AI258:AN258=""),"BLANK",IF(AND(AI258:AN258&lt;99),1,IF(AND(AI258:AN258="NA"),3,2)))</f>
        <v>3</v>
      </c>
      <c r="AI258" s="4" t="s">
        <v>7</v>
      </c>
      <c r="AJ258" s="4" t="s">
        <v>7</v>
      </c>
      <c r="AK258" s="4" t="s">
        <v>7</v>
      </c>
      <c r="AL258" s="4" t="s">
        <v>7</v>
      </c>
      <c r="AM258" s="4" t="s">
        <v>7</v>
      </c>
      <c r="AN258" s="5" t="s">
        <v>7</v>
      </c>
    </row>
    <row r="259" spans="1:40" x14ac:dyDescent="0.2">
      <c r="A259" s="39">
        <v>1775</v>
      </c>
      <c r="B259" s="4" t="s">
        <v>55</v>
      </c>
      <c r="C259" s="30" t="s">
        <v>24</v>
      </c>
      <c r="D259" s="30">
        <v>5</v>
      </c>
      <c r="E259" s="30">
        <v>0</v>
      </c>
      <c r="F259" s="4">
        <v>3.3639999999999999</v>
      </c>
      <c r="G259" s="30">
        <v>30</v>
      </c>
      <c r="H259" s="33">
        <v>3.592060232717317</v>
      </c>
      <c r="I259" s="33">
        <v>5.1964407939767279</v>
      </c>
      <c r="J259" s="33">
        <v>8.7885010266940444</v>
      </c>
      <c r="K259" s="33">
        <v>3.5838466803559208</v>
      </c>
      <c r="L259" s="33">
        <v>5.4757015742642023</v>
      </c>
      <c r="M259" s="33">
        <v>9.0595482546201236</v>
      </c>
      <c r="N259" s="33">
        <v>3.5728952772073921</v>
      </c>
      <c r="O259" s="33">
        <v>5.1553730321697468</v>
      </c>
      <c r="P259" s="33">
        <v>8.7282683093771389</v>
      </c>
      <c r="Q259" s="33">
        <v>3.2936344969199181</v>
      </c>
      <c r="R259" s="33">
        <v>5.9958932238193015</v>
      </c>
      <c r="S259" s="33">
        <v>9.2895277207392191</v>
      </c>
      <c r="T259" s="34">
        <v>4</v>
      </c>
      <c r="U259" s="34">
        <v>16</v>
      </c>
      <c r="V259" s="4" t="s">
        <v>1</v>
      </c>
      <c r="W259" s="4">
        <v>1</v>
      </c>
      <c r="X259" s="4">
        <v>1</v>
      </c>
      <c r="Y259" s="4">
        <v>1</v>
      </c>
      <c r="Z259" s="56">
        <v>3</v>
      </c>
      <c r="AA259" s="9" cm="1">
        <f t="array" ref="AA259">IF(OR(AB259:AE259=""),"BLANK",IF(AND(AB259:AE259&lt;999),1,IF(AND(AB259:AE259="NA"),3,2)))</f>
        <v>1</v>
      </c>
      <c r="AB259" s="4">
        <v>37</v>
      </c>
      <c r="AC259" s="4">
        <v>22</v>
      </c>
      <c r="AD259" s="4">
        <v>13</v>
      </c>
      <c r="AE259" s="5">
        <v>72</v>
      </c>
      <c r="AF259" s="9">
        <f t="shared" si="3"/>
        <v>1</v>
      </c>
      <c r="AG259" s="5">
        <v>57</v>
      </c>
      <c r="AH259" s="9" cm="1">
        <f t="array" ref="AH259">IF(OR(AI259:AN259=""),"BLANK",IF(AND(AI259:AN259&lt;99),1,IF(AND(AI259:AN259="NA"),3,2)))</f>
        <v>3</v>
      </c>
      <c r="AI259" s="4" t="s">
        <v>7</v>
      </c>
      <c r="AJ259" s="4" t="s">
        <v>7</v>
      </c>
      <c r="AK259" s="4" t="s">
        <v>7</v>
      </c>
      <c r="AL259" s="4" t="s">
        <v>7</v>
      </c>
      <c r="AM259" s="4" t="s">
        <v>7</v>
      </c>
      <c r="AN259" s="5" t="s">
        <v>7</v>
      </c>
    </row>
    <row r="260" spans="1:40" x14ac:dyDescent="0.2">
      <c r="A260" s="39">
        <v>1781</v>
      </c>
      <c r="B260" s="4" t="s">
        <v>51</v>
      </c>
      <c r="C260" s="30" t="s">
        <v>23</v>
      </c>
      <c r="D260" s="30">
        <v>5</v>
      </c>
      <c r="E260" s="30">
        <v>0</v>
      </c>
      <c r="F260" s="4">
        <v>3.7269999999999999</v>
      </c>
      <c r="G260" s="30">
        <v>29</v>
      </c>
      <c r="H260" s="33">
        <v>4.0684462696783026</v>
      </c>
      <c r="I260" s="33" t="s">
        <v>7</v>
      </c>
      <c r="J260" s="33" t="s">
        <v>7</v>
      </c>
      <c r="K260" s="33">
        <v>4.0684462696783026</v>
      </c>
      <c r="L260" s="33" t="s">
        <v>7</v>
      </c>
      <c r="M260" s="33" t="s">
        <v>7</v>
      </c>
      <c r="N260" s="33" t="s">
        <v>7</v>
      </c>
      <c r="O260" s="33" t="s">
        <v>7</v>
      </c>
      <c r="P260" s="33" t="s">
        <v>7</v>
      </c>
      <c r="Q260" s="33" t="s">
        <v>7</v>
      </c>
      <c r="R260" s="33" t="s">
        <v>7</v>
      </c>
      <c r="S260" s="33" t="s">
        <v>7</v>
      </c>
      <c r="T260" s="34">
        <v>6</v>
      </c>
      <c r="U260" s="34">
        <v>18</v>
      </c>
      <c r="V260" s="4" t="s">
        <v>1</v>
      </c>
      <c r="W260" s="4">
        <v>1</v>
      </c>
      <c r="X260" s="4">
        <v>1</v>
      </c>
      <c r="Y260" s="4">
        <v>1</v>
      </c>
      <c r="Z260" s="56">
        <v>3</v>
      </c>
      <c r="AA260" s="9" cm="1">
        <f t="array" ref="AA260">IF(OR(AB260:AE260=""),"BLANK",IF(AND(AB260:AE260&lt;999),1,IF(AND(AB260:AE260="NA"),3,2)))</f>
        <v>1</v>
      </c>
      <c r="AB260" s="4">
        <v>42</v>
      </c>
      <c r="AC260" s="4">
        <v>23</v>
      </c>
      <c r="AD260" s="4">
        <v>16</v>
      </c>
      <c r="AE260" s="5">
        <v>81</v>
      </c>
      <c r="AF260" s="9">
        <f t="shared" ref="AF260:AF323" si="4">IF(AG260="NA", 3,1)</f>
        <v>1</v>
      </c>
      <c r="AG260" s="5">
        <v>74</v>
      </c>
      <c r="AH260" s="9" cm="1">
        <f t="array" ref="AH260">IF(OR(AI260:AN260=""),"BLANK",IF(AND(AI260:AN260&lt;99),1,IF(AND(AI260:AN260="NA"),3,2)))</f>
        <v>3</v>
      </c>
      <c r="AI260" s="4" t="s">
        <v>7</v>
      </c>
      <c r="AJ260" s="4" t="s">
        <v>7</v>
      </c>
      <c r="AK260" s="4" t="s">
        <v>7</v>
      </c>
      <c r="AL260" s="4" t="s">
        <v>7</v>
      </c>
      <c r="AM260" s="4" t="s">
        <v>7</v>
      </c>
      <c r="AN260" s="5" t="s">
        <v>7</v>
      </c>
    </row>
    <row r="261" spans="1:40" x14ac:dyDescent="0.2">
      <c r="A261" s="39">
        <v>1784</v>
      </c>
      <c r="B261" s="4" t="s">
        <v>49</v>
      </c>
      <c r="C261" s="30" t="s">
        <v>23</v>
      </c>
      <c r="D261" s="30">
        <v>6</v>
      </c>
      <c r="E261" s="30">
        <v>1</v>
      </c>
      <c r="F261" s="4">
        <v>3.6360000000000001</v>
      </c>
      <c r="G261" s="30">
        <v>29</v>
      </c>
      <c r="H261" s="33" t="s">
        <v>7</v>
      </c>
      <c r="I261" s="33" t="s">
        <v>7</v>
      </c>
      <c r="J261" s="33" t="s">
        <v>7</v>
      </c>
      <c r="K261" s="33" t="s">
        <v>7</v>
      </c>
      <c r="L261" s="33" t="s">
        <v>7</v>
      </c>
      <c r="M261" s="33" t="s">
        <v>7</v>
      </c>
      <c r="N261" s="33" t="s">
        <v>7</v>
      </c>
      <c r="O261" s="33" t="s">
        <v>7</v>
      </c>
      <c r="P261" s="33" t="s">
        <v>7</v>
      </c>
      <c r="Q261" s="33" t="s">
        <v>7</v>
      </c>
      <c r="R261" s="33" t="s">
        <v>7</v>
      </c>
      <c r="S261" s="33" t="s">
        <v>7</v>
      </c>
      <c r="T261" s="34">
        <v>4</v>
      </c>
      <c r="U261" s="34">
        <v>16</v>
      </c>
      <c r="V261" s="4" t="s">
        <v>1</v>
      </c>
      <c r="W261" s="4">
        <v>1</v>
      </c>
      <c r="X261" s="4">
        <v>1</v>
      </c>
      <c r="Y261" s="4">
        <v>1</v>
      </c>
      <c r="Z261" s="56">
        <v>3</v>
      </c>
      <c r="AA261" s="9" cm="1">
        <f t="array" ref="AA261">IF(OR(AB261:AE261=""),"BLANK",IF(AND(AB261:AE261&lt;999),1,IF(AND(AB261:AE261="NA"),3,2)))</f>
        <v>1</v>
      </c>
      <c r="AB261" s="4">
        <v>33</v>
      </c>
      <c r="AC261" s="4">
        <v>22</v>
      </c>
      <c r="AD261" s="4">
        <v>19</v>
      </c>
      <c r="AE261" s="5">
        <v>74</v>
      </c>
      <c r="AF261" s="9">
        <f t="shared" si="4"/>
        <v>1</v>
      </c>
      <c r="AG261" s="5">
        <v>60</v>
      </c>
      <c r="AH261" s="9" cm="1">
        <f t="array" ref="AH261">IF(OR(AI261:AN261=""),"BLANK",IF(AND(AI261:AN261&lt;99),1,IF(AND(AI261:AN261="NA"),3,2)))</f>
        <v>3</v>
      </c>
      <c r="AI261" s="4" t="s">
        <v>7</v>
      </c>
      <c r="AJ261" s="4" t="s">
        <v>7</v>
      </c>
      <c r="AK261" s="4" t="s">
        <v>7</v>
      </c>
      <c r="AL261" s="4" t="s">
        <v>7</v>
      </c>
      <c r="AM261" s="4" t="s">
        <v>7</v>
      </c>
      <c r="AN261" s="5" t="s">
        <v>7</v>
      </c>
    </row>
    <row r="262" spans="1:40" x14ac:dyDescent="0.2">
      <c r="A262" s="39">
        <v>1796</v>
      </c>
      <c r="B262" s="4" t="s">
        <v>49</v>
      </c>
      <c r="C262" s="30" t="s">
        <v>23</v>
      </c>
      <c r="D262" s="30">
        <v>1</v>
      </c>
      <c r="E262" s="30">
        <v>0</v>
      </c>
      <c r="F262" s="4">
        <v>3.6360000000000001</v>
      </c>
      <c r="G262" s="30">
        <v>30</v>
      </c>
      <c r="H262" s="33">
        <v>4.213552361396304</v>
      </c>
      <c r="I262" s="33">
        <v>4.6242299794661195</v>
      </c>
      <c r="J262" s="33">
        <v>8.8377823408624234</v>
      </c>
      <c r="K262" s="33">
        <v>4.213552361396304</v>
      </c>
      <c r="L262" s="33">
        <v>4.6242299794661195</v>
      </c>
      <c r="M262" s="33">
        <v>8.8377823408624234</v>
      </c>
      <c r="N262" s="33">
        <v>4.1505817932922655</v>
      </c>
      <c r="O262" s="33">
        <v>4.6050650239561941</v>
      </c>
      <c r="P262" s="33">
        <v>8.7556468172484596</v>
      </c>
      <c r="Q262" s="33" t="s">
        <v>7</v>
      </c>
      <c r="R262" s="33" t="s">
        <v>7</v>
      </c>
      <c r="S262" s="33" t="s">
        <v>7</v>
      </c>
      <c r="T262" s="34">
        <v>7</v>
      </c>
      <c r="U262" s="34">
        <v>21</v>
      </c>
      <c r="V262" s="4" t="s">
        <v>1</v>
      </c>
      <c r="W262" s="4">
        <v>1</v>
      </c>
      <c r="X262" s="4">
        <v>1</v>
      </c>
      <c r="Y262" s="4">
        <v>1</v>
      </c>
      <c r="Z262" s="56">
        <v>3</v>
      </c>
      <c r="AA262" s="9" cm="1">
        <f t="array" ref="AA262">IF(OR(AB262:AE262=""),"BLANK",IF(AND(AB262:AE262&lt;999),1,IF(AND(AB262:AE262="NA"),3,2)))</f>
        <v>1</v>
      </c>
      <c r="AB262" s="4">
        <v>37</v>
      </c>
      <c r="AC262" s="4">
        <v>24</v>
      </c>
      <c r="AD262" s="4">
        <v>15</v>
      </c>
      <c r="AE262" s="5">
        <v>76</v>
      </c>
      <c r="AF262" s="9">
        <f t="shared" si="4"/>
        <v>1</v>
      </c>
      <c r="AG262" s="5">
        <v>70</v>
      </c>
      <c r="AH262" s="9" cm="1">
        <f t="array" ref="AH262">IF(OR(AI262:AN262=""),"BLANK",IF(AND(AI262:AN262&lt;99),1,IF(AND(AI262:AN262="NA"),3,2)))</f>
        <v>3</v>
      </c>
      <c r="AI262" s="4" t="s">
        <v>7</v>
      </c>
      <c r="AJ262" s="4" t="s">
        <v>7</v>
      </c>
      <c r="AK262" s="4" t="s">
        <v>7</v>
      </c>
      <c r="AL262" s="4" t="s">
        <v>7</v>
      </c>
      <c r="AM262" s="4" t="s">
        <v>7</v>
      </c>
      <c r="AN262" s="5" t="s">
        <v>7</v>
      </c>
    </row>
    <row r="263" spans="1:40" x14ac:dyDescent="0.2">
      <c r="A263" s="39">
        <v>1797</v>
      </c>
      <c r="B263" s="4" t="s">
        <v>60</v>
      </c>
      <c r="C263" s="30" t="s">
        <v>23</v>
      </c>
      <c r="D263" s="30">
        <v>5</v>
      </c>
      <c r="E263" s="30">
        <v>0</v>
      </c>
      <c r="F263" s="4">
        <v>4</v>
      </c>
      <c r="G263" s="30">
        <v>30</v>
      </c>
      <c r="H263" s="33">
        <v>4.1615331964407938</v>
      </c>
      <c r="I263" s="33" t="s">
        <v>7</v>
      </c>
      <c r="J263" s="33" t="s">
        <v>7</v>
      </c>
      <c r="K263" s="33">
        <v>4.1615331964407938</v>
      </c>
      <c r="L263" s="33" t="s">
        <v>7</v>
      </c>
      <c r="M263" s="33" t="s">
        <v>7</v>
      </c>
      <c r="N263" s="33">
        <v>4.131416837782341</v>
      </c>
      <c r="O263" s="33" t="s">
        <v>7</v>
      </c>
      <c r="P263" s="33" t="s">
        <v>7</v>
      </c>
      <c r="Q263" s="33">
        <v>3.9561943874058865</v>
      </c>
      <c r="R263" s="33" t="s">
        <v>7</v>
      </c>
      <c r="S263" s="33" t="s">
        <v>7</v>
      </c>
      <c r="T263" s="34">
        <v>3</v>
      </c>
      <c r="U263" s="34">
        <v>14</v>
      </c>
      <c r="V263" s="4" t="s">
        <v>1</v>
      </c>
      <c r="W263" s="4">
        <v>1</v>
      </c>
      <c r="X263" s="4">
        <v>1</v>
      </c>
      <c r="Y263" s="4">
        <v>1</v>
      </c>
      <c r="Z263" s="56">
        <v>3</v>
      </c>
      <c r="AA263" s="9" cm="1">
        <f t="array" ref="AA263">IF(OR(AB263:AE263=""),"BLANK",IF(AND(AB263:AE263&lt;999),1,IF(AND(AB263:AE263="NA"),3,2)))</f>
        <v>1</v>
      </c>
      <c r="AB263" s="4">
        <v>38</v>
      </c>
      <c r="AC263" s="4">
        <v>22</v>
      </c>
      <c r="AD263" s="4">
        <v>17</v>
      </c>
      <c r="AE263" s="5">
        <v>77</v>
      </c>
      <c r="AF263" s="9">
        <f t="shared" si="4"/>
        <v>1</v>
      </c>
      <c r="AG263" s="5">
        <v>68</v>
      </c>
      <c r="AH263" s="9" cm="1">
        <f t="array" ref="AH263">IF(OR(AI263:AN263=""),"BLANK",IF(AND(AI263:AN263&lt;99),1,IF(AND(AI263:AN263="NA"),3,2)))</f>
        <v>3</v>
      </c>
      <c r="AI263" s="4" t="s">
        <v>7</v>
      </c>
      <c r="AJ263" s="4" t="s">
        <v>7</v>
      </c>
      <c r="AK263" s="4" t="s">
        <v>7</v>
      </c>
      <c r="AL263" s="4" t="s">
        <v>7</v>
      </c>
      <c r="AM263" s="4" t="s">
        <v>7</v>
      </c>
      <c r="AN263" s="5" t="s">
        <v>7</v>
      </c>
    </row>
    <row r="264" spans="1:40" x14ac:dyDescent="0.2">
      <c r="A264" s="39">
        <v>1800</v>
      </c>
      <c r="B264" s="4" t="s">
        <v>59</v>
      </c>
      <c r="C264" s="30" t="s">
        <v>23</v>
      </c>
      <c r="D264" s="30">
        <v>5</v>
      </c>
      <c r="E264" s="30">
        <v>0</v>
      </c>
      <c r="F264" s="4">
        <v>3.6360000000000001</v>
      </c>
      <c r="G264" s="30">
        <v>28</v>
      </c>
      <c r="H264" s="33">
        <v>4.213552361396304</v>
      </c>
      <c r="I264" s="33" t="s">
        <v>7</v>
      </c>
      <c r="J264" s="33" t="s">
        <v>7</v>
      </c>
      <c r="K264" s="33">
        <v>5.3442847364818613</v>
      </c>
      <c r="L264" s="33" t="s">
        <v>7</v>
      </c>
      <c r="M264" s="33" t="s">
        <v>7</v>
      </c>
      <c r="N264" s="33">
        <v>4.1724845995893221</v>
      </c>
      <c r="O264" s="33" t="s">
        <v>7</v>
      </c>
      <c r="P264" s="33" t="s">
        <v>7</v>
      </c>
      <c r="Q264" s="33">
        <v>3.9890485968514717</v>
      </c>
      <c r="R264" s="33" t="s">
        <v>7</v>
      </c>
      <c r="S264" s="33" t="s">
        <v>7</v>
      </c>
      <c r="T264" s="34">
        <v>3</v>
      </c>
      <c r="U264" s="34">
        <v>14</v>
      </c>
      <c r="V264" s="4" t="s">
        <v>1</v>
      </c>
      <c r="W264" s="4">
        <v>1</v>
      </c>
      <c r="X264" s="4">
        <v>1</v>
      </c>
      <c r="Y264" s="4">
        <v>1</v>
      </c>
      <c r="Z264" s="56">
        <v>3</v>
      </c>
      <c r="AA264" s="9" cm="1">
        <f t="array" ref="AA264">IF(OR(AB264:AE264=""),"BLANK",IF(AND(AB264:AE264&lt;999),1,IF(AND(AB264:AE264="NA"),3,2)))</f>
        <v>1</v>
      </c>
      <c r="AB264" s="4">
        <v>29</v>
      </c>
      <c r="AC264" s="4">
        <v>19</v>
      </c>
      <c r="AD264" s="4">
        <v>10</v>
      </c>
      <c r="AE264" s="5">
        <v>58</v>
      </c>
      <c r="AF264" s="9">
        <f t="shared" si="4"/>
        <v>1</v>
      </c>
      <c r="AG264" s="5">
        <v>62</v>
      </c>
      <c r="AH264" s="9" cm="1">
        <f t="array" ref="AH264">IF(OR(AI264:AN264=""),"BLANK",IF(AND(AI264:AN264&lt;99),1,IF(AND(AI264:AN264="NA"),3,2)))</f>
        <v>3</v>
      </c>
      <c r="AI264" s="4" t="s">
        <v>7</v>
      </c>
      <c r="AJ264" s="4" t="s">
        <v>7</v>
      </c>
      <c r="AK264" s="4" t="s">
        <v>7</v>
      </c>
      <c r="AL264" s="4" t="s">
        <v>7</v>
      </c>
      <c r="AM264" s="4" t="s">
        <v>7</v>
      </c>
      <c r="AN264" s="5" t="s">
        <v>7</v>
      </c>
    </row>
    <row r="265" spans="1:40" x14ac:dyDescent="0.2">
      <c r="A265" s="39">
        <v>1844</v>
      </c>
      <c r="B265" s="4" t="s">
        <v>55</v>
      </c>
      <c r="C265" s="30" t="s">
        <v>24</v>
      </c>
      <c r="D265" s="30">
        <v>5</v>
      </c>
      <c r="E265" s="30">
        <v>0</v>
      </c>
      <c r="F265" s="4">
        <v>3.0910000000000002</v>
      </c>
      <c r="G265" s="30">
        <v>28</v>
      </c>
      <c r="H265" s="33">
        <v>3.5838466803559208</v>
      </c>
      <c r="I265" s="33">
        <v>5.4428473648186175</v>
      </c>
      <c r="J265" s="33">
        <v>9.0266940451745388</v>
      </c>
      <c r="K265" s="33">
        <v>3.5838466803559208</v>
      </c>
      <c r="L265" s="33">
        <v>5.4428473648186175</v>
      </c>
      <c r="M265" s="33">
        <v>9.0266940451745388</v>
      </c>
      <c r="N265" s="33">
        <v>3.592060232717317</v>
      </c>
      <c r="O265" s="33">
        <v>5.415468856947296</v>
      </c>
      <c r="P265" s="33">
        <v>9.0075290896646134</v>
      </c>
      <c r="Q265" s="33">
        <v>3.8658453114305269</v>
      </c>
      <c r="R265" s="33">
        <v>5.3880903490759753</v>
      </c>
      <c r="S265" s="33">
        <v>9.2539356605065031</v>
      </c>
      <c r="T265" s="34">
        <v>3</v>
      </c>
      <c r="U265" s="34">
        <v>14</v>
      </c>
      <c r="V265" s="4" t="s">
        <v>1</v>
      </c>
      <c r="W265" s="4">
        <v>1</v>
      </c>
      <c r="X265" s="4">
        <v>1</v>
      </c>
      <c r="Y265" s="4">
        <v>1</v>
      </c>
      <c r="Z265" s="56">
        <v>3</v>
      </c>
      <c r="AA265" s="9" cm="1">
        <f t="array" ref="AA265">IF(OR(AB265:AE265=""),"BLANK",IF(AND(AB265:AE265&lt;999),1,IF(AND(AB265:AE265="NA"),3,2)))</f>
        <v>1</v>
      </c>
      <c r="AB265" s="4">
        <v>36</v>
      </c>
      <c r="AC265" s="4">
        <v>16</v>
      </c>
      <c r="AD265" s="4">
        <v>12</v>
      </c>
      <c r="AE265" s="5">
        <v>64</v>
      </c>
      <c r="AF265" s="9">
        <f t="shared" si="4"/>
        <v>1</v>
      </c>
      <c r="AG265" s="5">
        <v>62</v>
      </c>
      <c r="AH265" s="9" cm="1">
        <f t="array" ref="AH265">IF(OR(AI265:AN265=""),"BLANK",IF(AND(AI265:AN265&lt;99),1,IF(AND(AI265:AN265="NA"),3,2)))</f>
        <v>3</v>
      </c>
      <c r="AI265" s="4" t="s">
        <v>7</v>
      </c>
      <c r="AJ265" s="4" t="s">
        <v>7</v>
      </c>
      <c r="AK265" s="4" t="s">
        <v>7</v>
      </c>
      <c r="AL265" s="4" t="s">
        <v>7</v>
      </c>
      <c r="AM265" s="4" t="s">
        <v>7</v>
      </c>
      <c r="AN265" s="5" t="s">
        <v>7</v>
      </c>
    </row>
    <row r="266" spans="1:40" x14ac:dyDescent="0.2">
      <c r="A266" s="39">
        <v>1849</v>
      </c>
      <c r="B266" s="4" t="s">
        <v>55</v>
      </c>
      <c r="C266" s="30" t="s">
        <v>24</v>
      </c>
      <c r="D266" s="30">
        <v>5</v>
      </c>
      <c r="E266" s="30">
        <v>0</v>
      </c>
      <c r="F266" s="4">
        <v>3.7269999999999999</v>
      </c>
      <c r="G266" s="30">
        <v>27</v>
      </c>
      <c r="H266" s="33">
        <v>3.7344284736481863</v>
      </c>
      <c r="I266" s="33">
        <v>5.0020533880903493</v>
      </c>
      <c r="J266" s="33">
        <v>8.736481861738536</v>
      </c>
      <c r="K266" s="33">
        <v>3.7344284736481863</v>
      </c>
      <c r="L266" s="33">
        <v>5.0677618069815198</v>
      </c>
      <c r="M266" s="33">
        <v>8.8021902806297057</v>
      </c>
      <c r="N266" s="33">
        <v>3.7316906228610542</v>
      </c>
      <c r="O266" s="33">
        <v>4.7529089664613275</v>
      </c>
      <c r="P266" s="33">
        <v>8.4845995893223822</v>
      </c>
      <c r="Q266" s="33">
        <v>3.3949349760438055</v>
      </c>
      <c r="R266" s="33" t="s">
        <v>7</v>
      </c>
      <c r="S266" s="33" t="s">
        <v>7</v>
      </c>
      <c r="T266" s="34">
        <v>4</v>
      </c>
      <c r="U266" s="34">
        <v>16</v>
      </c>
      <c r="V266" s="4" t="s">
        <v>1</v>
      </c>
      <c r="W266" s="4">
        <v>1</v>
      </c>
      <c r="X266" s="4">
        <v>1</v>
      </c>
      <c r="Y266" s="4">
        <v>1</v>
      </c>
      <c r="Z266" s="56">
        <v>3</v>
      </c>
      <c r="AA266" s="9" cm="1">
        <f t="array" ref="AA266">IF(OR(AB266:AE266=""),"BLANK",IF(AND(AB266:AE266&lt;999),1,IF(AND(AB266:AE266="NA"),3,2)))</f>
        <v>1</v>
      </c>
      <c r="AB266" s="4">
        <v>29</v>
      </c>
      <c r="AC266" s="4">
        <v>21</v>
      </c>
      <c r="AD266" s="4">
        <v>14</v>
      </c>
      <c r="AE266" s="5">
        <v>64</v>
      </c>
      <c r="AF266" s="9">
        <f t="shared" si="4"/>
        <v>1</v>
      </c>
      <c r="AG266" s="5">
        <v>74</v>
      </c>
      <c r="AH266" s="9" cm="1">
        <f t="array" ref="AH266">IF(OR(AI266:AN266=""),"BLANK",IF(AND(AI266:AN266&lt;99),1,IF(AND(AI266:AN266="NA"),3,2)))</f>
        <v>3</v>
      </c>
      <c r="AI266" s="4" t="s">
        <v>7</v>
      </c>
      <c r="AJ266" s="4" t="s">
        <v>7</v>
      </c>
      <c r="AK266" s="4" t="s">
        <v>7</v>
      </c>
      <c r="AL266" s="4" t="s">
        <v>7</v>
      </c>
      <c r="AM266" s="4" t="s">
        <v>7</v>
      </c>
      <c r="AN266" s="5" t="s">
        <v>7</v>
      </c>
    </row>
    <row r="267" spans="1:40" x14ac:dyDescent="0.2">
      <c r="A267" s="39">
        <v>1850</v>
      </c>
      <c r="B267" s="4" t="s">
        <v>55</v>
      </c>
      <c r="C267" s="30" t="s">
        <v>23</v>
      </c>
      <c r="D267" s="30">
        <v>5</v>
      </c>
      <c r="E267" s="30">
        <v>0</v>
      </c>
      <c r="F267" s="4">
        <v>3.3639999999999999</v>
      </c>
      <c r="G267" s="30">
        <v>30</v>
      </c>
      <c r="H267" s="33">
        <v>3.7070499657768652</v>
      </c>
      <c r="I267" s="33">
        <v>4.9993155373032172</v>
      </c>
      <c r="J267" s="33">
        <v>8.7063655030800824</v>
      </c>
      <c r="K267" s="33">
        <v>3.6687200547570158</v>
      </c>
      <c r="L267" s="33">
        <v>4.9993155373032172</v>
      </c>
      <c r="M267" s="33">
        <v>8.6680355920602334</v>
      </c>
      <c r="N267" s="33">
        <v>4.0629705681040384</v>
      </c>
      <c r="O267" s="33">
        <v>4.5420944558521557</v>
      </c>
      <c r="P267" s="33">
        <v>8.605065023956195</v>
      </c>
      <c r="Q267" s="33">
        <v>3.7262149212867897</v>
      </c>
      <c r="R267" s="33">
        <v>5.4674880219028061</v>
      </c>
      <c r="S267" s="33">
        <v>9.1937029431895958</v>
      </c>
      <c r="T267" s="34">
        <v>6</v>
      </c>
      <c r="U267" s="34">
        <v>18</v>
      </c>
      <c r="V267" s="4" t="s">
        <v>1</v>
      </c>
      <c r="W267" s="4">
        <v>1</v>
      </c>
      <c r="X267" s="4">
        <v>1</v>
      </c>
      <c r="Y267" s="4">
        <v>1</v>
      </c>
      <c r="Z267" s="56">
        <v>3</v>
      </c>
      <c r="AA267" s="9" cm="1">
        <f t="array" ref="AA267">IF(OR(AB267:AE267=""),"BLANK",IF(AND(AB267:AE267&lt;999),1,IF(AND(AB267:AE267="NA"),3,2)))</f>
        <v>1</v>
      </c>
      <c r="AB267" s="4">
        <v>31</v>
      </c>
      <c r="AC267" s="4">
        <v>22</v>
      </c>
      <c r="AD267" s="4">
        <v>14</v>
      </c>
      <c r="AE267" s="5">
        <v>67</v>
      </c>
      <c r="AF267" s="9">
        <f t="shared" si="4"/>
        <v>1</v>
      </c>
      <c r="AG267" s="5">
        <v>66</v>
      </c>
      <c r="AH267" s="9" cm="1">
        <f t="array" ref="AH267">IF(OR(AI267:AN267=""),"BLANK",IF(AND(AI267:AN267&lt;99),1,IF(AND(AI267:AN267="NA"),3,2)))</f>
        <v>3</v>
      </c>
      <c r="AI267" s="4" t="s">
        <v>7</v>
      </c>
      <c r="AJ267" s="4" t="s">
        <v>7</v>
      </c>
      <c r="AK267" s="4" t="s">
        <v>7</v>
      </c>
      <c r="AL267" s="4" t="s">
        <v>7</v>
      </c>
      <c r="AM267" s="4" t="s">
        <v>7</v>
      </c>
      <c r="AN267" s="5" t="s">
        <v>7</v>
      </c>
    </row>
    <row r="268" spans="1:40" x14ac:dyDescent="0.2">
      <c r="A268" s="39">
        <v>1854</v>
      </c>
      <c r="B268" s="4" t="s">
        <v>63</v>
      </c>
      <c r="C268" s="30" t="s">
        <v>23</v>
      </c>
      <c r="D268" s="30">
        <v>5</v>
      </c>
      <c r="E268" s="30">
        <v>0</v>
      </c>
      <c r="F268" s="4">
        <v>3.6360000000000001</v>
      </c>
      <c r="G268" s="30">
        <v>28</v>
      </c>
      <c r="H268" s="33" t="s">
        <v>7</v>
      </c>
      <c r="I268" s="33" t="s">
        <v>7</v>
      </c>
      <c r="J268" s="33" t="s">
        <v>7</v>
      </c>
      <c r="K268" s="33" t="s">
        <v>7</v>
      </c>
      <c r="L268" s="33" t="s">
        <v>7</v>
      </c>
      <c r="M268" s="33" t="s">
        <v>7</v>
      </c>
      <c r="N268" s="33" t="s">
        <v>7</v>
      </c>
      <c r="O268" s="33" t="s">
        <v>7</v>
      </c>
      <c r="P268" s="33" t="s">
        <v>7</v>
      </c>
      <c r="Q268" s="33" t="s">
        <v>7</v>
      </c>
      <c r="R268" s="33" t="s">
        <v>7</v>
      </c>
      <c r="S268" s="33" t="s">
        <v>7</v>
      </c>
      <c r="T268" s="34">
        <v>6</v>
      </c>
      <c r="U268" s="34">
        <v>18</v>
      </c>
      <c r="V268" s="4" t="s">
        <v>1</v>
      </c>
      <c r="W268" s="4">
        <v>1</v>
      </c>
      <c r="X268" s="4">
        <v>1</v>
      </c>
      <c r="Y268" s="4">
        <v>1</v>
      </c>
      <c r="Z268" s="56">
        <v>3</v>
      </c>
      <c r="AA268" s="9" cm="1">
        <f t="array" ref="AA268">IF(OR(AB268:AE268=""),"BLANK",IF(AND(AB268:AE268&lt;999),1,IF(AND(AB268:AE268="NA"),3,2)))</f>
        <v>1</v>
      </c>
      <c r="AB268" s="4">
        <v>39</v>
      </c>
      <c r="AC268" s="4">
        <v>26</v>
      </c>
      <c r="AD268" s="4">
        <v>17</v>
      </c>
      <c r="AE268" s="5">
        <v>82</v>
      </c>
      <c r="AF268" s="9">
        <f t="shared" si="4"/>
        <v>1</v>
      </c>
      <c r="AG268" s="5">
        <v>71</v>
      </c>
      <c r="AH268" s="9" cm="1">
        <f t="array" ref="AH268">IF(OR(AI268:AN268=""),"BLANK",IF(AND(AI268:AN268&lt;99),1,IF(AND(AI268:AN268="NA"),3,2)))</f>
        <v>3</v>
      </c>
      <c r="AI268" s="4" t="s">
        <v>7</v>
      </c>
      <c r="AJ268" s="4" t="s">
        <v>7</v>
      </c>
      <c r="AK268" s="4" t="s">
        <v>7</v>
      </c>
      <c r="AL268" s="4" t="s">
        <v>7</v>
      </c>
      <c r="AM268" s="4" t="s">
        <v>7</v>
      </c>
      <c r="AN268" s="5" t="s">
        <v>7</v>
      </c>
    </row>
    <row r="269" spans="1:40" x14ac:dyDescent="0.2">
      <c r="A269" s="39">
        <v>1856</v>
      </c>
      <c r="B269" s="4" t="s">
        <v>65</v>
      </c>
      <c r="C269" s="30" t="s">
        <v>23</v>
      </c>
      <c r="D269" s="30">
        <v>5</v>
      </c>
      <c r="E269" s="30">
        <v>0</v>
      </c>
      <c r="F269" s="4">
        <v>2.9089999999999998</v>
      </c>
      <c r="G269" s="30">
        <v>29</v>
      </c>
      <c r="H269" s="33">
        <v>3.7399041752224504</v>
      </c>
      <c r="I269" s="33" t="s">
        <v>7</v>
      </c>
      <c r="J269" s="33" t="s">
        <v>7</v>
      </c>
      <c r="K269" s="33">
        <v>3.7399041752224504</v>
      </c>
      <c r="L269" s="33" t="s">
        <v>7</v>
      </c>
      <c r="M269" s="33" t="s">
        <v>7</v>
      </c>
      <c r="N269" s="33">
        <v>3.761806981519507</v>
      </c>
      <c r="O269" s="33" t="s">
        <v>7</v>
      </c>
      <c r="P269" s="33" t="s">
        <v>7</v>
      </c>
      <c r="Q269" s="33">
        <v>3.890485968514716</v>
      </c>
      <c r="R269" s="33" t="s">
        <v>7</v>
      </c>
      <c r="S269" s="33" t="s">
        <v>7</v>
      </c>
      <c r="T269" s="34">
        <v>5</v>
      </c>
      <c r="U269" s="34">
        <v>16</v>
      </c>
      <c r="V269" s="4" t="s">
        <v>1</v>
      </c>
      <c r="W269" s="4">
        <v>1</v>
      </c>
      <c r="X269" s="4">
        <v>1</v>
      </c>
      <c r="Y269" s="4">
        <v>1</v>
      </c>
      <c r="Z269" s="56">
        <v>3</v>
      </c>
      <c r="AA269" s="9" cm="1">
        <f t="array" ref="AA269">IF(OR(AB269:AE269=""),"BLANK",IF(AND(AB269:AE269&lt;999),1,IF(AND(AB269:AE269="NA"),3,2)))</f>
        <v>1</v>
      </c>
      <c r="AB269" s="4">
        <v>27</v>
      </c>
      <c r="AC269" s="4">
        <v>15</v>
      </c>
      <c r="AD269" s="4">
        <v>9</v>
      </c>
      <c r="AE269" s="5">
        <v>51</v>
      </c>
      <c r="AF269" s="9">
        <f t="shared" si="4"/>
        <v>1</v>
      </c>
      <c r="AG269" s="5">
        <v>57</v>
      </c>
      <c r="AH269" s="9" cm="1">
        <f t="array" ref="AH269">IF(OR(AI269:AN269=""),"BLANK",IF(AND(AI269:AN269&lt;99),1,IF(AND(AI269:AN269="NA"),3,2)))</f>
        <v>3</v>
      </c>
      <c r="AI269" s="4" t="s">
        <v>7</v>
      </c>
      <c r="AJ269" s="4" t="s">
        <v>7</v>
      </c>
      <c r="AK269" s="4" t="s">
        <v>7</v>
      </c>
      <c r="AL269" s="4" t="s">
        <v>7</v>
      </c>
      <c r="AM269" s="4" t="s">
        <v>7</v>
      </c>
      <c r="AN269" s="5" t="s">
        <v>7</v>
      </c>
    </row>
    <row r="270" spans="1:40" x14ac:dyDescent="0.2">
      <c r="A270" s="39">
        <v>1860</v>
      </c>
      <c r="B270" s="4" t="s">
        <v>55</v>
      </c>
      <c r="C270" s="30" t="s">
        <v>24</v>
      </c>
      <c r="D270" s="30">
        <v>6</v>
      </c>
      <c r="E270" s="30">
        <v>1</v>
      </c>
      <c r="F270" s="4">
        <v>4</v>
      </c>
      <c r="G270" s="30">
        <v>30</v>
      </c>
      <c r="H270" s="33" t="s">
        <v>7</v>
      </c>
      <c r="I270" s="33" t="s">
        <v>7</v>
      </c>
      <c r="J270" s="33" t="s">
        <v>7</v>
      </c>
      <c r="K270" s="33" t="s">
        <v>7</v>
      </c>
      <c r="L270" s="33" t="s">
        <v>7</v>
      </c>
      <c r="M270" s="33" t="s">
        <v>7</v>
      </c>
      <c r="N270" s="33" t="s">
        <v>7</v>
      </c>
      <c r="O270" s="33" t="s">
        <v>7</v>
      </c>
      <c r="P270" s="33" t="s">
        <v>7</v>
      </c>
      <c r="Q270" s="33" t="s">
        <v>7</v>
      </c>
      <c r="R270" s="33" t="s">
        <v>7</v>
      </c>
      <c r="S270" s="33" t="s">
        <v>7</v>
      </c>
      <c r="T270" s="34">
        <v>3</v>
      </c>
      <c r="U270" s="34">
        <v>15</v>
      </c>
      <c r="V270" s="4" t="s">
        <v>1</v>
      </c>
      <c r="W270" s="4">
        <v>1</v>
      </c>
      <c r="X270" s="4">
        <v>1</v>
      </c>
      <c r="Y270" s="4">
        <v>1</v>
      </c>
      <c r="Z270" s="56">
        <v>3</v>
      </c>
      <c r="AA270" s="9" cm="1">
        <f t="array" ref="AA270">IF(OR(AB270:AE270=""),"BLANK",IF(AND(AB270:AE270&lt;999),1,IF(AND(AB270:AE270="NA"),3,2)))</f>
        <v>1</v>
      </c>
      <c r="AB270" s="4">
        <v>40</v>
      </c>
      <c r="AC270" s="4">
        <v>23</v>
      </c>
      <c r="AD270" s="4">
        <v>16</v>
      </c>
      <c r="AE270" s="5">
        <v>79</v>
      </c>
      <c r="AF270" s="9">
        <f t="shared" si="4"/>
        <v>1</v>
      </c>
      <c r="AG270" s="5">
        <v>63</v>
      </c>
      <c r="AH270" s="9" cm="1">
        <f t="array" ref="AH270">IF(OR(AI270:AN270=""),"BLANK",IF(AND(AI270:AN270&lt;99),1,IF(AND(AI270:AN270="NA"),3,2)))</f>
        <v>3</v>
      </c>
      <c r="AI270" s="4" t="s">
        <v>7</v>
      </c>
      <c r="AJ270" s="4" t="s">
        <v>7</v>
      </c>
      <c r="AK270" s="4" t="s">
        <v>7</v>
      </c>
      <c r="AL270" s="4" t="s">
        <v>7</v>
      </c>
      <c r="AM270" s="4" t="s">
        <v>7</v>
      </c>
      <c r="AN270" s="5" t="s">
        <v>7</v>
      </c>
    </row>
    <row r="271" spans="1:40" x14ac:dyDescent="0.2">
      <c r="A271" s="39">
        <v>1862</v>
      </c>
      <c r="B271" s="4" t="s">
        <v>49</v>
      </c>
      <c r="C271" s="30" t="s">
        <v>24</v>
      </c>
      <c r="D271" s="30">
        <v>5</v>
      </c>
      <c r="E271" s="30">
        <v>0</v>
      </c>
      <c r="F271" s="4">
        <v>3.7269999999999999</v>
      </c>
      <c r="G271" s="30">
        <v>27</v>
      </c>
      <c r="H271" s="33">
        <v>4.16974674880219</v>
      </c>
      <c r="I271" s="33" t="s">
        <v>7</v>
      </c>
      <c r="J271" s="33" t="s">
        <v>7</v>
      </c>
      <c r="K271" s="33">
        <v>4.1752224503764541</v>
      </c>
      <c r="L271" s="33" t="s">
        <v>7</v>
      </c>
      <c r="M271" s="33" t="s">
        <v>7</v>
      </c>
      <c r="N271" s="33">
        <v>4.1889117043121153</v>
      </c>
      <c r="O271" s="33" t="s">
        <v>7</v>
      </c>
      <c r="P271" s="33" t="s">
        <v>7</v>
      </c>
      <c r="Q271" s="33" t="s">
        <v>7</v>
      </c>
      <c r="R271" s="33" t="s">
        <v>7</v>
      </c>
      <c r="S271" s="33" t="s">
        <v>7</v>
      </c>
      <c r="T271" s="34">
        <v>3</v>
      </c>
      <c r="U271" s="34">
        <v>15</v>
      </c>
      <c r="V271" s="4" t="s">
        <v>1</v>
      </c>
      <c r="W271" s="4">
        <v>1</v>
      </c>
      <c r="X271" s="4">
        <v>1</v>
      </c>
      <c r="Y271" s="4">
        <v>1</v>
      </c>
      <c r="Z271" s="56">
        <v>3</v>
      </c>
      <c r="AA271" s="9" cm="1">
        <f t="array" ref="AA271">IF(OR(AB271:AE271=""),"BLANK",IF(AND(AB271:AE271&lt;999),1,IF(AND(AB271:AE271="NA"),3,2)))</f>
        <v>1</v>
      </c>
      <c r="AB271" s="4">
        <v>44</v>
      </c>
      <c r="AC271" s="4">
        <v>32</v>
      </c>
      <c r="AD271" s="4">
        <v>18</v>
      </c>
      <c r="AE271" s="5">
        <v>94</v>
      </c>
      <c r="AF271" s="9">
        <f t="shared" si="4"/>
        <v>1</v>
      </c>
      <c r="AG271" s="5">
        <v>55</v>
      </c>
      <c r="AH271" s="9" cm="1">
        <f t="array" ref="AH271">IF(OR(AI271:AN271=""),"BLANK",IF(AND(AI271:AN271&lt;99),1,IF(AND(AI271:AN271="NA"),3,2)))</f>
        <v>3</v>
      </c>
      <c r="AI271" s="4" t="s">
        <v>7</v>
      </c>
      <c r="AJ271" s="4" t="s">
        <v>7</v>
      </c>
      <c r="AK271" s="4" t="s">
        <v>7</v>
      </c>
      <c r="AL271" s="4" t="s">
        <v>7</v>
      </c>
      <c r="AM271" s="4" t="s">
        <v>7</v>
      </c>
      <c r="AN271" s="5" t="s">
        <v>7</v>
      </c>
    </row>
    <row r="272" spans="1:40" x14ac:dyDescent="0.2">
      <c r="A272" s="39">
        <v>1863</v>
      </c>
      <c r="B272" s="4" t="s">
        <v>65</v>
      </c>
      <c r="C272" s="30" t="s">
        <v>23</v>
      </c>
      <c r="D272" s="30">
        <v>5</v>
      </c>
      <c r="E272" s="30">
        <v>0</v>
      </c>
      <c r="F272" s="4">
        <v>4</v>
      </c>
      <c r="G272" s="30">
        <v>27</v>
      </c>
      <c r="H272" s="33">
        <v>3.9726214921286789</v>
      </c>
      <c r="I272" s="33">
        <v>4.7200547570157427</v>
      </c>
      <c r="J272" s="33">
        <v>8.6926762491444212</v>
      </c>
      <c r="K272" s="33">
        <v>3.9726214921286789</v>
      </c>
      <c r="L272" s="33">
        <v>4.8240930869267622</v>
      </c>
      <c r="M272" s="33">
        <v>8.7967145790554415</v>
      </c>
      <c r="N272" s="33">
        <v>4.0574948665297743</v>
      </c>
      <c r="O272" s="33">
        <v>4.5393566050650236</v>
      </c>
      <c r="P272" s="33">
        <v>8.5968514715947979</v>
      </c>
      <c r="Q272" s="33">
        <v>3.7782340862422998</v>
      </c>
      <c r="R272" s="33">
        <v>5.5140314852840522</v>
      </c>
      <c r="S272" s="33">
        <v>9.292265571526352</v>
      </c>
      <c r="T272" s="34">
        <v>4</v>
      </c>
      <c r="U272" s="34">
        <v>16</v>
      </c>
      <c r="V272" s="4" t="s">
        <v>1</v>
      </c>
      <c r="W272" s="4">
        <v>1</v>
      </c>
      <c r="X272" s="4">
        <v>1</v>
      </c>
      <c r="Y272" s="4">
        <v>1</v>
      </c>
      <c r="Z272" s="56">
        <v>3</v>
      </c>
      <c r="AA272" s="9" cm="1">
        <f t="array" ref="AA272">IF(OR(AB272:AE272=""),"BLANK",IF(AND(AB272:AE272&lt;999),1,IF(AND(AB272:AE272="NA"),3,2)))</f>
        <v>1</v>
      </c>
      <c r="AB272" s="4">
        <v>26</v>
      </c>
      <c r="AC272" s="4">
        <v>13</v>
      </c>
      <c r="AD272" s="4">
        <v>4</v>
      </c>
      <c r="AE272" s="5">
        <v>43</v>
      </c>
      <c r="AF272" s="9">
        <f t="shared" si="4"/>
        <v>1</v>
      </c>
      <c r="AG272" s="5">
        <v>50</v>
      </c>
      <c r="AH272" s="9" cm="1">
        <f t="array" ref="AH272">IF(OR(AI272:AN272=""),"BLANK",IF(AND(AI272:AN272&lt;99),1,IF(AND(AI272:AN272="NA"),3,2)))</f>
        <v>3</v>
      </c>
      <c r="AI272" s="4" t="s">
        <v>7</v>
      </c>
      <c r="AJ272" s="4" t="s">
        <v>7</v>
      </c>
      <c r="AK272" s="4" t="s">
        <v>7</v>
      </c>
      <c r="AL272" s="4" t="s">
        <v>7</v>
      </c>
      <c r="AM272" s="4" t="s">
        <v>7</v>
      </c>
      <c r="AN272" s="5" t="s">
        <v>7</v>
      </c>
    </row>
    <row r="273" spans="1:40" x14ac:dyDescent="0.2">
      <c r="A273" s="39">
        <v>1864</v>
      </c>
      <c r="B273" s="4" t="s">
        <v>55</v>
      </c>
      <c r="C273" s="30" t="s">
        <v>23</v>
      </c>
      <c r="D273" s="30">
        <v>1</v>
      </c>
      <c r="E273" s="30">
        <v>0</v>
      </c>
      <c r="F273" s="4">
        <v>3.5449999999999999</v>
      </c>
      <c r="G273" s="30">
        <v>29</v>
      </c>
      <c r="H273" s="33">
        <v>3.5783709787816562</v>
      </c>
      <c r="I273" s="33" t="s">
        <v>7</v>
      </c>
      <c r="J273" s="33" t="s">
        <v>7</v>
      </c>
      <c r="K273" s="33">
        <v>3.5592060232717317</v>
      </c>
      <c r="L273" s="33" t="s">
        <v>7</v>
      </c>
      <c r="M273" s="33" t="s">
        <v>7</v>
      </c>
      <c r="N273" s="33">
        <v>3.5783709787816562</v>
      </c>
      <c r="O273" s="33" t="s">
        <v>7</v>
      </c>
      <c r="P273" s="33" t="s">
        <v>7</v>
      </c>
      <c r="Q273" s="33">
        <v>3.2498288843258041</v>
      </c>
      <c r="R273" s="33" t="s">
        <v>7</v>
      </c>
      <c r="S273" s="33" t="s">
        <v>7</v>
      </c>
      <c r="T273" s="34">
        <v>6</v>
      </c>
      <c r="U273" s="34">
        <v>18</v>
      </c>
      <c r="V273" s="4" t="s">
        <v>1</v>
      </c>
      <c r="W273" s="4">
        <v>1</v>
      </c>
      <c r="X273" s="4">
        <v>1</v>
      </c>
      <c r="Y273" s="4">
        <v>1</v>
      </c>
      <c r="Z273" s="56">
        <v>3</v>
      </c>
      <c r="AA273" s="9" cm="1">
        <f t="array" ref="AA273">IF(OR(AB273:AE273=""),"BLANK",IF(AND(AB273:AE273&lt;999),1,IF(AND(AB273:AE273="NA"),3,2)))</f>
        <v>1</v>
      </c>
      <c r="AB273" s="4">
        <v>54</v>
      </c>
      <c r="AC273" s="4">
        <v>43</v>
      </c>
      <c r="AD273" s="4">
        <v>19</v>
      </c>
      <c r="AE273" s="5">
        <v>116</v>
      </c>
      <c r="AF273" s="9">
        <f t="shared" si="4"/>
        <v>1</v>
      </c>
      <c r="AG273" s="5">
        <v>85</v>
      </c>
      <c r="AH273" s="9" cm="1">
        <f t="array" ref="AH273">IF(OR(AI273:AN273=""),"BLANK",IF(AND(AI273:AN273&lt;99),1,IF(AND(AI273:AN273="NA"),3,2)))</f>
        <v>3</v>
      </c>
      <c r="AI273" s="4" t="s">
        <v>7</v>
      </c>
      <c r="AJ273" s="4" t="s">
        <v>7</v>
      </c>
      <c r="AK273" s="4" t="s">
        <v>7</v>
      </c>
      <c r="AL273" s="4" t="s">
        <v>7</v>
      </c>
      <c r="AM273" s="4" t="s">
        <v>7</v>
      </c>
      <c r="AN273" s="5" t="s">
        <v>7</v>
      </c>
    </row>
    <row r="274" spans="1:40" x14ac:dyDescent="0.2">
      <c r="A274" s="39">
        <v>1866</v>
      </c>
      <c r="B274" s="4" t="s">
        <v>64</v>
      </c>
      <c r="C274" s="30" t="s">
        <v>24</v>
      </c>
      <c r="D274" s="30">
        <v>5</v>
      </c>
      <c r="E274" s="30">
        <v>0</v>
      </c>
      <c r="F274" s="4">
        <v>4</v>
      </c>
      <c r="G274" s="30">
        <v>28</v>
      </c>
      <c r="H274" s="33" t="s">
        <v>7</v>
      </c>
      <c r="I274" s="33" t="s">
        <v>7</v>
      </c>
      <c r="J274" s="33" t="s">
        <v>7</v>
      </c>
      <c r="K274" s="33" t="s">
        <v>7</v>
      </c>
      <c r="L274" s="33" t="s">
        <v>7</v>
      </c>
      <c r="M274" s="33" t="s">
        <v>7</v>
      </c>
      <c r="N274" s="33" t="s">
        <v>7</v>
      </c>
      <c r="O274" s="33" t="s">
        <v>7</v>
      </c>
      <c r="P274" s="33" t="s">
        <v>7</v>
      </c>
      <c r="Q274" s="33" t="s">
        <v>7</v>
      </c>
      <c r="R274" s="33" t="s">
        <v>7</v>
      </c>
      <c r="S274" s="33" t="s">
        <v>7</v>
      </c>
      <c r="T274" s="34">
        <v>6</v>
      </c>
      <c r="U274" s="34">
        <v>18</v>
      </c>
      <c r="V274" s="4" t="s">
        <v>1</v>
      </c>
      <c r="W274" s="4">
        <v>1</v>
      </c>
      <c r="X274" s="4">
        <v>1</v>
      </c>
      <c r="Y274" s="4">
        <v>1</v>
      </c>
      <c r="Z274" s="56">
        <v>3</v>
      </c>
      <c r="AA274" s="9" cm="1">
        <f t="array" ref="AA274">IF(OR(AB274:AE274=""),"BLANK",IF(AND(AB274:AE274&lt;999),1,IF(AND(AB274:AE274="NA"),3,2)))</f>
        <v>1</v>
      </c>
      <c r="AB274" s="4">
        <v>20</v>
      </c>
      <c r="AC274" s="4">
        <v>16</v>
      </c>
      <c r="AD274" s="4">
        <v>11</v>
      </c>
      <c r="AE274" s="5">
        <v>47</v>
      </c>
      <c r="AF274" s="9">
        <f t="shared" si="4"/>
        <v>1</v>
      </c>
      <c r="AG274" s="5">
        <v>39</v>
      </c>
      <c r="AH274" s="9" cm="1">
        <f t="array" ref="AH274">IF(OR(AI274:AN274=""),"BLANK",IF(AND(AI274:AN274&lt;99),1,IF(AND(AI274:AN274="NA"),3,2)))</f>
        <v>3</v>
      </c>
      <c r="AI274" s="4" t="s">
        <v>7</v>
      </c>
      <c r="AJ274" s="4" t="s">
        <v>7</v>
      </c>
      <c r="AK274" s="4" t="s">
        <v>7</v>
      </c>
      <c r="AL274" s="4" t="s">
        <v>7</v>
      </c>
      <c r="AM274" s="4" t="s">
        <v>7</v>
      </c>
      <c r="AN274" s="5" t="s">
        <v>7</v>
      </c>
    </row>
    <row r="275" spans="1:40" x14ac:dyDescent="0.2">
      <c r="A275" s="39">
        <v>1868</v>
      </c>
      <c r="B275" s="4" t="s">
        <v>65</v>
      </c>
      <c r="C275" s="30" t="s">
        <v>23</v>
      </c>
      <c r="D275" s="30">
        <v>5</v>
      </c>
      <c r="E275" s="30">
        <v>0</v>
      </c>
      <c r="F275" s="4">
        <v>3.9089999999999998</v>
      </c>
      <c r="G275" s="30">
        <v>28</v>
      </c>
      <c r="H275" s="33">
        <v>3.7563312799452429</v>
      </c>
      <c r="I275" s="33" t="s">
        <v>7</v>
      </c>
      <c r="J275" s="33" t="s">
        <v>7</v>
      </c>
      <c r="K275" s="33">
        <v>3.7563312799452429</v>
      </c>
      <c r="L275" s="33" t="s">
        <v>7</v>
      </c>
      <c r="M275" s="33" t="s">
        <v>7</v>
      </c>
      <c r="N275" s="33">
        <v>3.761806981519507</v>
      </c>
      <c r="O275" s="33" t="s">
        <v>7</v>
      </c>
      <c r="P275" s="33" t="s">
        <v>7</v>
      </c>
      <c r="Q275" s="33">
        <v>3.14031485284052</v>
      </c>
      <c r="R275" s="33" t="s">
        <v>7</v>
      </c>
      <c r="S275" s="33" t="s">
        <v>7</v>
      </c>
      <c r="T275" s="34">
        <v>2</v>
      </c>
      <c r="U275" s="34">
        <v>12</v>
      </c>
      <c r="V275" s="4" t="s">
        <v>1</v>
      </c>
      <c r="W275" s="4">
        <v>1</v>
      </c>
      <c r="X275" s="4">
        <v>1</v>
      </c>
      <c r="Y275" s="4">
        <v>1</v>
      </c>
      <c r="Z275" s="56">
        <v>3</v>
      </c>
      <c r="AA275" s="9" cm="1">
        <f t="array" ref="AA275">IF(OR(AB275:AE275=""),"BLANK",IF(AND(AB275:AE275&lt;999),1,IF(AND(AB275:AE275="NA"),3,2)))</f>
        <v>1</v>
      </c>
      <c r="AB275" s="4">
        <v>24</v>
      </c>
      <c r="AC275" s="4">
        <v>17</v>
      </c>
      <c r="AD275" s="4">
        <v>13</v>
      </c>
      <c r="AE275" s="5">
        <v>54</v>
      </c>
      <c r="AF275" s="9">
        <f t="shared" si="4"/>
        <v>1</v>
      </c>
      <c r="AG275" s="5">
        <v>38</v>
      </c>
      <c r="AH275" s="9" cm="1">
        <f t="array" ref="AH275">IF(OR(AI275:AN275=""),"BLANK",IF(AND(AI275:AN275&lt;99),1,IF(AND(AI275:AN275="NA"),3,2)))</f>
        <v>3</v>
      </c>
      <c r="AI275" s="4" t="s">
        <v>7</v>
      </c>
      <c r="AJ275" s="4" t="s">
        <v>7</v>
      </c>
      <c r="AK275" s="4" t="s">
        <v>7</v>
      </c>
      <c r="AL275" s="4" t="s">
        <v>7</v>
      </c>
      <c r="AM275" s="4" t="s">
        <v>7</v>
      </c>
      <c r="AN275" s="5" t="s">
        <v>7</v>
      </c>
    </row>
    <row r="276" spans="1:40" x14ac:dyDescent="0.2">
      <c r="A276" s="39">
        <v>1869</v>
      </c>
      <c r="B276" s="4" t="s">
        <v>55</v>
      </c>
      <c r="C276" s="30" t="s">
        <v>24</v>
      </c>
      <c r="D276" s="30">
        <v>6</v>
      </c>
      <c r="E276" s="30">
        <v>1</v>
      </c>
      <c r="F276" s="4">
        <v>2.6360000000000001</v>
      </c>
      <c r="G276" s="30">
        <v>28</v>
      </c>
      <c r="H276" s="33" t="s">
        <v>7</v>
      </c>
      <c r="I276" s="33" t="s">
        <v>7</v>
      </c>
      <c r="J276" s="33" t="s">
        <v>7</v>
      </c>
      <c r="K276" s="33" t="s">
        <v>7</v>
      </c>
      <c r="L276" s="33" t="s">
        <v>7</v>
      </c>
      <c r="M276" s="33" t="s">
        <v>7</v>
      </c>
      <c r="N276" s="33" t="s">
        <v>7</v>
      </c>
      <c r="O276" s="33" t="s">
        <v>7</v>
      </c>
      <c r="P276" s="33" t="s">
        <v>7</v>
      </c>
      <c r="Q276" s="33" t="s">
        <v>7</v>
      </c>
      <c r="R276" s="33" t="s">
        <v>7</v>
      </c>
      <c r="S276" s="33" t="s">
        <v>7</v>
      </c>
      <c r="T276" s="34">
        <v>7</v>
      </c>
      <c r="U276" s="34">
        <v>21</v>
      </c>
      <c r="V276" s="4" t="s">
        <v>1</v>
      </c>
      <c r="W276" s="4">
        <v>1</v>
      </c>
      <c r="X276" s="4">
        <v>1</v>
      </c>
      <c r="Y276" s="4">
        <v>1</v>
      </c>
      <c r="Z276" s="56">
        <v>3</v>
      </c>
      <c r="AA276" s="9" cm="1">
        <f t="array" ref="AA276">IF(OR(AB276:AE276=""),"BLANK",IF(AND(AB276:AE276&lt;999),1,IF(AND(AB276:AE276="NA"),3,2)))</f>
        <v>1</v>
      </c>
      <c r="AB276" s="4">
        <v>30</v>
      </c>
      <c r="AC276" s="4">
        <v>24</v>
      </c>
      <c r="AD276" s="4">
        <v>15</v>
      </c>
      <c r="AE276" s="5">
        <v>69</v>
      </c>
      <c r="AF276" s="9">
        <f t="shared" si="4"/>
        <v>1</v>
      </c>
      <c r="AG276" s="5">
        <v>58</v>
      </c>
      <c r="AH276" s="9" cm="1">
        <f t="array" ref="AH276">IF(OR(AI276:AN276=""),"BLANK",IF(AND(AI276:AN276&lt;99),1,IF(AND(AI276:AN276="NA"),3,2)))</f>
        <v>3</v>
      </c>
      <c r="AI276" s="4" t="s">
        <v>7</v>
      </c>
      <c r="AJ276" s="4" t="s">
        <v>7</v>
      </c>
      <c r="AK276" s="4" t="s">
        <v>7</v>
      </c>
      <c r="AL276" s="4" t="s">
        <v>7</v>
      </c>
      <c r="AM276" s="4" t="s">
        <v>7</v>
      </c>
      <c r="AN276" s="5" t="s">
        <v>7</v>
      </c>
    </row>
    <row r="277" spans="1:40" x14ac:dyDescent="0.2">
      <c r="A277" s="39">
        <v>1874</v>
      </c>
      <c r="B277" s="4" t="s">
        <v>61</v>
      </c>
      <c r="C277" s="30" t="s">
        <v>23</v>
      </c>
      <c r="D277" s="30">
        <v>5</v>
      </c>
      <c r="E277" s="30">
        <v>0</v>
      </c>
      <c r="F277" s="4">
        <v>3.4550000000000001</v>
      </c>
      <c r="G277" s="30">
        <v>30</v>
      </c>
      <c r="H277" s="33" t="s">
        <v>7</v>
      </c>
      <c r="I277" s="33" t="s">
        <v>7</v>
      </c>
      <c r="J277" s="33" t="s">
        <v>7</v>
      </c>
      <c r="K277" s="33" t="s">
        <v>7</v>
      </c>
      <c r="L277" s="33" t="s">
        <v>7</v>
      </c>
      <c r="M277" s="33" t="s">
        <v>7</v>
      </c>
      <c r="N277" s="33" t="s">
        <v>7</v>
      </c>
      <c r="O277" s="33" t="s">
        <v>7</v>
      </c>
      <c r="P277" s="33" t="s">
        <v>7</v>
      </c>
      <c r="Q277" s="33" t="s">
        <v>7</v>
      </c>
      <c r="R277" s="33" t="s">
        <v>7</v>
      </c>
      <c r="S277" s="33" t="s">
        <v>7</v>
      </c>
      <c r="T277" s="34">
        <v>6</v>
      </c>
      <c r="U277" s="34">
        <v>18</v>
      </c>
      <c r="V277" s="4" t="s">
        <v>1</v>
      </c>
      <c r="W277" s="4">
        <v>1</v>
      </c>
      <c r="X277" s="4">
        <v>1</v>
      </c>
      <c r="Y277" s="4">
        <v>1</v>
      </c>
      <c r="Z277" s="56">
        <v>3</v>
      </c>
      <c r="AA277" s="9" cm="1">
        <f t="array" ref="AA277">IF(OR(AB277:AE277=""),"BLANK",IF(AND(AB277:AE277&lt;999),1,IF(AND(AB277:AE277="NA"),3,2)))</f>
        <v>1</v>
      </c>
      <c r="AB277" s="4">
        <v>27</v>
      </c>
      <c r="AC277" s="4">
        <v>10</v>
      </c>
      <c r="AD277" s="4">
        <v>7</v>
      </c>
      <c r="AE277" s="5">
        <v>44</v>
      </c>
      <c r="AF277" s="9">
        <f t="shared" si="4"/>
        <v>1</v>
      </c>
      <c r="AG277" s="5">
        <v>61</v>
      </c>
      <c r="AH277" s="9" cm="1">
        <f t="array" ref="AH277">IF(OR(AI277:AN277=""),"BLANK",IF(AND(AI277:AN277&lt;99),1,IF(AND(AI277:AN277="NA"),3,2)))</f>
        <v>3</v>
      </c>
      <c r="AI277" s="4" t="s">
        <v>7</v>
      </c>
      <c r="AJ277" s="4" t="s">
        <v>7</v>
      </c>
      <c r="AK277" s="4" t="s">
        <v>7</v>
      </c>
      <c r="AL277" s="4" t="s">
        <v>7</v>
      </c>
      <c r="AM277" s="4" t="s">
        <v>7</v>
      </c>
      <c r="AN277" s="5" t="s">
        <v>7</v>
      </c>
    </row>
    <row r="278" spans="1:40" x14ac:dyDescent="0.2">
      <c r="A278" s="39">
        <v>1875</v>
      </c>
      <c r="B278" s="4" t="s">
        <v>62</v>
      </c>
      <c r="C278" s="30" t="s">
        <v>23</v>
      </c>
      <c r="D278" s="30">
        <v>5</v>
      </c>
      <c r="E278" s="30">
        <v>0</v>
      </c>
      <c r="F278" s="4">
        <v>4</v>
      </c>
      <c r="G278" s="30">
        <v>28</v>
      </c>
      <c r="H278" s="33">
        <v>4.1916495550992474</v>
      </c>
      <c r="I278" s="33">
        <v>4.4407939767282683</v>
      </c>
      <c r="J278" s="33">
        <v>8.6324435318275157</v>
      </c>
      <c r="K278" s="33">
        <v>4.1916495550992474</v>
      </c>
      <c r="L278" s="33">
        <v>4.4407939767282683</v>
      </c>
      <c r="M278" s="33">
        <v>8.6324435318275157</v>
      </c>
      <c r="N278" s="33">
        <v>4.216290212183436</v>
      </c>
      <c r="O278" s="33">
        <v>4.0520191649555102</v>
      </c>
      <c r="P278" s="33">
        <v>8.2683093771389462</v>
      </c>
      <c r="Q278" s="33" t="s">
        <v>7</v>
      </c>
      <c r="R278" s="33" t="s">
        <v>7</v>
      </c>
      <c r="S278" s="33" t="s">
        <v>7</v>
      </c>
      <c r="T278" s="34">
        <v>5</v>
      </c>
      <c r="U278" s="34">
        <v>18</v>
      </c>
      <c r="V278" s="4" t="s">
        <v>1</v>
      </c>
      <c r="W278" s="4">
        <v>1</v>
      </c>
      <c r="X278" s="4">
        <v>1</v>
      </c>
      <c r="Y278" s="4">
        <v>1</v>
      </c>
      <c r="Z278" s="56">
        <v>3</v>
      </c>
      <c r="AA278" s="9" cm="1">
        <f t="array" ref="AA278">IF(OR(AB278:AE278=""),"BLANK",IF(AND(AB278:AE278&lt;999),1,IF(AND(AB278:AE278="NA"),3,2)))</f>
        <v>1</v>
      </c>
      <c r="AB278" s="4">
        <v>39</v>
      </c>
      <c r="AC278" s="4">
        <v>23</v>
      </c>
      <c r="AD278" s="4">
        <v>16</v>
      </c>
      <c r="AE278" s="5">
        <v>78</v>
      </c>
      <c r="AF278" s="9">
        <f t="shared" si="4"/>
        <v>1</v>
      </c>
      <c r="AG278" s="5">
        <v>73</v>
      </c>
      <c r="AH278" s="9" cm="1">
        <f t="array" ref="AH278">IF(OR(AI278:AN278=""),"BLANK",IF(AND(AI278:AN278&lt;99),1,IF(AND(AI278:AN278="NA"),3,2)))</f>
        <v>3</v>
      </c>
      <c r="AI278" s="4" t="s">
        <v>7</v>
      </c>
      <c r="AJ278" s="4" t="s">
        <v>7</v>
      </c>
      <c r="AK278" s="4" t="s">
        <v>7</v>
      </c>
      <c r="AL278" s="4" t="s">
        <v>7</v>
      </c>
      <c r="AM278" s="4" t="s">
        <v>7</v>
      </c>
      <c r="AN278" s="5" t="s">
        <v>7</v>
      </c>
    </row>
    <row r="279" spans="1:40" x14ac:dyDescent="0.2">
      <c r="A279" s="39">
        <v>1882</v>
      </c>
      <c r="B279" s="4" t="s">
        <v>67</v>
      </c>
      <c r="C279" s="30" t="s">
        <v>24</v>
      </c>
      <c r="D279" s="30">
        <v>5</v>
      </c>
      <c r="E279" s="30">
        <v>0</v>
      </c>
      <c r="F279" s="4" t="s">
        <v>7</v>
      </c>
      <c r="G279" s="30">
        <v>27</v>
      </c>
      <c r="H279" s="33" t="s">
        <v>7</v>
      </c>
      <c r="I279" s="33" t="s">
        <v>7</v>
      </c>
      <c r="J279" s="33" t="s">
        <v>7</v>
      </c>
      <c r="K279" s="33" t="s">
        <v>7</v>
      </c>
      <c r="L279" s="33" t="s">
        <v>7</v>
      </c>
      <c r="M279" s="33" t="s">
        <v>7</v>
      </c>
      <c r="N279" s="33" t="s">
        <v>7</v>
      </c>
      <c r="O279" s="33" t="s">
        <v>7</v>
      </c>
      <c r="P279" s="33" t="s">
        <v>7</v>
      </c>
      <c r="Q279" s="33" t="s">
        <v>7</v>
      </c>
      <c r="R279" s="33" t="s">
        <v>7</v>
      </c>
      <c r="S279" s="33" t="s">
        <v>7</v>
      </c>
      <c r="T279" s="34">
        <v>3</v>
      </c>
      <c r="U279" s="34">
        <v>14</v>
      </c>
      <c r="V279" s="4" t="s">
        <v>1</v>
      </c>
      <c r="W279" s="4">
        <v>1</v>
      </c>
      <c r="X279" s="4">
        <v>1</v>
      </c>
      <c r="Y279" s="4">
        <v>1</v>
      </c>
      <c r="Z279" s="56">
        <v>3</v>
      </c>
      <c r="AA279" s="9" cm="1">
        <f t="array" ref="AA279">IF(OR(AB279:AE279=""),"BLANK",IF(AND(AB279:AE279&lt;999),1,IF(AND(AB279:AE279="NA"),3,2)))</f>
        <v>1</v>
      </c>
      <c r="AB279" s="4">
        <v>26</v>
      </c>
      <c r="AC279" s="4">
        <v>15</v>
      </c>
      <c r="AD279" s="4">
        <v>10</v>
      </c>
      <c r="AE279" s="5">
        <v>51</v>
      </c>
      <c r="AF279" s="9">
        <f t="shared" si="4"/>
        <v>1</v>
      </c>
      <c r="AG279" s="5">
        <v>34</v>
      </c>
      <c r="AH279" s="9" cm="1">
        <f t="array" ref="AH279">IF(OR(AI279:AN279=""),"BLANK",IF(AND(AI279:AN279&lt;99),1,IF(AND(AI279:AN279="NA"),3,2)))</f>
        <v>3</v>
      </c>
      <c r="AI279" s="4" t="s">
        <v>7</v>
      </c>
      <c r="AJ279" s="4" t="s">
        <v>7</v>
      </c>
      <c r="AK279" s="4" t="s">
        <v>7</v>
      </c>
      <c r="AL279" s="4" t="s">
        <v>7</v>
      </c>
      <c r="AM279" s="4" t="s">
        <v>7</v>
      </c>
      <c r="AN279" s="5" t="s">
        <v>7</v>
      </c>
    </row>
    <row r="280" spans="1:40" x14ac:dyDescent="0.2">
      <c r="A280" s="39">
        <v>1886</v>
      </c>
      <c r="B280" s="4" t="s">
        <v>65</v>
      </c>
      <c r="C280" s="30" t="s">
        <v>23</v>
      </c>
      <c r="D280" s="30">
        <v>5</v>
      </c>
      <c r="E280" s="30">
        <v>0</v>
      </c>
      <c r="F280" s="4">
        <v>4</v>
      </c>
      <c r="G280" s="30">
        <v>27</v>
      </c>
      <c r="H280" s="33" t="s">
        <v>7</v>
      </c>
      <c r="I280" s="33" t="s">
        <v>7</v>
      </c>
      <c r="J280" s="33" t="s">
        <v>7</v>
      </c>
      <c r="K280" s="33" t="s">
        <v>7</v>
      </c>
      <c r="L280" s="33" t="s">
        <v>7</v>
      </c>
      <c r="M280" s="33" t="s">
        <v>7</v>
      </c>
      <c r="N280" s="33" t="s">
        <v>7</v>
      </c>
      <c r="O280" s="33" t="s">
        <v>7</v>
      </c>
      <c r="P280" s="33" t="s">
        <v>7</v>
      </c>
      <c r="Q280" s="33" t="s">
        <v>7</v>
      </c>
      <c r="R280" s="33" t="s">
        <v>7</v>
      </c>
      <c r="S280" s="33" t="s">
        <v>7</v>
      </c>
      <c r="T280" s="34">
        <v>3</v>
      </c>
      <c r="U280" s="34">
        <v>15</v>
      </c>
      <c r="V280" s="4" t="s">
        <v>1</v>
      </c>
      <c r="W280" s="4">
        <v>1</v>
      </c>
      <c r="X280" s="4">
        <v>1</v>
      </c>
      <c r="Y280" s="4">
        <v>1</v>
      </c>
      <c r="Z280" s="56">
        <v>3</v>
      </c>
      <c r="AA280" s="9" cm="1">
        <f t="array" ref="AA280">IF(OR(AB280:AE280=""),"BLANK",IF(AND(AB280:AE280&lt;999),1,IF(AND(AB280:AE280="NA"),3,2)))</f>
        <v>1</v>
      </c>
      <c r="AB280" s="4">
        <v>18</v>
      </c>
      <c r="AC280" s="4">
        <v>8</v>
      </c>
      <c r="AD280" s="4">
        <v>5</v>
      </c>
      <c r="AE280" s="5">
        <v>31</v>
      </c>
      <c r="AF280" s="9">
        <f t="shared" si="4"/>
        <v>1</v>
      </c>
      <c r="AG280" s="5">
        <v>38</v>
      </c>
      <c r="AH280" s="9" cm="1">
        <f t="array" ref="AH280">IF(OR(AI280:AN280=""),"BLANK",IF(AND(AI280:AN280&lt;99),1,IF(AND(AI280:AN280="NA"),3,2)))</f>
        <v>3</v>
      </c>
      <c r="AI280" s="4" t="s">
        <v>7</v>
      </c>
      <c r="AJ280" s="4" t="s">
        <v>7</v>
      </c>
      <c r="AK280" s="4" t="s">
        <v>7</v>
      </c>
      <c r="AL280" s="4" t="s">
        <v>7</v>
      </c>
      <c r="AM280" s="4" t="s">
        <v>7</v>
      </c>
      <c r="AN280" s="5" t="s">
        <v>7</v>
      </c>
    </row>
    <row r="281" spans="1:40" x14ac:dyDescent="0.2">
      <c r="A281" s="39">
        <v>1891</v>
      </c>
      <c r="B281" s="4" t="s">
        <v>67</v>
      </c>
      <c r="C281" s="30" t="s">
        <v>23</v>
      </c>
      <c r="D281" s="30">
        <v>5</v>
      </c>
      <c r="E281" s="30">
        <v>0</v>
      </c>
      <c r="F281" s="4">
        <v>3.8180000000000001</v>
      </c>
      <c r="G281" s="30">
        <v>29</v>
      </c>
      <c r="H281" s="33">
        <v>3.5865845311430529</v>
      </c>
      <c r="I281" s="33">
        <v>5.3004791238877482</v>
      </c>
      <c r="J281" s="33">
        <v>8.8870636550308006</v>
      </c>
      <c r="K281" s="33">
        <v>3.5865845311430529</v>
      </c>
      <c r="L281" s="33">
        <v>5.3004791238877482</v>
      </c>
      <c r="M281" s="33">
        <v>8.8870636550308006</v>
      </c>
      <c r="N281" s="33">
        <v>3.7426420260095825</v>
      </c>
      <c r="O281" s="33">
        <v>5.0924024640657084</v>
      </c>
      <c r="P281" s="33">
        <v>8.8350444900752905</v>
      </c>
      <c r="Q281" s="33">
        <v>3.6714579055441479</v>
      </c>
      <c r="R281" s="33">
        <v>5.4428473648186175</v>
      </c>
      <c r="S281" s="33">
        <v>9.1143052703627649</v>
      </c>
      <c r="T281" s="34">
        <v>5</v>
      </c>
      <c r="U281" s="34">
        <v>17</v>
      </c>
      <c r="V281" s="4" t="s">
        <v>1</v>
      </c>
      <c r="W281" s="4">
        <v>1</v>
      </c>
      <c r="X281" s="4">
        <v>1</v>
      </c>
      <c r="Y281" s="4">
        <v>1</v>
      </c>
      <c r="Z281" s="56">
        <v>3</v>
      </c>
      <c r="AA281" s="9" cm="1">
        <f t="array" ref="AA281">IF(OR(AB281:AE281=""),"BLANK",IF(AND(AB281:AE281&lt;999),1,IF(AND(AB281:AE281="NA"),3,2)))</f>
        <v>1</v>
      </c>
      <c r="AB281" s="4">
        <v>25</v>
      </c>
      <c r="AC281" s="4">
        <v>17</v>
      </c>
      <c r="AD281" s="4">
        <v>12</v>
      </c>
      <c r="AE281" s="5">
        <v>54</v>
      </c>
      <c r="AF281" s="9">
        <f t="shared" si="4"/>
        <v>1</v>
      </c>
      <c r="AG281" s="5">
        <v>54</v>
      </c>
      <c r="AH281" s="9" cm="1">
        <f t="array" ref="AH281">IF(OR(AI281:AN281=""),"BLANK",IF(AND(AI281:AN281&lt;99),1,IF(AND(AI281:AN281="NA"),3,2)))</f>
        <v>3</v>
      </c>
      <c r="AI281" s="4" t="s">
        <v>7</v>
      </c>
      <c r="AJ281" s="4" t="s">
        <v>7</v>
      </c>
      <c r="AK281" s="4" t="s">
        <v>7</v>
      </c>
      <c r="AL281" s="4" t="s">
        <v>7</v>
      </c>
      <c r="AM281" s="4" t="s">
        <v>7</v>
      </c>
      <c r="AN281" s="5" t="s">
        <v>7</v>
      </c>
    </row>
    <row r="282" spans="1:40" x14ac:dyDescent="0.2">
      <c r="A282" s="39">
        <v>1915</v>
      </c>
      <c r="B282" s="4" t="s">
        <v>66</v>
      </c>
      <c r="C282" s="30" t="s">
        <v>23</v>
      </c>
      <c r="D282" s="30">
        <v>5</v>
      </c>
      <c r="E282" s="30">
        <v>0</v>
      </c>
      <c r="F282" s="4">
        <v>3.6360000000000001</v>
      </c>
      <c r="G282" s="30">
        <v>29</v>
      </c>
      <c r="H282" s="33" t="s">
        <v>7</v>
      </c>
      <c r="I282" s="33" t="s">
        <v>7</v>
      </c>
      <c r="J282" s="33" t="s">
        <v>7</v>
      </c>
      <c r="K282" s="33" t="s">
        <v>7</v>
      </c>
      <c r="L282" s="33" t="s">
        <v>7</v>
      </c>
      <c r="M282" s="33" t="s">
        <v>7</v>
      </c>
      <c r="N282" s="33" t="s">
        <v>7</v>
      </c>
      <c r="O282" s="33" t="s">
        <v>7</v>
      </c>
      <c r="P282" s="33" t="s">
        <v>7</v>
      </c>
      <c r="Q282" s="33" t="s">
        <v>7</v>
      </c>
      <c r="R282" s="33" t="s">
        <v>7</v>
      </c>
      <c r="S282" s="33" t="s">
        <v>7</v>
      </c>
      <c r="T282" s="34">
        <v>5</v>
      </c>
      <c r="U282" s="34">
        <v>16</v>
      </c>
      <c r="V282" s="4" t="s">
        <v>1</v>
      </c>
      <c r="W282" s="4">
        <v>1</v>
      </c>
      <c r="X282" s="4">
        <v>1</v>
      </c>
      <c r="Y282" s="4">
        <v>1</v>
      </c>
      <c r="Z282" s="56">
        <v>3</v>
      </c>
      <c r="AA282" s="9" cm="1">
        <f t="array" ref="AA282">IF(OR(AB282:AE282=""),"BLANK",IF(AND(AB282:AE282&lt;999),1,IF(AND(AB282:AE282="NA"),3,2)))</f>
        <v>1</v>
      </c>
      <c r="AB282" s="4">
        <v>23</v>
      </c>
      <c r="AC282" s="4">
        <v>17</v>
      </c>
      <c r="AD282" s="4">
        <v>11</v>
      </c>
      <c r="AE282" s="5">
        <v>51</v>
      </c>
      <c r="AF282" s="9">
        <f t="shared" si="4"/>
        <v>1</v>
      </c>
      <c r="AG282" s="5">
        <v>41</v>
      </c>
      <c r="AH282" s="9" cm="1">
        <f t="array" ref="AH282">IF(OR(AI282:AN282=""),"BLANK",IF(AND(AI282:AN282&lt;99),1,IF(AND(AI282:AN282="NA"),3,2)))</f>
        <v>3</v>
      </c>
      <c r="AI282" s="4" t="s">
        <v>7</v>
      </c>
      <c r="AJ282" s="4" t="s">
        <v>7</v>
      </c>
      <c r="AK282" s="4" t="s">
        <v>7</v>
      </c>
      <c r="AL282" s="4" t="s">
        <v>7</v>
      </c>
      <c r="AM282" s="4" t="s">
        <v>7</v>
      </c>
      <c r="AN282" s="5" t="s">
        <v>7</v>
      </c>
    </row>
    <row r="283" spans="1:40" x14ac:dyDescent="0.2">
      <c r="A283" s="39">
        <v>1919</v>
      </c>
      <c r="B283" s="4" t="s">
        <v>60</v>
      </c>
      <c r="C283" s="30" t="s">
        <v>23</v>
      </c>
      <c r="D283" s="30">
        <v>5</v>
      </c>
      <c r="E283" s="30">
        <v>0</v>
      </c>
      <c r="F283" s="4">
        <v>3.2730000000000001</v>
      </c>
      <c r="G283" s="30">
        <v>29</v>
      </c>
      <c r="H283" s="33" t="s">
        <v>7</v>
      </c>
      <c r="I283" s="33" t="s">
        <v>7</v>
      </c>
      <c r="J283" s="33" t="s">
        <v>7</v>
      </c>
      <c r="K283" s="33" t="s">
        <v>7</v>
      </c>
      <c r="L283" s="33" t="s">
        <v>7</v>
      </c>
      <c r="M283" s="33" t="s">
        <v>7</v>
      </c>
      <c r="N283" s="33" t="s">
        <v>7</v>
      </c>
      <c r="O283" s="33" t="s">
        <v>7</v>
      </c>
      <c r="P283" s="33" t="s">
        <v>7</v>
      </c>
      <c r="Q283" s="33" t="s">
        <v>7</v>
      </c>
      <c r="R283" s="33" t="s">
        <v>7</v>
      </c>
      <c r="S283" s="33" t="s">
        <v>7</v>
      </c>
      <c r="T283" s="34">
        <v>3</v>
      </c>
      <c r="U283" s="34">
        <v>14</v>
      </c>
      <c r="V283" s="4" t="s">
        <v>1</v>
      </c>
      <c r="W283" s="4">
        <v>1</v>
      </c>
      <c r="X283" s="4">
        <v>1</v>
      </c>
      <c r="Y283" s="4">
        <v>1</v>
      </c>
      <c r="Z283" s="56">
        <v>3</v>
      </c>
      <c r="AA283" s="9" cm="1">
        <f t="array" ref="AA283">IF(OR(AB283:AE283=""),"BLANK",IF(AND(AB283:AE283&lt;999),1,IF(AND(AB283:AE283="NA"),3,2)))</f>
        <v>1</v>
      </c>
      <c r="AB283" s="4">
        <v>35</v>
      </c>
      <c r="AC283" s="4">
        <v>23</v>
      </c>
      <c r="AD283" s="4">
        <v>16</v>
      </c>
      <c r="AE283" s="5">
        <v>74</v>
      </c>
      <c r="AF283" s="9">
        <f t="shared" si="4"/>
        <v>1</v>
      </c>
      <c r="AG283" s="5">
        <v>59</v>
      </c>
      <c r="AH283" s="9" cm="1">
        <f t="array" ref="AH283">IF(OR(AI283:AN283=""),"BLANK",IF(AND(AI283:AN283&lt;99),1,IF(AND(AI283:AN283="NA"),3,2)))</f>
        <v>3</v>
      </c>
      <c r="AI283" s="4" t="s">
        <v>7</v>
      </c>
      <c r="AJ283" s="4" t="s">
        <v>7</v>
      </c>
      <c r="AK283" s="4" t="s">
        <v>7</v>
      </c>
      <c r="AL283" s="4" t="s">
        <v>7</v>
      </c>
      <c r="AM283" s="4" t="s">
        <v>7</v>
      </c>
      <c r="AN283" s="5" t="s">
        <v>7</v>
      </c>
    </row>
    <row r="284" spans="1:40" x14ac:dyDescent="0.2">
      <c r="A284" s="39">
        <v>1922</v>
      </c>
      <c r="B284" s="4" t="s">
        <v>60</v>
      </c>
      <c r="C284" s="30" t="s">
        <v>24</v>
      </c>
      <c r="D284" s="30">
        <v>5</v>
      </c>
      <c r="E284" s="30">
        <v>0</v>
      </c>
      <c r="F284" s="4">
        <v>4</v>
      </c>
      <c r="G284" s="30">
        <v>29</v>
      </c>
      <c r="H284" s="33" t="s">
        <v>7</v>
      </c>
      <c r="I284" s="33" t="s">
        <v>7</v>
      </c>
      <c r="J284" s="33">
        <v>8.7994524298425727</v>
      </c>
      <c r="K284" s="33" t="s">
        <v>7</v>
      </c>
      <c r="L284" s="33" t="s">
        <v>7</v>
      </c>
      <c r="M284" s="33">
        <v>8.7994524298425727</v>
      </c>
      <c r="N284" s="33" t="s">
        <v>7</v>
      </c>
      <c r="O284" s="33" t="s">
        <v>7</v>
      </c>
      <c r="P284" s="33">
        <v>8.8514715947980829</v>
      </c>
      <c r="Q284" s="33" t="s">
        <v>7</v>
      </c>
      <c r="R284" s="33" t="s">
        <v>7</v>
      </c>
      <c r="S284" s="33" t="s">
        <v>7</v>
      </c>
      <c r="T284" s="34">
        <v>5</v>
      </c>
      <c r="U284" s="34">
        <v>18</v>
      </c>
      <c r="V284" s="4" t="s">
        <v>1</v>
      </c>
      <c r="W284" s="4">
        <v>1</v>
      </c>
      <c r="X284" s="4">
        <v>1</v>
      </c>
      <c r="Y284" s="4">
        <v>1</v>
      </c>
      <c r="Z284" s="56">
        <v>3</v>
      </c>
      <c r="AA284" s="9" cm="1">
        <f t="array" ref="AA284">IF(OR(AB284:AE284=""),"BLANK",IF(AND(AB284:AE284&lt;999),1,IF(AND(AB284:AE284="NA"),3,2)))</f>
        <v>1</v>
      </c>
      <c r="AB284" s="4">
        <v>33</v>
      </c>
      <c r="AC284" s="4">
        <v>18</v>
      </c>
      <c r="AD284" s="4">
        <v>14</v>
      </c>
      <c r="AE284" s="5">
        <v>65</v>
      </c>
      <c r="AF284" s="9">
        <f t="shared" si="4"/>
        <v>1</v>
      </c>
      <c r="AG284" s="5">
        <v>55</v>
      </c>
      <c r="AH284" s="9" cm="1">
        <f t="array" ref="AH284">IF(OR(AI284:AN284=""),"BLANK",IF(AND(AI284:AN284&lt;99),1,IF(AND(AI284:AN284="NA"),3,2)))</f>
        <v>3</v>
      </c>
      <c r="AI284" s="4" t="s">
        <v>7</v>
      </c>
      <c r="AJ284" s="4" t="s">
        <v>7</v>
      </c>
      <c r="AK284" s="4" t="s">
        <v>7</v>
      </c>
      <c r="AL284" s="4" t="s">
        <v>7</v>
      </c>
      <c r="AM284" s="4" t="s">
        <v>7</v>
      </c>
      <c r="AN284" s="5" t="s">
        <v>7</v>
      </c>
    </row>
    <row r="285" spans="1:40" x14ac:dyDescent="0.2">
      <c r="A285" s="39">
        <v>1926</v>
      </c>
      <c r="B285" s="4" t="s">
        <v>62</v>
      </c>
      <c r="C285" s="30" t="s">
        <v>23</v>
      </c>
      <c r="D285" s="30">
        <v>5</v>
      </c>
      <c r="E285" s="30">
        <v>0</v>
      </c>
      <c r="F285" s="4">
        <v>3.6360000000000001</v>
      </c>
      <c r="G285" s="30">
        <v>29</v>
      </c>
      <c r="H285" s="33" t="s">
        <v>7</v>
      </c>
      <c r="I285" s="33" t="s">
        <v>7</v>
      </c>
      <c r="J285" s="33" t="s">
        <v>7</v>
      </c>
      <c r="K285" s="33" t="s">
        <v>7</v>
      </c>
      <c r="L285" s="33" t="s">
        <v>7</v>
      </c>
      <c r="M285" s="33" t="s">
        <v>7</v>
      </c>
      <c r="N285" s="33" t="s">
        <v>7</v>
      </c>
      <c r="O285" s="33" t="s">
        <v>7</v>
      </c>
      <c r="P285" s="33" t="s">
        <v>7</v>
      </c>
      <c r="Q285" s="33" t="s">
        <v>7</v>
      </c>
      <c r="R285" s="33" t="s">
        <v>7</v>
      </c>
      <c r="S285" s="33" t="s">
        <v>7</v>
      </c>
      <c r="T285" s="34">
        <v>6</v>
      </c>
      <c r="U285" s="34">
        <v>18</v>
      </c>
      <c r="V285" s="4" t="s">
        <v>1</v>
      </c>
      <c r="W285" s="4">
        <v>1</v>
      </c>
      <c r="X285" s="4">
        <v>1</v>
      </c>
      <c r="Y285" s="4">
        <v>1</v>
      </c>
      <c r="Z285" s="56">
        <v>3</v>
      </c>
      <c r="AA285" s="9" cm="1">
        <f t="array" ref="AA285">IF(OR(AB285:AE285=""),"BLANK",IF(AND(AB285:AE285&lt;999),1,IF(AND(AB285:AE285="NA"),3,2)))</f>
        <v>1</v>
      </c>
      <c r="AB285" s="4">
        <v>33</v>
      </c>
      <c r="AC285" s="4">
        <v>20</v>
      </c>
      <c r="AD285" s="4">
        <v>14</v>
      </c>
      <c r="AE285" s="5">
        <v>67</v>
      </c>
      <c r="AF285" s="9">
        <f t="shared" si="4"/>
        <v>1</v>
      </c>
      <c r="AG285" s="5">
        <v>69</v>
      </c>
      <c r="AH285" s="9" cm="1">
        <f t="array" ref="AH285">IF(OR(AI285:AN285=""),"BLANK",IF(AND(AI285:AN285&lt;99),1,IF(AND(AI285:AN285="NA"),3,2)))</f>
        <v>3</v>
      </c>
      <c r="AI285" s="4" t="s">
        <v>7</v>
      </c>
      <c r="AJ285" s="4" t="s">
        <v>7</v>
      </c>
      <c r="AK285" s="4" t="s">
        <v>7</v>
      </c>
      <c r="AL285" s="4" t="s">
        <v>7</v>
      </c>
      <c r="AM285" s="4" t="s">
        <v>7</v>
      </c>
      <c r="AN285" s="5" t="s">
        <v>7</v>
      </c>
    </row>
    <row r="286" spans="1:40" x14ac:dyDescent="0.2">
      <c r="A286" s="39">
        <v>1928</v>
      </c>
      <c r="B286" s="4" t="s">
        <v>63</v>
      </c>
      <c r="C286" s="30" t="s">
        <v>23</v>
      </c>
      <c r="D286" s="30">
        <v>5</v>
      </c>
      <c r="E286" s="30">
        <v>0</v>
      </c>
      <c r="F286" s="4">
        <v>3.8180000000000001</v>
      </c>
      <c r="G286" s="30">
        <v>28</v>
      </c>
      <c r="H286" s="33" t="s">
        <v>7</v>
      </c>
      <c r="I286" s="33" t="s">
        <v>7</v>
      </c>
      <c r="J286" s="33" t="s">
        <v>7</v>
      </c>
      <c r="K286" s="33" t="s">
        <v>7</v>
      </c>
      <c r="L286" s="33" t="s">
        <v>7</v>
      </c>
      <c r="M286" s="33" t="s">
        <v>7</v>
      </c>
      <c r="N286" s="33" t="s">
        <v>7</v>
      </c>
      <c r="O286" s="33" t="s">
        <v>7</v>
      </c>
      <c r="P286" s="33" t="s">
        <v>7</v>
      </c>
      <c r="Q286" s="33" t="s">
        <v>7</v>
      </c>
      <c r="R286" s="33" t="s">
        <v>7</v>
      </c>
      <c r="S286" s="33" t="s">
        <v>7</v>
      </c>
      <c r="T286" s="34">
        <v>4</v>
      </c>
      <c r="U286" s="34">
        <v>16</v>
      </c>
      <c r="V286" s="4" t="s">
        <v>1</v>
      </c>
      <c r="W286" s="4">
        <v>1</v>
      </c>
      <c r="X286" s="4">
        <v>1</v>
      </c>
      <c r="Y286" s="4">
        <v>1</v>
      </c>
      <c r="Z286" s="56">
        <v>3</v>
      </c>
      <c r="AA286" s="9" cm="1">
        <f t="array" ref="AA286">IF(OR(AB286:AE286=""),"BLANK",IF(AND(AB286:AE286&lt;999),1,IF(AND(AB286:AE286="NA"),3,2)))</f>
        <v>1</v>
      </c>
      <c r="AB286" s="4">
        <v>41</v>
      </c>
      <c r="AC286" s="4">
        <v>26</v>
      </c>
      <c r="AD286" s="4">
        <v>18</v>
      </c>
      <c r="AE286" s="5">
        <v>85</v>
      </c>
      <c r="AF286" s="9">
        <f t="shared" si="4"/>
        <v>1</v>
      </c>
      <c r="AG286" s="5">
        <v>68</v>
      </c>
      <c r="AH286" s="9" cm="1">
        <f t="array" ref="AH286">IF(OR(AI286:AN286=""),"BLANK",IF(AND(AI286:AN286&lt;99),1,IF(AND(AI286:AN286="NA"),3,2)))</f>
        <v>3</v>
      </c>
      <c r="AI286" s="4" t="s">
        <v>7</v>
      </c>
      <c r="AJ286" s="4" t="s">
        <v>7</v>
      </c>
      <c r="AK286" s="4" t="s">
        <v>7</v>
      </c>
      <c r="AL286" s="4" t="s">
        <v>7</v>
      </c>
      <c r="AM286" s="4" t="s">
        <v>7</v>
      </c>
      <c r="AN286" s="5" t="s">
        <v>7</v>
      </c>
    </row>
    <row r="287" spans="1:40" x14ac:dyDescent="0.2">
      <c r="A287" s="39">
        <v>1933</v>
      </c>
      <c r="B287" s="4" t="s">
        <v>65</v>
      </c>
      <c r="C287" s="30" t="s">
        <v>24</v>
      </c>
      <c r="D287" s="30">
        <v>5</v>
      </c>
      <c r="E287" s="30">
        <v>0</v>
      </c>
      <c r="F287" s="4">
        <v>3.7269999999999999</v>
      </c>
      <c r="G287" s="30">
        <v>28</v>
      </c>
      <c r="H287" s="33">
        <v>3.5838466803559208</v>
      </c>
      <c r="I287" s="33" t="s">
        <v>7</v>
      </c>
      <c r="J287" s="33" t="s">
        <v>7</v>
      </c>
      <c r="K287" s="33">
        <v>3.5838466803559208</v>
      </c>
      <c r="L287" s="33" t="s">
        <v>7</v>
      </c>
      <c r="M287" s="33" t="s">
        <v>7</v>
      </c>
      <c r="N287" s="33" t="s">
        <v>7</v>
      </c>
      <c r="O287" s="33" t="s">
        <v>7</v>
      </c>
      <c r="P287" s="33" t="s">
        <v>7</v>
      </c>
      <c r="Q287" s="33" t="s">
        <v>7</v>
      </c>
      <c r="R287" s="33" t="s">
        <v>7</v>
      </c>
      <c r="S287" s="33" t="s">
        <v>7</v>
      </c>
      <c r="T287" s="34">
        <v>7</v>
      </c>
      <c r="U287" s="34">
        <v>21</v>
      </c>
      <c r="V287" s="4" t="s">
        <v>1</v>
      </c>
      <c r="W287" s="4">
        <v>1</v>
      </c>
      <c r="X287" s="4">
        <v>1</v>
      </c>
      <c r="Y287" s="4">
        <v>1</v>
      </c>
      <c r="Z287" s="56">
        <v>3</v>
      </c>
      <c r="AA287" s="9" cm="1">
        <f t="array" ref="AA287">IF(OR(AB287:AE287=""),"BLANK",IF(AND(AB287:AE287&lt;999),1,IF(AND(AB287:AE287="NA"),3,2)))</f>
        <v>1</v>
      </c>
      <c r="AB287" s="4">
        <v>19</v>
      </c>
      <c r="AC287" s="4">
        <v>11</v>
      </c>
      <c r="AD287" s="4">
        <v>9</v>
      </c>
      <c r="AE287" s="5">
        <v>39</v>
      </c>
      <c r="AF287" s="9">
        <f t="shared" si="4"/>
        <v>1</v>
      </c>
      <c r="AG287" s="5">
        <v>26</v>
      </c>
      <c r="AH287" s="9" cm="1">
        <f t="array" ref="AH287">IF(OR(AI287:AN287=""),"BLANK",IF(AND(AI287:AN287&lt;99),1,IF(AND(AI287:AN287="NA"),3,2)))</f>
        <v>3</v>
      </c>
      <c r="AI287" s="4" t="s">
        <v>7</v>
      </c>
      <c r="AJ287" s="4" t="s">
        <v>7</v>
      </c>
      <c r="AK287" s="4" t="s">
        <v>7</v>
      </c>
      <c r="AL287" s="4" t="s">
        <v>7</v>
      </c>
      <c r="AM287" s="4" t="s">
        <v>7</v>
      </c>
      <c r="AN287" s="5" t="s">
        <v>7</v>
      </c>
    </row>
    <row r="288" spans="1:40" x14ac:dyDescent="0.2">
      <c r="A288" s="39">
        <v>1978</v>
      </c>
      <c r="B288" s="4" t="s">
        <v>66</v>
      </c>
      <c r="C288" s="30" t="s">
        <v>23</v>
      </c>
      <c r="D288" s="30">
        <v>5</v>
      </c>
      <c r="E288" s="30">
        <v>0</v>
      </c>
      <c r="F288" s="4">
        <v>3.9089999999999998</v>
      </c>
      <c r="G288" s="30">
        <v>28</v>
      </c>
      <c r="H288" s="33">
        <v>3.698836413415469</v>
      </c>
      <c r="I288" s="33" t="s">
        <v>7</v>
      </c>
      <c r="J288" s="33" t="s">
        <v>7</v>
      </c>
      <c r="K288" s="33">
        <v>3.698836413415469</v>
      </c>
      <c r="L288" s="33" t="s">
        <v>7</v>
      </c>
      <c r="M288" s="33" t="s">
        <v>7</v>
      </c>
      <c r="N288" s="33" t="s">
        <v>7</v>
      </c>
      <c r="O288" s="33" t="s">
        <v>7</v>
      </c>
      <c r="P288" s="33" t="s">
        <v>7</v>
      </c>
      <c r="Q288" s="33">
        <v>3.2772073921971252</v>
      </c>
      <c r="R288" s="33" t="s">
        <v>7</v>
      </c>
      <c r="S288" s="33" t="s">
        <v>7</v>
      </c>
      <c r="T288" s="34">
        <v>4</v>
      </c>
      <c r="U288" s="34">
        <v>16</v>
      </c>
      <c r="V288" s="4" t="s">
        <v>1</v>
      </c>
      <c r="W288" s="4">
        <v>1</v>
      </c>
      <c r="X288" s="4">
        <v>1</v>
      </c>
      <c r="Y288" s="4">
        <v>1</v>
      </c>
      <c r="Z288" s="56">
        <v>3</v>
      </c>
      <c r="AA288" s="9" cm="1">
        <f t="array" ref="AA288">IF(OR(AB288:AE288=""),"BLANK",IF(AND(AB288:AE288&lt;999),1,IF(AND(AB288:AE288="NA"),3,2)))</f>
        <v>1</v>
      </c>
      <c r="AB288" s="4">
        <v>29</v>
      </c>
      <c r="AC288" s="4">
        <v>16</v>
      </c>
      <c r="AD288" s="4">
        <v>15</v>
      </c>
      <c r="AE288" s="5">
        <v>60</v>
      </c>
      <c r="AF288" s="9">
        <f t="shared" si="4"/>
        <v>1</v>
      </c>
      <c r="AG288" s="5">
        <v>48</v>
      </c>
      <c r="AH288" s="9" cm="1">
        <f t="array" ref="AH288">IF(OR(AI288:AN288=""),"BLANK",IF(AND(AI288:AN288&lt;99),1,IF(AND(AI288:AN288="NA"),3,2)))</f>
        <v>3</v>
      </c>
      <c r="AI288" s="4" t="s">
        <v>7</v>
      </c>
      <c r="AJ288" s="4" t="s">
        <v>7</v>
      </c>
      <c r="AK288" s="4" t="s">
        <v>7</v>
      </c>
      <c r="AL288" s="4" t="s">
        <v>7</v>
      </c>
      <c r="AM288" s="4" t="s">
        <v>7</v>
      </c>
      <c r="AN288" s="5" t="s">
        <v>7</v>
      </c>
    </row>
    <row r="289" spans="1:40" x14ac:dyDescent="0.2">
      <c r="A289" s="39">
        <v>1993</v>
      </c>
      <c r="B289" s="4" t="s">
        <v>59</v>
      </c>
      <c r="C289" s="30" t="s">
        <v>23</v>
      </c>
      <c r="D289" s="30">
        <v>5</v>
      </c>
      <c r="E289" s="30">
        <v>0</v>
      </c>
      <c r="F289" s="4">
        <v>4</v>
      </c>
      <c r="G289" s="30">
        <v>27</v>
      </c>
      <c r="H289" s="33">
        <v>3.5208761122518824</v>
      </c>
      <c r="I289" s="33">
        <v>4.7008898015058183</v>
      </c>
      <c r="J289" s="33">
        <v>8.2217659137577002</v>
      </c>
      <c r="K289" s="33">
        <v>3.5208761122518824</v>
      </c>
      <c r="L289" s="33">
        <v>4.7008898015058183</v>
      </c>
      <c r="M289" s="33">
        <v>8.2217659137577002</v>
      </c>
      <c r="N289" s="33">
        <v>3.6550308008213555</v>
      </c>
      <c r="O289" s="33">
        <v>4.5475701574264207</v>
      </c>
      <c r="P289" s="33">
        <v>8.2026009582477748</v>
      </c>
      <c r="Q289" s="33">
        <v>3.5236139630390144</v>
      </c>
      <c r="R289" s="33">
        <v>5.420944558521561</v>
      </c>
      <c r="S289" s="33">
        <v>8.944558521560575</v>
      </c>
      <c r="T289" s="34">
        <v>3</v>
      </c>
      <c r="U289" s="34">
        <v>14</v>
      </c>
      <c r="V289" s="4" t="s">
        <v>1</v>
      </c>
      <c r="W289" s="4">
        <v>1</v>
      </c>
      <c r="X289" s="4">
        <v>1</v>
      </c>
      <c r="Y289" s="4">
        <v>1</v>
      </c>
      <c r="Z289" s="56">
        <v>3</v>
      </c>
      <c r="AA289" s="9" cm="1">
        <f t="array" ref="AA289">IF(OR(AB289:AE289=""),"BLANK",IF(AND(AB289:AE289&lt;999),1,IF(AND(AB289:AE289="NA"),3,2)))</f>
        <v>1</v>
      </c>
      <c r="AB289" s="4">
        <v>32</v>
      </c>
      <c r="AC289" s="4">
        <v>19</v>
      </c>
      <c r="AD289" s="4">
        <v>15</v>
      </c>
      <c r="AE289" s="5">
        <v>66</v>
      </c>
      <c r="AF289" s="9">
        <f t="shared" si="4"/>
        <v>1</v>
      </c>
      <c r="AG289" s="5">
        <v>53</v>
      </c>
      <c r="AH289" s="9" cm="1">
        <f t="array" ref="AH289">IF(OR(AI289:AN289=""),"BLANK",IF(AND(AI289:AN289&lt;99),1,IF(AND(AI289:AN289="NA"),3,2)))</f>
        <v>3</v>
      </c>
      <c r="AI289" s="4" t="s">
        <v>7</v>
      </c>
      <c r="AJ289" s="4" t="s">
        <v>7</v>
      </c>
      <c r="AK289" s="4" t="s">
        <v>7</v>
      </c>
      <c r="AL289" s="4" t="s">
        <v>7</v>
      </c>
      <c r="AM289" s="4" t="s">
        <v>7</v>
      </c>
      <c r="AN289" s="5" t="s">
        <v>7</v>
      </c>
    </row>
    <row r="290" spans="1:40" x14ac:dyDescent="0.2">
      <c r="A290" s="39">
        <v>2012</v>
      </c>
      <c r="B290" s="4" t="s">
        <v>67</v>
      </c>
      <c r="C290" s="30" t="s">
        <v>23</v>
      </c>
      <c r="D290" s="30">
        <v>5</v>
      </c>
      <c r="E290" s="30">
        <v>0</v>
      </c>
      <c r="F290" s="4">
        <v>4</v>
      </c>
      <c r="G290" s="30">
        <v>29</v>
      </c>
      <c r="H290" s="33">
        <v>3.6960985626283369</v>
      </c>
      <c r="I290" s="33">
        <v>4.9144421629021222</v>
      </c>
      <c r="J290" s="33">
        <v>8.6105407255304591</v>
      </c>
      <c r="K290" s="33" t="s">
        <v>7</v>
      </c>
      <c r="L290" s="33">
        <v>4.9144421629021222</v>
      </c>
      <c r="M290" s="33" t="s">
        <v>7</v>
      </c>
      <c r="N290" s="33">
        <v>4.1040383299110195</v>
      </c>
      <c r="O290" s="33">
        <v>4.2026009582477757</v>
      </c>
      <c r="P290" s="33">
        <v>8.3066392881587952</v>
      </c>
      <c r="Q290" s="33">
        <v>3.6605065023956196</v>
      </c>
      <c r="R290" s="33" t="s">
        <v>7</v>
      </c>
      <c r="S290" s="33" t="s">
        <v>7</v>
      </c>
      <c r="T290" s="34">
        <v>6</v>
      </c>
      <c r="U290" s="34">
        <v>18</v>
      </c>
      <c r="V290" s="4" t="s">
        <v>1</v>
      </c>
      <c r="W290" s="4">
        <v>1</v>
      </c>
      <c r="X290" s="4">
        <v>1</v>
      </c>
      <c r="Y290" s="4">
        <v>1</v>
      </c>
      <c r="Z290" s="56">
        <v>3</v>
      </c>
      <c r="AA290" s="9" cm="1">
        <f t="array" ref="AA290">IF(OR(AB290:AE290=""),"BLANK",IF(AND(AB290:AE290&lt;999),1,IF(AND(AB290:AE290="NA"),3,2)))</f>
        <v>1</v>
      </c>
      <c r="AB290" s="4">
        <v>24</v>
      </c>
      <c r="AC290" s="4">
        <v>17</v>
      </c>
      <c r="AD290" s="4">
        <v>11</v>
      </c>
      <c r="AE290" s="5">
        <v>52</v>
      </c>
      <c r="AF290" s="9">
        <f t="shared" si="4"/>
        <v>1</v>
      </c>
      <c r="AG290" s="5">
        <v>46</v>
      </c>
      <c r="AH290" s="9" cm="1">
        <f t="array" ref="AH290">IF(OR(AI290:AN290=""),"BLANK",IF(AND(AI290:AN290&lt;99),1,IF(AND(AI290:AN290="NA"),3,2)))</f>
        <v>3</v>
      </c>
      <c r="AI290" s="4" t="s">
        <v>7</v>
      </c>
      <c r="AJ290" s="4" t="s">
        <v>7</v>
      </c>
      <c r="AK290" s="4" t="s">
        <v>7</v>
      </c>
      <c r="AL290" s="4" t="s">
        <v>7</v>
      </c>
      <c r="AM290" s="4" t="s">
        <v>7</v>
      </c>
      <c r="AN290" s="5" t="s">
        <v>7</v>
      </c>
    </row>
    <row r="291" spans="1:40" x14ac:dyDescent="0.2">
      <c r="A291" s="39">
        <v>2031</v>
      </c>
      <c r="B291" s="4" t="s">
        <v>46</v>
      </c>
      <c r="C291" s="30" t="s">
        <v>23</v>
      </c>
      <c r="D291" s="30">
        <v>5</v>
      </c>
      <c r="E291" s="30">
        <v>0</v>
      </c>
      <c r="F291" s="4">
        <v>4</v>
      </c>
      <c r="G291" s="30">
        <v>30</v>
      </c>
      <c r="H291" s="33">
        <v>3.8959616700889801</v>
      </c>
      <c r="I291" s="33" t="s">
        <v>7</v>
      </c>
      <c r="J291" s="33" t="s">
        <v>7</v>
      </c>
      <c r="K291" s="33">
        <v>3.8959616700889801</v>
      </c>
      <c r="L291" s="33" t="s">
        <v>7</v>
      </c>
      <c r="M291" s="33" t="s">
        <v>7</v>
      </c>
      <c r="N291" s="33">
        <v>3.9342915811088295</v>
      </c>
      <c r="O291" s="33" t="s">
        <v>7</v>
      </c>
      <c r="P291" s="33" t="s">
        <v>7</v>
      </c>
      <c r="Q291" s="33" t="s">
        <v>7</v>
      </c>
      <c r="R291" s="33" t="s">
        <v>7</v>
      </c>
      <c r="S291" s="33" t="s">
        <v>7</v>
      </c>
      <c r="T291" s="34">
        <v>3</v>
      </c>
      <c r="U291" s="34">
        <v>15</v>
      </c>
      <c r="V291" s="4" t="s">
        <v>1</v>
      </c>
      <c r="W291" s="4">
        <v>1</v>
      </c>
      <c r="X291" s="4">
        <v>1</v>
      </c>
      <c r="Y291" s="4">
        <v>1</v>
      </c>
      <c r="Z291" s="56">
        <v>3</v>
      </c>
      <c r="AA291" s="9" cm="1">
        <f t="array" ref="AA291">IF(OR(AB291:AE291=""),"BLANK",IF(AND(AB291:AE291&lt;999),1,IF(AND(AB291:AE291="NA"),3,2)))</f>
        <v>1</v>
      </c>
      <c r="AB291" s="4">
        <v>30</v>
      </c>
      <c r="AC291" s="4">
        <v>23</v>
      </c>
      <c r="AD291" s="4">
        <v>14</v>
      </c>
      <c r="AE291" s="5">
        <v>67</v>
      </c>
      <c r="AF291" s="9">
        <f t="shared" si="4"/>
        <v>1</v>
      </c>
      <c r="AG291" s="5">
        <v>59</v>
      </c>
      <c r="AH291" s="9" cm="1">
        <f t="array" ref="AH291">IF(OR(AI291:AN291=""),"BLANK",IF(AND(AI291:AN291&lt;99),1,IF(AND(AI291:AN291="NA"),3,2)))</f>
        <v>3</v>
      </c>
      <c r="AI291" s="4" t="s">
        <v>7</v>
      </c>
      <c r="AJ291" s="4" t="s">
        <v>7</v>
      </c>
      <c r="AK291" s="4" t="s">
        <v>7</v>
      </c>
      <c r="AL291" s="4" t="s">
        <v>7</v>
      </c>
      <c r="AM291" s="4" t="s">
        <v>7</v>
      </c>
      <c r="AN291" s="5" t="s">
        <v>7</v>
      </c>
    </row>
    <row r="292" spans="1:40" x14ac:dyDescent="0.2">
      <c r="A292" s="39">
        <v>2034</v>
      </c>
      <c r="B292" s="4" t="s">
        <v>64</v>
      </c>
      <c r="C292" s="30" t="s">
        <v>23</v>
      </c>
      <c r="D292" s="30">
        <v>5</v>
      </c>
      <c r="E292" s="30">
        <v>0</v>
      </c>
      <c r="F292" s="4">
        <v>3.2730000000000001</v>
      </c>
      <c r="G292" s="30">
        <v>28</v>
      </c>
      <c r="H292" s="33" t="s">
        <v>7</v>
      </c>
      <c r="I292" s="33" t="s">
        <v>7</v>
      </c>
      <c r="J292" s="33" t="s">
        <v>7</v>
      </c>
      <c r="K292" s="33" t="s">
        <v>7</v>
      </c>
      <c r="L292" s="33" t="s">
        <v>7</v>
      </c>
      <c r="M292" s="33" t="s">
        <v>7</v>
      </c>
      <c r="N292" s="33" t="s">
        <v>7</v>
      </c>
      <c r="O292" s="33" t="s">
        <v>7</v>
      </c>
      <c r="P292" s="33" t="s">
        <v>7</v>
      </c>
      <c r="Q292" s="33" t="s">
        <v>7</v>
      </c>
      <c r="R292" s="33" t="s">
        <v>7</v>
      </c>
      <c r="S292" s="33" t="s">
        <v>7</v>
      </c>
      <c r="T292" s="34">
        <v>3</v>
      </c>
      <c r="U292" s="34">
        <v>14</v>
      </c>
      <c r="V292" s="4" t="s">
        <v>1</v>
      </c>
      <c r="W292" s="4">
        <v>1</v>
      </c>
      <c r="X292" s="4">
        <v>1</v>
      </c>
      <c r="Y292" s="4">
        <v>1</v>
      </c>
      <c r="Z292" s="56">
        <v>3</v>
      </c>
      <c r="AA292" s="9" cm="1">
        <f t="array" ref="AA292">IF(OR(AB292:AE292=""),"BLANK",IF(AND(AB292:AE292&lt;999),1,IF(AND(AB292:AE292="NA"),3,2)))</f>
        <v>1</v>
      </c>
      <c r="AB292" s="4">
        <v>24</v>
      </c>
      <c r="AC292" s="4">
        <v>17</v>
      </c>
      <c r="AD292" s="4">
        <v>10</v>
      </c>
      <c r="AE292" s="5">
        <v>51</v>
      </c>
      <c r="AF292" s="9">
        <f t="shared" si="4"/>
        <v>1</v>
      </c>
      <c r="AG292" s="5">
        <v>45</v>
      </c>
      <c r="AH292" s="9" cm="1">
        <f t="array" ref="AH292">IF(OR(AI292:AN292=""),"BLANK",IF(AND(AI292:AN292&lt;99),1,IF(AND(AI292:AN292="NA"),3,2)))</f>
        <v>3</v>
      </c>
      <c r="AI292" s="4" t="s">
        <v>7</v>
      </c>
      <c r="AJ292" s="4" t="s">
        <v>7</v>
      </c>
      <c r="AK292" s="4" t="s">
        <v>7</v>
      </c>
      <c r="AL292" s="4" t="s">
        <v>7</v>
      </c>
      <c r="AM292" s="4" t="s">
        <v>7</v>
      </c>
      <c r="AN292" s="5" t="s">
        <v>7</v>
      </c>
    </row>
    <row r="293" spans="1:40" x14ac:dyDescent="0.2">
      <c r="A293" s="39">
        <v>2035</v>
      </c>
      <c r="B293" s="4" t="s">
        <v>65</v>
      </c>
      <c r="C293" s="30" t="s">
        <v>24</v>
      </c>
      <c r="D293" s="30">
        <v>5</v>
      </c>
      <c r="E293" s="30">
        <v>0</v>
      </c>
      <c r="F293" s="4">
        <v>3.9089999999999998</v>
      </c>
      <c r="G293" s="30">
        <v>26</v>
      </c>
      <c r="H293" s="33">
        <v>3.4934976043805612</v>
      </c>
      <c r="I293" s="33">
        <v>4.6187542778918553</v>
      </c>
      <c r="J293" s="33">
        <v>8.1122518822724157</v>
      </c>
      <c r="K293" s="33">
        <v>3.4934976043805612</v>
      </c>
      <c r="L293" s="33">
        <v>4.6187542778918553</v>
      </c>
      <c r="M293" s="33">
        <v>8.1122518822724157</v>
      </c>
      <c r="N293" s="33">
        <v>3.4880219028062971</v>
      </c>
      <c r="O293" s="33" t="s">
        <v>7</v>
      </c>
      <c r="P293" s="33" t="s">
        <v>7</v>
      </c>
      <c r="Q293" s="33" t="s">
        <v>7</v>
      </c>
      <c r="R293" s="33" t="s">
        <v>7</v>
      </c>
      <c r="S293" s="33" t="s">
        <v>7</v>
      </c>
      <c r="T293" s="34">
        <v>6</v>
      </c>
      <c r="U293" s="34">
        <v>18</v>
      </c>
      <c r="V293" s="4" t="s">
        <v>1</v>
      </c>
      <c r="W293" s="4">
        <v>1</v>
      </c>
      <c r="X293" s="4">
        <v>1</v>
      </c>
      <c r="Y293" s="4">
        <v>1</v>
      </c>
      <c r="Z293" s="56">
        <v>3</v>
      </c>
      <c r="AA293" s="9" cm="1">
        <f t="array" ref="AA293">IF(OR(AB293:AE293=""),"BLANK",IF(AND(AB293:AE293&lt;999),1,IF(AND(AB293:AE293="NA"),3,2)))</f>
        <v>1</v>
      </c>
      <c r="AB293" s="4">
        <v>20</v>
      </c>
      <c r="AC293" s="4">
        <v>14</v>
      </c>
      <c r="AD293" s="4">
        <v>9</v>
      </c>
      <c r="AE293" s="5">
        <v>43</v>
      </c>
      <c r="AF293" s="9">
        <f t="shared" si="4"/>
        <v>1</v>
      </c>
      <c r="AG293" s="5">
        <v>26</v>
      </c>
      <c r="AH293" s="9" cm="1">
        <f t="array" ref="AH293">IF(OR(AI293:AN293=""),"BLANK",IF(AND(AI293:AN293&lt;99),1,IF(AND(AI293:AN293="NA"),3,2)))</f>
        <v>3</v>
      </c>
      <c r="AI293" s="4" t="s">
        <v>7</v>
      </c>
      <c r="AJ293" s="4" t="s">
        <v>7</v>
      </c>
      <c r="AK293" s="4" t="s">
        <v>7</v>
      </c>
      <c r="AL293" s="4" t="s">
        <v>7</v>
      </c>
      <c r="AM293" s="4" t="s">
        <v>7</v>
      </c>
      <c r="AN293" s="5" t="s">
        <v>7</v>
      </c>
    </row>
    <row r="294" spans="1:40" x14ac:dyDescent="0.2">
      <c r="A294" s="39">
        <v>2043</v>
      </c>
      <c r="B294" s="4" t="s">
        <v>65</v>
      </c>
      <c r="C294" s="30" t="s">
        <v>23</v>
      </c>
      <c r="D294" s="30">
        <v>5</v>
      </c>
      <c r="E294" s="30">
        <v>0</v>
      </c>
      <c r="F294" s="4">
        <v>3.5449999999999999</v>
      </c>
      <c r="G294" s="30">
        <v>28</v>
      </c>
      <c r="H294" s="33">
        <v>3.7262149212867897</v>
      </c>
      <c r="I294" s="33">
        <v>4.9774127310061598</v>
      </c>
      <c r="J294" s="33">
        <v>8.7036276522929494</v>
      </c>
      <c r="K294" s="33">
        <v>3.7262149212867897</v>
      </c>
      <c r="L294" s="33">
        <v>5.0130047912388775</v>
      </c>
      <c r="M294" s="33">
        <v>8.7392197125256672</v>
      </c>
      <c r="N294" s="33">
        <v>3.7289527720739222</v>
      </c>
      <c r="O294" s="33">
        <v>4.944558521560575</v>
      </c>
      <c r="P294" s="33">
        <v>8.6735112936344976</v>
      </c>
      <c r="Q294" s="33" t="s">
        <v>7</v>
      </c>
      <c r="R294" s="33" t="s">
        <v>7</v>
      </c>
      <c r="S294" s="33" t="s">
        <v>7</v>
      </c>
      <c r="T294" s="34">
        <v>3</v>
      </c>
      <c r="U294" s="34">
        <v>13</v>
      </c>
      <c r="V294" s="4" t="s">
        <v>1</v>
      </c>
      <c r="W294" s="4">
        <v>1</v>
      </c>
      <c r="X294" s="4">
        <v>1</v>
      </c>
      <c r="Y294" s="4">
        <v>1</v>
      </c>
      <c r="Z294" s="56">
        <v>3</v>
      </c>
      <c r="AA294" s="9" cm="1">
        <f t="array" ref="AA294">IF(OR(AB294:AE294=""),"BLANK",IF(AND(AB294:AE294&lt;999),1,IF(AND(AB294:AE294="NA"),3,2)))</f>
        <v>1</v>
      </c>
      <c r="AB294" s="4">
        <v>20</v>
      </c>
      <c r="AC294" s="4">
        <v>16</v>
      </c>
      <c r="AD294" s="4">
        <v>12</v>
      </c>
      <c r="AE294" s="5">
        <v>48</v>
      </c>
      <c r="AF294" s="9">
        <f t="shared" si="4"/>
        <v>1</v>
      </c>
      <c r="AG294" s="5">
        <v>43</v>
      </c>
      <c r="AH294" s="9" cm="1">
        <f t="array" ref="AH294">IF(OR(AI294:AN294=""),"BLANK",IF(AND(AI294:AN294&lt;99),1,IF(AND(AI294:AN294="NA"),3,2)))</f>
        <v>3</v>
      </c>
      <c r="AI294" s="4" t="s">
        <v>7</v>
      </c>
      <c r="AJ294" s="4" t="s">
        <v>7</v>
      </c>
      <c r="AK294" s="4" t="s">
        <v>7</v>
      </c>
      <c r="AL294" s="4" t="s">
        <v>7</v>
      </c>
      <c r="AM294" s="4" t="s">
        <v>7</v>
      </c>
      <c r="AN294" s="5" t="s">
        <v>7</v>
      </c>
    </row>
    <row r="295" spans="1:40" x14ac:dyDescent="0.2">
      <c r="A295" s="39">
        <v>2044</v>
      </c>
      <c r="B295" s="4" t="s">
        <v>67</v>
      </c>
      <c r="C295" s="30" t="s">
        <v>23</v>
      </c>
      <c r="D295" s="30">
        <v>5</v>
      </c>
      <c r="E295" s="30">
        <v>0</v>
      </c>
      <c r="F295" s="4">
        <v>4</v>
      </c>
      <c r="G295" s="30">
        <v>26</v>
      </c>
      <c r="H295" s="33" t="s">
        <v>7</v>
      </c>
      <c r="I295" s="33" t="s">
        <v>7</v>
      </c>
      <c r="J295" s="33" t="s">
        <v>7</v>
      </c>
      <c r="K295" s="33" t="s">
        <v>7</v>
      </c>
      <c r="L295" s="33" t="s">
        <v>7</v>
      </c>
      <c r="M295" s="33" t="s">
        <v>7</v>
      </c>
      <c r="N295" s="33" t="s">
        <v>7</v>
      </c>
      <c r="O295" s="33" t="s">
        <v>7</v>
      </c>
      <c r="P295" s="33" t="s">
        <v>7</v>
      </c>
      <c r="Q295" s="33" t="s">
        <v>7</v>
      </c>
      <c r="R295" s="33" t="s">
        <v>7</v>
      </c>
      <c r="S295" s="33" t="s">
        <v>7</v>
      </c>
      <c r="T295" s="34">
        <v>6</v>
      </c>
      <c r="U295" s="34">
        <v>18</v>
      </c>
      <c r="V295" s="4" t="s">
        <v>1</v>
      </c>
      <c r="W295" s="4">
        <v>1</v>
      </c>
      <c r="X295" s="4">
        <v>1</v>
      </c>
      <c r="Y295" s="4">
        <v>1</v>
      </c>
      <c r="Z295" s="56">
        <v>3</v>
      </c>
      <c r="AA295" s="9" cm="1">
        <f t="array" ref="AA295">IF(OR(AB295:AE295=""),"BLANK",IF(AND(AB295:AE295&lt;999),1,IF(AND(AB295:AE295="NA"),3,2)))</f>
        <v>1</v>
      </c>
      <c r="AB295" s="4">
        <v>25</v>
      </c>
      <c r="AC295" s="4">
        <v>17</v>
      </c>
      <c r="AD295" s="4">
        <v>10</v>
      </c>
      <c r="AE295" s="5">
        <v>52</v>
      </c>
      <c r="AF295" s="9">
        <f t="shared" si="4"/>
        <v>1</v>
      </c>
      <c r="AG295" s="5">
        <v>38</v>
      </c>
      <c r="AH295" s="9" cm="1">
        <f t="array" ref="AH295">IF(OR(AI295:AN295=""),"BLANK",IF(AND(AI295:AN295&lt;99),1,IF(AND(AI295:AN295="NA"),3,2)))</f>
        <v>3</v>
      </c>
      <c r="AI295" s="4" t="s">
        <v>7</v>
      </c>
      <c r="AJ295" s="4" t="s">
        <v>7</v>
      </c>
      <c r="AK295" s="4" t="s">
        <v>7</v>
      </c>
      <c r="AL295" s="4" t="s">
        <v>7</v>
      </c>
      <c r="AM295" s="4" t="s">
        <v>7</v>
      </c>
      <c r="AN295" s="5" t="s">
        <v>7</v>
      </c>
    </row>
    <row r="296" spans="1:40" x14ac:dyDescent="0.2">
      <c r="A296" s="39">
        <v>2053</v>
      </c>
      <c r="B296" s="4" t="s">
        <v>65</v>
      </c>
      <c r="C296" s="30" t="s">
        <v>23</v>
      </c>
      <c r="D296" s="30">
        <v>5</v>
      </c>
      <c r="E296" s="30">
        <v>0</v>
      </c>
      <c r="F296" s="4">
        <v>4</v>
      </c>
      <c r="G296" s="30">
        <v>30</v>
      </c>
      <c r="H296" s="33">
        <v>3.9589322381930185</v>
      </c>
      <c r="I296" s="33" t="s">
        <v>7</v>
      </c>
      <c r="J296" s="33" t="s">
        <v>7</v>
      </c>
      <c r="K296" s="33">
        <v>3.9589322381930185</v>
      </c>
      <c r="L296" s="33" t="s">
        <v>7</v>
      </c>
      <c r="M296" s="33" t="s">
        <v>7</v>
      </c>
      <c r="N296" s="33" t="s">
        <v>7</v>
      </c>
      <c r="O296" s="33" t="s">
        <v>7</v>
      </c>
      <c r="P296" s="33" t="s">
        <v>7</v>
      </c>
      <c r="Q296" s="33" t="s">
        <v>7</v>
      </c>
      <c r="R296" s="33" t="s">
        <v>7</v>
      </c>
      <c r="S296" s="33" t="s">
        <v>7</v>
      </c>
      <c r="T296" s="34">
        <v>3</v>
      </c>
      <c r="U296" s="34">
        <v>13.5</v>
      </c>
      <c r="V296" s="4" t="s">
        <v>1</v>
      </c>
      <c r="W296" s="4">
        <v>1</v>
      </c>
      <c r="X296" s="4">
        <v>1</v>
      </c>
      <c r="Y296" s="4">
        <v>1</v>
      </c>
      <c r="Z296" s="56">
        <v>3</v>
      </c>
      <c r="AA296" s="9" cm="1">
        <f t="array" ref="AA296">IF(OR(AB296:AE296=""),"BLANK",IF(AND(AB296:AE296&lt;999),1,IF(AND(AB296:AE296="NA"),3,2)))</f>
        <v>1</v>
      </c>
      <c r="AB296" s="4">
        <v>32</v>
      </c>
      <c r="AC296" s="4">
        <v>16</v>
      </c>
      <c r="AD296" s="4">
        <v>11</v>
      </c>
      <c r="AE296" s="5">
        <v>59</v>
      </c>
      <c r="AF296" s="9">
        <f t="shared" si="4"/>
        <v>1</v>
      </c>
      <c r="AG296" s="5">
        <v>51</v>
      </c>
      <c r="AH296" s="9" cm="1">
        <f t="array" ref="AH296">IF(OR(AI296:AN296=""),"BLANK",IF(AND(AI296:AN296&lt;99),1,IF(AND(AI296:AN296="NA"),3,2)))</f>
        <v>3</v>
      </c>
      <c r="AI296" s="4" t="s">
        <v>7</v>
      </c>
      <c r="AJ296" s="4" t="s">
        <v>7</v>
      </c>
      <c r="AK296" s="4" t="s">
        <v>7</v>
      </c>
      <c r="AL296" s="4" t="s">
        <v>7</v>
      </c>
      <c r="AM296" s="4" t="s">
        <v>7</v>
      </c>
      <c r="AN296" s="5" t="s">
        <v>7</v>
      </c>
    </row>
    <row r="297" spans="1:40" x14ac:dyDescent="0.2">
      <c r="A297" s="39">
        <v>2054</v>
      </c>
      <c r="B297" s="4" t="s">
        <v>67</v>
      </c>
      <c r="C297" s="30" t="s">
        <v>24</v>
      </c>
      <c r="D297" s="30">
        <v>7</v>
      </c>
      <c r="E297" s="30">
        <v>0</v>
      </c>
      <c r="F297" s="4">
        <v>3.6360000000000001</v>
      </c>
      <c r="G297" s="30">
        <v>27</v>
      </c>
      <c r="H297" s="33" t="s">
        <v>7</v>
      </c>
      <c r="I297" s="33" t="s">
        <v>7</v>
      </c>
      <c r="J297" s="33" t="s">
        <v>7</v>
      </c>
      <c r="K297" s="33" t="s">
        <v>7</v>
      </c>
      <c r="L297" s="33" t="s">
        <v>7</v>
      </c>
      <c r="M297" s="33" t="s">
        <v>7</v>
      </c>
      <c r="N297" s="33" t="s">
        <v>7</v>
      </c>
      <c r="O297" s="33" t="s">
        <v>7</v>
      </c>
      <c r="P297" s="33" t="s">
        <v>7</v>
      </c>
      <c r="Q297" s="33" t="s">
        <v>7</v>
      </c>
      <c r="R297" s="33" t="s">
        <v>7</v>
      </c>
      <c r="S297" s="33" t="s">
        <v>7</v>
      </c>
      <c r="T297" s="34">
        <v>3</v>
      </c>
      <c r="U297" s="34">
        <v>13</v>
      </c>
      <c r="V297" s="4" t="s">
        <v>1</v>
      </c>
      <c r="W297" s="4">
        <v>1</v>
      </c>
      <c r="X297" s="4">
        <v>1</v>
      </c>
      <c r="Y297" s="4">
        <v>1</v>
      </c>
      <c r="Z297" s="56">
        <v>3</v>
      </c>
      <c r="AA297" s="9" cm="1">
        <f t="array" ref="AA297">IF(OR(AB297:AE297=""),"BLANK",IF(AND(AB297:AE297&lt;999),1,IF(AND(AB297:AE297="NA"),3,2)))</f>
        <v>1</v>
      </c>
      <c r="AB297" s="4">
        <v>19</v>
      </c>
      <c r="AC297" s="4">
        <v>9</v>
      </c>
      <c r="AD297" s="4">
        <v>6</v>
      </c>
      <c r="AE297" s="5">
        <v>34</v>
      </c>
      <c r="AF297" s="9">
        <f t="shared" si="4"/>
        <v>1</v>
      </c>
      <c r="AG297" s="5">
        <v>21</v>
      </c>
      <c r="AH297" s="9" cm="1">
        <f t="array" ref="AH297">IF(OR(AI297:AN297=""),"BLANK",IF(AND(AI297:AN297&lt;99),1,IF(AND(AI297:AN297="NA"),3,2)))</f>
        <v>3</v>
      </c>
      <c r="AI297" s="4" t="s">
        <v>7</v>
      </c>
      <c r="AJ297" s="4" t="s">
        <v>7</v>
      </c>
      <c r="AK297" s="4" t="s">
        <v>7</v>
      </c>
      <c r="AL297" s="4" t="s">
        <v>7</v>
      </c>
      <c r="AM297" s="4" t="s">
        <v>7</v>
      </c>
      <c r="AN297" s="5" t="s">
        <v>7</v>
      </c>
    </row>
    <row r="298" spans="1:40" x14ac:dyDescent="0.2">
      <c r="A298" s="39">
        <v>2058</v>
      </c>
      <c r="B298" s="4" t="s">
        <v>67</v>
      </c>
      <c r="C298" s="30" t="s">
        <v>23</v>
      </c>
      <c r="D298" s="30">
        <v>5</v>
      </c>
      <c r="E298" s="30">
        <v>0</v>
      </c>
      <c r="F298" s="4">
        <v>3.9089999999999998</v>
      </c>
      <c r="G298" s="30">
        <v>27</v>
      </c>
      <c r="H298" s="33" t="s">
        <v>7</v>
      </c>
      <c r="I298" s="33" t="s">
        <v>7</v>
      </c>
      <c r="J298" s="33" t="s">
        <v>7</v>
      </c>
      <c r="K298" s="33" t="s">
        <v>7</v>
      </c>
      <c r="L298" s="33" t="s">
        <v>7</v>
      </c>
      <c r="M298" s="33" t="s">
        <v>7</v>
      </c>
      <c r="N298" s="33" t="s">
        <v>7</v>
      </c>
      <c r="O298" s="33" t="s">
        <v>7</v>
      </c>
      <c r="P298" s="33" t="s">
        <v>7</v>
      </c>
      <c r="Q298" s="33" t="s">
        <v>7</v>
      </c>
      <c r="R298" s="33" t="s">
        <v>7</v>
      </c>
      <c r="S298" s="33" t="s">
        <v>7</v>
      </c>
      <c r="T298" s="34">
        <v>4</v>
      </c>
      <c r="U298" s="34">
        <v>16</v>
      </c>
      <c r="V298" s="4" t="s">
        <v>1</v>
      </c>
      <c r="W298" s="4">
        <v>1</v>
      </c>
      <c r="X298" s="4">
        <v>1</v>
      </c>
      <c r="Y298" s="4">
        <v>1</v>
      </c>
      <c r="Z298" s="56">
        <v>3</v>
      </c>
      <c r="AA298" s="9" cm="1">
        <f t="array" ref="AA298">IF(OR(AB298:AE298=""),"BLANK",IF(AND(AB298:AE298&lt;999),1,IF(AND(AB298:AE298="NA"),3,2)))</f>
        <v>1</v>
      </c>
      <c r="AB298" s="4">
        <v>20</v>
      </c>
      <c r="AC298" s="4">
        <v>13</v>
      </c>
      <c r="AD298" s="4">
        <v>7</v>
      </c>
      <c r="AE298" s="5">
        <v>40</v>
      </c>
      <c r="AF298" s="9">
        <f t="shared" si="4"/>
        <v>1</v>
      </c>
      <c r="AG298" s="5">
        <v>42</v>
      </c>
      <c r="AH298" s="9" cm="1">
        <f t="array" ref="AH298">IF(OR(AI298:AN298=""),"BLANK",IF(AND(AI298:AN298&lt;99),1,IF(AND(AI298:AN298="NA"),3,2)))</f>
        <v>3</v>
      </c>
      <c r="AI298" s="4" t="s">
        <v>7</v>
      </c>
      <c r="AJ298" s="4" t="s">
        <v>7</v>
      </c>
      <c r="AK298" s="4" t="s">
        <v>7</v>
      </c>
      <c r="AL298" s="4" t="s">
        <v>7</v>
      </c>
      <c r="AM298" s="4" t="s">
        <v>7</v>
      </c>
      <c r="AN298" s="5" t="s">
        <v>7</v>
      </c>
    </row>
    <row r="299" spans="1:40" x14ac:dyDescent="0.2">
      <c r="A299" s="39">
        <v>2062</v>
      </c>
      <c r="B299" s="4" t="s">
        <v>64</v>
      </c>
      <c r="C299" s="30" t="s">
        <v>24</v>
      </c>
      <c r="D299" s="30">
        <v>5</v>
      </c>
      <c r="E299" s="30">
        <v>0</v>
      </c>
      <c r="F299" s="4">
        <v>3.7269999999999999</v>
      </c>
      <c r="G299" s="30">
        <v>26</v>
      </c>
      <c r="H299" s="33" t="s">
        <v>7</v>
      </c>
      <c r="I299" s="33" t="s">
        <v>7</v>
      </c>
      <c r="J299" s="33" t="s">
        <v>7</v>
      </c>
      <c r="K299" s="33" t="s">
        <v>7</v>
      </c>
      <c r="L299" s="33" t="s">
        <v>7</v>
      </c>
      <c r="M299" s="33" t="s">
        <v>7</v>
      </c>
      <c r="N299" s="33" t="s">
        <v>7</v>
      </c>
      <c r="O299" s="33" t="s">
        <v>7</v>
      </c>
      <c r="P299" s="33" t="s">
        <v>7</v>
      </c>
      <c r="Q299" s="33" t="s">
        <v>7</v>
      </c>
      <c r="R299" s="33" t="s">
        <v>7</v>
      </c>
      <c r="S299" s="33" t="s">
        <v>7</v>
      </c>
      <c r="T299" s="34">
        <v>5</v>
      </c>
      <c r="U299" s="34">
        <v>18</v>
      </c>
      <c r="V299" s="4" t="s">
        <v>1</v>
      </c>
      <c r="W299" s="4">
        <v>1</v>
      </c>
      <c r="X299" s="4">
        <v>1</v>
      </c>
      <c r="Y299" s="4">
        <v>1</v>
      </c>
      <c r="Z299" s="56">
        <v>3</v>
      </c>
      <c r="AA299" s="9" cm="1">
        <f t="array" ref="AA299">IF(OR(AB299:AE299=""),"BLANK",IF(AND(AB299:AE299&lt;999),1,IF(AND(AB299:AE299="NA"),3,2)))</f>
        <v>1</v>
      </c>
      <c r="AB299" s="4">
        <v>31</v>
      </c>
      <c r="AC299" s="4">
        <v>15</v>
      </c>
      <c r="AD299" s="4">
        <v>11</v>
      </c>
      <c r="AE299" s="5">
        <v>57</v>
      </c>
      <c r="AF299" s="9">
        <f t="shared" si="4"/>
        <v>1</v>
      </c>
      <c r="AG299" s="5">
        <v>45</v>
      </c>
      <c r="AH299" s="9" cm="1">
        <f t="array" ref="AH299">IF(OR(AI299:AN299=""),"BLANK",IF(AND(AI299:AN299&lt;99),1,IF(AND(AI299:AN299="NA"),3,2)))</f>
        <v>3</v>
      </c>
      <c r="AI299" s="4" t="s">
        <v>7</v>
      </c>
      <c r="AJ299" s="4" t="s">
        <v>7</v>
      </c>
      <c r="AK299" s="4" t="s">
        <v>7</v>
      </c>
      <c r="AL299" s="4" t="s">
        <v>7</v>
      </c>
      <c r="AM299" s="4" t="s">
        <v>7</v>
      </c>
      <c r="AN299" s="5" t="s">
        <v>7</v>
      </c>
    </row>
    <row r="300" spans="1:40" x14ac:dyDescent="0.2">
      <c r="A300" s="39">
        <v>2064</v>
      </c>
      <c r="B300" s="4" t="s">
        <v>67</v>
      </c>
      <c r="C300" s="30" t="s">
        <v>23</v>
      </c>
      <c r="D300" s="30">
        <v>5</v>
      </c>
      <c r="E300" s="30">
        <v>0</v>
      </c>
      <c r="F300" s="4">
        <v>4</v>
      </c>
      <c r="G300" s="30">
        <v>27</v>
      </c>
      <c r="H300" s="33">
        <v>3.8603696098562628</v>
      </c>
      <c r="I300" s="33" t="s">
        <v>7</v>
      </c>
      <c r="J300" s="33" t="s">
        <v>7</v>
      </c>
      <c r="K300" s="33" t="s">
        <v>7</v>
      </c>
      <c r="L300" s="33" t="s">
        <v>7</v>
      </c>
      <c r="M300" s="33" t="s">
        <v>7</v>
      </c>
      <c r="N300" s="33">
        <v>3.8959616700889801</v>
      </c>
      <c r="O300" s="33" t="s">
        <v>7</v>
      </c>
      <c r="P300" s="33" t="s">
        <v>7</v>
      </c>
      <c r="Q300" s="33">
        <v>3.2553045859000687</v>
      </c>
      <c r="R300" s="33" t="s">
        <v>7</v>
      </c>
      <c r="S300" s="33" t="s">
        <v>7</v>
      </c>
      <c r="T300" s="34">
        <v>3</v>
      </c>
      <c r="U300" s="34">
        <v>12</v>
      </c>
      <c r="V300" s="4" t="s">
        <v>1</v>
      </c>
      <c r="W300" s="4">
        <v>1</v>
      </c>
      <c r="X300" s="4">
        <v>1</v>
      </c>
      <c r="Y300" s="4">
        <v>1</v>
      </c>
      <c r="Z300" s="56">
        <v>3</v>
      </c>
      <c r="AA300" s="9" cm="1">
        <f t="array" ref="AA300">IF(OR(AB300:AE300=""),"BLANK",IF(AND(AB300:AE300&lt;999),1,IF(AND(AB300:AE300="NA"),3,2)))</f>
        <v>1</v>
      </c>
      <c r="AB300" s="4">
        <v>28</v>
      </c>
      <c r="AC300" s="4">
        <v>14</v>
      </c>
      <c r="AD300" s="4">
        <v>12</v>
      </c>
      <c r="AE300" s="5">
        <v>54</v>
      </c>
      <c r="AF300" s="9">
        <f t="shared" si="4"/>
        <v>1</v>
      </c>
      <c r="AG300" s="5">
        <v>39</v>
      </c>
      <c r="AH300" s="9" cm="1">
        <f t="array" ref="AH300">IF(OR(AI300:AN300=""),"BLANK",IF(AND(AI300:AN300&lt;99),1,IF(AND(AI300:AN300="NA"),3,2)))</f>
        <v>3</v>
      </c>
      <c r="AI300" s="4" t="s">
        <v>7</v>
      </c>
      <c r="AJ300" s="4" t="s">
        <v>7</v>
      </c>
      <c r="AK300" s="4" t="s">
        <v>7</v>
      </c>
      <c r="AL300" s="4" t="s">
        <v>7</v>
      </c>
      <c r="AM300" s="4" t="s">
        <v>7</v>
      </c>
      <c r="AN300" s="5" t="s">
        <v>7</v>
      </c>
    </row>
    <row r="301" spans="1:40" x14ac:dyDescent="0.2">
      <c r="A301" s="39">
        <v>2067</v>
      </c>
      <c r="B301" s="4" t="s">
        <v>60</v>
      </c>
      <c r="C301" s="30" t="s">
        <v>23</v>
      </c>
      <c r="D301" s="30">
        <v>5</v>
      </c>
      <c r="E301" s="30">
        <v>0</v>
      </c>
      <c r="F301" s="4">
        <v>3.0910000000000002</v>
      </c>
      <c r="G301" s="30">
        <v>29</v>
      </c>
      <c r="H301" s="33" t="s">
        <v>7</v>
      </c>
      <c r="I301" s="33" t="s">
        <v>7</v>
      </c>
      <c r="J301" s="33" t="s">
        <v>7</v>
      </c>
      <c r="K301" s="33" t="s">
        <v>7</v>
      </c>
      <c r="L301" s="33" t="s">
        <v>7</v>
      </c>
      <c r="M301" s="33" t="s">
        <v>7</v>
      </c>
      <c r="N301" s="33" t="s">
        <v>7</v>
      </c>
      <c r="O301" s="33" t="s">
        <v>7</v>
      </c>
      <c r="P301" s="33" t="s">
        <v>7</v>
      </c>
      <c r="Q301" s="33" t="s">
        <v>7</v>
      </c>
      <c r="R301" s="33" t="s">
        <v>7</v>
      </c>
      <c r="S301" s="33" t="s">
        <v>7</v>
      </c>
      <c r="T301" s="34">
        <v>5</v>
      </c>
      <c r="U301" s="34">
        <v>17</v>
      </c>
      <c r="V301" s="4" t="s">
        <v>1</v>
      </c>
      <c r="W301" s="4">
        <v>1</v>
      </c>
      <c r="X301" s="4">
        <v>1</v>
      </c>
      <c r="Y301" s="4">
        <v>1</v>
      </c>
      <c r="Z301" s="56">
        <v>3</v>
      </c>
      <c r="AA301" s="9" cm="1">
        <f t="array" ref="AA301">IF(OR(AB301:AE301=""),"BLANK",IF(AND(AB301:AE301&lt;999),1,IF(AND(AB301:AE301="NA"),3,2)))</f>
        <v>1</v>
      </c>
      <c r="AB301" s="4">
        <v>26</v>
      </c>
      <c r="AC301" s="4">
        <v>13</v>
      </c>
      <c r="AD301" s="4">
        <v>11</v>
      </c>
      <c r="AE301" s="5">
        <v>50</v>
      </c>
      <c r="AF301" s="9">
        <f t="shared" si="4"/>
        <v>1</v>
      </c>
      <c r="AG301" s="5">
        <v>46</v>
      </c>
      <c r="AH301" s="9" cm="1">
        <f t="array" ref="AH301">IF(OR(AI301:AN301=""),"BLANK",IF(AND(AI301:AN301&lt;99),1,IF(AND(AI301:AN301="NA"),3,2)))</f>
        <v>3</v>
      </c>
      <c r="AI301" s="4" t="s">
        <v>7</v>
      </c>
      <c r="AJ301" s="4" t="s">
        <v>7</v>
      </c>
      <c r="AK301" s="4" t="s">
        <v>7</v>
      </c>
      <c r="AL301" s="4" t="s">
        <v>7</v>
      </c>
      <c r="AM301" s="4" t="s">
        <v>7</v>
      </c>
      <c r="AN301" s="5" t="s">
        <v>7</v>
      </c>
    </row>
    <row r="302" spans="1:40" x14ac:dyDescent="0.2">
      <c r="A302" s="39">
        <v>2068</v>
      </c>
      <c r="B302" s="4" t="s">
        <v>65</v>
      </c>
      <c r="C302" s="30" t="s">
        <v>24</v>
      </c>
      <c r="D302" s="30">
        <v>5</v>
      </c>
      <c r="E302" s="30">
        <v>0</v>
      </c>
      <c r="F302" s="4">
        <v>3.2730000000000001</v>
      </c>
      <c r="G302" s="30">
        <v>27</v>
      </c>
      <c r="H302" s="33">
        <v>4.2381930184804926</v>
      </c>
      <c r="I302" s="33">
        <v>4.213552361396304</v>
      </c>
      <c r="J302" s="33">
        <v>8.4517453798767974</v>
      </c>
      <c r="K302" s="33">
        <v>4.2546201232032859</v>
      </c>
      <c r="L302" s="33">
        <v>4.1971252566735116</v>
      </c>
      <c r="M302" s="33">
        <v>8.4517453798767974</v>
      </c>
      <c r="N302" s="33">
        <v>4.1232032854209448</v>
      </c>
      <c r="O302" s="33">
        <v>3.8877481177275839</v>
      </c>
      <c r="P302" s="33">
        <v>8.0109514031485283</v>
      </c>
      <c r="Q302" s="33" t="s">
        <v>7</v>
      </c>
      <c r="R302" s="33" t="s">
        <v>7</v>
      </c>
      <c r="S302" s="33" t="s">
        <v>7</v>
      </c>
      <c r="T302" s="34">
        <v>4</v>
      </c>
      <c r="U302" s="34">
        <v>16</v>
      </c>
      <c r="V302" s="4" t="s">
        <v>1</v>
      </c>
      <c r="W302" s="4">
        <v>1</v>
      </c>
      <c r="X302" s="4">
        <v>1</v>
      </c>
      <c r="Y302" s="4">
        <v>1</v>
      </c>
      <c r="Z302" s="56">
        <v>3</v>
      </c>
      <c r="AA302" s="9" cm="1">
        <f t="array" ref="AA302">IF(OR(AB302:AE302=""),"BLANK",IF(AND(AB302:AE302&lt;999),1,IF(AND(AB302:AE302="NA"),3,2)))</f>
        <v>1</v>
      </c>
      <c r="AB302" s="4">
        <v>28</v>
      </c>
      <c r="AC302" s="4">
        <v>14</v>
      </c>
      <c r="AD302" s="4">
        <v>4</v>
      </c>
      <c r="AE302" s="5">
        <v>46</v>
      </c>
      <c r="AF302" s="9">
        <f t="shared" si="4"/>
        <v>1</v>
      </c>
      <c r="AG302" s="5">
        <v>35</v>
      </c>
      <c r="AH302" s="9" cm="1">
        <f t="array" ref="AH302">IF(OR(AI302:AN302=""),"BLANK",IF(AND(AI302:AN302&lt;99),1,IF(AND(AI302:AN302="NA"),3,2)))</f>
        <v>3</v>
      </c>
      <c r="AI302" s="4" t="s">
        <v>7</v>
      </c>
      <c r="AJ302" s="4" t="s">
        <v>7</v>
      </c>
      <c r="AK302" s="4" t="s">
        <v>7</v>
      </c>
      <c r="AL302" s="4" t="s">
        <v>7</v>
      </c>
      <c r="AM302" s="4" t="s">
        <v>7</v>
      </c>
      <c r="AN302" s="5" t="s">
        <v>7</v>
      </c>
    </row>
    <row r="303" spans="1:40" x14ac:dyDescent="0.2">
      <c r="A303" s="39">
        <v>2085</v>
      </c>
      <c r="B303" s="4" t="s">
        <v>50</v>
      </c>
      <c r="C303" s="30" t="s">
        <v>24</v>
      </c>
      <c r="D303" s="30">
        <v>2</v>
      </c>
      <c r="E303" s="30">
        <v>0</v>
      </c>
      <c r="F303" s="4">
        <v>4</v>
      </c>
      <c r="G303" s="30">
        <v>29</v>
      </c>
      <c r="H303" s="33">
        <v>3.6878850102669403</v>
      </c>
      <c r="I303" s="33" t="s">
        <v>7</v>
      </c>
      <c r="J303" s="33" t="s">
        <v>7</v>
      </c>
      <c r="K303" s="33">
        <v>3.6878850102669403</v>
      </c>
      <c r="L303" s="33" t="s">
        <v>7</v>
      </c>
      <c r="M303" s="33" t="s">
        <v>7</v>
      </c>
      <c r="N303" s="33">
        <v>3.7262149212867897</v>
      </c>
      <c r="O303" s="33" t="s">
        <v>7</v>
      </c>
      <c r="P303" s="33" t="s">
        <v>7</v>
      </c>
      <c r="Q303" s="33" t="s">
        <v>7</v>
      </c>
      <c r="R303" s="33" t="s">
        <v>7</v>
      </c>
      <c r="S303" s="33" t="s">
        <v>7</v>
      </c>
      <c r="T303" s="34">
        <v>4</v>
      </c>
      <c r="U303" s="34">
        <v>16</v>
      </c>
      <c r="V303" s="4" t="s">
        <v>1</v>
      </c>
      <c r="W303" s="4">
        <v>1</v>
      </c>
      <c r="X303" s="4">
        <v>1</v>
      </c>
      <c r="Y303" s="4">
        <v>1</v>
      </c>
      <c r="Z303" s="56">
        <v>3</v>
      </c>
      <c r="AA303" s="9" cm="1">
        <f t="array" ref="AA303">IF(OR(AB303:AE303=""),"BLANK",IF(AND(AB303:AE303&lt;999),1,IF(AND(AB303:AE303="NA"),3,2)))</f>
        <v>1</v>
      </c>
      <c r="AB303" s="4">
        <v>25</v>
      </c>
      <c r="AC303" s="4">
        <v>18</v>
      </c>
      <c r="AD303" s="4">
        <v>13</v>
      </c>
      <c r="AE303" s="5">
        <v>56</v>
      </c>
      <c r="AF303" s="9">
        <f t="shared" si="4"/>
        <v>1</v>
      </c>
      <c r="AG303" s="5">
        <v>62</v>
      </c>
      <c r="AH303" s="9" cm="1">
        <f t="array" ref="AH303">IF(OR(AI303:AN303=""),"BLANK",IF(AND(AI303:AN303&lt;99),1,IF(AND(AI303:AN303="NA"),3,2)))</f>
        <v>3</v>
      </c>
      <c r="AI303" s="4" t="s">
        <v>7</v>
      </c>
      <c r="AJ303" s="4" t="s">
        <v>7</v>
      </c>
      <c r="AK303" s="4" t="s">
        <v>7</v>
      </c>
      <c r="AL303" s="4" t="s">
        <v>7</v>
      </c>
      <c r="AM303" s="4" t="s">
        <v>7</v>
      </c>
      <c r="AN303" s="5" t="s">
        <v>7</v>
      </c>
    </row>
    <row r="304" spans="1:40" x14ac:dyDescent="0.2">
      <c r="A304" s="39">
        <v>2087</v>
      </c>
      <c r="B304" s="4" t="s">
        <v>65</v>
      </c>
      <c r="C304" s="30" t="s">
        <v>23</v>
      </c>
      <c r="D304" s="30">
        <v>5</v>
      </c>
      <c r="E304" s="30">
        <v>0</v>
      </c>
      <c r="F304" s="4">
        <v>4</v>
      </c>
      <c r="G304" s="30">
        <v>28</v>
      </c>
      <c r="H304" s="33">
        <v>4</v>
      </c>
      <c r="I304" s="33">
        <v>4.6762491444216288</v>
      </c>
      <c r="J304" s="33">
        <v>8.6762491444216288</v>
      </c>
      <c r="K304" s="33">
        <v>4</v>
      </c>
      <c r="L304" s="33">
        <v>4.7063655030800824</v>
      </c>
      <c r="M304" s="33">
        <v>8.7063655030800824</v>
      </c>
      <c r="N304" s="33" t="s">
        <v>7</v>
      </c>
      <c r="O304" s="33" t="s">
        <v>7</v>
      </c>
      <c r="P304" s="33" t="s">
        <v>7</v>
      </c>
      <c r="Q304" s="33" t="s">
        <v>7</v>
      </c>
      <c r="R304" s="33" t="s">
        <v>7</v>
      </c>
      <c r="S304" s="33" t="s">
        <v>7</v>
      </c>
      <c r="T304" s="34">
        <v>4</v>
      </c>
      <c r="U304" s="34">
        <v>16</v>
      </c>
      <c r="V304" s="4" t="s">
        <v>1</v>
      </c>
      <c r="W304" s="4">
        <v>1</v>
      </c>
      <c r="X304" s="4">
        <v>1</v>
      </c>
      <c r="Y304" s="4">
        <v>1</v>
      </c>
      <c r="Z304" s="56">
        <v>3</v>
      </c>
      <c r="AA304" s="9" cm="1">
        <f t="array" ref="AA304">IF(OR(AB304:AE304=""),"BLANK",IF(AND(AB304:AE304&lt;999),1,IF(AND(AB304:AE304="NA"),3,2)))</f>
        <v>1</v>
      </c>
      <c r="AB304" s="4">
        <v>20</v>
      </c>
      <c r="AC304" s="4">
        <v>16</v>
      </c>
      <c r="AD304" s="4">
        <v>12</v>
      </c>
      <c r="AE304" s="5">
        <v>48</v>
      </c>
      <c r="AF304" s="9">
        <f t="shared" si="4"/>
        <v>1</v>
      </c>
      <c r="AG304" s="5">
        <v>33</v>
      </c>
      <c r="AH304" s="9" cm="1">
        <f t="array" ref="AH304">IF(OR(AI304:AN304=""),"BLANK",IF(AND(AI304:AN304&lt;99),1,IF(AND(AI304:AN304="NA"),3,2)))</f>
        <v>3</v>
      </c>
      <c r="AI304" s="4" t="s">
        <v>7</v>
      </c>
      <c r="AJ304" s="4" t="s">
        <v>7</v>
      </c>
      <c r="AK304" s="4" t="s">
        <v>7</v>
      </c>
      <c r="AL304" s="4" t="s">
        <v>7</v>
      </c>
      <c r="AM304" s="4" t="s">
        <v>7</v>
      </c>
      <c r="AN304" s="5" t="s">
        <v>7</v>
      </c>
    </row>
    <row r="305" spans="1:40" x14ac:dyDescent="0.2">
      <c r="A305" s="39">
        <v>2093</v>
      </c>
      <c r="B305" s="4" t="s">
        <v>63</v>
      </c>
      <c r="C305" s="30" t="s">
        <v>24</v>
      </c>
      <c r="D305" s="30">
        <v>1</v>
      </c>
      <c r="E305" s="30">
        <v>0</v>
      </c>
      <c r="F305" s="4">
        <v>3.8180000000000001</v>
      </c>
      <c r="G305" s="30">
        <v>30</v>
      </c>
      <c r="H305" s="33">
        <v>4.3805612594113619</v>
      </c>
      <c r="I305" s="33">
        <v>4.470910335386721</v>
      </c>
      <c r="J305" s="33">
        <v>8.8514715947980829</v>
      </c>
      <c r="K305" s="33">
        <v>4.3805612594113619</v>
      </c>
      <c r="L305" s="33">
        <v>4.470910335386721</v>
      </c>
      <c r="M305" s="33">
        <v>8.8514715947980829</v>
      </c>
      <c r="N305" s="33">
        <v>4.26009582477755</v>
      </c>
      <c r="O305" s="33">
        <v>4.470910335386721</v>
      </c>
      <c r="P305" s="33">
        <v>8.7310061601642719</v>
      </c>
      <c r="Q305" s="33" t="s">
        <v>7</v>
      </c>
      <c r="R305" s="33" t="s">
        <v>7</v>
      </c>
      <c r="S305" s="33" t="s">
        <v>7</v>
      </c>
      <c r="T305" s="34">
        <v>6</v>
      </c>
      <c r="U305" s="34">
        <v>18</v>
      </c>
      <c r="V305" s="4" t="s">
        <v>1</v>
      </c>
      <c r="W305" s="4">
        <v>1</v>
      </c>
      <c r="X305" s="4">
        <v>1</v>
      </c>
      <c r="Y305" s="4">
        <v>1</v>
      </c>
      <c r="Z305" s="56">
        <v>3</v>
      </c>
      <c r="AA305" s="9" cm="1">
        <f t="array" ref="AA305">IF(OR(AB305:AE305=""),"BLANK",IF(AND(AB305:AE305&lt;999),1,IF(AND(AB305:AE305="NA"),3,2)))</f>
        <v>1</v>
      </c>
      <c r="AB305" s="4">
        <v>46</v>
      </c>
      <c r="AC305" s="4">
        <v>16</v>
      </c>
      <c r="AD305" s="4">
        <v>15</v>
      </c>
      <c r="AE305" s="5">
        <v>77</v>
      </c>
      <c r="AF305" s="9">
        <f t="shared" si="4"/>
        <v>1</v>
      </c>
      <c r="AG305" s="5">
        <v>79</v>
      </c>
      <c r="AH305" s="9" cm="1">
        <f t="array" ref="AH305">IF(OR(AI305:AN305=""),"BLANK",IF(AND(AI305:AN305&lt;99),1,IF(AND(AI305:AN305="NA"),3,2)))</f>
        <v>3</v>
      </c>
      <c r="AI305" s="4" t="s">
        <v>7</v>
      </c>
      <c r="AJ305" s="4" t="s">
        <v>7</v>
      </c>
      <c r="AK305" s="4" t="s">
        <v>7</v>
      </c>
      <c r="AL305" s="4" t="s">
        <v>7</v>
      </c>
      <c r="AM305" s="4" t="s">
        <v>7</v>
      </c>
      <c r="AN305" s="5" t="s">
        <v>7</v>
      </c>
    </row>
    <row r="306" spans="1:40" x14ac:dyDescent="0.2">
      <c r="A306" s="39">
        <v>2095</v>
      </c>
      <c r="B306" s="4" t="s">
        <v>50</v>
      </c>
      <c r="C306" s="30" t="s">
        <v>24</v>
      </c>
      <c r="D306" s="30">
        <v>5</v>
      </c>
      <c r="E306" s="30">
        <v>0</v>
      </c>
      <c r="F306" s="4">
        <v>3.9089999999999998</v>
      </c>
      <c r="G306" s="30">
        <v>30</v>
      </c>
      <c r="H306" s="33">
        <v>4.0054757015742641</v>
      </c>
      <c r="I306" s="33">
        <v>4.3778234086242298</v>
      </c>
      <c r="J306" s="33">
        <v>8.3832991101984948</v>
      </c>
      <c r="K306" s="33">
        <v>4.0054757015742641</v>
      </c>
      <c r="L306" s="33">
        <v>4.3778234086242298</v>
      </c>
      <c r="M306" s="33">
        <v>8.3832991101984948</v>
      </c>
      <c r="N306" s="33">
        <v>4.0191649555099245</v>
      </c>
      <c r="O306" s="33">
        <v>4.0246406570841886</v>
      </c>
      <c r="P306" s="33">
        <v>8.0438056125941131</v>
      </c>
      <c r="Q306" s="33" t="s">
        <v>7</v>
      </c>
      <c r="R306" s="33" t="s">
        <v>7</v>
      </c>
      <c r="S306" s="33" t="s">
        <v>7</v>
      </c>
      <c r="T306" s="34">
        <v>4</v>
      </c>
      <c r="U306" s="34">
        <v>16</v>
      </c>
      <c r="V306" s="4" t="s">
        <v>1</v>
      </c>
      <c r="W306" s="4">
        <v>1</v>
      </c>
      <c r="X306" s="4">
        <v>1</v>
      </c>
      <c r="Y306" s="4">
        <v>1</v>
      </c>
      <c r="Z306" s="56">
        <v>3</v>
      </c>
      <c r="AA306" s="9" cm="1">
        <f t="array" ref="AA306">IF(OR(AB306:AE306=""),"BLANK",IF(AND(AB306:AE306&lt;999),1,IF(AND(AB306:AE306="NA"),3,2)))</f>
        <v>1</v>
      </c>
      <c r="AB306" s="4">
        <v>26</v>
      </c>
      <c r="AC306" s="4">
        <v>16</v>
      </c>
      <c r="AD306" s="4">
        <v>11</v>
      </c>
      <c r="AE306" s="5">
        <v>53</v>
      </c>
      <c r="AF306" s="9">
        <f t="shared" si="4"/>
        <v>1</v>
      </c>
      <c r="AG306" s="5">
        <v>45</v>
      </c>
      <c r="AH306" s="9" cm="1">
        <f t="array" ref="AH306">IF(OR(AI306:AN306=""),"BLANK",IF(AND(AI306:AN306&lt;99),1,IF(AND(AI306:AN306="NA"),3,2)))</f>
        <v>3</v>
      </c>
      <c r="AI306" s="4" t="s">
        <v>7</v>
      </c>
      <c r="AJ306" s="4" t="s">
        <v>7</v>
      </c>
      <c r="AK306" s="4" t="s">
        <v>7</v>
      </c>
      <c r="AL306" s="4" t="s">
        <v>7</v>
      </c>
      <c r="AM306" s="4" t="s">
        <v>7</v>
      </c>
      <c r="AN306" s="5" t="s">
        <v>7</v>
      </c>
    </row>
    <row r="307" spans="1:40" x14ac:dyDescent="0.2">
      <c r="A307" s="39">
        <v>2117</v>
      </c>
      <c r="B307" s="4" t="s">
        <v>66</v>
      </c>
      <c r="C307" s="30" t="s">
        <v>23</v>
      </c>
      <c r="D307" s="30">
        <v>5</v>
      </c>
      <c r="E307" s="30">
        <v>0</v>
      </c>
      <c r="F307" s="4">
        <v>4</v>
      </c>
      <c r="G307" s="30">
        <v>28</v>
      </c>
      <c r="H307" s="33">
        <v>3.6030116358658453</v>
      </c>
      <c r="I307" s="33">
        <v>4.7145790554414786</v>
      </c>
      <c r="J307" s="33">
        <v>8.3175906913073234</v>
      </c>
      <c r="K307" s="33">
        <v>3.6030116358658453</v>
      </c>
      <c r="L307" s="33">
        <v>4.7173169062286107</v>
      </c>
      <c r="M307" s="33">
        <v>8.3203285420944564</v>
      </c>
      <c r="N307" s="33">
        <v>3.5838466803559208</v>
      </c>
      <c r="O307" s="33">
        <v>4.6187542778918553</v>
      </c>
      <c r="P307" s="33">
        <v>8.2026009582477748</v>
      </c>
      <c r="Q307" s="33">
        <v>3.5838466803559208</v>
      </c>
      <c r="R307" s="33">
        <v>5.4537987679671458</v>
      </c>
      <c r="S307" s="33">
        <v>9.037645448323067</v>
      </c>
      <c r="T307" s="34">
        <v>2</v>
      </c>
      <c r="U307" s="34">
        <v>12</v>
      </c>
      <c r="V307" s="4" t="s">
        <v>1</v>
      </c>
      <c r="W307" s="4">
        <v>1</v>
      </c>
      <c r="X307" s="4">
        <v>1</v>
      </c>
      <c r="Y307" s="4">
        <v>1</v>
      </c>
      <c r="Z307" s="56">
        <v>3</v>
      </c>
      <c r="AA307" s="9" cm="1">
        <f t="array" ref="AA307">IF(OR(AB307:AE307=""),"BLANK",IF(AND(AB307:AE307&lt;999),1,IF(AND(AB307:AE307="NA"),3,2)))</f>
        <v>1</v>
      </c>
      <c r="AB307" s="4">
        <v>28</v>
      </c>
      <c r="AC307" s="4">
        <v>16</v>
      </c>
      <c r="AD307" s="4">
        <v>12</v>
      </c>
      <c r="AE307" s="5">
        <v>56</v>
      </c>
      <c r="AF307" s="9">
        <f t="shared" si="4"/>
        <v>1</v>
      </c>
      <c r="AG307" s="5">
        <v>31</v>
      </c>
      <c r="AH307" s="9" cm="1">
        <f t="array" ref="AH307">IF(OR(AI307:AN307=""),"BLANK",IF(AND(AI307:AN307&lt;99),1,IF(AND(AI307:AN307="NA"),3,2)))</f>
        <v>3</v>
      </c>
      <c r="AI307" s="4" t="s">
        <v>7</v>
      </c>
      <c r="AJ307" s="4" t="s">
        <v>7</v>
      </c>
      <c r="AK307" s="4" t="s">
        <v>7</v>
      </c>
      <c r="AL307" s="4" t="s">
        <v>7</v>
      </c>
      <c r="AM307" s="4" t="s">
        <v>7</v>
      </c>
      <c r="AN307" s="5" t="s">
        <v>7</v>
      </c>
    </row>
    <row r="308" spans="1:40" x14ac:dyDescent="0.2">
      <c r="A308" s="39">
        <v>2126</v>
      </c>
      <c r="B308" s="4" t="s">
        <v>64</v>
      </c>
      <c r="C308" s="30" t="s">
        <v>23</v>
      </c>
      <c r="D308" s="30">
        <v>5</v>
      </c>
      <c r="E308" s="30">
        <v>0</v>
      </c>
      <c r="F308" s="4">
        <v>4</v>
      </c>
      <c r="G308" s="30">
        <v>27</v>
      </c>
      <c r="H308" s="33" t="s">
        <v>7</v>
      </c>
      <c r="I308" s="33" t="s">
        <v>7</v>
      </c>
      <c r="J308" s="33" t="s">
        <v>7</v>
      </c>
      <c r="K308" s="33" t="s">
        <v>7</v>
      </c>
      <c r="L308" s="33" t="s">
        <v>7</v>
      </c>
      <c r="M308" s="33" t="s">
        <v>7</v>
      </c>
      <c r="N308" s="33" t="s">
        <v>7</v>
      </c>
      <c r="O308" s="33" t="s">
        <v>7</v>
      </c>
      <c r="P308" s="33" t="s">
        <v>7</v>
      </c>
      <c r="Q308" s="33" t="s">
        <v>7</v>
      </c>
      <c r="R308" s="33" t="s">
        <v>7</v>
      </c>
      <c r="S308" s="33" t="s">
        <v>7</v>
      </c>
      <c r="T308" s="34">
        <v>3</v>
      </c>
      <c r="U308" s="34">
        <v>14</v>
      </c>
      <c r="V308" s="4" t="s">
        <v>1</v>
      </c>
      <c r="W308" s="4">
        <v>1</v>
      </c>
      <c r="X308" s="4">
        <v>1</v>
      </c>
      <c r="Y308" s="4">
        <v>1</v>
      </c>
      <c r="Z308" s="56">
        <v>3</v>
      </c>
      <c r="AA308" s="9" cm="1">
        <f t="array" ref="AA308">IF(OR(AB308:AE308=""),"BLANK",IF(AND(AB308:AE308&lt;999),1,IF(AND(AB308:AE308="NA"),3,2)))</f>
        <v>1</v>
      </c>
      <c r="AB308" s="4">
        <v>24</v>
      </c>
      <c r="AC308" s="4">
        <v>11</v>
      </c>
      <c r="AD308" s="4">
        <v>9</v>
      </c>
      <c r="AE308" s="5">
        <v>44</v>
      </c>
      <c r="AF308" s="9">
        <f t="shared" si="4"/>
        <v>1</v>
      </c>
      <c r="AG308" s="5">
        <v>44</v>
      </c>
      <c r="AH308" s="9" cm="1">
        <f t="array" ref="AH308">IF(OR(AI308:AN308=""),"BLANK",IF(AND(AI308:AN308&lt;99),1,IF(AND(AI308:AN308="NA"),3,2)))</f>
        <v>3</v>
      </c>
      <c r="AI308" s="4" t="s">
        <v>7</v>
      </c>
      <c r="AJ308" s="4" t="s">
        <v>7</v>
      </c>
      <c r="AK308" s="4" t="s">
        <v>7</v>
      </c>
      <c r="AL308" s="4" t="s">
        <v>7</v>
      </c>
      <c r="AM308" s="4" t="s">
        <v>7</v>
      </c>
      <c r="AN308" s="5" t="s">
        <v>7</v>
      </c>
    </row>
    <row r="309" spans="1:40" x14ac:dyDescent="0.2">
      <c r="A309" s="39">
        <v>2127</v>
      </c>
      <c r="B309" s="4" t="s">
        <v>47</v>
      </c>
      <c r="C309" s="30" t="s">
        <v>23</v>
      </c>
      <c r="D309" s="30">
        <v>5</v>
      </c>
      <c r="E309" s="30">
        <v>0</v>
      </c>
      <c r="F309" s="4">
        <v>4</v>
      </c>
      <c r="G309" s="30">
        <v>29</v>
      </c>
      <c r="H309" s="33">
        <v>4.2245037645448322</v>
      </c>
      <c r="I309" s="33" t="s">
        <v>7</v>
      </c>
      <c r="J309" s="33" t="s">
        <v>7</v>
      </c>
      <c r="K309" s="33">
        <v>4.2245037645448322</v>
      </c>
      <c r="L309" s="33" t="s">
        <v>7</v>
      </c>
      <c r="M309" s="33" t="s">
        <v>7</v>
      </c>
      <c r="N309" s="33">
        <v>4.26009582477755</v>
      </c>
      <c r="O309" s="33" t="s">
        <v>7</v>
      </c>
      <c r="P309" s="33" t="s">
        <v>7</v>
      </c>
      <c r="Q309" s="33" t="s">
        <v>7</v>
      </c>
      <c r="R309" s="33" t="s">
        <v>7</v>
      </c>
      <c r="S309" s="33" t="s">
        <v>7</v>
      </c>
      <c r="T309" s="34">
        <v>4</v>
      </c>
      <c r="U309" s="34">
        <v>16</v>
      </c>
      <c r="V309" s="4" t="s">
        <v>1</v>
      </c>
      <c r="W309" s="4">
        <v>1</v>
      </c>
      <c r="X309" s="4">
        <v>1</v>
      </c>
      <c r="Y309" s="4">
        <v>1</v>
      </c>
      <c r="Z309" s="56">
        <v>3</v>
      </c>
      <c r="AA309" s="9" cm="1">
        <f t="array" ref="AA309">IF(OR(AB309:AE309=""),"BLANK",IF(AND(AB309:AE309&lt;999),1,IF(AND(AB309:AE309="NA"),3,2)))</f>
        <v>1</v>
      </c>
      <c r="AB309" s="4">
        <v>24</v>
      </c>
      <c r="AC309" s="4">
        <v>14</v>
      </c>
      <c r="AD309" s="4">
        <v>9</v>
      </c>
      <c r="AE309" s="5">
        <v>47</v>
      </c>
      <c r="AF309" s="9">
        <f t="shared" si="4"/>
        <v>1</v>
      </c>
      <c r="AG309" s="5">
        <v>40</v>
      </c>
      <c r="AH309" s="9" cm="1">
        <f t="array" ref="AH309">IF(OR(AI309:AN309=""),"BLANK",IF(AND(AI309:AN309&lt;99),1,IF(AND(AI309:AN309="NA"),3,2)))</f>
        <v>3</v>
      </c>
      <c r="AI309" s="4" t="s">
        <v>7</v>
      </c>
      <c r="AJ309" s="4" t="s">
        <v>7</v>
      </c>
      <c r="AK309" s="4" t="s">
        <v>7</v>
      </c>
      <c r="AL309" s="4" t="s">
        <v>7</v>
      </c>
      <c r="AM309" s="4" t="s">
        <v>7</v>
      </c>
      <c r="AN309" s="5" t="s">
        <v>7</v>
      </c>
    </row>
    <row r="310" spans="1:40" x14ac:dyDescent="0.2">
      <c r="A310" s="39">
        <v>2133</v>
      </c>
      <c r="B310" s="4" t="s">
        <v>66</v>
      </c>
      <c r="C310" s="30" t="s">
        <v>23</v>
      </c>
      <c r="D310" s="30">
        <v>2</v>
      </c>
      <c r="E310" s="30">
        <v>0</v>
      </c>
      <c r="F310" s="4">
        <v>3.8180000000000001</v>
      </c>
      <c r="G310" s="30">
        <v>28</v>
      </c>
      <c r="H310" s="33">
        <v>4.4325804243668721</v>
      </c>
      <c r="I310" s="33" t="s">
        <v>7</v>
      </c>
      <c r="J310" s="33" t="s">
        <v>7</v>
      </c>
      <c r="K310" s="33" t="s">
        <v>7</v>
      </c>
      <c r="L310" s="33" t="s">
        <v>7</v>
      </c>
      <c r="M310" s="33" t="s">
        <v>7</v>
      </c>
      <c r="N310" s="33">
        <v>4.2491444216290208</v>
      </c>
      <c r="O310" s="33" t="s">
        <v>7</v>
      </c>
      <c r="P310" s="33" t="s">
        <v>7</v>
      </c>
      <c r="Q310" s="33" t="s">
        <v>7</v>
      </c>
      <c r="R310" s="33" t="s">
        <v>7</v>
      </c>
      <c r="S310" s="33" t="s">
        <v>7</v>
      </c>
      <c r="T310" s="34">
        <v>3</v>
      </c>
      <c r="U310" s="34">
        <v>12</v>
      </c>
      <c r="V310" s="4" t="s">
        <v>1</v>
      </c>
      <c r="W310" s="4">
        <v>1</v>
      </c>
      <c r="X310" s="4">
        <v>1</v>
      </c>
      <c r="Y310" s="4">
        <v>1</v>
      </c>
      <c r="Z310" s="56">
        <v>3</v>
      </c>
      <c r="AA310" s="9" cm="1">
        <f t="array" ref="AA310">IF(OR(AB310:AE310=""),"BLANK",IF(AND(AB310:AE310&lt;999),1,IF(AND(AB310:AE310="NA"),3,2)))</f>
        <v>1</v>
      </c>
      <c r="AB310" s="4">
        <v>16</v>
      </c>
      <c r="AC310" s="4">
        <v>6</v>
      </c>
      <c r="AD310" s="4">
        <v>5</v>
      </c>
      <c r="AE310" s="5">
        <v>27</v>
      </c>
      <c r="AF310" s="9">
        <f t="shared" si="4"/>
        <v>1</v>
      </c>
      <c r="AG310" s="5">
        <v>21</v>
      </c>
      <c r="AH310" s="9" cm="1">
        <f t="array" ref="AH310">IF(OR(AI310:AN310=""),"BLANK",IF(AND(AI310:AN310&lt;99),1,IF(AND(AI310:AN310="NA"),3,2)))</f>
        <v>3</v>
      </c>
      <c r="AI310" s="4" t="s">
        <v>7</v>
      </c>
      <c r="AJ310" s="4" t="s">
        <v>7</v>
      </c>
      <c r="AK310" s="4" t="s">
        <v>7</v>
      </c>
      <c r="AL310" s="4" t="s">
        <v>7</v>
      </c>
      <c r="AM310" s="4" t="s">
        <v>7</v>
      </c>
      <c r="AN310" s="5" t="s">
        <v>7</v>
      </c>
    </row>
    <row r="311" spans="1:40" x14ac:dyDescent="0.2">
      <c r="A311" s="39">
        <v>2152</v>
      </c>
      <c r="B311" s="4" t="s">
        <v>55</v>
      </c>
      <c r="C311" s="30" t="s">
        <v>23</v>
      </c>
      <c r="D311" s="30">
        <v>1</v>
      </c>
      <c r="E311" s="30">
        <v>0</v>
      </c>
      <c r="F311" s="4">
        <v>3</v>
      </c>
      <c r="G311" s="30">
        <v>30</v>
      </c>
      <c r="H311" s="33" t="s">
        <v>7</v>
      </c>
      <c r="I311" s="33" t="s">
        <v>7</v>
      </c>
      <c r="J311" s="33" t="s">
        <v>7</v>
      </c>
      <c r="K311" s="33" t="s">
        <v>7</v>
      </c>
      <c r="L311" s="33" t="s">
        <v>7</v>
      </c>
      <c r="M311" s="33" t="s">
        <v>7</v>
      </c>
      <c r="N311" s="33" t="s">
        <v>7</v>
      </c>
      <c r="O311" s="33" t="s">
        <v>7</v>
      </c>
      <c r="P311" s="33" t="s">
        <v>7</v>
      </c>
      <c r="Q311" s="33" t="s">
        <v>7</v>
      </c>
      <c r="R311" s="33" t="s">
        <v>7</v>
      </c>
      <c r="S311" s="33" t="s">
        <v>7</v>
      </c>
      <c r="T311" s="34">
        <v>5</v>
      </c>
      <c r="U311" s="34">
        <v>17</v>
      </c>
      <c r="V311" s="4" t="s">
        <v>1</v>
      </c>
      <c r="W311" s="4">
        <v>1</v>
      </c>
      <c r="X311" s="4">
        <v>1</v>
      </c>
      <c r="Y311" s="4">
        <v>1</v>
      </c>
      <c r="Z311" s="56">
        <v>3</v>
      </c>
      <c r="AA311" s="9" cm="1">
        <f t="array" ref="AA311">IF(OR(AB311:AE311=""),"BLANK",IF(AND(AB311:AE311&lt;999),1,IF(AND(AB311:AE311="NA"),3,2)))</f>
        <v>1</v>
      </c>
      <c r="AB311" s="4">
        <v>58</v>
      </c>
      <c r="AC311" s="4">
        <v>34</v>
      </c>
      <c r="AD311" s="4">
        <v>22</v>
      </c>
      <c r="AE311" s="5">
        <v>114</v>
      </c>
      <c r="AF311" s="9">
        <f t="shared" si="4"/>
        <v>1</v>
      </c>
      <c r="AG311" s="5">
        <v>86</v>
      </c>
      <c r="AH311" s="9" cm="1">
        <f t="array" ref="AH311">IF(OR(AI311:AN311=""),"BLANK",IF(AND(AI311:AN311&lt;99),1,IF(AND(AI311:AN311="NA"),3,2)))</f>
        <v>3</v>
      </c>
      <c r="AI311" s="4" t="s">
        <v>7</v>
      </c>
      <c r="AJ311" s="4" t="s">
        <v>7</v>
      </c>
      <c r="AK311" s="4" t="s">
        <v>7</v>
      </c>
      <c r="AL311" s="4" t="s">
        <v>7</v>
      </c>
      <c r="AM311" s="4" t="s">
        <v>7</v>
      </c>
      <c r="AN311" s="5" t="s">
        <v>7</v>
      </c>
    </row>
    <row r="312" spans="1:40" x14ac:dyDescent="0.2">
      <c r="A312" s="39">
        <v>2172</v>
      </c>
      <c r="B312" s="4" t="s">
        <v>51</v>
      </c>
      <c r="C312" s="30" t="s">
        <v>23</v>
      </c>
      <c r="D312" s="30">
        <v>5</v>
      </c>
      <c r="E312" s="30">
        <v>1</v>
      </c>
      <c r="F312" s="4">
        <v>3.8180000000000001</v>
      </c>
      <c r="G312" s="30">
        <v>30</v>
      </c>
      <c r="H312" s="33">
        <v>3.9835728952772076</v>
      </c>
      <c r="I312" s="33">
        <v>4.2026009582477757</v>
      </c>
      <c r="J312" s="33">
        <v>8.1861738535249824</v>
      </c>
      <c r="K312" s="33">
        <v>3.9835728952772076</v>
      </c>
      <c r="L312" s="33">
        <v>4.2026009582477757</v>
      </c>
      <c r="M312" s="33">
        <v>8.1861738535249824</v>
      </c>
      <c r="N312" s="33">
        <v>4.046543463381246</v>
      </c>
      <c r="O312" s="33">
        <v>3.7946611909650922</v>
      </c>
      <c r="P312" s="33">
        <v>7.8412046543463383</v>
      </c>
      <c r="Q312" s="33" t="s">
        <v>7</v>
      </c>
      <c r="R312" s="33" t="s">
        <v>7</v>
      </c>
      <c r="S312" s="33" t="s">
        <v>7</v>
      </c>
      <c r="T312" s="34">
        <v>4</v>
      </c>
      <c r="U312" s="34">
        <v>16</v>
      </c>
      <c r="V312" s="4" t="s">
        <v>1</v>
      </c>
      <c r="W312" s="4">
        <v>1</v>
      </c>
      <c r="X312" s="4">
        <v>1</v>
      </c>
      <c r="Y312" s="4">
        <v>1</v>
      </c>
      <c r="Z312" s="56">
        <v>3</v>
      </c>
      <c r="AA312" s="9" cm="1">
        <f t="array" ref="AA312">IF(OR(AB312:AE312=""),"BLANK",IF(AND(AB312:AE312&lt;999),1,IF(AND(AB312:AE312="NA"),3,2)))</f>
        <v>1</v>
      </c>
      <c r="AB312" s="4">
        <v>34</v>
      </c>
      <c r="AC312" s="4">
        <v>17</v>
      </c>
      <c r="AD312" s="4">
        <v>12</v>
      </c>
      <c r="AE312" s="5">
        <v>63</v>
      </c>
      <c r="AF312" s="9">
        <f t="shared" si="4"/>
        <v>1</v>
      </c>
      <c r="AG312" s="5">
        <v>63</v>
      </c>
      <c r="AH312" s="9" cm="1">
        <f t="array" ref="AH312">IF(OR(AI312:AN312=""),"BLANK",IF(AND(AI312:AN312&lt;99),1,IF(AND(AI312:AN312="NA"),3,2)))</f>
        <v>3</v>
      </c>
      <c r="AI312" s="4" t="s">
        <v>7</v>
      </c>
      <c r="AJ312" s="4" t="s">
        <v>7</v>
      </c>
      <c r="AK312" s="4" t="s">
        <v>7</v>
      </c>
      <c r="AL312" s="4" t="s">
        <v>7</v>
      </c>
      <c r="AM312" s="4" t="s">
        <v>7</v>
      </c>
      <c r="AN312" s="5" t="s">
        <v>7</v>
      </c>
    </row>
    <row r="313" spans="1:40" x14ac:dyDescent="0.2">
      <c r="A313" s="39">
        <v>2205</v>
      </c>
      <c r="B313" s="4" t="s">
        <v>57</v>
      </c>
      <c r="C313" s="30" t="s">
        <v>24</v>
      </c>
      <c r="D313" s="30">
        <v>5</v>
      </c>
      <c r="E313" s="30">
        <v>0</v>
      </c>
      <c r="F313" s="4">
        <v>3.2730000000000001</v>
      </c>
      <c r="G313" s="30">
        <v>28</v>
      </c>
      <c r="H313" s="33" t="s">
        <v>7</v>
      </c>
      <c r="I313" s="33" t="s">
        <v>7</v>
      </c>
      <c r="J313" s="33" t="s">
        <v>7</v>
      </c>
      <c r="K313" s="33" t="s">
        <v>7</v>
      </c>
      <c r="L313" s="33" t="s">
        <v>7</v>
      </c>
      <c r="M313" s="33" t="s">
        <v>7</v>
      </c>
      <c r="N313" s="33" t="s">
        <v>7</v>
      </c>
      <c r="O313" s="33" t="s">
        <v>7</v>
      </c>
      <c r="P313" s="33" t="s">
        <v>7</v>
      </c>
      <c r="Q313" s="33" t="s">
        <v>7</v>
      </c>
      <c r="R313" s="33" t="s">
        <v>7</v>
      </c>
      <c r="S313" s="33" t="s">
        <v>7</v>
      </c>
      <c r="T313" s="34">
        <v>3</v>
      </c>
      <c r="U313" s="34">
        <v>14</v>
      </c>
      <c r="V313" s="4" t="s">
        <v>1</v>
      </c>
      <c r="W313" s="4">
        <v>1</v>
      </c>
      <c r="X313" s="4">
        <v>1</v>
      </c>
      <c r="Y313" s="4">
        <v>1</v>
      </c>
      <c r="Z313" s="56">
        <v>3</v>
      </c>
      <c r="AA313" s="9" cm="1">
        <f t="array" ref="AA313">IF(OR(AB313:AE313=""),"BLANK",IF(AND(AB313:AE313&lt;999),1,IF(AND(AB313:AE313="NA"),3,2)))</f>
        <v>1</v>
      </c>
      <c r="AB313" s="4">
        <v>33</v>
      </c>
      <c r="AC313" s="4">
        <v>24</v>
      </c>
      <c r="AD313" s="4">
        <v>18</v>
      </c>
      <c r="AE313" s="5">
        <v>75</v>
      </c>
      <c r="AF313" s="9">
        <f t="shared" si="4"/>
        <v>1</v>
      </c>
      <c r="AG313" s="5">
        <v>83</v>
      </c>
      <c r="AH313" s="9" cm="1">
        <f t="array" ref="AH313">IF(OR(AI313:AN313=""),"BLANK",IF(AND(AI313:AN313&lt;99),1,IF(AND(AI313:AN313="NA"),3,2)))</f>
        <v>3</v>
      </c>
      <c r="AI313" s="4" t="s">
        <v>7</v>
      </c>
      <c r="AJ313" s="4" t="s">
        <v>7</v>
      </c>
      <c r="AK313" s="4" t="s">
        <v>7</v>
      </c>
      <c r="AL313" s="4" t="s">
        <v>7</v>
      </c>
      <c r="AM313" s="4" t="s">
        <v>7</v>
      </c>
      <c r="AN313" s="5" t="s">
        <v>7</v>
      </c>
    </row>
    <row r="314" spans="1:40" x14ac:dyDescent="0.2">
      <c r="A314" s="39">
        <v>2206</v>
      </c>
      <c r="B314" s="4" t="s">
        <v>57</v>
      </c>
      <c r="C314" s="30" t="s">
        <v>24</v>
      </c>
      <c r="D314" s="30">
        <v>5</v>
      </c>
      <c r="E314" s="30">
        <v>0</v>
      </c>
      <c r="F314" s="4">
        <v>3.1819999999999999</v>
      </c>
      <c r="G314" s="30">
        <v>28</v>
      </c>
      <c r="H314" s="33">
        <v>4.1204654346338128</v>
      </c>
      <c r="I314" s="33">
        <v>4.5119780971937029</v>
      </c>
      <c r="J314" s="33">
        <v>8.6324435318275157</v>
      </c>
      <c r="K314" s="33">
        <v>4.1779603011635862</v>
      </c>
      <c r="L314" s="33">
        <v>4.4544832306639286</v>
      </c>
      <c r="M314" s="33">
        <v>8.6324435318275157</v>
      </c>
      <c r="N314" s="33">
        <v>3.9890485968514717</v>
      </c>
      <c r="O314" s="33">
        <v>4.4900752908966464</v>
      </c>
      <c r="P314" s="33">
        <v>8.4791238877481181</v>
      </c>
      <c r="Q314" s="33" t="s">
        <v>7</v>
      </c>
      <c r="R314" s="33" t="s">
        <v>7</v>
      </c>
      <c r="S314" s="33" t="s">
        <v>7</v>
      </c>
      <c r="T314" s="34">
        <v>4</v>
      </c>
      <c r="U314" s="34">
        <v>16</v>
      </c>
      <c r="V314" s="4" t="s">
        <v>1</v>
      </c>
      <c r="W314" s="4">
        <v>1</v>
      </c>
      <c r="X314" s="4">
        <v>1</v>
      </c>
      <c r="Y314" s="4">
        <v>1</v>
      </c>
      <c r="Z314" s="56">
        <v>3</v>
      </c>
      <c r="AA314" s="9" cm="1">
        <f t="array" ref="AA314">IF(OR(AB314:AE314=""),"BLANK",IF(AND(AB314:AE314&lt;999),1,IF(AND(AB314:AE314="NA"),3,2)))</f>
        <v>1</v>
      </c>
      <c r="AB314" s="4">
        <v>28</v>
      </c>
      <c r="AC314" s="4">
        <v>16</v>
      </c>
      <c r="AD314" s="4">
        <v>11</v>
      </c>
      <c r="AE314" s="5">
        <v>55</v>
      </c>
      <c r="AF314" s="9">
        <f t="shared" si="4"/>
        <v>1</v>
      </c>
      <c r="AG314" s="5">
        <v>75</v>
      </c>
      <c r="AH314" s="9" cm="1">
        <f t="array" ref="AH314">IF(OR(AI314:AN314=""),"BLANK",IF(AND(AI314:AN314&lt;99),1,IF(AND(AI314:AN314="NA"),3,2)))</f>
        <v>3</v>
      </c>
      <c r="AI314" s="4" t="s">
        <v>7</v>
      </c>
      <c r="AJ314" s="4" t="s">
        <v>7</v>
      </c>
      <c r="AK314" s="4" t="s">
        <v>7</v>
      </c>
      <c r="AL314" s="4" t="s">
        <v>7</v>
      </c>
      <c r="AM314" s="4" t="s">
        <v>7</v>
      </c>
      <c r="AN314" s="5" t="s">
        <v>7</v>
      </c>
    </row>
    <row r="315" spans="1:40" x14ac:dyDescent="0.2">
      <c r="A315" s="39">
        <v>2210</v>
      </c>
      <c r="B315" s="4" t="s">
        <v>63</v>
      </c>
      <c r="C315" s="30" t="s">
        <v>23</v>
      </c>
      <c r="D315" s="30">
        <v>5</v>
      </c>
      <c r="E315" s="30">
        <v>0</v>
      </c>
      <c r="F315" s="4">
        <v>4</v>
      </c>
      <c r="G315" s="30">
        <v>30</v>
      </c>
      <c r="H315" s="33" t="s">
        <v>7</v>
      </c>
      <c r="I315" s="33" t="s">
        <v>7</v>
      </c>
      <c r="J315" s="33" t="s">
        <v>7</v>
      </c>
      <c r="K315" s="33" t="s">
        <v>7</v>
      </c>
      <c r="L315" s="33" t="s">
        <v>7</v>
      </c>
      <c r="M315" s="33" t="s">
        <v>7</v>
      </c>
      <c r="N315" s="33" t="s">
        <v>7</v>
      </c>
      <c r="O315" s="33" t="s">
        <v>7</v>
      </c>
      <c r="P315" s="33" t="s">
        <v>7</v>
      </c>
      <c r="Q315" s="33" t="s">
        <v>7</v>
      </c>
      <c r="R315" s="33" t="s">
        <v>7</v>
      </c>
      <c r="S315" s="33" t="s">
        <v>7</v>
      </c>
      <c r="T315" s="34">
        <v>3</v>
      </c>
      <c r="U315" s="34">
        <v>15</v>
      </c>
      <c r="V315" s="4" t="s">
        <v>1</v>
      </c>
      <c r="W315" s="4">
        <v>1</v>
      </c>
      <c r="X315" s="4">
        <v>1</v>
      </c>
      <c r="Y315" s="4">
        <v>1</v>
      </c>
      <c r="Z315" s="56">
        <v>3</v>
      </c>
      <c r="AA315" s="9" cm="1">
        <f t="array" ref="AA315">IF(OR(AB315:AE315=""),"BLANK",IF(AND(AB315:AE315&lt;999),1,IF(AND(AB315:AE315="NA"),3,2)))</f>
        <v>1</v>
      </c>
      <c r="AB315" s="4">
        <v>43</v>
      </c>
      <c r="AC315" s="4">
        <v>26</v>
      </c>
      <c r="AD315" s="4">
        <v>20</v>
      </c>
      <c r="AE315" s="5">
        <v>89</v>
      </c>
      <c r="AF315" s="9">
        <f t="shared" si="4"/>
        <v>1</v>
      </c>
      <c r="AG315" s="5">
        <v>75</v>
      </c>
      <c r="AH315" s="9" cm="1">
        <f t="array" ref="AH315">IF(OR(AI315:AN315=""),"BLANK",IF(AND(AI315:AN315&lt;99),1,IF(AND(AI315:AN315="NA"),3,2)))</f>
        <v>3</v>
      </c>
      <c r="AI315" s="4" t="s">
        <v>7</v>
      </c>
      <c r="AJ315" s="4" t="s">
        <v>7</v>
      </c>
      <c r="AK315" s="4" t="s">
        <v>7</v>
      </c>
      <c r="AL315" s="4" t="s">
        <v>7</v>
      </c>
      <c r="AM315" s="4" t="s">
        <v>7</v>
      </c>
      <c r="AN315" s="5" t="s">
        <v>7</v>
      </c>
    </row>
    <row r="316" spans="1:40" x14ac:dyDescent="0.2">
      <c r="A316" s="39">
        <v>2213</v>
      </c>
      <c r="B316" s="4" t="s">
        <v>61</v>
      </c>
      <c r="C316" s="30" t="s">
        <v>24</v>
      </c>
      <c r="D316" s="30">
        <v>4</v>
      </c>
      <c r="E316" s="30">
        <v>0</v>
      </c>
      <c r="F316" s="4">
        <v>2.9089999999999998</v>
      </c>
      <c r="G316" s="30">
        <v>30</v>
      </c>
      <c r="H316" s="33" t="s">
        <v>7</v>
      </c>
      <c r="I316" s="33" t="s">
        <v>7</v>
      </c>
      <c r="J316" s="33">
        <v>8.5667351129363443</v>
      </c>
      <c r="K316" s="33" t="s">
        <v>7</v>
      </c>
      <c r="L316" s="33" t="s">
        <v>7</v>
      </c>
      <c r="M316" s="33">
        <v>8.5667351129363443</v>
      </c>
      <c r="N316" s="33" t="s">
        <v>7</v>
      </c>
      <c r="O316" s="33" t="s">
        <v>7</v>
      </c>
      <c r="P316" s="33" t="s">
        <v>7</v>
      </c>
      <c r="Q316" s="33" t="s">
        <v>7</v>
      </c>
      <c r="R316" s="33" t="s">
        <v>7</v>
      </c>
      <c r="S316" s="33" t="s">
        <v>7</v>
      </c>
      <c r="T316" s="34">
        <v>3</v>
      </c>
      <c r="U316" s="34">
        <v>13</v>
      </c>
      <c r="V316" s="4" t="s">
        <v>1</v>
      </c>
      <c r="W316" s="4">
        <v>1</v>
      </c>
      <c r="X316" s="4">
        <v>1</v>
      </c>
      <c r="Y316" s="4">
        <v>1</v>
      </c>
      <c r="Z316" s="56">
        <v>3</v>
      </c>
      <c r="AA316" s="9" cm="1">
        <f t="array" ref="AA316">IF(OR(AB316:AE316=""),"BLANK",IF(AND(AB316:AE316&lt;999),1,IF(AND(AB316:AE316="NA"),3,2)))</f>
        <v>1</v>
      </c>
      <c r="AB316" s="4">
        <v>32</v>
      </c>
      <c r="AC316" s="4">
        <v>16</v>
      </c>
      <c r="AD316" s="4">
        <v>12</v>
      </c>
      <c r="AE316" s="5">
        <v>60</v>
      </c>
      <c r="AF316" s="9">
        <f t="shared" si="4"/>
        <v>1</v>
      </c>
      <c r="AG316" s="5">
        <v>53</v>
      </c>
      <c r="AH316" s="9" cm="1">
        <f t="array" ref="AH316">IF(OR(AI316:AN316=""),"BLANK",IF(AND(AI316:AN316&lt;99),1,IF(AND(AI316:AN316="NA"),3,2)))</f>
        <v>3</v>
      </c>
      <c r="AI316" s="4" t="s">
        <v>7</v>
      </c>
      <c r="AJ316" s="4" t="s">
        <v>7</v>
      </c>
      <c r="AK316" s="4" t="s">
        <v>7</v>
      </c>
      <c r="AL316" s="4" t="s">
        <v>7</v>
      </c>
      <c r="AM316" s="4" t="s">
        <v>7</v>
      </c>
      <c r="AN316" s="5" t="s">
        <v>7</v>
      </c>
    </row>
    <row r="317" spans="1:40" x14ac:dyDescent="0.2">
      <c r="A317" s="39">
        <v>2220</v>
      </c>
      <c r="B317" s="4" t="s">
        <v>60</v>
      </c>
      <c r="C317" s="30" t="s">
        <v>23</v>
      </c>
      <c r="D317" s="30">
        <v>5</v>
      </c>
      <c r="E317" s="30">
        <v>0</v>
      </c>
      <c r="F317" s="4">
        <v>3.8180000000000001</v>
      </c>
      <c r="G317" s="30">
        <v>30</v>
      </c>
      <c r="H317" s="33">
        <v>4.5557837097878169</v>
      </c>
      <c r="I317" s="33" t="s">
        <v>7</v>
      </c>
      <c r="J317" s="33" t="s">
        <v>7</v>
      </c>
      <c r="K317" s="33">
        <v>4.5557837097878169</v>
      </c>
      <c r="L317" s="33" t="s">
        <v>7</v>
      </c>
      <c r="M317" s="33" t="s">
        <v>7</v>
      </c>
      <c r="N317" s="33">
        <v>4.4462696783025324</v>
      </c>
      <c r="O317" s="33" t="s">
        <v>7</v>
      </c>
      <c r="P317" s="33" t="s">
        <v>7</v>
      </c>
      <c r="Q317" s="33" t="s">
        <v>7</v>
      </c>
      <c r="R317" s="33" t="s">
        <v>7</v>
      </c>
      <c r="S317" s="33" t="s">
        <v>7</v>
      </c>
      <c r="T317" s="34">
        <v>7</v>
      </c>
      <c r="U317" s="34">
        <v>21</v>
      </c>
      <c r="V317" s="4" t="s">
        <v>1</v>
      </c>
      <c r="W317" s="4">
        <v>1</v>
      </c>
      <c r="X317" s="4">
        <v>1</v>
      </c>
      <c r="Y317" s="4">
        <v>1</v>
      </c>
      <c r="Z317" s="56">
        <v>3</v>
      </c>
      <c r="AA317" s="9" cm="1">
        <f t="array" ref="AA317">IF(OR(AB317:AE317=""),"BLANK",IF(AND(AB317:AE317&lt;999),1,IF(AND(AB317:AE317="NA"),3,2)))</f>
        <v>1</v>
      </c>
      <c r="AB317" s="4">
        <v>48</v>
      </c>
      <c r="AC317" s="4">
        <v>30</v>
      </c>
      <c r="AD317" s="4">
        <v>20</v>
      </c>
      <c r="AE317" s="5">
        <v>98</v>
      </c>
      <c r="AF317" s="9">
        <f t="shared" si="4"/>
        <v>1</v>
      </c>
      <c r="AG317" s="5">
        <v>86</v>
      </c>
      <c r="AH317" s="9" cm="1">
        <f t="array" ref="AH317">IF(OR(AI317:AN317=""),"BLANK",IF(AND(AI317:AN317&lt;99),1,IF(AND(AI317:AN317="NA"),3,2)))</f>
        <v>3</v>
      </c>
      <c r="AI317" s="4" t="s">
        <v>7</v>
      </c>
      <c r="AJ317" s="4" t="s">
        <v>7</v>
      </c>
      <c r="AK317" s="4" t="s">
        <v>7</v>
      </c>
      <c r="AL317" s="4" t="s">
        <v>7</v>
      </c>
      <c r="AM317" s="4" t="s">
        <v>7</v>
      </c>
      <c r="AN317" s="5" t="s">
        <v>7</v>
      </c>
    </row>
    <row r="318" spans="1:40" x14ac:dyDescent="0.2">
      <c r="A318" s="39">
        <v>2231</v>
      </c>
      <c r="B318" s="4" t="s">
        <v>47</v>
      </c>
      <c r="C318" s="30" t="s">
        <v>23</v>
      </c>
      <c r="D318" s="30">
        <v>7</v>
      </c>
      <c r="E318" s="30" t="s">
        <v>7</v>
      </c>
      <c r="F318" s="4">
        <v>4</v>
      </c>
      <c r="G318" s="30">
        <v>29</v>
      </c>
      <c r="H318" s="33" t="s">
        <v>7</v>
      </c>
      <c r="I318" s="33" t="s">
        <v>7</v>
      </c>
      <c r="J318" s="33" t="s">
        <v>7</v>
      </c>
      <c r="K318" s="33" t="s">
        <v>7</v>
      </c>
      <c r="L318" s="33" t="s">
        <v>7</v>
      </c>
      <c r="M318" s="33" t="s">
        <v>7</v>
      </c>
      <c r="N318" s="33" t="s">
        <v>7</v>
      </c>
      <c r="O318" s="33" t="s">
        <v>7</v>
      </c>
      <c r="P318" s="33" t="s">
        <v>7</v>
      </c>
      <c r="Q318" s="33" t="s">
        <v>7</v>
      </c>
      <c r="R318" s="33" t="s">
        <v>7</v>
      </c>
      <c r="S318" s="33" t="s">
        <v>7</v>
      </c>
      <c r="T318" s="34">
        <v>2</v>
      </c>
      <c r="U318" s="34">
        <v>12</v>
      </c>
      <c r="V318" s="4" t="s">
        <v>1</v>
      </c>
      <c r="W318" s="4">
        <v>1</v>
      </c>
      <c r="X318" s="4">
        <v>1</v>
      </c>
      <c r="Y318" s="4">
        <v>1</v>
      </c>
      <c r="Z318" s="56">
        <v>3</v>
      </c>
      <c r="AA318" s="9" cm="1">
        <f t="array" ref="AA318">IF(OR(AB318:AE318=""),"BLANK",IF(AND(AB318:AE318&lt;999),1,IF(AND(AB318:AE318="NA"),3,2)))</f>
        <v>1</v>
      </c>
      <c r="AB318" s="4">
        <v>34</v>
      </c>
      <c r="AC318" s="4">
        <v>18</v>
      </c>
      <c r="AD318" s="4">
        <v>10</v>
      </c>
      <c r="AE318" s="5">
        <v>62</v>
      </c>
      <c r="AF318" s="9">
        <f t="shared" si="4"/>
        <v>1</v>
      </c>
      <c r="AG318" s="5">
        <v>45</v>
      </c>
      <c r="AH318" s="9" cm="1">
        <f t="array" ref="AH318">IF(OR(AI318:AN318=""),"BLANK",IF(AND(AI318:AN318&lt;99),1,IF(AND(AI318:AN318="NA"),3,2)))</f>
        <v>3</v>
      </c>
      <c r="AI318" s="4" t="s">
        <v>7</v>
      </c>
      <c r="AJ318" s="4" t="s">
        <v>7</v>
      </c>
      <c r="AK318" s="4" t="s">
        <v>7</v>
      </c>
      <c r="AL318" s="4" t="s">
        <v>7</v>
      </c>
      <c r="AM318" s="4" t="s">
        <v>7</v>
      </c>
      <c r="AN318" s="5" t="s">
        <v>7</v>
      </c>
    </row>
    <row r="319" spans="1:40" x14ac:dyDescent="0.2">
      <c r="A319" s="39">
        <v>2248</v>
      </c>
      <c r="B319" s="4" t="s">
        <v>63</v>
      </c>
      <c r="C319" s="30" t="s">
        <v>23</v>
      </c>
      <c r="D319" s="30">
        <v>5</v>
      </c>
      <c r="E319" s="30">
        <v>0</v>
      </c>
      <c r="F319" s="4">
        <v>3.9089999999999998</v>
      </c>
      <c r="G319" s="30">
        <v>28</v>
      </c>
      <c r="H319" s="33">
        <v>4.2327173169062284</v>
      </c>
      <c r="I319" s="33">
        <v>4.0164271047227924</v>
      </c>
      <c r="J319" s="33">
        <v>8.2491444216290208</v>
      </c>
      <c r="K319" s="33">
        <v>4.2327173169062284</v>
      </c>
      <c r="L319" s="33">
        <v>4.2381930184804926</v>
      </c>
      <c r="M319" s="33">
        <v>8.470910335386721</v>
      </c>
      <c r="N319" s="33">
        <v>4.1861738535249833</v>
      </c>
      <c r="O319" s="33">
        <v>3.7782340862422998</v>
      </c>
      <c r="P319" s="33">
        <v>7.9644079397672831</v>
      </c>
      <c r="Q319" s="33" t="s">
        <v>7</v>
      </c>
      <c r="R319" s="33" t="s">
        <v>7</v>
      </c>
      <c r="S319" s="33" t="s">
        <v>7</v>
      </c>
      <c r="T319" s="34">
        <v>7</v>
      </c>
      <c r="U319" s="34">
        <v>21</v>
      </c>
      <c r="V319" s="4" t="s">
        <v>1</v>
      </c>
      <c r="W319" s="4">
        <v>1</v>
      </c>
      <c r="X319" s="4">
        <v>1</v>
      </c>
      <c r="Y319" s="4">
        <v>1</v>
      </c>
      <c r="Z319" s="56">
        <v>3</v>
      </c>
      <c r="AA319" s="9" cm="1">
        <f t="array" ref="AA319">IF(OR(AB319:AE319=""),"BLANK",IF(AND(AB319:AE319&lt;999),1,IF(AND(AB319:AE319="NA"),3,2)))</f>
        <v>1</v>
      </c>
      <c r="AB319" s="4">
        <v>37</v>
      </c>
      <c r="AC319" s="4">
        <v>24</v>
      </c>
      <c r="AD319" s="4">
        <v>15</v>
      </c>
      <c r="AE319" s="5">
        <v>76</v>
      </c>
      <c r="AF319" s="9">
        <f t="shared" si="4"/>
        <v>1</v>
      </c>
      <c r="AG319" s="5">
        <v>65</v>
      </c>
      <c r="AH319" s="9" cm="1">
        <f t="array" ref="AH319">IF(OR(AI319:AN319=""),"BLANK",IF(AND(AI319:AN319&lt;99),1,IF(AND(AI319:AN319="NA"),3,2)))</f>
        <v>3</v>
      </c>
      <c r="AI319" s="4" t="s">
        <v>7</v>
      </c>
      <c r="AJ319" s="4" t="s">
        <v>7</v>
      </c>
      <c r="AK319" s="4" t="s">
        <v>7</v>
      </c>
      <c r="AL319" s="4" t="s">
        <v>7</v>
      </c>
      <c r="AM319" s="4" t="s">
        <v>7</v>
      </c>
      <c r="AN319" s="5" t="s">
        <v>7</v>
      </c>
    </row>
    <row r="320" spans="1:40" x14ac:dyDescent="0.2">
      <c r="A320" s="39">
        <v>2327</v>
      </c>
      <c r="B320" s="4" t="s">
        <v>66</v>
      </c>
      <c r="C320" s="30" t="s">
        <v>23</v>
      </c>
      <c r="D320" s="30">
        <v>7</v>
      </c>
      <c r="E320" s="30" t="s">
        <v>7</v>
      </c>
      <c r="F320" s="4">
        <v>3.8180000000000001</v>
      </c>
      <c r="G320" s="30">
        <v>27</v>
      </c>
      <c r="H320" s="33" t="s">
        <v>7</v>
      </c>
      <c r="I320" s="33" t="s">
        <v>7</v>
      </c>
      <c r="J320" s="33" t="s">
        <v>7</v>
      </c>
      <c r="K320" s="33" t="s">
        <v>7</v>
      </c>
      <c r="L320" s="33" t="s">
        <v>7</v>
      </c>
      <c r="M320" s="33" t="s">
        <v>7</v>
      </c>
      <c r="N320" s="33" t="s">
        <v>7</v>
      </c>
      <c r="O320" s="33" t="s">
        <v>7</v>
      </c>
      <c r="P320" s="33" t="s">
        <v>7</v>
      </c>
      <c r="Q320" s="33" t="s">
        <v>7</v>
      </c>
      <c r="R320" s="33" t="s">
        <v>7</v>
      </c>
      <c r="S320" s="33" t="s">
        <v>7</v>
      </c>
      <c r="T320" s="34">
        <v>2</v>
      </c>
      <c r="U320" s="34">
        <v>12</v>
      </c>
      <c r="V320" s="4" t="s">
        <v>1</v>
      </c>
      <c r="W320" s="4">
        <v>1</v>
      </c>
      <c r="X320" s="4">
        <v>1</v>
      </c>
      <c r="Y320" s="4">
        <v>1</v>
      </c>
      <c r="Z320" s="56">
        <v>3</v>
      </c>
      <c r="AA320" s="9" cm="1">
        <f t="array" ref="AA320">IF(OR(AB320:AE320=""),"BLANK",IF(AND(AB320:AE320&lt;999),1,IF(AND(AB320:AE320="NA"),3,2)))</f>
        <v>1</v>
      </c>
      <c r="AB320" s="4">
        <v>24</v>
      </c>
      <c r="AC320" s="4">
        <v>14</v>
      </c>
      <c r="AD320" s="4">
        <v>15</v>
      </c>
      <c r="AE320" s="5">
        <v>53</v>
      </c>
      <c r="AF320" s="9">
        <f t="shared" si="4"/>
        <v>1</v>
      </c>
      <c r="AG320" s="5">
        <v>42</v>
      </c>
      <c r="AH320" s="9" cm="1">
        <f t="array" ref="AH320">IF(OR(AI320:AN320=""),"BLANK",IF(AND(AI320:AN320&lt;99),1,IF(AND(AI320:AN320="NA"),3,2)))</f>
        <v>3</v>
      </c>
      <c r="AI320" s="4" t="s">
        <v>7</v>
      </c>
      <c r="AJ320" s="4" t="s">
        <v>7</v>
      </c>
      <c r="AK320" s="4" t="s">
        <v>7</v>
      </c>
      <c r="AL320" s="4" t="s">
        <v>7</v>
      </c>
      <c r="AM320" s="4" t="s">
        <v>7</v>
      </c>
      <c r="AN320" s="5" t="s">
        <v>7</v>
      </c>
    </row>
    <row r="321" spans="1:40" x14ac:dyDescent="0.2">
      <c r="A321" s="39">
        <v>2440</v>
      </c>
      <c r="B321" s="4" t="s">
        <v>58</v>
      </c>
      <c r="C321" s="30" t="s">
        <v>24</v>
      </c>
      <c r="D321" s="30">
        <v>5</v>
      </c>
      <c r="E321" s="30">
        <v>0</v>
      </c>
      <c r="F321" s="4">
        <v>3.2730000000000001</v>
      </c>
      <c r="G321" s="30">
        <v>28</v>
      </c>
      <c r="H321" s="33">
        <v>3.9835728952772076</v>
      </c>
      <c r="I321" s="33">
        <v>4.2874743326488707</v>
      </c>
      <c r="J321" s="33">
        <v>8.2710472279260774</v>
      </c>
      <c r="K321" s="33">
        <v>3.9835728952772076</v>
      </c>
      <c r="L321" s="33">
        <v>4.2874743326488707</v>
      </c>
      <c r="M321" s="33">
        <v>8.2710472279260774</v>
      </c>
      <c r="N321" s="33">
        <v>4.0821355236139629</v>
      </c>
      <c r="O321" s="33">
        <v>4.128678986995209</v>
      </c>
      <c r="P321" s="33">
        <v>8.2108145106091719</v>
      </c>
      <c r="Q321" s="33">
        <v>5.1498973305954827</v>
      </c>
      <c r="R321" s="33">
        <v>3.4715947980835042</v>
      </c>
      <c r="S321" s="33">
        <v>8.6214921286789874</v>
      </c>
      <c r="T321" s="34">
        <v>3</v>
      </c>
      <c r="U321" s="34">
        <v>14</v>
      </c>
      <c r="V321" s="4" t="s">
        <v>1</v>
      </c>
      <c r="W321" s="4">
        <v>1</v>
      </c>
      <c r="X321" s="4">
        <v>1</v>
      </c>
      <c r="Y321" s="4">
        <v>1</v>
      </c>
      <c r="Z321" s="56">
        <v>3</v>
      </c>
      <c r="AA321" s="9" cm="1">
        <f t="array" ref="AA321">IF(OR(AB321:AE321=""),"BLANK",IF(AND(AB321:AE321&lt;999),1,IF(AND(AB321:AE321="NA"),3,2)))</f>
        <v>1</v>
      </c>
      <c r="AB321" s="4">
        <v>32</v>
      </c>
      <c r="AC321" s="4">
        <v>17</v>
      </c>
      <c r="AD321" s="4">
        <v>14</v>
      </c>
      <c r="AE321" s="5">
        <v>63</v>
      </c>
      <c r="AF321" s="9">
        <f t="shared" si="4"/>
        <v>1</v>
      </c>
      <c r="AG321" s="5">
        <v>49</v>
      </c>
      <c r="AH321" s="9" cm="1">
        <f t="array" ref="AH321">IF(OR(AI321:AN321=""),"BLANK",IF(AND(AI321:AN321&lt;99),1,IF(AND(AI321:AN321="NA"),3,2)))</f>
        <v>3</v>
      </c>
      <c r="AI321" s="4" t="s">
        <v>7</v>
      </c>
      <c r="AJ321" s="4" t="s">
        <v>7</v>
      </c>
      <c r="AK321" s="4" t="s">
        <v>7</v>
      </c>
      <c r="AL321" s="4" t="s">
        <v>7</v>
      </c>
      <c r="AM321" s="4" t="s">
        <v>7</v>
      </c>
      <c r="AN321" s="5" t="s">
        <v>7</v>
      </c>
    </row>
    <row r="322" spans="1:40" x14ac:dyDescent="0.2">
      <c r="A322" s="39">
        <v>2543</v>
      </c>
      <c r="B322" s="4" t="s">
        <v>54</v>
      </c>
      <c r="C322" s="30" t="s">
        <v>23</v>
      </c>
      <c r="D322" s="30">
        <v>5</v>
      </c>
      <c r="E322" s="30">
        <v>0</v>
      </c>
      <c r="F322" s="4">
        <v>4</v>
      </c>
      <c r="G322" s="30">
        <v>29</v>
      </c>
      <c r="H322" s="33">
        <v>3.8138261464750172</v>
      </c>
      <c r="I322" s="33" t="s">
        <v>7</v>
      </c>
      <c r="J322" s="33" t="s">
        <v>7</v>
      </c>
      <c r="K322" s="33">
        <v>6.6776180698151952</v>
      </c>
      <c r="L322" s="33" t="s">
        <v>7</v>
      </c>
      <c r="M322" s="33" t="s">
        <v>7</v>
      </c>
      <c r="N322" s="33" t="s">
        <v>7</v>
      </c>
      <c r="O322" s="33" t="s">
        <v>7</v>
      </c>
      <c r="P322" s="33" t="s">
        <v>7</v>
      </c>
      <c r="Q322" s="33">
        <v>4.4052019164955514</v>
      </c>
      <c r="R322" s="33" t="s">
        <v>7</v>
      </c>
      <c r="S322" s="33" t="s">
        <v>7</v>
      </c>
      <c r="T322" s="34">
        <v>3</v>
      </c>
      <c r="U322" s="34">
        <v>13.5</v>
      </c>
      <c r="V322" s="4" t="s">
        <v>1</v>
      </c>
      <c r="W322" s="4">
        <v>1</v>
      </c>
      <c r="X322" s="4">
        <v>1</v>
      </c>
      <c r="Y322" s="4">
        <v>1</v>
      </c>
      <c r="Z322" s="56">
        <v>3</v>
      </c>
      <c r="AA322" s="9" cm="1">
        <f t="array" ref="AA322">IF(OR(AB322:AE322=""),"BLANK",IF(AND(AB322:AE322&lt;999),1,IF(AND(AB322:AE322="NA"),3,2)))</f>
        <v>1</v>
      </c>
      <c r="AB322" s="4">
        <v>27</v>
      </c>
      <c r="AC322" s="4">
        <v>15</v>
      </c>
      <c r="AD322" s="4">
        <v>13</v>
      </c>
      <c r="AE322" s="5">
        <v>55</v>
      </c>
      <c r="AF322" s="9">
        <f t="shared" si="4"/>
        <v>1</v>
      </c>
      <c r="AG322" s="5">
        <v>57</v>
      </c>
      <c r="AH322" s="9" cm="1">
        <f t="array" ref="AH322">IF(OR(AI322:AN322=""),"BLANK",IF(AND(AI322:AN322&lt;99),1,IF(AND(AI322:AN322="NA"),3,2)))</f>
        <v>3</v>
      </c>
      <c r="AI322" s="4" t="s">
        <v>7</v>
      </c>
      <c r="AJ322" s="4" t="s">
        <v>7</v>
      </c>
      <c r="AK322" s="4" t="s">
        <v>7</v>
      </c>
      <c r="AL322" s="4" t="s">
        <v>7</v>
      </c>
      <c r="AM322" s="4" t="s">
        <v>7</v>
      </c>
      <c r="AN322" s="5" t="s">
        <v>7</v>
      </c>
    </row>
    <row r="323" spans="1:40" x14ac:dyDescent="0.2">
      <c r="A323" s="39">
        <v>2561</v>
      </c>
      <c r="B323" s="4" t="s">
        <v>46</v>
      </c>
      <c r="C323" s="30" t="s">
        <v>24</v>
      </c>
      <c r="D323" s="30">
        <v>5</v>
      </c>
      <c r="E323" s="30">
        <v>0</v>
      </c>
      <c r="F323" s="4">
        <v>3.7269999999999999</v>
      </c>
      <c r="G323" s="30">
        <v>28</v>
      </c>
      <c r="H323" s="33">
        <v>3.8631074606433948</v>
      </c>
      <c r="I323" s="33">
        <v>4.2929500342231348</v>
      </c>
      <c r="J323" s="33">
        <v>8.1560574948665305</v>
      </c>
      <c r="K323" s="33">
        <v>3.8631074606433948</v>
      </c>
      <c r="L323" s="33">
        <v>4.2929500342231348</v>
      </c>
      <c r="M323" s="33">
        <v>8.1560574948665305</v>
      </c>
      <c r="N323" s="33">
        <v>3.805612594113621</v>
      </c>
      <c r="O323" s="33">
        <v>4.3312799452429847</v>
      </c>
      <c r="P323" s="33">
        <v>8.1368925393566052</v>
      </c>
      <c r="Q323" s="33" t="s">
        <v>7</v>
      </c>
      <c r="R323" s="33" t="s">
        <v>7</v>
      </c>
      <c r="S323" s="33" t="s">
        <v>7</v>
      </c>
      <c r="T323" s="34">
        <v>3</v>
      </c>
      <c r="U323" s="34">
        <v>14</v>
      </c>
      <c r="V323" s="4" t="s">
        <v>1</v>
      </c>
      <c r="W323" s="4">
        <v>1</v>
      </c>
      <c r="X323" s="4">
        <v>1</v>
      </c>
      <c r="Y323" s="4">
        <v>1</v>
      </c>
      <c r="Z323" s="56">
        <v>3</v>
      </c>
      <c r="AA323" s="9" cm="1">
        <f t="array" ref="AA323">IF(OR(AB323:AE323=""),"BLANK",IF(AND(AB323:AE323&lt;999),1,IF(AND(AB323:AE323="NA"),3,2)))</f>
        <v>1</v>
      </c>
      <c r="AB323" s="4">
        <v>28</v>
      </c>
      <c r="AC323" s="4">
        <v>20</v>
      </c>
      <c r="AD323" s="4">
        <v>13</v>
      </c>
      <c r="AE323" s="5">
        <v>61</v>
      </c>
      <c r="AF323" s="9">
        <f t="shared" si="4"/>
        <v>1</v>
      </c>
      <c r="AG323" s="5">
        <v>56</v>
      </c>
      <c r="AH323" s="9" cm="1">
        <f t="array" ref="AH323">IF(OR(AI323:AN323=""),"BLANK",IF(AND(AI323:AN323&lt;99),1,IF(AND(AI323:AN323="NA"),3,2)))</f>
        <v>3</v>
      </c>
      <c r="AI323" s="4" t="s">
        <v>7</v>
      </c>
      <c r="AJ323" s="4" t="s">
        <v>7</v>
      </c>
      <c r="AK323" s="4" t="s">
        <v>7</v>
      </c>
      <c r="AL323" s="4" t="s">
        <v>7</v>
      </c>
      <c r="AM323" s="4" t="s">
        <v>7</v>
      </c>
      <c r="AN323" s="5" t="s">
        <v>7</v>
      </c>
    </row>
    <row r="324" spans="1:40" x14ac:dyDescent="0.2">
      <c r="A324" s="39">
        <v>2740</v>
      </c>
      <c r="B324" s="4" t="s">
        <v>46</v>
      </c>
      <c r="C324" s="30" t="s">
        <v>23</v>
      </c>
      <c r="D324" s="30">
        <v>2</v>
      </c>
      <c r="E324" s="30">
        <v>0</v>
      </c>
      <c r="F324" s="4">
        <v>4</v>
      </c>
      <c r="G324" s="30">
        <v>29</v>
      </c>
      <c r="H324" s="33" t="s">
        <v>7</v>
      </c>
      <c r="I324" s="33" t="s">
        <v>7</v>
      </c>
      <c r="J324" s="33" t="s">
        <v>7</v>
      </c>
      <c r="K324" s="33" t="s">
        <v>7</v>
      </c>
      <c r="L324" s="33" t="s">
        <v>7</v>
      </c>
      <c r="M324" s="33" t="s">
        <v>7</v>
      </c>
      <c r="N324" s="33" t="s">
        <v>7</v>
      </c>
      <c r="O324" s="33" t="s">
        <v>7</v>
      </c>
      <c r="P324" s="33" t="s">
        <v>7</v>
      </c>
      <c r="Q324" s="33" t="s">
        <v>7</v>
      </c>
      <c r="R324" s="33" t="s">
        <v>7</v>
      </c>
      <c r="S324" s="33" t="s">
        <v>7</v>
      </c>
      <c r="T324" s="34">
        <v>3</v>
      </c>
      <c r="U324" s="34">
        <v>14</v>
      </c>
      <c r="V324" s="4" t="s">
        <v>1</v>
      </c>
      <c r="W324" s="4">
        <v>1</v>
      </c>
      <c r="X324" s="4">
        <v>1</v>
      </c>
      <c r="Y324" s="4">
        <v>1</v>
      </c>
      <c r="Z324" s="56">
        <v>3</v>
      </c>
      <c r="AA324" s="9" cm="1">
        <f t="array" ref="AA324">IF(OR(AB324:AE324=""),"BLANK",IF(AND(AB324:AE324&lt;999),1,IF(AND(AB324:AE324="NA"),3,2)))</f>
        <v>1</v>
      </c>
      <c r="AB324" s="4">
        <v>28</v>
      </c>
      <c r="AC324" s="4">
        <v>17</v>
      </c>
      <c r="AD324" s="4">
        <v>12</v>
      </c>
      <c r="AE324" s="5">
        <v>57</v>
      </c>
      <c r="AF324" s="9">
        <f t="shared" ref="AF324:AF387" si="5">IF(AG324="NA", 3,1)</f>
        <v>1</v>
      </c>
      <c r="AG324" s="5">
        <v>51</v>
      </c>
      <c r="AH324" s="9" cm="1">
        <f t="array" ref="AH324">IF(OR(AI324:AN324=""),"BLANK",IF(AND(AI324:AN324&lt;99),1,IF(AND(AI324:AN324="NA"),3,2)))</f>
        <v>3</v>
      </c>
      <c r="AI324" s="4" t="s">
        <v>7</v>
      </c>
      <c r="AJ324" s="4" t="s">
        <v>7</v>
      </c>
      <c r="AK324" s="4" t="s">
        <v>7</v>
      </c>
      <c r="AL324" s="4" t="s">
        <v>7</v>
      </c>
      <c r="AM324" s="4" t="s">
        <v>7</v>
      </c>
      <c r="AN324" s="5" t="s">
        <v>7</v>
      </c>
    </row>
    <row r="325" spans="1:40" x14ac:dyDescent="0.2">
      <c r="A325" s="39">
        <v>2743</v>
      </c>
      <c r="B325" s="4" t="s">
        <v>47</v>
      </c>
      <c r="C325" s="30" t="s">
        <v>24</v>
      </c>
      <c r="D325" s="30">
        <v>5</v>
      </c>
      <c r="E325" s="30">
        <v>0</v>
      </c>
      <c r="F325" s="4">
        <v>3.2730000000000001</v>
      </c>
      <c r="G325" s="30">
        <v>29</v>
      </c>
      <c r="H325" s="33">
        <v>3.5865845311430529</v>
      </c>
      <c r="I325" s="33" t="s">
        <v>7</v>
      </c>
      <c r="J325" s="33" t="s">
        <v>7</v>
      </c>
      <c r="K325" s="33">
        <v>3.5263518138261465</v>
      </c>
      <c r="L325" s="33" t="s">
        <v>7</v>
      </c>
      <c r="M325" s="33" t="s">
        <v>7</v>
      </c>
      <c r="N325" s="33">
        <v>3.7563312799452429</v>
      </c>
      <c r="O325" s="33" t="s">
        <v>7</v>
      </c>
      <c r="P325" s="33" t="s">
        <v>7</v>
      </c>
      <c r="Q325" s="33">
        <v>3.9479808350444903</v>
      </c>
      <c r="R325" s="33" t="s">
        <v>7</v>
      </c>
      <c r="S325" s="33" t="s">
        <v>7</v>
      </c>
      <c r="T325" s="34">
        <v>2</v>
      </c>
      <c r="U325" s="34">
        <v>12</v>
      </c>
      <c r="V325" s="4" t="s">
        <v>1</v>
      </c>
      <c r="W325" s="4">
        <v>1</v>
      </c>
      <c r="X325" s="4">
        <v>1</v>
      </c>
      <c r="Y325" s="4">
        <v>1</v>
      </c>
      <c r="Z325" s="56">
        <v>3</v>
      </c>
      <c r="AA325" s="9" cm="1">
        <f t="array" ref="AA325">IF(OR(AB325:AE325=""),"BLANK",IF(AND(AB325:AE325&lt;999),1,IF(AND(AB325:AE325="NA"),3,2)))</f>
        <v>1</v>
      </c>
      <c r="AB325" s="4">
        <v>19</v>
      </c>
      <c r="AC325" s="4">
        <v>12</v>
      </c>
      <c r="AD325" s="4">
        <v>3</v>
      </c>
      <c r="AE325" s="5">
        <v>34</v>
      </c>
      <c r="AF325" s="9">
        <f t="shared" si="5"/>
        <v>1</v>
      </c>
      <c r="AG325" s="5">
        <v>31</v>
      </c>
      <c r="AH325" s="9" cm="1">
        <f t="array" ref="AH325">IF(OR(AI325:AN325=""),"BLANK",IF(AND(AI325:AN325&lt;99),1,IF(AND(AI325:AN325="NA"),3,2)))</f>
        <v>3</v>
      </c>
      <c r="AI325" s="4" t="s">
        <v>7</v>
      </c>
      <c r="AJ325" s="4" t="s">
        <v>7</v>
      </c>
      <c r="AK325" s="4" t="s">
        <v>7</v>
      </c>
      <c r="AL325" s="4" t="s">
        <v>7</v>
      </c>
      <c r="AM325" s="4" t="s">
        <v>7</v>
      </c>
      <c r="AN325" s="5" t="s">
        <v>7</v>
      </c>
    </row>
    <row r="326" spans="1:40" x14ac:dyDescent="0.2">
      <c r="A326" s="39">
        <v>2748</v>
      </c>
      <c r="B326" s="4" t="s">
        <v>48</v>
      </c>
      <c r="C326" s="30" t="s">
        <v>24</v>
      </c>
      <c r="D326" s="30">
        <v>5</v>
      </c>
      <c r="E326" s="30">
        <v>0</v>
      </c>
      <c r="F326" s="4">
        <v>4</v>
      </c>
      <c r="G326" s="30">
        <v>27</v>
      </c>
      <c r="H326" s="33">
        <v>3.6194387405886381</v>
      </c>
      <c r="I326" s="33">
        <v>4.3312799452429847</v>
      </c>
      <c r="J326" s="33">
        <v>7.9507186858316219</v>
      </c>
      <c r="K326" s="33">
        <v>3.6194387405886381</v>
      </c>
      <c r="L326" s="33">
        <v>4.3312799452429847</v>
      </c>
      <c r="M326" s="33">
        <v>7.9507186858316219</v>
      </c>
      <c r="N326" s="33">
        <v>5.0650239561943877</v>
      </c>
      <c r="O326" s="33" t="s">
        <v>7</v>
      </c>
      <c r="P326" s="33" t="s">
        <v>7</v>
      </c>
      <c r="Q326" s="33">
        <v>4.8021902806297057</v>
      </c>
      <c r="R326" s="33" t="s">
        <v>7</v>
      </c>
      <c r="S326" s="33" t="s">
        <v>7</v>
      </c>
      <c r="T326" s="34">
        <v>3</v>
      </c>
      <c r="U326" s="34">
        <v>14</v>
      </c>
      <c r="V326" s="4" t="s">
        <v>1</v>
      </c>
      <c r="W326" s="4">
        <v>1</v>
      </c>
      <c r="X326" s="4">
        <v>1</v>
      </c>
      <c r="Y326" s="4">
        <v>1</v>
      </c>
      <c r="Z326" s="56">
        <v>3</v>
      </c>
      <c r="AA326" s="9" cm="1">
        <f t="array" ref="AA326">IF(OR(AB326:AE326=""),"BLANK",IF(AND(AB326:AE326&lt;999),1,IF(AND(AB326:AE326="NA"),3,2)))</f>
        <v>1</v>
      </c>
      <c r="AB326" s="4">
        <v>18</v>
      </c>
      <c r="AC326" s="4">
        <v>7</v>
      </c>
      <c r="AD326" s="4">
        <v>10</v>
      </c>
      <c r="AE326" s="5">
        <v>35</v>
      </c>
      <c r="AF326" s="9">
        <f t="shared" si="5"/>
        <v>1</v>
      </c>
      <c r="AG326" s="5">
        <v>38</v>
      </c>
      <c r="AH326" s="9" cm="1">
        <f t="array" ref="AH326">IF(OR(AI326:AN326=""),"BLANK",IF(AND(AI326:AN326&lt;99),1,IF(AND(AI326:AN326="NA"),3,2)))</f>
        <v>3</v>
      </c>
      <c r="AI326" s="4" t="s">
        <v>7</v>
      </c>
      <c r="AJ326" s="4" t="s">
        <v>7</v>
      </c>
      <c r="AK326" s="4" t="s">
        <v>7</v>
      </c>
      <c r="AL326" s="4" t="s">
        <v>7</v>
      </c>
      <c r="AM326" s="4" t="s">
        <v>7</v>
      </c>
      <c r="AN326" s="5" t="s">
        <v>7</v>
      </c>
    </row>
    <row r="327" spans="1:40" x14ac:dyDescent="0.2">
      <c r="A327" s="39">
        <v>2790</v>
      </c>
      <c r="B327" s="4" t="s">
        <v>59</v>
      </c>
      <c r="C327" s="30" t="s">
        <v>23</v>
      </c>
      <c r="D327" s="30">
        <v>5</v>
      </c>
      <c r="E327" s="30">
        <v>0</v>
      </c>
      <c r="F327" s="4">
        <v>3.7269999999999999</v>
      </c>
      <c r="G327" s="30">
        <v>30</v>
      </c>
      <c r="H327" s="33">
        <v>3.5975359342915811</v>
      </c>
      <c r="I327" s="33">
        <v>4.2518822724161529</v>
      </c>
      <c r="J327" s="33">
        <v>7.8494182067077345</v>
      </c>
      <c r="K327" s="33">
        <v>3.5975359342915811</v>
      </c>
      <c r="L327" s="33">
        <v>4.2518822724161529</v>
      </c>
      <c r="M327" s="33">
        <v>7.8494182067077345</v>
      </c>
      <c r="N327" s="33">
        <v>3.5838466803559208</v>
      </c>
      <c r="O327" s="33">
        <v>4.2080766598220398</v>
      </c>
      <c r="P327" s="33">
        <v>7.7919233401779602</v>
      </c>
      <c r="Q327" s="33" t="s">
        <v>7</v>
      </c>
      <c r="R327" s="33" t="s">
        <v>7</v>
      </c>
      <c r="S327" s="33" t="s">
        <v>7</v>
      </c>
      <c r="T327" s="34">
        <v>3</v>
      </c>
      <c r="U327" s="34">
        <v>14</v>
      </c>
      <c r="V327" s="4" t="s">
        <v>1</v>
      </c>
      <c r="W327" s="4">
        <v>1</v>
      </c>
      <c r="X327" s="4">
        <v>1</v>
      </c>
      <c r="Y327" s="4">
        <v>1</v>
      </c>
      <c r="Z327" s="56">
        <v>3</v>
      </c>
      <c r="AA327" s="9" cm="1">
        <f t="array" ref="AA327">IF(OR(AB327:AE327=""),"BLANK",IF(AND(AB327:AE327&lt;999),1,IF(AND(AB327:AE327="NA"),3,2)))</f>
        <v>1</v>
      </c>
      <c r="AB327" s="4">
        <v>30</v>
      </c>
      <c r="AC327" s="4">
        <v>22</v>
      </c>
      <c r="AD327" s="4">
        <v>16</v>
      </c>
      <c r="AE327" s="5">
        <v>68</v>
      </c>
      <c r="AF327" s="9">
        <f t="shared" si="5"/>
        <v>1</v>
      </c>
      <c r="AG327" s="5">
        <v>63</v>
      </c>
      <c r="AH327" s="9" cm="1">
        <f t="array" ref="AH327">IF(OR(AI327:AN327=""),"BLANK",IF(AND(AI327:AN327&lt;99),1,IF(AND(AI327:AN327="NA"),3,2)))</f>
        <v>3</v>
      </c>
      <c r="AI327" s="4" t="s">
        <v>7</v>
      </c>
      <c r="AJ327" s="4" t="s">
        <v>7</v>
      </c>
      <c r="AK327" s="4" t="s">
        <v>7</v>
      </c>
      <c r="AL327" s="4" t="s">
        <v>7</v>
      </c>
      <c r="AM327" s="4" t="s">
        <v>7</v>
      </c>
      <c r="AN327" s="5" t="s">
        <v>7</v>
      </c>
    </row>
    <row r="328" spans="1:40" x14ac:dyDescent="0.2">
      <c r="A328" s="39">
        <v>2813</v>
      </c>
      <c r="B328" s="4" t="s">
        <v>47</v>
      </c>
      <c r="C328" s="30" t="s">
        <v>23</v>
      </c>
      <c r="D328" s="30">
        <v>5</v>
      </c>
      <c r="E328" s="30">
        <v>0</v>
      </c>
      <c r="F328" s="4">
        <v>3.6360000000000001</v>
      </c>
      <c r="G328" s="30">
        <v>28</v>
      </c>
      <c r="H328" s="33">
        <v>3.5893223819301849</v>
      </c>
      <c r="I328" s="33" t="s">
        <v>7</v>
      </c>
      <c r="J328" s="33" t="s">
        <v>7</v>
      </c>
      <c r="K328" s="33">
        <v>3.5893223819301849</v>
      </c>
      <c r="L328" s="33" t="s">
        <v>7</v>
      </c>
      <c r="M328" s="33" t="s">
        <v>7</v>
      </c>
      <c r="N328" s="33">
        <v>3.6358658453114305</v>
      </c>
      <c r="O328" s="33" t="s">
        <v>7</v>
      </c>
      <c r="P328" s="33" t="s">
        <v>7</v>
      </c>
      <c r="Q328" s="33">
        <v>4.4845995893223822</v>
      </c>
      <c r="R328" s="33" t="s">
        <v>7</v>
      </c>
      <c r="S328" s="33" t="s">
        <v>7</v>
      </c>
      <c r="T328" s="34">
        <v>3</v>
      </c>
      <c r="U328" s="34">
        <v>12</v>
      </c>
      <c r="V328" s="4" t="s">
        <v>1</v>
      </c>
      <c r="W328" s="4">
        <v>1</v>
      </c>
      <c r="X328" s="4">
        <v>1</v>
      </c>
      <c r="Y328" s="4">
        <v>1</v>
      </c>
      <c r="Z328" s="56">
        <v>3</v>
      </c>
      <c r="AA328" s="9" cm="1">
        <f t="array" ref="AA328">IF(OR(AB328:AE328=""),"BLANK",IF(AND(AB328:AE328&lt;999),1,IF(AND(AB328:AE328="NA"),3,2)))</f>
        <v>1</v>
      </c>
      <c r="AB328" s="4">
        <v>20</v>
      </c>
      <c r="AC328" s="4">
        <v>13</v>
      </c>
      <c r="AD328" s="4">
        <v>9</v>
      </c>
      <c r="AE328" s="5">
        <v>42</v>
      </c>
      <c r="AF328" s="9">
        <f t="shared" si="5"/>
        <v>1</v>
      </c>
      <c r="AG328" s="5">
        <v>43</v>
      </c>
      <c r="AH328" s="9" cm="1">
        <f t="array" ref="AH328">IF(OR(AI328:AN328=""),"BLANK",IF(AND(AI328:AN328&lt;99),1,IF(AND(AI328:AN328="NA"),3,2)))</f>
        <v>3</v>
      </c>
      <c r="AI328" s="4" t="s">
        <v>7</v>
      </c>
      <c r="AJ328" s="4" t="s">
        <v>7</v>
      </c>
      <c r="AK328" s="4" t="s">
        <v>7</v>
      </c>
      <c r="AL328" s="4" t="s">
        <v>7</v>
      </c>
      <c r="AM328" s="4" t="s">
        <v>7</v>
      </c>
      <c r="AN328" s="5" t="s">
        <v>7</v>
      </c>
    </row>
    <row r="329" spans="1:40" x14ac:dyDescent="0.2">
      <c r="A329" s="39">
        <v>2819</v>
      </c>
      <c r="B329" s="4" t="s">
        <v>62</v>
      </c>
      <c r="C329" s="30" t="s">
        <v>23</v>
      </c>
      <c r="D329" s="30">
        <v>5</v>
      </c>
      <c r="E329" s="30">
        <v>0</v>
      </c>
      <c r="F329" s="4">
        <v>3.4550000000000001</v>
      </c>
      <c r="G329" s="30">
        <v>27</v>
      </c>
      <c r="H329" s="33">
        <v>4.1971252566735116</v>
      </c>
      <c r="I329" s="33" t="s">
        <v>7</v>
      </c>
      <c r="J329" s="33" t="s">
        <v>7</v>
      </c>
      <c r="K329" s="33">
        <v>4.1916495550992474</v>
      </c>
      <c r="L329" s="33" t="s">
        <v>7</v>
      </c>
      <c r="M329" s="33" t="s">
        <v>7</v>
      </c>
      <c r="N329" s="33">
        <v>4.1642710472279258</v>
      </c>
      <c r="O329" s="33" t="s">
        <v>7</v>
      </c>
      <c r="P329" s="33" t="s">
        <v>7</v>
      </c>
      <c r="Q329" s="33">
        <v>5.1909650924024637</v>
      </c>
      <c r="R329" s="33" t="s">
        <v>7</v>
      </c>
      <c r="S329" s="33" t="s">
        <v>7</v>
      </c>
      <c r="T329" s="34">
        <v>2</v>
      </c>
      <c r="U329" s="34">
        <v>12</v>
      </c>
      <c r="V329" s="4" t="s">
        <v>1</v>
      </c>
      <c r="W329" s="4">
        <v>1</v>
      </c>
      <c r="X329" s="4">
        <v>1</v>
      </c>
      <c r="Y329" s="4">
        <v>1</v>
      </c>
      <c r="Z329" s="56">
        <v>3</v>
      </c>
      <c r="AA329" s="9" cm="1">
        <f t="array" ref="AA329">IF(OR(AB329:AE329=""),"BLANK",IF(AND(AB329:AE329&lt;999),1,IF(AND(AB329:AE329="NA"),3,2)))</f>
        <v>1</v>
      </c>
      <c r="AB329" s="4">
        <v>35</v>
      </c>
      <c r="AC329" s="4">
        <v>17</v>
      </c>
      <c r="AD329" s="4">
        <v>12</v>
      </c>
      <c r="AE329" s="5">
        <v>64</v>
      </c>
      <c r="AF329" s="9">
        <f t="shared" si="5"/>
        <v>1</v>
      </c>
      <c r="AG329" s="5">
        <v>56</v>
      </c>
      <c r="AH329" s="9" cm="1">
        <f t="array" ref="AH329">IF(OR(AI329:AN329=""),"BLANK",IF(AND(AI329:AN329&lt;99),1,IF(AND(AI329:AN329="NA"),3,2)))</f>
        <v>3</v>
      </c>
      <c r="AI329" s="4" t="s">
        <v>7</v>
      </c>
      <c r="AJ329" s="4" t="s">
        <v>7</v>
      </c>
      <c r="AK329" s="4" t="s">
        <v>7</v>
      </c>
      <c r="AL329" s="4" t="s">
        <v>7</v>
      </c>
      <c r="AM329" s="4" t="s">
        <v>7</v>
      </c>
      <c r="AN329" s="5" t="s">
        <v>7</v>
      </c>
    </row>
    <row r="330" spans="1:40" x14ac:dyDescent="0.2">
      <c r="A330" s="39">
        <v>2852</v>
      </c>
      <c r="B330" s="4" t="s">
        <v>58</v>
      </c>
      <c r="C330" s="30" t="s">
        <v>24</v>
      </c>
      <c r="D330" s="30">
        <v>5</v>
      </c>
      <c r="E330" s="30">
        <v>0</v>
      </c>
      <c r="F330" s="4">
        <v>3.2730000000000001</v>
      </c>
      <c r="G330" s="30">
        <v>30</v>
      </c>
      <c r="H330" s="33" t="s">
        <v>7</v>
      </c>
      <c r="I330" s="33" t="s">
        <v>7</v>
      </c>
      <c r="J330" s="33" t="s">
        <v>7</v>
      </c>
      <c r="K330" s="33" t="s">
        <v>7</v>
      </c>
      <c r="L330" s="33" t="s">
        <v>7</v>
      </c>
      <c r="M330" s="33" t="s">
        <v>7</v>
      </c>
      <c r="N330" s="33" t="s">
        <v>7</v>
      </c>
      <c r="O330" s="33" t="s">
        <v>7</v>
      </c>
      <c r="P330" s="33" t="s">
        <v>7</v>
      </c>
      <c r="Q330" s="33" t="s">
        <v>7</v>
      </c>
      <c r="R330" s="33" t="s">
        <v>7</v>
      </c>
      <c r="S330" s="33" t="s">
        <v>7</v>
      </c>
      <c r="T330" s="34">
        <v>4</v>
      </c>
      <c r="U330" s="34">
        <v>16</v>
      </c>
      <c r="V330" s="4" t="s">
        <v>1</v>
      </c>
      <c r="W330" s="4">
        <v>1</v>
      </c>
      <c r="X330" s="4">
        <v>1</v>
      </c>
      <c r="Y330" s="4">
        <v>1</v>
      </c>
      <c r="Z330" s="56">
        <v>3</v>
      </c>
      <c r="AA330" s="9" cm="1">
        <f t="array" ref="AA330">IF(OR(AB330:AE330=""),"BLANK",IF(AND(AB330:AE330&lt;999),1,IF(AND(AB330:AE330="NA"),3,2)))</f>
        <v>1</v>
      </c>
      <c r="AB330" s="4">
        <v>28</v>
      </c>
      <c r="AC330" s="4">
        <v>13</v>
      </c>
      <c r="AD330" s="4">
        <v>11</v>
      </c>
      <c r="AE330" s="5">
        <v>52</v>
      </c>
      <c r="AF330" s="9">
        <f t="shared" si="5"/>
        <v>1</v>
      </c>
      <c r="AG330" s="5">
        <v>41</v>
      </c>
      <c r="AH330" s="9" cm="1">
        <f t="array" ref="AH330">IF(OR(AI330:AN330=""),"BLANK",IF(AND(AI330:AN330&lt;99),1,IF(AND(AI330:AN330="NA"),3,2)))</f>
        <v>3</v>
      </c>
      <c r="AI330" s="4" t="s">
        <v>7</v>
      </c>
      <c r="AJ330" s="4" t="s">
        <v>7</v>
      </c>
      <c r="AK330" s="4" t="s">
        <v>7</v>
      </c>
      <c r="AL330" s="4" t="s">
        <v>7</v>
      </c>
      <c r="AM330" s="4" t="s">
        <v>7</v>
      </c>
      <c r="AN330" s="5" t="s">
        <v>7</v>
      </c>
    </row>
    <row r="331" spans="1:40" x14ac:dyDescent="0.2">
      <c r="A331" s="39">
        <v>2872</v>
      </c>
      <c r="B331" s="4" t="s">
        <v>54</v>
      </c>
      <c r="C331" s="30" t="s">
        <v>23</v>
      </c>
      <c r="D331" s="30">
        <v>5</v>
      </c>
      <c r="E331" s="30">
        <v>0</v>
      </c>
      <c r="F331" s="4">
        <v>4</v>
      </c>
      <c r="G331" s="30">
        <v>28</v>
      </c>
      <c r="H331" s="33">
        <v>3.463381245722108</v>
      </c>
      <c r="I331" s="33" t="s">
        <v>7</v>
      </c>
      <c r="J331" s="33" t="s">
        <v>7</v>
      </c>
      <c r="K331" s="33">
        <v>3.4715947980835042</v>
      </c>
      <c r="L331" s="33" t="s">
        <v>7</v>
      </c>
      <c r="M331" s="33" t="s">
        <v>7</v>
      </c>
      <c r="N331" s="33">
        <v>3.7453798767967146</v>
      </c>
      <c r="O331" s="33">
        <v>3.7207392197125255</v>
      </c>
      <c r="P331" s="33">
        <v>7.4661190965092405</v>
      </c>
      <c r="Q331" s="33">
        <v>3.7125256673511293</v>
      </c>
      <c r="R331" s="33" t="s">
        <v>7</v>
      </c>
      <c r="S331" s="33" t="s">
        <v>7</v>
      </c>
      <c r="T331" s="34">
        <v>5</v>
      </c>
      <c r="U331" s="34">
        <v>17</v>
      </c>
      <c r="V331" s="4" t="s">
        <v>1</v>
      </c>
      <c r="W331" s="4">
        <v>1</v>
      </c>
      <c r="X331" s="4">
        <v>1</v>
      </c>
      <c r="Y331" s="4">
        <v>1</v>
      </c>
      <c r="Z331" s="56">
        <v>3</v>
      </c>
      <c r="AA331" s="9" cm="1">
        <f t="array" ref="AA331">IF(OR(AB331:AE331=""),"BLANK",IF(AND(AB331:AE331&lt;999),1,IF(AND(AB331:AE331="NA"),3,2)))</f>
        <v>1</v>
      </c>
      <c r="AB331" s="4">
        <v>35</v>
      </c>
      <c r="AC331" s="4">
        <v>19</v>
      </c>
      <c r="AD331" s="4">
        <v>12</v>
      </c>
      <c r="AE331" s="5">
        <v>66</v>
      </c>
      <c r="AF331" s="9">
        <f t="shared" si="5"/>
        <v>1</v>
      </c>
      <c r="AG331" s="5">
        <v>75</v>
      </c>
      <c r="AH331" s="9" cm="1">
        <f t="array" ref="AH331">IF(OR(AI331:AN331=""),"BLANK",IF(AND(AI331:AN331&lt;99),1,IF(AND(AI331:AN331="NA"),3,2)))</f>
        <v>3</v>
      </c>
      <c r="AI331" s="4" t="s">
        <v>7</v>
      </c>
      <c r="AJ331" s="4" t="s">
        <v>7</v>
      </c>
      <c r="AK331" s="4" t="s">
        <v>7</v>
      </c>
      <c r="AL331" s="4" t="s">
        <v>7</v>
      </c>
      <c r="AM331" s="4" t="s">
        <v>7</v>
      </c>
      <c r="AN331" s="5" t="s">
        <v>7</v>
      </c>
    </row>
    <row r="332" spans="1:40" x14ac:dyDescent="0.2">
      <c r="A332" s="39">
        <v>2885</v>
      </c>
      <c r="B332" s="4" t="s">
        <v>46</v>
      </c>
      <c r="C332" s="30" t="s">
        <v>23</v>
      </c>
      <c r="D332" s="30">
        <v>5</v>
      </c>
      <c r="E332" s="30">
        <v>0</v>
      </c>
      <c r="F332" s="4">
        <v>3.8180000000000001</v>
      </c>
      <c r="G332" s="30">
        <v>30</v>
      </c>
      <c r="H332" s="33">
        <v>3.6577686516084875</v>
      </c>
      <c r="I332" s="33">
        <v>4.4982888432580426</v>
      </c>
      <c r="J332" s="33">
        <v>8.1560574948665305</v>
      </c>
      <c r="K332" s="33">
        <v>3.6577686516084875</v>
      </c>
      <c r="L332" s="33">
        <v>4.5475701574264207</v>
      </c>
      <c r="M332" s="33">
        <v>8.2053388090349078</v>
      </c>
      <c r="N332" s="33">
        <v>3.7371663244353184</v>
      </c>
      <c r="O332" s="33">
        <v>4.3531827515400412</v>
      </c>
      <c r="P332" s="33">
        <v>8.0903490759753591</v>
      </c>
      <c r="Q332" s="33">
        <v>4.6160164271047224</v>
      </c>
      <c r="R332" s="33">
        <v>3.6796714579055441</v>
      </c>
      <c r="S332" s="33">
        <v>8.2956878850102669</v>
      </c>
      <c r="T332" s="34">
        <v>3</v>
      </c>
      <c r="U332" s="34">
        <v>14</v>
      </c>
      <c r="V332" s="4" t="s">
        <v>1</v>
      </c>
      <c r="W332" s="4">
        <v>1</v>
      </c>
      <c r="X332" s="4">
        <v>1</v>
      </c>
      <c r="Y332" s="4">
        <v>1</v>
      </c>
      <c r="Z332" s="56">
        <v>3</v>
      </c>
      <c r="AA332" s="9" cm="1">
        <f t="array" ref="AA332">IF(OR(AB332:AE332=""),"BLANK",IF(AND(AB332:AE332&lt;999),1,IF(AND(AB332:AE332="NA"),3,2)))</f>
        <v>1</v>
      </c>
      <c r="AB332" s="4">
        <v>35</v>
      </c>
      <c r="AC332" s="4">
        <v>19</v>
      </c>
      <c r="AD332" s="4">
        <v>13</v>
      </c>
      <c r="AE332" s="5">
        <v>67</v>
      </c>
      <c r="AF332" s="9">
        <f t="shared" si="5"/>
        <v>1</v>
      </c>
      <c r="AG332" s="5">
        <v>76</v>
      </c>
      <c r="AH332" s="9" cm="1">
        <f t="array" ref="AH332">IF(OR(AI332:AN332=""),"BLANK",IF(AND(AI332:AN332&lt;99),1,IF(AND(AI332:AN332="NA"),3,2)))</f>
        <v>3</v>
      </c>
      <c r="AI332" s="4" t="s">
        <v>7</v>
      </c>
      <c r="AJ332" s="4" t="s">
        <v>7</v>
      </c>
      <c r="AK332" s="4" t="s">
        <v>7</v>
      </c>
      <c r="AL332" s="4" t="s">
        <v>7</v>
      </c>
      <c r="AM332" s="4" t="s">
        <v>7</v>
      </c>
      <c r="AN332" s="5" t="s">
        <v>7</v>
      </c>
    </row>
    <row r="333" spans="1:40" x14ac:dyDescent="0.2">
      <c r="A333" s="39">
        <v>2889</v>
      </c>
      <c r="B333" s="4" t="s">
        <v>54</v>
      </c>
      <c r="C333" s="30" t="s">
        <v>24</v>
      </c>
      <c r="D333" s="30">
        <v>5</v>
      </c>
      <c r="E333" s="30">
        <v>0</v>
      </c>
      <c r="F333" s="4">
        <v>3.6360000000000001</v>
      </c>
      <c r="G333" s="30">
        <v>29</v>
      </c>
      <c r="H333" s="33" t="s">
        <v>7</v>
      </c>
      <c r="I333" s="33" t="s">
        <v>7</v>
      </c>
      <c r="J333" s="33" t="s">
        <v>7</v>
      </c>
      <c r="K333" s="33" t="s">
        <v>7</v>
      </c>
      <c r="L333" s="33" t="s">
        <v>7</v>
      </c>
      <c r="M333" s="33" t="s">
        <v>7</v>
      </c>
      <c r="N333" s="33" t="s">
        <v>7</v>
      </c>
      <c r="O333" s="33" t="s">
        <v>7</v>
      </c>
      <c r="P333" s="33" t="s">
        <v>7</v>
      </c>
      <c r="Q333" s="33" t="s">
        <v>7</v>
      </c>
      <c r="R333" s="33" t="s">
        <v>7</v>
      </c>
      <c r="S333" s="33" t="s">
        <v>7</v>
      </c>
      <c r="T333" s="34">
        <v>3</v>
      </c>
      <c r="U333" s="34">
        <v>14</v>
      </c>
      <c r="V333" s="4" t="s">
        <v>1</v>
      </c>
      <c r="W333" s="4">
        <v>1</v>
      </c>
      <c r="X333" s="4">
        <v>1</v>
      </c>
      <c r="Y333" s="4">
        <v>1</v>
      </c>
      <c r="Z333" s="56">
        <v>3</v>
      </c>
      <c r="AA333" s="9" cm="1">
        <f t="array" ref="AA333">IF(OR(AB333:AE333=""),"BLANK",IF(AND(AB333:AE333&lt;999),1,IF(AND(AB333:AE333="NA"),3,2)))</f>
        <v>1</v>
      </c>
      <c r="AB333" s="4">
        <v>28</v>
      </c>
      <c r="AC333" s="4">
        <v>16</v>
      </c>
      <c r="AD333" s="4">
        <v>13</v>
      </c>
      <c r="AE333" s="5">
        <v>57</v>
      </c>
      <c r="AF333" s="9">
        <f t="shared" si="5"/>
        <v>1</v>
      </c>
      <c r="AG333" s="5">
        <v>50</v>
      </c>
      <c r="AH333" s="9" cm="1">
        <f t="array" ref="AH333">IF(OR(AI333:AN333=""),"BLANK",IF(AND(AI333:AN333&lt;99),1,IF(AND(AI333:AN333="NA"),3,2)))</f>
        <v>3</v>
      </c>
      <c r="AI333" s="4" t="s">
        <v>7</v>
      </c>
      <c r="AJ333" s="4" t="s">
        <v>7</v>
      </c>
      <c r="AK333" s="4" t="s">
        <v>7</v>
      </c>
      <c r="AL333" s="4" t="s">
        <v>7</v>
      </c>
      <c r="AM333" s="4" t="s">
        <v>7</v>
      </c>
      <c r="AN333" s="5" t="s">
        <v>7</v>
      </c>
    </row>
    <row r="334" spans="1:40" x14ac:dyDescent="0.2">
      <c r="A334" s="39">
        <v>2893</v>
      </c>
      <c r="B334" s="4" t="s">
        <v>48</v>
      </c>
      <c r="C334" s="30" t="s">
        <v>23</v>
      </c>
      <c r="D334" s="30">
        <v>5</v>
      </c>
      <c r="E334" s="30">
        <v>0</v>
      </c>
      <c r="F334" s="4">
        <v>3.6360000000000001</v>
      </c>
      <c r="G334" s="30">
        <v>30</v>
      </c>
      <c r="H334" s="33">
        <v>3.9014373716632442</v>
      </c>
      <c r="I334" s="33" t="s">
        <v>7</v>
      </c>
      <c r="J334" s="33" t="s">
        <v>7</v>
      </c>
      <c r="K334" s="33">
        <v>3.9014373716632442</v>
      </c>
      <c r="L334" s="33" t="s">
        <v>7</v>
      </c>
      <c r="M334" s="33" t="s">
        <v>7</v>
      </c>
      <c r="N334" s="33">
        <v>3.871321013004791</v>
      </c>
      <c r="O334" s="33" t="s">
        <v>7</v>
      </c>
      <c r="P334" s="33" t="s">
        <v>7</v>
      </c>
      <c r="Q334" s="33" t="s">
        <v>7</v>
      </c>
      <c r="R334" s="33" t="s">
        <v>7</v>
      </c>
      <c r="S334" s="33" t="s">
        <v>7</v>
      </c>
      <c r="T334" s="34">
        <v>3</v>
      </c>
      <c r="U334" s="34">
        <v>15</v>
      </c>
      <c r="V334" s="4" t="s">
        <v>1</v>
      </c>
      <c r="W334" s="4">
        <v>1</v>
      </c>
      <c r="X334" s="4">
        <v>1</v>
      </c>
      <c r="Y334" s="4">
        <v>1</v>
      </c>
      <c r="Z334" s="56">
        <v>3</v>
      </c>
      <c r="AA334" s="9" cm="1">
        <f t="array" ref="AA334">IF(OR(AB334:AE334=""),"BLANK",IF(AND(AB334:AE334&lt;999),1,IF(AND(AB334:AE334="NA"),3,2)))</f>
        <v>1</v>
      </c>
      <c r="AB334" s="4">
        <v>37</v>
      </c>
      <c r="AC334" s="4">
        <v>27</v>
      </c>
      <c r="AD334" s="4">
        <v>20</v>
      </c>
      <c r="AE334" s="5">
        <v>84</v>
      </c>
      <c r="AF334" s="9">
        <f t="shared" si="5"/>
        <v>1</v>
      </c>
      <c r="AG334" s="5">
        <v>67</v>
      </c>
      <c r="AH334" s="9" cm="1">
        <f t="array" ref="AH334">IF(OR(AI334:AN334=""),"BLANK",IF(AND(AI334:AN334&lt;99),1,IF(AND(AI334:AN334="NA"),3,2)))</f>
        <v>3</v>
      </c>
      <c r="AI334" s="4" t="s">
        <v>7</v>
      </c>
      <c r="AJ334" s="4" t="s">
        <v>7</v>
      </c>
      <c r="AK334" s="4" t="s">
        <v>7</v>
      </c>
      <c r="AL334" s="4" t="s">
        <v>7</v>
      </c>
      <c r="AM334" s="4" t="s">
        <v>7</v>
      </c>
      <c r="AN334" s="5" t="s">
        <v>7</v>
      </c>
    </row>
    <row r="335" spans="1:40" x14ac:dyDescent="0.2">
      <c r="A335" s="39">
        <v>2909</v>
      </c>
      <c r="B335" s="4" t="s">
        <v>54</v>
      </c>
      <c r="C335" s="30" t="s">
        <v>23</v>
      </c>
      <c r="D335" s="30">
        <v>5</v>
      </c>
      <c r="E335" s="30">
        <v>0</v>
      </c>
      <c r="F335" s="4">
        <v>3.6360000000000001</v>
      </c>
      <c r="G335" s="30">
        <v>28</v>
      </c>
      <c r="H335" s="33">
        <v>3.4496919917864477</v>
      </c>
      <c r="I335" s="33">
        <v>4.0930869267624912</v>
      </c>
      <c r="J335" s="33">
        <v>7.5427789185489393</v>
      </c>
      <c r="K335" s="33">
        <v>3.4496919917864477</v>
      </c>
      <c r="L335" s="33" t="s">
        <v>7</v>
      </c>
      <c r="M335" s="33" t="s">
        <v>7</v>
      </c>
      <c r="N335" s="33">
        <v>3.4414784394250515</v>
      </c>
      <c r="O335" s="33" t="s">
        <v>7</v>
      </c>
      <c r="P335" s="33" t="s">
        <v>7</v>
      </c>
      <c r="Q335" s="33">
        <v>3.8329911019849416</v>
      </c>
      <c r="R335" s="33" t="s">
        <v>7</v>
      </c>
      <c r="S335" s="33" t="s">
        <v>7</v>
      </c>
      <c r="T335" s="34">
        <v>5</v>
      </c>
      <c r="U335" s="34">
        <v>18</v>
      </c>
      <c r="V335" s="4" t="s">
        <v>1</v>
      </c>
      <c r="W335" s="4">
        <v>1</v>
      </c>
      <c r="X335" s="4">
        <v>1</v>
      </c>
      <c r="Y335" s="4">
        <v>1</v>
      </c>
      <c r="Z335" s="56">
        <v>3</v>
      </c>
      <c r="AA335" s="9" cm="1">
        <f t="array" ref="AA335">IF(OR(AB335:AE335=""),"BLANK",IF(AND(AB335:AE335&lt;999),1,IF(AND(AB335:AE335="NA"),3,2)))</f>
        <v>1</v>
      </c>
      <c r="AB335" s="4">
        <v>27</v>
      </c>
      <c r="AC335" s="4">
        <v>16</v>
      </c>
      <c r="AD335" s="4">
        <v>13</v>
      </c>
      <c r="AE335" s="5">
        <v>56</v>
      </c>
      <c r="AF335" s="9">
        <f t="shared" si="5"/>
        <v>1</v>
      </c>
      <c r="AG335" s="5">
        <v>60</v>
      </c>
      <c r="AH335" s="9" cm="1">
        <f t="array" ref="AH335">IF(OR(AI335:AN335=""),"BLANK",IF(AND(AI335:AN335&lt;99),1,IF(AND(AI335:AN335="NA"),3,2)))</f>
        <v>3</v>
      </c>
      <c r="AI335" s="4" t="s">
        <v>7</v>
      </c>
      <c r="AJ335" s="4" t="s">
        <v>7</v>
      </c>
      <c r="AK335" s="4" t="s">
        <v>7</v>
      </c>
      <c r="AL335" s="4" t="s">
        <v>7</v>
      </c>
      <c r="AM335" s="4" t="s">
        <v>7</v>
      </c>
      <c r="AN335" s="5" t="s">
        <v>7</v>
      </c>
    </row>
    <row r="336" spans="1:40" x14ac:dyDescent="0.2">
      <c r="A336" s="39">
        <v>2939</v>
      </c>
      <c r="B336" s="4" t="s">
        <v>48</v>
      </c>
      <c r="C336" s="30" t="s">
        <v>23</v>
      </c>
      <c r="D336" s="30">
        <v>5</v>
      </c>
      <c r="E336" s="30">
        <v>1</v>
      </c>
      <c r="F336" s="4">
        <v>4</v>
      </c>
      <c r="G336" s="30">
        <v>27</v>
      </c>
      <c r="H336" s="33" t="s">
        <v>7</v>
      </c>
      <c r="I336" s="33" t="s">
        <v>7</v>
      </c>
      <c r="J336" s="33" t="s">
        <v>7</v>
      </c>
      <c r="K336" s="33" t="s">
        <v>7</v>
      </c>
      <c r="L336" s="33" t="s">
        <v>7</v>
      </c>
      <c r="M336" s="33" t="s">
        <v>7</v>
      </c>
      <c r="N336" s="33" t="s">
        <v>7</v>
      </c>
      <c r="O336" s="33" t="s">
        <v>7</v>
      </c>
      <c r="P336" s="33" t="s">
        <v>7</v>
      </c>
      <c r="Q336" s="33" t="s">
        <v>7</v>
      </c>
      <c r="R336" s="33" t="s">
        <v>7</v>
      </c>
      <c r="S336" s="33" t="s">
        <v>7</v>
      </c>
      <c r="T336" s="34">
        <v>3</v>
      </c>
      <c r="U336" s="34">
        <v>15</v>
      </c>
      <c r="V336" s="4" t="s">
        <v>1</v>
      </c>
      <c r="W336" s="4">
        <v>1</v>
      </c>
      <c r="X336" s="4">
        <v>1</v>
      </c>
      <c r="Y336" s="4">
        <v>1</v>
      </c>
      <c r="Z336" s="56">
        <v>3</v>
      </c>
      <c r="AA336" s="9" cm="1">
        <f t="array" ref="AA336">IF(OR(AB336:AE336=""),"BLANK",IF(AND(AB336:AE336&lt;999),1,IF(AND(AB336:AE336="NA"),3,2)))</f>
        <v>1</v>
      </c>
      <c r="AB336" s="4">
        <v>21</v>
      </c>
      <c r="AC336" s="4">
        <v>13</v>
      </c>
      <c r="AD336" s="4">
        <v>9</v>
      </c>
      <c r="AE336" s="5">
        <v>43</v>
      </c>
      <c r="AF336" s="9">
        <f t="shared" si="5"/>
        <v>1</v>
      </c>
      <c r="AG336" s="5">
        <v>37</v>
      </c>
      <c r="AH336" s="9" cm="1">
        <f t="array" ref="AH336">IF(OR(AI336:AN336=""),"BLANK",IF(AND(AI336:AN336&lt;99),1,IF(AND(AI336:AN336="NA"),3,2)))</f>
        <v>3</v>
      </c>
      <c r="AI336" s="4" t="s">
        <v>7</v>
      </c>
      <c r="AJ336" s="4" t="s">
        <v>7</v>
      </c>
      <c r="AK336" s="4" t="s">
        <v>7</v>
      </c>
      <c r="AL336" s="4" t="s">
        <v>7</v>
      </c>
      <c r="AM336" s="4" t="s">
        <v>7</v>
      </c>
      <c r="AN336" s="5" t="s">
        <v>7</v>
      </c>
    </row>
    <row r="337" spans="1:40" x14ac:dyDescent="0.2">
      <c r="A337" s="39">
        <v>2940</v>
      </c>
      <c r="B337" s="4" t="s">
        <v>54</v>
      </c>
      <c r="C337" s="30" t="s">
        <v>23</v>
      </c>
      <c r="D337" s="30">
        <v>5</v>
      </c>
      <c r="E337" s="30">
        <v>0</v>
      </c>
      <c r="F337" s="4">
        <v>3.2730000000000001</v>
      </c>
      <c r="G337" s="30">
        <v>29</v>
      </c>
      <c r="H337" s="33">
        <v>4.0629705681040384</v>
      </c>
      <c r="I337" s="33">
        <v>3.8740588637919235</v>
      </c>
      <c r="J337" s="33">
        <v>7.9370294318959616</v>
      </c>
      <c r="K337" s="33">
        <v>4.0629705681040384</v>
      </c>
      <c r="L337" s="33">
        <v>3.8740588637919235</v>
      </c>
      <c r="M337" s="33">
        <v>7.9370294318959616</v>
      </c>
      <c r="N337" s="33">
        <v>4.0629705681040384</v>
      </c>
      <c r="O337" s="33">
        <v>3.8384668035592062</v>
      </c>
      <c r="P337" s="33">
        <v>7.9014373716632447</v>
      </c>
      <c r="Q337" s="33">
        <v>4.5201916495550991</v>
      </c>
      <c r="R337" s="33">
        <v>3.5756331279945242</v>
      </c>
      <c r="S337" s="33">
        <v>8.0958247775496233</v>
      </c>
      <c r="T337" s="34">
        <v>3</v>
      </c>
      <c r="U337" s="34">
        <v>15</v>
      </c>
      <c r="V337" s="4" t="s">
        <v>1</v>
      </c>
      <c r="W337" s="4">
        <v>1</v>
      </c>
      <c r="X337" s="4">
        <v>1</v>
      </c>
      <c r="Y337" s="4">
        <v>1</v>
      </c>
      <c r="Z337" s="56">
        <v>3</v>
      </c>
      <c r="AA337" s="9" cm="1">
        <f t="array" ref="AA337">IF(OR(AB337:AE337=""),"BLANK",IF(AND(AB337:AE337&lt;999),1,IF(AND(AB337:AE337="NA"),3,2)))</f>
        <v>1</v>
      </c>
      <c r="AB337" s="4">
        <v>31</v>
      </c>
      <c r="AC337" s="4">
        <v>13</v>
      </c>
      <c r="AD337" s="4">
        <v>16</v>
      </c>
      <c r="AE337" s="5">
        <v>60</v>
      </c>
      <c r="AF337" s="9">
        <f t="shared" si="5"/>
        <v>1</v>
      </c>
      <c r="AG337" s="5">
        <v>45</v>
      </c>
      <c r="AH337" s="9" cm="1">
        <f t="array" ref="AH337">IF(OR(AI337:AN337=""),"BLANK",IF(AND(AI337:AN337&lt;99),1,IF(AND(AI337:AN337="NA"),3,2)))</f>
        <v>3</v>
      </c>
      <c r="AI337" s="4" t="s">
        <v>7</v>
      </c>
      <c r="AJ337" s="4" t="s">
        <v>7</v>
      </c>
      <c r="AK337" s="4" t="s">
        <v>7</v>
      </c>
      <c r="AL337" s="4" t="s">
        <v>7</v>
      </c>
      <c r="AM337" s="4" t="s">
        <v>7</v>
      </c>
      <c r="AN337" s="5" t="s">
        <v>7</v>
      </c>
    </row>
    <row r="338" spans="1:40" x14ac:dyDescent="0.2">
      <c r="A338" s="39">
        <v>2974</v>
      </c>
      <c r="B338" s="4" t="s">
        <v>58</v>
      </c>
      <c r="C338" s="30" t="s">
        <v>23</v>
      </c>
      <c r="D338" s="30">
        <v>5</v>
      </c>
      <c r="E338" s="30">
        <v>0</v>
      </c>
      <c r="F338" s="4">
        <v>3.2730000000000001</v>
      </c>
      <c r="G338" s="30">
        <v>29</v>
      </c>
      <c r="H338" s="33" t="s">
        <v>7</v>
      </c>
      <c r="I338" s="33" t="s">
        <v>7</v>
      </c>
      <c r="J338" s="33" t="s">
        <v>7</v>
      </c>
      <c r="K338" s="33" t="s">
        <v>7</v>
      </c>
      <c r="L338" s="33" t="s">
        <v>7</v>
      </c>
      <c r="M338" s="33" t="s">
        <v>7</v>
      </c>
      <c r="N338" s="33" t="s">
        <v>7</v>
      </c>
      <c r="O338" s="33" t="s">
        <v>7</v>
      </c>
      <c r="P338" s="33" t="s">
        <v>7</v>
      </c>
      <c r="Q338" s="33" t="s">
        <v>7</v>
      </c>
      <c r="R338" s="33" t="s">
        <v>7</v>
      </c>
      <c r="S338" s="33" t="s">
        <v>7</v>
      </c>
      <c r="T338" s="34">
        <v>3</v>
      </c>
      <c r="U338" s="34">
        <v>15</v>
      </c>
      <c r="V338" s="4" t="s">
        <v>1</v>
      </c>
      <c r="W338" s="4">
        <v>1</v>
      </c>
      <c r="X338" s="4">
        <v>1</v>
      </c>
      <c r="Y338" s="4">
        <v>1</v>
      </c>
      <c r="Z338" s="56">
        <v>3</v>
      </c>
      <c r="AA338" s="9" cm="1">
        <f t="array" ref="AA338">IF(OR(AB338:AE338=""),"BLANK",IF(AND(AB338:AE338&lt;999),1,IF(AND(AB338:AE338="NA"),3,2)))</f>
        <v>1</v>
      </c>
      <c r="AB338" s="4">
        <v>31</v>
      </c>
      <c r="AC338" s="4">
        <v>19</v>
      </c>
      <c r="AD338" s="4">
        <v>11</v>
      </c>
      <c r="AE338" s="5">
        <v>61</v>
      </c>
      <c r="AF338" s="9">
        <f t="shared" si="5"/>
        <v>1</v>
      </c>
      <c r="AG338" s="5">
        <v>58</v>
      </c>
      <c r="AH338" s="9" cm="1">
        <f t="array" ref="AH338">IF(OR(AI338:AN338=""),"BLANK",IF(AND(AI338:AN338&lt;99),1,IF(AND(AI338:AN338="NA"),3,2)))</f>
        <v>3</v>
      </c>
      <c r="AI338" s="4" t="s">
        <v>7</v>
      </c>
      <c r="AJ338" s="4" t="s">
        <v>7</v>
      </c>
      <c r="AK338" s="4" t="s">
        <v>7</v>
      </c>
      <c r="AL338" s="4" t="s">
        <v>7</v>
      </c>
      <c r="AM338" s="4" t="s">
        <v>7</v>
      </c>
      <c r="AN338" s="5" t="s">
        <v>7</v>
      </c>
    </row>
    <row r="339" spans="1:40" x14ac:dyDescent="0.2">
      <c r="A339" s="39">
        <v>2976</v>
      </c>
      <c r="B339" s="4" t="s">
        <v>48</v>
      </c>
      <c r="C339" s="30" t="s">
        <v>23</v>
      </c>
      <c r="D339" s="30">
        <v>5</v>
      </c>
      <c r="E339" s="30">
        <v>0</v>
      </c>
      <c r="F339" s="4">
        <v>4</v>
      </c>
      <c r="G339" s="30">
        <v>29</v>
      </c>
      <c r="H339" s="33">
        <v>3.5154004106776182</v>
      </c>
      <c r="I339" s="33">
        <v>4.3258042436687196</v>
      </c>
      <c r="J339" s="33">
        <v>7.8412046543463383</v>
      </c>
      <c r="K339" s="33">
        <v>3.5154004106776182</v>
      </c>
      <c r="L339" s="33">
        <v>4.3258042436687196</v>
      </c>
      <c r="M339" s="33">
        <v>7.8412046543463383</v>
      </c>
      <c r="N339" s="33">
        <v>3.5071868583162216</v>
      </c>
      <c r="O339" s="33">
        <v>4.6242299794661195</v>
      </c>
      <c r="P339" s="33">
        <v>8.131416837782341</v>
      </c>
      <c r="Q339" s="33">
        <v>3.893223819301848</v>
      </c>
      <c r="R339" s="33">
        <v>3.8439425051334704</v>
      </c>
      <c r="S339" s="33">
        <v>7.7371663244353179</v>
      </c>
      <c r="T339" s="34">
        <v>4</v>
      </c>
      <c r="U339" s="34">
        <v>16</v>
      </c>
      <c r="V339" s="4" t="s">
        <v>1</v>
      </c>
      <c r="W339" s="4">
        <v>1</v>
      </c>
      <c r="X339" s="4">
        <v>1</v>
      </c>
      <c r="Y339" s="4">
        <v>1</v>
      </c>
      <c r="Z339" s="56">
        <v>3</v>
      </c>
      <c r="AA339" s="9" cm="1">
        <f t="array" ref="AA339">IF(OR(AB339:AE339=""),"BLANK",IF(AND(AB339:AE339&lt;999),1,IF(AND(AB339:AE339="NA"),3,2)))</f>
        <v>1</v>
      </c>
      <c r="AB339" s="4">
        <v>24</v>
      </c>
      <c r="AC339" s="4">
        <v>15</v>
      </c>
      <c r="AD339" s="4">
        <v>11</v>
      </c>
      <c r="AE339" s="5">
        <v>50</v>
      </c>
      <c r="AF339" s="9">
        <f t="shared" si="5"/>
        <v>1</v>
      </c>
      <c r="AG339" s="5">
        <v>48</v>
      </c>
      <c r="AH339" s="9" cm="1">
        <f t="array" ref="AH339">IF(OR(AI339:AN339=""),"BLANK",IF(AND(AI339:AN339&lt;99),1,IF(AND(AI339:AN339="NA"),3,2)))</f>
        <v>3</v>
      </c>
      <c r="AI339" s="4" t="s">
        <v>7</v>
      </c>
      <c r="AJ339" s="4" t="s">
        <v>7</v>
      </c>
      <c r="AK339" s="4" t="s">
        <v>7</v>
      </c>
      <c r="AL339" s="4" t="s">
        <v>7</v>
      </c>
      <c r="AM339" s="4" t="s">
        <v>7</v>
      </c>
      <c r="AN339" s="5" t="s">
        <v>7</v>
      </c>
    </row>
    <row r="340" spans="1:40" x14ac:dyDescent="0.2">
      <c r="A340" s="39">
        <v>3003</v>
      </c>
      <c r="B340" s="4" t="s">
        <v>58</v>
      </c>
      <c r="C340" s="30" t="s">
        <v>24</v>
      </c>
      <c r="D340" s="30">
        <v>5</v>
      </c>
      <c r="E340" s="30">
        <v>0</v>
      </c>
      <c r="F340" s="4">
        <v>3.1819999999999999</v>
      </c>
      <c r="G340" s="30">
        <v>29</v>
      </c>
      <c r="H340" s="33" t="s">
        <v>7</v>
      </c>
      <c r="I340" s="33" t="s">
        <v>7</v>
      </c>
      <c r="J340" s="33" t="s">
        <v>7</v>
      </c>
      <c r="K340" s="33" t="s">
        <v>7</v>
      </c>
      <c r="L340" s="33" t="s">
        <v>7</v>
      </c>
      <c r="M340" s="33" t="s">
        <v>7</v>
      </c>
      <c r="N340" s="33" t="s">
        <v>7</v>
      </c>
      <c r="O340" s="33" t="s">
        <v>7</v>
      </c>
      <c r="P340" s="33" t="s">
        <v>7</v>
      </c>
      <c r="Q340" s="33" t="s">
        <v>7</v>
      </c>
      <c r="R340" s="33" t="s">
        <v>7</v>
      </c>
      <c r="S340" s="33" t="s">
        <v>7</v>
      </c>
      <c r="T340" s="34">
        <v>4</v>
      </c>
      <c r="U340" s="34">
        <v>16</v>
      </c>
      <c r="V340" s="4" t="s">
        <v>1</v>
      </c>
      <c r="W340" s="4">
        <v>1</v>
      </c>
      <c r="X340" s="4">
        <v>1</v>
      </c>
      <c r="Y340" s="4">
        <v>1</v>
      </c>
      <c r="Z340" s="56">
        <v>3</v>
      </c>
      <c r="AA340" s="9" cm="1">
        <f t="array" ref="AA340">IF(OR(AB340:AE340=""),"BLANK",IF(AND(AB340:AE340&lt;999),1,IF(AND(AB340:AE340="NA"),3,2)))</f>
        <v>1</v>
      </c>
      <c r="AB340" s="4">
        <v>32</v>
      </c>
      <c r="AC340" s="4">
        <v>17</v>
      </c>
      <c r="AD340" s="4">
        <v>13</v>
      </c>
      <c r="AE340" s="5">
        <v>62</v>
      </c>
      <c r="AF340" s="9">
        <f t="shared" si="5"/>
        <v>1</v>
      </c>
      <c r="AG340" s="5">
        <v>51</v>
      </c>
      <c r="AH340" s="9" cm="1">
        <f t="array" ref="AH340">IF(OR(AI340:AN340=""),"BLANK",IF(AND(AI340:AN340&lt;99),1,IF(AND(AI340:AN340="NA"),3,2)))</f>
        <v>3</v>
      </c>
      <c r="AI340" s="4" t="s">
        <v>7</v>
      </c>
      <c r="AJ340" s="4" t="s">
        <v>7</v>
      </c>
      <c r="AK340" s="4" t="s">
        <v>7</v>
      </c>
      <c r="AL340" s="4" t="s">
        <v>7</v>
      </c>
      <c r="AM340" s="4" t="s">
        <v>7</v>
      </c>
      <c r="AN340" s="5" t="s">
        <v>7</v>
      </c>
    </row>
    <row r="341" spans="1:40" x14ac:dyDescent="0.2">
      <c r="A341" s="39">
        <v>3005</v>
      </c>
      <c r="B341" s="4" t="s">
        <v>67</v>
      </c>
      <c r="C341" s="30" t="s">
        <v>23</v>
      </c>
      <c r="D341" s="30">
        <v>5</v>
      </c>
      <c r="E341" s="30">
        <v>0</v>
      </c>
      <c r="F341" s="4">
        <v>3.6360000000000001</v>
      </c>
      <c r="G341" s="30">
        <v>30</v>
      </c>
      <c r="H341" s="33">
        <v>3.7015742642026011</v>
      </c>
      <c r="I341" s="33" t="s">
        <v>7</v>
      </c>
      <c r="J341" s="33" t="s">
        <v>7</v>
      </c>
      <c r="K341" s="33">
        <v>3.7015742642026011</v>
      </c>
      <c r="L341" s="33" t="s">
        <v>7</v>
      </c>
      <c r="M341" s="33" t="s">
        <v>7</v>
      </c>
      <c r="N341" s="33">
        <v>3.676933607118412</v>
      </c>
      <c r="O341" s="33" t="s">
        <v>7</v>
      </c>
      <c r="P341" s="33" t="s">
        <v>7</v>
      </c>
      <c r="Q341" s="33">
        <v>4.4626967830253248</v>
      </c>
      <c r="R341" s="33" t="s">
        <v>7</v>
      </c>
      <c r="S341" s="33" t="s">
        <v>7</v>
      </c>
      <c r="T341" s="34">
        <v>1</v>
      </c>
      <c r="U341" s="34">
        <v>11</v>
      </c>
      <c r="V341" s="4" t="s">
        <v>1</v>
      </c>
      <c r="W341" s="4">
        <v>1</v>
      </c>
      <c r="X341" s="4">
        <v>1</v>
      </c>
      <c r="Y341" s="4">
        <v>1</v>
      </c>
      <c r="Z341" s="56">
        <v>3</v>
      </c>
      <c r="AA341" s="9" cm="1">
        <f t="array" ref="AA341">IF(OR(AB341:AE341=""),"BLANK",IF(AND(AB341:AE341&lt;999),1,IF(AND(AB341:AE341="NA"),3,2)))</f>
        <v>1</v>
      </c>
      <c r="AB341" s="4">
        <v>19</v>
      </c>
      <c r="AC341" s="4">
        <v>12</v>
      </c>
      <c r="AD341" s="4">
        <v>6</v>
      </c>
      <c r="AE341" s="5">
        <v>37</v>
      </c>
      <c r="AF341" s="9">
        <f t="shared" si="5"/>
        <v>1</v>
      </c>
      <c r="AG341" s="5">
        <v>33</v>
      </c>
      <c r="AH341" s="9" cm="1">
        <f t="array" ref="AH341">IF(OR(AI341:AN341=""),"BLANK",IF(AND(AI341:AN341&lt;99),1,IF(AND(AI341:AN341="NA"),3,2)))</f>
        <v>3</v>
      </c>
      <c r="AI341" s="4" t="s">
        <v>7</v>
      </c>
      <c r="AJ341" s="4" t="s">
        <v>7</v>
      </c>
      <c r="AK341" s="4" t="s">
        <v>7</v>
      </c>
      <c r="AL341" s="4" t="s">
        <v>7</v>
      </c>
      <c r="AM341" s="4" t="s">
        <v>7</v>
      </c>
      <c r="AN341" s="5" t="s">
        <v>7</v>
      </c>
    </row>
    <row r="342" spans="1:40" x14ac:dyDescent="0.2">
      <c r="A342" s="39">
        <v>3006</v>
      </c>
      <c r="B342" s="4" t="s">
        <v>47</v>
      </c>
      <c r="C342" s="30" t="s">
        <v>24</v>
      </c>
      <c r="D342" s="30">
        <v>5</v>
      </c>
      <c r="E342" s="30">
        <v>0</v>
      </c>
      <c r="F342" s="4">
        <v>3.8180000000000001</v>
      </c>
      <c r="G342" s="30">
        <v>29</v>
      </c>
      <c r="H342" s="33" t="s">
        <v>7</v>
      </c>
      <c r="I342" s="33" t="s">
        <v>7</v>
      </c>
      <c r="J342" s="33" t="s">
        <v>7</v>
      </c>
      <c r="K342" s="33" t="s">
        <v>7</v>
      </c>
      <c r="L342" s="33" t="s">
        <v>7</v>
      </c>
      <c r="M342" s="33" t="s">
        <v>7</v>
      </c>
      <c r="N342" s="33" t="s">
        <v>7</v>
      </c>
      <c r="O342" s="33" t="s">
        <v>7</v>
      </c>
      <c r="P342" s="33" t="s">
        <v>7</v>
      </c>
      <c r="Q342" s="33" t="s">
        <v>7</v>
      </c>
      <c r="R342" s="33" t="s">
        <v>7</v>
      </c>
      <c r="S342" s="33" t="s">
        <v>7</v>
      </c>
      <c r="T342" s="34">
        <v>3</v>
      </c>
      <c r="U342" s="34">
        <v>15</v>
      </c>
      <c r="V342" s="4" t="s">
        <v>1</v>
      </c>
      <c r="W342" s="4">
        <v>1</v>
      </c>
      <c r="X342" s="4">
        <v>1</v>
      </c>
      <c r="Y342" s="4">
        <v>1</v>
      </c>
      <c r="Z342" s="56">
        <v>3</v>
      </c>
      <c r="AA342" s="9" cm="1">
        <f t="array" ref="AA342">IF(OR(AB342:AE342=""),"BLANK",IF(AND(AB342:AE342&lt;999),1,IF(AND(AB342:AE342="NA"),3,2)))</f>
        <v>1</v>
      </c>
      <c r="AB342" s="4">
        <v>29</v>
      </c>
      <c r="AC342" s="4">
        <v>17</v>
      </c>
      <c r="AD342" s="4">
        <v>9</v>
      </c>
      <c r="AE342" s="5">
        <v>55</v>
      </c>
      <c r="AF342" s="9">
        <f t="shared" si="5"/>
        <v>1</v>
      </c>
      <c r="AG342" s="5">
        <v>43</v>
      </c>
      <c r="AH342" s="9" cm="1">
        <f t="array" ref="AH342">IF(OR(AI342:AN342=""),"BLANK",IF(AND(AI342:AN342&lt;99),1,IF(AND(AI342:AN342="NA"),3,2)))</f>
        <v>3</v>
      </c>
      <c r="AI342" s="4" t="s">
        <v>7</v>
      </c>
      <c r="AJ342" s="4" t="s">
        <v>7</v>
      </c>
      <c r="AK342" s="4" t="s">
        <v>7</v>
      </c>
      <c r="AL342" s="4" t="s">
        <v>7</v>
      </c>
      <c r="AM342" s="4" t="s">
        <v>7</v>
      </c>
      <c r="AN342" s="5" t="s">
        <v>7</v>
      </c>
    </row>
    <row r="343" spans="1:40" x14ac:dyDescent="0.2">
      <c r="A343" s="39">
        <v>3010</v>
      </c>
      <c r="B343" s="4" t="s">
        <v>52</v>
      </c>
      <c r="C343" s="30" t="s">
        <v>23</v>
      </c>
      <c r="D343" s="30">
        <v>5</v>
      </c>
      <c r="E343" s="30">
        <v>0</v>
      </c>
      <c r="F343" s="4">
        <v>3.7269999999999999</v>
      </c>
      <c r="G343" s="30">
        <v>28</v>
      </c>
      <c r="H343" s="33" t="s">
        <v>7</v>
      </c>
      <c r="I343" s="33" t="s">
        <v>7</v>
      </c>
      <c r="J343" s="33" t="s">
        <v>7</v>
      </c>
      <c r="K343" s="33" t="s">
        <v>7</v>
      </c>
      <c r="L343" s="33" t="s">
        <v>7</v>
      </c>
      <c r="M343" s="33" t="s">
        <v>7</v>
      </c>
      <c r="N343" s="33" t="s">
        <v>7</v>
      </c>
      <c r="O343" s="33" t="s">
        <v>7</v>
      </c>
      <c r="P343" s="33" t="s">
        <v>7</v>
      </c>
      <c r="Q343" s="33" t="s">
        <v>7</v>
      </c>
      <c r="R343" s="33" t="s">
        <v>7</v>
      </c>
      <c r="S343" s="33" t="s">
        <v>7</v>
      </c>
      <c r="T343" s="34">
        <v>3</v>
      </c>
      <c r="U343" s="34">
        <v>14</v>
      </c>
      <c r="V343" s="4" t="s">
        <v>1</v>
      </c>
      <c r="W343" s="4">
        <v>1</v>
      </c>
      <c r="X343" s="4">
        <v>1</v>
      </c>
      <c r="Y343" s="4">
        <v>1</v>
      </c>
      <c r="Z343" s="56">
        <v>3</v>
      </c>
      <c r="AA343" s="9" cm="1">
        <f t="array" ref="AA343">IF(OR(AB343:AE343=""),"BLANK",IF(AND(AB343:AE343&lt;999),1,IF(AND(AB343:AE343="NA"),3,2)))</f>
        <v>1</v>
      </c>
      <c r="AB343" s="4">
        <v>29</v>
      </c>
      <c r="AC343" s="4">
        <v>17</v>
      </c>
      <c r="AD343" s="4">
        <v>12</v>
      </c>
      <c r="AE343" s="5">
        <v>58</v>
      </c>
      <c r="AF343" s="9">
        <f t="shared" si="5"/>
        <v>1</v>
      </c>
      <c r="AG343" s="5">
        <v>40</v>
      </c>
      <c r="AH343" s="9" cm="1">
        <f t="array" ref="AH343">IF(OR(AI343:AN343=""),"BLANK",IF(AND(AI343:AN343&lt;99),1,IF(AND(AI343:AN343="NA"),3,2)))</f>
        <v>3</v>
      </c>
      <c r="AI343" s="4" t="s">
        <v>7</v>
      </c>
      <c r="AJ343" s="4" t="s">
        <v>7</v>
      </c>
      <c r="AK343" s="4" t="s">
        <v>7</v>
      </c>
      <c r="AL343" s="4" t="s">
        <v>7</v>
      </c>
      <c r="AM343" s="4" t="s">
        <v>7</v>
      </c>
      <c r="AN343" s="5" t="s">
        <v>7</v>
      </c>
    </row>
    <row r="344" spans="1:40" x14ac:dyDescent="0.2">
      <c r="A344" s="39">
        <v>3025</v>
      </c>
      <c r="B344" s="4" t="s">
        <v>62</v>
      </c>
      <c r="C344" s="30" t="s">
        <v>23</v>
      </c>
      <c r="D344" s="30">
        <v>5</v>
      </c>
      <c r="E344" s="30">
        <v>0</v>
      </c>
      <c r="F344" s="4">
        <v>4</v>
      </c>
      <c r="G344" s="30">
        <v>28</v>
      </c>
      <c r="H344" s="33">
        <v>3.4305270362765228</v>
      </c>
      <c r="I344" s="33">
        <v>4.0520191649555102</v>
      </c>
      <c r="J344" s="33">
        <v>7.482546201232033</v>
      </c>
      <c r="K344" s="33">
        <v>3.4305270362765228</v>
      </c>
      <c r="L344" s="33">
        <v>4.0547570157426422</v>
      </c>
      <c r="M344" s="33">
        <v>7.485284052019165</v>
      </c>
      <c r="N344" s="33">
        <v>3.460643394934976</v>
      </c>
      <c r="O344" s="33">
        <v>3.9972621492128679</v>
      </c>
      <c r="P344" s="33">
        <v>7.4579055441478443</v>
      </c>
      <c r="Q344" s="33">
        <v>4.1560574948665296</v>
      </c>
      <c r="R344" s="33" t="s">
        <v>7</v>
      </c>
      <c r="S344" s="33" t="s">
        <v>7</v>
      </c>
      <c r="T344" s="34">
        <v>4</v>
      </c>
      <c r="U344" s="34">
        <v>16</v>
      </c>
      <c r="V344" s="4" t="s">
        <v>1</v>
      </c>
      <c r="W344" s="4">
        <v>1</v>
      </c>
      <c r="X344" s="4">
        <v>1</v>
      </c>
      <c r="Y344" s="4">
        <v>1</v>
      </c>
      <c r="Z344" s="56">
        <v>3</v>
      </c>
      <c r="AA344" s="9" cm="1">
        <f t="array" ref="AA344">IF(OR(AB344:AE344=""),"BLANK",IF(AND(AB344:AE344&lt;999),1,IF(AND(AB344:AE344="NA"),3,2)))</f>
        <v>1</v>
      </c>
      <c r="AB344" s="4">
        <v>34</v>
      </c>
      <c r="AC344" s="4">
        <v>22</v>
      </c>
      <c r="AD344" s="4">
        <v>14</v>
      </c>
      <c r="AE344" s="5">
        <v>70</v>
      </c>
      <c r="AF344" s="9">
        <f t="shared" si="5"/>
        <v>1</v>
      </c>
      <c r="AG344" s="5">
        <v>66</v>
      </c>
      <c r="AH344" s="9" cm="1">
        <f t="array" ref="AH344">IF(OR(AI344:AN344=""),"BLANK",IF(AND(AI344:AN344&lt;99),1,IF(AND(AI344:AN344="NA"),3,2)))</f>
        <v>3</v>
      </c>
      <c r="AI344" s="4" t="s">
        <v>7</v>
      </c>
      <c r="AJ344" s="4" t="s">
        <v>7</v>
      </c>
      <c r="AK344" s="4" t="s">
        <v>7</v>
      </c>
      <c r="AL344" s="4" t="s">
        <v>7</v>
      </c>
      <c r="AM344" s="4" t="s">
        <v>7</v>
      </c>
      <c r="AN344" s="5" t="s">
        <v>7</v>
      </c>
    </row>
    <row r="345" spans="1:40" x14ac:dyDescent="0.2">
      <c r="A345" s="39">
        <v>3053</v>
      </c>
      <c r="B345" s="4" t="s">
        <v>62</v>
      </c>
      <c r="C345" s="30" t="s">
        <v>24</v>
      </c>
      <c r="D345" s="30">
        <v>2</v>
      </c>
      <c r="E345" s="30">
        <v>0</v>
      </c>
      <c r="F345" s="4">
        <v>4</v>
      </c>
      <c r="G345" s="30">
        <v>30</v>
      </c>
      <c r="H345" s="33">
        <v>5.6290212183435999</v>
      </c>
      <c r="I345" s="33" t="s">
        <v>7</v>
      </c>
      <c r="J345" s="33" t="s">
        <v>7</v>
      </c>
      <c r="K345" s="33">
        <v>5.6344969199178641</v>
      </c>
      <c r="L345" s="33" t="s">
        <v>7</v>
      </c>
      <c r="M345" s="33" t="s">
        <v>7</v>
      </c>
      <c r="N345" s="33">
        <v>5.5797399041752227</v>
      </c>
      <c r="O345" s="33" t="s">
        <v>7</v>
      </c>
      <c r="P345" s="33" t="s">
        <v>7</v>
      </c>
      <c r="Q345" s="33" t="s">
        <v>7</v>
      </c>
      <c r="R345" s="33" t="s">
        <v>7</v>
      </c>
      <c r="S345" s="33" t="s">
        <v>7</v>
      </c>
      <c r="T345" s="34">
        <v>3</v>
      </c>
      <c r="U345" s="34">
        <v>14</v>
      </c>
      <c r="V345" s="4" t="s">
        <v>1</v>
      </c>
      <c r="W345" s="4">
        <v>1</v>
      </c>
      <c r="X345" s="4">
        <v>1</v>
      </c>
      <c r="Y345" s="4">
        <v>1</v>
      </c>
      <c r="Z345" s="56">
        <v>3</v>
      </c>
      <c r="AA345" s="9" cm="1">
        <f t="array" ref="AA345">IF(OR(AB345:AE345=""),"BLANK",IF(AND(AB345:AE345&lt;999),1,IF(AND(AB345:AE345="NA"),3,2)))</f>
        <v>1</v>
      </c>
      <c r="AB345" s="4">
        <v>24</v>
      </c>
      <c r="AC345" s="4">
        <v>15</v>
      </c>
      <c r="AD345" s="4">
        <v>12</v>
      </c>
      <c r="AE345" s="5">
        <v>51</v>
      </c>
      <c r="AF345" s="9">
        <f t="shared" si="5"/>
        <v>1</v>
      </c>
      <c r="AG345" s="5">
        <v>43</v>
      </c>
      <c r="AH345" s="9" cm="1">
        <f t="array" ref="AH345">IF(OR(AI345:AN345=""),"BLANK",IF(AND(AI345:AN345&lt;99),1,IF(AND(AI345:AN345="NA"),3,2)))</f>
        <v>3</v>
      </c>
      <c r="AI345" s="4" t="s">
        <v>7</v>
      </c>
      <c r="AJ345" s="4" t="s">
        <v>7</v>
      </c>
      <c r="AK345" s="4" t="s">
        <v>7</v>
      </c>
      <c r="AL345" s="4" t="s">
        <v>7</v>
      </c>
      <c r="AM345" s="4" t="s">
        <v>7</v>
      </c>
      <c r="AN345" s="5" t="s">
        <v>7</v>
      </c>
    </row>
    <row r="346" spans="1:40" x14ac:dyDescent="0.2">
      <c r="A346" s="39">
        <v>3066</v>
      </c>
      <c r="B346" s="4" t="s">
        <v>62</v>
      </c>
      <c r="C346" s="30" t="s">
        <v>23</v>
      </c>
      <c r="D346" s="30">
        <v>5</v>
      </c>
      <c r="E346" s="30">
        <v>0</v>
      </c>
      <c r="F346" s="4">
        <v>3.4550000000000001</v>
      </c>
      <c r="G346" s="30">
        <v>29</v>
      </c>
      <c r="H346" s="33">
        <v>3.5619438740588638</v>
      </c>
      <c r="I346" s="33">
        <v>3.8576317590691307</v>
      </c>
      <c r="J346" s="33">
        <v>7.4195756331279945</v>
      </c>
      <c r="K346" s="33">
        <v>3.5619438740588638</v>
      </c>
      <c r="L346" s="33">
        <v>3.8576317590691307</v>
      </c>
      <c r="M346" s="33">
        <v>7.4195756331279945</v>
      </c>
      <c r="N346" s="33">
        <v>3.5318275154004106</v>
      </c>
      <c r="O346" s="33">
        <v>3.8439425051334704</v>
      </c>
      <c r="P346" s="33">
        <v>7.3757700205338805</v>
      </c>
      <c r="Q346" s="33">
        <v>3.9644079397672827</v>
      </c>
      <c r="R346" s="33" t="s">
        <v>7</v>
      </c>
      <c r="S346" s="33" t="s">
        <v>7</v>
      </c>
      <c r="T346" s="34">
        <v>3</v>
      </c>
      <c r="U346" s="34">
        <v>14</v>
      </c>
      <c r="V346" s="4" t="s">
        <v>1</v>
      </c>
      <c r="W346" s="4">
        <v>1</v>
      </c>
      <c r="X346" s="4">
        <v>1</v>
      </c>
      <c r="Y346" s="4">
        <v>1</v>
      </c>
      <c r="Z346" s="56">
        <v>3</v>
      </c>
      <c r="AA346" s="9" cm="1">
        <f t="array" ref="AA346">IF(OR(AB346:AE346=""),"BLANK",IF(AND(AB346:AE346&lt;999),1,IF(AND(AB346:AE346="NA"),3,2)))</f>
        <v>1</v>
      </c>
      <c r="AB346" s="4">
        <v>20</v>
      </c>
      <c r="AC346" s="4">
        <v>13</v>
      </c>
      <c r="AD346" s="4">
        <v>11</v>
      </c>
      <c r="AE346" s="5">
        <v>44</v>
      </c>
      <c r="AF346" s="9">
        <f t="shared" si="5"/>
        <v>1</v>
      </c>
      <c r="AG346" s="5">
        <v>61</v>
      </c>
      <c r="AH346" s="9" cm="1">
        <f t="array" ref="AH346">IF(OR(AI346:AN346=""),"BLANK",IF(AND(AI346:AN346&lt;99),1,IF(AND(AI346:AN346="NA"),3,2)))</f>
        <v>3</v>
      </c>
      <c r="AI346" s="4" t="s">
        <v>7</v>
      </c>
      <c r="AJ346" s="4" t="s">
        <v>7</v>
      </c>
      <c r="AK346" s="4" t="s">
        <v>7</v>
      </c>
      <c r="AL346" s="4" t="s">
        <v>7</v>
      </c>
      <c r="AM346" s="4" t="s">
        <v>7</v>
      </c>
      <c r="AN346" s="5" t="s">
        <v>7</v>
      </c>
    </row>
    <row r="347" spans="1:40" x14ac:dyDescent="0.2">
      <c r="A347" s="39">
        <v>3086</v>
      </c>
      <c r="B347" s="4" t="s">
        <v>48</v>
      </c>
      <c r="C347" s="30" t="s">
        <v>23</v>
      </c>
      <c r="D347" s="30">
        <v>5</v>
      </c>
      <c r="E347" s="30">
        <v>0</v>
      </c>
      <c r="F347" s="4">
        <v>4</v>
      </c>
      <c r="G347" s="30">
        <v>30</v>
      </c>
      <c r="H347" s="33" t="s">
        <v>7</v>
      </c>
      <c r="I347" s="33" t="s">
        <v>7</v>
      </c>
      <c r="J347" s="33" t="s">
        <v>7</v>
      </c>
      <c r="K347" s="33" t="s">
        <v>7</v>
      </c>
      <c r="L347" s="33" t="s">
        <v>7</v>
      </c>
      <c r="M347" s="33" t="s">
        <v>7</v>
      </c>
      <c r="N347" s="33" t="s">
        <v>7</v>
      </c>
      <c r="O347" s="33" t="s">
        <v>7</v>
      </c>
      <c r="P347" s="33" t="s">
        <v>7</v>
      </c>
      <c r="Q347" s="33" t="s">
        <v>7</v>
      </c>
      <c r="R347" s="33" t="s">
        <v>7</v>
      </c>
      <c r="S347" s="33" t="s">
        <v>7</v>
      </c>
      <c r="T347" s="34">
        <v>3</v>
      </c>
      <c r="U347" s="34">
        <v>14</v>
      </c>
      <c r="V347" s="4" t="s">
        <v>1</v>
      </c>
      <c r="W347" s="4">
        <v>1</v>
      </c>
      <c r="X347" s="4">
        <v>1</v>
      </c>
      <c r="Y347" s="4">
        <v>1</v>
      </c>
      <c r="Z347" s="56">
        <v>3</v>
      </c>
      <c r="AA347" s="9" cm="1">
        <f t="array" ref="AA347">IF(OR(AB347:AE347=""),"BLANK",IF(AND(AB347:AE347&lt;999),1,IF(AND(AB347:AE347="NA"),3,2)))</f>
        <v>1</v>
      </c>
      <c r="AB347" s="4">
        <v>32</v>
      </c>
      <c r="AC347" s="4">
        <v>18</v>
      </c>
      <c r="AD347" s="4">
        <v>16</v>
      </c>
      <c r="AE347" s="5">
        <v>66</v>
      </c>
      <c r="AF347" s="9">
        <f t="shared" si="5"/>
        <v>1</v>
      </c>
      <c r="AG347" s="5">
        <v>64</v>
      </c>
      <c r="AH347" s="9" cm="1">
        <f t="array" ref="AH347">IF(OR(AI347:AN347=""),"BLANK",IF(AND(AI347:AN347&lt;99),1,IF(AND(AI347:AN347="NA"),3,2)))</f>
        <v>3</v>
      </c>
      <c r="AI347" s="4" t="s">
        <v>7</v>
      </c>
      <c r="AJ347" s="4" t="s">
        <v>7</v>
      </c>
      <c r="AK347" s="4" t="s">
        <v>7</v>
      </c>
      <c r="AL347" s="4" t="s">
        <v>7</v>
      </c>
      <c r="AM347" s="4" t="s">
        <v>7</v>
      </c>
      <c r="AN347" s="5" t="s">
        <v>7</v>
      </c>
    </row>
    <row r="348" spans="1:40" x14ac:dyDescent="0.2">
      <c r="A348" s="39">
        <v>3102</v>
      </c>
      <c r="B348" s="4" t="s">
        <v>58</v>
      </c>
      <c r="C348" s="30" t="s">
        <v>24</v>
      </c>
      <c r="D348" s="30">
        <v>5</v>
      </c>
      <c r="E348" s="30">
        <v>0</v>
      </c>
      <c r="F348" s="4">
        <v>3.9089999999999998</v>
      </c>
      <c r="G348" s="30">
        <v>28</v>
      </c>
      <c r="H348" s="33">
        <v>3.4715947980835042</v>
      </c>
      <c r="I348" s="33">
        <v>3.9753593429158109</v>
      </c>
      <c r="J348" s="33">
        <v>7.4469541409993152</v>
      </c>
      <c r="K348" s="33">
        <v>3.4688569472963722</v>
      </c>
      <c r="L348" s="33">
        <v>3.9753593429158109</v>
      </c>
      <c r="M348" s="33">
        <v>7.4442162902121831</v>
      </c>
      <c r="N348" s="33">
        <v>3.4360027378507869</v>
      </c>
      <c r="O348" s="33">
        <v>3.9698836413415468</v>
      </c>
      <c r="P348" s="33">
        <v>7.4058863791923342</v>
      </c>
      <c r="Q348" s="33">
        <v>3.8439425051334704</v>
      </c>
      <c r="R348" s="33" t="s">
        <v>7</v>
      </c>
      <c r="S348" s="33" t="s">
        <v>7</v>
      </c>
      <c r="T348" s="34">
        <v>4</v>
      </c>
      <c r="U348" s="34">
        <v>16</v>
      </c>
      <c r="V348" s="4" t="s">
        <v>1</v>
      </c>
      <c r="W348" s="4">
        <v>1</v>
      </c>
      <c r="X348" s="4">
        <v>1</v>
      </c>
      <c r="Y348" s="4">
        <v>1</v>
      </c>
      <c r="Z348" s="56">
        <v>3</v>
      </c>
      <c r="AA348" s="9" cm="1">
        <f t="array" ref="AA348">IF(OR(AB348:AE348=""),"BLANK",IF(AND(AB348:AE348&lt;999),1,IF(AND(AB348:AE348="NA"),3,2)))</f>
        <v>1</v>
      </c>
      <c r="AB348" s="4">
        <v>26</v>
      </c>
      <c r="AC348" s="4">
        <v>11</v>
      </c>
      <c r="AD348" s="4">
        <v>9</v>
      </c>
      <c r="AE348" s="5">
        <v>46</v>
      </c>
      <c r="AF348" s="9">
        <f t="shared" si="5"/>
        <v>1</v>
      </c>
      <c r="AG348" s="5">
        <v>28</v>
      </c>
      <c r="AH348" s="9" cm="1">
        <f t="array" ref="AH348">IF(OR(AI348:AN348=""),"BLANK",IF(AND(AI348:AN348&lt;99),1,IF(AND(AI348:AN348="NA"),3,2)))</f>
        <v>3</v>
      </c>
      <c r="AI348" s="4" t="s">
        <v>7</v>
      </c>
      <c r="AJ348" s="4" t="s">
        <v>7</v>
      </c>
      <c r="AK348" s="4" t="s">
        <v>7</v>
      </c>
      <c r="AL348" s="4" t="s">
        <v>7</v>
      </c>
      <c r="AM348" s="4" t="s">
        <v>7</v>
      </c>
      <c r="AN348" s="5" t="s">
        <v>7</v>
      </c>
    </row>
    <row r="349" spans="1:40" x14ac:dyDescent="0.2">
      <c r="A349" s="39">
        <v>3108</v>
      </c>
      <c r="B349" s="4" t="s">
        <v>46</v>
      </c>
      <c r="C349" s="30" t="s">
        <v>23</v>
      </c>
      <c r="D349" s="30">
        <v>2</v>
      </c>
      <c r="E349" s="30">
        <v>0</v>
      </c>
      <c r="F349" s="4">
        <v>4</v>
      </c>
      <c r="G349" s="30">
        <v>29</v>
      </c>
      <c r="H349" s="33" t="s">
        <v>7</v>
      </c>
      <c r="I349" s="33" t="s">
        <v>7</v>
      </c>
      <c r="J349" s="33" t="s">
        <v>7</v>
      </c>
      <c r="K349" s="33" t="s">
        <v>7</v>
      </c>
      <c r="L349" s="33" t="s">
        <v>7</v>
      </c>
      <c r="M349" s="33" t="s">
        <v>7</v>
      </c>
      <c r="N349" s="33" t="s">
        <v>7</v>
      </c>
      <c r="O349" s="33" t="s">
        <v>7</v>
      </c>
      <c r="P349" s="33" t="s">
        <v>7</v>
      </c>
      <c r="Q349" s="33" t="s">
        <v>7</v>
      </c>
      <c r="R349" s="33" t="s">
        <v>7</v>
      </c>
      <c r="S349" s="33" t="s">
        <v>7</v>
      </c>
      <c r="T349" s="34">
        <v>2</v>
      </c>
      <c r="U349" s="34">
        <v>12</v>
      </c>
      <c r="V349" s="4" t="s">
        <v>1</v>
      </c>
      <c r="W349" s="4">
        <v>1</v>
      </c>
      <c r="X349" s="4">
        <v>1</v>
      </c>
      <c r="Y349" s="4">
        <v>1</v>
      </c>
      <c r="Z349" s="56">
        <v>3</v>
      </c>
      <c r="AA349" s="9" cm="1">
        <f t="array" ref="AA349">IF(OR(AB349:AE349=""),"BLANK",IF(AND(AB349:AE349&lt;999),1,IF(AND(AB349:AE349="NA"),3,2)))</f>
        <v>1</v>
      </c>
      <c r="AB349" s="4">
        <v>29</v>
      </c>
      <c r="AC349" s="4">
        <v>21</v>
      </c>
      <c r="AD349" s="4">
        <v>14</v>
      </c>
      <c r="AE349" s="5">
        <v>64</v>
      </c>
      <c r="AF349" s="9">
        <f t="shared" si="5"/>
        <v>1</v>
      </c>
      <c r="AG349" s="5">
        <v>55</v>
      </c>
      <c r="AH349" s="9" cm="1">
        <f t="array" ref="AH349">IF(OR(AI349:AN349=""),"BLANK",IF(AND(AI349:AN349&lt;99),1,IF(AND(AI349:AN349="NA"),3,2)))</f>
        <v>3</v>
      </c>
      <c r="AI349" s="4" t="s">
        <v>7</v>
      </c>
      <c r="AJ349" s="4" t="s">
        <v>7</v>
      </c>
      <c r="AK349" s="4" t="s">
        <v>7</v>
      </c>
      <c r="AL349" s="4" t="s">
        <v>7</v>
      </c>
      <c r="AM349" s="4" t="s">
        <v>7</v>
      </c>
      <c r="AN349" s="5" t="s">
        <v>7</v>
      </c>
    </row>
    <row r="350" spans="1:40" x14ac:dyDescent="0.2">
      <c r="A350" s="39">
        <v>3126</v>
      </c>
      <c r="B350" s="4" t="s">
        <v>48</v>
      </c>
      <c r="C350" s="30" t="s">
        <v>23</v>
      </c>
      <c r="D350" s="30">
        <v>5</v>
      </c>
      <c r="E350" s="30">
        <v>0</v>
      </c>
      <c r="F350" s="4">
        <v>3.7269999999999999</v>
      </c>
      <c r="G350" s="30">
        <v>30</v>
      </c>
      <c r="H350" s="33">
        <v>3.4770704996577688</v>
      </c>
      <c r="I350" s="33">
        <v>4.3531827515400412</v>
      </c>
      <c r="J350" s="33">
        <v>7.83025325119781</v>
      </c>
      <c r="K350" s="33">
        <v>3.5646817248459959</v>
      </c>
      <c r="L350" s="33">
        <v>4.2464065708418888</v>
      </c>
      <c r="M350" s="33">
        <v>7.8110882956878847</v>
      </c>
      <c r="N350" s="33">
        <v>3.5592060232717317</v>
      </c>
      <c r="O350" s="33">
        <v>4.1916495550992474</v>
      </c>
      <c r="P350" s="33">
        <v>7.7508555783709792</v>
      </c>
      <c r="Q350" s="33">
        <v>3.6550308008213555</v>
      </c>
      <c r="R350" s="33" t="s">
        <v>7</v>
      </c>
      <c r="S350" s="33" t="s">
        <v>7</v>
      </c>
      <c r="T350" s="34">
        <v>3</v>
      </c>
      <c r="U350" s="34">
        <v>15</v>
      </c>
      <c r="V350" s="4" t="s">
        <v>1</v>
      </c>
      <c r="W350" s="4">
        <v>1</v>
      </c>
      <c r="X350" s="4">
        <v>1</v>
      </c>
      <c r="Y350" s="4">
        <v>1</v>
      </c>
      <c r="Z350" s="56">
        <v>3</v>
      </c>
      <c r="AA350" s="9" cm="1">
        <f t="array" ref="AA350">IF(OR(AB350:AE350=""),"BLANK",IF(AND(AB350:AE350&lt;999),1,IF(AND(AB350:AE350="NA"),3,2)))</f>
        <v>1</v>
      </c>
      <c r="AB350" s="4">
        <v>26</v>
      </c>
      <c r="AC350" s="4">
        <v>15</v>
      </c>
      <c r="AD350" s="4">
        <v>9</v>
      </c>
      <c r="AE350" s="5">
        <v>50</v>
      </c>
      <c r="AF350" s="9">
        <f t="shared" si="5"/>
        <v>1</v>
      </c>
      <c r="AG350" s="5">
        <v>49</v>
      </c>
      <c r="AH350" s="9" cm="1">
        <f t="array" ref="AH350">IF(OR(AI350:AN350=""),"BLANK",IF(AND(AI350:AN350&lt;99),1,IF(AND(AI350:AN350="NA"),3,2)))</f>
        <v>3</v>
      </c>
      <c r="AI350" s="4" t="s">
        <v>7</v>
      </c>
      <c r="AJ350" s="4" t="s">
        <v>7</v>
      </c>
      <c r="AK350" s="4" t="s">
        <v>7</v>
      </c>
      <c r="AL350" s="4" t="s">
        <v>7</v>
      </c>
      <c r="AM350" s="4" t="s">
        <v>7</v>
      </c>
      <c r="AN350" s="5" t="s">
        <v>7</v>
      </c>
    </row>
    <row r="351" spans="1:40" x14ac:dyDescent="0.2">
      <c r="A351" s="39">
        <v>3131</v>
      </c>
      <c r="B351" s="4" t="s">
        <v>52</v>
      </c>
      <c r="C351" s="30" t="s">
        <v>23</v>
      </c>
      <c r="D351" s="30">
        <v>5</v>
      </c>
      <c r="E351" s="30">
        <v>0</v>
      </c>
      <c r="F351" s="4">
        <v>4</v>
      </c>
      <c r="G351" s="30">
        <v>29</v>
      </c>
      <c r="H351" s="33">
        <v>3.5482546201232035</v>
      </c>
      <c r="I351" s="33">
        <v>4.2902121834360027</v>
      </c>
      <c r="J351" s="33">
        <v>7.8384668035592062</v>
      </c>
      <c r="K351" s="33">
        <v>3.5482546201232035</v>
      </c>
      <c r="L351" s="33">
        <v>4.2902121834360027</v>
      </c>
      <c r="M351" s="33">
        <v>7.8384668035592062</v>
      </c>
      <c r="N351" s="33">
        <v>3.5400410677618068</v>
      </c>
      <c r="O351" s="33">
        <v>4.3230663928815876</v>
      </c>
      <c r="P351" s="33">
        <v>7.8631074606433948</v>
      </c>
      <c r="Q351" s="33">
        <v>3.4086242299794662</v>
      </c>
      <c r="R351" s="33">
        <v>4.2546201232032859</v>
      </c>
      <c r="S351" s="33">
        <v>7.6632443531827512</v>
      </c>
      <c r="T351" s="34">
        <v>3</v>
      </c>
      <c r="U351" s="34">
        <v>14.5</v>
      </c>
      <c r="V351" s="4" t="s">
        <v>1</v>
      </c>
      <c r="W351" s="4">
        <v>1</v>
      </c>
      <c r="X351" s="4">
        <v>1</v>
      </c>
      <c r="Y351" s="4">
        <v>1</v>
      </c>
      <c r="Z351" s="56">
        <v>3</v>
      </c>
      <c r="AA351" s="9" cm="1">
        <f t="array" ref="AA351">IF(OR(AB351:AE351=""),"BLANK",IF(AND(AB351:AE351&lt;999),1,IF(AND(AB351:AE351="NA"),3,2)))</f>
        <v>1</v>
      </c>
      <c r="AB351" s="4">
        <v>28</v>
      </c>
      <c r="AC351" s="4">
        <v>18</v>
      </c>
      <c r="AD351" s="4">
        <v>13</v>
      </c>
      <c r="AE351" s="5">
        <v>59</v>
      </c>
      <c r="AF351" s="9">
        <f t="shared" si="5"/>
        <v>1</v>
      </c>
      <c r="AG351" s="5">
        <v>49</v>
      </c>
      <c r="AH351" s="9" cm="1">
        <f t="array" ref="AH351">IF(OR(AI351:AN351=""),"BLANK",IF(AND(AI351:AN351&lt;99),1,IF(AND(AI351:AN351="NA"),3,2)))</f>
        <v>3</v>
      </c>
      <c r="AI351" s="4" t="s">
        <v>7</v>
      </c>
      <c r="AJ351" s="4" t="s">
        <v>7</v>
      </c>
      <c r="AK351" s="4" t="s">
        <v>7</v>
      </c>
      <c r="AL351" s="4" t="s">
        <v>7</v>
      </c>
      <c r="AM351" s="4" t="s">
        <v>7</v>
      </c>
      <c r="AN351" s="5" t="s">
        <v>7</v>
      </c>
    </row>
    <row r="352" spans="1:40" x14ac:dyDescent="0.2">
      <c r="A352" s="39">
        <v>3137</v>
      </c>
      <c r="B352" s="4" t="s">
        <v>46</v>
      </c>
      <c r="C352" s="30" t="s">
        <v>23</v>
      </c>
      <c r="D352" s="30">
        <v>5</v>
      </c>
      <c r="E352" s="30">
        <v>0</v>
      </c>
      <c r="F352" s="4">
        <v>2.5449999999999999</v>
      </c>
      <c r="G352" s="30">
        <v>28</v>
      </c>
      <c r="H352" s="33" t="s">
        <v>7</v>
      </c>
      <c r="I352" s="33" t="s">
        <v>7</v>
      </c>
      <c r="J352" s="33" t="s">
        <v>7</v>
      </c>
      <c r="K352" s="33" t="s">
        <v>7</v>
      </c>
      <c r="L352" s="33" t="s">
        <v>7</v>
      </c>
      <c r="M352" s="33" t="s">
        <v>7</v>
      </c>
      <c r="N352" s="33" t="s">
        <v>7</v>
      </c>
      <c r="O352" s="33" t="s">
        <v>7</v>
      </c>
      <c r="P352" s="33" t="s">
        <v>7</v>
      </c>
      <c r="Q352" s="33" t="s">
        <v>7</v>
      </c>
      <c r="R352" s="33" t="s">
        <v>7</v>
      </c>
      <c r="S352" s="33" t="s">
        <v>7</v>
      </c>
      <c r="T352" s="34">
        <v>2</v>
      </c>
      <c r="U352" s="34">
        <v>12</v>
      </c>
      <c r="V352" s="4" t="s">
        <v>1</v>
      </c>
      <c r="W352" s="4">
        <v>1</v>
      </c>
      <c r="X352" s="4">
        <v>1</v>
      </c>
      <c r="Y352" s="4">
        <v>1</v>
      </c>
      <c r="Z352" s="56">
        <v>3</v>
      </c>
      <c r="AA352" s="9" cm="1">
        <f t="array" ref="AA352">IF(OR(AB352:AE352=""),"BLANK",IF(AND(AB352:AE352&lt;999),1,IF(AND(AB352:AE352="NA"),3,2)))</f>
        <v>1</v>
      </c>
      <c r="AB352" s="4">
        <v>32</v>
      </c>
      <c r="AC352" s="4">
        <v>18</v>
      </c>
      <c r="AD352" s="4">
        <v>10</v>
      </c>
      <c r="AE352" s="5">
        <v>60</v>
      </c>
      <c r="AF352" s="9">
        <f t="shared" si="5"/>
        <v>1</v>
      </c>
      <c r="AG352" s="5">
        <v>60</v>
      </c>
      <c r="AH352" s="9" cm="1">
        <f t="array" ref="AH352">IF(OR(AI352:AN352=""),"BLANK",IF(AND(AI352:AN352&lt;99),1,IF(AND(AI352:AN352="NA"),3,2)))</f>
        <v>3</v>
      </c>
      <c r="AI352" s="4" t="s">
        <v>7</v>
      </c>
      <c r="AJ352" s="4" t="s">
        <v>7</v>
      </c>
      <c r="AK352" s="4" t="s">
        <v>7</v>
      </c>
      <c r="AL352" s="4" t="s">
        <v>7</v>
      </c>
      <c r="AM352" s="4" t="s">
        <v>7</v>
      </c>
      <c r="AN352" s="5" t="s">
        <v>7</v>
      </c>
    </row>
    <row r="353" spans="1:40" x14ac:dyDescent="0.2">
      <c r="A353" s="39">
        <v>3146</v>
      </c>
      <c r="B353" s="4" t="s">
        <v>48</v>
      </c>
      <c r="C353" s="30" t="s">
        <v>24</v>
      </c>
      <c r="D353" s="30">
        <v>5</v>
      </c>
      <c r="E353" s="30">
        <v>1</v>
      </c>
      <c r="F353" s="4">
        <v>3.5449999999999999</v>
      </c>
      <c r="G353" s="30">
        <v>28</v>
      </c>
      <c r="H353" s="33">
        <v>3.460643394934976</v>
      </c>
      <c r="I353" s="33">
        <v>4.5393566050650236</v>
      </c>
      <c r="J353" s="33">
        <v>8</v>
      </c>
      <c r="K353" s="33">
        <v>3.460643394934976</v>
      </c>
      <c r="L353" s="33">
        <v>4.6543463381245722</v>
      </c>
      <c r="M353" s="33">
        <v>8.1149897330595486</v>
      </c>
      <c r="N353" s="33">
        <v>3.5263518138261465</v>
      </c>
      <c r="O353" s="33">
        <v>4.4791238877481181</v>
      </c>
      <c r="P353" s="33">
        <v>8.0054757015742641</v>
      </c>
      <c r="Q353" s="33">
        <v>3.5455167693360714</v>
      </c>
      <c r="R353" s="33" t="s">
        <v>7</v>
      </c>
      <c r="S353" s="33" t="s">
        <v>7</v>
      </c>
      <c r="T353" s="34">
        <v>3</v>
      </c>
      <c r="U353" s="34">
        <v>14</v>
      </c>
      <c r="V353" s="4" t="s">
        <v>1</v>
      </c>
      <c r="W353" s="4">
        <v>1</v>
      </c>
      <c r="X353" s="4">
        <v>1</v>
      </c>
      <c r="Y353" s="4">
        <v>1</v>
      </c>
      <c r="Z353" s="56">
        <v>3</v>
      </c>
      <c r="AA353" s="9" cm="1">
        <f t="array" ref="AA353">IF(OR(AB353:AE353=""),"BLANK",IF(AND(AB353:AE353&lt;999),1,IF(AND(AB353:AE353="NA"),3,2)))</f>
        <v>1</v>
      </c>
      <c r="AB353" s="4">
        <v>32</v>
      </c>
      <c r="AC353" s="4">
        <v>18</v>
      </c>
      <c r="AD353" s="4">
        <v>10</v>
      </c>
      <c r="AE353" s="5">
        <v>60</v>
      </c>
      <c r="AF353" s="9">
        <f t="shared" si="5"/>
        <v>1</v>
      </c>
      <c r="AG353" s="5">
        <v>46</v>
      </c>
      <c r="AH353" s="9" cm="1">
        <f t="array" ref="AH353">IF(OR(AI353:AN353=""),"BLANK",IF(AND(AI353:AN353&lt;99),1,IF(AND(AI353:AN353="NA"),3,2)))</f>
        <v>3</v>
      </c>
      <c r="AI353" s="4" t="s">
        <v>7</v>
      </c>
      <c r="AJ353" s="4" t="s">
        <v>7</v>
      </c>
      <c r="AK353" s="4" t="s">
        <v>7</v>
      </c>
      <c r="AL353" s="4" t="s">
        <v>7</v>
      </c>
      <c r="AM353" s="4" t="s">
        <v>7</v>
      </c>
      <c r="AN353" s="5" t="s">
        <v>7</v>
      </c>
    </row>
    <row r="354" spans="1:40" x14ac:dyDescent="0.2">
      <c r="A354" s="39">
        <v>3163</v>
      </c>
      <c r="B354" s="4" t="s">
        <v>50</v>
      </c>
      <c r="C354" s="30" t="s">
        <v>24</v>
      </c>
      <c r="D354" s="30">
        <v>5</v>
      </c>
      <c r="E354" s="30">
        <v>0</v>
      </c>
      <c r="F354" s="4">
        <v>2.4550000000000001</v>
      </c>
      <c r="G354" s="30">
        <v>26</v>
      </c>
      <c r="H354" s="33">
        <v>3.3921971252566734</v>
      </c>
      <c r="I354" s="33">
        <v>4.5010266940451746</v>
      </c>
      <c r="J354" s="33">
        <v>7.8932238193018485</v>
      </c>
      <c r="K354" s="33">
        <v>3.3921971252566734</v>
      </c>
      <c r="L354" s="33">
        <v>4.5010266940451746</v>
      </c>
      <c r="M354" s="33">
        <v>7.8932238193018485</v>
      </c>
      <c r="N354" s="33">
        <v>3.4086242299794662</v>
      </c>
      <c r="O354" s="33" t="s">
        <v>7</v>
      </c>
      <c r="P354" s="33" t="s">
        <v>7</v>
      </c>
      <c r="Q354" s="33">
        <v>3.8302532511978096</v>
      </c>
      <c r="R354" s="33" t="s">
        <v>7</v>
      </c>
      <c r="S354" s="33" t="s">
        <v>7</v>
      </c>
      <c r="T354" s="34">
        <v>4</v>
      </c>
      <c r="U354" s="34">
        <v>16</v>
      </c>
      <c r="V354" s="4" t="s">
        <v>1</v>
      </c>
      <c r="W354" s="4">
        <v>1</v>
      </c>
      <c r="X354" s="4">
        <v>1</v>
      </c>
      <c r="Y354" s="4">
        <v>1</v>
      </c>
      <c r="Z354" s="56">
        <v>3</v>
      </c>
      <c r="AA354" s="9" cm="1">
        <f t="array" ref="AA354">IF(OR(AB354:AE354=""),"BLANK",IF(AND(AB354:AE354&lt;999),1,IF(AND(AB354:AE354="NA"),3,2)))</f>
        <v>1</v>
      </c>
      <c r="AB354" s="4">
        <v>32</v>
      </c>
      <c r="AC354" s="4">
        <v>23</v>
      </c>
      <c r="AD354" s="4">
        <v>17</v>
      </c>
      <c r="AE354" s="5">
        <v>72</v>
      </c>
      <c r="AF354" s="9">
        <f t="shared" si="5"/>
        <v>1</v>
      </c>
      <c r="AG354" s="5">
        <v>63</v>
      </c>
      <c r="AH354" s="9" cm="1">
        <f t="array" ref="AH354">IF(OR(AI354:AN354=""),"BLANK",IF(AND(AI354:AN354&lt;99),1,IF(AND(AI354:AN354="NA"),3,2)))</f>
        <v>3</v>
      </c>
      <c r="AI354" s="4" t="s">
        <v>7</v>
      </c>
      <c r="AJ354" s="4" t="s">
        <v>7</v>
      </c>
      <c r="AK354" s="4" t="s">
        <v>7</v>
      </c>
      <c r="AL354" s="4" t="s">
        <v>7</v>
      </c>
      <c r="AM354" s="4" t="s">
        <v>7</v>
      </c>
      <c r="AN354" s="5" t="s">
        <v>7</v>
      </c>
    </row>
    <row r="355" spans="1:40" x14ac:dyDescent="0.2">
      <c r="A355" s="39">
        <v>3182</v>
      </c>
      <c r="B355" s="4" t="s">
        <v>54</v>
      </c>
      <c r="C355" s="30" t="s">
        <v>24</v>
      </c>
      <c r="D355" s="30">
        <v>5</v>
      </c>
      <c r="E355" s="30">
        <v>0</v>
      </c>
      <c r="F355" s="4">
        <v>4</v>
      </c>
      <c r="G355" s="30">
        <v>30</v>
      </c>
      <c r="H355" s="33">
        <v>3.5509924709103355</v>
      </c>
      <c r="I355" s="33" t="s">
        <v>7</v>
      </c>
      <c r="J355" s="33" t="s">
        <v>7</v>
      </c>
      <c r="K355" s="33">
        <v>3.5646817248459959</v>
      </c>
      <c r="L355" s="33" t="s">
        <v>7</v>
      </c>
      <c r="M355" s="33" t="s">
        <v>7</v>
      </c>
      <c r="N355" s="33">
        <v>3.5509924709103355</v>
      </c>
      <c r="O355" s="33" t="s">
        <v>7</v>
      </c>
      <c r="P355" s="33" t="s">
        <v>7</v>
      </c>
      <c r="Q355" s="33">
        <v>3.3319644079397674</v>
      </c>
      <c r="R355" s="33" t="s">
        <v>7</v>
      </c>
      <c r="S355" s="33" t="s">
        <v>7</v>
      </c>
      <c r="T355" s="34">
        <v>3</v>
      </c>
      <c r="U355" s="34">
        <v>13</v>
      </c>
      <c r="V355" s="4" t="s">
        <v>1</v>
      </c>
      <c r="W355" s="4">
        <v>1</v>
      </c>
      <c r="X355" s="4">
        <v>1</v>
      </c>
      <c r="Y355" s="4">
        <v>1</v>
      </c>
      <c r="Z355" s="56">
        <v>3</v>
      </c>
      <c r="AA355" s="9" cm="1">
        <f t="array" ref="AA355">IF(OR(AB355:AE355=""),"BLANK",IF(AND(AB355:AE355&lt;999),1,IF(AND(AB355:AE355="NA"),3,2)))</f>
        <v>1</v>
      </c>
      <c r="AB355" s="4">
        <v>35</v>
      </c>
      <c r="AC355" s="4">
        <v>24</v>
      </c>
      <c r="AD355" s="4">
        <v>17</v>
      </c>
      <c r="AE355" s="5">
        <v>76</v>
      </c>
      <c r="AF355" s="9">
        <f t="shared" si="5"/>
        <v>1</v>
      </c>
      <c r="AG355" s="5">
        <v>54</v>
      </c>
      <c r="AH355" s="9" cm="1">
        <f t="array" ref="AH355">IF(OR(AI355:AN355=""),"BLANK",IF(AND(AI355:AN355&lt;99),1,IF(AND(AI355:AN355="NA"),3,2)))</f>
        <v>3</v>
      </c>
      <c r="AI355" s="4" t="s">
        <v>7</v>
      </c>
      <c r="AJ355" s="4" t="s">
        <v>7</v>
      </c>
      <c r="AK355" s="4" t="s">
        <v>7</v>
      </c>
      <c r="AL355" s="4" t="s">
        <v>7</v>
      </c>
      <c r="AM355" s="4" t="s">
        <v>7</v>
      </c>
      <c r="AN355" s="5" t="s">
        <v>7</v>
      </c>
    </row>
    <row r="356" spans="1:40" x14ac:dyDescent="0.2">
      <c r="A356" s="39">
        <v>3211</v>
      </c>
      <c r="B356" s="4" t="s">
        <v>65</v>
      </c>
      <c r="C356" s="30" t="s">
        <v>24</v>
      </c>
      <c r="D356" s="30">
        <v>5</v>
      </c>
      <c r="E356" s="30">
        <v>0</v>
      </c>
      <c r="F356" s="4">
        <v>3.4550000000000001</v>
      </c>
      <c r="G356" s="30">
        <v>28</v>
      </c>
      <c r="H356" s="33">
        <v>3.8850102669404518</v>
      </c>
      <c r="I356" s="33">
        <v>3.7535934291581108</v>
      </c>
      <c r="J356" s="33">
        <v>7.6386036960985626</v>
      </c>
      <c r="K356" s="33">
        <v>4.3641341546885695</v>
      </c>
      <c r="L356" s="33">
        <v>3.3100616016427105</v>
      </c>
      <c r="M356" s="33">
        <v>7.6741957563312804</v>
      </c>
      <c r="N356" s="33">
        <v>4.0136892539356603</v>
      </c>
      <c r="O356" s="33">
        <v>3.6358658453114305</v>
      </c>
      <c r="P356" s="33">
        <v>7.6495550992470909</v>
      </c>
      <c r="Q356" s="33">
        <v>4.0958247775496233</v>
      </c>
      <c r="R356" s="33">
        <v>3.808350444900753</v>
      </c>
      <c r="S356" s="33">
        <v>7.9041752224503767</v>
      </c>
      <c r="T356" s="34">
        <v>4</v>
      </c>
      <c r="U356" s="34">
        <v>16</v>
      </c>
      <c r="V356" s="4" t="s">
        <v>1</v>
      </c>
      <c r="W356" s="4">
        <v>1</v>
      </c>
      <c r="X356" s="4">
        <v>1</v>
      </c>
      <c r="Y356" s="4">
        <v>1</v>
      </c>
      <c r="Z356" s="56">
        <v>3</v>
      </c>
      <c r="AA356" s="9" cm="1">
        <f t="array" ref="AA356">IF(OR(AB356:AE356=""),"BLANK",IF(AND(AB356:AE356&lt;999),1,IF(AND(AB356:AE356="NA"),3,2)))</f>
        <v>1</v>
      </c>
      <c r="AB356" s="4">
        <v>24</v>
      </c>
      <c r="AC356" s="4">
        <v>18</v>
      </c>
      <c r="AD356" s="4">
        <v>11</v>
      </c>
      <c r="AE356" s="5">
        <v>53</v>
      </c>
      <c r="AF356" s="9">
        <f t="shared" si="5"/>
        <v>1</v>
      </c>
      <c r="AG356" s="5">
        <v>43</v>
      </c>
      <c r="AH356" s="9" cm="1">
        <f t="array" ref="AH356">IF(OR(AI356:AN356=""),"BLANK",IF(AND(AI356:AN356&lt;99),1,IF(AND(AI356:AN356="NA"),3,2)))</f>
        <v>3</v>
      </c>
      <c r="AI356" s="4" t="s">
        <v>7</v>
      </c>
      <c r="AJ356" s="4" t="s">
        <v>7</v>
      </c>
      <c r="AK356" s="4" t="s">
        <v>7</v>
      </c>
      <c r="AL356" s="4" t="s">
        <v>7</v>
      </c>
      <c r="AM356" s="4" t="s">
        <v>7</v>
      </c>
      <c r="AN356" s="5" t="s">
        <v>7</v>
      </c>
    </row>
    <row r="357" spans="1:40" x14ac:dyDescent="0.2">
      <c r="A357" s="39">
        <v>3212</v>
      </c>
      <c r="B357" s="4" t="s">
        <v>52</v>
      </c>
      <c r="C357" s="30" t="s">
        <v>23</v>
      </c>
      <c r="D357" s="30">
        <v>5</v>
      </c>
      <c r="E357" s="30">
        <v>0</v>
      </c>
      <c r="F357" s="4">
        <v>3.7269999999999999</v>
      </c>
      <c r="G357" s="30">
        <v>27</v>
      </c>
      <c r="H357" s="33" t="s">
        <v>7</v>
      </c>
      <c r="I357" s="33" t="s">
        <v>7</v>
      </c>
      <c r="J357" s="33" t="s">
        <v>7</v>
      </c>
      <c r="K357" s="33" t="s">
        <v>7</v>
      </c>
      <c r="L357" s="33" t="s">
        <v>7</v>
      </c>
      <c r="M357" s="33" t="s">
        <v>7</v>
      </c>
      <c r="N357" s="33" t="s">
        <v>7</v>
      </c>
      <c r="O357" s="33" t="s">
        <v>7</v>
      </c>
      <c r="P357" s="33" t="s">
        <v>7</v>
      </c>
      <c r="Q357" s="33" t="s">
        <v>7</v>
      </c>
      <c r="R357" s="33" t="s">
        <v>7</v>
      </c>
      <c r="S357" s="33" t="s">
        <v>7</v>
      </c>
      <c r="T357" s="34">
        <v>2</v>
      </c>
      <c r="U357" s="34">
        <v>12</v>
      </c>
      <c r="V357" s="4" t="s">
        <v>1</v>
      </c>
      <c r="W357" s="4">
        <v>1</v>
      </c>
      <c r="X357" s="4">
        <v>1</v>
      </c>
      <c r="Y357" s="4">
        <v>1</v>
      </c>
      <c r="Z357" s="56">
        <v>3</v>
      </c>
      <c r="AA357" s="9" cm="1">
        <f t="array" ref="AA357">IF(OR(AB357:AE357=""),"BLANK",IF(AND(AB357:AE357&lt;999),1,IF(AND(AB357:AE357="NA"),3,2)))</f>
        <v>1</v>
      </c>
      <c r="AB357" s="4">
        <v>25</v>
      </c>
      <c r="AC357" s="4">
        <v>18</v>
      </c>
      <c r="AD357" s="4">
        <v>12</v>
      </c>
      <c r="AE357" s="5">
        <v>55</v>
      </c>
      <c r="AF357" s="9">
        <f t="shared" si="5"/>
        <v>1</v>
      </c>
      <c r="AG357" s="5">
        <v>38</v>
      </c>
      <c r="AH357" s="9" cm="1">
        <f t="array" ref="AH357">IF(OR(AI357:AN357=""),"BLANK",IF(AND(AI357:AN357&lt;99),1,IF(AND(AI357:AN357="NA"),3,2)))</f>
        <v>3</v>
      </c>
      <c r="AI357" s="4" t="s">
        <v>7</v>
      </c>
      <c r="AJ357" s="4" t="s">
        <v>7</v>
      </c>
      <c r="AK357" s="4" t="s">
        <v>7</v>
      </c>
      <c r="AL357" s="4" t="s">
        <v>7</v>
      </c>
      <c r="AM357" s="4" t="s">
        <v>7</v>
      </c>
      <c r="AN357" s="5" t="s">
        <v>7</v>
      </c>
    </row>
    <row r="358" spans="1:40" x14ac:dyDescent="0.2">
      <c r="A358" s="39">
        <v>3242</v>
      </c>
      <c r="B358" s="4" t="s">
        <v>48</v>
      </c>
      <c r="C358" s="30" t="s">
        <v>23</v>
      </c>
      <c r="D358" s="30">
        <v>5</v>
      </c>
      <c r="E358" s="30">
        <v>0</v>
      </c>
      <c r="F358" s="4">
        <v>3.8180000000000001</v>
      </c>
      <c r="G358" s="30">
        <v>29</v>
      </c>
      <c r="H358" s="33">
        <v>3.5044490075290895</v>
      </c>
      <c r="I358" s="33" t="s">
        <v>7</v>
      </c>
      <c r="J358" s="33" t="s">
        <v>7</v>
      </c>
      <c r="K358" s="33">
        <v>3.5044490075290895</v>
      </c>
      <c r="L358" s="33" t="s">
        <v>7</v>
      </c>
      <c r="M358" s="33" t="s">
        <v>7</v>
      </c>
      <c r="N358" s="33">
        <v>3.5181382614647503</v>
      </c>
      <c r="O358" s="33" t="s">
        <v>7</v>
      </c>
      <c r="P358" s="33" t="s">
        <v>7</v>
      </c>
      <c r="Q358" s="33">
        <v>3.4277891854893907</v>
      </c>
      <c r="R358" s="33" t="s">
        <v>7</v>
      </c>
      <c r="S358" s="33" t="s">
        <v>7</v>
      </c>
      <c r="T358" s="34">
        <v>3</v>
      </c>
      <c r="U358" s="34">
        <v>15</v>
      </c>
      <c r="V358" s="4" t="s">
        <v>1</v>
      </c>
      <c r="W358" s="4">
        <v>1</v>
      </c>
      <c r="X358" s="4">
        <v>1</v>
      </c>
      <c r="Y358" s="4">
        <v>1</v>
      </c>
      <c r="Z358" s="56">
        <v>3</v>
      </c>
      <c r="AA358" s="9" cm="1">
        <f t="array" ref="AA358">IF(OR(AB358:AE358=""),"BLANK",IF(AND(AB358:AE358&lt;999),1,IF(AND(AB358:AE358="NA"),3,2)))</f>
        <v>1</v>
      </c>
      <c r="AB358" s="4">
        <v>27</v>
      </c>
      <c r="AC358" s="4">
        <v>13</v>
      </c>
      <c r="AD358" s="4">
        <v>11</v>
      </c>
      <c r="AE358" s="5">
        <v>51</v>
      </c>
      <c r="AF358" s="9">
        <f t="shared" si="5"/>
        <v>1</v>
      </c>
      <c r="AG358" s="5">
        <v>48</v>
      </c>
      <c r="AH358" s="9" cm="1">
        <f t="array" ref="AH358">IF(OR(AI358:AN358=""),"BLANK",IF(AND(AI358:AN358&lt;99),1,IF(AND(AI358:AN358="NA"),3,2)))</f>
        <v>3</v>
      </c>
      <c r="AI358" s="4" t="s">
        <v>7</v>
      </c>
      <c r="AJ358" s="4" t="s">
        <v>7</v>
      </c>
      <c r="AK358" s="4" t="s">
        <v>7</v>
      </c>
      <c r="AL358" s="4" t="s">
        <v>7</v>
      </c>
      <c r="AM358" s="4" t="s">
        <v>7</v>
      </c>
      <c r="AN358" s="5" t="s">
        <v>7</v>
      </c>
    </row>
    <row r="359" spans="1:40" x14ac:dyDescent="0.2">
      <c r="A359" s="39">
        <v>3306</v>
      </c>
      <c r="B359" s="4" t="s">
        <v>48</v>
      </c>
      <c r="C359" s="30" t="s">
        <v>23</v>
      </c>
      <c r="D359" s="30">
        <v>5</v>
      </c>
      <c r="E359" s="30">
        <v>0</v>
      </c>
      <c r="F359" s="4">
        <v>3.9089999999999998</v>
      </c>
      <c r="G359" s="30">
        <v>30</v>
      </c>
      <c r="H359" s="33">
        <v>3.4524298425735798</v>
      </c>
      <c r="I359" s="33">
        <v>3.4113620807665983</v>
      </c>
      <c r="J359" s="33">
        <v>6.8637919233401776</v>
      </c>
      <c r="K359" s="33">
        <v>3.4524298425735798</v>
      </c>
      <c r="L359" s="33">
        <v>3.4496919917864477</v>
      </c>
      <c r="M359" s="33">
        <v>6.9021218343600275</v>
      </c>
      <c r="N359" s="33">
        <v>3.4332648870636548</v>
      </c>
      <c r="O359" s="33">
        <v>3.4305270362765228</v>
      </c>
      <c r="P359" s="33">
        <v>6.8637919233401776</v>
      </c>
      <c r="Q359" s="33">
        <v>3.3648186173853527</v>
      </c>
      <c r="R359" s="33" t="s">
        <v>7</v>
      </c>
      <c r="S359" s="33" t="s">
        <v>7</v>
      </c>
      <c r="T359" s="34">
        <v>4</v>
      </c>
      <c r="U359" s="34">
        <v>16</v>
      </c>
      <c r="V359" s="4" t="s">
        <v>1</v>
      </c>
      <c r="W359" s="4">
        <v>1</v>
      </c>
      <c r="X359" s="4">
        <v>1</v>
      </c>
      <c r="Y359" s="4">
        <v>1</v>
      </c>
      <c r="Z359" s="56">
        <v>3</v>
      </c>
      <c r="AA359" s="9" cm="1">
        <f t="array" ref="AA359">IF(OR(AB359:AE359=""),"BLANK",IF(AND(AB359:AE359&lt;999),1,IF(AND(AB359:AE359="NA"),3,2)))</f>
        <v>1</v>
      </c>
      <c r="AB359" s="4">
        <v>32</v>
      </c>
      <c r="AC359" s="4">
        <v>20</v>
      </c>
      <c r="AD359" s="4">
        <v>17</v>
      </c>
      <c r="AE359" s="5">
        <v>69</v>
      </c>
      <c r="AF359" s="9">
        <f t="shared" si="5"/>
        <v>1</v>
      </c>
      <c r="AG359" s="5">
        <v>40</v>
      </c>
      <c r="AH359" s="9" cm="1">
        <f t="array" ref="AH359">IF(OR(AI359:AN359=""),"BLANK",IF(AND(AI359:AN359&lt;99),1,IF(AND(AI359:AN359="NA"),3,2)))</f>
        <v>3</v>
      </c>
      <c r="AI359" s="4" t="s">
        <v>7</v>
      </c>
      <c r="AJ359" s="4" t="s">
        <v>7</v>
      </c>
      <c r="AK359" s="4" t="s">
        <v>7</v>
      </c>
      <c r="AL359" s="4" t="s">
        <v>7</v>
      </c>
      <c r="AM359" s="4" t="s">
        <v>7</v>
      </c>
      <c r="AN359" s="5" t="s">
        <v>7</v>
      </c>
    </row>
    <row r="360" spans="1:40" x14ac:dyDescent="0.2">
      <c r="A360" s="39">
        <v>3319</v>
      </c>
      <c r="B360" s="4" t="s">
        <v>47</v>
      </c>
      <c r="C360" s="30" t="s">
        <v>23</v>
      </c>
      <c r="D360" s="30">
        <v>5</v>
      </c>
      <c r="E360" s="30">
        <v>0</v>
      </c>
      <c r="F360" s="4">
        <v>4</v>
      </c>
      <c r="G360" s="30">
        <v>29</v>
      </c>
      <c r="H360" s="33">
        <v>3.6221765913757702</v>
      </c>
      <c r="I360" s="33">
        <v>4.3285420944558526</v>
      </c>
      <c r="J360" s="33">
        <v>7.9507186858316219</v>
      </c>
      <c r="K360" s="33">
        <v>3.6933607118412048</v>
      </c>
      <c r="L360" s="33">
        <v>4.2792607802874745</v>
      </c>
      <c r="M360" s="33">
        <v>7.9726214921286793</v>
      </c>
      <c r="N360" s="33">
        <v>3.871321013004791</v>
      </c>
      <c r="O360" s="33">
        <v>4.1998631074606436</v>
      </c>
      <c r="P360" s="33">
        <v>8.0711841204654338</v>
      </c>
      <c r="Q360" s="33">
        <v>3.6030116358658453</v>
      </c>
      <c r="R360" s="33" t="s">
        <v>7</v>
      </c>
      <c r="S360" s="33" t="s">
        <v>7</v>
      </c>
      <c r="T360" s="34">
        <v>1</v>
      </c>
      <c r="U360" s="34">
        <v>11</v>
      </c>
      <c r="V360" s="4" t="s">
        <v>1</v>
      </c>
      <c r="W360" s="4">
        <v>1</v>
      </c>
      <c r="X360" s="4">
        <v>1</v>
      </c>
      <c r="Y360" s="4">
        <v>1</v>
      </c>
      <c r="Z360" s="56">
        <v>3</v>
      </c>
      <c r="AA360" s="9" cm="1">
        <f t="array" ref="AA360">IF(OR(AB360:AE360=""),"BLANK",IF(AND(AB360:AE360&lt;999),1,IF(AND(AB360:AE360="NA"),3,2)))</f>
        <v>1</v>
      </c>
      <c r="AB360" s="4">
        <v>28</v>
      </c>
      <c r="AC360" s="4">
        <v>11</v>
      </c>
      <c r="AD360" s="4">
        <v>8</v>
      </c>
      <c r="AE360" s="5">
        <v>47</v>
      </c>
      <c r="AF360" s="9">
        <f t="shared" si="5"/>
        <v>1</v>
      </c>
      <c r="AG360" s="5">
        <v>39</v>
      </c>
      <c r="AH360" s="9" cm="1">
        <f t="array" ref="AH360">IF(OR(AI360:AN360=""),"BLANK",IF(AND(AI360:AN360&lt;99),1,IF(AND(AI360:AN360="NA"),3,2)))</f>
        <v>3</v>
      </c>
      <c r="AI360" s="4" t="s">
        <v>7</v>
      </c>
      <c r="AJ360" s="4" t="s">
        <v>7</v>
      </c>
      <c r="AK360" s="4" t="s">
        <v>7</v>
      </c>
      <c r="AL360" s="4" t="s">
        <v>7</v>
      </c>
      <c r="AM360" s="4" t="s">
        <v>7</v>
      </c>
      <c r="AN360" s="5" t="s">
        <v>7</v>
      </c>
    </row>
    <row r="361" spans="1:40" x14ac:dyDescent="0.2">
      <c r="A361" s="39">
        <v>3328</v>
      </c>
      <c r="B361" s="4" t="s">
        <v>47</v>
      </c>
      <c r="C361" s="30" t="s">
        <v>24</v>
      </c>
      <c r="D361" s="30">
        <v>5</v>
      </c>
      <c r="E361" s="30">
        <v>0</v>
      </c>
      <c r="F361" s="4">
        <v>4</v>
      </c>
      <c r="G361" s="30">
        <v>30</v>
      </c>
      <c r="H361" s="33">
        <v>3.7015742642026011</v>
      </c>
      <c r="I361" s="33">
        <v>4.5694729637234772</v>
      </c>
      <c r="J361" s="33">
        <v>8.2710472279260774</v>
      </c>
      <c r="K361" s="33">
        <v>3.7015742642026011</v>
      </c>
      <c r="L361" s="33">
        <v>4.5694729637234772</v>
      </c>
      <c r="M361" s="33">
        <v>8.2710472279260774</v>
      </c>
      <c r="N361" s="33">
        <v>4.687200547570157</v>
      </c>
      <c r="O361" s="33">
        <v>3.5044490075290895</v>
      </c>
      <c r="P361" s="33">
        <v>8.1916495550992465</v>
      </c>
      <c r="Q361" s="33" t="s">
        <v>7</v>
      </c>
      <c r="R361" s="33" t="s">
        <v>7</v>
      </c>
      <c r="S361" s="33" t="s">
        <v>7</v>
      </c>
      <c r="T361" s="34">
        <v>3</v>
      </c>
      <c r="U361" s="34">
        <v>13</v>
      </c>
      <c r="V361" s="4" t="s">
        <v>1</v>
      </c>
      <c r="W361" s="4">
        <v>1</v>
      </c>
      <c r="X361" s="4">
        <v>1</v>
      </c>
      <c r="Y361" s="4">
        <v>1</v>
      </c>
      <c r="Z361" s="56">
        <v>3</v>
      </c>
      <c r="AA361" s="9" cm="1">
        <f t="array" ref="AA361">IF(OR(AB361:AE361=""),"BLANK",IF(AND(AB361:AE361&lt;999),1,IF(AND(AB361:AE361="NA"),3,2)))</f>
        <v>1</v>
      </c>
      <c r="AB361" s="4">
        <v>24</v>
      </c>
      <c r="AC361" s="4">
        <v>12</v>
      </c>
      <c r="AD361" s="4">
        <v>7</v>
      </c>
      <c r="AE361" s="5">
        <v>43</v>
      </c>
      <c r="AF361" s="9">
        <f t="shared" si="5"/>
        <v>1</v>
      </c>
      <c r="AG361" s="5">
        <v>32</v>
      </c>
      <c r="AH361" s="9" cm="1">
        <f t="array" ref="AH361">IF(OR(AI361:AN361=""),"BLANK",IF(AND(AI361:AN361&lt;99),1,IF(AND(AI361:AN361="NA"),3,2)))</f>
        <v>3</v>
      </c>
      <c r="AI361" s="4" t="s">
        <v>7</v>
      </c>
      <c r="AJ361" s="4" t="s">
        <v>7</v>
      </c>
      <c r="AK361" s="4" t="s">
        <v>7</v>
      </c>
      <c r="AL361" s="4" t="s">
        <v>7</v>
      </c>
      <c r="AM361" s="4" t="s">
        <v>7</v>
      </c>
      <c r="AN361" s="5" t="s">
        <v>7</v>
      </c>
    </row>
    <row r="362" spans="1:40" x14ac:dyDescent="0.2">
      <c r="A362" s="39">
        <v>3331</v>
      </c>
      <c r="B362" s="4" t="s">
        <v>59</v>
      </c>
      <c r="C362" s="30" t="s">
        <v>23</v>
      </c>
      <c r="D362" s="30">
        <v>5</v>
      </c>
      <c r="E362" s="30">
        <v>0</v>
      </c>
      <c r="F362" s="4">
        <v>3.7269999999999999</v>
      </c>
      <c r="G362" s="30">
        <v>29</v>
      </c>
      <c r="H362" s="33" t="s">
        <v>7</v>
      </c>
      <c r="I362" s="33" t="s">
        <v>7</v>
      </c>
      <c r="J362" s="33" t="s">
        <v>7</v>
      </c>
      <c r="K362" s="33" t="s">
        <v>7</v>
      </c>
      <c r="L362" s="33" t="s">
        <v>7</v>
      </c>
      <c r="M362" s="33" t="s">
        <v>7</v>
      </c>
      <c r="N362" s="33" t="s">
        <v>7</v>
      </c>
      <c r="O362" s="33" t="s">
        <v>7</v>
      </c>
      <c r="P362" s="33" t="s">
        <v>7</v>
      </c>
      <c r="Q362" s="33" t="s">
        <v>7</v>
      </c>
      <c r="R362" s="33" t="s">
        <v>7</v>
      </c>
      <c r="S362" s="33" t="s">
        <v>7</v>
      </c>
      <c r="T362" s="34">
        <v>3</v>
      </c>
      <c r="U362" s="34">
        <v>15</v>
      </c>
      <c r="V362" s="4" t="s">
        <v>1</v>
      </c>
      <c r="W362" s="4">
        <v>1</v>
      </c>
      <c r="X362" s="4">
        <v>1</v>
      </c>
      <c r="Y362" s="4">
        <v>1</v>
      </c>
      <c r="Z362" s="56">
        <v>3</v>
      </c>
      <c r="AA362" s="9" cm="1">
        <f t="array" ref="AA362">IF(OR(AB362:AE362=""),"BLANK",IF(AND(AB362:AE362&lt;999),1,IF(AND(AB362:AE362="NA"),3,2)))</f>
        <v>1</v>
      </c>
      <c r="AB362" s="4">
        <v>26</v>
      </c>
      <c r="AC362" s="4">
        <v>17</v>
      </c>
      <c r="AD362" s="4">
        <v>13</v>
      </c>
      <c r="AE362" s="5">
        <v>56</v>
      </c>
      <c r="AF362" s="9">
        <f t="shared" si="5"/>
        <v>1</v>
      </c>
      <c r="AG362" s="5">
        <v>53</v>
      </c>
      <c r="AH362" s="9" cm="1">
        <f t="array" ref="AH362">IF(OR(AI362:AN362=""),"BLANK",IF(AND(AI362:AN362&lt;99),1,IF(AND(AI362:AN362="NA"),3,2)))</f>
        <v>3</v>
      </c>
      <c r="AI362" s="4" t="s">
        <v>7</v>
      </c>
      <c r="AJ362" s="4" t="s">
        <v>7</v>
      </c>
      <c r="AK362" s="4" t="s">
        <v>7</v>
      </c>
      <c r="AL362" s="4" t="s">
        <v>7</v>
      </c>
      <c r="AM362" s="4" t="s">
        <v>7</v>
      </c>
      <c r="AN362" s="5" t="s">
        <v>7</v>
      </c>
    </row>
    <row r="363" spans="1:40" x14ac:dyDescent="0.2">
      <c r="A363" s="39">
        <v>3334</v>
      </c>
      <c r="B363" s="4" t="s">
        <v>58</v>
      </c>
      <c r="C363" s="30" t="s">
        <v>24</v>
      </c>
      <c r="D363" s="30">
        <v>5</v>
      </c>
      <c r="E363" s="30">
        <v>0</v>
      </c>
      <c r="F363" s="4">
        <v>3.6360000000000001</v>
      </c>
      <c r="G363" s="30">
        <v>29</v>
      </c>
      <c r="H363" s="33">
        <v>3.5290896646132786</v>
      </c>
      <c r="I363" s="33">
        <v>4.4681724845995889</v>
      </c>
      <c r="J363" s="33">
        <v>7.9972621492128679</v>
      </c>
      <c r="K363" s="33">
        <v>4.774811772758385</v>
      </c>
      <c r="L363" s="33">
        <v>3.2224503764544834</v>
      </c>
      <c r="M363" s="33">
        <v>7.9972621492128679</v>
      </c>
      <c r="N363" s="33">
        <v>3.5236139630390144</v>
      </c>
      <c r="O363" s="33">
        <v>4.3915126625598901</v>
      </c>
      <c r="P363" s="33">
        <v>7.915126625598905</v>
      </c>
      <c r="Q363" s="33">
        <v>3.3456536618754278</v>
      </c>
      <c r="R363" s="33">
        <v>4.4079397672826834</v>
      </c>
      <c r="S363" s="33">
        <v>7.7535934291581112</v>
      </c>
      <c r="T363" s="34">
        <v>3</v>
      </c>
      <c r="U363" s="34">
        <v>14</v>
      </c>
      <c r="V363" s="4" t="s">
        <v>1</v>
      </c>
      <c r="W363" s="4">
        <v>1</v>
      </c>
      <c r="X363" s="4">
        <v>1</v>
      </c>
      <c r="Y363" s="4">
        <v>1</v>
      </c>
      <c r="Z363" s="56">
        <v>3</v>
      </c>
      <c r="AA363" s="9" cm="1">
        <f t="array" ref="AA363">IF(OR(AB363:AE363=""),"BLANK",IF(AND(AB363:AE363&lt;999),1,IF(AND(AB363:AE363="NA"),3,2)))</f>
        <v>1</v>
      </c>
      <c r="AB363" s="4">
        <v>27</v>
      </c>
      <c r="AC363" s="4">
        <v>14</v>
      </c>
      <c r="AD363" s="4">
        <v>12</v>
      </c>
      <c r="AE363" s="5">
        <v>53</v>
      </c>
      <c r="AF363" s="9">
        <f t="shared" si="5"/>
        <v>1</v>
      </c>
      <c r="AG363" s="5">
        <v>50</v>
      </c>
      <c r="AH363" s="9" cm="1">
        <f t="array" ref="AH363">IF(OR(AI363:AN363=""),"BLANK",IF(AND(AI363:AN363&lt;99),1,IF(AND(AI363:AN363="NA"),3,2)))</f>
        <v>3</v>
      </c>
      <c r="AI363" s="4" t="s">
        <v>7</v>
      </c>
      <c r="AJ363" s="4" t="s">
        <v>7</v>
      </c>
      <c r="AK363" s="4" t="s">
        <v>7</v>
      </c>
      <c r="AL363" s="4" t="s">
        <v>7</v>
      </c>
      <c r="AM363" s="4" t="s">
        <v>7</v>
      </c>
      <c r="AN363" s="5" t="s">
        <v>7</v>
      </c>
    </row>
    <row r="364" spans="1:40" x14ac:dyDescent="0.2">
      <c r="A364" s="39">
        <v>3344</v>
      </c>
      <c r="B364" s="4" t="s">
        <v>59</v>
      </c>
      <c r="C364" s="30" t="s">
        <v>24</v>
      </c>
      <c r="D364" s="30">
        <v>5</v>
      </c>
      <c r="E364" s="30">
        <v>0</v>
      </c>
      <c r="F364" s="4">
        <v>4</v>
      </c>
      <c r="G364" s="30">
        <v>28</v>
      </c>
      <c r="H364" s="33" t="s">
        <v>7</v>
      </c>
      <c r="I364" s="33" t="s">
        <v>7</v>
      </c>
      <c r="J364" s="33" t="s">
        <v>7</v>
      </c>
      <c r="K364" s="33" t="s">
        <v>7</v>
      </c>
      <c r="L364" s="33" t="s">
        <v>7</v>
      </c>
      <c r="M364" s="33" t="s">
        <v>7</v>
      </c>
      <c r="N364" s="33" t="s">
        <v>7</v>
      </c>
      <c r="O364" s="33" t="s">
        <v>7</v>
      </c>
      <c r="P364" s="33" t="s">
        <v>7</v>
      </c>
      <c r="Q364" s="33" t="s">
        <v>7</v>
      </c>
      <c r="R364" s="33" t="s">
        <v>7</v>
      </c>
      <c r="S364" s="33" t="s">
        <v>7</v>
      </c>
      <c r="T364" s="34">
        <v>4</v>
      </c>
      <c r="U364" s="34">
        <v>16</v>
      </c>
      <c r="V364" s="4" t="s">
        <v>1</v>
      </c>
      <c r="W364" s="4">
        <v>1</v>
      </c>
      <c r="X364" s="4">
        <v>1</v>
      </c>
      <c r="Y364" s="4">
        <v>1</v>
      </c>
      <c r="Z364" s="56">
        <v>3</v>
      </c>
      <c r="AA364" s="9" cm="1">
        <f t="array" ref="AA364">IF(OR(AB364:AE364=""),"BLANK",IF(AND(AB364:AE364&lt;999),1,IF(AND(AB364:AE364="NA"),3,2)))</f>
        <v>1</v>
      </c>
      <c r="AB364" s="4">
        <v>21</v>
      </c>
      <c r="AC364" s="4">
        <v>11</v>
      </c>
      <c r="AD364" s="4">
        <v>6</v>
      </c>
      <c r="AE364" s="5">
        <v>38</v>
      </c>
      <c r="AF364" s="9">
        <f t="shared" si="5"/>
        <v>1</v>
      </c>
      <c r="AG364" s="5">
        <v>30</v>
      </c>
      <c r="AH364" s="9" cm="1">
        <f t="array" ref="AH364">IF(OR(AI364:AN364=""),"BLANK",IF(AND(AI364:AN364&lt;99),1,IF(AND(AI364:AN364="NA"),3,2)))</f>
        <v>3</v>
      </c>
      <c r="AI364" s="4" t="s">
        <v>7</v>
      </c>
      <c r="AJ364" s="4" t="s">
        <v>7</v>
      </c>
      <c r="AK364" s="4" t="s">
        <v>7</v>
      </c>
      <c r="AL364" s="4" t="s">
        <v>7</v>
      </c>
      <c r="AM364" s="4" t="s">
        <v>7</v>
      </c>
      <c r="AN364" s="5" t="s">
        <v>7</v>
      </c>
    </row>
    <row r="365" spans="1:40" x14ac:dyDescent="0.2">
      <c r="A365" s="39">
        <v>3350</v>
      </c>
      <c r="B365" s="4" t="s">
        <v>46</v>
      </c>
      <c r="C365" s="30" t="s">
        <v>23</v>
      </c>
      <c r="D365" s="30">
        <v>5</v>
      </c>
      <c r="E365" s="30">
        <v>0</v>
      </c>
      <c r="F365" s="4">
        <v>3.4550000000000001</v>
      </c>
      <c r="G365" s="30">
        <v>29</v>
      </c>
      <c r="H365" s="33" t="s">
        <v>7</v>
      </c>
      <c r="I365" s="33" t="s">
        <v>7</v>
      </c>
      <c r="J365" s="33" t="s">
        <v>7</v>
      </c>
      <c r="K365" s="33" t="s">
        <v>7</v>
      </c>
      <c r="L365" s="33" t="s">
        <v>7</v>
      </c>
      <c r="M365" s="33" t="s">
        <v>7</v>
      </c>
      <c r="N365" s="33" t="s">
        <v>7</v>
      </c>
      <c r="O365" s="33" t="s">
        <v>7</v>
      </c>
      <c r="P365" s="33" t="s">
        <v>7</v>
      </c>
      <c r="Q365" s="33" t="s">
        <v>7</v>
      </c>
      <c r="R365" s="33" t="s">
        <v>7</v>
      </c>
      <c r="S365" s="33" t="s">
        <v>7</v>
      </c>
      <c r="T365" s="34">
        <v>3</v>
      </c>
      <c r="U365" s="34">
        <v>14</v>
      </c>
      <c r="V365" s="4" t="s">
        <v>1</v>
      </c>
      <c r="W365" s="4">
        <v>1</v>
      </c>
      <c r="X365" s="4">
        <v>1</v>
      </c>
      <c r="Y365" s="4">
        <v>1</v>
      </c>
      <c r="Z365" s="56">
        <v>3</v>
      </c>
      <c r="AA365" s="9" cm="1">
        <f t="array" ref="AA365">IF(OR(AB365:AE365=""),"BLANK",IF(AND(AB365:AE365&lt;999),1,IF(AND(AB365:AE365="NA"),3,2)))</f>
        <v>1</v>
      </c>
      <c r="AB365" s="4">
        <v>30</v>
      </c>
      <c r="AC365" s="4">
        <v>18</v>
      </c>
      <c r="AD365" s="4">
        <v>14</v>
      </c>
      <c r="AE365" s="5">
        <v>62</v>
      </c>
      <c r="AF365" s="9">
        <f t="shared" si="5"/>
        <v>1</v>
      </c>
      <c r="AG365" s="5">
        <v>46</v>
      </c>
      <c r="AH365" s="9" cm="1">
        <f t="array" ref="AH365">IF(OR(AI365:AN365=""),"BLANK",IF(AND(AI365:AN365&lt;99),1,IF(AND(AI365:AN365="NA"),3,2)))</f>
        <v>3</v>
      </c>
      <c r="AI365" s="4" t="s">
        <v>7</v>
      </c>
      <c r="AJ365" s="4" t="s">
        <v>7</v>
      </c>
      <c r="AK365" s="4" t="s">
        <v>7</v>
      </c>
      <c r="AL365" s="4" t="s">
        <v>7</v>
      </c>
      <c r="AM365" s="4" t="s">
        <v>7</v>
      </c>
      <c r="AN365" s="5" t="s">
        <v>7</v>
      </c>
    </row>
    <row r="366" spans="1:40" x14ac:dyDescent="0.2">
      <c r="A366" s="39">
        <v>3377</v>
      </c>
      <c r="B366" s="4" t="s">
        <v>48</v>
      </c>
      <c r="C366" s="30" t="s">
        <v>24</v>
      </c>
      <c r="D366" s="30">
        <v>5</v>
      </c>
      <c r="E366" s="30">
        <v>0</v>
      </c>
      <c r="F366" s="4">
        <v>3.5449999999999999</v>
      </c>
      <c r="G366" s="30">
        <v>29</v>
      </c>
      <c r="H366" s="33" t="s">
        <v>7</v>
      </c>
      <c r="I366" s="33" t="s">
        <v>7</v>
      </c>
      <c r="J366" s="33" t="s">
        <v>7</v>
      </c>
      <c r="K366" s="33" t="s">
        <v>7</v>
      </c>
      <c r="L366" s="33" t="s">
        <v>7</v>
      </c>
      <c r="M366" s="33" t="s">
        <v>7</v>
      </c>
      <c r="N366" s="33" t="s">
        <v>7</v>
      </c>
      <c r="O366" s="33" t="s">
        <v>7</v>
      </c>
      <c r="P366" s="33" t="s">
        <v>7</v>
      </c>
      <c r="Q366" s="33" t="s">
        <v>7</v>
      </c>
      <c r="R366" s="33" t="s">
        <v>7</v>
      </c>
      <c r="S366" s="33" t="s">
        <v>7</v>
      </c>
      <c r="T366" s="34">
        <v>4</v>
      </c>
      <c r="U366" s="34">
        <v>16</v>
      </c>
      <c r="V366" s="4" t="s">
        <v>1</v>
      </c>
      <c r="W366" s="4">
        <v>1</v>
      </c>
      <c r="X366" s="4">
        <v>1</v>
      </c>
      <c r="Y366" s="4">
        <v>1</v>
      </c>
      <c r="Z366" s="56">
        <v>3</v>
      </c>
      <c r="AA366" s="9" cm="1">
        <f t="array" ref="AA366">IF(OR(AB366:AE366=""),"BLANK",IF(AND(AB366:AE366&lt;999),1,IF(AND(AB366:AE366="NA"),3,2)))</f>
        <v>1</v>
      </c>
      <c r="AB366" s="4">
        <v>22</v>
      </c>
      <c r="AC366" s="4">
        <v>11</v>
      </c>
      <c r="AD366" s="4">
        <v>12</v>
      </c>
      <c r="AE366" s="5">
        <v>45</v>
      </c>
      <c r="AF366" s="9">
        <f t="shared" si="5"/>
        <v>1</v>
      </c>
      <c r="AG366" s="5">
        <v>27</v>
      </c>
      <c r="AH366" s="9" cm="1">
        <f t="array" ref="AH366">IF(OR(AI366:AN366=""),"BLANK",IF(AND(AI366:AN366&lt;99),1,IF(AND(AI366:AN366="NA"),3,2)))</f>
        <v>3</v>
      </c>
      <c r="AI366" s="4" t="s">
        <v>7</v>
      </c>
      <c r="AJ366" s="4" t="s">
        <v>7</v>
      </c>
      <c r="AK366" s="4" t="s">
        <v>7</v>
      </c>
      <c r="AL366" s="4" t="s">
        <v>7</v>
      </c>
      <c r="AM366" s="4" t="s">
        <v>7</v>
      </c>
      <c r="AN366" s="5" t="s">
        <v>7</v>
      </c>
    </row>
    <row r="367" spans="1:40" x14ac:dyDescent="0.2">
      <c r="A367" s="39">
        <v>3392</v>
      </c>
      <c r="B367" s="4" t="s">
        <v>48</v>
      </c>
      <c r="C367" s="30" t="s">
        <v>24</v>
      </c>
      <c r="D367" s="30">
        <v>5</v>
      </c>
      <c r="E367" s="30">
        <v>0</v>
      </c>
      <c r="F367" s="4">
        <v>3.7269999999999999</v>
      </c>
      <c r="G367" s="30">
        <v>26</v>
      </c>
      <c r="H367" s="33" t="s">
        <v>7</v>
      </c>
      <c r="I367" s="33" t="s">
        <v>7</v>
      </c>
      <c r="J367" s="33" t="s">
        <v>7</v>
      </c>
      <c r="K367" s="33" t="s">
        <v>7</v>
      </c>
      <c r="L367" s="33" t="s">
        <v>7</v>
      </c>
      <c r="M367" s="33" t="s">
        <v>7</v>
      </c>
      <c r="N367" s="33" t="s">
        <v>7</v>
      </c>
      <c r="O367" s="33" t="s">
        <v>7</v>
      </c>
      <c r="P367" s="33" t="s">
        <v>7</v>
      </c>
      <c r="Q367" s="33" t="s">
        <v>7</v>
      </c>
      <c r="R367" s="33" t="s">
        <v>7</v>
      </c>
      <c r="S367" s="33" t="s">
        <v>7</v>
      </c>
      <c r="T367" s="34">
        <v>5</v>
      </c>
      <c r="U367" s="34">
        <v>16</v>
      </c>
      <c r="V367" s="4" t="s">
        <v>1</v>
      </c>
      <c r="W367" s="4">
        <v>1</v>
      </c>
      <c r="X367" s="4">
        <v>1</v>
      </c>
      <c r="Y367" s="4">
        <v>1</v>
      </c>
      <c r="Z367" s="56">
        <v>3</v>
      </c>
      <c r="AA367" s="9" cm="1">
        <f t="array" ref="AA367">IF(OR(AB367:AE367=""),"BLANK",IF(AND(AB367:AE367&lt;999),1,IF(AND(AB367:AE367="NA"),3,2)))</f>
        <v>1</v>
      </c>
      <c r="AB367" s="4">
        <v>24</v>
      </c>
      <c r="AC367" s="4">
        <v>15</v>
      </c>
      <c r="AD367" s="4">
        <v>10</v>
      </c>
      <c r="AE367" s="5">
        <v>49</v>
      </c>
      <c r="AF367" s="9">
        <f t="shared" si="5"/>
        <v>1</v>
      </c>
      <c r="AG367" s="5">
        <v>46</v>
      </c>
      <c r="AH367" s="9" cm="1">
        <f t="array" ref="AH367">IF(OR(AI367:AN367=""),"BLANK",IF(AND(AI367:AN367&lt;99),1,IF(AND(AI367:AN367="NA"),3,2)))</f>
        <v>3</v>
      </c>
      <c r="AI367" s="4" t="s">
        <v>7</v>
      </c>
      <c r="AJ367" s="4" t="s">
        <v>7</v>
      </c>
      <c r="AK367" s="4" t="s">
        <v>7</v>
      </c>
      <c r="AL367" s="4" t="s">
        <v>7</v>
      </c>
      <c r="AM367" s="4" t="s">
        <v>7</v>
      </c>
      <c r="AN367" s="5" t="s">
        <v>7</v>
      </c>
    </row>
    <row r="368" spans="1:40" x14ac:dyDescent="0.2">
      <c r="A368" s="39">
        <v>3406</v>
      </c>
      <c r="B368" s="4" t="s">
        <v>50</v>
      </c>
      <c r="C368" s="30" t="s">
        <v>23</v>
      </c>
      <c r="D368" s="30">
        <v>2</v>
      </c>
      <c r="E368" s="30">
        <v>0</v>
      </c>
      <c r="F368" s="4">
        <v>4</v>
      </c>
      <c r="G368" s="30">
        <v>29</v>
      </c>
      <c r="H368" s="33" t="s">
        <v>7</v>
      </c>
      <c r="I368" s="33" t="s">
        <v>7</v>
      </c>
      <c r="J368" s="33" t="s">
        <v>7</v>
      </c>
      <c r="K368" s="33" t="s">
        <v>7</v>
      </c>
      <c r="L368" s="33" t="s">
        <v>7</v>
      </c>
      <c r="M368" s="33" t="s">
        <v>7</v>
      </c>
      <c r="N368" s="33" t="s">
        <v>7</v>
      </c>
      <c r="O368" s="33" t="s">
        <v>7</v>
      </c>
      <c r="P368" s="33" t="s">
        <v>7</v>
      </c>
      <c r="Q368" s="33" t="s">
        <v>7</v>
      </c>
      <c r="R368" s="33" t="s">
        <v>7</v>
      </c>
      <c r="S368" s="33" t="s">
        <v>7</v>
      </c>
      <c r="T368" s="34">
        <v>3</v>
      </c>
      <c r="U368" s="34">
        <v>12</v>
      </c>
      <c r="V368" s="4" t="s">
        <v>1</v>
      </c>
      <c r="W368" s="4">
        <v>1</v>
      </c>
      <c r="X368" s="4">
        <v>1</v>
      </c>
      <c r="Y368" s="4">
        <v>1</v>
      </c>
      <c r="Z368" s="56">
        <v>3</v>
      </c>
      <c r="AA368" s="9" cm="1">
        <f t="array" ref="AA368">IF(OR(AB368:AE368=""),"BLANK",IF(AND(AB368:AE368&lt;999),1,IF(AND(AB368:AE368="NA"),3,2)))</f>
        <v>1</v>
      </c>
      <c r="AB368" s="4">
        <v>32</v>
      </c>
      <c r="AC368" s="4">
        <v>19</v>
      </c>
      <c r="AD368" s="4">
        <v>16</v>
      </c>
      <c r="AE368" s="5">
        <v>67</v>
      </c>
      <c r="AF368" s="9">
        <f t="shared" si="5"/>
        <v>1</v>
      </c>
      <c r="AG368" s="5">
        <v>52</v>
      </c>
      <c r="AH368" s="9" cm="1">
        <f t="array" ref="AH368">IF(OR(AI368:AN368=""),"BLANK",IF(AND(AI368:AN368&lt;99),1,IF(AND(AI368:AN368="NA"),3,2)))</f>
        <v>3</v>
      </c>
      <c r="AI368" s="4" t="s">
        <v>7</v>
      </c>
      <c r="AJ368" s="4" t="s">
        <v>7</v>
      </c>
      <c r="AK368" s="4" t="s">
        <v>7</v>
      </c>
      <c r="AL368" s="4" t="s">
        <v>7</v>
      </c>
      <c r="AM368" s="4" t="s">
        <v>7</v>
      </c>
      <c r="AN368" s="5" t="s">
        <v>7</v>
      </c>
    </row>
    <row r="369" spans="1:40" x14ac:dyDescent="0.2">
      <c r="A369" s="39">
        <v>3446</v>
      </c>
      <c r="B369" s="4" t="s">
        <v>50</v>
      </c>
      <c r="C369" s="30" t="s">
        <v>23</v>
      </c>
      <c r="D369" s="30">
        <v>5</v>
      </c>
      <c r="E369" s="30">
        <v>0</v>
      </c>
      <c r="F369" s="4">
        <v>4</v>
      </c>
      <c r="G369" s="30">
        <v>27</v>
      </c>
      <c r="H369" s="33" t="s">
        <v>7</v>
      </c>
      <c r="I369" s="33" t="s">
        <v>7</v>
      </c>
      <c r="J369" s="33" t="s">
        <v>7</v>
      </c>
      <c r="K369" s="33" t="s">
        <v>7</v>
      </c>
      <c r="L369" s="33" t="s">
        <v>7</v>
      </c>
      <c r="M369" s="33" t="s">
        <v>7</v>
      </c>
      <c r="N369" s="33" t="s">
        <v>7</v>
      </c>
      <c r="O369" s="33" t="s">
        <v>7</v>
      </c>
      <c r="P369" s="33" t="s">
        <v>7</v>
      </c>
      <c r="Q369" s="33" t="s">
        <v>7</v>
      </c>
      <c r="R369" s="33" t="s">
        <v>7</v>
      </c>
      <c r="S369" s="33" t="s">
        <v>7</v>
      </c>
      <c r="T369" s="34">
        <v>4</v>
      </c>
      <c r="U369" s="34">
        <v>16</v>
      </c>
      <c r="V369" s="4" t="s">
        <v>1</v>
      </c>
      <c r="W369" s="4">
        <v>1</v>
      </c>
      <c r="X369" s="4">
        <v>1</v>
      </c>
      <c r="Y369" s="4">
        <v>1</v>
      </c>
      <c r="Z369" s="56">
        <v>3</v>
      </c>
      <c r="AA369" s="9" cm="1">
        <f t="array" ref="AA369">IF(OR(AB369:AE369=""),"BLANK",IF(AND(AB369:AE369&lt;999),1,IF(AND(AB369:AE369="NA"),3,2)))</f>
        <v>1</v>
      </c>
      <c r="AB369" s="4">
        <v>35</v>
      </c>
      <c r="AC369" s="4">
        <v>20</v>
      </c>
      <c r="AD369" s="4">
        <v>14</v>
      </c>
      <c r="AE369" s="5">
        <v>69</v>
      </c>
      <c r="AF369" s="9">
        <f t="shared" si="5"/>
        <v>1</v>
      </c>
      <c r="AG369" s="5">
        <v>62</v>
      </c>
      <c r="AH369" s="9" cm="1">
        <f t="array" ref="AH369">IF(OR(AI369:AN369=""),"BLANK",IF(AND(AI369:AN369&lt;99),1,IF(AND(AI369:AN369="NA"),3,2)))</f>
        <v>3</v>
      </c>
      <c r="AI369" s="4" t="s">
        <v>7</v>
      </c>
      <c r="AJ369" s="4" t="s">
        <v>7</v>
      </c>
      <c r="AK369" s="4" t="s">
        <v>7</v>
      </c>
      <c r="AL369" s="4" t="s">
        <v>7</v>
      </c>
      <c r="AM369" s="4" t="s">
        <v>7</v>
      </c>
      <c r="AN369" s="5" t="s">
        <v>7</v>
      </c>
    </row>
    <row r="370" spans="1:40" x14ac:dyDescent="0.2">
      <c r="A370" s="39">
        <v>3457</v>
      </c>
      <c r="B370" s="4" t="s">
        <v>66</v>
      </c>
      <c r="C370" s="30" t="s">
        <v>23</v>
      </c>
      <c r="D370" s="30">
        <v>5</v>
      </c>
      <c r="E370" s="30">
        <v>0</v>
      </c>
      <c r="F370" s="4">
        <v>4</v>
      </c>
      <c r="G370" s="30">
        <v>28</v>
      </c>
      <c r="H370" s="33">
        <v>4.0027378507871321</v>
      </c>
      <c r="I370" s="33">
        <v>3.2525667351129361</v>
      </c>
      <c r="J370" s="33">
        <v>7.2553045859000687</v>
      </c>
      <c r="K370" s="33">
        <v>4.0027378507871321</v>
      </c>
      <c r="L370" s="33">
        <v>3.2525667351129361</v>
      </c>
      <c r="M370" s="33">
        <v>7.2553045859000687</v>
      </c>
      <c r="N370" s="33">
        <v>4.043805612594114</v>
      </c>
      <c r="O370" s="33">
        <v>3.247091033538672</v>
      </c>
      <c r="P370" s="33">
        <v>7.2908966461327855</v>
      </c>
      <c r="Q370" s="33">
        <v>3.9863107460643397</v>
      </c>
      <c r="R370" s="33">
        <v>3.4305270362765228</v>
      </c>
      <c r="S370" s="33">
        <v>7.4168377823408624</v>
      </c>
      <c r="T370" s="34">
        <v>2</v>
      </c>
      <c r="U370" s="34">
        <v>12</v>
      </c>
      <c r="V370" s="4" t="s">
        <v>1</v>
      </c>
      <c r="W370" s="4">
        <v>1</v>
      </c>
      <c r="X370" s="4">
        <v>1</v>
      </c>
      <c r="Y370" s="4">
        <v>1</v>
      </c>
      <c r="Z370" s="56">
        <v>3</v>
      </c>
      <c r="AA370" s="9" cm="1">
        <f t="array" ref="AA370">IF(OR(AB370:AE370=""),"BLANK",IF(AND(AB370:AE370&lt;999),1,IF(AND(AB370:AE370="NA"),3,2)))</f>
        <v>1</v>
      </c>
      <c r="AB370" s="4">
        <v>27</v>
      </c>
      <c r="AC370" s="4">
        <v>16</v>
      </c>
      <c r="AD370" s="4">
        <v>10</v>
      </c>
      <c r="AE370" s="5">
        <v>53</v>
      </c>
      <c r="AF370" s="9">
        <f t="shared" si="5"/>
        <v>1</v>
      </c>
      <c r="AG370" s="5">
        <v>51</v>
      </c>
      <c r="AH370" s="9" cm="1">
        <f t="array" ref="AH370">IF(OR(AI370:AN370=""),"BLANK",IF(AND(AI370:AN370&lt;99),1,IF(AND(AI370:AN370="NA"),3,2)))</f>
        <v>3</v>
      </c>
      <c r="AI370" s="4" t="s">
        <v>7</v>
      </c>
      <c r="AJ370" s="4" t="s">
        <v>7</v>
      </c>
      <c r="AK370" s="4" t="s">
        <v>7</v>
      </c>
      <c r="AL370" s="4" t="s">
        <v>7</v>
      </c>
      <c r="AM370" s="4" t="s">
        <v>7</v>
      </c>
      <c r="AN370" s="5" t="s">
        <v>7</v>
      </c>
    </row>
    <row r="371" spans="1:40" x14ac:dyDescent="0.2">
      <c r="A371" s="39">
        <v>3462</v>
      </c>
      <c r="B371" s="4" t="s">
        <v>46</v>
      </c>
      <c r="C371" s="30" t="s">
        <v>24</v>
      </c>
      <c r="D371" s="30">
        <v>2</v>
      </c>
      <c r="E371" s="30">
        <v>0</v>
      </c>
      <c r="F371" s="4" t="s">
        <v>7</v>
      </c>
      <c r="G371" s="30">
        <v>29</v>
      </c>
      <c r="H371" s="33" t="s">
        <v>7</v>
      </c>
      <c r="I371" s="33" t="s">
        <v>7</v>
      </c>
      <c r="J371" s="33" t="s">
        <v>7</v>
      </c>
      <c r="K371" s="33" t="s">
        <v>7</v>
      </c>
      <c r="L371" s="33" t="s">
        <v>7</v>
      </c>
      <c r="M371" s="33" t="s">
        <v>7</v>
      </c>
      <c r="N371" s="33" t="s">
        <v>7</v>
      </c>
      <c r="O371" s="33" t="s">
        <v>7</v>
      </c>
      <c r="P371" s="33" t="s">
        <v>7</v>
      </c>
      <c r="Q371" s="33" t="s">
        <v>7</v>
      </c>
      <c r="R371" s="33" t="s">
        <v>7</v>
      </c>
      <c r="S371" s="33" t="s">
        <v>7</v>
      </c>
      <c r="T371" s="34">
        <v>3</v>
      </c>
      <c r="U371" s="34">
        <v>13</v>
      </c>
      <c r="V371" s="4" t="s">
        <v>1</v>
      </c>
      <c r="W371" s="4">
        <v>1</v>
      </c>
      <c r="X371" s="4">
        <v>1</v>
      </c>
      <c r="Y371" s="4">
        <v>1</v>
      </c>
      <c r="Z371" s="56">
        <v>3</v>
      </c>
      <c r="AA371" s="9" cm="1">
        <f t="array" ref="AA371">IF(OR(AB371:AE371=""),"BLANK",IF(AND(AB371:AE371&lt;999),1,IF(AND(AB371:AE371="NA"),3,2)))</f>
        <v>1</v>
      </c>
      <c r="AB371" s="4">
        <v>22</v>
      </c>
      <c r="AC371" s="4">
        <v>12</v>
      </c>
      <c r="AD371" s="4">
        <v>10</v>
      </c>
      <c r="AE371" s="5">
        <v>44</v>
      </c>
      <c r="AF371" s="9">
        <f t="shared" si="5"/>
        <v>3</v>
      </c>
      <c r="AG371" s="5" t="s">
        <v>7</v>
      </c>
      <c r="AH371" s="9" cm="1">
        <f t="array" ref="AH371">IF(OR(AI371:AN371=""),"BLANK",IF(AND(AI371:AN371&lt;99),1,IF(AND(AI371:AN371="NA"),3,2)))</f>
        <v>3</v>
      </c>
      <c r="AI371" s="4" t="s">
        <v>7</v>
      </c>
      <c r="AJ371" s="4" t="s">
        <v>7</v>
      </c>
      <c r="AK371" s="4" t="s">
        <v>7</v>
      </c>
      <c r="AL371" s="4" t="s">
        <v>7</v>
      </c>
      <c r="AM371" s="4" t="s">
        <v>7</v>
      </c>
      <c r="AN371" s="5" t="s">
        <v>7</v>
      </c>
    </row>
    <row r="372" spans="1:40" x14ac:dyDescent="0.2">
      <c r="A372" s="39">
        <v>3531</v>
      </c>
      <c r="B372" s="4" t="s">
        <v>46</v>
      </c>
      <c r="C372" s="30" t="s">
        <v>23</v>
      </c>
      <c r="D372" s="30">
        <v>2</v>
      </c>
      <c r="E372" s="30">
        <v>0</v>
      </c>
      <c r="F372" s="4">
        <v>4</v>
      </c>
      <c r="G372" s="30">
        <v>27</v>
      </c>
      <c r="H372" s="33">
        <v>3.5236139630390144</v>
      </c>
      <c r="I372" s="33">
        <v>3.6139630390143735</v>
      </c>
      <c r="J372" s="33">
        <v>7.137577002053388</v>
      </c>
      <c r="K372" s="33">
        <v>3.5236139630390144</v>
      </c>
      <c r="L372" s="33">
        <v>3.6139630390143735</v>
      </c>
      <c r="M372" s="33">
        <v>7.137577002053388</v>
      </c>
      <c r="N372" s="33">
        <v>3.485284052019165</v>
      </c>
      <c r="O372" s="33">
        <v>3.5263518138261465</v>
      </c>
      <c r="P372" s="33">
        <v>7.0116358658453111</v>
      </c>
      <c r="Q372" s="33">
        <v>3.6714579055441479</v>
      </c>
      <c r="R372" s="33">
        <v>3.4140999315537304</v>
      </c>
      <c r="S372" s="33">
        <v>7.0855578370978778</v>
      </c>
      <c r="T372" s="34">
        <v>3</v>
      </c>
      <c r="U372" s="34">
        <v>15</v>
      </c>
      <c r="V372" s="4" t="s">
        <v>1</v>
      </c>
      <c r="W372" s="4">
        <v>1</v>
      </c>
      <c r="X372" s="4">
        <v>1</v>
      </c>
      <c r="Y372" s="4">
        <v>1</v>
      </c>
      <c r="Z372" s="56">
        <v>3</v>
      </c>
      <c r="AA372" s="9" cm="1">
        <f t="array" ref="AA372">IF(OR(AB372:AE372=""),"BLANK",IF(AND(AB372:AE372&lt;999),1,IF(AND(AB372:AE372="NA"),3,2)))</f>
        <v>1</v>
      </c>
      <c r="AB372" s="4">
        <v>32</v>
      </c>
      <c r="AC372" s="4">
        <v>20</v>
      </c>
      <c r="AD372" s="4">
        <v>15</v>
      </c>
      <c r="AE372" s="5">
        <v>67</v>
      </c>
      <c r="AF372" s="9">
        <f t="shared" si="5"/>
        <v>1</v>
      </c>
      <c r="AG372" s="5">
        <v>50</v>
      </c>
      <c r="AH372" s="9" cm="1">
        <f t="array" ref="AH372">IF(OR(AI372:AN372=""),"BLANK",IF(AND(AI372:AN372&lt;99),1,IF(AND(AI372:AN372="NA"),3,2)))</f>
        <v>3</v>
      </c>
      <c r="AI372" s="4" t="s">
        <v>7</v>
      </c>
      <c r="AJ372" s="4" t="s">
        <v>7</v>
      </c>
      <c r="AK372" s="4" t="s">
        <v>7</v>
      </c>
      <c r="AL372" s="4" t="s">
        <v>7</v>
      </c>
      <c r="AM372" s="4" t="s">
        <v>7</v>
      </c>
      <c r="AN372" s="5" t="s">
        <v>7</v>
      </c>
    </row>
    <row r="373" spans="1:40" x14ac:dyDescent="0.2">
      <c r="A373" s="39">
        <v>3535</v>
      </c>
      <c r="B373" s="4" t="s">
        <v>58</v>
      </c>
      <c r="C373" s="30" t="s">
        <v>24</v>
      </c>
      <c r="D373" s="30">
        <v>2</v>
      </c>
      <c r="E373" s="30">
        <v>0</v>
      </c>
      <c r="F373" s="4">
        <v>3</v>
      </c>
      <c r="G373" s="30">
        <v>27</v>
      </c>
      <c r="H373" s="33">
        <v>3.4989733059548254</v>
      </c>
      <c r="I373" s="33" t="s">
        <v>7</v>
      </c>
      <c r="J373" s="33" t="s">
        <v>7</v>
      </c>
      <c r="K373" s="33">
        <v>3.4989733059548254</v>
      </c>
      <c r="L373" s="33" t="s">
        <v>7</v>
      </c>
      <c r="M373" s="33" t="s">
        <v>7</v>
      </c>
      <c r="N373" s="33">
        <v>3.5208761122518824</v>
      </c>
      <c r="O373" s="33" t="s">
        <v>7</v>
      </c>
      <c r="P373" s="33" t="s">
        <v>7</v>
      </c>
      <c r="Q373" s="33">
        <v>4.0054757015742641</v>
      </c>
      <c r="R373" s="33" t="s">
        <v>7</v>
      </c>
      <c r="S373" s="33" t="s">
        <v>7</v>
      </c>
      <c r="T373" s="34">
        <v>3</v>
      </c>
      <c r="U373" s="34">
        <v>14</v>
      </c>
      <c r="V373" s="4" t="s">
        <v>1</v>
      </c>
      <c r="W373" s="4">
        <v>1</v>
      </c>
      <c r="X373" s="4">
        <v>1</v>
      </c>
      <c r="Y373" s="4">
        <v>1</v>
      </c>
      <c r="Z373" s="56">
        <v>3</v>
      </c>
      <c r="AA373" s="9" cm="1">
        <f t="array" ref="AA373">IF(OR(AB373:AE373=""),"BLANK",IF(AND(AB373:AE373&lt;999),1,IF(AND(AB373:AE373="NA"),3,2)))</f>
        <v>1</v>
      </c>
      <c r="AB373" s="4">
        <v>25</v>
      </c>
      <c r="AC373" s="4">
        <v>15</v>
      </c>
      <c r="AD373" s="4">
        <v>12</v>
      </c>
      <c r="AE373" s="5">
        <v>52</v>
      </c>
      <c r="AF373" s="9">
        <f t="shared" si="5"/>
        <v>1</v>
      </c>
      <c r="AG373" s="5">
        <v>35</v>
      </c>
      <c r="AH373" s="9" cm="1">
        <f t="array" ref="AH373">IF(OR(AI373:AN373=""),"BLANK",IF(AND(AI373:AN373&lt;99),1,IF(AND(AI373:AN373="NA"),3,2)))</f>
        <v>3</v>
      </c>
      <c r="AI373" s="4" t="s">
        <v>7</v>
      </c>
      <c r="AJ373" s="4" t="s">
        <v>7</v>
      </c>
      <c r="AK373" s="4" t="s">
        <v>7</v>
      </c>
      <c r="AL373" s="4" t="s">
        <v>7</v>
      </c>
      <c r="AM373" s="4" t="s">
        <v>7</v>
      </c>
      <c r="AN373" s="5" t="s">
        <v>7</v>
      </c>
    </row>
    <row r="374" spans="1:40" x14ac:dyDescent="0.2">
      <c r="A374" s="39">
        <v>3537</v>
      </c>
      <c r="B374" s="4" t="s">
        <v>54</v>
      </c>
      <c r="C374" s="30" t="s">
        <v>23</v>
      </c>
      <c r="D374" s="30">
        <v>5</v>
      </c>
      <c r="E374" s="30">
        <v>0</v>
      </c>
      <c r="F374" s="4">
        <v>3.3639999999999999</v>
      </c>
      <c r="G374" s="30">
        <v>29</v>
      </c>
      <c r="H374" s="33">
        <v>3.4277891854893907</v>
      </c>
      <c r="I374" s="33">
        <v>4.1587953456536617</v>
      </c>
      <c r="J374" s="33">
        <v>7.5865845311430524</v>
      </c>
      <c r="K374" s="33">
        <v>3.4277891854893907</v>
      </c>
      <c r="L374" s="33">
        <v>4.5037645448323067</v>
      </c>
      <c r="M374" s="33">
        <v>7.9315537303216974</v>
      </c>
      <c r="N374" s="33" t="s">
        <v>7</v>
      </c>
      <c r="O374" s="33" t="s">
        <v>7</v>
      </c>
      <c r="P374" s="33">
        <v>7.5646817248459959</v>
      </c>
      <c r="Q374" s="33" t="s">
        <v>7</v>
      </c>
      <c r="R374" s="33" t="s">
        <v>7</v>
      </c>
      <c r="S374" s="33">
        <v>7.8001368925393564</v>
      </c>
      <c r="T374" s="34">
        <v>3</v>
      </c>
      <c r="U374" s="34">
        <v>15</v>
      </c>
      <c r="V374" s="4" t="s">
        <v>1</v>
      </c>
      <c r="W374" s="4">
        <v>1</v>
      </c>
      <c r="X374" s="4">
        <v>1</v>
      </c>
      <c r="Y374" s="4">
        <v>1</v>
      </c>
      <c r="Z374" s="56">
        <v>3</v>
      </c>
      <c r="AA374" s="9" cm="1">
        <f t="array" ref="AA374">IF(OR(AB374:AE374=""),"BLANK",IF(AND(AB374:AE374&lt;999),1,IF(AND(AB374:AE374="NA"),3,2)))</f>
        <v>1</v>
      </c>
      <c r="AB374" s="4">
        <v>32</v>
      </c>
      <c r="AC374" s="4">
        <v>22</v>
      </c>
      <c r="AD374" s="4">
        <v>13</v>
      </c>
      <c r="AE374" s="5">
        <v>67</v>
      </c>
      <c r="AF374" s="9">
        <f t="shared" si="5"/>
        <v>1</v>
      </c>
      <c r="AG374" s="5">
        <v>54</v>
      </c>
      <c r="AH374" s="9" cm="1">
        <f t="array" ref="AH374">IF(OR(AI374:AN374=""),"BLANK",IF(AND(AI374:AN374&lt;99),1,IF(AND(AI374:AN374="NA"),3,2)))</f>
        <v>3</v>
      </c>
      <c r="AI374" s="4" t="s">
        <v>7</v>
      </c>
      <c r="AJ374" s="4" t="s">
        <v>7</v>
      </c>
      <c r="AK374" s="4" t="s">
        <v>7</v>
      </c>
      <c r="AL374" s="4" t="s">
        <v>7</v>
      </c>
      <c r="AM374" s="4" t="s">
        <v>7</v>
      </c>
      <c r="AN374" s="5" t="s">
        <v>7</v>
      </c>
    </row>
    <row r="375" spans="1:40" x14ac:dyDescent="0.2">
      <c r="A375" s="39">
        <v>3567</v>
      </c>
      <c r="B375" s="4" t="s">
        <v>59</v>
      </c>
      <c r="C375" s="30" t="s">
        <v>24</v>
      </c>
      <c r="D375" s="30">
        <v>5</v>
      </c>
      <c r="E375" s="30">
        <v>0</v>
      </c>
      <c r="F375" s="4">
        <v>3.7269999999999999</v>
      </c>
      <c r="G375" s="30">
        <v>28</v>
      </c>
      <c r="H375" s="33">
        <v>3.5482546201232035</v>
      </c>
      <c r="I375" s="33">
        <v>3.9069130732375084</v>
      </c>
      <c r="J375" s="33">
        <v>7.4551676933607123</v>
      </c>
      <c r="K375" s="33">
        <v>3.5482546201232035</v>
      </c>
      <c r="L375" s="33">
        <v>3.9069130732375084</v>
      </c>
      <c r="M375" s="33">
        <v>7.4551676933607123</v>
      </c>
      <c r="N375" s="33">
        <v>3.5646817248459959</v>
      </c>
      <c r="O375" s="33">
        <v>3.8986995208761122</v>
      </c>
      <c r="P375" s="33">
        <v>7.4633812457221085</v>
      </c>
      <c r="Q375" s="33">
        <v>4.0410677618069819</v>
      </c>
      <c r="R375" s="33">
        <v>3.5455167693360714</v>
      </c>
      <c r="S375" s="33">
        <v>7.5865845311430524</v>
      </c>
      <c r="T375" s="34">
        <v>4</v>
      </c>
      <c r="U375" s="34">
        <v>16</v>
      </c>
      <c r="V375" s="4" t="s">
        <v>1</v>
      </c>
      <c r="W375" s="4">
        <v>1</v>
      </c>
      <c r="X375" s="4">
        <v>1</v>
      </c>
      <c r="Y375" s="4">
        <v>1</v>
      </c>
      <c r="Z375" s="56">
        <v>3</v>
      </c>
      <c r="AA375" s="9" cm="1">
        <f t="array" ref="AA375">IF(OR(AB375:AE375=""),"BLANK",IF(AND(AB375:AE375&lt;999),1,IF(AND(AB375:AE375="NA"),3,2)))</f>
        <v>1</v>
      </c>
      <c r="AB375" s="4">
        <v>37</v>
      </c>
      <c r="AC375" s="4">
        <v>15</v>
      </c>
      <c r="AD375" s="4">
        <v>13</v>
      </c>
      <c r="AE375" s="5">
        <v>65</v>
      </c>
      <c r="AF375" s="9">
        <f t="shared" si="5"/>
        <v>1</v>
      </c>
      <c r="AG375" s="5">
        <v>64</v>
      </c>
      <c r="AH375" s="9" cm="1">
        <f t="array" ref="AH375">IF(OR(AI375:AN375=""),"BLANK",IF(AND(AI375:AN375&lt;99),1,IF(AND(AI375:AN375="NA"),3,2)))</f>
        <v>3</v>
      </c>
      <c r="AI375" s="4" t="s">
        <v>7</v>
      </c>
      <c r="AJ375" s="4" t="s">
        <v>7</v>
      </c>
      <c r="AK375" s="4" t="s">
        <v>7</v>
      </c>
      <c r="AL375" s="4" t="s">
        <v>7</v>
      </c>
      <c r="AM375" s="4" t="s">
        <v>7</v>
      </c>
      <c r="AN375" s="5" t="s">
        <v>7</v>
      </c>
    </row>
    <row r="376" spans="1:40" x14ac:dyDescent="0.2">
      <c r="A376" s="39">
        <v>3571</v>
      </c>
      <c r="B376" s="4" t="s">
        <v>50</v>
      </c>
      <c r="C376" s="30" t="s">
        <v>24</v>
      </c>
      <c r="D376" s="30">
        <v>5</v>
      </c>
      <c r="E376" s="30">
        <v>0</v>
      </c>
      <c r="F376" s="4">
        <v>4</v>
      </c>
      <c r="G376" s="30">
        <v>30</v>
      </c>
      <c r="H376" s="33">
        <v>3.4962354551676933</v>
      </c>
      <c r="I376" s="33">
        <v>4.0191649555099245</v>
      </c>
      <c r="J376" s="33">
        <v>7.5154004106776178</v>
      </c>
      <c r="K376" s="33">
        <v>3.893223819301848</v>
      </c>
      <c r="L376" s="33">
        <v>3.6221765913757702</v>
      </c>
      <c r="M376" s="33">
        <v>7.5154004106776178</v>
      </c>
      <c r="N376" s="33">
        <v>3.5592060232717317</v>
      </c>
      <c r="O376" s="33">
        <v>3.9123887748117729</v>
      </c>
      <c r="P376" s="33">
        <v>7.4715947980835047</v>
      </c>
      <c r="Q376" s="33">
        <v>3.7973990417522243</v>
      </c>
      <c r="R376" s="33" t="s">
        <v>7</v>
      </c>
      <c r="S376" s="33" t="s">
        <v>7</v>
      </c>
      <c r="T376" s="34">
        <v>4</v>
      </c>
      <c r="U376" s="34">
        <v>16</v>
      </c>
      <c r="V376" s="4" t="s">
        <v>1</v>
      </c>
      <c r="W376" s="4">
        <v>1</v>
      </c>
      <c r="X376" s="4">
        <v>1</v>
      </c>
      <c r="Y376" s="4">
        <v>1</v>
      </c>
      <c r="Z376" s="56">
        <v>3</v>
      </c>
      <c r="AA376" s="9" cm="1">
        <f t="array" ref="AA376">IF(OR(AB376:AE376=""),"BLANK",IF(AND(AB376:AE376&lt;999),1,IF(AND(AB376:AE376="NA"),3,2)))</f>
        <v>1</v>
      </c>
      <c r="AB376" s="4">
        <v>32</v>
      </c>
      <c r="AC376" s="4">
        <v>22</v>
      </c>
      <c r="AD376" s="4">
        <v>17</v>
      </c>
      <c r="AE376" s="5">
        <v>71</v>
      </c>
      <c r="AF376" s="9">
        <f t="shared" si="5"/>
        <v>1</v>
      </c>
      <c r="AG376" s="5">
        <v>67</v>
      </c>
      <c r="AH376" s="9" cm="1">
        <f t="array" ref="AH376">IF(OR(AI376:AN376=""),"BLANK",IF(AND(AI376:AN376&lt;99),1,IF(AND(AI376:AN376="NA"),3,2)))</f>
        <v>3</v>
      </c>
      <c r="AI376" s="4" t="s">
        <v>7</v>
      </c>
      <c r="AJ376" s="4" t="s">
        <v>7</v>
      </c>
      <c r="AK376" s="4" t="s">
        <v>7</v>
      </c>
      <c r="AL376" s="4" t="s">
        <v>7</v>
      </c>
      <c r="AM376" s="4" t="s">
        <v>7</v>
      </c>
      <c r="AN376" s="5" t="s">
        <v>7</v>
      </c>
    </row>
    <row r="377" spans="1:40" x14ac:dyDescent="0.2">
      <c r="A377" s="39">
        <v>3592</v>
      </c>
      <c r="B377" s="4" t="s">
        <v>46</v>
      </c>
      <c r="C377" s="30" t="s">
        <v>24</v>
      </c>
      <c r="D377" s="30">
        <v>5</v>
      </c>
      <c r="E377" s="30">
        <v>0</v>
      </c>
      <c r="F377" s="4">
        <v>3.0910000000000002</v>
      </c>
      <c r="G377" s="30">
        <v>30</v>
      </c>
      <c r="H377" s="33">
        <v>3.4469541409993156</v>
      </c>
      <c r="I377" s="33">
        <v>4.1095140314852845</v>
      </c>
      <c r="J377" s="33">
        <v>7.5564681724845997</v>
      </c>
      <c r="K377" s="33">
        <v>3.4469541409993156</v>
      </c>
      <c r="L377" s="33">
        <v>4.1095140314852845</v>
      </c>
      <c r="M377" s="33">
        <v>7.5564681724845997</v>
      </c>
      <c r="N377" s="33">
        <v>3.4387405886379194</v>
      </c>
      <c r="O377" s="33">
        <v>4.1615331964407938</v>
      </c>
      <c r="P377" s="33">
        <v>7.6002737850787137</v>
      </c>
      <c r="Q377" s="33">
        <v>4.0657084188911705</v>
      </c>
      <c r="R377" s="33">
        <v>3.6632443531827517</v>
      </c>
      <c r="S377" s="33">
        <v>7.7289527720739217</v>
      </c>
      <c r="T377" s="34">
        <v>3</v>
      </c>
      <c r="U377" s="34">
        <v>14</v>
      </c>
      <c r="V377" s="4" t="s">
        <v>1</v>
      </c>
      <c r="W377" s="4">
        <v>1</v>
      </c>
      <c r="X377" s="4">
        <v>1</v>
      </c>
      <c r="Y377" s="4">
        <v>1</v>
      </c>
      <c r="Z377" s="56">
        <v>3</v>
      </c>
      <c r="AA377" s="9" cm="1">
        <f t="array" ref="AA377">IF(OR(AB377:AE377=""),"BLANK",IF(AND(AB377:AE377&lt;999),1,IF(AND(AB377:AE377="NA"),3,2)))</f>
        <v>1</v>
      </c>
      <c r="AB377" s="4">
        <v>38</v>
      </c>
      <c r="AC377" s="4">
        <v>28</v>
      </c>
      <c r="AD377" s="4">
        <v>21</v>
      </c>
      <c r="AE377" s="5">
        <v>87</v>
      </c>
      <c r="AF377" s="9">
        <f t="shared" si="5"/>
        <v>1</v>
      </c>
      <c r="AG377" s="5">
        <v>64</v>
      </c>
      <c r="AH377" s="9" cm="1">
        <f t="array" ref="AH377">IF(OR(AI377:AN377=""),"BLANK",IF(AND(AI377:AN377&lt;99),1,IF(AND(AI377:AN377="NA"),3,2)))</f>
        <v>3</v>
      </c>
      <c r="AI377" s="4" t="s">
        <v>7</v>
      </c>
      <c r="AJ377" s="4" t="s">
        <v>7</v>
      </c>
      <c r="AK377" s="4" t="s">
        <v>7</v>
      </c>
      <c r="AL377" s="4" t="s">
        <v>7</v>
      </c>
      <c r="AM377" s="4" t="s">
        <v>7</v>
      </c>
      <c r="AN377" s="5" t="s">
        <v>7</v>
      </c>
    </row>
    <row r="378" spans="1:40" x14ac:dyDescent="0.2">
      <c r="A378" s="39">
        <v>3608</v>
      </c>
      <c r="B378" s="4" t="s">
        <v>48</v>
      </c>
      <c r="C378" s="30" t="s">
        <v>24</v>
      </c>
      <c r="D378" s="30">
        <v>5</v>
      </c>
      <c r="E378" s="30">
        <v>0</v>
      </c>
      <c r="F378" s="4">
        <v>3.4550000000000001</v>
      </c>
      <c r="G378" s="30">
        <v>29</v>
      </c>
      <c r="H378" s="33">
        <v>3.5071868583162216</v>
      </c>
      <c r="I378" s="33">
        <v>3.9370294318959616</v>
      </c>
      <c r="J378" s="33">
        <v>7.4442162902121831</v>
      </c>
      <c r="K378" s="33">
        <v>3.5071868583162216</v>
      </c>
      <c r="L378" s="33">
        <v>3.9397672826830936</v>
      </c>
      <c r="M378" s="33">
        <v>7.4469541409993152</v>
      </c>
      <c r="N378" s="33">
        <v>3.6194387405886381</v>
      </c>
      <c r="O378" s="33">
        <v>3.8275154004106775</v>
      </c>
      <c r="P378" s="33">
        <v>7.4469541409993152</v>
      </c>
      <c r="Q378" s="33">
        <v>4.0027378507871321</v>
      </c>
      <c r="R378" s="33">
        <v>3.5728952772073921</v>
      </c>
      <c r="S378" s="33">
        <v>7.5756331279945242</v>
      </c>
      <c r="T378" s="34">
        <v>5</v>
      </c>
      <c r="U378" s="34">
        <v>17</v>
      </c>
      <c r="V378" s="4" t="s">
        <v>1</v>
      </c>
      <c r="W378" s="4">
        <v>1</v>
      </c>
      <c r="X378" s="4">
        <v>1</v>
      </c>
      <c r="Y378" s="4">
        <v>1</v>
      </c>
      <c r="Z378" s="56">
        <v>3</v>
      </c>
      <c r="AA378" s="9" cm="1">
        <f t="array" ref="AA378">IF(OR(AB378:AE378=""),"BLANK",IF(AND(AB378:AE378&lt;999),1,IF(AND(AB378:AE378="NA"),3,2)))</f>
        <v>1</v>
      </c>
      <c r="AB378" s="4">
        <v>17</v>
      </c>
      <c r="AC378" s="4">
        <v>12</v>
      </c>
      <c r="AD378" s="4">
        <v>8</v>
      </c>
      <c r="AE378" s="5">
        <v>37</v>
      </c>
      <c r="AF378" s="9">
        <f t="shared" si="5"/>
        <v>1</v>
      </c>
      <c r="AG378" s="5">
        <v>33</v>
      </c>
      <c r="AH378" s="9" cm="1">
        <f t="array" ref="AH378">IF(OR(AI378:AN378=""),"BLANK",IF(AND(AI378:AN378&lt;99),1,IF(AND(AI378:AN378="NA"),3,2)))</f>
        <v>3</v>
      </c>
      <c r="AI378" s="4" t="s">
        <v>7</v>
      </c>
      <c r="AJ378" s="4" t="s">
        <v>7</v>
      </c>
      <c r="AK378" s="4" t="s">
        <v>7</v>
      </c>
      <c r="AL378" s="4" t="s">
        <v>7</v>
      </c>
      <c r="AM378" s="4" t="s">
        <v>7</v>
      </c>
      <c r="AN378" s="5" t="s">
        <v>7</v>
      </c>
    </row>
    <row r="379" spans="1:40" x14ac:dyDescent="0.2">
      <c r="A379" s="39">
        <v>3621</v>
      </c>
      <c r="B379" s="4" t="s">
        <v>54</v>
      </c>
      <c r="C379" s="30" t="s">
        <v>23</v>
      </c>
      <c r="D379" s="30">
        <v>5</v>
      </c>
      <c r="E379" s="30">
        <v>0</v>
      </c>
      <c r="F379" s="4">
        <v>4</v>
      </c>
      <c r="G379" s="30">
        <v>27</v>
      </c>
      <c r="H379" s="33">
        <v>3.8576317590691307</v>
      </c>
      <c r="I379" s="33" t="s">
        <v>7</v>
      </c>
      <c r="J379" s="33" t="s">
        <v>7</v>
      </c>
      <c r="K379" s="33">
        <v>3.868583162217659</v>
      </c>
      <c r="L379" s="33" t="s">
        <v>7</v>
      </c>
      <c r="M379" s="33" t="s">
        <v>7</v>
      </c>
      <c r="N379" s="33" t="s">
        <v>7</v>
      </c>
      <c r="O379" s="33" t="s">
        <v>7</v>
      </c>
      <c r="P379" s="33" t="s">
        <v>7</v>
      </c>
      <c r="Q379" s="33" t="s">
        <v>7</v>
      </c>
      <c r="R379" s="33" t="s">
        <v>7</v>
      </c>
      <c r="S379" s="33" t="s">
        <v>7</v>
      </c>
      <c r="T379" s="34">
        <v>3</v>
      </c>
      <c r="U379" s="34">
        <v>15</v>
      </c>
      <c r="V379" s="4" t="s">
        <v>1</v>
      </c>
      <c r="W379" s="4">
        <v>1</v>
      </c>
      <c r="X379" s="4">
        <v>1</v>
      </c>
      <c r="Y379" s="4">
        <v>1</v>
      </c>
      <c r="Z379" s="56">
        <v>3</v>
      </c>
      <c r="AA379" s="9" cm="1">
        <f t="array" ref="AA379">IF(OR(AB379:AE379=""),"BLANK",IF(AND(AB379:AE379&lt;999),1,IF(AND(AB379:AE379="NA"),3,2)))</f>
        <v>1</v>
      </c>
      <c r="AB379" s="4">
        <v>24</v>
      </c>
      <c r="AC379" s="4">
        <v>18</v>
      </c>
      <c r="AD379" s="4">
        <v>16</v>
      </c>
      <c r="AE379" s="5">
        <v>58</v>
      </c>
      <c r="AF379" s="9">
        <f t="shared" si="5"/>
        <v>1</v>
      </c>
      <c r="AG379" s="5">
        <v>66</v>
      </c>
      <c r="AH379" s="9" cm="1">
        <f t="array" ref="AH379">IF(OR(AI379:AN379=""),"BLANK",IF(AND(AI379:AN379&lt;99),1,IF(AND(AI379:AN379="NA"),3,2)))</f>
        <v>3</v>
      </c>
      <c r="AI379" s="4" t="s">
        <v>7</v>
      </c>
      <c r="AJ379" s="4" t="s">
        <v>7</v>
      </c>
      <c r="AK379" s="4" t="s">
        <v>7</v>
      </c>
      <c r="AL379" s="4" t="s">
        <v>7</v>
      </c>
      <c r="AM379" s="4" t="s">
        <v>7</v>
      </c>
      <c r="AN379" s="5" t="s">
        <v>7</v>
      </c>
    </row>
    <row r="380" spans="1:40" x14ac:dyDescent="0.2">
      <c r="A380" s="39">
        <v>3639</v>
      </c>
      <c r="B380" s="4" t="s">
        <v>58</v>
      </c>
      <c r="C380" s="30" t="s">
        <v>23</v>
      </c>
      <c r="D380" s="30">
        <v>5</v>
      </c>
      <c r="E380" s="30">
        <v>0</v>
      </c>
      <c r="F380" s="4">
        <v>4</v>
      </c>
      <c r="G380" s="30">
        <v>29</v>
      </c>
      <c r="H380" s="33">
        <v>3.4469541409993156</v>
      </c>
      <c r="I380" s="33" t="s">
        <v>7</v>
      </c>
      <c r="J380" s="33" t="s">
        <v>7</v>
      </c>
      <c r="K380" s="33">
        <v>3.4469541409993156</v>
      </c>
      <c r="L380" s="33" t="s">
        <v>7</v>
      </c>
      <c r="M380" s="33" t="s">
        <v>7</v>
      </c>
      <c r="N380" s="33">
        <v>3.57015742642026</v>
      </c>
      <c r="O380" s="33" t="s">
        <v>7</v>
      </c>
      <c r="P380" s="33" t="s">
        <v>7</v>
      </c>
      <c r="Q380" s="33">
        <v>4.6214921286789874</v>
      </c>
      <c r="R380" s="33" t="s">
        <v>7</v>
      </c>
      <c r="S380" s="33" t="s">
        <v>7</v>
      </c>
      <c r="T380" s="34">
        <v>4</v>
      </c>
      <c r="U380" s="34">
        <v>16</v>
      </c>
      <c r="V380" s="4" t="s">
        <v>1</v>
      </c>
      <c r="W380" s="4">
        <v>1</v>
      </c>
      <c r="X380" s="4">
        <v>1</v>
      </c>
      <c r="Y380" s="4">
        <v>1</v>
      </c>
      <c r="Z380" s="56">
        <v>3</v>
      </c>
      <c r="AA380" s="9" cm="1">
        <f t="array" ref="AA380">IF(OR(AB380:AE380=""),"BLANK",IF(AND(AB380:AE380&lt;999),1,IF(AND(AB380:AE380="NA"),3,2)))</f>
        <v>1</v>
      </c>
      <c r="AB380" s="4">
        <v>29</v>
      </c>
      <c r="AC380" s="4">
        <v>19</v>
      </c>
      <c r="AD380" s="4">
        <v>12</v>
      </c>
      <c r="AE380" s="5">
        <v>60</v>
      </c>
      <c r="AF380" s="9">
        <f t="shared" si="5"/>
        <v>1</v>
      </c>
      <c r="AG380" s="5">
        <v>52</v>
      </c>
      <c r="AH380" s="9" cm="1">
        <f t="array" ref="AH380">IF(OR(AI380:AN380=""),"BLANK",IF(AND(AI380:AN380&lt;99),1,IF(AND(AI380:AN380="NA"),3,2)))</f>
        <v>3</v>
      </c>
      <c r="AI380" s="4" t="s">
        <v>7</v>
      </c>
      <c r="AJ380" s="4" t="s">
        <v>7</v>
      </c>
      <c r="AK380" s="4" t="s">
        <v>7</v>
      </c>
      <c r="AL380" s="4" t="s">
        <v>7</v>
      </c>
      <c r="AM380" s="4" t="s">
        <v>7</v>
      </c>
      <c r="AN380" s="5" t="s">
        <v>7</v>
      </c>
    </row>
    <row r="381" spans="1:40" x14ac:dyDescent="0.2">
      <c r="A381" s="39">
        <v>3653</v>
      </c>
      <c r="B381" s="4" t="s">
        <v>59</v>
      </c>
      <c r="C381" s="30" t="s">
        <v>23</v>
      </c>
      <c r="D381" s="30">
        <v>5</v>
      </c>
      <c r="E381" s="30">
        <v>0</v>
      </c>
      <c r="F381" s="4">
        <v>4</v>
      </c>
      <c r="G381" s="30">
        <v>29</v>
      </c>
      <c r="H381" s="33">
        <v>3.4688569472963722</v>
      </c>
      <c r="I381" s="33">
        <v>3.9479808350444903</v>
      </c>
      <c r="J381" s="33">
        <v>7.4168377823408624</v>
      </c>
      <c r="K381" s="33">
        <v>3.482546201232033</v>
      </c>
      <c r="L381" s="33">
        <v>3.9342915811088295</v>
      </c>
      <c r="M381" s="33">
        <v>7.4168377823408624</v>
      </c>
      <c r="N381" s="33">
        <v>3.4360027378507869</v>
      </c>
      <c r="O381" s="33">
        <v>3.9178644763860371</v>
      </c>
      <c r="P381" s="33">
        <v>7.353867214236824</v>
      </c>
      <c r="Q381" s="33">
        <v>3.9315537303216974</v>
      </c>
      <c r="R381" s="33">
        <v>3.5756331279945242</v>
      </c>
      <c r="S381" s="33">
        <v>7.5071868583162216</v>
      </c>
      <c r="T381" s="34">
        <v>3</v>
      </c>
      <c r="U381" s="34">
        <v>14</v>
      </c>
      <c r="V381" s="4" t="s">
        <v>1</v>
      </c>
      <c r="W381" s="4">
        <v>1</v>
      </c>
      <c r="X381" s="4">
        <v>1</v>
      </c>
      <c r="Y381" s="4">
        <v>1</v>
      </c>
      <c r="Z381" s="56">
        <v>3</v>
      </c>
      <c r="AA381" s="9" cm="1">
        <f t="array" ref="AA381">IF(OR(AB381:AE381=""),"BLANK",IF(AND(AB381:AE381&lt;999),1,IF(AND(AB381:AE381="NA"),3,2)))</f>
        <v>1</v>
      </c>
      <c r="AB381" s="4">
        <v>33</v>
      </c>
      <c r="AC381" s="4">
        <v>22</v>
      </c>
      <c r="AD381" s="4">
        <v>14</v>
      </c>
      <c r="AE381" s="5">
        <v>69</v>
      </c>
      <c r="AF381" s="9">
        <f t="shared" si="5"/>
        <v>1</v>
      </c>
      <c r="AG381" s="5">
        <v>55</v>
      </c>
      <c r="AH381" s="9" cm="1">
        <f t="array" ref="AH381">IF(OR(AI381:AN381=""),"BLANK",IF(AND(AI381:AN381&lt;99),1,IF(AND(AI381:AN381="NA"),3,2)))</f>
        <v>3</v>
      </c>
      <c r="AI381" s="4" t="s">
        <v>7</v>
      </c>
      <c r="AJ381" s="4" t="s">
        <v>7</v>
      </c>
      <c r="AK381" s="4" t="s">
        <v>7</v>
      </c>
      <c r="AL381" s="4" t="s">
        <v>7</v>
      </c>
      <c r="AM381" s="4" t="s">
        <v>7</v>
      </c>
      <c r="AN381" s="5" t="s">
        <v>7</v>
      </c>
    </row>
    <row r="382" spans="1:40" x14ac:dyDescent="0.2">
      <c r="A382" s="39">
        <v>3658</v>
      </c>
      <c r="B382" s="4" t="s">
        <v>59</v>
      </c>
      <c r="C382" s="30" t="s">
        <v>24</v>
      </c>
      <c r="D382" s="30">
        <v>5</v>
      </c>
      <c r="E382" s="30">
        <v>0</v>
      </c>
      <c r="F382" s="4">
        <v>3.2730000000000001</v>
      </c>
      <c r="G382" s="30">
        <v>30</v>
      </c>
      <c r="H382" s="33">
        <v>3.5564681724845997</v>
      </c>
      <c r="I382" s="33">
        <v>4.084873374401095</v>
      </c>
      <c r="J382" s="33">
        <v>7.6413415468856947</v>
      </c>
      <c r="K382" s="33">
        <v>4.3121149897330593</v>
      </c>
      <c r="L382" s="33">
        <v>3.3702943189596168</v>
      </c>
      <c r="M382" s="33">
        <v>7.6824093086926766</v>
      </c>
      <c r="N382" s="33">
        <v>3.5017111567419574</v>
      </c>
      <c r="O382" s="33">
        <v>4.0301163586584527</v>
      </c>
      <c r="P382" s="33">
        <v>7.5318275154004111</v>
      </c>
      <c r="Q382" s="33">
        <v>3.9288158795345653</v>
      </c>
      <c r="R382" s="33">
        <v>3.9123887748117729</v>
      </c>
      <c r="S382" s="33">
        <v>7.8412046543463383</v>
      </c>
      <c r="T382" s="34">
        <v>4</v>
      </c>
      <c r="U382" s="34">
        <v>16</v>
      </c>
      <c r="V382" s="4" t="s">
        <v>1</v>
      </c>
      <c r="W382" s="4">
        <v>1</v>
      </c>
      <c r="X382" s="4">
        <v>1</v>
      </c>
      <c r="Y382" s="4">
        <v>1</v>
      </c>
      <c r="Z382" s="56">
        <v>3</v>
      </c>
      <c r="AA382" s="9" cm="1">
        <f t="array" ref="AA382">IF(OR(AB382:AE382=""),"BLANK",IF(AND(AB382:AE382&lt;999),1,IF(AND(AB382:AE382="NA"),3,2)))</f>
        <v>1</v>
      </c>
      <c r="AB382" s="4">
        <v>17</v>
      </c>
      <c r="AC382" s="4">
        <v>10</v>
      </c>
      <c r="AD382" s="4">
        <v>8</v>
      </c>
      <c r="AE382" s="5">
        <v>35</v>
      </c>
      <c r="AF382" s="9">
        <f t="shared" si="5"/>
        <v>1</v>
      </c>
      <c r="AG382" s="5">
        <v>34</v>
      </c>
      <c r="AH382" s="9" cm="1">
        <f t="array" ref="AH382">IF(OR(AI382:AN382=""),"BLANK",IF(AND(AI382:AN382&lt;99),1,IF(AND(AI382:AN382="NA"),3,2)))</f>
        <v>3</v>
      </c>
      <c r="AI382" s="4" t="s">
        <v>7</v>
      </c>
      <c r="AJ382" s="4" t="s">
        <v>7</v>
      </c>
      <c r="AK382" s="4" t="s">
        <v>7</v>
      </c>
      <c r="AL382" s="4" t="s">
        <v>7</v>
      </c>
      <c r="AM382" s="4" t="s">
        <v>7</v>
      </c>
      <c r="AN382" s="5" t="s">
        <v>7</v>
      </c>
    </row>
    <row r="383" spans="1:40" x14ac:dyDescent="0.2">
      <c r="A383" s="39">
        <v>3660</v>
      </c>
      <c r="B383" s="4" t="s">
        <v>59</v>
      </c>
      <c r="C383" s="30" t="s">
        <v>23</v>
      </c>
      <c r="D383" s="30">
        <v>5</v>
      </c>
      <c r="E383" s="30">
        <v>0</v>
      </c>
      <c r="F383" s="4">
        <v>3.7269999999999999</v>
      </c>
      <c r="G383" s="30">
        <v>30</v>
      </c>
      <c r="H383" s="33">
        <v>3.4387405886379194</v>
      </c>
      <c r="I383" s="33">
        <v>4.1971252566735116</v>
      </c>
      <c r="J383" s="33">
        <v>7.6358658453114305</v>
      </c>
      <c r="K383" s="33">
        <v>3.4579055441478439</v>
      </c>
      <c r="L383" s="33">
        <v>4.1670088980150579</v>
      </c>
      <c r="M383" s="33">
        <v>7.6249144421629023</v>
      </c>
      <c r="N383" s="33">
        <v>3.4661190965092401</v>
      </c>
      <c r="O383" s="33">
        <v>4.216290212183436</v>
      </c>
      <c r="P383" s="33">
        <v>7.6824093086926766</v>
      </c>
      <c r="Q383" s="33">
        <v>3.485284052019165</v>
      </c>
      <c r="R383" s="33">
        <v>4.1779603011635862</v>
      </c>
      <c r="S383" s="33">
        <v>7.6632443531827512</v>
      </c>
      <c r="T383" s="34">
        <v>4</v>
      </c>
      <c r="U383" s="34">
        <v>16</v>
      </c>
      <c r="V383" s="4" t="s">
        <v>1</v>
      </c>
      <c r="W383" s="4">
        <v>1</v>
      </c>
      <c r="X383" s="4">
        <v>1</v>
      </c>
      <c r="Y383" s="4">
        <v>1</v>
      </c>
      <c r="Z383" s="56">
        <v>3</v>
      </c>
      <c r="AA383" s="9" cm="1">
        <f t="array" ref="AA383">IF(OR(AB383:AE383=""),"BLANK",IF(AND(AB383:AE383&lt;999),1,IF(AND(AB383:AE383="NA"),3,2)))</f>
        <v>1</v>
      </c>
      <c r="AB383" s="4">
        <v>22</v>
      </c>
      <c r="AC383" s="4">
        <v>14</v>
      </c>
      <c r="AD383" s="4">
        <v>10</v>
      </c>
      <c r="AE383" s="5">
        <v>46</v>
      </c>
      <c r="AF383" s="9">
        <f t="shared" si="5"/>
        <v>1</v>
      </c>
      <c r="AG383" s="5">
        <v>35</v>
      </c>
      <c r="AH383" s="9" cm="1">
        <f t="array" ref="AH383">IF(OR(AI383:AN383=""),"BLANK",IF(AND(AI383:AN383&lt;99),1,IF(AND(AI383:AN383="NA"),3,2)))</f>
        <v>3</v>
      </c>
      <c r="AI383" s="4" t="s">
        <v>7</v>
      </c>
      <c r="AJ383" s="4" t="s">
        <v>7</v>
      </c>
      <c r="AK383" s="4" t="s">
        <v>7</v>
      </c>
      <c r="AL383" s="4" t="s">
        <v>7</v>
      </c>
      <c r="AM383" s="4" t="s">
        <v>7</v>
      </c>
      <c r="AN383" s="5" t="s">
        <v>7</v>
      </c>
    </row>
    <row r="384" spans="1:40" x14ac:dyDescent="0.2">
      <c r="A384" s="39">
        <v>3693</v>
      </c>
      <c r="B384" s="4" t="s">
        <v>54</v>
      </c>
      <c r="C384" s="30" t="s">
        <v>23</v>
      </c>
      <c r="D384" s="30">
        <v>5</v>
      </c>
      <c r="E384" s="30">
        <v>0</v>
      </c>
      <c r="F384" s="4">
        <v>4</v>
      </c>
      <c r="G384" s="30">
        <v>30</v>
      </c>
      <c r="H384" s="33">
        <v>3.4743326488706368</v>
      </c>
      <c r="I384" s="33">
        <v>4.0273785078713207</v>
      </c>
      <c r="J384" s="33">
        <v>7.5017111567419574</v>
      </c>
      <c r="K384" s="33">
        <v>3.4743326488706368</v>
      </c>
      <c r="L384" s="33">
        <v>4.0273785078713207</v>
      </c>
      <c r="M384" s="33">
        <v>7.5017111567419574</v>
      </c>
      <c r="N384" s="33">
        <v>3.4880219028062971</v>
      </c>
      <c r="O384" s="33" t="s">
        <v>7</v>
      </c>
      <c r="P384" s="33" t="s">
        <v>7</v>
      </c>
      <c r="Q384" s="33">
        <v>4.0766598220396988</v>
      </c>
      <c r="R384" s="33" t="s">
        <v>7</v>
      </c>
      <c r="S384" s="33" t="s">
        <v>7</v>
      </c>
      <c r="T384" s="34">
        <v>4</v>
      </c>
      <c r="U384" s="34">
        <v>16</v>
      </c>
      <c r="V384" s="4" t="s">
        <v>1</v>
      </c>
      <c r="W384" s="4">
        <v>1</v>
      </c>
      <c r="X384" s="4">
        <v>1</v>
      </c>
      <c r="Y384" s="4">
        <v>1</v>
      </c>
      <c r="Z384" s="56">
        <v>3</v>
      </c>
      <c r="AA384" s="9" cm="1">
        <f t="array" ref="AA384">IF(OR(AB384:AE384=""),"BLANK",IF(AND(AB384:AE384&lt;999),1,IF(AND(AB384:AE384="NA"),3,2)))</f>
        <v>1</v>
      </c>
      <c r="AB384" s="4">
        <v>22</v>
      </c>
      <c r="AC384" s="4">
        <v>14</v>
      </c>
      <c r="AD384" s="4">
        <v>10</v>
      </c>
      <c r="AE384" s="5">
        <v>46</v>
      </c>
      <c r="AF384" s="9">
        <f t="shared" si="5"/>
        <v>1</v>
      </c>
      <c r="AG384" s="5">
        <v>34</v>
      </c>
      <c r="AH384" s="9" cm="1">
        <f t="array" ref="AH384">IF(OR(AI384:AN384=""),"BLANK",IF(AND(AI384:AN384&lt;99),1,IF(AND(AI384:AN384="NA"),3,2)))</f>
        <v>3</v>
      </c>
      <c r="AI384" s="4" t="s">
        <v>7</v>
      </c>
      <c r="AJ384" s="4" t="s">
        <v>7</v>
      </c>
      <c r="AK384" s="4" t="s">
        <v>7</v>
      </c>
      <c r="AL384" s="4" t="s">
        <v>7</v>
      </c>
      <c r="AM384" s="4" t="s">
        <v>7</v>
      </c>
      <c r="AN384" s="5" t="s">
        <v>7</v>
      </c>
    </row>
    <row r="385" spans="1:40" x14ac:dyDescent="0.2">
      <c r="A385" s="39">
        <v>3727</v>
      </c>
      <c r="B385" s="4" t="s">
        <v>59</v>
      </c>
      <c r="C385" s="30" t="s">
        <v>24</v>
      </c>
      <c r="D385" s="30">
        <v>5</v>
      </c>
      <c r="E385" s="30">
        <v>0</v>
      </c>
      <c r="F385" s="4">
        <v>3.6360000000000001</v>
      </c>
      <c r="G385" s="30">
        <v>27</v>
      </c>
      <c r="H385" s="33">
        <v>3.4195756331279945</v>
      </c>
      <c r="I385" s="33" t="s">
        <v>7</v>
      </c>
      <c r="J385" s="33" t="s">
        <v>7</v>
      </c>
      <c r="K385" s="33">
        <v>3.4195756331279945</v>
      </c>
      <c r="L385" s="33" t="s">
        <v>7</v>
      </c>
      <c r="M385" s="33" t="s">
        <v>7</v>
      </c>
      <c r="N385" s="33">
        <v>3.4140999315537304</v>
      </c>
      <c r="O385" s="33" t="s">
        <v>7</v>
      </c>
      <c r="P385" s="33" t="s">
        <v>7</v>
      </c>
      <c r="Q385" s="33">
        <v>4.5968514715947979</v>
      </c>
      <c r="R385" s="33" t="s">
        <v>7</v>
      </c>
      <c r="S385" s="33" t="s">
        <v>7</v>
      </c>
      <c r="T385" s="34">
        <v>3</v>
      </c>
      <c r="U385" s="34">
        <v>15</v>
      </c>
      <c r="V385" s="4" t="s">
        <v>1</v>
      </c>
      <c r="W385" s="4">
        <v>1</v>
      </c>
      <c r="X385" s="4">
        <v>1</v>
      </c>
      <c r="Y385" s="4">
        <v>1</v>
      </c>
      <c r="Z385" s="56">
        <v>3</v>
      </c>
      <c r="AA385" s="9" cm="1">
        <f t="array" ref="AA385">IF(OR(AB385:AE385=""),"BLANK",IF(AND(AB385:AE385&lt;999),1,IF(AND(AB385:AE385="NA"),3,2)))</f>
        <v>1</v>
      </c>
      <c r="AB385" s="4">
        <v>27</v>
      </c>
      <c r="AC385" s="4">
        <v>14</v>
      </c>
      <c r="AD385" s="4">
        <v>11</v>
      </c>
      <c r="AE385" s="5">
        <v>52</v>
      </c>
      <c r="AF385" s="9">
        <f t="shared" si="5"/>
        <v>1</v>
      </c>
      <c r="AG385" s="5">
        <v>43</v>
      </c>
      <c r="AH385" s="9" cm="1">
        <f t="array" ref="AH385">IF(OR(AI385:AN385=""),"BLANK",IF(AND(AI385:AN385&lt;99),1,IF(AND(AI385:AN385="NA"),3,2)))</f>
        <v>3</v>
      </c>
      <c r="AI385" s="4" t="s">
        <v>7</v>
      </c>
      <c r="AJ385" s="4" t="s">
        <v>7</v>
      </c>
      <c r="AK385" s="4" t="s">
        <v>7</v>
      </c>
      <c r="AL385" s="4" t="s">
        <v>7</v>
      </c>
      <c r="AM385" s="4" t="s">
        <v>7</v>
      </c>
      <c r="AN385" s="5" t="s">
        <v>7</v>
      </c>
    </row>
    <row r="386" spans="1:40" x14ac:dyDescent="0.2">
      <c r="A386" s="39">
        <v>3737</v>
      </c>
      <c r="B386" s="4" t="s">
        <v>50</v>
      </c>
      <c r="C386" s="30" t="s">
        <v>23</v>
      </c>
      <c r="D386" s="30">
        <v>5</v>
      </c>
      <c r="E386" s="30">
        <v>0</v>
      </c>
      <c r="F386" s="4">
        <v>4</v>
      </c>
      <c r="G386" s="30">
        <v>29</v>
      </c>
      <c r="H386" s="33" t="s">
        <v>7</v>
      </c>
      <c r="I386" s="33" t="s">
        <v>7</v>
      </c>
      <c r="J386" s="33" t="s">
        <v>7</v>
      </c>
      <c r="K386" s="33" t="s">
        <v>7</v>
      </c>
      <c r="L386" s="33" t="s">
        <v>7</v>
      </c>
      <c r="M386" s="33" t="s">
        <v>7</v>
      </c>
      <c r="N386" s="33" t="s">
        <v>7</v>
      </c>
      <c r="O386" s="33" t="s">
        <v>7</v>
      </c>
      <c r="P386" s="33" t="s">
        <v>7</v>
      </c>
      <c r="Q386" s="33" t="s">
        <v>7</v>
      </c>
      <c r="R386" s="33" t="s">
        <v>7</v>
      </c>
      <c r="S386" s="33" t="s">
        <v>7</v>
      </c>
      <c r="T386" s="34">
        <v>3</v>
      </c>
      <c r="U386" s="34">
        <v>13</v>
      </c>
      <c r="V386" s="4" t="s">
        <v>1</v>
      </c>
      <c r="W386" s="4">
        <v>1</v>
      </c>
      <c r="X386" s="4">
        <v>1</v>
      </c>
      <c r="Y386" s="4">
        <v>1</v>
      </c>
      <c r="Z386" s="56">
        <v>3</v>
      </c>
      <c r="AA386" s="9" cm="1">
        <f t="array" ref="AA386">IF(OR(AB386:AE386=""),"BLANK",IF(AND(AB386:AE386&lt;999),1,IF(AND(AB386:AE386="NA"),3,2)))</f>
        <v>1</v>
      </c>
      <c r="AB386" s="4">
        <v>16</v>
      </c>
      <c r="AC386" s="4">
        <v>9</v>
      </c>
      <c r="AD386" s="4">
        <v>10</v>
      </c>
      <c r="AE386" s="5">
        <v>35</v>
      </c>
      <c r="AF386" s="9">
        <f t="shared" si="5"/>
        <v>1</v>
      </c>
      <c r="AG386" s="5">
        <v>64</v>
      </c>
      <c r="AH386" s="9" cm="1">
        <f t="array" ref="AH386">IF(OR(AI386:AN386=""),"BLANK",IF(AND(AI386:AN386&lt;99),1,IF(AND(AI386:AN386="NA"),3,2)))</f>
        <v>3</v>
      </c>
      <c r="AI386" s="4" t="s">
        <v>7</v>
      </c>
      <c r="AJ386" s="4" t="s">
        <v>7</v>
      </c>
      <c r="AK386" s="4" t="s">
        <v>7</v>
      </c>
      <c r="AL386" s="4" t="s">
        <v>7</v>
      </c>
      <c r="AM386" s="4" t="s">
        <v>7</v>
      </c>
      <c r="AN386" s="5" t="s">
        <v>7</v>
      </c>
    </row>
    <row r="387" spans="1:40" x14ac:dyDescent="0.2">
      <c r="A387" s="39">
        <v>3744</v>
      </c>
      <c r="B387" s="4" t="s">
        <v>48</v>
      </c>
      <c r="C387" s="30" t="s">
        <v>24</v>
      </c>
      <c r="D387" s="30">
        <v>5</v>
      </c>
      <c r="E387" s="30">
        <v>0</v>
      </c>
      <c r="F387" s="4">
        <v>2.8180000000000001</v>
      </c>
      <c r="G387" s="30">
        <v>28</v>
      </c>
      <c r="H387" s="33">
        <v>3.9616700889801506</v>
      </c>
      <c r="I387" s="33">
        <v>3.1321013004791238</v>
      </c>
      <c r="J387" s="33">
        <v>7.0937713894592749</v>
      </c>
      <c r="K387" s="33">
        <v>3.9616700889801506</v>
      </c>
      <c r="L387" s="33">
        <v>3.1540041067761808</v>
      </c>
      <c r="M387" s="33">
        <v>7.1156741957563314</v>
      </c>
      <c r="N387" s="33">
        <v>3.9835728952772076</v>
      </c>
      <c r="O387" s="33">
        <v>3.052703627652293</v>
      </c>
      <c r="P387" s="33">
        <v>7.0362765229295006</v>
      </c>
      <c r="Q387" s="33">
        <v>3.9452429842573578</v>
      </c>
      <c r="R387" s="33">
        <v>3.1074606433949348</v>
      </c>
      <c r="S387" s="33">
        <v>7.052703627652293</v>
      </c>
      <c r="T387" s="34">
        <v>3</v>
      </c>
      <c r="U387" s="34">
        <v>15</v>
      </c>
      <c r="V387" s="4" t="s">
        <v>1</v>
      </c>
      <c r="W387" s="4">
        <v>1</v>
      </c>
      <c r="X387" s="4">
        <v>1</v>
      </c>
      <c r="Y387" s="4">
        <v>1</v>
      </c>
      <c r="Z387" s="56">
        <v>3</v>
      </c>
      <c r="AA387" s="9" cm="1">
        <f t="array" ref="AA387">IF(OR(AB387:AE387=""),"BLANK",IF(AND(AB387:AE387&lt;999),1,IF(AND(AB387:AE387="NA"),3,2)))</f>
        <v>1</v>
      </c>
      <c r="AB387" s="4">
        <v>25</v>
      </c>
      <c r="AC387" s="4">
        <v>11</v>
      </c>
      <c r="AD387" s="4">
        <v>6</v>
      </c>
      <c r="AE387" s="5">
        <v>42</v>
      </c>
      <c r="AF387" s="9">
        <f t="shared" si="5"/>
        <v>1</v>
      </c>
      <c r="AG387" s="5">
        <v>43</v>
      </c>
      <c r="AH387" s="9" cm="1">
        <f t="array" ref="AH387">IF(OR(AI387:AN387=""),"BLANK",IF(AND(AI387:AN387&lt;99),1,IF(AND(AI387:AN387="NA"),3,2)))</f>
        <v>3</v>
      </c>
      <c r="AI387" s="4" t="s">
        <v>7</v>
      </c>
      <c r="AJ387" s="4" t="s">
        <v>7</v>
      </c>
      <c r="AK387" s="4" t="s">
        <v>7</v>
      </c>
      <c r="AL387" s="4" t="s">
        <v>7</v>
      </c>
      <c r="AM387" s="4" t="s">
        <v>7</v>
      </c>
      <c r="AN387" s="5" t="s">
        <v>7</v>
      </c>
    </row>
    <row r="388" spans="1:40" x14ac:dyDescent="0.2">
      <c r="A388" s="39">
        <v>3799</v>
      </c>
      <c r="B388" s="4" t="s">
        <v>50</v>
      </c>
      <c r="C388" s="30" t="s">
        <v>24</v>
      </c>
      <c r="D388" s="30">
        <v>5</v>
      </c>
      <c r="E388" s="30">
        <v>0</v>
      </c>
      <c r="F388" s="4">
        <v>3.2730000000000001</v>
      </c>
      <c r="G388" s="30">
        <v>29</v>
      </c>
      <c r="H388" s="33" t="s">
        <v>7</v>
      </c>
      <c r="I388" s="33" t="s">
        <v>7</v>
      </c>
      <c r="J388" s="33" t="s">
        <v>7</v>
      </c>
      <c r="K388" s="33" t="s">
        <v>7</v>
      </c>
      <c r="L388" s="33" t="s">
        <v>7</v>
      </c>
      <c r="M388" s="33" t="s">
        <v>7</v>
      </c>
      <c r="N388" s="33" t="s">
        <v>7</v>
      </c>
      <c r="O388" s="33" t="s">
        <v>7</v>
      </c>
      <c r="P388" s="33" t="s">
        <v>7</v>
      </c>
      <c r="Q388" s="33" t="s">
        <v>7</v>
      </c>
      <c r="R388" s="33" t="s">
        <v>7</v>
      </c>
      <c r="S388" s="33" t="s">
        <v>7</v>
      </c>
      <c r="T388" s="34">
        <v>4</v>
      </c>
      <c r="U388" s="34">
        <v>16</v>
      </c>
      <c r="V388" s="4" t="s">
        <v>1</v>
      </c>
      <c r="W388" s="4">
        <v>1</v>
      </c>
      <c r="X388" s="4">
        <v>1</v>
      </c>
      <c r="Y388" s="4">
        <v>1</v>
      </c>
      <c r="Z388" s="56">
        <v>3</v>
      </c>
      <c r="AA388" s="9" cm="1">
        <f t="array" ref="AA388">IF(OR(AB388:AE388=""),"BLANK",IF(AND(AB388:AE388&lt;999),1,IF(AND(AB388:AE388="NA"),3,2)))</f>
        <v>1</v>
      </c>
      <c r="AB388" s="4">
        <v>26</v>
      </c>
      <c r="AC388" s="4">
        <v>23</v>
      </c>
      <c r="AD388" s="4">
        <v>19</v>
      </c>
      <c r="AE388" s="5">
        <v>68</v>
      </c>
      <c r="AF388" s="9">
        <f t="shared" ref="AF388:AF451" si="6">IF(AG388="NA", 3,1)</f>
        <v>1</v>
      </c>
      <c r="AG388" s="5">
        <v>54</v>
      </c>
      <c r="AH388" s="9" cm="1">
        <f t="array" ref="AH388">IF(OR(AI388:AN388=""),"BLANK",IF(AND(AI388:AN388&lt;99),1,IF(AND(AI388:AN388="NA"),3,2)))</f>
        <v>3</v>
      </c>
      <c r="AI388" s="4" t="s">
        <v>7</v>
      </c>
      <c r="AJ388" s="4" t="s">
        <v>7</v>
      </c>
      <c r="AK388" s="4" t="s">
        <v>7</v>
      </c>
      <c r="AL388" s="4" t="s">
        <v>7</v>
      </c>
      <c r="AM388" s="4" t="s">
        <v>7</v>
      </c>
      <c r="AN388" s="5" t="s">
        <v>7</v>
      </c>
    </row>
    <row r="389" spans="1:40" x14ac:dyDescent="0.2">
      <c r="A389" s="39">
        <v>3841</v>
      </c>
      <c r="B389" s="4" t="s">
        <v>54</v>
      </c>
      <c r="C389" s="30" t="s">
        <v>23</v>
      </c>
      <c r="D389" s="30">
        <v>6</v>
      </c>
      <c r="E389" s="30">
        <v>1</v>
      </c>
      <c r="F389" s="4">
        <v>3.4550000000000001</v>
      </c>
      <c r="G389" s="30">
        <v>28</v>
      </c>
      <c r="H389" s="33" t="s">
        <v>7</v>
      </c>
      <c r="I389" s="33" t="s">
        <v>7</v>
      </c>
      <c r="J389" s="33" t="s">
        <v>7</v>
      </c>
      <c r="K389" s="33" t="s">
        <v>7</v>
      </c>
      <c r="L389" s="33" t="s">
        <v>7</v>
      </c>
      <c r="M389" s="33" t="s">
        <v>7</v>
      </c>
      <c r="N389" s="33" t="s">
        <v>7</v>
      </c>
      <c r="O389" s="33" t="s">
        <v>7</v>
      </c>
      <c r="P389" s="33" t="s">
        <v>7</v>
      </c>
      <c r="Q389" s="33" t="s">
        <v>7</v>
      </c>
      <c r="R389" s="33" t="s">
        <v>7</v>
      </c>
      <c r="S389" s="33" t="s">
        <v>7</v>
      </c>
      <c r="T389" s="34">
        <v>3</v>
      </c>
      <c r="U389" s="34">
        <v>13</v>
      </c>
      <c r="V389" s="4" t="s">
        <v>1</v>
      </c>
      <c r="W389" s="4">
        <v>1</v>
      </c>
      <c r="X389" s="4">
        <v>1</v>
      </c>
      <c r="Y389" s="4">
        <v>1</v>
      </c>
      <c r="Z389" s="56">
        <v>3</v>
      </c>
      <c r="AA389" s="9" cm="1">
        <f t="array" ref="AA389">IF(OR(AB389:AE389=""),"BLANK",IF(AND(AB389:AE389&lt;999),1,IF(AND(AB389:AE389="NA"),3,2)))</f>
        <v>1</v>
      </c>
      <c r="AB389" s="4">
        <v>32</v>
      </c>
      <c r="AC389" s="4">
        <v>18</v>
      </c>
      <c r="AD389" s="4">
        <v>14</v>
      </c>
      <c r="AE389" s="5">
        <v>64</v>
      </c>
      <c r="AF389" s="9">
        <f t="shared" si="6"/>
        <v>1</v>
      </c>
      <c r="AG389" s="5">
        <v>64</v>
      </c>
      <c r="AH389" s="9" cm="1">
        <f t="array" ref="AH389">IF(OR(AI389:AN389=""),"BLANK",IF(AND(AI389:AN389&lt;99),1,IF(AND(AI389:AN389="NA"),3,2)))</f>
        <v>3</v>
      </c>
      <c r="AI389" s="4" t="s">
        <v>7</v>
      </c>
      <c r="AJ389" s="4" t="s">
        <v>7</v>
      </c>
      <c r="AK389" s="4" t="s">
        <v>7</v>
      </c>
      <c r="AL389" s="4" t="s">
        <v>7</v>
      </c>
      <c r="AM389" s="4" t="s">
        <v>7</v>
      </c>
      <c r="AN389" s="5" t="s">
        <v>7</v>
      </c>
    </row>
    <row r="390" spans="1:40" x14ac:dyDescent="0.2">
      <c r="A390" s="39">
        <v>3846</v>
      </c>
      <c r="B390" s="4" t="s">
        <v>66</v>
      </c>
      <c r="C390" s="30" t="s">
        <v>23</v>
      </c>
      <c r="D390" s="30">
        <v>2</v>
      </c>
      <c r="E390" s="30">
        <v>0</v>
      </c>
      <c r="F390" s="4">
        <v>4</v>
      </c>
      <c r="G390" s="30">
        <v>27</v>
      </c>
      <c r="H390" s="33">
        <v>3.5838466803559208</v>
      </c>
      <c r="I390" s="33" t="s">
        <v>7</v>
      </c>
      <c r="J390" s="33" t="s">
        <v>7</v>
      </c>
      <c r="K390" s="33">
        <v>3.5838466803559208</v>
      </c>
      <c r="L390" s="33" t="s">
        <v>7</v>
      </c>
      <c r="M390" s="33" t="s">
        <v>7</v>
      </c>
      <c r="N390" s="33">
        <v>3.5592060232717317</v>
      </c>
      <c r="O390" s="33" t="s">
        <v>7</v>
      </c>
      <c r="P390" s="33" t="s">
        <v>7</v>
      </c>
      <c r="Q390" s="33">
        <v>3.9425051334702257</v>
      </c>
      <c r="R390" s="33" t="s">
        <v>7</v>
      </c>
      <c r="S390" s="33" t="s">
        <v>7</v>
      </c>
      <c r="T390" s="34">
        <v>4</v>
      </c>
      <c r="U390" s="34">
        <v>16</v>
      </c>
      <c r="V390" s="4" t="s">
        <v>1</v>
      </c>
      <c r="W390" s="4">
        <v>1</v>
      </c>
      <c r="X390" s="4">
        <v>1</v>
      </c>
      <c r="Y390" s="4">
        <v>1</v>
      </c>
      <c r="Z390" s="56">
        <v>3</v>
      </c>
      <c r="AA390" s="9" cm="1">
        <f t="array" ref="AA390">IF(OR(AB390:AE390=""),"BLANK",IF(AND(AB390:AE390&lt;999),1,IF(AND(AB390:AE390="NA"),3,2)))</f>
        <v>1</v>
      </c>
      <c r="AB390" s="4">
        <v>18</v>
      </c>
      <c r="AC390" s="4">
        <v>12</v>
      </c>
      <c r="AD390" s="4">
        <v>7</v>
      </c>
      <c r="AE390" s="5">
        <v>37</v>
      </c>
      <c r="AF390" s="9">
        <f t="shared" si="6"/>
        <v>1</v>
      </c>
      <c r="AG390" s="5">
        <v>30</v>
      </c>
      <c r="AH390" s="9" cm="1">
        <f t="array" ref="AH390">IF(OR(AI390:AN390=""),"BLANK",IF(AND(AI390:AN390&lt;99),1,IF(AND(AI390:AN390="NA"),3,2)))</f>
        <v>3</v>
      </c>
      <c r="AI390" s="4" t="s">
        <v>7</v>
      </c>
      <c r="AJ390" s="4" t="s">
        <v>7</v>
      </c>
      <c r="AK390" s="4" t="s">
        <v>7</v>
      </c>
      <c r="AL390" s="4" t="s">
        <v>7</v>
      </c>
      <c r="AM390" s="4" t="s">
        <v>7</v>
      </c>
      <c r="AN390" s="5" t="s">
        <v>7</v>
      </c>
    </row>
    <row r="391" spans="1:40" x14ac:dyDescent="0.2">
      <c r="A391" s="39">
        <v>3863</v>
      </c>
      <c r="B391" s="4" t="s">
        <v>54</v>
      </c>
      <c r="C391" s="30" t="s">
        <v>23</v>
      </c>
      <c r="D391" s="30">
        <v>5</v>
      </c>
      <c r="E391" s="30">
        <v>0</v>
      </c>
      <c r="F391" s="4">
        <v>4</v>
      </c>
      <c r="G391" s="30">
        <v>28</v>
      </c>
      <c r="H391" s="33">
        <v>3.5592060232717317</v>
      </c>
      <c r="I391" s="33">
        <v>3.8384668035592062</v>
      </c>
      <c r="J391" s="33">
        <v>7.397672826830938</v>
      </c>
      <c r="K391" s="33">
        <v>3.5592060232717317</v>
      </c>
      <c r="L391" s="33">
        <v>3.8384668035592062</v>
      </c>
      <c r="M391" s="33">
        <v>7.397672826830938</v>
      </c>
      <c r="N391" s="33">
        <v>3.6057494866529773</v>
      </c>
      <c r="O391" s="33">
        <v>3.8001368925393568</v>
      </c>
      <c r="P391" s="33">
        <v>7.4058863791923342</v>
      </c>
      <c r="Q391" s="33">
        <v>3.8877481177275839</v>
      </c>
      <c r="R391" s="33">
        <v>3.5263518138261465</v>
      </c>
      <c r="S391" s="33">
        <v>7.4140999315537304</v>
      </c>
      <c r="T391" s="34">
        <v>4</v>
      </c>
      <c r="U391" s="34">
        <v>16</v>
      </c>
      <c r="V391" s="4" t="s">
        <v>1</v>
      </c>
      <c r="W391" s="4">
        <v>1</v>
      </c>
      <c r="X391" s="4">
        <v>1</v>
      </c>
      <c r="Y391" s="4">
        <v>1</v>
      </c>
      <c r="Z391" s="56">
        <v>3</v>
      </c>
      <c r="AA391" s="9" cm="1">
        <f t="array" ref="AA391">IF(OR(AB391:AE391=""),"BLANK",IF(AND(AB391:AE391&lt;999),1,IF(AND(AB391:AE391="NA"),3,2)))</f>
        <v>1</v>
      </c>
      <c r="AB391" s="4">
        <v>32</v>
      </c>
      <c r="AC391" s="4">
        <v>24</v>
      </c>
      <c r="AD391" s="4">
        <v>16</v>
      </c>
      <c r="AE391" s="5">
        <v>72</v>
      </c>
      <c r="AF391" s="9">
        <f t="shared" si="6"/>
        <v>1</v>
      </c>
      <c r="AG391" s="5">
        <v>60</v>
      </c>
      <c r="AH391" s="9" cm="1">
        <f t="array" ref="AH391">IF(OR(AI391:AN391=""),"BLANK",IF(AND(AI391:AN391&lt;99),1,IF(AND(AI391:AN391="NA"),3,2)))</f>
        <v>3</v>
      </c>
      <c r="AI391" s="4" t="s">
        <v>7</v>
      </c>
      <c r="AJ391" s="4" t="s">
        <v>7</v>
      </c>
      <c r="AK391" s="4" t="s">
        <v>7</v>
      </c>
      <c r="AL391" s="4" t="s">
        <v>7</v>
      </c>
      <c r="AM391" s="4" t="s">
        <v>7</v>
      </c>
      <c r="AN391" s="5" t="s">
        <v>7</v>
      </c>
    </row>
    <row r="392" spans="1:40" x14ac:dyDescent="0.2">
      <c r="A392" s="39">
        <v>3898</v>
      </c>
      <c r="B392" s="4" t="s">
        <v>48</v>
      </c>
      <c r="C392" s="30" t="s">
        <v>24</v>
      </c>
      <c r="D392" s="30">
        <v>5</v>
      </c>
      <c r="E392" s="30">
        <v>0</v>
      </c>
      <c r="F392" s="4">
        <v>3.1819999999999999</v>
      </c>
      <c r="G392" s="30">
        <v>28</v>
      </c>
      <c r="H392" s="33">
        <v>4.9719370294318956</v>
      </c>
      <c r="I392" s="33" t="s">
        <v>7</v>
      </c>
      <c r="J392" s="33" t="s">
        <v>7</v>
      </c>
      <c r="K392" s="33">
        <v>4.9719370294318956</v>
      </c>
      <c r="L392" s="33" t="s">
        <v>7</v>
      </c>
      <c r="M392" s="33" t="s">
        <v>7</v>
      </c>
      <c r="N392" s="33">
        <v>4.9281314168377826</v>
      </c>
      <c r="O392" s="33" t="s">
        <v>7</v>
      </c>
      <c r="P392" s="33" t="s">
        <v>7</v>
      </c>
      <c r="Q392" s="33">
        <v>4.862422997946612</v>
      </c>
      <c r="R392" s="33" t="s">
        <v>7</v>
      </c>
      <c r="S392" s="33" t="s">
        <v>7</v>
      </c>
      <c r="T392" s="34">
        <v>4</v>
      </c>
      <c r="U392" s="34">
        <v>16</v>
      </c>
      <c r="V392" s="4" t="s">
        <v>1</v>
      </c>
      <c r="W392" s="4">
        <v>1</v>
      </c>
      <c r="X392" s="4">
        <v>1</v>
      </c>
      <c r="Y392" s="4">
        <v>1</v>
      </c>
      <c r="Z392" s="56">
        <v>3</v>
      </c>
      <c r="AA392" s="9" cm="1">
        <f t="array" ref="AA392">IF(OR(AB392:AE392=""),"BLANK",IF(AND(AB392:AE392&lt;999),1,IF(AND(AB392:AE392="NA"),3,2)))</f>
        <v>1</v>
      </c>
      <c r="AB392" s="4">
        <v>28</v>
      </c>
      <c r="AC392" s="4">
        <v>18</v>
      </c>
      <c r="AD392" s="4">
        <v>13</v>
      </c>
      <c r="AE392" s="5">
        <v>59</v>
      </c>
      <c r="AF392" s="9">
        <f t="shared" si="6"/>
        <v>1</v>
      </c>
      <c r="AG392" s="5">
        <v>39</v>
      </c>
      <c r="AH392" s="9" cm="1">
        <f t="array" ref="AH392">IF(OR(AI392:AN392=""),"BLANK",IF(AND(AI392:AN392&lt;99),1,IF(AND(AI392:AN392="NA"),3,2)))</f>
        <v>3</v>
      </c>
      <c r="AI392" s="4" t="s">
        <v>7</v>
      </c>
      <c r="AJ392" s="4" t="s">
        <v>7</v>
      </c>
      <c r="AK392" s="4" t="s">
        <v>7</v>
      </c>
      <c r="AL392" s="4" t="s">
        <v>7</v>
      </c>
      <c r="AM392" s="4" t="s">
        <v>7</v>
      </c>
      <c r="AN392" s="5" t="s">
        <v>7</v>
      </c>
    </row>
    <row r="393" spans="1:40" x14ac:dyDescent="0.2">
      <c r="A393" s="39">
        <v>3899</v>
      </c>
      <c r="B393" s="4" t="s">
        <v>66</v>
      </c>
      <c r="C393" s="30" t="s">
        <v>23</v>
      </c>
      <c r="D393" s="30">
        <v>5</v>
      </c>
      <c r="E393" s="30">
        <v>0</v>
      </c>
      <c r="F393" s="4">
        <v>3.2730000000000001</v>
      </c>
      <c r="G393" s="30">
        <v>28</v>
      </c>
      <c r="H393" s="33">
        <v>3.5263518138261465</v>
      </c>
      <c r="I393" s="33" t="s">
        <v>7</v>
      </c>
      <c r="J393" s="33" t="s">
        <v>7</v>
      </c>
      <c r="K393" s="33">
        <v>3.5263518138261465</v>
      </c>
      <c r="L393" s="33" t="s">
        <v>7</v>
      </c>
      <c r="M393" s="33" t="s">
        <v>7</v>
      </c>
      <c r="N393" s="33">
        <v>3.6002737850787132</v>
      </c>
      <c r="O393" s="33" t="s">
        <v>7</v>
      </c>
      <c r="P393" s="33" t="s">
        <v>7</v>
      </c>
      <c r="Q393" s="33">
        <v>4.5749486652977414</v>
      </c>
      <c r="R393" s="33" t="s">
        <v>7</v>
      </c>
      <c r="S393" s="33" t="s">
        <v>7</v>
      </c>
      <c r="T393" s="34">
        <v>3</v>
      </c>
      <c r="U393" s="34">
        <v>12</v>
      </c>
      <c r="V393" s="4" t="s">
        <v>1</v>
      </c>
      <c r="W393" s="4">
        <v>1</v>
      </c>
      <c r="X393" s="4">
        <v>1</v>
      </c>
      <c r="Y393" s="4">
        <v>1</v>
      </c>
      <c r="Z393" s="56">
        <v>3</v>
      </c>
      <c r="AA393" s="9" cm="1">
        <f t="array" ref="AA393">IF(OR(AB393:AE393=""),"BLANK",IF(AND(AB393:AE393&lt;999),1,IF(AND(AB393:AE393="NA"),3,2)))</f>
        <v>1</v>
      </c>
      <c r="AB393" s="4">
        <v>31</v>
      </c>
      <c r="AC393" s="4">
        <v>19</v>
      </c>
      <c r="AD393" s="4">
        <v>13</v>
      </c>
      <c r="AE393" s="5">
        <v>63</v>
      </c>
      <c r="AF393" s="9">
        <f t="shared" si="6"/>
        <v>1</v>
      </c>
      <c r="AG393" s="5">
        <v>45</v>
      </c>
      <c r="AH393" s="9" cm="1">
        <f t="array" ref="AH393">IF(OR(AI393:AN393=""),"BLANK",IF(AND(AI393:AN393&lt;99),1,IF(AND(AI393:AN393="NA"),3,2)))</f>
        <v>3</v>
      </c>
      <c r="AI393" s="4" t="s">
        <v>7</v>
      </c>
      <c r="AJ393" s="4" t="s">
        <v>7</v>
      </c>
      <c r="AK393" s="4" t="s">
        <v>7</v>
      </c>
      <c r="AL393" s="4" t="s">
        <v>7</v>
      </c>
      <c r="AM393" s="4" t="s">
        <v>7</v>
      </c>
      <c r="AN393" s="5" t="s">
        <v>7</v>
      </c>
    </row>
    <row r="394" spans="1:40" x14ac:dyDescent="0.2">
      <c r="A394" s="39">
        <v>3907</v>
      </c>
      <c r="B394" s="4" t="s">
        <v>52</v>
      </c>
      <c r="C394" s="30" t="s">
        <v>24</v>
      </c>
      <c r="D394" s="30">
        <v>5</v>
      </c>
      <c r="E394" s="30">
        <v>0</v>
      </c>
      <c r="F394" s="4">
        <v>3.2730000000000001</v>
      </c>
      <c r="G394" s="30">
        <v>30</v>
      </c>
      <c r="H394" s="33" t="s">
        <v>7</v>
      </c>
      <c r="I394" s="33" t="s">
        <v>7</v>
      </c>
      <c r="J394" s="33" t="s">
        <v>7</v>
      </c>
      <c r="K394" s="33" t="s">
        <v>7</v>
      </c>
      <c r="L394" s="33" t="s">
        <v>7</v>
      </c>
      <c r="M394" s="33" t="s">
        <v>7</v>
      </c>
      <c r="N394" s="33" t="s">
        <v>7</v>
      </c>
      <c r="O394" s="33" t="s">
        <v>7</v>
      </c>
      <c r="P394" s="33" t="s">
        <v>7</v>
      </c>
      <c r="Q394" s="33" t="s">
        <v>7</v>
      </c>
      <c r="R394" s="33" t="s">
        <v>7</v>
      </c>
      <c r="S394" s="33" t="s">
        <v>7</v>
      </c>
      <c r="T394" s="34">
        <v>3</v>
      </c>
      <c r="U394" s="34">
        <v>15</v>
      </c>
      <c r="V394" s="4" t="s">
        <v>1</v>
      </c>
      <c r="W394" s="4">
        <v>1</v>
      </c>
      <c r="X394" s="4">
        <v>1</v>
      </c>
      <c r="Y394" s="4">
        <v>1</v>
      </c>
      <c r="Z394" s="56">
        <v>3</v>
      </c>
      <c r="AA394" s="9" cm="1">
        <f t="array" ref="AA394">IF(OR(AB394:AE394=""),"BLANK",IF(AND(AB394:AE394&lt;999),1,IF(AND(AB394:AE394="NA"),3,2)))</f>
        <v>1</v>
      </c>
      <c r="AB394" s="4">
        <v>31</v>
      </c>
      <c r="AC394" s="4">
        <v>16</v>
      </c>
      <c r="AD394" s="4">
        <v>12</v>
      </c>
      <c r="AE394" s="5">
        <v>59</v>
      </c>
      <c r="AF394" s="9">
        <f t="shared" si="6"/>
        <v>1</v>
      </c>
      <c r="AG394" s="5">
        <v>48</v>
      </c>
      <c r="AH394" s="9" cm="1">
        <f t="array" ref="AH394">IF(OR(AI394:AN394=""),"BLANK",IF(AND(AI394:AN394&lt;99),1,IF(AND(AI394:AN394="NA"),3,2)))</f>
        <v>3</v>
      </c>
      <c r="AI394" s="4" t="s">
        <v>7</v>
      </c>
      <c r="AJ394" s="4" t="s">
        <v>7</v>
      </c>
      <c r="AK394" s="4" t="s">
        <v>7</v>
      </c>
      <c r="AL394" s="4" t="s">
        <v>7</v>
      </c>
      <c r="AM394" s="4" t="s">
        <v>7</v>
      </c>
      <c r="AN394" s="5" t="s">
        <v>7</v>
      </c>
    </row>
    <row r="395" spans="1:40" x14ac:dyDescent="0.2">
      <c r="A395" s="39">
        <v>3911</v>
      </c>
      <c r="B395" s="4" t="s">
        <v>50</v>
      </c>
      <c r="C395" s="30" t="s">
        <v>23</v>
      </c>
      <c r="D395" s="30">
        <v>5</v>
      </c>
      <c r="E395" s="30">
        <v>0</v>
      </c>
      <c r="F395" s="4">
        <v>4</v>
      </c>
      <c r="G395" s="30">
        <v>30</v>
      </c>
      <c r="H395" s="33">
        <v>3.6030116358658453</v>
      </c>
      <c r="I395" s="33">
        <v>3.9014373716632442</v>
      </c>
      <c r="J395" s="33">
        <v>7.5044490075290895</v>
      </c>
      <c r="K395" s="33">
        <v>3.6030116358658453</v>
      </c>
      <c r="L395" s="33">
        <v>3.9014373716632442</v>
      </c>
      <c r="M395" s="33">
        <v>7.5044490075290895</v>
      </c>
      <c r="N395" s="33">
        <v>3.6139630390143735</v>
      </c>
      <c r="O395" s="33">
        <v>3.9206023271731691</v>
      </c>
      <c r="P395" s="33">
        <v>7.5345653661875431</v>
      </c>
      <c r="Q395" s="33">
        <v>3.9616700889801506</v>
      </c>
      <c r="R395" s="33">
        <v>3.7727583846680357</v>
      </c>
      <c r="S395" s="33">
        <v>7.7344284736481859</v>
      </c>
      <c r="T395" s="34">
        <v>4</v>
      </c>
      <c r="U395" s="34">
        <v>16</v>
      </c>
      <c r="V395" s="4" t="s">
        <v>1</v>
      </c>
      <c r="W395" s="4">
        <v>1</v>
      </c>
      <c r="X395" s="4">
        <v>1</v>
      </c>
      <c r="Y395" s="4">
        <v>1</v>
      </c>
      <c r="Z395" s="56">
        <v>3</v>
      </c>
      <c r="AA395" s="9" cm="1">
        <f t="array" ref="AA395">IF(OR(AB395:AE395=""),"BLANK",IF(AND(AB395:AE395&lt;999),1,IF(AND(AB395:AE395="NA"),3,2)))</f>
        <v>1</v>
      </c>
      <c r="AB395" s="4">
        <v>31</v>
      </c>
      <c r="AC395" s="4">
        <v>22</v>
      </c>
      <c r="AD395" s="4">
        <v>14</v>
      </c>
      <c r="AE395" s="5">
        <v>67</v>
      </c>
      <c r="AF395" s="9">
        <f t="shared" si="6"/>
        <v>1</v>
      </c>
      <c r="AG395" s="5">
        <v>60</v>
      </c>
      <c r="AH395" s="9" cm="1">
        <f t="array" ref="AH395">IF(OR(AI395:AN395=""),"BLANK",IF(AND(AI395:AN395&lt;99),1,IF(AND(AI395:AN395="NA"),3,2)))</f>
        <v>3</v>
      </c>
      <c r="AI395" s="4" t="s">
        <v>7</v>
      </c>
      <c r="AJ395" s="4" t="s">
        <v>7</v>
      </c>
      <c r="AK395" s="4" t="s">
        <v>7</v>
      </c>
      <c r="AL395" s="4" t="s">
        <v>7</v>
      </c>
      <c r="AM395" s="4" t="s">
        <v>7</v>
      </c>
      <c r="AN395" s="5" t="s">
        <v>7</v>
      </c>
    </row>
    <row r="396" spans="1:40" x14ac:dyDescent="0.2">
      <c r="A396" s="39">
        <v>3946</v>
      </c>
      <c r="B396" s="4" t="s">
        <v>47</v>
      </c>
      <c r="C396" s="30" t="s">
        <v>23</v>
      </c>
      <c r="D396" s="30">
        <v>5</v>
      </c>
      <c r="E396" s="30">
        <v>0</v>
      </c>
      <c r="F396" s="4">
        <v>3.6360000000000001</v>
      </c>
      <c r="G396" s="30">
        <v>29</v>
      </c>
      <c r="H396" s="33">
        <v>2.4996577686516086</v>
      </c>
      <c r="I396" s="33">
        <v>4.3367556468172488</v>
      </c>
      <c r="J396" s="33">
        <v>6.8364134154688569</v>
      </c>
      <c r="K396" s="33">
        <v>2.4996577686516086</v>
      </c>
      <c r="L396" s="33">
        <v>4.3367556468172488</v>
      </c>
      <c r="M396" s="33">
        <v>6.8364134154688569</v>
      </c>
      <c r="N396" s="33">
        <v>2.5078713210130048</v>
      </c>
      <c r="O396" s="33">
        <v>4.2847364818617386</v>
      </c>
      <c r="P396" s="33">
        <v>6.792607802874743</v>
      </c>
      <c r="Q396" s="33">
        <v>3.2963723477070501</v>
      </c>
      <c r="R396" s="33">
        <v>3.7371663244353184</v>
      </c>
      <c r="S396" s="33">
        <v>7.0335386721423685</v>
      </c>
      <c r="T396" s="34">
        <v>5</v>
      </c>
      <c r="U396" s="34">
        <v>16.5</v>
      </c>
      <c r="V396" s="4" t="s">
        <v>1</v>
      </c>
      <c r="W396" s="4">
        <v>1</v>
      </c>
      <c r="X396" s="4">
        <v>1</v>
      </c>
      <c r="Y396" s="4">
        <v>1</v>
      </c>
      <c r="Z396" s="56">
        <v>3</v>
      </c>
      <c r="AA396" s="9" cm="1">
        <f t="array" ref="AA396">IF(OR(AB396:AE396=""),"BLANK",IF(AND(AB396:AE396&lt;999),1,IF(AND(AB396:AE396="NA"),3,2)))</f>
        <v>1</v>
      </c>
      <c r="AB396" s="4">
        <v>30</v>
      </c>
      <c r="AC396" s="4">
        <v>18</v>
      </c>
      <c r="AD396" s="4">
        <v>16</v>
      </c>
      <c r="AE396" s="5">
        <v>64</v>
      </c>
      <c r="AF396" s="9">
        <f t="shared" si="6"/>
        <v>1</v>
      </c>
      <c r="AG396" s="5">
        <v>52</v>
      </c>
      <c r="AH396" s="9" cm="1">
        <f t="array" ref="AH396">IF(OR(AI396:AN396=""),"BLANK",IF(AND(AI396:AN396&lt;99),1,IF(AND(AI396:AN396="NA"),3,2)))</f>
        <v>3</v>
      </c>
      <c r="AI396" s="4" t="s">
        <v>7</v>
      </c>
      <c r="AJ396" s="4" t="s">
        <v>7</v>
      </c>
      <c r="AK396" s="4" t="s">
        <v>7</v>
      </c>
      <c r="AL396" s="4" t="s">
        <v>7</v>
      </c>
      <c r="AM396" s="4" t="s">
        <v>7</v>
      </c>
      <c r="AN396" s="5" t="s">
        <v>7</v>
      </c>
    </row>
    <row r="397" spans="1:40" x14ac:dyDescent="0.2">
      <c r="A397" s="39">
        <v>3983</v>
      </c>
      <c r="B397" s="4" t="s">
        <v>54</v>
      </c>
      <c r="C397" s="30" t="s">
        <v>23</v>
      </c>
      <c r="D397" s="30">
        <v>5</v>
      </c>
      <c r="E397" s="30">
        <v>0</v>
      </c>
      <c r="F397" s="4">
        <v>3.8180000000000001</v>
      </c>
      <c r="G397" s="30">
        <v>29</v>
      </c>
      <c r="H397" s="33" t="s">
        <v>7</v>
      </c>
      <c r="I397" s="33" t="s">
        <v>7</v>
      </c>
      <c r="J397" s="33" t="s">
        <v>7</v>
      </c>
      <c r="K397" s="33" t="s">
        <v>7</v>
      </c>
      <c r="L397" s="33" t="s">
        <v>7</v>
      </c>
      <c r="M397" s="33" t="s">
        <v>7</v>
      </c>
      <c r="N397" s="33" t="s">
        <v>7</v>
      </c>
      <c r="O397" s="33" t="s">
        <v>7</v>
      </c>
      <c r="P397" s="33" t="s">
        <v>7</v>
      </c>
      <c r="Q397" s="33" t="s">
        <v>7</v>
      </c>
      <c r="R397" s="33" t="s">
        <v>7</v>
      </c>
      <c r="S397" s="33" t="s">
        <v>7</v>
      </c>
      <c r="T397" s="34">
        <v>3</v>
      </c>
      <c r="U397" s="34">
        <v>13</v>
      </c>
      <c r="V397" s="4" t="s">
        <v>1</v>
      </c>
      <c r="W397" s="4">
        <v>1</v>
      </c>
      <c r="X397" s="4">
        <v>1</v>
      </c>
      <c r="Y397" s="4">
        <v>1</v>
      </c>
      <c r="Z397" s="56">
        <v>3</v>
      </c>
      <c r="AA397" s="9" cm="1">
        <f t="array" ref="AA397">IF(OR(AB397:AE397=""),"BLANK",IF(AND(AB397:AE397&lt;999),1,IF(AND(AB397:AE397="NA"),3,2)))</f>
        <v>1</v>
      </c>
      <c r="AB397" s="4">
        <v>33</v>
      </c>
      <c r="AC397" s="4">
        <v>19</v>
      </c>
      <c r="AD397" s="4">
        <v>10</v>
      </c>
      <c r="AE397" s="5">
        <v>62</v>
      </c>
      <c r="AF397" s="9">
        <f t="shared" si="6"/>
        <v>1</v>
      </c>
      <c r="AG397" s="5">
        <v>61</v>
      </c>
      <c r="AH397" s="9" cm="1">
        <f t="array" ref="AH397">IF(OR(AI397:AN397=""),"BLANK",IF(AND(AI397:AN397&lt;99),1,IF(AND(AI397:AN397="NA"),3,2)))</f>
        <v>3</v>
      </c>
      <c r="AI397" s="4" t="s">
        <v>7</v>
      </c>
      <c r="AJ397" s="4" t="s">
        <v>7</v>
      </c>
      <c r="AK397" s="4" t="s">
        <v>7</v>
      </c>
      <c r="AL397" s="4" t="s">
        <v>7</v>
      </c>
      <c r="AM397" s="4" t="s">
        <v>7</v>
      </c>
      <c r="AN397" s="5" t="s">
        <v>7</v>
      </c>
    </row>
    <row r="398" spans="1:40" x14ac:dyDescent="0.2">
      <c r="A398" s="39">
        <v>3999</v>
      </c>
      <c r="B398" s="4" t="s">
        <v>62</v>
      </c>
      <c r="C398" s="30" t="s">
        <v>23</v>
      </c>
      <c r="D398" s="30">
        <v>2</v>
      </c>
      <c r="E398" s="30">
        <v>0</v>
      </c>
      <c r="F398" s="4">
        <v>2.9089999999999998</v>
      </c>
      <c r="G398" s="30">
        <v>27</v>
      </c>
      <c r="H398" s="33" t="s">
        <v>7</v>
      </c>
      <c r="I398" s="33" t="s">
        <v>7</v>
      </c>
      <c r="J398" s="33" t="s">
        <v>7</v>
      </c>
      <c r="K398" s="33" t="s">
        <v>7</v>
      </c>
      <c r="L398" s="33" t="s">
        <v>7</v>
      </c>
      <c r="M398" s="33" t="s">
        <v>7</v>
      </c>
      <c r="N398" s="33" t="s">
        <v>7</v>
      </c>
      <c r="O398" s="33" t="s">
        <v>7</v>
      </c>
      <c r="P398" s="33" t="s">
        <v>7</v>
      </c>
      <c r="Q398" s="33" t="s">
        <v>7</v>
      </c>
      <c r="R398" s="33" t="s">
        <v>7</v>
      </c>
      <c r="S398" s="33" t="s">
        <v>7</v>
      </c>
      <c r="T398" s="34">
        <v>3</v>
      </c>
      <c r="U398" s="34">
        <v>15</v>
      </c>
      <c r="V398" s="4" t="s">
        <v>1</v>
      </c>
      <c r="W398" s="4">
        <v>1</v>
      </c>
      <c r="X398" s="4">
        <v>1</v>
      </c>
      <c r="Y398" s="4">
        <v>1</v>
      </c>
      <c r="Z398" s="56">
        <v>3</v>
      </c>
      <c r="AA398" s="9" cm="1">
        <f t="array" ref="AA398">IF(OR(AB398:AE398=""),"BLANK",IF(AND(AB398:AE398&lt;999),1,IF(AND(AB398:AE398="NA"),3,2)))</f>
        <v>1</v>
      </c>
      <c r="AB398" s="4">
        <v>24</v>
      </c>
      <c r="AC398" s="4">
        <v>13</v>
      </c>
      <c r="AD398" s="4">
        <v>10</v>
      </c>
      <c r="AE398" s="5">
        <v>47</v>
      </c>
      <c r="AF398" s="9">
        <f t="shared" si="6"/>
        <v>1</v>
      </c>
      <c r="AG398" s="5">
        <v>35</v>
      </c>
      <c r="AH398" s="9" cm="1">
        <f t="array" ref="AH398">IF(OR(AI398:AN398=""),"BLANK",IF(AND(AI398:AN398&lt;99),1,IF(AND(AI398:AN398="NA"),3,2)))</f>
        <v>3</v>
      </c>
      <c r="AI398" s="4" t="s">
        <v>7</v>
      </c>
      <c r="AJ398" s="4" t="s">
        <v>7</v>
      </c>
      <c r="AK398" s="4" t="s">
        <v>7</v>
      </c>
      <c r="AL398" s="4" t="s">
        <v>7</v>
      </c>
      <c r="AM398" s="4" t="s">
        <v>7</v>
      </c>
      <c r="AN398" s="5" t="s">
        <v>7</v>
      </c>
    </row>
    <row r="399" spans="1:40" x14ac:dyDescent="0.2">
      <c r="A399" s="39">
        <v>4030</v>
      </c>
      <c r="B399" s="4" t="s">
        <v>58</v>
      </c>
      <c r="C399" s="30" t="s">
        <v>23</v>
      </c>
      <c r="D399" s="30">
        <v>5</v>
      </c>
      <c r="E399" s="30">
        <v>0</v>
      </c>
      <c r="F399" s="4">
        <v>4</v>
      </c>
      <c r="G399" s="30">
        <v>27</v>
      </c>
      <c r="H399" s="33" t="s">
        <v>7</v>
      </c>
      <c r="I399" s="33" t="s">
        <v>7</v>
      </c>
      <c r="J399" s="33" t="s">
        <v>7</v>
      </c>
      <c r="K399" s="33" t="s">
        <v>7</v>
      </c>
      <c r="L399" s="33" t="s">
        <v>7</v>
      </c>
      <c r="M399" s="33" t="s">
        <v>7</v>
      </c>
      <c r="N399" s="33" t="s">
        <v>7</v>
      </c>
      <c r="O399" s="33" t="s">
        <v>7</v>
      </c>
      <c r="P399" s="33" t="s">
        <v>7</v>
      </c>
      <c r="Q399" s="33" t="s">
        <v>7</v>
      </c>
      <c r="R399" s="33" t="s">
        <v>7</v>
      </c>
      <c r="S399" s="33" t="s">
        <v>7</v>
      </c>
      <c r="T399" s="34">
        <v>2</v>
      </c>
      <c r="U399" s="34">
        <v>12</v>
      </c>
      <c r="V399" s="4" t="s">
        <v>1</v>
      </c>
      <c r="W399" s="4">
        <v>1</v>
      </c>
      <c r="X399" s="4">
        <v>1</v>
      </c>
      <c r="Y399" s="4">
        <v>1</v>
      </c>
      <c r="Z399" s="56">
        <v>3</v>
      </c>
      <c r="AA399" s="9" cm="1">
        <f t="array" ref="AA399">IF(OR(AB399:AE399=""),"BLANK",IF(AND(AB399:AE399&lt;999),1,IF(AND(AB399:AE399="NA"),3,2)))</f>
        <v>1</v>
      </c>
      <c r="AB399" s="4">
        <v>24</v>
      </c>
      <c r="AC399" s="4">
        <v>15</v>
      </c>
      <c r="AD399" s="4">
        <v>12</v>
      </c>
      <c r="AE399" s="5">
        <v>51</v>
      </c>
      <c r="AF399" s="9">
        <f t="shared" si="6"/>
        <v>1</v>
      </c>
      <c r="AG399" s="5">
        <v>50</v>
      </c>
      <c r="AH399" s="9" cm="1">
        <f t="array" ref="AH399">IF(OR(AI399:AN399=""),"BLANK",IF(AND(AI399:AN399&lt;99),1,IF(AND(AI399:AN399="NA"),3,2)))</f>
        <v>3</v>
      </c>
      <c r="AI399" s="4" t="s">
        <v>7</v>
      </c>
      <c r="AJ399" s="4" t="s">
        <v>7</v>
      </c>
      <c r="AK399" s="4" t="s">
        <v>7</v>
      </c>
      <c r="AL399" s="4" t="s">
        <v>7</v>
      </c>
      <c r="AM399" s="4" t="s">
        <v>7</v>
      </c>
      <c r="AN399" s="5" t="s">
        <v>7</v>
      </c>
    </row>
    <row r="400" spans="1:40" x14ac:dyDescent="0.2">
      <c r="A400" s="39">
        <v>4033</v>
      </c>
      <c r="B400" s="4" t="s">
        <v>54</v>
      </c>
      <c r="C400" s="30" t="s">
        <v>24</v>
      </c>
      <c r="D400" s="30">
        <v>2</v>
      </c>
      <c r="E400" s="30">
        <v>0</v>
      </c>
      <c r="F400" s="4">
        <v>3.6360000000000001</v>
      </c>
      <c r="G400" s="30">
        <v>27</v>
      </c>
      <c r="H400" s="33">
        <v>3.4770704996577688</v>
      </c>
      <c r="I400" s="33" t="s">
        <v>7</v>
      </c>
      <c r="J400" s="33" t="s">
        <v>7</v>
      </c>
      <c r="K400" s="33">
        <v>3.4770704996577688</v>
      </c>
      <c r="L400" s="33" t="s">
        <v>7</v>
      </c>
      <c r="M400" s="33" t="s">
        <v>7</v>
      </c>
      <c r="N400" s="33">
        <v>3.485284052019165</v>
      </c>
      <c r="O400" s="33" t="s">
        <v>7</v>
      </c>
      <c r="P400" s="33" t="s">
        <v>7</v>
      </c>
      <c r="Q400" s="33">
        <v>4.0355920602327169</v>
      </c>
      <c r="R400" s="33" t="s">
        <v>7</v>
      </c>
      <c r="S400" s="33" t="s">
        <v>7</v>
      </c>
      <c r="T400" s="34">
        <v>4</v>
      </c>
      <c r="U400" s="34">
        <v>16</v>
      </c>
      <c r="V400" s="4" t="s">
        <v>1</v>
      </c>
      <c r="W400" s="4">
        <v>1</v>
      </c>
      <c r="X400" s="4">
        <v>1</v>
      </c>
      <c r="Y400" s="4">
        <v>1</v>
      </c>
      <c r="Z400" s="56">
        <v>3</v>
      </c>
      <c r="AA400" s="9" cm="1">
        <f t="array" ref="AA400">IF(OR(AB400:AE400=""),"BLANK",IF(AND(AB400:AE400&lt;999),1,IF(AND(AB400:AE400="NA"),3,2)))</f>
        <v>1</v>
      </c>
      <c r="AB400" s="4">
        <v>32</v>
      </c>
      <c r="AC400" s="4">
        <v>15</v>
      </c>
      <c r="AD400" s="4">
        <v>9</v>
      </c>
      <c r="AE400" s="5">
        <v>56</v>
      </c>
      <c r="AF400" s="9">
        <f t="shared" si="6"/>
        <v>1</v>
      </c>
      <c r="AG400" s="5">
        <v>43</v>
      </c>
      <c r="AH400" s="9" cm="1">
        <f t="array" ref="AH400">IF(OR(AI400:AN400=""),"BLANK",IF(AND(AI400:AN400&lt;99),1,IF(AND(AI400:AN400="NA"),3,2)))</f>
        <v>3</v>
      </c>
      <c r="AI400" s="4" t="s">
        <v>7</v>
      </c>
      <c r="AJ400" s="4" t="s">
        <v>7</v>
      </c>
      <c r="AK400" s="4" t="s">
        <v>7</v>
      </c>
      <c r="AL400" s="4" t="s">
        <v>7</v>
      </c>
      <c r="AM400" s="4" t="s">
        <v>7</v>
      </c>
      <c r="AN400" s="5" t="s">
        <v>7</v>
      </c>
    </row>
    <row r="401" spans="1:40" x14ac:dyDescent="0.2">
      <c r="A401" s="39">
        <v>4104</v>
      </c>
      <c r="B401" s="4" t="s">
        <v>46</v>
      </c>
      <c r="C401" s="30" t="s">
        <v>23</v>
      </c>
      <c r="D401" s="30">
        <v>5</v>
      </c>
      <c r="E401" s="30">
        <v>0</v>
      </c>
      <c r="F401" s="4">
        <v>4</v>
      </c>
      <c r="G401" s="30">
        <v>27</v>
      </c>
      <c r="H401" s="33">
        <v>3.6605065023956196</v>
      </c>
      <c r="I401" s="33" t="s">
        <v>7</v>
      </c>
      <c r="J401" s="33" t="s">
        <v>7</v>
      </c>
      <c r="K401" s="33">
        <v>3.6605065023956196</v>
      </c>
      <c r="L401" s="33" t="s">
        <v>7</v>
      </c>
      <c r="M401" s="33" t="s">
        <v>7</v>
      </c>
      <c r="N401" s="33">
        <v>3.6659822039698837</v>
      </c>
      <c r="O401" s="33" t="s">
        <v>7</v>
      </c>
      <c r="P401" s="33" t="s">
        <v>7</v>
      </c>
      <c r="Q401" s="33" t="s">
        <v>7</v>
      </c>
      <c r="R401" s="33" t="s">
        <v>7</v>
      </c>
      <c r="S401" s="33" t="s">
        <v>7</v>
      </c>
      <c r="T401" s="34">
        <v>3</v>
      </c>
      <c r="U401" s="34">
        <v>14</v>
      </c>
      <c r="V401" s="4" t="s">
        <v>1</v>
      </c>
      <c r="W401" s="4">
        <v>1</v>
      </c>
      <c r="X401" s="4">
        <v>1</v>
      </c>
      <c r="Y401" s="4">
        <v>1</v>
      </c>
      <c r="Z401" s="56">
        <v>3</v>
      </c>
      <c r="AA401" s="9" cm="1">
        <f t="array" ref="AA401">IF(OR(AB401:AE401=""),"BLANK",IF(AND(AB401:AE401&lt;999),1,IF(AND(AB401:AE401="NA"),3,2)))</f>
        <v>1</v>
      </c>
      <c r="AB401" s="4">
        <v>36</v>
      </c>
      <c r="AC401" s="4">
        <v>16</v>
      </c>
      <c r="AD401" s="4">
        <v>14</v>
      </c>
      <c r="AE401" s="5">
        <v>66</v>
      </c>
      <c r="AF401" s="9">
        <f t="shared" si="6"/>
        <v>1</v>
      </c>
      <c r="AG401" s="5">
        <v>47</v>
      </c>
      <c r="AH401" s="9" cm="1">
        <f t="array" ref="AH401">IF(OR(AI401:AN401=""),"BLANK",IF(AND(AI401:AN401&lt;99),1,IF(AND(AI401:AN401="NA"),3,2)))</f>
        <v>3</v>
      </c>
      <c r="AI401" s="4" t="s">
        <v>7</v>
      </c>
      <c r="AJ401" s="4" t="s">
        <v>7</v>
      </c>
      <c r="AK401" s="4" t="s">
        <v>7</v>
      </c>
      <c r="AL401" s="4" t="s">
        <v>7</v>
      </c>
      <c r="AM401" s="4" t="s">
        <v>7</v>
      </c>
      <c r="AN401" s="5" t="s">
        <v>7</v>
      </c>
    </row>
    <row r="402" spans="1:40" x14ac:dyDescent="0.2">
      <c r="A402" s="39">
        <v>4129</v>
      </c>
      <c r="B402" s="4" t="s">
        <v>62</v>
      </c>
      <c r="C402" s="30" t="s">
        <v>23</v>
      </c>
      <c r="D402" s="30">
        <v>5</v>
      </c>
      <c r="E402" s="30">
        <v>0</v>
      </c>
      <c r="F402" s="4">
        <v>3.8180000000000001</v>
      </c>
      <c r="G402" s="30">
        <v>27</v>
      </c>
      <c r="H402" s="33">
        <v>3.9069130732375084</v>
      </c>
      <c r="I402" s="33" t="s">
        <v>7</v>
      </c>
      <c r="J402" s="33" t="s">
        <v>7</v>
      </c>
      <c r="K402" s="33">
        <v>3.9014373716632442</v>
      </c>
      <c r="L402" s="33" t="s">
        <v>7</v>
      </c>
      <c r="M402" s="33" t="s">
        <v>7</v>
      </c>
      <c r="N402" s="33">
        <v>3.9644079397672827</v>
      </c>
      <c r="O402" s="33" t="s">
        <v>7</v>
      </c>
      <c r="P402" s="33" t="s">
        <v>7</v>
      </c>
      <c r="Q402" s="33" t="s">
        <v>7</v>
      </c>
      <c r="R402" s="33" t="s">
        <v>7</v>
      </c>
      <c r="S402" s="33" t="s">
        <v>7</v>
      </c>
      <c r="T402" s="34">
        <v>3</v>
      </c>
      <c r="U402" s="34">
        <v>14</v>
      </c>
      <c r="V402" s="4" t="s">
        <v>1</v>
      </c>
      <c r="W402" s="4">
        <v>1</v>
      </c>
      <c r="X402" s="4">
        <v>1</v>
      </c>
      <c r="Y402" s="4">
        <v>1</v>
      </c>
      <c r="Z402" s="56">
        <v>3</v>
      </c>
      <c r="AA402" s="9" cm="1">
        <f t="array" ref="AA402">IF(OR(AB402:AE402=""),"BLANK",IF(AND(AB402:AE402&lt;999),1,IF(AND(AB402:AE402="NA"),3,2)))</f>
        <v>1</v>
      </c>
      <c r="AB402" s="4">
        <v>22</v>
      </c>
      <c r="AC402" s="4">
        <v>8</v>
      </c>
      <c r="AD402" s="4">
        <v>7</v>
      </c>
      <c r="AE402" s="5">
        <v>37</v>
      </c>
      <c r="AF402" s="9">
        <f t="shared" si="6"/>
        <v>1</v>
      </c>
      <c r="AG402" s="5">
        <v>47</v>
      </c>
      <c r="AH402" s="9" cm="1">
        <f t="array" ref="AH402">IF(OR(AI402:AN402=""),"BLANK",IF(AND(AI402:AN402&lt;99),1,IF(AND(AI402:AN402="NA"),3,2)))</f>
        <v>3</v>
      </c>
      <c r="AI402" s="4" t="s">
        <v>7</v>
      </c>
      <c r="AJ402" s="4" t="s">
        <v>7</v>
      </c>
      <c r="AK402" s="4" t="s">
        <v>7</v>
      </c>
      <c r="AL402" s="4" t="s">
        <v>7</v>
      </c>
      <c r="AM402" s="4" t="s">
        <v>7</v>
      </c>
      <c r="AN402" s="5" t="s">
        <v>7</v>
      </c>
    </row>
    <row r="403" spans="1:40" x14ac:dyDescent="0.2">
      <c r="A403" s="39">
        <v>4165</v>
      </c>
      <c r="B403" s="4" t="s">
        <v>47</v>
      </c>
      <c r="C403" s="30" t="s">
        <v>23</v>
      </c>
      <c r="D403" s="30">
        <v>5</v>
      </c>
      <c r="E403" s="30">
        <v>0</v>
      </c>
      <c r="F403" s="4">
        <v>3.6360000000000001</v>
      </c>
      <c r="G403" s="30">
        <v>27</v>
      </c>
      <c r="H403" s="33" t="s">
        <v>7</v>
      </c>
      <c r="I403" s="33" t="s">
        <v>7</v>
      </c>
      <c r="J403" s="33" t="s">
        <v>7</v>
      </c>
      <c r="K403" s="33" t="s">
        <v>7</v>
      </c>
      <c r="L403" s="33" t="s">
        <v>7</v>
      </c>
      <c r="M403" s="33" t="s">
        <v>7</v>
      </c>
      <c r="N403" s="33" t="s">
        <v>7</v>
      </c>
      <c r="O403" s="33" t="s">
        <v>7</v>
      </c>
      <c r="P403" s="33" t="s">
        <v>7</v>
      </c>
      <c r="Q403" s="33" t="s">
        <v>7</v>
      </c>
      <c r="R403" s="33" t="s">
        <v>7</v>
      </c>
      <c r="S403" s="33" t="s">
        <v>7</v>
      </c>
      <c r="T403" s="34">
        <v>3</v>
      </c>
      <c r="U403" s="34">
        <v>14</v>
      </c>
      <c r="V403" s="4" t="s">
        <v>1</v>
      </c>
      <c r="W403" s="4">
        <v>1</v>
      </c>
      <c r="X403" s="4">
        <v>1</v>
      </c>
      <c r="Y403" s="4">
        <v>1</v>
      </c>
      <c r="Z403" s="56">
        <v>3</v>
      </c>
      <c r="AA403" s="9" cm="1">
        <f t="array" ref="AA403">IF(OR(AB403:AE403=""),"BLANK",IF(AND(AB403:AE403&lt;999),1,IF(AND(AB403:AE403="NA"),3,2)))</f>
        <v>1</v>
      </c>
      <c r="AB403" s="4">
        <v>28</v>
      </c>
      <c r="AC403" s="4">
        <v>18</v>
      </c>
      <c r="AD403" s="4">
        <v>15</v>
      </c>
      <c r="AE403" s="5">
        <v>61</v>
      </c>
      <c r="AF403" s="9">
        <f t="shared" si="6"/>
        <v>1</v>
      </c>
      <c r="AG403" s="5">
        <v>48</v>
      </c>
      <c r="AH403" s="9" cm="1">
        <f t="array" ref="AH403">IF(OR(AI403:AN403=""),"BLANK",IF(AND(AI403:AN403&lt;99),1,IF(AND(AI403:AN403="NA"),3,2)))</f>
        <v>3</v>
      </c>
      <c r="AI403" s="4" t="s">
        <v>7</v>
      </c>
      <c r="AJ403" s="4" t="s">
        <v>7</v>
      </c>
      <c r="AK403" s="4" t="s">
        <v>7</v>
      </c>
      <c r="AL403" s="4" t="s">
        <v>7</v>
      </c>
      <c r="AM403" s="4" t="s">
        <v>7</v>
      </c>
      <c r="AN403" s="5" t="s">
        <v>7</v>
      </c>
    </row>
    <row r="404" spans="1:40" x14ac:dyDescent="0.2">
      <c r="A404" s="39">
        <v>4169</v>
      </c>
      <c r="B404" s="4" t="s">
        <v>47</v>
      </c>
      <c r="C404" s="30" t="s">
        <v>23</v>
      </c>
      <c r="D404" s="30">
        <v>5</v>
      </c>
      <c r="E404" s="30">
        <v>0</v>
      </c>
      <c r="F404" s="4">
        <v>4</v>
      </c>
      <c r="G404" s="30">
        <v>29</v>
      </c>
      <c r="H404" s="33">
        <v>3.6906228610540723</v>
      </c>
      <c r="I404" s="33" t="s">
        <v>7</v>
      </c>
      <c r="J404" s="33" t="s">
        <v>7</v>
      </c>
      <c r="K404" s="33">
        <v>4.0027378507871321</v>
      </c>
      <c r="L404" s="33" t="s">
        <v>7</v>
      </c>
      <c r="M404" s="33" t="s">
        <v>7</v>
      </c>
      <c r="N404" s="33">
        <v>3.676933607118412</v>
      </c>
      <c r="O404" s="33" t="s">
        <v>7</v>
      </c>
      <c r="P404" s="33" t="s">
        <v>7</v>
      </c>
      <c r="Q404" s="33" t="s">
        <v>7</v>
      </c>
      <c r="R404" s="33" t="s">
        <v>7</v>
      </c>
      <c r="S404" s="33" t="s">
        <v>7</v>
      </c>
      <c r="T404" s="34">
        <v>4</v>
      </c>
      <c r="U404" s="34">
        <v>16</v>
      </c>
      <c r="V404" s="4" t="s">
        <v>1</v>
      </c>
      <c r="W404" s="4">
        <v>1</v>
      </c>
      <c r="X404" s="4">
        <v>1</v>
      </c>
      <c r="Y404" s="4">
        <v>1</v>
      </c>
      <c r="Z404" s="56">
        <v>3</v>
      </c>
      <c r="AA404" s="9" cm="1">
        <f t="array" ref="AA404">IF(OR(AB404:AE404=""),"BLANK",IF(AND(AB404:AE404&lt;999),1,IF(AND(AB404:AE404="NA"),3,2)))</f>
        <v>1</v>
      </c>
      <c r="AB404" s="4">
        <v>28</v>
      </c>
      <c r="AC404" s="4">
        <v>17</v>
      </c>
      <c r="AD404" s="4">
        <v>13</v>
      </c>
      <c r="AE404" s="5">
        <v>58</v>
      </c>
      <c r="AF404" s="9">
        <f t="shared" si="6"/>
        <v>1</v>
      </c>
      <c r="AG404" s="5">
        <v>42</v>
      </c>
      <c r="AH404" s="9" cm="1">
        <f t="array" ref="AH404">IF(OR(AI404:AN404=""),"BLANK",IF(AND(AI404:AN404&lt;99),1,IF(AND(AI404:AN404="NA"),3,2)))</f>
        <v>3</v>
      </c>
      <c r="AI404" s="4" t="s">
        <v>7</v>
      </c>
      <c r="AJ404" s="4" t="s">
        <v>7</v>
      </c>
      <c r="AK404" s="4" t="s">
        <v>7</v>
      </c>
      <c r="AL404" s="4" t="s">
        <v>7</v>
      </c>
      <c r="AM404" s="4" t="s">
        <v>7</v>
      </c>
      <c r="AN404" s="5" t="s">
        <v>7</v>
      </c>
    </row>
    <row r="405" spans="1:40" x14ac:dyDescent="0.2">
      <c r="A405" s="39">
        <v>4172</v>
      </c>
      <c r="B405" s="4" t="s">
        <v>46</v>
      </c>
      <c r="C405" s="30" t="s">
        <v>24</v>
      </c>
      <c r="D405" s="30">
        <v>5</v>
      </c>
      <c r="E405" s="30">
        <v>0</v>
      </c>
      <c r="F405" s="4">
        <v>3.7269999999999999</v>
      </c>
      <c r="G405" s="30">
        <v>29</v>
      </c>
      <c r="H405" s="33">
        <v>3.5838466803559208</v>
      </c>
      <c r="I405" s="33" t="s">
        <v>7</v>
      </c>
      <c r="J405" s="33" t="s">
        <v>7</v>
      </c>
      <c r="K405" s="33">
        <v>3.5838466803559208</v>
      </c>
      <c r="L405" s="33" t="s">
        <v>7</v>
      </c>
      <c r="M405" s="33" t="s">
        <v>7</v>
      </c>
      <c r="N405" s="33">
        <v>3.6030116358658453</v>
      </c>
      <c r="O405" s="33" t="s">
        <v>7</v>
      </c>
      <c r="P405" s="33" t="s">
        <v>7</v>
      </c>
      <c r="Q405" s="33">
        <v>3.8302532511978096</v>
      </c>
      <c r="R405" s="33" t="s">
        <v>7</v>
      </c>
      <c r="S405" s="33" t="s">
        <v>7</v>
      </c>
      <c r="T405" s="34">
        <v>1</v>
      </c>
      <c r="U405" s="34">
        <v>11</v>
      </c>
      <c r="V405" s="4" t="s">
        <v>1</v>
      </c>
      <c r="W405" s="4">
        <v>1</v>
      </c>
      <c r="X405" s="4">
        <v>1</v>
      </c>
      <c r="Y405" s="4">
        <v>1</v>
      </c>
      <c r="Z405" s="56">
        <v>3</v>
      </c>
      <c r="AA405" s="9" cm="1">
        <f t="array" ref="AA405">IF(OR(AB405:AE405=""),"BLANK",IF(AND(AB405:AE405&lt;999),1,IF(AND(AB405:AE405="NA"),3,2)))</f>
        <v>1</v>
      </c>
      <c r="AB405" s="4">
        <v>26</v>
      </c>
      <c r="AC405" s="4">
        <v>14</v>
      </c>
      <c r="AD405" s="4">
        <v>8</v>
      </c>
      <c r="AE405" s="5">
        <v>48</v>
      </c>
      <c r="AF405" s="9">
        <f t="shared" si="6"/>
        <v>1</v>
      </c>
      <c r="AG405" s="5">
        <v>53</v>
      </c>
      <c r="AH405" s="9" cm="1">
        <f t="array" ref="AH405">IF(OR(AI405:AN405=""),"BLANK",IF(AND(AI405:AN405&lt;99),1,IF(AND(AI405:AN405="NA"),3,2)))</f>
        <v>3</v>
      </c>
      <c r="AI405" s="4" t="s">
        <v>7</v>
      </c>
      <c r="AJ405" s="4" t="s">
        <v>7</v>
      </c>
      <c r="AK405" s="4" t="s">
        <v>7</v>
      </c>
      <c r="AL405" s="4" t="s">
        <v>7</v>
      </c>
      <c r="AM405" s="4" t="s">
        <v>7</v>
      </c>
      <c r="AN405" s="5" t="s">
        <v>7</v>
      </c>
    </row>
    <row r="406" spans="1:40" x14ac:dyDescent="0.2">
      <c r="A406" s="39">
        <v>4195</v>
      </c>
      <c r="B406" s="4" t="s">
        <v>48</v>
      </c>
      <c r="C406" s="30" t="s">
        <v>24</v>
      </c>
      <c r="D406" s="30">
        <v>5</v>
      </c>
      <c r="E406" s="30">
        <v>0</v>
      </c>
      <c r="F406" s="4">
        <v>3.6360000000000001</v>
      </c>
      <c r="G406" s="30">
        <v>30</v>
      </c>
      <c r="H406" s="33" t="s">
        <v>7</v>
      </c>
      <c r="I406" s="33" t="s">
        <v>7</v>
      </c>
      <c r="J406" s="33" t="s">
        <v>7</v>
      </c>
      <c r="K406" s="33" t="s">
        <v>7</v>
      </c>
      <c r="L406" s="33" t="s">
        <v>7</v>
      </c>
      <c r="M406" s="33" t="s">
        <v>7</v>
      </c>
      <c r="N406" s="33" t="s">
        <v>7</v>
      </c>
      <c r="O406" s="33" t="s">
        <v>7</v>
      </c>
      <c r="P406" s="33" t="s">
        <v>7</v>
      </c>
      <c r="Q406" s="33" t="s">
        <v>7</v>
      </c>
      <c r="R406" s="33" t="s">
        <v>7</v>
      </c>
      <c r="S406" s="33" t="s">
        <v>7</v>
      </c>
      <c r="T406" s="34">
        <v>2</v>
      </c>
      <c r="U406" s="34">
        <v>12</v>
      </c>
      <c r="V406" s="4" t="s">
        <v>1</v>
      </c>
      <c r="W406" s="4">
        <v>1</v>
      </c>
      <c r="X406" s="4">
        <v>1</v>
      </c>
      <c r="Y406" s="4">
        <v>1</v>
      </c>
      <c r="Z406" s="56">
        <v>3</v>
      </c>
      <c r="AA406" s="9" cm="1">
        <f t="array" ref="AA406">IF(OR(AB406:AE406=""),"BLANK",IF(AND(AB406:AE406&lt;999),1,IF(AND(AB406:AE406="NA"),3,2)))</f>
        <v>1</v>
      </c>
      <c r="AB406" s="4">
        <v>25</v>
      </c>
      <c r="AC406" s="4">
        <v>12</v>
      </c>
      <c r="AD406" s="4">
        <v>9</v>
      </c>
      <c r="AE406" s="5">
        <v>46</v>
      </c>
      <c r="AF406" s="9">
        <f t="shared" si="6"/>
        <v>1</v>
      </c>
      <c r="AG406" s="5">
        <v>28</v>
      </c>
      <c r="AH406" s="9" cm="1">
        <f t="array" ref="AH406">IF(OR(AI406:AN406=""),"BLANK",IF(AND(AI406:AN406&lt;99),1,IF(AND(AI406:AN406="NA"),3,2)))</f>
        <v>3</v>
      </c>
      <c r="AI406" s="4" t="s">
        <v>7</v>
      </c>
      <c r="AJ406" s="4" t="s">
        <v>7</v>
      </c>
      <c r="AK406" s="4" t="s">
        <v>7</v>
      </c>
      <c r="AL406" s="4" t="s">
        <v>7</v>
      </c>
      <c r="AM406" s="4" t="s">
        <v>7</v>
      </c>
      <c r="AN406" s="5" t="s">
        <v>7</v>
      </c>
    </row>
    <row r="407" spans="1:40" x14ac:dyDescent="0.2">
      <c r="A407" s="39">
        <v>4196</v>
      </c>
      <c r="B407" s="4" t="s">
        <v>65</v>
      </c>
      <c r="C407" s="30" t="s">
        <v>24</v>
      </c>
      <c r="D407" s="30">
        <v>5</v>
      </c>
      <c r="E407" s="30">
        <v>0</v>
      </c>
      <c r="F407" s="4">
        <v>3.2730000000000001</v>
      </c>
      <c r="G407" s="30">
        <v>29</v>
      </c>
      <c r="H407" s="33">
        <v>3.4579055441478439</v>
      </c>
      <c r="I407" s="33">
        <v>4.0109514031485283</v>
      </c>
      <c r="J407" s="33">
        <v>7.4688569472963726</v>
      </c>
      <c r="K407" s="33">
        <v>3.4579055441478439</v>
      </c>
      <c r="L407" s="33">
        <v>4.0136892539356603</v>
      </c>
      <c r="M407" s="33">
        <v>7.4715947980835047</v>
      </c>
      <c r="N407" s="33">
        <v>3.4168377823408624</v>
      </c>
      <c r="O407" s="33">
        <v>3.5865845311430529</v>
      </c>
      <c r="P407" s="33">
        <v>7.0034223134839149</v>
      </c>
      <c r="Q407" s="33">
        <v>3.5181382614647503</v>
      </c>
      <c r="R407" s="33" t="s">
        <v>7</v>
      </c>
      <c r="S407" s="33" t="s">
        <v>7</v>
      </c>
      <c r="T407" s="34">
        <v>3</v>
      </c>
      <c r="U407" s="34">
        <v>14</v>
      </c>
      <c r="V407" s="4" t="s">
        <v>1</v>
      </c>
      <c r="W407" s="4">
        <v>1</v>
      </c>
      <c r="X407" s="4">
        <v>1</v>
      </c>
      <c r="Y407" s="4">
        <v>1</v>
      </c>
      <c r="Z407" s="56">
        <v>3</v>
      </c>
      <c r="AA407" s="9" cm="1">
        <f t="array" ref="AA407">IF(OR(AB407:AE407=""),"BLANK",IF(AND(AB407:AE407&lt;999),1,IF(AND(AB407:AE407="NA"),3,2)))</f>
        <v>1</v>
      </c>
      <c r="AB407" s="4">
        <v>27</v>
      </c>
      <c r="AC407" s="4">
        <v>15</v>
      </c>
      <c r="AD407" s="4">
        <v>9</v>
      </c>
      <c r="AE407" s="5">
        <v>51</v>
      </c>
      <c r="AF407" s="9">
        <f t="shared" si="6"/>
        <v>1</v>
      </c>
      <c r="AG407" s="5">
        <v>48</v>
      </c>
      <c r="AH407" s="9" cm="1">
        <f t="array" ref="AH407">IF(OR(AI407:AN407=""),"BLANK",IF(AND(AI407:AN407&lt;99),1,IF(AND(AI407:AN407="NA"),3,2)))</f>
        <v>3</v>
      </c>
      <c r="AI407" s="4" t="s">
        <v>7</v>
      </c>
      <c r="AJ407" s="4" t="s">
        <v>7</v>
      </c>
      <c r="AK407" s="4" t="s">
        <v>7</v>
      </c>
      <c r="AL407" s="4" t="s">
        <v>7</v>
      </c>
      <c r="AM407" s="4" t="s">
        <v>7</v>
      </c>
      <c r="AN407" s="5" t="s">
        <v>7</v>
      </c>
    </row>
    <row r="408" spans="1:40" x14ac:dyDescent="0.2">
      <c r="A408" s="39">
        <v>4240</v>
      </c>
      <c r="B408" s="4" t="s">
        <v>66</v>
      </c>
      <c r="C408" s="30" t="s">
        <v>24</v>
      </c>
      <c r="D408" s="30">
        <v>5</v>
      </c>
      <c r="E408" s="30">
        <v>0</v>
      </c>
      <c r="F408" s="4">
        <v>3.6360000000000001</v>
      </c>
      <c r="G408" s="30">
        <v>29</v>
      </c>
      <c r="H408" s="33">
        <v>3.5838466803559208</v>
      </c>
      <c r="I408" s="33" t="s">
        <v>7</v>
      </c>
      <c r="J408" s="33" t="s">
        <v>7</v>
      </c>
      <c r="K408" s="33">
        <v>3.5838466803559208</v>
      </c>
      <c r="L408" s="33" t="s">
        <v>7</v>
      </c>
      <c r="M408" s="33" t="s">
        <v>7</v>
      </c>
      <c r="N408" s="33">
        <v>3.7946611909650922</v>
      </c>
      <c r="O408" s="33" t="s">
        <v>7</v>
      </c>
      <c r="P408" s="33" t="s">
        <v>7</v>
      </c>
      <c r="Q408" s="33">
        <v>3.7344284736481863</v>
      </c>
      <c r="R408" s="33" t="s">
        <v>7</v>
      </c>
      <c r="S408" s="33" t="s">
        <v>7</v>
      </c>
      <c r="T408" s="34">
        <v>4</v>
      </c>
      <c r="U408" s="34">
        <v>16</v>
      </c>
      <c r="V408" s="4" t="s">
        <v>1</v>
      </c>
      <c r="W408" s="4">
        <v>1</v>
      </c>
      <c r="X408" s="4">
        <v>1</v>
      </c>
      <c r="Y408" s="4">
        <v>1</v>
      </c>
      <c r="Z408" s="56">
        <v>3</v>
      </c>
      <c r="AA408" s="9" cm="1">
        <f t="array" ref="AA408">IF(OR(AB408:AE408=""),"BLANK",IF(AND(AB408:AE408&lt;999),1,IF(AND(AB408:AE408="NA"),3,2)))</f>
        <v>1</v>
      </c>
      <c r="AB408" s="4">
        <v>18</v>
      </c>
      <c r="AC408" s="4">
        <v>11</v>
      </c>
      <c r="AD408" s="4">
        <v>7</v>
      </c>
      <c r="AE408" s="5">
        <v>36</v>
      </c>
      <c r="AF408" s="9">
        <f t="shared" si="6"/>
        <v>1</v>
      </c>
      <c r="AG408" s="5">
        <v>47</v>
      </c>
      <c r="AH408" s="9" cm="1">
        <f t="array" ref="AH408">IF(OR(AI408:AN408=""),"BLANK",IF(AND(AI408:AN408&lt;99),1,IF(AND(AI408:AN408="NA"),3,2)))</f>
        <v>3</v>
      </c>
      <c r="AI408" s="4" t="s">
        <v>7</v>
      </c>
      <c r="AJ408" s="4" t="s">
        <v>7</v>
      </c>
      <c r="AK408" s="4" t="s">
        <v>7</v>
      </c>
      <c r="AL408" s="4" t="s">
        <v>7</v>
      </c>
      <c r="AM408" s="4" t="s">
        <v>7</v>
      </c>
      <c r="AN408" s="5" t="s">
        <v>7</v>
      </c>
    </row>
    <row r="409" spans="1:40" x14ac:dyDescent="0.2">
      <c r="A409" s="39">
        <v>4245</v>
      </c>
      <c r="B409" s="4" t="s">
        <v>50</v>
      </c>
      <c r="C409" s="30" t="s">
        <v>23</v>
      </c>
      <c r="D409" s="30">
        <v>5</v>
      </c>
      <c r="E409" s="30">
        <v>0</v>
      </c>
      <c r="F409" s="4">
        <v>4</v>
      </c>
      <c r="G409" s="30" t="s">
        <v>7</v>
      </c>
      <c r="H409" s="33" t="s">
        <v>7</v>
      </c>
      <c r="I409" s="33" t="s">
        <v>7</v>
      </c>
      <c r="J409" s="33" t="s">
        <v>7</v>
      </c>
      <c r="K409" s="33" t="s">
        <v>7</v>
      </c>
      <c r="L409" s="33" t="s">
        <v>7</v>
      </c>
      <c r="M409" s="33" t="s">
        <v>7</v>
      </c>
      <c r="N409" s="33" t="s">
        <v>7</v>
      </c>
      <c r="O409" s="33" t="s">
        <v>7</v>
      </c>
      <c r="P409" s="33" t="s">
        <v>7</v>
      </c>
      <c r="Q409" s="33" t="s">
        <v>7</v>
      </c>
      <c r="R409" s="33" t="s">
        <v>7</v>
      </c>
      <c r="S409" s="33" t="s">
        <v>7</v>
      </c>
      <c r="T409" s="34">
        <v>3</v>
      </c>
      <c r="U409" s="34">
        <v>13</v>
      </c>
      <c r="V409" s="4" t="s">
        <v>1</v>
      </c>
      <c r="W409" s="4">
        <v>1</v>
      </c>
      <c r="X409" s="4">
        <v>1</v>
      </c>
      <c r="Y409" s="4">
        <v>1</v>
      </c>
      <c r="Z409" s="56">
        <v>3</v>
      </c>
      <c r="AA409" s="9" cm="1">
        <f t="array" ref="AA409">IF(OR(AB409:AE409=""),"BLANK",IF(AND(AB409:AE409&lt;999),1,IF(AND(AB409:AE409="NA"),3,2)))</f>
        <v>3</v>
      </c>
      <c r="AB409" s="4" t="s">
        <v>7</v>
      </c>
      <c r="AC409" s="4" t="s">
        <v>7</v>
      </c>
      <c r="AD409" s="4" t="s">
        <v>7</v>
      </c>
      <c r="AE409" s="5" t="s">
        <v>7</v>
      </c>
      <c r="AF409" s="9">
        <f t="shared" si="6"/>
        <v>3</v>
      </c>
      <c r="AG409" s="5" t="s">
        <v>7</v>
      </c>
      <c r="AH409" s="9" cm="1">
        <f t="array" ref="AH409">IF(OR(AI409:AN409=""),"BLANK",IF(AND(AI409:AN409&lt;99),1,IF(AND(AI409:AN409="NA"),3,2)))</f>
        <v>3</v>
      </c>
      <c r="AI409" s="4" t="s">
        <v>7</v>
      </c>
      <c r="AJ409" s="4" t="s">
        <v>7</v>
      </c>
      <c r="AK409" s="4" t="s">
        <v>7</v>
      </c>
      <c r="AL409" s="4" t="s">
        <v>7</v>
      </c>
      <c r="AM409" s="4" t="s">
        <v>7</v>
      </c>
      <c r="AN409" s="5" t="s">
        <v>7</v>
      </c>
    </row>
    <row r="410" spans="1:40" x14ac:dyDescent="0.2">
      <c r="A410" s="39">
        <v>4265</v>
      </c>
      <c r="B410" s="4" t="s">
        <v>48</v>
      </c>
      <c r="C410" s="30" t="s">
        <v>23</v>
      </c>
      <c r="D410" s="30">
        <v>5</v>
      </c>
      <c r="E410" s="30">
        <v>0</v>
      </c>
      <c r="F410" s="4">
        <v>3.6360000000000001</v>
      </c>
      <c r="G410" s="30">
        <v>30</v>
      </c>
      <c r="H410" s="33">
        <v>3.5126625598904861</v>
      </c>
      <c r="I410" s="33" t="s">
        <v>7</v>
      </c>
      <c r="J410" s="33" t="s">
        <v>7</v>
      </c>
      <c r="K410" s="33">
        <v>3.5126625598904861</v>
      </c>
      <c r="L410" s="33" t="s">
        <v>7</v>
      </c>
      <c r="M410" s="33" t="s">
        <v>7</v>
      </c>
      <c r="N410" s="33">
        <v>3.5017111567419574</v>
      </c>
      <c r="O410" s="33" t="s">
        <v>7</v>
      </c>
      <c r="P410" s="33" t="s">
        <v>7</v>
      </c>
      <c r="Q410" s="33">
        <v>3.6605065023956196</v>
      </c>
      <c r="R410" s="33" t="s">
        <v>7</v>
      </c>
      <c r="S410" s="33" t="s">
        <v>7</v>
      </c>
      <c r="T410" s="34">
        <v>3</v>
      </c>
      <c r="U410" s="34">
        <v>14</v>
      </c>
      <c r="V410" s="4" t="s">
        <v>1</v>
      </c>
      <c r="W410" s="4">
        <v>1</v>
      </c>
      <c r="X410" s="4">
        <v>1</v>
      </c>
      <c r="Y410" s="4">
        <v>1</v>
      </c>
      <c r="Z410" s="56">
        <v>3</v>
      </c>
      <c r="AA410" s="9" cm="1">
        <f t="array" ref="AA410">IF(OR(AB410:AE410=""),"BLANK",IF(AND(AB410:AE410&lt;999),1,IF(AND(AB410:AE410="NA"),3,2)))</f>
        <v>1</v>
      </c>
      <c r="AB410" s="4">
        <v>31</v>
      </c>
      <c r="AC410" s="4">
        <v>19</v>
      </c>
      <c r="AD410" s="4">
        <v>14</v>
      </c>
      <c r="AE410" s="5">
        <v>64</v>
      </c>
      <c r="AF410" s="9">
        <f t="shared" si="6"/>
        <v>1</v>
      </c>
      <c r="AG410" s="5">
        <v>62</v>
      </c>
      <c r="AH410" s="9" cm="1">
        <f t="array" ref="AH410">IF(OR(AI410:AN410=""),"BLANK",IF(AND(AI410:AN410&lt;99),1,IF(AND(AI410:AN410="NA"),3,2)))</f>
        <v>3</v>
      </c>
      <c r="AI410" s="4" t="s">
        <v>7</v>
      </c>
      <c r="AJ410" s="4" t="s">
        <v>7</v>
      </c>
      <c r="AK410" s="4" t="s">
        <v>7</v>
      </c>
      <c r="AL410" s="4" t="s">
        <v>7</v>
      </c>
      <c r="AM410" s="4" t="s">
        <v>7</v>
      </c>
      <c r="AN410" s="5" t="s">
        <v>7</v>
      </c>
    </row>
    <row r="411" spans="1:40" x14ac:dyDescent="0.2">
      <c r="A411" s="39">
        <v>4288</v>
      </c>
      <c r="B411" s="4" t="s">
        <v>48</v>
      </c>
      <c r="C411" s="30" t="s">
        <v>23</v>
      </c>
      <c r="D411" s="30">
        <v>5</v>
      </c>
      <c r="E411" s="30">
        <v>0</v>
      </c>
      <c r="F411" s="4">
        <v>4</v>
      </c>
      <c r="G411" s="30">
        <v>30</v>
      </c>
      <c r="H411" s="33">
        <v>3.4715947980835042</v>
      </c>
      <c r="I411" s="33">
        <v>3.6851471594798082</v>
      </c>
      <c r="J411" s="33">
        <v>7.1567419575633124</v>
      </c>
      <c r="K411" s="33">
        <v>3.4715947980835042</v>
      </c>
      <c r="L411" s="33">
        <v>3.7316906228610542</v>
      </c>
      <c r="M411" s="33">
        <v>7.2032854209445585</v>
      </c>
      <c r="N411" s="33">
        <v>3.4880219028062971</v>
      </c>
      <c r="O411" s="33" t="s">
        <v>7</v>
      </c>
      <c r="P411" s="33" t="s">
        <v>7</v>
      </c>
      <c r="Q411" s="33">
        <v>3.6577686516084875</v>
      </c>
      <c r="R411" s="33" t="s">
        <v>7</v>
      </c>
      <c r="S411" s="33" t="s">
        <v>7</v>
      </c>
      <c r="T411" s="34">
        <v>4</v>
      </c>
      <c r="U411" s="34">
        <v>16</v>
      </c>
      <c r="V411" s="4" t="s">
        <v>1</v>
      </c>
      <c r="W411" s="4">
        <v>1</v>
      </c>
      <c r="X411" s="4">
        <v>1</v>
      </c>
      <c r="Y411" s="4">
        <v>1</v>
      </c>
      <c r="Z411" s="56">
        <v>3</v>
      </c>
      <c r="AA411" s="9" cm="1">
        <f t="array" ref="AA411">IF(OR(AB411:AE411=""),"BLANK",IF(AND(AB411:AE411&lt;999),1,IF(AND(AB411:AE411="NA"),3,2)))</f>
        <v>1</v>
      </c>
      <c r="AB411" s="4">
        <v>32</v>
      </c>
      <c r="AC411" s="4">
        <v>19</v>
      </c>
      <c r="AD411" s="4">
        <v>12</v>
      </c>
      <c r="AE411" s="5">
        <v>63</v>
      </c>
      <c r="AF411" s="9">
        <f t="shared" si="6"/>
        <v>1</v>
      </c>
      <c r="AG411" s="5">
        <v>54</v>
      </c>
      <c r="AH411" s="9" cm="1">
        <f t="array" ref="AH411">IF(OR(AI411:AN411=""),"BLANK",IF(AND(AI411:AN411&lt;99),1,IF(AND(AI411:AN411="NA"),3,2)))</f>
        <v>3</v>
      </c>
      <c r="AI411" s="4" t="s">
        <v>7</v>
      </c>
      <c r="AJ411" s="4" t="s">
        <v>7</v>
      </c>
      <c r="AK411" s="4" t="s">
        <v>7</v>
      </c>
      <c r="AL411" s="4" t="s">
        <v>7</v>
      </c>
      <c r="AM411" s="4" t="s">
        <v>7</v>
      </c>
      <c r="AN411" s="5" t="s">
        <v>7</v>
      </c>
    </row>
    <row r="412" spans="1:40" x14ac:dyDescent="0.2">
      <c r="A412" s="39">
        <v>4301</v>
      </c>
      <c r="B412" s="4" t="s">
        <v>48</v>
      </c>
      <c r="C412" s="30" t="s">
        <v>23</v>
      </c>
      <c r="D412" s="30">
        <v>5</v>
      </c>
      <c r="E412" s="30">
        <v>0</v>
      </c>
      <c r="F412" s="4">
        <v>3.7269999999999999</v>
      </c>
      <c r="G412" s="30">
        <v>28</v>
      </c>
      <c r="H412" s="33">
        <v>3.5537303216974676</v>
      </c>
      <c r="I412" s="33" t="s">
        <v>7</v>
      </c>
      <c r="J412" s="33" t="s">
        <v>7</v>
      </c>
      <c r="K412" s="33">
        <v>3.9315537303216974</v>
      </c>
      <c r="L412" s="33" t="s">
        <v>7</v>
      </c>
      <c r="M412" s="33" t="s">
        <v>7</v>
      </c>
      <c r="N412" s="33">
        <v>3.5181382614647503</v>
      </c>
      <c r="O412" s="33" t="s">
        <v>7</v>
      </c>
      <c r="P412" s="33" t="s">
        <v>7</v>
      </c>
      <c r="Q412" s="33">
        <v>3.893223819301848</v>
      </c>
      <c r="R412" s="33" t="s">
        <v>7</v>
      </c>
      <c r="S412" s="33" t="s">
        <v>7</v>
      </c>
      <c r="T412" s="34">
        <v>3</v>
      </c>
      <c r="U412" s="34">
        <v>13</v>
      </c>
      <c r="V412" s="4" t="s">
        <v>1</v>
      </c>
      <c r="W412" s="4">
        <v>1</v>
      </c>
      <c r="X412" s="4">
        <v>1</v>
      </c>
      <c r="Y412" s="4">
        <v>1</v>
      </c>
      <c r="Z412" s="56">
        <v>3</v>
      </c>
      <c r="AA412" s="9" cm="1">
        <f t="array" ref="AA412">IF(OR(AB412:AE412=""),"BLANK",IF(AND(AB412:AE412&lt;999),1,IF(AND(AB412:AE412="NA"),3,2)))</f>
        <v>1</v>
      </c>
      <c r="AB412" s="4">
        <v>20</v>
      </c>
      <c r="AC412" s="4">
        <v>12</v>
      </c>
      <c r="AD412" s="4">
        <v>9</v>
      </c>
      <c r="AE412" s="5">
        <v>41</v>
      </c>
      <c r="AF412" s="9">
        <f t="shared" si="6"/>
        <v>1</v>
      </c>
      <c r="AG412" s="5">
        <v>34</v>
      </c>
      <c r="AH412" s="9" cm="1">
        <f t="array" ref="AH412">IF(OR(AI412:AN412=""),"BLANK",IF(AND(AI412:AN412&lt;99),1,IF(AND(AI412:AN412="NA"),3,2)))</f>
        <v>3</v>
      </c>
      <c r="AI412" s="4" t="s">
        <v>7</v>
      </c>
      <c r="AJ412" s="4" t="s">
        <v>7</v>
      </c>
      <c r="AK412" s="4" t="s">
        <v>7</v>
      </c>
      <c r="AL412" s="4" t="s">
        <v>7</v>
      </c>
      <c r="AM412" s="4" t="s">
        <v>7</v>
      </c>
      <c r="AN412" s="5" t="s">
        <v>7</v>
      </c>
    </row>
    <row r="413" spans="1:40" x14ac:dyDescent="0.2">
      <c r="A413" s="39">
        <v>4312</v>
      </c>
      <c r="B413" s="4" t="s">
        <v>58</v>
      </c>
      <c r="C413" s="30" t="s">
        <v>23</v>
      </c>
      <c r="D413" s="30">
        <v>5</v>
      </c>
      <c r="E413" s="30">
        <v>0</v>
      </c>
      <c r="F413" s="4">
        <v>3.4550000000000001</v>
      </c>
      <c r="G413" s="30">
        <v>30</v>
      </c>
      <c r="H413" s="33">
        <v>3.7563312799452429</v>
      </c>
      <c r="I413" s="33">
        <v>3.3566050650239561</v>
      </c>
      <c r="J413" s="33">
        <v>7.1129363449691994</v>
      </c>
      <c r="K413" s="33">
        <v>3.7563312799452429</v>
      </c>
      <c r="L413" s="33">
        <v>3.3566050650239561</v>
      </c>
      <c r="M413" s="33">
        <v>7.1129363449691994</v>
      </c>
      <c r="N413" s="33">
        <v>3.9096509240246409</v>
      </c>
      <c r="O413" s="33">
        <v>3.1266255989048597</v>
      </c>
      <c r="P413" s="33">
        <v>7.0362765229295006</v>
      </c>
      <c r="Q413" s="33">
        <v>3.6605065023956196</v>
      </c>
      <c r="R413" s="33">
        <v>3.3702943189596168</v>
      </c>
      <c r="S413" s="33">
        <v>7.0308008213552364</v>
      </c>
      <c r="T413" s="34">
        <v>3</v>
      </c>
      <c r="U413" s="34">
        <v>14</v>
      </c>
      <c r="V413" s="4" t="s">
        <v>1</v>
      </c>
      <c r="W413" s="4">
        <v>1</v>
      </c>
      <c r="X413" s="4">
        <v>1</v>
      </c>
      <c r="Y413" s="4">
        <v>1</v>
      </c>
      <c r="Z413" s="56">
        <v>3</v>
      </c>
      <c r="AA413" s="9" cm="1">
        <f t="array" ref="AA413">IF(OR(AB413:AE413=""),"BLANK",IF(AND(AB413:AE413&lt;999),1,IF(AND(AB413:AE413="NA"),3,2)))</f>
        <v>1</v>
      </c>
      <c r="AB413" s="4">
        <v>26</v>
      </c>
      <c r="AC413" s="4">
        <v>16</v>
      </c>
      <c r="AD413" s="4">
        <v>13</v>
      </c>
      <c r="AE413" s="5">
        <v>55</v>
      </c>
      <c r="AF413" s="9">
        <f t="shared" si="6"/>
        <v>1</v>
      </c>
      <c r="AG413" s="5">
        <v>54</v>
      </c>
      <c r="AH413" s="9" cm="1">
        <f t="array" ref="AH413">IF(OR(AI413:AN413=""),"BLANK",IF(AND(AI413:AN413&lt;99),1,IF(AND(AI413:AN413="NA"),3,2)))</f>
        <v>3</v>
      </c>
      <c r="AI413" s="4" t="s">
        <v>7</v>
      </c>
      <c r="AJ413" s="4" t="s">
        <v>7</v>
      </c>
      <c r="AK413" s="4" t="s">
        <v>7</v>
      </c>
      <c r="AL413" s="4" t="s">
        <v>7</v>
      </c>
      <c r="AM413" s="4" t="s">
        <v>7</v>
      </c>
      <c r="AN413" s="5" t="s">
        <v>7</v>
      </c>
    </row>
    <row r="414" spans="1:40" x14ac:dyDescent="0.2">
      <c r="A414" s="39">
        <v>4315</v>
      </c>
      <c r="B414" s="4" t="s">
        <v>66</v>
      </c>
      <c r="C414" s="30" t="s">
        <v>24</v>
      </c>
      <c r="D414" s="30">
        <v>5</v>
      </c>
      <c r="E414" s="30">
        <v>0</v>
      </c>
      <c r="F414" s="4">
        <v>3.6360000000000001</v>
      </c>
      <c r="G414" s="30">
        <v>30</v>
      </c>
      <c r="H414" s="33">
        <v>2.4695414099931554</v>
      </c>
      <c r="I414" s="33">
        <v>4.3778234086242298</v>
      </c>
      <c r="J414" s="33">
        <v>6.8473648186173852</v>
      </c>
      <c r="K414" s="33">
        <v>2.4695414099931554</v>
      </c>
      <c r="L414" s="33">
        <v>4.3778234086242298</v>
      </c>
      <c r="M414" s="33">
        <v>6.8473648186173852</v>
      </c>
      <c r="N414" s="33">
        <v>2.622861054072553</v>
      </c>
      <c r="O414" s="33">
        <v>4.1889117043121153</v>
      </c>
      <c r="P414" s="33">
        <v>6.8117727583846683</v>
      </c>
      <c r="Q414" s="33">
        <v>2.9295003422313486</v>
      </c>
      <c r="R414" s="33" t="s">
        <v>7</v>
      </c>
      <c r="S414" s="33" t="s">
        <v>7</v>
      </c>
      <c r="T414" s="34">
        <v>3</v>
      </c>
      <c r="U414" s="34">
        <v>15</v>
      </c>
      <c r="V414" s="4" t="s">
        <v>1</v>
      </c>
      <c r="W414" s="4">
        <v>1</v>
      </c>
      <c r="X414" s="4">
        <v>1</v>
      </c>
      <c r="Y414" s="4">
        <v>1</v>
      </c>
      <c r="Z414" s="56">
        <v>3</v>
      </c>
      <c r="AA414" s="9" cm="1">
        <f t="array" ref="AA414">IF(OR(AB414:AE414=""),"BLANK",IF(AND(AB414:AE414&lt;999),1,IF(AND(AB414:AE414="NA"),3,2)))</f>
        <v>1</v>
      </c>
      <c r="AB414" s="4">
        <v>23</v>
      </c>
      <c r="AC414" s="4">
        <v>14</v>
      </c>
      <c r="AD414" s="4">
        <v>6</v>
      </c>
      <c r="AE414" s="5">
        <v>43</v>
      </c>
      <c r="AF414" s="9">
        <f t="shared" si="6"/>
        <v>1</v>
      </c>
      <c r="AG414" s="5">
        <v>40</v>
      </c>
      <c r="AH414" s="9" cm="1">
        <f t="array" ref="AH414">IF(OR(AI414:AN414=""),"BLANK",IF(AND(AI414:AN414&lt;99),1,IF(AND(AI414:AN414="NA"),3,2)))</f>
        <v>3</v>
      </c>
      <c r="AI414" s="4" t="s">
        <v>7</v>
      </c>
      <c r="AJ414" s="4" t="s">
        <v>7</v>
      </c>
      <c r="AK414" s="4" t="s">
        <v>7</v>
      </c>
      <c r="AL414" s="4" t="s">
        <v>7</v>
      </c>
      <c r="AM414" s="4" t="s">
        <v>7</v>
      </c>
      <c r="AN414" s="5" t="s">
        <v>7</v>
      </c>
    </row>
    <row r="415" spans="1:40" x14ac:dyDescent="0.2">
      <c r="A415" s="39">
        <v>4328</v>
      </c>
      <c r="B415" s="4" t="s">
        <v>65</v>
      </c>
      <c r="C415" s="30" t="s">
        <v>24</v>
      </c>
      <c r="D415" s="30">
        <v>5</v>
      </c>
      <c r="E415" s="30">
        <v>0</v>
      </c>
      <c r="F415" s="4">
        <v>3.2730000000000001</v>
      </c>
      <c r="G415" s="30">
        <v>27</v>
      </c>
      <c r="H415" s="33">
        <v>3.5099247091033541</v>
      </c>
      <c r="I415" s="33">
        <v>3.2005475701574264</v>
      </c>
      <c r="J415" s="33">
        <v>6.71047227926078</v>
      </c>
      <c r="K415" s="33">
        <v>3.5099247091033541</v>
      </c>
      <c r="L415" s="33">
        <v>3.2005475701574264</v>
      </c>
      <c r="M415" s="33">
        <v>6.71047227926078</v>
      </c>
      <c r="N415" s="33">
        <v>3.5345653661875427</v>
      </c>
      <c r="O415" s="33">
        <v>3.2525667351129361</v>
      </c>
      <c r="P415" s="33">
        <v>6.7871321013004788</v>
      </c>
      <c r="Q415" s="33">
        <v>3.4223134839151266</v>
      </c>
      <c r="R415" s="33">
        <v>3.3730321697467489</v>
      </c>
      <c r="S415" s="33">
        <v>6.795345653661875</v>
      </c>
      <c r="T415" s="34">
        <v>7</v>
      </c>
      <c r="U415" s="34">
        <v>21</v>
      </c>
      <c r="V415" s="4" t="s">
        <v>1</v>
      </c>
      <c r="W415" s="4">
        <v>1</v>
      </c>
      <c r="X415" s="4">
        <v>1</v>
      </c>
      <c r="Y415" s="4">
        <v>1</v>
      </c>
      <c r="Z415" s="56">
        <v>3</v>
      </c>
      <c r="AA415" s="9" cm="1">
        <f t="array" ref="AA415">IF(OR(AB415:AE415=""),"BLANK",IF(AND(AB415:AE415&lt;999),1,IF(AND(AB415:AE415="NA"),3,2)))</f>
        <v>1</v>
      </c>
      <c r="AB415" s="4">
        <v>25</v>
      </c>
      <c r="AC415" s="4">
        <v>13</v>
      </c>
      <c r="AD415" s="4">
        <v>13</v>
      </c>
      <c r="AE415" s="5">
        <v>51</v>
      </c>
      <c r="AF415" s="9">
        <f t="shared" si="6"/>
        <v>1</v>
      </c>
      <c r="AG415" s="5">
        <v>58</v>
      </c>
      <c r="AH415" s="9" cm="1">
        <f t="array" ref="AH415">IF(OR(AI415:AN415=""),"BLANK",IF(AND(AI415:AN415&lt;99),1,IF(AND(AI415:AN415="NA"),3,2)))</f>
        <v>3</v>
      </c>
      <c r="AI415" s="4" t="s">
        <v>7</v>
      </c>
      <c r="AJ415" s="4" t="s">
        <v>7</v>
      </c>
      <c r="AK415" s="4" t="s">
        <v>7</v>
      </c>
      <c r="AL415" s="4" t="s">
        <v>7</v>
      </c>
      <c r="AM415" s="4" t="s">
        <v>7</v>
      </c>
      <c r="AN415" s="5" t="s">
        <v>7</v>
      </c>
    </row>
    <row r="416" spans="1:40" x14ac:dyDescent="0.2">
      <c r="A416" s="39">
        <v>4329</v>
      </c>
      <c r="B416" s="4" t="s">
        <v>52</v>
      </c>
      <c r="C416" s="30" t="s">
        <v>23</v>
      </c>
      <c r="D416" s="30">
        <v>5</v>
      </c>
      <c r="E416" s="30">
        <v>0</v>
      </c>
      <c r="F416" s="4">
        <v>4</v>
      </c>
      <c r="G416" s="30">
        <v>27</v>
      </c>
      <c r="H416" s="33" t="s">
        <v>7</v>
      </c>
      <c r="I416" s="33" t="s">
        <v>7</v>
      </c>
      <c r="J416" s="33" t="s">
        <v>7</v>
      </c>
      <c r="K416" s="33" t="s">
        <v>7</v>
      </c>
      <c r="L416" s="33" t="s">
        <v>7</v>
      </c>
      <c r="M416" s="33" t="s">
        <v>7</v>
      </c>
      <c r="N416" s="33" t="s">
        <v>7</v>
      </c>
      <c r="O416" s="33" t="s">
        <v>7</v>
      </c>
      <c r="P416" s="33" t="s">
        <v>7</v>
      </c>
      <c r="Q416" s="33" t="s">
        <v>7</v>
      </c>
      <c r="R416" s="33" t="s">
        <v>7</v>
      </c>
      <c r="S416" s="33" t="s">
        <v>7</v>
      </c>
      <c r="T416" s="34">
        <v>3</v>
      </c>
      <c r="U416" s="34">
        <v>14</v>
      </c>
      <c r="V416" s="4" t="s">
        <v>1</v>
      </c>
      <c r="W416" s="4">
        <v>1</v>
      </c>
      <c r="X416" s="4">
        <v>1</v>
      </c>
      <c r="Y416" s="4">
        <v>1</v>
      </c>
      <c r="Z416" s="56">
        <v>3</v>
      </c>
      <c r="AA416" s="9" cm="1">
        <f t="array" ref="AA416">IF(OR(AB416:AE416=""),"BLANK",IF(AND(AB416:AE416&lt;999),1,IF(AND(AB416:AE416="NA"),3,2)))</f>
        <v>1</v>
      </c>
      <c r="AB416" s="4">
        <v>20</v>
      </c>
      <c r="AC416" s="4">
        <v>10</v>
      </c>
      <c r="AD416" s="4">
        <v>9</v>
      </c>
      <c r="AE416" s="5">
        <v>39</v>
      </c>
      <c r="AF416" s="9">
        <f t="shared" si="6"/>
        <v>1</v>
      </c>
      <c r="AG416" s="5">
        <v>24</v>
      </c>
      <c r="AH416" s="9" cm="1">
        <f t="array" ref="AH416">IF(OR(AI416:AN416=""),"BLANK",IF(AND(AI416:AN416&lt;99),1,IF(AND(AI416:AN416="NA"),3,2)))</f>
        <v>3</v>
      </c>
      <c r="AI416" s="4" t="s">
        <v>7</v>
      </c>
      <c r="AJ416" s="4" t="s">
        <v>7</v>
      </c>
      <c r="AK416" s="4" t="s">
        <v>7</v>
      </c>
      <c r="AL416" s="4" t="s">
        <v>7</v>
      </c>
      <c r="AM416" s="4" t="s">
        <v>7</v>
      </c>
      <c r="AN416" s="5" t="s">
        <v>7</v>
      </c>
    </row>
    <row r="417" spans="1:40" x14ac:dyDescent="0.2">
      <c r="A417" s="39">
        <v>4362</v>
      </c>
      <c r="B417" s="4" t="s">
        <v>58</v>
      </c>
      <c r="C417" s="30" t="s">
        <v>23</v>
      </c>
      <c r="D417" s="30">
        <v>5</v>
      </c>
      <c r="E417" s="30">
        <v>0</v>
      </c>
      <c r="F417" s="4">
        <v>3.3639999999999999</v>
      </c>
      <c r="G417" s="30">
        <v>29</v>
      </c>
      <c r="H417" s="33" t="s">
        <v>7</v>
      </c>
      <c r="I417" s="33" t="s">
        <v>7</v>
      </c>
      <c r="J417" s="33" t="s">
        <v>7</v>
      </c>
      <c r="K417" s="33" t="s">
        <v>7</v>
      </c>
      <c r="L417" s="33" t="s">
        <v>7</v>
      </c>
      <c r="M417" s="33" t="s">
        <v>7</v>
      </c>
      <c r="N417" s="33" t="s">
        <v>7</v>
      </c>
      <c r="O417" s="33" t="s">
        <v>7</v>
      </c>
      <c r="P417" s="33" t="s">
        <v>7</v>
      </c>
      <c r="Q417" s="33" t="s">
        <v>7</v>
      </c>
      <c r="R417" s="33" t="s">
        <v>7</v>
      </c>
      <c r="S417" s="33" t="s">
        <v>7</v>
      </c>
      <c r="T417" s="34">
        <v>3</v>
      </c>
      <c r="U417" s="34">
        <v>15</v>
      </c>
      <c r="V417" s="4" t="s">
        <v>1</v>
      </c>
      <c r="W417" s="4">
        <v>1</v>
      </c>
      <c r="X417" s="4">
        <v>1</v>
      </c>
      <c r="Y417" s="4">
        <v>1</v>
      </c>
      <c r="Z417" s="56">
        <v>3</v>
      </c>
      <c r="AA417" s="9" cm="1">
        <f t="array" ref="AA417">IF(OR(AB417:AE417=""),"BLANK",IF(AND(AB417:AE417&lt;999),1,IF(AND(AB417:AE417="NA"),3,2)))</f>
        <v>1</v>
      </c>
      <c r="AB417" s="4">
        <v>24</v>
      </c>
      <c r="AC417" s="4">
        <v>14</v>
      </c>
      <c r="AD417" s="4">
        <v>11</v>
      </c>
      <c r="AE417" s="5">
        <v>49</v>
      </c>
      <c r="AF417" s="9">
        <f t="shared" si="6"/>
        <v>1</v>
      </c>
      <c r="AG417" s="5">
        <v>33</v>
      </c>
      <c r="AH417" s="9" cm="1">
        <f t="array" ref="AH417">IF(OR(AI417:AN417=""),"BLANK",IF(AND(AI417:AN417&lt;99),1,IF(AND(AI417:AN417="NA"),3,2)))</f>
        <v>3</v>
      </c>
      <c r="AI417" s="4" t="s">
        <v>7</v>
      </c>
      <c r="AJ417" s="4" t="s">
        <v>7</v>
      </c>
      <c r="AK417" s="4" t="s">
        <v>7</v>
      </c>
      <c r="AL417" s="4" t="s">
        <v>7</v>
      </c>
      <c r="AM417" s="4" t="s">
        <v>7</v>
      </c>
      <c r="AN417" s="5" t="s">
        <v>7</v>
      </c>
    </row>
    <row r="418" spans="1:40" x14ac:dyDescent="0.2">
      <c r="A418" s="39">
        <v>4394</v>
      </c>
      <c r="B418" s="4" t="s">
        <v>50</v>
      </c>
      <c r="C418" s="30" t="s">
        <v>24</v>
      </c>
      <c r="D418" s="30">
        <v>2</v>
      </c>
      <c r="E418" s="30">
        <v>0</v>
      </c>
      <c r="F418" s="4">
        <v>3.4550000000000001</v>
      </c>
      <c r="G418" s="30">
        <v>28</v>
      </c>
      <c r="H418" s="33">
        <v>3.9589322381930185</v>
      </c>
      <c r="I418" s="33">
        <v>3.1868583162217661</v>
      </c>
      <c r="J418" s="33">
        <v>7.1457905544147842</v>
      </c>
      <c r="K418" s="33">
        <v>3.9479808350444903</v>
      </c>
      <c r="L418" s="33">
        <v>3.184120465434634</v>
      </c>
      <c r="M418" s="33">
        <v>7.1321013004791238</v>
      </c>
      <c r="N418" s="33">
        <v>3.9479808350444903</v>
      </c>
      <c r="O418" s="33">
        <v>3.2224503764544834</v>
      </c>
      <c r="P418" s="33">
        <v>7.1704312114989737</v>
      </c>
      <c r="Q418" s="33">
        <v>3.8850102669404518</v>
      </c>
      <c r="R418" s="33">
        <v>3.2553045859000687</v>
      </c>
      <c r="S418" s="33">
        <v>7.14031485284052</v>
      </c>
      <c r="T418" s="34">
        <v>3</v>
      </c>
      <c r="U418" s="34">
        <v>14</v>
      </c>
      <c r="V418" s="4" t="s">
        <v>1</v>
      </c>
      <c r="W418" s="4">
        <v>1</v>
      </c>
      <c r="X418" s="4">
        <v>1</v>
      </c>
      <c r="Y418" s="4">
        <v>1</v>
      </c>
      <c r="Z418" s="56">
        <v>3</v>
      </c>
      <c r="AA418" s="9" cm="1">
        <f t="array" ref="AA418">IF(OR(AB418:AE418=""),"BLANK",IF(AND(AB418:AE418&lt;999),1,IF(AND(AB418:AE418="NA"),3,2)))</f>
        <v>1</v>
      </c>
      <c r="AB418" s="4">
        <v>32</v>
      </c>
      <c r="AC418" s="4">
        <v>22</v>
      </c>
      <c r="AD418" s="4">
        <v>16</v>
      </c>
      <c r="AE418" s="5">
        <v>70</v>
      </c>
      <c r="AF418" s="9">
        <f t="shared" si="6"/>
        <v>1</v>
      </c>
      <c r="AG418" s="5">
        <v>67</v>
      </c>
      <c r="AH418" s="9" cm="1">
        <f t="array" ref="AH418">IF(OR(AI418:AN418=""),"BLANK",IF(AND(AI418:AN418&lt;99),1,IF(AND(AI418:AN418="NA"),3,2)))</f>
        <v>3</v>
      </c>
      <c r="AI418" s="4" t="s">
        <v>7</v>
      </c>
      <c r="AJ418" s="4" t="s">
        <v>7</v>
      </c>
      <c r="AK418" s="4" t="s">
        <v>7</v>
      </c>
      <c r="AL418" s="4" t="s">
        <v>7</v>
      </c>
      <c r="AM418" s="4" t="s">
        <v>7</v>
      </c>
      <c r="AN418" s="5" t="s">
        <v>7</v>
      </c>
    </row>
    <row r="419" spans="1:40" x14ac:dyDescent="0.2">
      <c r="A419" s="39">
        <v>4398</v>
      </c>
      <c r="B419" s="4" t="s">
        <v>48</v>
      </c>
      <c r="C419" s="30" t="s">
        <v>24</v>
      </c>
      <c r="D419" s="30">
        <v>5</v>
      </c>
      <c r="E419" s="30">
        <v>0</v>
      </c>
      <c r="F419" s="4">
        <v>4</v>
      </c>
      <c r="G419" s="30">
        <v>29</v>
      </c>
      <c r="H419" s="33">
        <v>3.4770704996577688</v>
      </c>
      <c r="I419" s="33" t="s">
        <v>7</v>
      </c>
      <c r="J419" s="33" t="s">
        <v>7</v>
      </c>
      <c r="K419" s="33">
        <v>3.4770704996577688</v>
      </c>
      <c r="L419" s="33" t="s">
        <v>7</v>
      </c>
      <c r="M419" s="33" t="s">
        <v>7</v>
      </c>
      <c r="N419" s="33" t="s">
        <v>7</v>
      </c>
      <c r="O419" s="33" t="s">
        <v>7</v>
      </c>
      <c r="P419" s="33" t="s">
        <v>7</v>
      </c>
      <c r="Q419" s="33" t="s">
        <v>7</v>
      </c>
      <c r="R419" s="33" t="s">
        <v>7</v>
      </c>
      <c r="S419" s="33" t="s">
        <v>7</v>
      </c>
      <c r="T419" s="34">
        <v>4</v>
      </c>
      <c r="U419" s="34">
        <v>16</v>
      </c>
      <c r="V419" s="4" t="s">
        <v>1</v>
      </c>
      <c r="W419" s="4">
        <v>1</v>
      </c>
      <c r="X419" s="4">
        <v>1</v>
      </c>
      <c r="Y419" s="4">
        <v>1</v>
      </c>
      <c r="Z419" s="56">
        <v>3</v>
      </c>
      <c r="AA419" s="9" cm="1">
        <f t="array" ref="AA419">IF(OR(AB419:AE419=""),"BLANK",IF(AND(AB419:AE419&lt;999),1,IF(AND(AB419:AE419="NA"),3,2)))</f>
        <v>1</v>
      </c>
      <c r="AB419" s="4">
        <v>24</v>
      </c>
      <c r="AC419" s="4">
        <v>14</v>
      </c>
      <c r="AD419" s="4">
        <v>7</v>
      </c>
      <c r="AE419" s="5">
        <v>45</v>
      </c>
      <c r="AF419" s="9">
        <f t="shared" si="6"/>
        <v>1</v>
      </c>
      <c r="AG419" s="5">
        <v>46</v>
      </c>
      <c r="AH419" s="9" cm="1">
        <f t="array" ref="AH419">IF(OR(AI419:AN419=""),"BLANK",IF(AND(AI419:AN419&lt;99),1,IF(AND(AI419:AN419="NA"),3,2)))</f>
        <v>3</v>
      </c>
      <c r="AI419" s="4" t="s">
        <v>7</v>
      </c>
      <c r="AJ419" s="4" t="s">
        <v>7</v>
      </c>
      <c r="AK419" s="4" t="s">
        <v>7</v>
      </c>
      <c r="AL419" s="4" t="s">
        <v>7</v>
      </c>
      <c r="AM419" s="4" t="s">
        <v>7</v>
      </c>
      <c r="AN419" s="5" t="s">
        <v>7</v>
      </c>
    </row>
    <row r="420" spans="1:40" x14ac:dyDescent="0.2">
      <c r="A420" s="39">
        <v>4451</v>
      </c>
      <c r="B420" s="4" t="s">
        <v>50</v>
      </c>
      <c r="C420" s="30" t="s">
        <v>24</v>
      </c>
      <c r="D420" s="30">
        <v>5</v>
      </c>
      <c r="E420" s="30">
        <v>1</v>
      </c>
      <c r="F420" s="4">
        <v>3.6360000000000001</v>
      </c>
      <c r="G420" s="30">
        <v>26</v>
      </c>
      <c r="H420" s="33">
        <v>3.4168377823408624</v>
      </c>
      <c r="I420" s="33">
        <v>3.6030116358658453</v>
      </c>
      <c r="J420" s="33">
        <v>7.0198494182067082</v>
      </c>
      <c r="K420" s="33">
        <v>3.485284052019165</v>
      </c>
      <c r="L420" s="33">
        <v>3.5345653661875427</v>
      </c>
      <c r="M420" s="33">
        <v>7.0198494182067082</v>
      </c>
      <c r="N420" s="33">
        <v>3.4387405886379194</v>
      </c>
      <c r="O420" s="33">
        <v>3.6030116358658453</v>
      </c>
      <c r="P420" s="33">
        <v>7.0417522245037647</v>
      </c>
      <c r="Q420" s="33">
        <v>3.5044490075290895</v>
      </c>
      <c r="R420" s="33">
        <v>3.57015742642026</v>
      </c>
      <c r="S420" s="33">
        <v>7.0746064339493495</v>
      </c>
      <c r="T420" s="34">
        <v>3</v>
      </c>
      <c r="U420" s="34">
        <v>14</v>
      </c>
      <c r="V420" s="4" t="s">
        <v>1</v>
      </c>
      <c r="W420" s="4">
        <v>1</v>
      </c>
      <c r="X420" s="4">
        <v>1</v>
      </c>
      <c r="Y420" s="4">
        <v>1</v>
      </c>
      <c r="Z420" s="56">
        <v>3</v>
      </c>
      <c r="AA420" s="9" cm="1">
        <f t="array" ref="AA420">IF(OR(AB420:AE420=""),"BLANK",IF(AND(AB420:AE420&lt;999),1,IF(AND(AB420:AE420="NA"),3,2)))</f>
        <v>1</v>
      </c>
      <c r="AB420" s="4">
        <v>17</v>
      </c>
      <c r="AC420" s="4">
        <v>8</v>
      </c>
      <c r="AD420" s="4">
        <v>7</v>
      </c>
      <c r="AE420" s="5">
        <v>32</v>
      </c>
      <c r="AF420" s="9">
        <f t="shared" si="6"/>
        <v>1</v>
      </c>
      <c r="AG420" s="5">
        <v>30</v>
      </c>
      <c r="AH420" s="9" cm="1">
        <f t="array" ref="AH420">IF(OR(AI420:AN420=""),"BLANK",IF(AND(AI420:AN420&lt;99),1,IF(AND(AI420:AN420="NA"),3,2)))</f>
        <v>3</v>
      </c>
      <c r="AI420" s="4" t="s">
        <v>7</v>
      </c>
      <c r="AJ420" s="4" t="s">
        <v>7</v>
      </c>
      <c r="AK420" s="4" t="s">
        <v>7</v>
      </c>
      <c r="AL420" s="4" t="s">
        <v>7</v>
      </c>
      <c r="AM420" s="4" t="s">
        <v>7</v>
      </c>
      <c r="AN420" s="5" t="s">
        <v>7</v>
      </c>
    </row>
    <row r="421" spans="1:40" x14ac:dyDescent="0.2">
      <c r="A421" s="39">
        <v>4461</v>
      </c>
      <c r="B421" s="4" t="s">
        <v>59</v>
      </c>
      <c r="C421" s="30" t="s">
        <v>24</v>
      </c>
      <c r="D421" s="30">
        <v>5</v>
      </c>
      <c r="E421" s="30">
        <v>0</v>
      </c>
      <c r="F421" s="4">
        <v>3.6360000000000001</v>
      </c>
      <c r="G421" s="30">
        <v>28</v>
      </c>
      <c r="H421" s="33">
        <v>3.463381245722108</v>
      </c>
      <c r="I421" s="33">
        <v>3.3648186173853527</v>
      </c>
      <c r="J421" s="33">
        <v>6.8281998631074607</v>
      </c>
      <c r="K421" s="33">
        <v>3.463381245722108</v>
      </c>
      <c r="L421" s="33">
        <v>3.3648186173853527</v>
      </c>
      <c r="M421" s="33">
        <v>6.8281998631074607</v>
      </c>
      <c r="N421" s="33">
        <v>3.4387405886379194</v>
      </c>
      <c r="O421" s="33">
        <v>3.4277891854893907</v>
      </c>
      <c r="P421" s="33">
        <v>6.8665297741273097</v>
      </c>
      <c r="Q421" s="33">
        <v>3.3949349760438055</v>
      </c>
      <c r="R421" s="33">
        <v>3.5017111567419574</v>
      </c>
      <c r="S421" s="33">
        <v>6.8966461327857633</v>
      </c>
      <c r="T421" s="34">
        <v>5</v>
      </c>
      <c r="U421" s="34">
        <v>17</v>
      </c>
      <c r="V421" s="4" t="s">
        <v>1</v>
      </c>
      <c r="W421" s="4">
        <v>1</v>
      </c>
      <c r="X421" s="4">
        <v>1</v>
      </c>
      <c r="Y421" s="4">
        <v>1</v>
      </c>
      <c r="Z421" s="56">
        <v>3</v>
      </c>
      <c r="AA421" s="9" cm="1">
        <f t="array" ref="AA421">IF(OR(AB421:AE421=""),"BLANK",IF(AND(AB421:AE421&lt;999),1,IF(AND(AB421:AE421="NA"),3,2)))</f>
        <v>1</v>
      </c>
      <c r="AB421" s="4">
        <v>29</v>
      </c>
      <c r="AC421" s="4">
        <v>17</v>
      </c>
      <c r="AD421" s="4">
        <v>14</v>
      </c>
      <c r="AE421" s="5">
        <v>60</v>
      </c>
      <c r="AF421" s="9">
        <f t="shared" si="6"/>
        <v>1</v>
      </c>
      <c r="AG421" s="5">
        <v>44</v>
      </c>
      <c r="AH421" s="9" cm="1">
        <f t="array" ref="AH421">IF(OR(AI421:AN421=""),"BLANK",IF(AND(AI421:AN421&lt;99),1,IF(AND(AI421:AN421="NA"),3,2)))</f>
        <v>3</v>
      </c>
      <c r="AI421" s="4" t="s">
        <v>7</v>
      </c>
      <c r="AJ421" s="4" t="s">
        <v>7</v>
      </c>
      <c r="AK421" s="4" t="s">
        <v>7</v>
      </c>
      <c r="AL421" s="4" t="s">
        <v>7</v>
      </c>
      <c r="AM421" s="4" t="s">
        <v>7</v>
      </c>
      <c r="AN421" s="5" t="s">
        <v>7</v>
      </c>
    </row>
    <row r="422" spans="1:40" x14ac:dyDescent="0.2">
      <c r="A422" s="39">
        <v>4467</v>
      </c>
      <c r="B422" s="4" t="s">
        <v>67</v>
      </c>
      <c r="C422" s="30" t="s">
        <v>24</v>
      </c>
      <c r="D422" s="30">
        <v>5</v>
      </c>
      <c r="E422" s="30">
        <v>0</v>
      </c>
      <c r="F422" s="4">
        <v>3.9089999999999998</v>
      </c>
      <c r="G422" s="30">
        <v>28</v>
      </c>
      <c r="H422" s="33" t="s">
        <v>7</v>
      </c>
      <c r="I422" s="33" t="s">
        <v>7</v>
      </c>
      <c r="J422" s="33" t="s">
        <v>7</v>
      </c>
      <c r="K422" s="33" t="s">
        <v>7</v>
      </c>
      <c r="L422" s="33" t="s">
        <v>7</v>
      </c>
      <c r="M422" s="33" t="s">
        <v>7</v>
      </c>
      <c r="N422" s="33" t="s">
        <v>7</v>
      </c>
      <c r="O422" s="33" t="s">
        <v>7</v>
      </c>
      <c r="P422" s="33" t="s">
        <v>7</v>
      </c>
      <c r="Q422" s="33" t="s">
        <v>7</v>
      </c>
      <c r="R422" s="33" t="s">
        <v>7</v>
      </c>
      <c r="S422" s="33" t="s">
        <v>7</v>
      </c>
      <c r="T422" s="34">
        <v>4</v>
      </c>
      <c r="U422" s="34">
        <v>16</v>
      </c>
      <c r="V422" s="4" t="s">
        <v>1</v>
      </c>
      <c r="W422" s="4">
        <v>1</v>
      </c>
      <c r="X422" s="4">
        <v>1</v>
      </c>
      <c r="Y422" s="4">
        <v>1</v>
      </c>
      <c r="Z422" s="56">
        <v>3</v>
      </c>
      <c r="AA422" s="9" cm="1">
        <f t="array" ref="AA422">IF(OR(AB422:AE422=""),"BLANK",IF(AND(AB422:AE422&lt;999),1,IF(AND(AB422:AE422="NA"),3,2)))</f>
        <v>1</v>
      </c>
      <c r="AB422" s="4">
        <v>28</v>
      </c>
      <c r="AC422" s="4">
        <v>20</v>
      </c>
      <c r="AD422" s="4">
        <v>13</v>
      </c>
      <c r="AE422" s="5">
        <v>61</v>
      </c>
      <c r="AF422" s="9">
        <f t="shared" si="6"/>
        <v>1</v>
      </c>
      <c r="AG422" s="5">
        <v>36</v>
      </c>
      <c r="AH422" s="9" cm="1">
        <f t="array" ref="AH422">IF(OR(AI422:AN422=""),"BLANK",IF(AND(AI422:AN422&lt;99),1,IF(AND(AI422:AN422="NA"),3,2)))</f>
        <v>3</v>
      </c>
      <c r="AI422" s="4" t="s">
        <v>7</v>
      </c>
      <c r="AJ422" s="4" t="s">
        <v>7</v>
      </c>
      <c r="AK422" s="4" t="s">
        <v>7</v>
      </c>
      <c r="AL422" s="4" t="s">
        <v>7</v>
      </c>
      <c r="AM422" s="4" t="s">
        <v>7</v>
      </c>
      <c r="AN422" s="5" t="s">
        <v>7</v>
      </c>
    </row>
    <row r="423" spans="1:40" x14ac:dyDescent="0.2">
      <c r="A423" s="39">
        <v>4488</v>
      </c>
      <c r="B423" s="4" t="s">
        <v>47</v>
      </c>
      <c r="C423" s="30" t="s">
        <v>23</v>
      </c>
      <c r="D423" s="30">
        <v>5</v>
      </c>
      <c r="E423" s="30">
        <v>0</v>
      </c>
      <c r="F423" s="4" t="s">
        <v>7</v>
      </c>
      <c r="G423" s="30">
        <v>30</v>
      </c>
      <c r="H423" s="33">
        <v>3.460643394934976</v>
      </c>
      <c r="I423" s="33">
        <v>3.5345653661875427</v>
      </c>
      <c r="J423" s="33">
        <v>6.9952087611225187</v>
      </c>
      <c r="K423" s="33">
        <v>4.6379192334017798</v>
      </c>
      <c r="L423" s="33">
        <v>2.3572895277207393</v>
      </c>
      <c r="M423" s="33">
        <v>6.9952087611225187</v>
      </c>
      <c r="N423" s="33">
        <v>3.6303901437371664</v>
      </c>
      <c r="O423" s="33" t="s">
        <v>7</v>
      </c>
      <c r="P423" s="33" t="s">
        <v>7</v>
      </c>
      <c r="Q423" s="33">
        <v>3.5126625598904861</v>
      </c>
      <c r="R423" s="33" t="s">
        <v>7</v>
      </c>
      <c r="S423" s="33" t="s">
        <v>7</v>
      </c>
      <c r="T423" s="34">
        <v>3</v>
      </c>
      <c r="U423" s="34">
        <v>14</v>
      </c>
      <c r="V423" s="4" t="s">
        <v>1</v>
      </c>
      <c r="W423" s="4">
        <v>1</v>
      </c>
      <c r="X423" s="4">
        <v>1</v>
      </c>
      <c r="Y423" s="4">
        <v>1</v>
      </c>
      <c r="Z423" s="56">
        <v>3</v>
      </c>
      <c r="AA423" s="9" cm="1">
        <f t="array" ref="AA423">IF(OR(AB423:AE423=""),"BLANK",IF(AND(AB423:AE423&lt;999),1,IF(AND(AB423:AE423="NA"),3,2)))</f>
        <v>1</v>
      </c>
      <c r="AB423" s="4">
        <v>24</v>
      </c>
      <c r="AC423" s="4">
        <v>17</v>
      </c>
      <c r="AD423" s="4">
        <v>13</v>
      </c>
      <c r="AE423" s="5">
        <v>54</v>
      </c>
      <c r="AF423" s="9">
        <f t="shared" si="6"/>
        <v>1</v>
      </c>
      <c r="AG423" s="5">
        <v>43</v>
      </c>
      <c r="AH423" s="9" cm="1">
        <f t="array" ref="AH423">IF(OR(AI423:AN423=""),"BLANK",IF(AND(AI423:AN423&lt;99),1,IF(AND(AI423:AN423="NA"),3,2)))</f>
        <v>3</v>
      </c>
      <c r="AI423" s="4" t="s">
        <v>7</v>
      </c>
      <c r="AJ423" s="4" t="s">
        <v>7</v>
      </c>
      <c r="AK423" s="4" t="s">
        <v>7</v>
      </c>
      <c r="AL423" s="4" t="s">
        <v>7</v>
      </c>
      <c r="AM423" s="4" t="s">
        <v>7</v>
      </c>
      <c r="AN423" s="5" t="s">
        <v>7</v>
      </c>
    </row>
    <row r="424" spans="1:40" x14ac:dyDescent="0.2">
      <c r="A424" s="39">
        <v>4507</v>
      </c>
      <c r="B424" s="4" t="s">
        <v>66</v>
      </c>
      <c r="C424" s="30" t="s">
        <v>24</v>
      </c>
      <c r="D424" s="30">
        <v>5</v>
      </c>
      <c r="E424" s="30">
        <v>0</v>
      </c>
      <c r="F424" s="4">
        <v>3.7269999999999999</v>
      </c>
      <c r="G424" s="30">
        <v>27</v>
      </c>
      <c r="H424" s="33">
        <v>3.4223134839151266</v>
      </c>
      <c r="I424" s="33" t="s">
        <v>7</v>
      </c>
      <c r="J424" s="33" t="s">
        <v>7</v>
      </c>
      <c r="K424" s="33">
        <v>3.4223134839151266</v>
      </c>
      <c r="L424" s="33" t="s">
        <v>7</v>
      </c>
      <c r="M424" s="33" t="s">
        <v>7</v>
      </c>
      <c r="N424" s="33" t="s">
        <v>7</v>
      </c>
      <c r="O424" s="33" t="s">
        <v>7</v>
      </c>
      <c r="P424" s="33" t="s">
        <v>7</v>
      </c>
      <c r="Q424" s="33">
        <v>3.4496919917864477</v>
      </c>
      <c r="R424" s="33" t="s">
        <v>7</v>
      </c>
      <c r="S424" s="33" t="s">
        <v>7</v>
      </c>
      <c r="T424" s="34">
        <v>4</v>
      </c>
      <c r="U424" s="34">
        <v>16</v>
      </c>
      <c r="V424" s="4" t="s">
        <v>1</v>
      </c>
      <c r="W424" s="4">
        <v>1</v>
      </c>
      <c r="X424" s="4">
        <v>1</v>
      </c>
      <c r="Y424" s="4">
        <v>1</v>
      </c>
      <c r="Z424" s="56">
        <v>3</v>
      </c>
      <c r="AA424" s="9" cm="1">
        <f t="array" ref="AA424">IF(OR(AB424:AE424=""),"BLANK",IF(AND(AB424:AE424&lt;999),1,IF(AND(AB424:AE424="NA"),3,2)))</f>
        <v>1</v>
      </c>
      <c r="AB424" s="4">
        <v>21</v>
      </c>
      <c r="AC424" s="4">
        <v>11</v>
      </c>
      <c r="AD424" s="4">
        <v>10</v>
      </c>
      <c r="AE424" s="5">
        <v>42</v>
      </c>
      <c r="AF424" s="9">
        <f t="shared" si="6"/>
        <v>1</v>
      </c>
      <c r="AG424" s="5">
        <v>45</v>
      </c>
      <c r="AH424" s="9" cm="1">
        <f t="array" ref="AH424">IF(OR(AI424:AN424=""),"BLANK",IF(AND(AI424:AN424&lt;99),1,IF(AND(AI424:AN424="NA"),3,2)))</f>
        <v>3</v>
      </c>
      <c r="AI424" s="4" t="s">
        <v>7</v>
      </c>
      <c r="AJ424" s="4" t="s">
        <v>7</v>
      </c>
      <c r="AK424" s="4" t="s">
        <v>7</v>
      </c>
      <c r="AL424" s="4" t="s">
        <v>7</v>
      </c>
      <c r="AM424" s="4" t="s">
        <v>7</v>
      </c>
      <c r="AN424" s="5" t="s">
        <v>7</v>
      </c>
    </row>
    <row r="425" spans="1:40" x14ac:dyDescent="0.2">
      <c r="A425" s="39">
        <v>4539</v>
      </c>
      <c r="B425" s="4" t="s">
        <v>65</v>
      </c>
      <c r="C425" s="30" t="s">
        <v>23</v>
      </c>
      <c r="D425" s="30">
        <v>5</v>
      </c>
      <c r="E425" s="30">
        <v>0</v>
      </c>
      <c r="F425" s="4">
        <v>3.9089999999999998</v>
      </c>
      <c r="G425" s="30">
        <v>29</v>
      </c>
      <c r="H425" s="33" t="s">
        <v>7</v>
      </c>
      <c r="I425" s="33" t="s">
        <v>7</v>
      </c>
      <c r="J425" s="33" t="s">
        <v>7</v>
      </c>
      <c r="K425" s="33" t="s">
        <v>7</v>
      </c>
      <c r="L425" s="33" t="s">
        <v>7</v>
      </c>
      <c r="M425" s="33" t="s">
        <v>7</v>
      </c>
      <c r="N425" s="33" t="s">
        <v>7</v>
      </c>
      <c r="O425" s="33" t="s">
        <v>7</v>
      </c>
      <c r="P425" s="33" t="s">
        <v>7</v>
      </c>
      <c r="Q425" s="33" t="s">
        <v>7</v>
      </c>
      <c r="R425" s="33" t="s">
        <v>7</v>
      </c>
      <c r="S425" s="33" t="s">
        <v>7</v>
      </c>
      <c r="T425" s="34">
        <v>3</v>
      </c>
      <c r="U425" s="34">
        <v>13</v>
      </c>
      <c r="V425" s="4" t="s">
        <v>1</v>
      </c>
      <c r="W425" s="4">
        <v>1</v>
      </c>
      <c r="X425" s="4">
        <v>1</v>
      </c>
      <c r="Y425" s="4">
        <v>1</v>
      </c>
      <c r="Z425" s="56">
        <v>3</v>
      </c>
      <c r="AA425" s="9" cm="1">
        <f t="array" ref="AA425">IF(OR(AB425:AE425=""),"BLANK",IF(AND(AB425:AE425&lt;999),1,IF(AND(AB425:AE425="NA"),3,2)))</f>
        <v>1</v>
      </c>
      <c r="AB425" s="4">
        <v>27</v>
      </c>
      <c r="AC425" s="4">
        <v>12</v>
      </c>
      <c r="AD425" s="4">
        <v>9</v>
      </c>
      <c r="AE425" s="5">
        <v>48</v>
      </c>
      <c r="AF425" s="9">
        <f t="shared" si="6"/>
        <v>1</v>
      </c>
      <c r="AG425" s="5">
        <v>34</v>
      </c>
      <c r="AH425" s="9" cm="1">
        <f t="array" ref="AH425">IF(OR(AI425:AN425=""),"BLANK",IF(AND(AI425:AN425&lt;99),1,IF(AND(AI425:AN425="NA"),3,2)))</f>
        <v>3</v>
      </c>
      <c r="AI425" s="4" t="s">
        <v>7</v>
      </c>
      <c r="AJ425" s="4" t="s">
        <v>7</v>
      </c>
      <c r="AK425" s="4" t="s">
        <v>7</v>
      </c>
      <c r="AL425" s="4" t="s">
        <v>7</v>
      </c>
      <c r="AM425" s="4" t="s">
        <v>7</v>
      </c>
      <c r="AN425" s="5" t="s">
        <v>7</v>
      </c>
    </row>
    <row r="426" spans="1:40" x14ac:dyDescent="0.2">
      <c r="A426" s="39">
        <v>4540</v>
      </c>
      <c r="B426" s="4" t="s">
        <v>52</v>
      </c>
      <c r="C426" s="30" t="s">
        <v>23</v>
      </c>
      <c r="D426" s="30">
        <v>5</v>
      </c>
      <c r="E426" s="30">
        <v>1</v>
      </c>
      <c r="F426" s="4" t="s">
        <v>7</v>
      </c>
      <c r="G426" s="30">
        <v>26</v>
      </c>
      <c r="H426" s="33">
        <v>3.4442162902121836</v>
      </c>
      <c r="I426" s="33">
        <v>3.5838466803559208</v>
      </c>
      <c r="J426" s="33">
        <v>7.0280629705681044</v>
      </c>
      <c r="K426" s="33">
        <v>3.6659822039698837</v>
      </c>
      <c r="L426" s="33" t="s">
        <v>7</v>
      </c>
      <c r="M426" s="33" t="s">
        <v>7</v>
      </c>
      <c r="N426" s="33">
        <v>3.4113620807665983</v>
      </c>
      <c r="O426" s="33" t="s">
        <v>7</v>
      </c>
      <c r="P426" s="33" t="s">
        <v>7</v>
      </c>
      <c r="Q426" s="33">
        <v>3.5318275154004106</v>
      </c>
      <c r="R426" s="33" t="s">
        <v>7</v>
      </c>
      <c r="S426" s="33" t="s">
        <v>7</v>
      </c>
      <c r="T426" s="34">
        <v>3</v>
      </c>
      <c r="U426" s="34">
        <v>15</v>
      </c>
      <c r="V426" s="4" t="s">
        <v>1</v>
      </c>
      <c r="W426" s="4">
        <v>1</v>
      </c>
      <c r="X426" s="4">
        <v>1</v>
      </c>
      <c r="Y426" s="4">
        <v>1</v>
      </c>
      <c r="Z426" s="56">
        <v>3</v>
      </c>
      <c r="AA426" s="9" cm="1">
        <f t="array" ref="AA426">IF(OR(AB426:AE426=""),"BLANK",IF(AND(AB426:AE426&lt;999),1,IF(AND(AB426:AE426="NA"),3,2)))</f>
        <v>1</v>
      </c>
      <c r="AB426" s="4">
        <v>18</v>
      </c>
      <c r="AC426" s="4">
        <v>8</v>
      </c>
      <c r="AD426" s="4">
        <v>7</v>
      </c>
      <c r="AE426" s="5">
        <v>33</v>
      </c>
      <c r="AF426" s="9">
        <f t="shared" si="6"/>
        <v>1</v>
      </c>
      <c r="AG426" s="5">
        <v>28</v>
      </c>
      <c r="AH426" s="9" cm="1">
        <f t="array" ref="AH426">IF(OR(AI426:AN426=""),"BLANK",IF(AND(AI426:AN426&lt;99),1,IF(AND(AI426:AN426="NA"),3,2)))</f>
        <v>3</v>
      </c>
      <c r="AI426" s="4" t="s">
        <v>7</v>
      </c>
      <c r="AJ426" s="4" t="s">
        <v>7</v>
      </c>
      <c r="AK426" s="4" t="s">
        <v>7</v>
      </c>
      <c r="AL426" s="4" t="s">
        <v>7</v>
      </c>
      <c r="AM426" s="4" t="s">
        <v>7</v>
      </c>
      <c r="AN426" s="5" t="s">
        <v>7</v>
      </c>
    </row>
    <row r="427" spans="1:40" x14ac:dyDescent="0.2">
      <c r="A427" s="39">
        <v>4556</v>
      </c>
      <c r="B427" s="4" t="s">
        <v>48</v>
      </c>
      <c r="C427" s="30" t="s">
        <v>24</v>
      </c>
      <c r="D427" s="30">
        <v>2</v>
      </c>
      <c r="E427" s="30">
        <v>0</v>
      </c>
      <c r="F427" s="4">
        <v>4</v>
      </c>
      <c r="G427" s="30">
        <v>30</v>
      </c>
      <c r="H427" s="33" t="s">
        <v>7</v>
      </c>
      <c r="I427" s="33" t="s">
        <v>7</v>
      </c>
      <c r="J427" s="33" t="s">
        <v>7</v>
      </c>
      <c r="K427" s="33" t="s">
        <v>7</v>
      </c>
      <c r="L427" s="33" t="s">
        <v>7</v>
      </c>
      <c r="M427" s="33" t="s">
        <v>7</v>
      </c>
      <c r="N427" s="33" t="s">
        <v>7</v>
      </c>
      <c r="O427" s="33" t="s">
        <v>7</v>
      </c>
      <c r="P427" s="33" t="s">
        <v>7</v>
      </c>
      <c r="Q427" s="33" t="s">
        <v>7</v>
      </c>
      <c r="R427" s="33" t="s">
        <v>7</v>
      </c>
      <c r="S427" s="33" t="s">
        <v>7</v>
      </c>
      <c r="T427" s="34">
        <v>6</v>
      </c>
      <c r="U427" s="34">
        <v>18</v>
      </c>
      <c r="V427" s="4" t="s">
        <v>1</v>
      </c>
      <c r="W427" s="4">
        <v>1</v>
      </c>
      <c r="X427" s="4">
        <v>1</v>
      </c>
      <c r="Y427" s="4">
        <v>1</v>
      </c>
      <c r="Z427" s="56">
        <v>3</v>
      </c>
      <c r="AA427" s="9" cm="1">
        <f t="array" ref="AA427">IF(OR(AB427:AE427=""),"BLANK",IF(AND(AB427:AE427&lt;999),1,IF(AND(AB427:AE427="NA"),3,2)))</f>
        <v>1</v>
      </c>
      <c r="AB427" s="4">
        <v>22</v>
      </c>
      <c r="AC427" s="4">
        <v>10</v>
      </c>
      <c r="AD427" s="4">
        <v>10</v>
      </c>
      <c r="AE427" s="5">
        <v>42</v>
      </c>
      <c r="AF427" s="9">
        <f t="shared" si="6"/>
        <v>1</v>
      </c>
      <c r="AG427" s="5">
        <v>28</v>
      </c>
      <c r="AH427" s="9" cm="1">
        <f t="array" ref="AH427">IF(OR(AI427:AN427=""),"BLANK",IF(AND(AI427:AN427&lt;99),1,IF(AND(AI427:AN427="NA"),3,2)))</f>
        <v>3</v>
      </c>
      <c r="AI427" s="4" t="s">
        <v>7</v>
      </c>
      <c r="AJ427" s="4" t="s">
        <v>7</v>
      </c>
      <c r="AK427" s="4" t="s">
        <v>7</v>
      </c>
      <c r="AL427" s="4" t="s">
        <v>7</v>
      </c>
      <c r="AM427" s="4" t="s">
        <v>7</v>
      </c>
      <c r="AN427" s="5" t="s">
        <v>7</v>
      </c>
    </row>
    <row r="428" spans="1:40" x14ac:dyDescent="0.2">
      <c r="A428" s="39">
        <v>4565</v>
      </c>
      <c r="B428" s="4" t="s">
        <v>64</v>
      </c>
      <c r="C428" s="30" t="s">
        <v>23</v>
      </c>
      <c r="D428" s="30">
        <v>5</v>
      </c>
      <c r="E428" s="30">
        <v>0</v>
      </c>
      <c r="F428" s="4">
        <v>2.9089999999999998</v>
      </c>
      <c r="G428" s="30">
        <v>29</v>
      </c>
      <c r="H428" s="33">
        <v>3.7946611909650922</v>
      </c>
      <c r="I428" s="33" t="s">
        <v>7</v>
      </c>
      <c r="J428" s="33" t="s">
        <v>7</v>
      </c>
      <c r="K428" s="33">
        <v>3.7946611909650922</v>
      </c>
      <c r="L428" s="33" t="s">
        <v>7</v>
      </c>
      <c r="M428" s="33" t="s">
        <v>7</v>
      </c>
      <c r="N428" s="33">
        <v>3.8658453114305269</v>
      </c>
      <c r="O428" s="33" t="s">
        <v>7</v>
      </c>
      <c r="P428" s="33" t="s">
        <v>7</v>
      </c>
      <c r="Q428" s="33">
        <v>3.5811088295687883</v>
      </c>
      <c r="R428" s="33" t="s">
        <v>7</v>
      </c>
      <c r="S428" s="33" t="s">
        <v>7</v>
      </c>
      <c r="T428" s="34">
        <v>3</v>
      </c>
      <c r="U428" s="34">
        <v>15</v>
      </c>
      <c r="V428" s="4" t="s">
        <v>1</v>
      </c>
      <c r="W428" s="4">
        <v>1</v>
      </c>
      <c r="X428" s="4">
        <v>1</v>
      </c>
      <c r="Y428" s="4">
        <v>1</v>
      </c>
      <c r="Z428" s="56">
        <v>3</v>
      </c>
      <c r="AA428" s="9" cm="1">
        <f t="array" ref="AA428">IF(OR(AB428:AE428=""),"BLANK",IF(AND(AB428:AE428&lt;999),1,IF(AND(AB428:AE428="NA"),3,2)))</f>
        <v>1</v>
      </c>
      <c r="AB428" s="4">
        <v>26</v>
      </c>
      <c r="AC428" s="4">
        <v>18</v>
      </c>
      <c r="AD428" s="4">
        <v>9</v>
      </c>
      <c r="AE428" s="5">
        <v>53</v>
      </c>
      <c r="AF428" s="9">
        <f t="shared" si="6"/>
        <v>1</v>
      </c>
      <c r="AG428" s="5">
        <v>50</v>
      </c>
      <c r="AH428" s="9" cm="1">
        <f t="array" ref="AH428">IF(OR(AI428:AN428=""),"BLANK",IF(AND(AI428:AN428&lt;99),1,IF(AND(AI428:AN428="NA"),3,2)))</f>
        <v>3</v>
      </c>
      <c r="AI428" s="4" t="s">
        <v>7</v>
      </c>
      <c r="AJ428" s="4" t="s">
        <v>7</v>
      </c>
      <c r="AK428" s="4" t="s">
        <v>7</v>
      </c>
      <c r="AL428" s="4" t="s">
        <v>7</v>
      </c>
      <c r="AM428" s="4" t="s">
        <v>7</v>
      </c>
      <c r="AN428" s="5" t="s">
        <v>7</v>
      </c>
    </row>
    <row r="429" spans="1:40" x14ac:dyDescent="0.2">
      <c r="A429" s="39">
        <v>4575</v>
      </c>
      <c r="B429" s="4" t="s">
        <v>64</v>
      </c>
      <c r="C429" s="30" t="s">
        <v>24</v>
      </c>
      <c r="D429" s="30">
        <v>5</v>
      </c>
      <c r="E429" s="30">
        <v>0</v>
      </c>
      <c r="F429" s="4">
        <v>3.8180000000000001</v>
      </c>
      <c r="G429" s="30">
        <v>29</v>
      </c>
      <c r="H429" s="33" t="s">
        <v>7</v>
      </c>
      <c r="I429" s="33" t="s">
        <v>7</v>
      </c>
      <c r="J429" s="33" t="s">
        <v>7</v>
      </c>
      <c r="K429" s="33" t="s">
        <v>7</v>
      </c>
      <c r="L429" s="33" t="s">
        <v>7</v>
      </c>
      <c r="M429" s="33" t="s">
        <v>7</v>
      </c>
      <c r="N429" s="33" t="s">
        <v>7</v>
      </c>
      <c r="O429" s="33" t="s">
        <v>7</v>
      </c>
      <c r="P429" s="33" t="s">
        <v>7</v>
      </c>
      <c r="Q429" s="33" t="s">
        <v>7</v>
      </c>
      <c r="R429" s="33" t="s">
        <v>7</v>
      </c>
      <c r="S429" s="33" t="s">
        <v>7</v>
      </c>
      <c r="T429" s="34">
        <v>3</v>
      </c>
      <c r="U429" s="34">
        <v>14</v>
      </c>
      <c r="V429" s="4" t="s">
        <v>1</v>
      </c>
      <c r="W429" s="4">
        <v>1</v>
      </c>
      <c r="X429" s="4">
        <v>1</v>
      </c>
      <c r="Y429" s="4">
        <v>1</v>
      </c>
      <c r="Z429" s="56">
        <v>3</v>
      </c>
      <c r="AA429" s="9" cm="1">
        <f t="array" ref="AA429">IF(OR(AB429:AE429=""),"BLANK",IF(AND(AB429:AE429&lt;999),1,IF(AND(AB429:AE429="NA"),3,2)))</f>
        <v>1</v>
      </c>
      <c r="AB429" s="4">
        <v>31</v>
      </c>
      <c r="AC429" s="4">
        <v>11</v>
      </c>
      <c r="AD429" s="4">
        <v>10</v>
      </c>
      <c r="AE429" s="5">
        <v>52</v>
      </c>
      <c r="AF429" s="9">
        <f t="shared" si="6"/>
        <v>1</v>
      </c>
      <c r="AG429" s="5">
        <v>60</v>
      </c>
      <c r="AH429" s="9" cm="1">
        <f t="array" ref="AH429">IF(OR(AI429:AN429=""),"BLANK",IF(AND(AI429:AN429&lt;99),1,IF(AND(AI429:AN429="NA"),3,2)))</f>
        <v>3</v>
      </c>
      <c r="AI429" s="4" t="s">
        <v>7</v>
      </c>
      <c r="AJ429" s="4" t="s">
        <v>7</v>
      </c>
      <c r="AK429" s="4" t="s">
        <v>7</v>
      </c>
      <c r="AL429" s="4" t="s">
        <v>7</v>
      </c>
      <c r="AM429" s="4" t="s">
        <v>7</v>
      </c>
      <c r="AN429" s="5" t="s">
        <v>7</v>
      </c>
    </row>
    <row r="430" spans="1:40" x14ac:dyDescent="0.2">
      <c r="A430" s="39">
        <v>4581</v>
      </c>
      <c r="B430" s="4" t="s">
        <v>47</v>
      </c>
      <c r="C430" s="30" t="s">
        <v>23</v>
      </c>
      <c r="D430" s="30">
        <v>5</v>
      </c>
      <c r="E430" s="30">
        <v>0</v>
      </c>
      <c r="F430" s="4">
        <v>4</v>
      </c>
      <c r="G430" s="30">
        <v>29</v>
      </c>
      <c r="H430" s="33">
        <v>3.4715947980835042</v>
      </c>
      <c r="I430" s="33">
        <v>3.4469541409993156</v>
      </c>
      <c r="J430" s="33">
        <v>6.9185489390828199</v>
      </c>
      <c r="K430" s="33">
        <v>3.4579055441478439</v>
      </c>
      <c r="L430" s="33">
        <v>3.5455167693360714</v>
      </c>
      <c r="M430" s="33">
        <v>7.0034223134839149</v>
      </c>
      <c r="N430" s="33">
        <v>3.5154004106776182</v>
      </c>
      <c r="O430" s="33">
        <v>3.1978097193702943</v>
      </c>
      <c r="P430" s="33">
        <v>6.7132101300479121</v>
      </c>
      <c r="Q430" s="33">
        <v>3.4880219028062971</v>
      </c>
      <c r="R430" s="33">
        <v>3.4496919917864477</v>
      </c>
      <c r="S430" s="33">
        <v>6.9377138945927443</v>
      </c>
      <c r="T430" s="34">
        <v>3</v>
      </c>
      <c r="U430" s="34">
        <v>14</v>
      </c>
      <c r="V430" s="4" t="s">
        <v>1</v>
      </c>
      <c r="W430" s="4">
        <v>1</v>
      </c>
      <c r="X430" s="4">
        <v>1</v>
      </c>
      <c r="Y430" s="4">
        <v>1</v>
      </c>
      <c r="Z430" s="56">
        <v>3</v>
      </c>
      <c r="AA430" s="9" cm="1">
        <f t="array" ref="AA430">IF(OR(AB430:AE430=""),"BLANK",IF(AND(AB430:AE430&lt;999),1,IF(AND(AB430:AE430="NA"),3,2)))</f>
        <v>1</v>
      </c>
      <c r="AB430" s="4">
        <v>32</v>
      </c>
      <c r="AC430" s="4">
        <v>20</v>
      </c>
      <c r="AD430" s="4">
        <v>14</v>
      </c>
      <c r="AE430" s="5">
        <v>66</v>
      </c>
      <c r="AF430" s="9">
        <f t="shared" si="6"/>
        <v>1</v>
      </c>
      <c r="AG430" s="5">
        <v>57</v>
      </c>
      <c r="AH430" s="9" cm="1">
        <f t="array" ref="AH430">IF(OR(AI430:AN430=""),"BLANK",IF(AND(AI430:AN430&lt;99),1,IF(AND(AI430:AN430="NA"),3,2)))</f>
        <v>3</v>
      </c>
      <c r="AI430" s="4" t="s">
        <v>7</v>
      </c>
      <c r="AJ430" s="4" t="s">
        <v>7</v>
      </c>
      <c r="AK430" s="4" t="s">
        <v>7</v>
      </c>
      <c r="AL430" s="4" t="s">
        <v>7</v>
      </c>
      <c r="AM430" s="4" t="s">
        <v>7</v>
      </c>
      <c r="AN430" s="5" t="s">
        <v>7</v>
      </c>
    </row>
    <row r="431" spans="1:40" x14ac:dyDescent="0.2">
      <c r="A431" s="39">
        <v>4582</v>
      </c>
      <c r="B431" s="4" t="s">
        <v>52</v>
      </c>
      <c r="C431" s="30" t="s">
        <v>23</v>
      </c>
      <c r="D431" s="30">
        <v>5</v>
      </c>
      <c r="E431" s="30">
        <v>0</v>
      </c>
      <c r="F431" s="4">
        <v>2.8180000000000001</v>
      </c>
      <c r="G431" s="30">
        <v>28</v>
      </c>
      <c r="H431" s="33">
        <v>3.4113620807665983</v>
      </c>
      <c r="I431" s="33">
        <v>3.4195756331279945</v>
      </c>
      <c r="J431" s="33">
        <v>6.8309377138945928</v>
      </c>
      <c r="K431" s="33">
        <v>3.3401779603011637</v>
      </c>
      <c r="L431" s="33">
        <v>3.3894592744695413</v>
      </c>
      <c r="M431" s="33">
        <v>6.7296372347707054</v>
      </c>
      <c r="N431" s="33">
        <v>3.5838466803559208</v>
      </c>
      <c r="O431" s="33">
        <v>3.1950718685831623</v>
      </c>
      <c r="P431" s="33">
        <v>6.7789185489390826</v>
      </c>
      <c r="Q431" s="33">
        <v>3.2388774811772758</v>
      </c>
      <c r="R431" s="33" t="s">
        <v>7</v>
      </c>
      <c r="S431" s="33" t="s">
        <v>7</v>
      </c>
      <c r="T431" s="34">
        <v>4</v>
      </c>
      <c r="U431" s="34">
        <v>16</v>
      </c>
      <c r="V431" s="4" t="s">
        <v>1</v>
      </c>
      <c r="W431" s="4">
        <v>1</v>
      </c>
      <c r="X431" s="4">
        <v>1</v>
      </c>
      <c r="Y431" s="4">
        <v>1</v>
      </c>
      <c r="Z431" s="56">
        <v>3</v>
      </c>
      <c r="AA431" s="9" cm="1">
        <f t="array" ref="AA431">IF(OR(AB431:AE431=""),"BLANK",IF(AND(AB431:AE431&lt;999),1,IF(AND(AB431:AE431="NA"),3,2)))</f>
        <v>1</v>
      </c>
      <c r="AB431" s="4">
        <v>30</v>
      </c>
      <c r="AC431" s="4">
        <v>19</v>
      </c>
      <c r="AD431" s="4">
        <v>12</v>
      </c>
      <c r="AE431" s="5">
        <v>61</v>
      </c>
      <c r="AF431" s="9">
        <f t="shared" si="6"/>
        <v>1</v>
      </c>
      <c r="AG431" s="5">
        <v>58</v>
      </c>
      <c r="AH431" s="9" cm="1">
        <f t="array" ref="AH431">IF(OR(AI431:AN431=""),"BLANK",IF(AND(AI431:AN431&lt;99),1,IF(AND(AI431:AN431="NA"),3,2)))</f>
        <v>3</v>
      </c>
      <c r="AI431" s="4" t="s">
        <v>7</v>
      </c>
      <c r="AJ431" s="4" t="s">
        <v>7</v>
      </c>
      <c r="AK431" s="4" t="s">
        <v>7</v>
      </c>
      <c r="AL431" s="4" t="s">
        <v>7</v>
      </c>
      <c r="AM431" s="4" t="s">
        <v>7</v>
      </c>
      <c r="AN431" s="5" t="s">
        <v>7</v>
      </c>
    </row>
    <row r="432" spans="1:40" x14ac:dyDescent="0.2">
      <c r="A432" s="39">
        <v>4586</v>
      </c>
      <c r="B432" s="4" t="s">
        <v>65</v>
      </c>
      <c r="C432" s="30" t="s">
        <v>24</v>
      </c>
      <c r="D432" s="30">
        <v>5</v>
      </c>
      <c r="E432" s="30">
        <v>0</v>
      </c>
      <c r="F432" s="4">
        <v>3.5449999999999999</v>
      </c>
      <c r="G432" s="30">
        <v>29</v>
      </c>
      <c r="H432" s="33">
        <v>3.8494182067077345</v>
      </c>
      <c r="I432" s="33" t="s">
        <v>7</v>
      </c>
      <c r="J432" s="33" t="s">
        <v>7</v>
      </c>
      <c r="K432" s="33">
        <v>3.8494182067077345</v>
      </c>
      <c r="L432" s="33" t="s">
        <v>7</v>
      </c>
      <c r="M432" s="33" t="s">
        <v>7</v>
      </c>
      <c r="N432" s="33" t="s">
        <v>7</v>
      </c>
      <c r="O432" s="33" t="s">
        <v>7</v>
      </c>
      <c r="P432" s="33" t="s">
        <v>7</v>
      </c>
      <c r="Q432" s="33" t="s">
        <v>7</v>
      </c>
      <c r="R432" s="33" t="s">
        <v>7</v>
      </c>
      <c r="S432" s="33" t="s">
        <v>7</v>
      </c>
      <c r="T432" s="34">
        <v>4</v>
      </c>
      <c r="U432" s="34">
        <v>16</v>
      </c>
      <c r="V432" s="4" t="s">
        <v>1</v>
      </c>
      <c r="W432" s="4">
        <v>1</v>
      </c>
      <c r="X432" s="4">
        <v>1</v>
      </c>
      <c r="Y432" s="4">
        <v>1</v>
      </c>
      <c r="Z432" s="56">
        <v>3</v>
      </c>
      <c r="AA432" s="9" cm="1">
        <f t="array" ref="AA432">IF(OR(AB432:AE432=""),"BLANK",IF(AND(AB432:AE432&lt;999),1,IF(AND(AB432:AE432="NA"),3,2)))</f>
        <v>1</v>
      </c>
      <c r="AB432" s="4">
        <v>21</v>
      </c>
      <c r="AC432" s="4">
        <v>11</v>
      </c>
      <c r="AD432" s="4">
        <v>12</v>
      </c>
      <c r="AE432" s="5">
        <v>44</v>
      </c>
      <c r="AF432" s="9">
        <f t="shared" si="6"/>
        <v>1</v>
      </c>
      <c r="AG432" s="5">
        <v>36</v>
      </c>
      <c r="AH432" s="9" cm="1">
        <f t="array" ref="AH432">IF(OR(AI432:AN432=""),"BLANK",IF(AND(AI432:AN432&lt;99),1,IF(AND(AI432:AN432="NA"),3,2)))</f>
        <v>3</v>
      </c>
      <c r="AI432" s="4" t="s">
        <v>7</v>
      </c>
      <c r="AJ432" s="4" t="s">
        <v>7</v>
      </c>
      <c r="AK432" s="4" t="s">
        <v>7</v>
      </c>
      <c r="AL432" s="4" t="s">
        <v>7</v>
      </c>
      <c r="AM432" s="4" t="s">
        <v>7</v>
      </c>
      <c r="AN432" s="5" t="s">
        <v>7</v>
      </c>
    </row>
    <row r="433" spans="1:40" x14ac:dyDescent="0.2">
      <c r="A433" s="39">
        <v>4607</v>
      </c>
      <c r="B433" s="4" t="s">
        <v>47</v>
      </c>
      <c r="C433" s="30" t="s">
        <v>24</v>
      </c>
      <c r="D433" s="30">
        <v>5</v>
      </c>
      <c r="E433" s="30">
        <v>0</v>
      </c>
      <c r="F433" s="4">
        <v>3.2730000000000001</v>
      </c>
      <c r="G433" s="30">
        <v>26</v>
      </c>
      <c r="H433" s="33">
        <v>4.3148528405201914</v>
      </c>
      <c r="I433" s="33" t="s">
        <v>7</v>
      </c>
      <c r="J433" s="33" t="s">
        <v>7</v>
      </c>
      <c r="K433" s="33">
        <v>4.3148528405201914</v>
      </c>
      <c r="L433" s="33" t="s">
        <v>7</v>
      </c>
      <c r="M433" s="33" t="s">
        <v>7</v>
      </c>
      <c r="N433" s="33">
        <v>4.2737850787132103</v>
      </c>
      <c r="O433" s="33" t="s">
        <v>7</v>
      </c>
      <c r="P433" s="33" t="s">
        <v>7</v>
      </c>
      <c r="Q433" s="33">
        <v>4.2518822724161529</v>
      </c>
      <c r="R433" s="33" t="s">
        <v>7</v>
      </c>
      <c r="S433" s="33" t="s">
        <v>7</v>
      </c>
      <c r="T433" s="34">
        <v>3</v>
      </c>
      <c r="U433" s="34">
        <v>15</v>
      </c>
      <c r="V433" s="4" t="s">
        <v>1</v>
      </c>
      <c r="W433" s="4">
        <v>1</v>
      </c>
      <c r="X433" s="4">
        <v>1</v>
      </c>
      <c r="Y433" s="4">
        <v>1</v>
      </c>
      <c r="Z433" s="56">
        <v>3</v>
      </c>
      <c r="AA433" s="9" cm="1">
        <f t="array" ref="AA433">IF(OR(AB433:AE433=""),"BLANK",IF(AND(AB433:AE433&lt;999),1,IF(AND(AB433:AE433="NA"),3,2)))</f>
        <v>1</v>
      </c>
      <c r="AB433" s="4">
        <v>12</v>
      </c>
      <c r="AC433" s="4">
        <v>12</v>
      </c>
      <c r="AD433" s="4">
        <v>8</v>
      </c>
      <c r="AE433" s="5">
        <v>32</v>
      </c>
      <c r="AF433" s="9">
        <f t="shared" si="6"/>
        <v>1</v>
      </c>
      <c r="AG433" s="5">
        <v>41</v>
      </c>
      <c r="AH433" s="9" cm="1">
        <f t="array" ref="AH433">IF(OR(AI433:AN433=""),"BLANK",IF(AND(AI433:AN433&lt;99),1,IF(AND(AI433:AN433="NA"),3,2)))</f>
        <v>3</v>
      </c>
      <c r="AI433" s="4" t="s">
        <v>7</v>
      </c>
      <c r="AJ433" s="4" t="s">
        <v>7</v>
      </c>
      <c r="AK433" s="4" t="s">
        <v>7</v>
      </c>
      <c r="AL433" s="4" t="s">
        <v>7</v>
      </c>
      <c r="AM433" s="4" t="s">
        <v>7</v>
      </c>
      <c r="AN433" s="5" t="s">
        <v>7</v>
      </c>
    </row>
    <row r="434" spans="1:40" x14ac:dyDescent="0.2">
      <c r="A434" s="39">
        <v>4613</v>
      </c>
      <c r="B434" s="4" t="s">
        <v>52</v>
      </c>
      <c r="C434" s="30" t="s">
        <v>24</v>
      </c>
      <c r="D434" s="30">
        <v>3</v>
      </c>
      <c r="E434" s="30">
        <v>0</v>
      </c>
      <c r="F434" s="4">
        <v>3.7269999999999999</v>
      </c>
      <c r="G434" s="30">
        <v>28</v>
      </c>
      <c r="H434" s="33">
        <v>3.5044490075290895</v>
      </c>
      <c r="I434" s="33" t="s">
        <v>7</v>
      </c>
      <c r="J434" s="33" t="s">
        <v>7</v>
      </c>
      <c r="K434" s="33">
        <v>3.6057494866529773</v>
      </c>
      <c r="L434" s="33" t="s">
        <v>7</v>
      </c>
      <c r="M434" s="33" t="s">
        <v>7</v>
      </c>
      <c r="N434" s="33">
        <v>3.5044490075290895</v>
      </c>
      <c r="O434" s="33" t="s">
        <v>7</v>
      </c>
      <c r="P434" s="33" t="s">
        <v>7</v>
      </c>
      <c r="Q434" s="33">
        <v>3.4880219028062971</v>
      </c>
      <c r="R434" s="33" t="s">
        <v>7</v>
      </c>
      <c r="S434" s="33" t="s">
        <v>7</v>
      </c>
      <c r="T434" s="34">
        <v>3</v>
      </c>
      <c r="U434" s="34">
        <v>15</v>
      </c>
      <c r="V434" s="4" t="s">
        <v>1</v>
      </c>
      <c r="W434" s="4">
        <v>1</v>
      </c>
      <c r="X434" s="4">
        <v>1</v>
      </c>
      <c r="Y434" s="4">
        <v>1</v>
      </c>
      <c r="Z434" s="56">
        <v>3</v>
      </c>
      <c r="AA434" s="9" cm="1">
        <f t="array" ref="AA434">IF(OR(AB434:AE434=""),"BLANK",IF(AND(AB434:AE434&lt;999),1,IF(AND(AB434:AE434="NA"),3,2)))</f>
        <v>1</v>
      </c>
      <c r="AB434" s="4">
        <v>28</v>
      </c>
      <c r="AC434" s="4">
        <v>19</v>
      </c>
      <c r="AD434" s="4">
        <v>14</v>
      </c>
      <c r="AE434" s="5">
        <v>61</v>
      </c>
      <c r="AF434" s="9">
        <f t="shared" si="6"/>
        <v>1</v>
      </c>
      <c r="AG434" s="5">
        <v>56</v>
      </c>
      <c r="AH434" s="9" cm="1">
        <f t="array" ref="AH434">IF(OR(AI434:AN434=""),"BLANK",IF(AND(AI434:AN434&lt;99),1,IF(AND(AI434:AN434="NA"),3,2)))</f>
        <v>3</v>
      </c>
      <c r="AI434" s="4" t="s">
        <v>7</v>
      </c>
      <c r="AJ434" s="4" t="s">
        <v>7</v>
      </c>
      <c r="AK434" s="4" t="s">
        <v>7</v>
      </c>
      <c r="AL434" s="4" t="s">
        <v>7</v>
      </c>
      <c r="AM434" s="4" t="s">
        <v>7</v>
      </c>
      <c r="AN434" s="5" t="s">
        <v>7</v>
      </c>
    </row>
    <row r="435" spans="1:40" x14ac:dyDescent="0.2">
      <c r="A435" s="39">
        <v>4615</v>
      </c>
      <c r="B435" s="4" t="s">
        <v>66</v>
      </c>
      <c r="C435" s="30" t="s">
        <v>24</v>
      </c>
      <c r="D435" s="30">
        <v>5</v>
      </c>
      <c r="E435" s="30">
        <v>0</v>
      </c>
      <c r="F435" s="4">
        <v>3.4550000000000001</v>
      </c>
      <c r="G435" s="30">
        <v>29</v>
      </c>
      <c r="H435" s="33">
        <v>3.4469541409993156</v>
      </c>
      <c r="I435" s="33" t="s">
        <v>7</v>
      </c>
      <c r="J435" s="33" t="s">
        <v>7</v>
      </c>
      <c r="K435" s="33">
        <v>3.3730321697467489</v>
      </c>
      <c r="L435" s="33" t="s">
        <v>7</v>
      </c>
      <c r="M435" s="33" t="s">
        <v>7</v>
      </c>
      <c r="N435" s="33">
        <v>3.5345653661875427</v>
      </c>
      <c r="O435" s="33" t="s">
        <v>7</v>
      </c>
      <c r="P435" s="33" t="s">
        <v>7</v>
      </c>
      <c r="Q435" s="33">
        <v>3.6358658453114305</v>
      </c>
      <c r="R435" s="33" t="s">
        <v>7</v>
      </c>
      <c r="S435" s="33" t="s">
        <v>7</v>
      </c>
      <c r="T435" s="34">
        <v>3</v>
      </c>
      <c r="U435" s="34">
        <v>14</v>
      </c>
      <c r="V435" s="4" t="s">
        <v>1</v>
      </c>
      <c r="W435" s="4">
        <v>1</v>
      </c>
      <c r="X435" s="4">
        <v>1</v>
      </c>
      <c r="Y435" s="4">
        <v>1</v>
      </c>
      <c r="Z435" s="56">
        <v>3</v>
      </c>
      <c r="AA435" s="9" cm="1">
        <f t="array" ref="AA435">IF(OR(AB435:AE435=""),"BLANK",IF(AND(AB435:AE435&lt;999),1,IF(AND(AB435:AE435="NA"),3,2)))</f>
        <v>1</v>
      </c>
      <c r="AB435" s="4">
        <v>32</v>
      </c>
      <c r="AC435" s="4">
        <v>21</v>
      </c>
      <c r="AD435" s="4">
        <v>17</v>
      </c>
      <c r="AE435" s="5">
        <v>70</v>
      </c>
      <c r="AF435" s="9">
        <f t="shared" si="6"/>
        <v>1</v>
      </c>
      <c r="AG435" s="5">
        <v>48</v>
      </c>
      <c r="AH435" s="9" cm="1">
        <f t="array" ref="AH435">IF(OR(AI435:AN435=""),"BLANK",IF(AND(AI435:AN435&lt;99),1,IF(AND(AI435:AN435="NA"),3,2)))</f>
        <v>3</v>
      </c>
      <c r="AI435" s="4" t="s">
        <v>7</v>
      </c>
      <c r="AJ435" s="4" t="s">
        <v>7</v>
      </c>
      <c r="AK435" s="4" t="s">
        <v>7</v>
      </c>
      <c r="AL435" s="4" t="s">
        <v>7</v>
      </c>
      <c r="AM435" s="4" t="s">
        <v>7</v>
      </c>
      <c r="AN435" s="5" t="s">
        <v>7</v>
      </c>
    </row>
    <row r="436" spans="1:40" x14ac:dyDescent="0.2">
      <c r="A436" s="39">
        <v>4629</v>
      </c>
      <c r="B436" s="4" t="s">
        <v>47</v>
      </c>
      <c r="C436" s="30" t="s">
        <v>23</v>
      </c>
      <c r="D436" s="30">
        <v>5</v>
      </c>
      <c r="E436" s="30">
        <v>0</v>
      </c>
      <c r="F436" s="4">
        <v>3.5449999999999999</v>
      </c>
      <c r="G436" s="30">
        <v>29</v>
      </c>
      <c r="H436" s="33">
        <v>3.4798083504449009</v>
      </c>
      <c r="I436" s="33" t="s">
        <v>7</v>
      </c>
      <c r="J436" s="33" t="s">
        <v>7</v>
      </c>
      <c r="K436" s="33">
        <v>3.4305270362765228</v>
      </c>
      <c r="L436" s="33" t="s">
        <v>7</v>
      </c>
      <c r="M436" s="33" t="s">
        <v>7</v>
      </c>
      <c r="N436" s="33" t="s">
        <v>7</v>
      </c>
      <c r="O436" s="33" t="s">
        <v>7</v>
      </c>
      <c r="P436" s="33" t="s">
        <v>7</v>
      </c>
      <c r="Q436" s="33" t="s">
        <v>7</v>
      </c>
      <c r="R436" s="33" t="s">
        <v>7</v>
      </c>
      <c r="S436" s="33" t="s">
        <v>7</v>
      </c>
      <c r="T436" s="34">
        <v>4</v>
      </c>
      <c r="U436" s="34">
        <v>16</v>
      </c>
      <c r="V436" s="4" t="s">
        <v>1</v>
      </c>
      <c r="W436" s="4">
        <v>1</v>
      </c>
      <c r="X436" s="4">
        <v>1</v>
      </c>
      <c r="Y436" s="4">
        <v>1</v>
      </c>
      <c r="Z436" s="56">
        <v>3</v>
      </c>
      <c r="AA436" s="9" cm="1">
        <f t="array" ref="AA436">IF(OR(AB436:AE436=""),"BLANK",IF(AND(AB436:AE436&lt;999),1,IF(AND(AB436:AE436="NA"),3,2)))</f>
        <v>1</v>
      </c>
      <c r="AB436" s="4">
        <v>30</v>
      </c>
      <c r="AC436" s="4">
        <v>18</v>
      </c>
      <c r="AD436" s="4">
        <v>14</v>
      </c>
      <c r="AE436" s="5">
        <v>62</v>
      </c>
      <c r="AF436" s="9">
        <f t="shared" si="6"/>
        <v>1</v>
      </c>
      <c r="AG436" s="5">
        <v>50</v>
      </c>
      <c r="AH436" s="9" cm="1">
        <f t="array" ref="AH436">IF(OR(AI436:AN436=""),"BLANK",IF(AND(AI436:AN436&lt;99),1,IF(AND(AI436:AN436="NA"),3,2)))</f>
        <v>3</v>
      </c>
      <c r="AI436" s="4" t="s">
        <v>7</v>
      </c>
      <c r="AJ436" s="4" t="s">
        <v>7</v>
      </c>
      <c r="AK436" s="4" t="s">
        <v>7</v>
      </c>
      <c r="AL436" s="4" t="s">
        <v>7</v>
      </c>
      <c r="AM436" s="4" t="s">
        <v>7</v>
      </c>
      <c r="AN436" s="5" t="s">
        <v>7</v>
      </c>
    </row>
    <row r="437" spans="1:40" x14ac:dyDescent="0.2">
      <c r="A437" s="39">
        <v>4641</v>
      </c>
      <c r="B437" s="4" t="s">
        <v>48</v>
      </c>
      <c r="C437" s="30" t="s">
        <v>23</v>
      </c>
      <c r="D437" s="30">
        <v>5</v>
      </c>
      <c r="E437" s="30">
        <v>0</v>
      </c>
      <c r="F437" s="4">
        <v>3.6360000000000001</v>
      </c>
      <c r="G437" s="30">
        <v>30</v>
      </c>
      <c r="H437" s="33">
        <v>3.4195756331279945</v>
      </c>
      <c r="I437" s="33">
        <v>3.40041067761807</v>
      </c>
      <c r="J437" s="33">
        <v>6.8199863107460645</v>
      </c>
      <c r="K437" s="33">
        <v>3.4469541409993156</v>
      </c>
      <c r="L437" s="33">
        <v>3.4688569472963722</v>
      </c>
      <c r="M437" s="33">
        <v>6.9158110882956878</v>
      </c>
      <c r="N437" s="33">
        <v>3.3921971252566734</v>
      </c>
      <c r="O437" s="33">
        <v>3.378507871321013</v>
      </c>
      <c r="P437" s="33">
        <v>6.7707049965776864</v>
      </c>
      <c r="Q437" s="33">
        <v>3.3292265571526354</v>
      </c>
      <c r="R437" s="33" t="s">
        <v>7</v>
      </c>
      <c r="S437" s="33" t="s">
        <v>7</v>
      </c>
      <c r="T437" s="34">
        <v>3</v>
      </c>
      <c r="U437" s="34">
        <v>14</v>
      </c>
      <c r="V437" s="4" t="s">
        <v>1</v>
      </c>
      <c r="W437" s="4">
        <v>1</v>
      </c>
      <c r="X437" s="4">
        <v>1</v>
      </c>
      <c r="Y437" s="4">
        <v>1</v>
      </c>
      <c r="Z437" s="56">
        <v>3</v>
      </c>
      <c r="AA437" s="9" cm="1">
        <f t="array" ref="AA437">IF(OR(AB437:AE437=""),"BLANK",IF(AND(AB437:AE437&lt;999),1,IF(AND(AB437:AE437="NA"),3,2)))</f>
        <v>1</v>
      </c>
      <c r="AB437" s="4">
        <v>30</v>
      </c>
      <c r="AC437" s="4">
        <v>14</v>
      </c>
      <c r="AD437" s="4">
        <v>13</v>
      </c>
      <c r="AE437" s="5">
        <v>57</v>
      </c>
      <c r="AF437" s="9">
        <f t="shared" si="6"/>
        <v>1</v>
      </c>
      <c r="AG437" s="5">
        <v>43</v>
      </c>
      <c r="AH437" s="9" cm="1">
        <f t="array" ref="AH437">IF(OR(AI437:AN437=""),"BLANK",IF(AND(AI437:AN437&lt;99),1,IF(AND(AI437:AN437="NA"),3,2)))</f>
        <v>3</v>
      </c>
      <c r="AI437" s="4" t="s">
        <v>7</v>
      </c>
      <c r="AJ437" s="4" t="s">
        <v>7</v>
      </c>
      <c r="AK437" s="4" t="s">
        <v>7</v>
      </c>
      <c r="AL437" s="4" t="s">
        <v>7</v>
      </c>
      <c r="AM437" s="4" t="s">
        <v>7</v>
      </c>
      <c r="AN437" s="5" t="s">
        <v>7</v>
      </c>
    </row>
    <row r="438" spans="1:40" x14ac:dyDescent="0.2">
      <c r="A438" s="39">
        <v>4658</v>
      </c>
      <c r="B438" s="4" t="s">
        <v>47</v>
      </c>
      <c r="C438" s="30" t="s">
        <v>23</v>
      </c>
      <c r="D438" s="30">
        <v>5</v>
      </c>
      <c r="E438" s="30">
        <v>0</v>
      </c>
      <c r="F438" s="4">
        <v>4</v>
      </c>
      <c r="G438" s="30">
        <v>29</v>
      </c>
      <c r="H438" s="33">
        <v>3.7508555783709787</v>
      </c>
      <c r="I438" s="33">
        <v>2.9897330595482545</v>
      </c>
      <c r="J438" s="33">
        <v>6.7405886379192337</v>
      </c>
      <c r="K438" s="33">
        <v>3.786447638603696</v>
      </c>
      <c r="L438" s="33">
        <v>2.9377138945927448</v>
      </c>
      <c r="M438" s="33">
        <v>6.7241615331964404</v>
      </c>
      <c r="N438" s="33">
        <v>3.7180013689253935</v>
      </c>
      <c r="O438" s="33" t="s">
        <v>7</v>
      </c>
      <c r="P438" s="33" t="s">
        <v>7</v>
      </c>
      <c r="Q438" s="33">
        <v>3.6933607118412048</v>
      </c>
      <c r="R438" s="33" t="s">
        <v>7</v>
      </c>
      <c r="S438" s="33" t="s">
        <v>7</v>
      </c>
      <c r="T438" s="34">
        <v>3</v>
      </c>
      <c r="U438" s="34">
        <v>14</v>
      </c>
      <c r="V438" s="4" t="s">
        <v>1</v>
      </c>
      <c r="W438" s="4">
        <v>1</v>
      </c>
      <c r="X438" s="4">
        <v>1</v>
      </c>
      <c r="Y438" s="4">
        <v>1</v>
      </c>
      <c r="Z438" s="56">
        <v>3</v>
      </c>
      <c r="AA438" s="9" cm="1">
        <f t="array" ref="AA438">IF(OR(AB438:AE438=""),"BLANK",IF(AND(AB438:AE438&lt;999),1,IF(AND(AB438:AE438="NA"),3,2)))</f>
        <v>1</v>
      </c>
      <c r="AB438" s="4">
        <v>29</v>
      </c>
      <c r="AC438" s="4">
        <v>17</v>
      </c>
      <c r="AD438" s="4">
        <v>14</v>
      </c>
      <c r="AE438" s="5">
        <v>60</v>
      </c>
      <c r="AF438" s="9">
        <f t="shared" si="6"/>
        <v>1</v>
      </c>
      <c r="AG438" s="5">
        <v>41</v>
      </c>
      <c r="AH438" s="9" cm="1">
        <f t="array" ref="AH438">IF(OR(AI438:AN438=""),"BLANK",IF(AND(AI438:AN438&lt;99),1,IF(AND(AI438:AN438="NA"),3,2)))</f>
        <v>3</v>
      </c>
      <c r="AI438" s="4" t="s">
        <v>7</v>
      </c>
      <c r="AJ438" s="4" t="s">
        <v>7</v>
      </c>
      <c r="AK438" s="4" t="s">
        <v>7</v>
      </c>
      <c r="AL438" s="4" t="s">
        <v>7</v>
      </c>
      <c r="AM438" s="4" t="s">
        <v>7</v>
      </c>
      <c r="AN438" s="5" t="s">
        <v>7</v>
      </c>
    </row>
    <row r="439" spans="1:40" x14ac:dyDescent="0.2">
      <c r="A439" s="39">
        <v>4659</v>
      </c>
      <c r="B439" s="4" t="s">
        <v>66</v>
      </c>
      <c r="C439" s="30" t="s">
        <v>23</v>
      </c>
      <c r="D439" s="30">
        <v>5</v>
      </c>
      <c r="E439" s="30">
        <v>0</v>
      </c>
      <c r="F439" s="4">
        <v>4</v>
      </c>
      <c r="G439" s="30">
        <v>28</v>
      </c>
      <c r="H439" s="33" t="s">
        <v>7</v>
      </c>
      <c r="I439" s="33" t="s">
        <v>7</v>
      </c>
      <c r="J439" s="33" t="s">
        <v>7</v>
      </c>
      <c r="K439" s="33" t="s">
        <v>7</v>
      </c>
      <c r="L439" s="33" t="s">
        <v>7</v>
      </c>
      <c r="M439" s="33" t="s">
        <v>7</v>
      </c>
      <c r="N439" s="33" t="s">
        <v>7</v>
      </c>
      <c r="O439" s="33" t="s">
        <v>7</v>
      </c>
      <c r="P439" s="33" t="s">
        <v>7</v>
      </c>
      <c r="Q439" s="33" t="s">
        <v>7</v>
      </c>
      <c r="R439" s="33" t="s">
        <v>7</v>
      </c>
      <c r="S439" s="33" t="s">
        <v>7</v>
      </c>
      <c r="T439" s="34">
        <v>2</v>
      </c>
      <c r="U439" s="34">
        <v>12</v>
      </c>
      <c r="V439" s="4" t="s">
        <v>1</v>
      </c>
      <c r="W439" s="4">
        <v>1</v>
      </c>
      <c r="X439" s="4">
        <v>1</v>
      </c>
      <c r="Y439" s="4">
        <v>1</v>
      </c>
      <c r="Z439" s="56">
        <v>3</v>
      </c>
      <c r="AA439" s="9" cm="1">
        <f t="array" ref="AA439">IF(OR(AB439:AE439=""),"BLANK",IF(AND(AB439:AE439&lt;999),1,IF(AND(AB439:AE439="NA"),3,2)))</f>
        <v>1</v>
      </c>
      <c r="AB439" s="4">
        <v>32</v>
      </c>
      <c r="AC439" s="4">
        <v>21</v>
      </c>
      <c r="AD439" s="4">
        <v>17</v>
      </c>
      <c r="AE439" s="5">
        <v>70</v>
      </c>
      <c r="AF439" s="9">
        <f t="shared" si="6"/>
        <v>1</v>
      </c>
      <c r="AG439" s="5">
        <v>52</v>
      </c>
      <c r="AH439" s="9" cm="1">
        <f t="array" ref="AH439">IF(OR(AI439:AN439=""),"BLANK",IF(AND(AI439:AN439&lt;99),1,IF(AND(AI439:AN439="NA"),3,2)))</f>
        <v>3</v>
      </c>
      <c r="AI439" s="4" t="s">
        <v>7</v>
      </c>
      <c r="AJ439" s="4" t="s">
        <v>7</v>
      </c>
      <c r="AK439" s="4" t="s">
        <v>7</v>
      </c>
      <c r="AL439" s="4" t="s">
        <v>7</v>
      </c>
      <c r="AM439" s="4" t="s">
        <v>7</v>
      </c>
      <c r="AN439" s="5" t="s">
        <v>7</v>
      </c>
    </row>
    <row r="440" spans="1:40" x14ac:dyDescent="0.2">
      <c r="A440" s="39">
        <v>4660</v>
      </c>
      <c r="B440" s="4" t="s">
        <v>58</v>
      </c>
      <c r="C440" s="30" t="s">
        <v>23</v>
      </c>
      <c r="D440" s="30">
        <v>5</v>
      </c>
      <c r="E440" s="30">
        <v>0</v>
      </c>
      <c r="F440" s="4">
        <v>4</v>
      </c>
      <c r="G440" s="30">
        <v>28</v>
      </c>
      <c r="H440" s="33" t="s">
        <v>7</v>
      </c>
      <c r="I440" s="33" t="s">
        <v>7</v>
      </c>
      <c r="J440" s="33" t="s">
        <v>7</v>
      </c>
      <c r="K440" s="33" t="s">
        <v>7</v>
      </c>
      <c r="L440" s="33" t="s">
        <v>7</v>
      </c>
      <c r="M440" s="33" t="s">
        <v>7</v>
      </c>
      <c r="N440" s="33" t="s">
        <v>7</v>
      </c>
      <c r="O440" s="33" t="s">
        <v>7</v>
      </c>
      <c r="P440" s="33" t="s">
        <v>7</v>
      </c>
      <c r="Q440" s="33" t="s">
        <v>7</v>
      </c>
      <c r="R440" s="33" t="s">
        <v>7</v>
      </c>
      <c r="S440" s="33" t="s">
        <v>7</v>
      </c>
      <c r="T440" s="34">
        <v>3</v>
      </c>
      <c r="U440" s="34">
        <v>14</v>
      </c>
      <c r="V440" s="4" t="s">
        <v>1</v>
      </c>
      <c r="W440" s="4">
        <v>1</v>
      </c>
      <c r="X440" s="4">
        <v>1</v>
      </c>
      <c r="Y440" s="4">
        <v>1</v>
      </c>
      <c r="Z440" s="56">
        <v>3</v>
      </c>
      <c r="AA440" s="9" cm="1">
        <f t="array" ref="AA440">IF(OR(AB440:AE440=""),"BLANK",IF(AND(AB440:AE440&lt;999),1,IF(AND(AB440:AE440="NA"),3,2)))</f>
        <v>1</v>
      </c>
      <c r="AB440" s="4">
        <v>26</v>
      </c>
      <c r="AC440" s="4">
        <v>15</v>
      </c>
      <c r="AD440" s="4">
        <v>13</v>
      </c>
      <c r="AE440" s="5">
        <v>54</v>
      </c>
      <c r="AF440" s="9">
        <f t="shared" si="6"/>
        <v>1</v>
      </c>
      <c r="AG440" s="5">
        <v>53</v>
      </c>
      <c r="AH440" s="9" cm="1">
        <f t="array" ref="AH440">IF(OR(AI440:AN440=""),"BLANK",IF(AND(AI440:AN440&lt;99),1,IF(AND(AI440:AN440="NA"),3,2)))</f>
        <v>3</v>
      </c>
      <c r="AI440" s="4" t="s">
        <v>7</v>
      </c>
      <c r="AJ440" s="4" t="s">
        <v>7</v>
      </c>
      <c r="AK440" s="4" t="s">
        <v>7</v>
      </c>
      <c r="AL440" s="4" t="s">
        <v>7</v>
      </c>
      <c r="AM440" s="4" t="s">
        <v>7</v>
      </c>
      <c r="AN440" s="5" t="s">
        <v>7</v>
      </c>
    </row>
    <row r="441" spans="1:40" x14ac:dyDescent="0.2">
      <c r="A441" s="39">
        <v>4664</v>
      </c>
      <c r="B441" s="4" t="s">
        <v>47</v>
      </c>
      <c r="C441" s="30" t="s">
        <v>24</v>
      </c>
      <c r="D441" s="30">
        <v>5</v>
      </c>
      <c r="E441" s="30">
        <v>0</v>
      </c>
      <c r="F441" s="4">
        <v>2.8180000000000001</v>
      </c>
      <c r="G441" s="30">
        <v>30</v>
      </c>
      <c r="H441" s="33">
        <v>3.9671457905544147</v>
      </c>
      <c r="I441" s="33" t="s">
        <v>7</v>
      </c>
      <c r="J441" s="33" t="s">
        <v>7</v>
      </c>
      <c r="K441" s="33">
        <v>4.1587953456536617</v>
      </c>
      <c r="L441" s="33" t="s">
        <v>7</v>
      </c>
      <c r="M441" s="33" t="s">
        <v>7</v>
      </c>
      <c r="N441" s="33">
        <v>3.9534565366187544</v>
      </c>
      <c r="O441" s="33" t="s">
        <v>7</v>
      </c>
      <c r="P441" s="33" t="s">
        <v>7</v>
      </c>
      <c r="Q441" s="33">
        <v>4.0383299110198498</v>
      </c>
      <c r="R441" s="33" t="s">
        <v>7</v>
      </c>
      <c r="S441" s="33" t="s">
        <v>7</v>
      </c>
      <c r="T441" s="34">
        <v>4</v>
      </c>
      <c r="U441" s="34">
        <v>16</v>
      </c>
      <c r="V441" s="4" t="s">
        <v>1</v>
      </c>
      <c r="W441" s="4">
        <v>1</v>
      </c>
      <c r="X441" s="4">
        <v>1</v>
      </c>
      <c r="Y441" s="4">
        <v>1</v>
      </c>
      <c r="Z441" s="56">
        <v>3</v>
      </c>
      <c r="AA441" s="9" cm="1">
        <f t="array" ref="AA441">IF(OR(AB441:AE441=""),"BLANK",IF(AND(AB441:AE441&lt;999),1,IF(AND(AB441:AE441="NA"),3,2)))</f>
        <v>1</v>
      </c>
      <c r="AB441" s="4">
        <v>18</v>
      </c>
      <c r="AC441" s="4">
        <v>13</v>
      </c>
      <c r="AD441" s="4">
        <v>9</v>
      </c>
      <c r="AE441" s="5">
        <v>40</v>
      </c>
      <c r="AF441" s="9">
        <f t="shared" si="6"/>
        <v>1</v>
      </c>
      <c r="AG441" s="5">
        <v>33</v>
      </c>
      <c r="AH441" s="9" cm="1">
        <f t="array" ref="AH441">IF(OR(AI441:AN441=""),"BLANK",IF(AND(AI441:AN441&lt;99),1,IF(AND(AI441:AN441="NA"),3,2)))</f>
        <v>3</v>
      </c>
      <c r="AI441" s="4" t="s">
        <v>7</v>
      </c>
      <c r="AJ441" s="4" t="s">
        <v>7</v>
      </c>
      <c r="AK441" s="4" t="s">
        <v>7</v>
      </c>
      <c r="AL441" s="4" t="s">
        <v>7</v>
      </c>
      <c r="AM441" s="4" t="s">
        <v>7</v>
      </c>
      <c r="AN441" s="5" t="s">
        <v>7</v>
      </c>
    </row>
    <row r="442" spans="1:40" x14ac:dyDescent="0.2">
      <c r="A442" s="39">
        <v>4679</v>
      </c>
      <c r="B442" s="4" t="s">
        <v>48</v>
      </c>
      <c r="C442" s="30" t="s">
        <v>24</v>
      </c>
      <c r="D442" s="30">
        <v>5</v>
      </c>
      <c r="E442" s="30">
        <v>0</v>
      </c>
      <c r="F442" s="4">
        <v>3.8180000000000001</v>
      </c>
      <c r="G442" s="30">
        <v>27</v>
      </c>
      <c r="H442" s="33">
        <v>3.5427789185489389</v>
      </c>
      <c r="I442" s="33">
        <v>3.2169746748802188</v>
      </c>
      <c r="J442" s="33">
        <v>6.7597535934291582</v>
      </c>
      <c r="K442" s="33">
        <v>3.5427789185489389</v>
      </c>
      <c r="L442" s="33">
        <v>3.2443531827515399</v>
      </c>
      <c r="M442" s="33">
        <v>6.7871321013004788</v>
      </c>
      <c r="N442" s="33">
        <v>3.592060232717317</v>
      </c>
      <c r="O442" s="33">
        <v>3.1321013004791238</v>
      </c>
      <c r="P442" s="33">
        <v>6.7241615331964404</v>
      </c>
      <c r="Q442" s="33">
        <v>3.9096509240246409</v>
      </c>
      <c r="R442" s="33">
        <v>2.9322381930184807</v>
      </c>
      <c r="S442" s="33">
        <v>6.8418891170431211</v>
      </c>
      <c r="T442" s="34">
        <v>6</v>
      </c>
      <c r="U442" s="34">
        <v>18</v>
      </c>
      <c r="V442" s="4" t="s">
        <v>1</v>
      </c>
      <c r="W442" s="4">
        <v>1</v>
      </c>
      <c r="X442" s="4">
        <v>1</v>
      </c>
      <c r="Y442" s="4">
        <v>1</v>
      </c>
      <c r="Z442" s="56">
        <v>3</v>
      </c>
      <c r="AA442" s="9" cm="1">
        <f t="array" ref="AA442">IF(OR(AB442:AE442=""),"BLANK",IF(AND(AB442:AE442&lt;999),1,IF(AND(AB442:AE442="NA"),3,2)))</f>
        <v>1</v>
      </c>
      <c r="AB442" s="4">
        <v>27</v>
      </c>
      <c r="AC442" s="4">
        <v>17</v>
      </c>
      <c r="AD442" s="4">
        <v>10</v>
      </c>
      <c r="AE442" s="5">
        <v>54</v>
      </c>
      <c r="AF442" s="9">
        <f t="shared" si="6"/>
        <v>1</v>
      </c>
      <c r="AG442" s="5">
        <v>49</v>
      </c>
      <c r="AH442" s="9" cm="1">
        <f t="array" ref="AH442">IF(OR(AI442:AN442=""),"BLANK",IF(AND(AI442:AN442&lt;99),1,IF(AND(AI442:AN442="NA"),3,2)))</f>
        <v>3</v>
      </c>
      <c r="AI442" s="4" t="s">
        <v>7</v>
      </c>
      <c r="AJ442" s="4" t="s">
        <v>7</v>
      </c>
      <c r="AK442" s="4" t="s">
        <v>7</v>
      </c>
      <c r="AL442" s="4" t="s">
        <v>7</v>
      </c>
      <c r="AM442" s="4" t="s">
        <v>7</v>
      </c>
      <c r="AN442" s="5" t="s">
        <v>7</v>
      </c>
    </row>
    <row r="443" spans="1:40" x14ac:dyDescent="0.2">
      <c r="A443" s="39">
        <v>4682</v>
      </c>
      <c r="B443" s="4" t="s">
        <v>50</v>
      </c>
      <c r="C443" s="30" t="s">
        <v>24</v>
      </c>
      <c r="D443" s="30">
        <v>5</v>
      </c>
      <c r="E443" s="30">
        <v>0</v>
      </c>
      <c r="F443" s="4">
        <v>3.4550000000000001</v>
      </c>
      <c r="G443" s="30">
        <v>29</v>
      </c>
      <c r="H443" s="33">
        <v>3.4962354551676933</v>
      </c>
      <c r="I443" s="33" t="s">
        <v>7</v>
      </c>
      <c r="J443" s="33" t="s">
        <v>7</v>
      </c>
      <c r="K443" s="33">
        <v>3.4770704996577688</v>
      </c>
      <c r="L443" s="33" t="s">
        <v>7</v>
      </c>
      <c r="M443" s="33" t="s">
        <v>7</v>
      </c>
      <c r="N443" s="33">
        <v>3.4058863791923342</v>
      </c>
      <c r="O443" s="33" t="s">
        <v>7</v>
      </c>
      <c r="P443" s="33" t="s">
        <v>7</v>
      </c>
      <c r="Q443" s="33" t="s">
        <v>7</v>
      </c>
      <c r="R443" s="33" t="s">
        <v>7</v>
      </c>
      <c r="S443" s="33" t="s">
        <v>7</v>
      </c>
      <c r="T443" s="34">
        <v>3</v>
      </c>
      <c r="U443" s="34">
        <v>13</v>
      </c>
      <c r="V443" s="4" t="s">
        <v>1</v>
      </c>
      <c r="W443" s="4">
        <v>1</v>
      </c>
      <c r="X443" s="4">
        <v>1</v>
      </c>
      <c r="Y443" s="4">
        <v>1</v>
      </c>
      <c r="Z443" s="56">
        <v>3</v>
      </c>
      <c r="AA443" s="9" cm="1">
        <f t="array" ref="AA443">IF(OR(AB443:AE443=""),"BLANK",IF(AND(AB443:AE443&lt;999),1,IF(AND(AB443:AE443="NA"),3,2)))</f>
        <v>1</v>
      </c>
      <c r="AB443" s="4">
        <v>36</v>
      </c>
      <c r="AC443" s="4">
        <v>18</v>
      </c>
      <c r="AD443" s="4">
        <v>13</v>
      </c>
      <c r="AE443" s="5">
        <v>67</v>
      </c>
      <c r="AF443" s="9">
        <f t="shared" si="6"/>
        <v>1</v>
      </c>
      <c r="AG443" s="5">
        <v>50</v>
      </c>
      <c r="AH443" s="9" cm="1">
        <f t="array" ref="AH443">IF(OR(AI443:AN443=""),"BLANK",IF(AND(AI443:AN443&lt;99),1,IF(AND(AI443:AN443="NA"),3,2)))</f>
        <v>3</v>
      </c>
      <c r="AI443" s="4" t="s">
        <v>7</v>
      </c>
      <c r="AJ443" s="4" t="s">
        <v>7</v>
      </c>
      <c r="AK443" s="4" t="s">
        <v>7</v>
      </c>
      <c r="AL443" s="4" t="s">
        <v>7</v>
      </c>
      <c r="AM443" s="4" t="s">
        <v>7</v>
      </c>
      <c r="AN443" s="5" t="s">
        <v>7</v>
      </c>
    </row>
    <row r="444" spans="1:40" x14ac:dyDescent="0.2">
      <c r="A444" s="39">
        <v>4684</v>
      </c>
      <c r="B444" s="4" t="s">
        <v>62</v>
      </c>
      <c r="C444" s="30" t="s">
        <v>24</v>
      </c>
      <c r="D444" s="30">
        <v>5</v>
      </c>
      <c r="E444" s="30">
        <v>0</v>
      </c>
      <c r="F444" s="4">
        <v>3</v>
      </c>
      <c r="G444" s="30">
        <v>27</v>
      </c>
      <c r="H444" s="33">
        <v>3.4579055441478439</v>
      </c>
      <c r="I444" s="33">
        <v>3.1759069130732374</v>
      </c>
      <c r="J444" s="33">
        <v>6.6338124572210813</v>
      </c>
      <c r="K444" s="33">
        <v>3.4496919917864477</v>
      </c>
      <c r="L444" s="33">
        <v>3.1759069130732374</v>
      </c>
      <c r="M444" s="33">
        <v>6.6255989048596851</v>
      </c>
      <c r="N444" s="33">
        <v>3.3511293634496919</v>
      </c>
      <c r="O444" s="33" t="s">
        <v>7</v>
      </c>
      <c r="P444" s="33" t="s">
        <v>7</v>
      </c>
      <c r="Q444" s="33">
        <v>3.3949349760438055</v>
      </c>
      <c r="R444" s="33" t="s">
        <v>7</v>
      </c>
      <c r="S444" s="33" t="s">
        <v>7</v>
      </c>
      <c r="T444" s="34">
        <v>4</v>
      </c>
      <c r="U444" s="34">
        <v>16</v>
      </c>
      <c r="V444" s="4" t="s">
        <v>1</v>
      </c>
      <c r="W444" s="4">
        <v>1</v>
      </c>
      <c r="X444" s="4">
        <v>1</v>
      </c>
      <c r="Y444" s="4">
        <v>1</v>
      </c>
      <c r="Z444" s="56">
        <v>3</v>
      </c>
      <c r="AA444" s="9" cm="1">
        <f t="array" ref="AA444">IF(OR(AB444:AE444=""),"BLANK",IF(AND(AB444:AE444&lt;999),1,IF(AND(AB444:AE444="NA"),3,2)))</f>
        <v>1</v>
      </c>
      <c r="AB444" s="4">
        <v>32</v>
      </c>
      <c r="AC444" s="4">
        <v>16</v>
      </c>
      <c r="AD444" s="4">
        <v>12</v>
      </c>
      <c r="AE444" s="5">
        <v>60</v>
      </c>
      <c r="AF444" s="9">
        <f t="shared" si="6"/>
        <v>1</v>
      </c>
      <c r="AG444" s="5">
        <v>55</v>
      </c>
      <c r="AH444" s="9" cm="1">
        <f t="array" ref="AH444">IF(OR(AI444:AN444=""),"BLANK",IF(AND(AI444:AN444&lt;99),1,IF(AND(AI444:AN444="NA"),3,2)))</f>
        <v>3</v>
      </c>
      <c r="AI444" s="4" t="s">
        <v>7</v>
      </c>
      <c r="AJ444" s="4" t="s">
        <v>7</v>
      </c>
      <c r="AK444" s="4" t="s">
        <v>7</v>
      </c>
      <c r="AL444" s="4" t="s">
        <v>7</v>
      </c>
      <c r="AM444" s="4" t="s">
        <v>7</v>
      </c>
      <c r="AN444" s="5" t="s">
        <v>7</v>
      </c>
    </row>
    <row r="445" spans="1:40" x14ac:dyDescent="0.2">
      <c r="A445" s="39">
        <v>4691</v>
      </c>
      <c r="B445" s="4" t="s">
        <v>47</v>
      </c>
      <c r="C445" s="30" t="s">
        <v>24</v>
      </c>
      <c r="D445" s="30">
        <v>6</v>
      </c>
      <c r="E445" s="30">
        <v>1</v>
      </c>
      <c r="F445" s="4">
        <v>3.2730000000000001</v>
      </c>
      <c r="G445" s="30">
        <v>26</v>
      </c>
      <c r="H445" s="33">
        <v>4.2108145106091719</v>
      </c>
      <c r="I445" s="33" t="s">
        <v>7</v>
      </c>
      <c r="J445" s="33" t="s">
        <v>7</v>
      </c>
      <c r="K445" s="33">
        <v>4.1971252566735116</v>
      </c>
      <c r="L445" s="33" t="s">
        <v>7</v>
      </c>
      <c r="M445" s="33" t="s">
        <v>7</v>
      </c>
      <c r="N445" s="33">
        <v>4.1368925393566052</v>
      </c>
      <c r="O445" s="33" t="s">
        <v>7</v>
      </c>
      <c r="P445" s="33" t="s">
        <v>7</v>
      </c>
      <c r="Q445" s="33">
        <v>4.1423682409308693</v>
      </c>
      <c r="R445" s="33" t="s">
        <v>7</v>
      </c>
      <c r="S445" s="33" t="s">
        <v>7</v>
      </c>
      <c r="T445" s="34">
        <v>3</v>
      </c>
      <c r="U445" s="34">
        <v>13.5</v>
      </c>
      <c r="V445" s="4" t="s">
        <v>1</v>
      </c>
      <c r="W445" s="4">
        <v>1</v>
      </c>
      <c r="X445" s="4">
        <v>1</v>
      </c>
      <c r="Y445" s="4">
        <v>1</v>
      </c>
      <c r="Z445" s="56">
        <v>3</v>
      </c>
      <c r="AA445" s="9" cm="1">
        <f t="array" ref="AA445">IF(OR(AB445:AE445=""),"BLANK",IF(AND(AB445:AE445&lt;999),1,IF(AND(AB445:AE445="NA"),3,2)))</f>
        <v>1</v>
      </c>
      <c r="AB445" s="4">
        <v>20</v>
      </c>
      <c r="AC445" s="4">
        <v>13</v>
      </c>
      <c r="AD445" s="4">
        <v>10</v>
      </c>
      <c r="AE445" s="5">
        <v>43</v>
      </c>
      <c r="AF445" s="9">
        <f t="shared" si="6"/>
        <v>1</v>
      </c>
      <c r="AG445" s="5">
        <v>29</v>
      </c>
      <c r="AH445" s="9" cm="1">
        <f t="array" ref="AH445">IF(OR(AI445:AN445=""),"BLANK",IF(AND(AI445:AN445&lt;99),1,IF(AND(AI445:AN445="NA"),3,2)))</f>
        <v>3</v>
      </c>
      <c r="AI445" s="4" t="s">
        <v>7</v>
      </c>
      <c r="AJ445" s="4" t="s">
        <v>7</v>
      </c>
      <c r="AK445" s="4" t="s">
        <v>7</v>
      </c>
      <c r="AL445" s="4" t="s">
        <v>7</v>
      </c>
      <c r="AM445" s="4" t="s">
        <v>7</v>
      </c>
      <c r="AN445" s="5" t="s">
        <v>7</v>
      </c>
    </row>
    <row r="446" spans="1:40" x14ac:dyDescent="0.2">
      <c r="A446" s="39">
        <v>4722</v>
      </c>
      <c r="B446" s="4" t="s">
        <v>62</v>
      </c>
      <c r="C446" s="30" t="s">
        <v>23</v>
      </c>
      <c r="D446" s="30">
        <v>5</v>
      </c>
      <c r="E446" s="30">
        <v>1</v>
      </c>
      <c r="F446" s="4">
        <v>2.4550000000000001</v>
      </c>
      <c r="G446" s="30">
        <v>30</v>
      </c>
      <c r="H446" s="33" t="s">
        <v>7</v>
      </c>
      <c r="I446" s="33" t="s">
        <v>7</v>
      </c>
      <c r="J446" s="33" t="s">
        <v>7</v>
      </c>
      <c r="K446" s="33" t="s">
        <v>7</v>
      </c>
      <c r="L446" s="33" t="s">
        <v>7</v>
      </c>
      <c r="M446" s="33" t="s">
        <v>7</v>
      </c>
      <c r="N446" s="33" t="s">
        <v>7</v>
      </c>
      <c r="O446" s="33" t="s">
        <v>7</v>
      </c>
      <c r="P446" s="33" t="s">
        <v>7</v>
      </c>
      <c r="Q446" s="33" t="s">
        <v>7</v>
      </c>
      <c r="R446" s="33" t="s">
        <v>7</v>
      </c>
      <c r="S446" s="33" t="s">
        <v>7</v>
      </c>
      <c r="T446" s="34">
        <v>3</v>
      </c>
      <c r="U446" s="34">
        <v>15</v>
      </c>
      <c r="V446" s="4" t="s">
        <v>1</v>
      </c>
      <c r="W446" s="4">
        <v>1</v>
      </c>
      <c r="X446" s="4">
        <v>1</v>
      </c>
      <c r="Y446" s="4">
        <v>1</v>
      </c>
      <c r="Z446" s="56">
        <v>3</v>
      </c>
      <c r="AA446" s="9" cm="1">
        <f t="array" ref="AA446">IF(OR(AB446:AE446=""),"BLANK",IF(AND(AB446:AE446&lt;999),1,IF(AND(AB446:AE446="NA"),3,2)))</f>
        <v>1</v>
      </c>
      <c r="AB446" s="4">
        <v>31</v>
      </c>
      <c r="AC446" s="4">
        <v>14</v>
      </c>
      <c r="AD446" s="4">
        <v>11</v>
      </c>
      <c r="AE446" s="5">
        <v>56</v>
      </c>
      <c r="AF446" s="9">
        <f t="shared" si="6"/>
        <v>1</v>
      </c>
      <c r="AG446" s="5">
        <v>48</v>
      </c>
      <c r="AH446" s="9" cm="1">
        <f t="array" ref="AH446">IF(OR(AI446:AN446=""),"BLANK",IF(AND(AI446:AN446&lt;99),1,IF(AND(AI446:AN446="NA"),3,2)))</f>
        <v>3</v>
      </c>
      <c r="AI446" s="4" t="s">
        <v>7</v>
      </c>
      <c r="AJ446" s="4" t="s">
        <v>7</v>
      </c>
      <c r="AK446" s="4" t="s">
        <v>7</v>
      </c>
      <c r="AL446" s="4" t="s">
        <v>7</v>
      </c>
      <c r="AM446" s="4" t="s">
        <v>7</v>
      </c>
      <c r="AN446" s="5" t="s">
        <v>7</v>
      </c>
    </row>
    <row r="447" spans="1:40" x14ac:dyDescent="0.2">
      <c r="A447" s="39">
        <v>4727</v>
      </c>
      <c r="B447" s="4" t="s">
        <v>59</v>
      </c>
      <c r="C447" s="30" t="s">
        <v>24</v>
      </c>
      <c r="D447" s="30">
        <v>5</v>
      </c>
      <c r="E447" s="30">
        <v>0</v>
      </c>
      <c r="F447" s="4">
        <v>3.1819999999999999</v>
      </c>
      <c r="G447" s="30">
        <v>29</v>
      </c>
      <c r="H447" s="33">
        <v>3.3867214236824092</v>
      </c>
      <c r="I447" s="33" t="s">
        <v>7</v>
      </c>
      <c r="J447" s="33" t="s">
        <v>7</v>
      </c>
      <c r="K447" s="33">
        <v>3.3867214236824092</v>
      </c>
      <c r="L447" s="33" t="s">
        <v>7</v>
      </c>
      <c r="M447" s="33" t="s">
        <v>7</v>
      </c>
      <c r="N447" s="33" t="s">
        <v>7</v>
      </c>
      <c r="O447" s="33" t="s">
        <v>7</v>
      </c>
      <c r="P447" s="33" t="s">
        <v>7</v>
      </c>
      <c r="Q447" s="33" t="s">
        <v>7</v>
      </c>
      <c r="R447" s="33" t="s">
        <v>7</v>
      </c>
      <c r="S447" s="33" t="s">
        <v>7</v>
      </c>
      <c r="T447" s="34">
        <v>6</v>
      </c>
      <c r="U447" s="34">
        <v>18</v>
      </c>
      <c r="V447" s="4" t="s">
        <v>1</v>
      </c>
      <c r="W447" s="4">
        <v>1</v>
      </c>
      <c r="X447" s="4">
        <v>1</v>
      </c>
      <c r="Y447" s="4">
        <v>1</v>
      </c>
      <c r="Z447" s="56">
        <v>3</v>
      </c>
      <c r="AA447" s="9" cm="1">
        <f t="array" ref="AA447">IF(OR(AB447:AE447=""),"BLANK",IF(AND(AB447:AE447&lt;999),1,IF(AND(AB447:AE447="NA"),3,2)))</f>
        <v>1</v>
      </c>
      <c r="AB447" s="4">
        <v>27</v>
      </c>
      <c r="AC447" s="4">
        <v>18</v>
      </c>
      <c r="AD447" s="4">
        <v>12</v>
      </c>
      <c r="AE447" s="5">
        <v>57</v>
      </c>
      <c r="AF447" s="9">
        <f t="shared" si="6"/>
        <v>1</v>
      </c>
      <c r="AG447" s="5">
        <v>51</v>
      </c>
      <c r="AH447" s="9" cm="1">
        <f t="array" ref="AH447">IF(OR(AI447:AN447=""),"BLANK",IF(AND(AI447:AN447&lt;99),1,IF(AND(AI447:AN447="NA"),3,2)))</f>
        <v>3</v>
      </c>
      <c r="AI447" s="4" t="s">
        <v>7</v>
      </c>
      <c r="AJ447" s="4" t="s">
        <v>7</v>
      </c>
      <c r="AK447" s="4" t="s">
        <v>7</v>
      </c>
      <c r="AL447" s="4" t="s">
        <v>7</v>
      </c>
      <c r="AM447" s="4" t="s">
        <v>7</v>
      </c>
      <c r="AN447" s="5" t="s">
        <v>7</v>
      </c>
    </row>
    <row r="448" spans="1:40" x14ac:dyDescent="0.2">
      <c r="A448" s="39">
        <v>4737</v>
      </c>
      <c r="B448" s="4" t="s">
        <v>46</v>
      </c>
      <c r="C448" s="30" t="s">
        <v>24</v>
      </c>
      <c r="D448" s="30">
        <v>5</v>
      </c>
      <c r="E448" s="30">
        <v>0</v>
      </c>
      <c r="F448" s="4">
        <v>3.4550000000000001</v>
      </c>
      <c r="G448" s="30">
        <v>26</v>
      </c>
      <c r="H448" s="33">
        <v>3.4907597535934292</v>
      </c>
      <c r="I448" s="33" t="s">
        <v>7</v>
      </c>
      <c r="J448" s="33" t="s">
        <v>7</v>
      </c>
      <c r="K448" s="33">
        <v>3.4907597535934292</v>
      </c>
      <c r="L448" s="33" t="s">
        <v>7</v>
      </c>
      <c r="M448" s="33" t="s">
        <v>7</v>
      </c>
      <c r="N448" s="33">
        <v>3.485284052019165</v>
      </c>
      <c r="O448" s="33" t="s">
        <v>7</v>
      </c>
      <c r="P448" s="33" t="s">
        <v>7</v>
      </c>
      <c r="Q448" s="33">
        <v>3.5017111567419574</v>
      </c>
      <c r="R448" s="33" t="s">
        <v>7</v>
      </c>
      <c r="S448" s="33" t="s">
        <v>7</v>
      </c>
      <c r="T448" s="34">
        <v>4</v>
      </c>
      <c r="U448" s="34">
        <v>16</v>
      </c>
      <c r="V448" s="4" t="s">
        <v>1</v>
      </c>
      <c r="W448" s="4">
        <v>1</v>
      </c>
      <c r="X448" s="4">
        <v>1</v>
      </c>
      <c r="Y448" s="4">
        <v>1</v>
      </c>
      <c r="Z448" s="56">
        <v>3</v>
      </c>
      <c r="AA448" s="9" cm="1">
        <f t="array" ref="AA448">IF(OR(AB448:AE448=""),"BLANK",IF(AND(AB448:AE448&lt;999),1,IF(AND(AB448:AE448="NA"),3,2)))</f>
        <v>1</v>
      </c>
      <c r="AB448" s="4">
        <v>26</v>
      </c>
      <c r="AC448" s="4">
        <v>12</v>
      </c>
      <c r="AD448" s="4">
        <v>9</v>
      </c>
      <c r="AE448" s="5">
        <v>47</v>
      </c>
      <c r="AF448" s="9">
        <f t="shared" si="6"/>
        <v>1</v>
      </c>
      <c r="AG448" s="5">
        <v>49</v>
      </c>
      <c r="AH448" s="9" cm="1">
        <f t="array" ref="AH448">IF(OR(AI448:AN448=""),"BLANK",IF(AND(AI448:AN448&lt;99),1,IF(AND(AI448:AN448="NA"),3,2)))</f>
        <v>3</v>
      </c>
      <c r="AI448" s="4" t="s">
        <v>7</v>
      </c>
      <c r="AJ448" s="4" t="s">
        <v>7</v>
      </c>
      <c r="AK448" s="4" t="s">
        <v>7</v>
      </c>
      <c r="AL448" s="4" t="s">
        <v>7</v>
      </c>
      <c r="AM448" s="4" t="s">
        <v>7</v>
      </c>
      <c r="AN448" s="5" t="s">
        <v>7</v>
      </c>
    </row>
    <row r="449" spans="1:40" x14ac:dyDescent="0.2">
      <c r="A449" s="39">
        <v>4743</v>
      </c>
      <c r="B449" s="4" t="s">
        <v>62</v>
      </c>
      <c r="C449" s="30" t="s">
        <v>23</v>
      </c>
      <c r="D449" s="30">
        <v>5</v>
      </c>
      <c r="E449" s="30">
        <v>0</v>
      </c>
      <c r="F449" s="4">
        <v>3.7269999999999999</v>
      </c>
      <c r="G449" s="30">
        <v>28</v>
      </c>
      <c r="H449" s="33">
        <v>3.485284052019165</v>
      </c>
      <c r="I449" s="33" t="s">
        <v>7</v>
      </c>
      <c r="J449" s="33" t="s">
        <v>7</v>
      </c>
      <c r="K449" s="33">
        <v>3.5318275154004106</v>
      </c>
      <c r="L449" s="33" t="s">
        <v>7</v>
      </c>
      <c r="M449" s="33" t="s">
        <v>7</v>
      </c>
      <c r="N449" s="33">
        <v>3.4962354551676933</v>
      </c>
      <c r="O449" s="33" t="s">
        <v>7</v>
      </c>
      <c r="P449" s="33" t="s">
        <v>7</v>
      </c>
      <c r="Q449" s="33">
        <v>3.353867214236824</v>
      </c>
      <c r="R449" s="33" t="s">
        <v>7</v>
      </c>
      <c r="S449" s="33" t="s">
        <v>7</v>
      </c>
      <c r="T449" s="34">
        <v>3</v>
      </c>
      <c r="U449" s="34">
        <v>14</v>
      </c>
      <c r="V449" s="4" t="s">
        <v>1</v>
      </c>
      <c r="W449" s="4">
        <v>1</v>
      </c>
      <c r="X449" s="4">
        <v>1</v>
      </c>
      <c r="Y449" s="4">
        <v>1</v>
      </c>
      <c r="Z449" s="56">
        <v>3</v>
      </c>
      <c r="AA449" s="9" cm="1">
        <f t="array" ref="AA449">IF(OR(AB449:AE449=""),"BLANK",IF(AND(AB449:AE449&lt;999),1,IF(AND(AB449:AE449="NA"),3,2)))</f>
        <v>1</v>
      </c>
      <c r="AB449" s="4">
        <v>32</v>
      </c>
      <c r="AC449" s="4">
        <v>16</v>
      </c>
      <c r="AD449" s="4">
        <v>12</v>
      </c>
      <c r="AE449" s="5">
        <v>60</v>
      </c>
      <c r="AF449" s="9">
        <f t="shared" si="6"/>
        <v>1</v>
      </c>
      <c r="AG449" s="5">
        <v>49</v>
      </c>
      <c r="AH449" s="9" cm="1">
        <f t="array" ref="AH449">IF(OR(AI449:AN449=""),"BLANK",IF(AND(AI449:AN449&lt;99),1,IF(AND(AI449:AN449="NA"),3,2)))</f>
        <v>3</v>
      </c>
      <c r="AI449" s="4" t="s">
        <v>7</v>
      </c>
      <c r="AJ449" s="4" t="s">
        <v>7</v>
      </c>
      <c r="AK449" s="4" t="s">
        <v>7</v>
      </c>
      <c r="AL449" s="4" t="s">
        <v>7</v>
      </c>
      <c r="AM449" s="4" t="s">
        <v>7</v>
      </c>
      <c r="AN449" s="5" t="s">
        <v>7</v>
      </c>
    </row>
    <row r="450" spans="1:40" x14ac:dyDescent="0.2">
      <c r="A450" s="39">
        <v>4749</v>
      </c>
      <c r="B450" s="4" t="s">
        <v>62</v>
      </c>
      <c r="C450" s="30" t="s">
        <v>23</v>
      </c>
      <c r="D450" s="30">
        <v>5</v>
      </c>
      <c r="E450" s="30">
        <v>0</v>
      </c>
      <c r="F450" s="4">
        <v>3.7269999999999999</v>
      </c>
      <c r="G450" s="30">
        <v>30</v>
      </c>
      <c r="H450" s="33">
        <v>3.4579055441478439</v>
      </c>
      <c r="I450" s="33" t="s">
        <v>7</v>
      </c>
      <c r="J450" s="33" t="s">
        <v>7</v>
      </c>
      <c r="K450" s="33">
        <v>3.460643394934976</v>
      </c>
      <c r="L450" s="33" t="s">
        <v>7</v>
      </c>
      <c r="M450" s="33" t="s">
        <v>7</v>
      </c>
      <c r="N450" s="33">
        <v>3.4934976043805612</v>
      </c>
      <c r="O450" s="33" t="s">
        <v>7</v>
      </c>
      <c r="P450" s="33" t="s">
        <v>7</v>
      </c>
      <c r="Q450" s="33">
        <v>3.482546201232033</v>
      </c>
      <c r="R450" s="33" t="s">
        <v>7</v>
      </c>
      <c r="S450" s="33" t="s">
        <v>7</v>
      </c>
      <c r="T450" s="34">
        <v>3</v>
      </c>
      <c r="U450" s="34">
        <v>14</v>
      </c>
      <c r="V450" s="4" t="s">
        <v>1</v>
      </c>
      <c r="W450" s="4">
        <v>1</v>
      </c>
      <c r="X450" s="4">
        <v>1</v>
      </c>
      <c r="Y450" s="4">
        <v>1</v>
      </c>
      <c r="Z450" s="56">
        <v>3</v>
      </c>
      <c r="AA450" s="9" cm="1">
        <f t="array" ref="AA450">IF(OR(AB450:AE450=""),"BLANK",IF(AND(AB450:AE450&lt;999),1,IF(AND(AB450:AE450="NA"),3,2)))</f>
        <v>1</v>
      </c>
      <c r="AB450" s="4">
        <v>25</v>
      </c>
      <c r="AC450" s="4">
        <v>15</v>
      </c>
      <c r="AD450" s="4">
        <v>13</v>
      </c>
      <c r="AE450" s="5">
        <v>53</v>
      </c>
      <c r="AF450" s="9">
        <f t="shared" si="6"/>
        <v>1</v>
      </c>
      <c r="AG450" s="5">
        <v>54</v>
      </c>
      <c r="AH450" s="9" cm="1">
        <f t="array" ref="AH450">IF(OR(AI450:AN450=""),"BLANK",IF(AND(AI450:AN450&lt;99),1,IF(AND(AI450:AN450="NA"),3,2)))</f>
        <v>3</v>
      </c>
      <c r="AI450" s="4" t="s">
        <v>7</v>
      </c>
      <c r="AJ450" s="4" t="s">
        <v>7</v>
      </c>
      <c r="AK450" s="4" t="s">
        <v>7</v>
      </c>
      <c r="AL450" s="4" t="s">
        <v>7</v>
      </c>
      <c r="AM450" s="4" t="s">
        <v>7</v>
      </c>
      <c r="AN450" s="5" t="s">
        <v>7</v>
      </c>
    </row>
    <row r="451" spans="1:40" x14ac:dyDescent="0.2">
      <c r="A451" s="39">
        <v>4754</v>
      </c>
      <c r="B451" s="4" t="s">
        <v>46</v>
      </c>
      <c r="C451" s="30" t="s">
        <v>24</v>
      </c>
      <c r="D451" s="30">
        <v>5</v>
      </c>
      <c r="E451" s="30">
        <v>0</v>
      </c>
      <c r="F451" s="4">
        <v>4</v>
      </c>
      <c r="G451" s="30">
        <v>30</v>
      </c>
      <c r="H451" s="33" t="s">
        <v>7</v>
      </c>
      <c r="I451" s="33" t="s">
        <v>7</v>
      </c>
      <c r="J451" s="33" t="s">
        <v>7</v>
      </c>
      <c r="K451" s="33" t="s">
        <v>7</v>
      </c>
      <c r="L451" s="33" t="s">
        <v>7</v>
      </c>
      <c r="M451" s="33" t="s">
        <v>7</v>
      </c>
      <c r="N451" s="33" t="s">
        <v>7</v>
      </c>
      <c r="O451" s="33" t="s">
        <v>7</v>
      </c>
      <c r="P451" s="33" t="s">
        <v>7</v>
      </c>
      <c r="Q451" s="33" t="s">
        <v>7</v>
      </c>
      <c r="R451" s="33" t="s">
        <v>7</v>
      </c>
      <c r="S451" s="33" t="s">
        <v>7</v>
      </c>
      <c r="T451" s="34">
        <v>3</v>
      </c>
      <c r="U451" s="34">
        <v>13</v>
      </c>
      <c r="V451" s="4" t="s">
        <v>1</v>
      </c>
      <c r="W451" s="4">
        <v>1</v>
      </c>
      <c r="X451" s="4">
        <v>1</v>
      </c>
      <c r="Y451" s="4">
        <v>1</v>
      </c>
      <c r="Z451" s="56">
        <v>3</v>
      </c>
      <c r="AA451" s="9" cm="1">
        <f t="array" ref="AA451">IF(OR(AB451:AE451=""),"BLANK",IF(AND(AB451:AE451&lt;999),1,IF(AND(AB451:AE451="NA"),3,2)))</f>
        <v>1</v>
      </c>
      <c r="AB451" s="4">
        <v>48</v>
      </c>
      <c r="AC451" s="4">
        <v>29</v>
      </c>
      <c r="AD451" s="4">
        <v>19</v>
      </c>
      <c r="AE451" s="5">
        <v>96</v>
      </c>
      <c r="AF451" s="9">
        <f t="shared" si="6"/>
        <v>1</v>
      </c>
      <c r="AG451" s="5">
        <v>61</v>
      </c>
      <c r="AH451" s="9" cm="1">
        <f t="array" ref="AH451">IF(OR(AI451:AN451=""),"BLANK",IF(AND(AI451:AN451&lt;99),1,IF(AND(AI451:AN451="NA"),3,2)))</f>
        <v>3</v>
      </c>
      <c r="AI451" s="4" t="s">
        <v>7</v>
      </c>
      <c r="AJ451" s="4" t="s">
        <v>7</v>
      </c>
      <c r="AK451" s="4" t="s">
        <v>7</v>
      </c>
      <c r="AL451" s="4" t="s">
        <v>7</v>
      </c>
      <c r="AM451" s="4" t="s">
        <v>7</v>
      </c>
      <c r="AN451" s="5" t="s">
        <v>7</v>
      </c>
    </row>
    <row r="452" spans="1:40" x14ac:dyDescent="0.2">
      <c r="A452" s="39">
        <v>4769</v>
      </c>
      <c r="B452" s="4" t="s">
        <v>62</v>
      </c>
      <c r="C452" s="30" t="s">
        <v>23</v>
      </c>
      <c r="D452" s="30">
        <v>5</v>
      </c>
      <c r="E452" s="30">
        <v>0</v>
      </c>
      <c r="F452" s="4">
        <v>3.8180000000000001</v>
      </c>
      <c r="G452" s="30">
        <v>29</v>
      </c>
      <c r="H452" s="33">
        <v>3.4661190965092401</v>
      </c>
      <c r="I452" s="33">
        <v>3.2772073921971252</v>
      </c>
      <c r="J452" s="33">
        <v>6.7433264887063658</v>
      </c>
      <c r="K452" s="33">
        <v>3.4661190965092401</v>
      </c>
      <c r="L452" s="33">
        <v>3.2772073921971252</v>
      </c>
      <c r="M452" s="33">
        <v>6.7433264887063658</v>
      </c>
      <c r="N452" s="33">
        <v>3.4414784394250515</v>
      </c>
      <c r="O452" s="33">
        <v>3.1813826146475015</v>
      </c>
      <c r="P452" s="33">
        <v>6.622861054072553</v>
      </c>
      <c r="Q452" s="33">
        <v>3.2388774811772758</v>
      </c>
      <c r="R452" s="33" t="s">
        <v>7</v>
      </c>
      <c r="S452" s="33" t="s">
        <v>7</v>
      </c>
      <c r="T452" s="34">
        <v>3</v>
      </c>
      <c r="U452" s="34">
        <v>14.5</v>
      </c>
      <c r="V452" s="4" t="s">
        <v>1</v>
      </c>
      <c r="W452" s="4">
        <v>1</v>
      </c>
      <c r="X452" s="4">
        <v>1</v>
      </c>
      <c r="Y452" s="4">
        <v>1</v>
      </c>
      <c r="Z452" s="56">
        <v>3</v>
      </c>
      <c r="AA452" s="9" cm="1">
        <f t="array" ref="AA452">IF(OR(AB452:AE452=""),"BLANK",IF(AND(AB452:AE452&lt;999),1,IF(AND(AB452:AE452="NA"),3,2)))</f>
        <v>1</v>
      </c>
      <c r="AB452" s="4">
        <v>32</v>
      </c>
      <c r="AC452" s="4">
        <v>28</v>
      </c>
      <c r="AD452" s="4">
        <v>17</v>
      </c>
      <c r="AE452" s="5">
        <v>77</v>
      </c>
      <c r="AF452" s="9">
        <f t="shared" ref="AF452:AF465" si="7">IF(AG452="NA", 3,1)</f>
        <v>1</v>
      </c>
      <c r="AG452" s="5">
        <v>52</v>
      </c>
      <c r="AH452" s="9" cm="1">
        <f t="array" ref="AH452">IF(OR(AI452:AN452=""),"BLANK",IF(AND(AI452:AN452&lt;99),1,IF(AND(AI452:AN452="NA"),3,2)))</f>
        <v>3</v>
      </c>
      <c r="AI452" s="4" t="s">
        <v>7</v>
      </c>
      <c r="AJ452" s="4" t="s">
        <v>7</v>
      </c>
      <c r="AK452" s="4" t="s">
        <v>7</v>
      </c>
      <c r="AL452" s="4" t="s">
        <v>7</v>
      </c>
      <c r="AM452" s="4" t="s">
        <v>7</v>
      </c>
      <c r="AN452" s="5" t="s">
        <v>7</v>
      </c>
    </row>
    <row r="453" spans="1:40" x14ac:dyDescent="0.2">
      <c r="A453" s="39">
        <v>4788</v>
      </c>
      <c r="B453" s="4" t="s">
        <v>58</v>
      </c>
      <c r="C453" s="30" t="s">
        <v>23</v>
      </c>
      <c r="D453" s="30">
        <v>5</v>
      </c>
      <c r="E453" s="30">
        <v>1</v>
      </c>
      <c r="F453" s="4">
        <v>2.9089999999999998</v>
      </c>
      <c r="G453" s="30">
        <v>27</v>
      </c>
      <c r="H453" s="33">
        <v>3.6741957563312799</v>
      </c>
      <c r="I453" s="33" t="s">
        <v>7</v>
      </c>
      <c r="J453" s="33" t="s">
        <v>7</v>
      </c>
      <c r="K453" s="33">
        <v>3.6632443531827517</v>
      </c>
      <c r="L453" s="33" t="s">
        <v>7</v>
      </c>
      <c r="M453" s="33" t="s">
        <v>7</v>
      </c>
      <c r="N453" s="33">
        <v>3.4715947980835042</v>
      </c>
      <c r="O453" s="33" t="s">
        <v>7</v>
      </c>
      <c r="P453" s="33" t="s">
        <v>7</v>
      </c>
      <c r="Q453" s="33">
        <v>3.4140999315537304</v>
      </c>
      <c r="R453" s="33" t="s">
        <v>7</v>
      </c>
      <c r="S453" s="33" t="s">
        <v>7</v>
      </c>
      <c r="T453" s="34">
        <v>3</v>
      </c>
      <c r="U453" s="34">
        <v>14</v>
      </c>
      <c r="V453" s="4" t="s">
        <v>1</v>
      </c>
      <c r="W453" s="4">
        <v>1</v>
      </c>
      <c r="X453" s="4">
        <v>1</v>
      </c>
      <c r="Y453" s="4">
        <v>1</v>
      </c>
      <c r="Z453" s="56">
        <v>3</v>
      </c>
      <c r="AA453" s="9" cm="1">
        <f t="array" ref="AA453">IF(OR(AB453:AE453=""),"BLANK",IF(AND(AB453:AE453&lt;999),1,IF(AND(AB453:AE453="NA"),3,2)))</f>
        <v>1</v>
      </c>
      <c r="AB453" s="4">
        <v>29</v>
      </c>
      <c r="AC453" s="4">
        <v>16</v>
      </c>
      <c r="AD453" s="4">
        <v>12</v>
      </c>
      <c r="AE453" s="5">
        <v>57</v>
      </c>
      <c r="AF453" s="9">
        <f t="shared" si="7"/>
        <v>1</v>
      </c>
      <c r="AG453" s="5">
        <v>37</v>
      </c>
      <c r="AH453" s="9" cm="1">
        <f t="array" ref="AH453">IF(OR(AI453:AN453=""),"BLANK",IF(AND(AI453:AN453&lt;99),1,IF(AND(AI453:AN453="NA"),3,2)))</f>
        <v>3</v>
      </c>
      <c r="AI453" s="4" t="s">
        <v>7</v>
      </c>
      <c r="AJ453" s="4" t="s">
        <v>7</v>
      </c>
      <c r="AK453" s="4" t="s">
        <v>7</v>
      </c>
      <c r="AL453" s="4" t="s">
        <v>7</v>
      </c>
      <c r="AM453" s="4" t="s">
        <v>7</v>
      </c>
      <c r="AN453" s="5" t="s">
        <v>7</v>
      </c>
    </row>
    <row r="454" spans="1:40" x14ac:dyDescent="0.2">
      <c r="A454" s="39">
        <v>4791</v>
      </c>
      <c r="B454" s="4" t="s">
        <v>62</v>
      </c>
      <c r="C454" s="30" t="s">
        <v>23</v>
      </c>
      <c r="D454" s="30">
        <v>2</v>
      </c>
      <c r="E454" s="30">
        <v>0</v>
      </c>
      <c r="F454" s="4" t="s">
        <v>7</v>
      </c>
      <c r="G454" s="30">
        <v>29</v>
      </c>
      <c r="H454" s="33" t="s">
        <v>7</v>
      </c>
      <c r="I454" s="33" t="s">
        <v>7</v>
      </c>
      <c r="J454" s="33" t="s">
        <v>7</v>
      </c>
      <c r="K454" s="33" t="s">
        <v>7</v>
      </c>
      <c r="L454" s="33" t="s">
        <v>7</v>
      </c>
      <c r="M454" s="33" t="s">
        <v>7</v>
      </c>
      <c r="N454" s="33" t="s">
        <v>7</v>
      </c>
      <c r="O454" s="33" t="s">
        <v>7</v>
      </c>
      <c r="P454" s="33" t="s">
        <v>7</v>
      </c>
      <c r="Q454" s="33" t="s">
        <v>7</v>
      </c>
      <c r="R454" s="33" t="s">
        <v>7</v>
      </c>
      <c r="S454" s="33" t="s">
        <v>7</v>
      </c>
      <c r="T454" s="34" t="s">
        <v>7</v>
      </c>
      <c r="U454" s="34" t="s">
        <v>7</v>
      </c>
      <c r="V454" s="4" t="s">
        <v>1</v>
      </c>
      <c r="W454" s="4">
        <v>1</v>
      </c>
      <c r="X454" s="4">
        <v>1</v>
      </c>
      <c r="Y454" s="4">
        <v>1</v>
      </c>
      <c r="Z454" s="56">
        <v>3</v>
      </c>
      <c r="AA454" s="9" cm="1">
        <f t="array" ref="AA454">IF(OR(AB454:AE454=""),"BLANK",IF(AND(AB454:AE454&lt;999),1,IF(AND(AB454:AE454="NA"),3,2)))</f>
        <v>1</v>
      </c>
      <c r="AB454" s="4">
        <v>20</v>
      </c>
      <c r="AC454" s="4">
        <v>11</v>
      </c>
      <c r="AD454" s="4">
        <v>10</v>
      </c>
      <c r="AE454" s="5">
        <v>41</v>
      </c>
      <c r="AF454" s="9">
        <f t="shared" si="7"/>
        <v>1</v>
      </c>
      <c r="AG454" s="5">
        <v>43</v>
      </c>
      <c r="AH454" s="9" cm="1">
        <f t="array" ref="AH454">IF(OR(AI454:AN454=""),"BLANK",IF(AND(AI454:AN454&lt;99),1,IF(AND(AI454:AN454="NA"),3,2)))</f>
        <v>3</v>
      </c>
      <c r="AI454" s="4" t="s">
        <v>7</v>
      </c>
      <c r="AJ454" s="4" t="s">
        <v>7</v>
      </c>
      <c r="AK454" s="4" t="s">
        <v>7</v>
      </c>
      <c r="AL454" s="4" t="s">
        <v>7</v>
      </c>
      <c r="AM454" s="4" t="s">
        <v>7</v>
      </c>
      <c r="AN454" s="5" t="s">
        <v>7</v>
      </c>
    </row>
    <row r="455" spans="1:40" x14ac:dyDescent="0.2">
      <c r="A455" s="39">
        <v>4794</v>
      </c>
      <c r="B455" s="4" t="s">
        <v>48</v>
      </c>
      <c r="C455" s="30" t="s">
        <v>23</v>
      </c>
      <c r="D455" s="30">
        <v>5</v>
      </c>
      <c r="E455" s="30">
        <v>0</v>
      </c>
      <c r="F455" s="4">
        <v>3.7269999999999999</v>
      </c>
      <c r="G455" s="30">
        <v>27</v>
      </c>
      <c r="H455" s="33" t="s">
        <v>7</v>
      </c>
      <c r="I455" s="33" t="s">
        <v>7</v>
      </c>
      <c r="J455" s="33" t="s">
        <v>7</v>
      </c>
      <c r="K455" s="33" t="s">
        <v>7</v>
      </c>
      <c r="L455" s="33" t="s">
        <v>7</v>
      </c>
      <c r="M455" s="33" t="s">
        <v>7</v>
      </c>
      <c r="N455" s="33" t="s">
        <v>7</v>
      </c>
      <c r="O455" s="33" t="s">
        <v>7</v>
      </c>
      <c r="P455" s="33" t="s">
        <v>7</v>
      </c>
      <c r="Q455" s="33" t="s">
        <v>7</v>
      </c>
      <c r="R455" s="33" t="s">
        <v>7</v>
      </c>
      <c r="S455" s="33" t="s">
        <v>7</v>
      </c>
      <c r="T455" s="34">
        <v>5</v>
      </c>
      <c r="U455" s="34">
        <v>17</v>
      </c>
      <c r="V455" s="4" t="s">
        <v>1</v>
      </c>
      <c r="W455" s="4">
        <v>1</v>
      </c>
      <c r="X455" s="4">
        <v>1</v>
      </c>
      <c r="Y455" s="4">
        <v>1</v>
      </c>
      <c r="Z455" s="56">
        <v>3</v>
      </c>
      <c r="AA455" s="9" cm="1">
        <f t="array" ref="AA455">IF(OR(AB455:AE455=""),"BLANK",IF(AND(AB455:AE455&lt;999),1,IF(AND(AB455:AE455="NA"),3,2)))</f>
        <v>1</v>
      </c>
      <c r="AB455" s="4">
        <v>27</v>
      </c>
      <c r="AC455" s="4">
        <v>13</v>
      </c>
      <c r="AD455" s="4">
        <v>9</v>
      </c>
      <c r="AE455" s="5">
        <v>49</v>
      </c>
      <c r="AF455" s="9">
        <f t="shared" si="7"/>
        <v>1</v>
      </c>
      <c r="AG455" s="5">
        <v>56</v>
      </c>
      <c r="AH455" s="9" cm="1">
        <f t="array" ref="AH455">IF(OR(AI455:AN455=""),"BLANK",IF(AND(AI455:AN455&lt;99),1,IF(AND(AI455:AN455="NA"),3,2)))</f>
        <v>3</v>
      </c>
      <c r="AI455" s="4" t="s">
        <v>7</v>
      </c>
      <c r="AJ455" s="4" t="s">
        <v>7</v>
      </c>
      <c r="AK455" s="4" t="s">
        <v>7</v>
      </c>
      <c r="AL455" s="4" t="s">
        <v>7</v>
      </c>
      <c r="AM455" s="4" t="s">
        <v>7</v>
      </c>
      <c r="AN455" s="5" t="s">
        <v>7</v>
      </c>
    </row>
    <row r="456" spans="1:40" x14ac:dyDescent="0.2">
      <c r="A456" s="39">
        <v>4795</v>
      </c>
      <c r="B456" s="4" t="s">
        <v>62</v>
      </c>
      <c r="C456" s="30" t="s">
        <v>23</v>
      </c>
      <c r="D456" s="30">
        <v>5</v>
      </c>
      <c r="E456" s="30">
        <v>0</v>
      </c>
      <c r="F456" s="4">
        <v>3.6360000000000001</v>
      </c>
      <c r="G456" s="30">
        <v>28</v>
      </c>
      <c r="H456" s="33">
        <v>3.2197125256673513</v>
      </c>
      <c r="I456" s="33">
        <v>3.0800821355236141</v>
      </c>
      <c r="J456" s="33">
        <v>6.2997946611909654</v>
      </c>
      <c r="K456" s="33">
        <v>3.2197125256673513</v>
      </c>
      <c r="L456" s="33">
        <v>3.1129363449691994</v>
      </c>
      <c r="M456" s="33">
        <v>6.3326488706365502</v>
      </c>
      <c r="N456" s="33">
        <v>3.2963723477070501</v>
      </c>
      <c r="O456" s="33">
        <v>2.9514031485284051</v>
      </c>
      <c r="P456" s="33">
        <v>6.2477754962354553</v>
      </c>
      <c r="Q456" s="33">
        <v>3.5263518138261465</v>
      </c>
      <c r="R456" s="33" t="s">
        <v>7</v>
      </c>
      <c r="S456" s="33" t="s">
        <v>7</v>
      </c>
      <c r="T456" s="34">
        <v>6</v>
      </c>
      <c r="U456" s="34">
        <v>18</v>
      </c>
      <c r="V456" s="4" t="s">
        <v>1</v>
      </c>
      <c r="W456" s="4">
        <v>1</v>
      </c>
      <c r="X456" s="4">
        <v>1</v>
      </c>
      <c r="Y456" s="4">
        <v>1</v>
      </c>
      <c r="Z456" s="56">
        <v>3</v>
      </c>
      <c r="AA456" s="9" cm="1">
        <f t="array" ref="AA456">IF(OR(AB456:AE456=""),"BLANK",IF(AND(AB456:AE456&lt;999),1,IF(AND(AB456:AE456="NA"),3,2)))</f>
        <v>1</v>
      </c>
      <c r="AB456" s="4">
        <v>28</v>
      </c>
      <c r="AC456" s="4">
        <v>16</v>
      </c>
      <c r="AD456" s="4">
        <v>11</v>
      </c>
      <c r="AE456" s="5">
        <v>55</v>
      </c>
      <c r="AF456" s="9">
        <f t="shared" si="7"/>
        <v>1</v>
      </c>
      <c r="AG456" s="5">
        <v>54</v>
      </c>
      <c r="AH456" s="9" cm="1">
        <f t="array" ref="AH456">IF(OR(AI456:AN456=""),"BLANK",IF(AND(AI456:AN456&lt;99),1,IF(AND(AI456:AN456="NA"),3,2)))</f>
        <v>3</v>
      </c>
      <c r="AI456" s="4" t="s">
        <v>7</v>
      </c>
      <c r="AJ456" s="4" t="s">
        <v>7</v>
      </c>
      <c r="AK456" s="4" t="s">
        <v>7</v>
      </c>
      <c r="AL456" s="4" t="s">
        <v>7</v>
      </c>
      <c r="AM456" s="4" t="s">
        <v>7</v>
      </c>
      <c r="AN456" s="5" t="s">
        <v>7</v>
      </c>
    </row>
    <row r="457" spans="1:40" x14ac:dyDescent="0.2">
      <c r="A457" s="39">
        <v>4799</v>
      </c>
      <c r="B457" s="4" t="s">
        <v>54</v>
      </c>
      <c r="C457" s="30" t="s">
        <v>23</v>
      </c>
      <c r="D457" s="30">
        <v>6</v>
      </c>
      <c r="E457" s="30">
        <v>1</v>
      </c>
      <c r="F457" s="4">
        <v>3.9089999999999998</v>
      </c>
      <c r="G457" s="30">
        <v>28</v>
      </c>
      <c r="H457" s="33" t="s">
        <v>7</v>
      </c>
      <c r="I457" s="33" t="s">
        <v>7</v>
      </c>
      <c r="J457" s="33" t="s">
        <v>7</v>
      </c>
      <c r="K457" s="33" t="s">
        <v>7</v>
      </c>
      <c r="L457" s="33" t="s">
        <v>7</v>
      </c>
      <c r="M457" s="33" t="s">
        <v>7</v>
      </c>
      <c r="N457" s="33" t="s">
        <v>7</v>
      </c>
      <c r="O457" s="33" t="s">
        <v>7</v>
      </c>
      <c r="P457" s="33" t="s">
        <v>7</v>
      </c>
      <c r="Q457" s="33" t="s">
        <v>7</v>
      </c>
      <c r="R457" s="33" t="s">
        <v>7</v>
      </c>
      <c r="S457" s="33" t="s">
        <v>7</v>
      </c>
      <c r="T457" s="34">
        <v>3</v>
      </c>
      <c r="U457" s="34">
        <v>12</v>
      </c>
      <c r="V457" s="4" t="s">
        <v>1</v>
      </c>
      <c r="W457" s="4">
        <v>1</v>
      </c>
      <c r="X457" s="4">
        <v>1</v>
      </c>
      <c r="Y457" s="4">
        <v>1</v>
      </c>
      <c r="Z457" s="56">
        <v>3</v>
      </c>
      <c r="AA457" s="9" cm="1">
        <f t="array" ref="AA457">IF(OR(AB457:AE457=""),"BLANK",IF(AND(AB457:AE457&lt;999),1,IF(AND(AB457:AE457="NA"),3,2)))</f>
        <v>1</v>
      </c>
      <c r="AB457" s="4">
        <v>28</v>
      </c>
      <c r="AC457" s="4">
        <v>19</v>
      </c>
      <c r="AD457" s="4">
        <v>15</v>
      </c>
      <c r="AE457" s="5">
        <v>62</v>
      </c>
      <c r="AF457" s="9">
        <f t="shared" si="7"/>
        <v>1</v>
      </c>
      <c r="AG457" s="5">
        <v>50</v>
      </c>
      <c r="AH457" s="9" cm="1">
        <f t="array" ref="AH457">IF(OR(AI457:AN457=""),"BLANK",IF(AND(AI457:AN457&lt;99),1,IF(AND(AI457:AN457="NA"),3,2)))</f>
        <v>3</v>
      </c>
      <c r="AI457" s="4" t="s">
        <v>7</v>
      </c>
      <c r="AJ457" s="4" t="s">
        <v>7</v>
      </c>
      <c r="AK457" s="4" t="s">
        <v>7</v>
      </c>
      <c r="AL457" s="4" t="s">
        <v>7</v>
      </c>
      <c r="AM457" s="4" t="s">
        <v>7</v>
      </c>
      <c r="AN457" s="5" t="s">
        <v>7</v>
      </c>
    </row>
    <row r="458" spans="1:40" x14ac:dyDescent="0.2">
      <c r="A458" s="39">
        <v>4800</v>
      </c>
      <c r="B458" s="4" t="s">
        <v>46</v>
      </c>
      <c r="C458" s="30" t="s">
        <v>23</v>
      </c>
      <c r="D458" s="30">
        <v>5</v>
      </c>
      <c r="E458" s="30">
        <v>0</v>
      </c>
      <c r="F458" s="4">
        <v>3.7269999999999999</v>
      </c>
      <c r="G458" s="30">
        <v>30</v>
      </c>
      <c r="H458" s="33">
        <v>3.5674195756331279</v>
      </c>
      <c r="I458" s="33" t="s">
        <v>7</v>
      </c>
      <c r="J458" s="33" t="s">
        <v>7</v>
      </c>
      <c r="K458" s="33">
        <v>3.5674195756331279</v>
      </c>
      <c r="L458" s="33" t="s">
        <v>7</v>
      </c>
      <c r="M458" s="33" t="s">
        <v>7</v>
      </c>
      <c r="N458" s="33">
        <v>3.4743326488706368</v>
      </c>
      <c r="O458" s="33" t="s">
        <v>7</v>
      </c>
      <c r="P458" s="33" t="s">
        <v>7</v>
      </c>
      <c r="Q458" s="33">
        <v>3.8028747433264889</v>
      </c>
      <c r="R458" s="33" t="s">
        <v>7</v>
      </c>
      <c r="S458" s="33" t="s">
        <v>7</v>
      </c>
      <c r="T458" s="34">
        <v>4</v>
      </c>
      <c r="U458" s="34">
        <v>16</v>
      </c>
      <c r="V458" s="4" t="s">
        <v>1</v>
      </c>
      <c r="W458" s="4">
        <v>1</v>
      </c>
      <c r="X458" s="4">
        <v>1</v>
      </c>
      <c r="Y458" s="4">
        <v>1</v>
      </c>
      <c r="Z458" s="56">
        <v>3</v>
      </c>
      <c r="AA458" s="9" cm="1">
        <f t="array" ref="AA458">IF(OR(AB458:AE458=""),"BLANK",IF(AND(AB458:AE458&lt;999),1,IF(AND(AB458:AE458="NA"),3,2)))</f>
        <v>1</v>
      </c>
      <c r="AB458" s="4">
        <v>21</v>
      </c>
      <c r="AC458" s="4">
        <v>18</v>
      </c>
      <c r="AD458" s="4">
        <v>9</v>
      </c>
      <c r="AE458" s="5">
        <v>48</v>
      </c>
      <c r="AF458" s="9">
        <f t="shared" si="7"/>
        <v>1</v>
      </c>
      <c r="AG458" s="5">
        <v>62</v>
      </c>
      <c r="AH458" s="9" cm="1">
        <f t="array" ref="AH458">IF(OR(AI458:AN458=""),"BLANK",IF(AND(AI458:AN458&lt;99),1,IF(AND(AI458:AN458="NA"),3,2)))</f>
        <v>3</v>
      </c>
      <c r="AI458" s="4" t="s">
        <v>7</v>
      </c>
      <c r="AJ458" s="4" t="s">
        <v>7</v>
      </c>
      <c r="AK458" s="4" t="s">
        <v>7</v>
      </c>
      <c r="AL458" s="4" t="s">
        <v>7</v>
      </c>
      <c r="AM458" s="4" t="s">
        <v>7</v>
      </c>
      <c r="AN458" s="5" t="s">
        <v>7</v>
      </c>
    </row>
    <row r="459" spans="1:40" x14ac:dyDescent="0.2">
      <c r="A459" s="39">
        <v>4805</v>
      </c>
      <c r="B459" s="4" t="s">
        <v>59</v>
      </c>
      <c r="C459" s="30" t="s">
        <v>23</v>
      </c>
      <c r="D459" s="30">
        <v>5</v>
      </c>
      <c r="E459" s="30">
        <v>0</v>
      </c>
      <c r="F459" s="4">
        <v>3.7269999999999999</v>
      </c>
      <c r="G459" s="30">
        <v>29</v>
      </c>
      <c r="H459" s="33">
        <v>3.676933607118412</v>
      </c>
      <c r="I459" s="33" t="s">
        <v>7</v>
      </c>
      <c r="J459" s="33" t="s">
        <v>7</v>
      </c>
      <c r="K459" s="33" t="s">
        <v>7</v>
      </c>
      <c r="L459" s="33" t="s">
        <v>7</v>
      </c>
      <c r="M459" s="33" t="s">
        <v>7</v>
      </c>
      <c r="N459" s="33" t="s">
        <v>7</v>
      </c>
      <c r="O459" s="33" t="s">
        <v>7</v>
      </c>
      <c r="P459" s="33" t="s">
        <v>7</v>
      </c>
      <c r="Q459" s="33">
        <v>3.5811088295687883</v>
      </c>
      <c r="R459" s="33" t="s">
        <v>7</v>
      </c>
      <c r="S459" s="33" t="s">
        <v>7</v>
      </c>
      <c r="T459" s="34">
        <v>3</v>
      </c>
      <c r="U459" s="34">
        <v>13</v>
      </c>
      <c r="V459" s="4" t="s">
        <v>1</v>
      </c>
      <c r="W459" s="4">
        <v>1</v>
      </c>
      <c r="X459" s="4">
        <v>1</v>
      </c>
      <c r="Y459" s="4">
        <v>1</v>
      </c>
      <c r="Z459" s="56">
        <v>3</v>
      </c>
      <c r="AA459" s="9" cm="1">
        <f t="array" ref="AA459">IF(OR(AB459:AE459=""),"BLANK",IF(AND(AB459:AE459&lt;999),1,IF(AND(AB459:AE459="NA"),3,2)))</f>
        <v>1</v>
      </c>
      <c r="AB459" s="4">
        <v>28</v>
      </c>
      <c r="AC459" s="4">
        <v>17</v>
      </c>
      <c r="AD459" s="4">
        <v>14</v>
      </c>
      <c r="AE459" s="5">
        <v>59</v>
      </c>
      <c r="AF459" s="9">
        <f t="shared" si="7"/>
        <v>1</v>
      </c>
      <c r="AG459" s="5">
        <v>51</v>
      </c>
      <c r="AH459" s="9" cm="1">
        <f t="array" ref="AH459">IF(OR(AI459:AN459=""),"BLANK",IF(AND(AI459:AN459&lt;99),1,IF(AND(AI459:AN459="NA"),3,2)))</f>
        <v>3</v>
      </c>
      <c r="AI459" s="4" t="s">
        <v>7</v>
      </c>
      <c r="AJ459" s="4" t="s">
        <v>7</v>
      </c>
      <c r="AK459" s="4" t="s">
        <v>7</v>
      </c>
      <c r="AL459" s="4" t="s">
        <v>7</v>
      </c>
      <c r="AM459" s="4" t="s">
        <v>7</v>
      </c>
      <c r="AN459" s="5" t="s">
        <v>7</v>
      </c>
    </row>
    <row r="460" spans="1:40" x14ac:dyDescent="0.2">
      <c r="A460" s="39">
        <v>4828</v>
      </c>
      <c r="B460" s="4" t="s">
        <v>47</v>
      </c>
      <c r="C460" s="30" t="s">
        <v>24</v>
      </c>
      <c r="D460" s="30">
        <v>5</v>
      </c>
      <c r="E460" s="30">
        <v>0</v>
      </c>
      <c r="F460" s="4">
        <v>4</v>
      </c>
      <c r="G460" s="30">
        <v>29</v>
      </c>
      <c r="H460" s="33" t="s">
        <v>7</v>
      </c>
      <c r="I460" s="33" t="s">
        <v>7</v>
      </c>
      <c r="J460" s="33" t="s">
        <v>7</v>
      </c>
      <c r="K460" s="33" t="s">
        <v>7</v>
      </c>
      <c r="L460" s="33" t="s">
        <v>7</v>
      </c>
      <c r="M460" s="33" t="s">
        <v>7</v>
      </c>
      <c r="N460" s="33" t="s">
        <v>7</v>
      </c>
      <c r="O460" s="33" t="s">
        <v>7</v>
      </c>
      <c r="P460" s="33" t="s">
        <v>7</v>
      </c>
      <c r="Q460" s="33" t="s">
        <v>7</v>
      </c>
      <c r="R460" s="33" t="s">
        <v>7</v>
      </c>
      <c r="S460" s="33" t="s">
        <v>7</v>
      </c>
      <c r="T460" s="34">
        <v>3</v>
      </c>
      <c r="U460" s="34">
        <v>14</v>
      </c>
      <c r="V460" s="4" t="s">
        <v>1</v>
      </c>
      <c r="W460" s="4">
        <v>1</v>
      </c>
      <c r="X460" s="4">
        <v>1</v>
      </c>
      <c r="Y460" s="4">
        <v>1</v>
      </c>
      <c r="Z460" s="56">
        <v>3</v>
      </c>
      <c r="AA460" s="9" cm="1">
        <f t="array" ref="AA460">IF(OR(AB460:AE460=""),"BLANK",IF(AND(AB460:AE460&lt;999),1,IF(AND(AB460:AE460="NA"),3,2)))</f>
        <v>1</v>
      </c>
      <c r="AB460" s="4">
        <v>30</v>
      </c>
      <c r="AC460" s="4">
        <v>12</v>
      </c>
      <c r="AD460" s="4">
        <v>13</v>
      </c>
      <c r="AE460" s="5">
        <v>55</v>
      </c>
      <c r="AF460" s="9">
        <f t="shared" si="7"/>
        <v>1</v>
      </c>
      <c r="AG460" s="5">
        <v>36</v>
      </c>
      <c r="AH460" s="9" cm="1">
        <f t="array" ref="AH460">IF(OR(AI460:AN460=""),"BLANK",IF(AND(AI460:AN460&lt;99),1,IF(AND(AI460:AN460="NA"),3,2)))</f>
        <v>3</v>
      </c>
      <c r="AI460" s="4" t="s">
        <v>7</v>
      </c>
      <c r="AJ460" s="4" t="s">
        <v>7</v>
      </c>
      <c r="AK460" s="4" t="s">
        <v>7</v>
      </c>
      <c r="AL460" s="4" t="s">
        <v>7</v>
      </c>
      <c r="AM460" s="4" t="s">
        <v>7</v>
      </c>
      <c r="AN460" s="5" t="s">
        <v>7</v>
      </c>
    </row>
    <row r="461" spans="1:40" x14ac:dyDescent="0.2">
      <c r="A461" s="39">
        <v>4841</v>
      </c>
      <c r="B461" s="4" t="s">
        <v>58</v>
      </c>
      <c r="C461" s="30" t="s">
        <v>23</v>
      </c>
      <c r="D461" s="30">
        <v>5</v>
      </c>
      <c r="E461" s="30">
        <v>0</v>
      </c>
      <c r="F461" s="4">
        <v>3.4550000000000001</v>
      </c>
      <c r="G461" s="30">
        <v>30</v>
      </c>
      <c r="H461" s="33">
        <v>3.5427789185489389</v>
      </c>
      <c r="I461" s="33" t="s">
        <v>7</v>
      </c>
      <c r="J461" s="33" t="s">
        <v>7</v>
      </c>
      <c r="K461" s="33">
        <v>3.5427789185489389</v>
      </c>
      <c r="L461" s="33" t="s">
        <v>7</v>
      </c>
      <c r="M461" s="33" t="s">
        <v>7</v>
      </c>
      <c r="N461" s="33">
        <v>3.5126625598904861</v>
      </c>
      <c r="O461" s="33" t="s">
        <v>7</v>
      </c>
      <c r="P461" s="33" t="s">
        <v>7</v>
      </c>
      <c r="Q461" s="33" t="s">
        <v>7</v>
      </c>
      <c r="R461" s="33" t="s">
        <v>7</v>
      </c>
      <c r="S461" s="33" t="s">
        <v>7</v>
      </c>
      <c r="T461" s="34">
        <v>3</v>
      </c>
      <c r="U461" s="34">
        <v>14</v>
      </c>
      <c r="V461" s="4" t="s">
        <v>1</v>
      </c>
      <c r="W461" s="4">
        <v>1</v>
      </c>
      <c r="X461" s="4">
        <v>1</v>
      </c>
      <c r="Y461" s="4">
        <v>1</v>
      </c>
      <c r="Z461" s="56">
        <v>3</v>
      </c>
      <c r="AA461" s="9" cm="1">
        <f t="array" ref="AA461">IF(OR(AB461:AE461=""),"BLANK",IF(AND(AB461:AE461&lt;999),1,IF(AND(AB461:AE461="NA"),3,2)))</f>
        <v>1</v>
      </c>
      <c r="AB461" s="4">
        <v>31</v>
      </c>
      <c r="AC461" s="4">
        <v>18</v>
      </c>
      <c r="AD461" s="4">
        <v>10</v>
      </c>
      <c r="AE461" s="5">
        <v>59</v>
      </c>
      <c r="AF461" s="9">
        <f t="shared" si="7"/>
        <v>1</v>
      </c>
      <c r="AG461" s="5">
        <v>54</v>
      </c>
      <c r="AH461" s="9" cm="1">
        <f t="array" ref="AH461">IF(OR(AI461:AN461=""),"BLANK",IF(AND(AI461:AN461&lt;99),1,IF(AND(AI461:AN461="NA"),3,2)))</f>
        <v>3</v>
      </c>
      <c r="AI461" s="4" t="s">
        <v>7</v>
      </c>
      <c r="AJ461" s="4" t="s">
        <v>7</v>
      </c>
      <c r="AK461" s="4" t="s">
        <v>7</v>
      </c>
      <c r="AL461" s="4" t="s">
        <v>7</v>
      </c>
      <c r="AM461" s="4" t="s">
        <v>7</v>
      </c>
      <c r="AN461" s="5" t="s">
        <v>7</v>
      </c>
    </row>
    <row r="462" spans="1:40" x14ac:dyDescent="0.2">
      <c r="A462" s="39">
        <v>4847</v>
      </c>
      <c r="B462" s="4" t="s">
        <v>48</v>
      </c>
      <c r="C462" s="30" t="s">
        <v>23</v>
      </c>
      <c r="D462" s="30">
        <v>5</v>
      </c>
      <c r="E462" s="30">
        <v>0</v>
      </c>
      <c r="F462" s="4">
        <v>3.8180000000000001</v>
      </c>
      <c r="G462" s="30">
        <v>28</v>
      </c>
      <c r="H462" s="33">
        <v>3.1649555099247091</v>
      </c>
      <c r="I462" s="33">
        <v>2.9815195071868583</v>
      </c>
      <c r="J462" s="33">
        <v>6.1464750171115679</v>
      </c>
      <c r="K462" s="33">
        <v>3.1676933607118412</v>
      </c>
      <c r="L462" s="33" t="s">
        <v>7</v>
      </c>
      <c r="M462" s="33" t="s">
        <v>7</v>
      </c>
      <c r="N462" s="33">
        <v>3.1813826146475015</v>
      </c>
      <c r="O462" s="33">
        <v>2.967830253251198</v>
      </c>
      <c r="P462" s="33">
        <v>6.1492128678986999</v>
      </c>
      <c r="Q462" s="33">
        <v>2.7980835044490076</v>
      </c>
      <c r="R462" s="33" t="s">
        <v>7</v>
      </c>
      <c r="S462" s="33" t="s">
        <v>7</v>
      </c>
      <c r="T462" s="34">
        <v>6</v>
      </c>
      <c r="U462" s="34">
        <v>18</v>
      </c>
      <c r="V462" s="4" t="s">
        <v>1</v>
      </c>
      <c r="W462" s="4">
        <v>1</v>
      </c>
      <c r="X462" s="4">
        <v>1</v>
      </c>
      <c r="Y462" s="4">
        <v>1</v>
      </c>
      <c r="Z462" s="56">
        <v>3</v>
      </c>
      <c r="AA462" s="9" cm="1">
        <f t="array" ref="AA462">IF(OR(AB462:AE462=""),"BLANK",IF(AND(AB462:AE462&lt;999),1,IF(AND(AB462:AE462="NA"),3,2)))</f>
        <v>1</v>
      </c>
      <c r="AB462" s="4">
        <v>29</v>
      </c>
      <c r="AC462" s="4">
        <v>19</v>
      </c>
      <c r="AD462" s="4">
        <v>14</v>
      </c>
      <c r="AE462" s="5">
        <v>62</v>
      </c>
      <c r="AF462" s="9">
        <f t="shared" si="7"/>
        <v>1</v>
      </c>
      <c r="AG462" s="5">
        <v>35</v>
      </c>
      <c r="AH462" s="9" cm="1">
        <f t="array" ref="AH462">IF(OR(AI462:AN462=""),"BLANK",IF(AND(AI462:AN462&lt;99),1,IF(AND(AI462:AN462="NA"),3,2)))</f>
        <v>3</v>
      </c>
      <c r="AI462" s="4" t="s">
        <v>7</v>
      </c>
      <c r="AJ462" s="4" t="s">
        <v>7</v>
      </c>
      <c r="AK462" s="4" t="s">
        <v>7</v>
      </c>
      <c r="AL462" s="4" t="s">
        <v>7</v>
      </c>
      <c r="AM462" s="4" t="s">
        <v>7</v>
      </c>
      <c r="AN462" s="5" t="s">
        <v>7</v>
      </c>
    </row>
    <row r="463" spans="1:40" x14ac:dyDescent="0.2">
      <c r="A463" s="39">
        <v>4868</v>
      </c>
      <c r="B463" s="4" t="s">
        <v>59</v>
      </c>
      <c r="C463" s="30" t="s">
        <v>23</v>
      </c>
      <c r="D463" s="30">
        <v>5</v>
      </c>
      <c r="E463" s="30">
        <v>0</v>
      </c>
      <c r="F463" s="4">
        <v>4</v>
      </c>
      <c r="G463" s="30">
        <v>30</v>
      </c>
      <c r="H463" s="33">
        <v>3.1567419575633129</v>
      </c>
      <c r="I463" s="33">
        <v>2.9212867898699519</v>
      </c>
      <c r="J463" s="33">
        <v>6.0780287474332653</v>
      </c>
      <c r="K463" s="33">
        <v>3.159479808350445</v>
      </c>
      <c r="L463" s="33">
        <v>2.9596167008898013</v>
      </c>
      <c r="M463" s="33">
        <v>6.1190965092402463</v>
      </c>
      <c r="N463" s="33">
        <v>3.0855578370978782</v>
      </c>
      <c r="O463" s="33">
        <v>2.97056810403833</v>
      </c>
      <c r="P463" s="33">
        <v>6.0561259411362078</v>
      </c>
      <c r="Q463" s="33">
        <v>2.8336755646817249</v>
      </c>
      <c r="R463" s="33" t="s">
        <v>7</v>
      </c>
      <c r="S463" s="33" t="s">
        <v>7</v>
      </c>
      <c r="T463" s="34">
        <v>3</v>
      </c>
      <c r="U463" s="34">
        <v>14</v>
      </c>
      <c r="V463" s="4" t="s">
        <v>1</v>
      </c>
      <c r="W463" s="4">
        <v>1</v>
      </c>
      <c r="X463" s="4">
        <v>1</v>
      </c>
      <c r="Y463" s="4">
        <v>1</v>
      </c>
      <c r="Z463" s="56">
        <v>3</v>
      </c>
      <c r="AA463" s="9" cm="1">
        <f t="array" ref="AA463">IF(OR(AB463:AE463=""),"BLANK",IF(AND(AB463:AE463&lt;999),1,IF(AND(AB463:AE463="NA"),3,2)))</f>
        <v>1</v>
      </c>
      <c r="AB463" s="4">
        <v>24</v>
      </c>
      <c r="AC463" s="4">
        <v>11</v>
      </c>
      <c r="AD463" s="4">
        <v>8</v>
      </c>
      <c r="AE463" s="5">
        <v>43</v>
      </c>
      <c r="AF463" s="9">
        <f t="shared" si="7"/>
        <v>1</v>
      </c>
      <c r="AG463" s="5">
        <v>58</v>
      </c>
      <c r="AH463" s="9" cm="1">
        <f t="array" ref="AH463">IF(OR(AI463:AN463=""),"BLANK",IF(AND(AI463:AN463&lt;99),1,IF(AND(AI463:AN463="NA"),3,2)))</f>
        <v>3</v>
      </c>
      <c r="AI463" s="4" t="s">
        <v>7</v>
      </c>
      <c r="AJ463" s="4" t="s">
        <v>7</v>
      </c>
      <c r="AK463" s="4" t="s">
        <v>7</v>
      </c>
      <c r="AL463" s="4" t="s">
        <v>7</v>
      </c>
      <c r="AM463" s="4" t="s">
        <v>7</v>
      </c>
      <c r="AN463" s="5" t="s">
        <v>7</v>
      </c>
    </row>
    <row r="464" spans="1:40" x14ac:dyDescent="0.2">
      <c r="A464" s="39">
        <v>4869</v>
      </c>
      <c r="B464" s="4" t="s">
        <v>47</v>
      </c>
      <c r="C464" s="30" t="s">
        <v>24</v>
      </c>
      <c r="D464" s="30">
        <v>5</v>
      </c>
      <c r="E464" s="30">
        <v>0</v>
      </c>
      <c r="F464" s="4">
        <v>4</v>
      </c>
      <c r="G464" s="30">
        <v>27</v>
      </c>
      <c r="H464" s="33">
        <v>3.2525667351129361</v>
      </c>
      <c r="I464" s="33">
        <v>2.8583162217659139</v>
      </c>
      <c r="J464" s="33">
        <v>6.1108829568788501</v>
      </c>
      <c r="K464" s="33">
        <v>3.2525667351129361</v>
      </c>
      <c r="L464" s="33">
        <v>2.8583162217659139</v>
      </c>
      <c r="M464" s="33">
        <v>6.1108829568788501</v>
      </c>
      <c r="N464" s="33">
        <v>3.2580424366872007</v>
      </c>
      <c r="O464" s="33">
        <v>2.8884325804243667</v>
      </c>
      <c r="P464" s="33">
        <v>6.1464750171115679</v>
      </c>
      <c r="Q464" s="33">
        <v>2.8966461327857633</v>
      </c>
      <c r="R464" s="33" t="s">
        <v>7</v>
      </c>
      <c r="S464" s="33" t="s">
        <v>7</v>
      </c>
      <c r="T464" s="34">
        <v>3</v>
      </c>
      <c r="U464" s="34">
        <v>14</v>
      </c>
      <c r="V464" s="4" t="s">
        <v>1</v>
      </c>
      <c r="W464" s="4">
        <v>1</v>
      </c>
      <c r="X464" s="4">
        <v>1</v>
      </c>
      <c r="Y464" s="4">
        <v>1</v>
      </c>
      <c r="Z464" s="56">
        <v>3</v>
      </c>
      <c r="AA464" s="9" cm="1">
        <f t="array" ref="AA464">IF(OR(AB464:AE464=""),"BLANK",IF(AND(AB464:AE464&lt;999),1,IF(AND(AB464:AE464="NA"),3,2)))</f>
        <v>1</v>
      </c>
      <c r="AB464" s="4">
        <v>30</v>
      </c>
      <c r="AC464" s="4">
        <v>14</v>
      </c>
      <c r="AD464" s="4">
        <v>12</v>
      </c>
      <c r="AE464" s="5">
        <v>56</v>
      </c>
      <c r="AF464" s="9">
        <f t="shared" si="7"/>
        <v>1</v>
      </c>
      <c r="AG464" s="5">
        <v>34</v>
      </c>
      <c r="AH464" s="9" cm="1">
        <f t="array" ref="AH464">IF(OR(AI464:AN464=""),"BLANK",IF(AND(AI464:AN464&lt;99),1,IF(AND(AI464:AN464="NA"),3,2)))</f>
        <v>3</v>
      </c>
      <c r="AI464" s="4" t="s">
        <v>7</v>
      </c>
      <c r="AJ464" s="4" t="s">
        <v>7</v>
      </c>
      <c r="AK464" s="4" t="s">
        <v>7</v>
      </c>
      <c r="AL464" s="4" t="s">
        <v>7</v>
      </c>
      <c r="AM464" s="4" t="s">
        <v>7</v>
      </c>
      <c r="AN464" s="5" t="s">
        <v>7</v>
      </c>
    </row>
    <row r="465" spans="1:40" ht="17" thickBot="1" x14ac:dyDescent="0.25">
      <c r="A465" s="52">
        <v>4876</v>
      </c>
      <c r="B465" s="40" t="s">
        <v>59</v>
      </c>
      <c r="C465" s="49" t="s">
        <v>23</v>
      </c>
      <c r="D465" s="49">
        <v>5</v>
      </c>
      <c r="E465" s="49">
        <v>0</v>
      </c>
      <c r="F465" s="40">
        <v>3.9089999999999998</v>
      </c>
      <c r="G465" s="49">
        <v>30</v>
      </c>
      <c r="H465" s="43">
        <v>3.2826830937713893</v>
      </c>
      <c r="I465" s="43">
        <v>3.0006844626967832</v>
      </c>
      <c r="J465" s="43">
        <v>6.2833675564681721</v>
      </c>
      <c r="K465" s="43">
        <v>3.2826830937713893</v>
      </c>
      <c r="L465" s="43" t="s">
        <v>7</v>
      </c>
      <c r="M465" s="43" t="s">
        <v>7</v>
      </c>
      <c r="N465" s="43">
        <v>3.2936344969199181</v>
      </c>
      <c r="O465" s="43">
        <v>2.9760438056125942</v>
      </c>
      <c r="P465" s="43">
        <v>6.2696783025325118</v>
      </c>
      <c r="Q465" s="43" t="s">
        <v>7</v>
      </c>
      <c r="R465" s="43" t="s">
        <v>7</v>
      </c>
      <c r="S465" s="43">
        <v>5.9958932238193015</v>
      </c>
      <c r="T465" s="50">
        <v>3</v>
      </c>
      <c r="U465" s="50">
        <v>15</v>
      </c>
      <c r="V465" s="40" t="s">
        <v>1</v>
      </c>
      <c r="W465" s="40">
        <v>1</v>
      </c>
      <c r="X465" s="40">
        <v>1</v>
      </c>
      <c r="Y465" s="40">
        <v>1</v>
      </c>
      <c r="Z465" s="40">
        <v>3</v>
      </c>
      <c r="AA465" s="45" cm="1">
        <f t="array" ref="AA465">IF(OR(AB465:AE465=""),"BLANK",IF(AND(AB465:AE465&lt;999),1,IF(AND(AB465:AE465="NA"),3,2)))</f>
        <v>1</v>
      </c>
      <c r="AB465" s="40">
        <v>34</v>
      </c>
      <c r="AC465" s="40">
        <v>24</v>
      </c>
      <c r="AD465" s="40">
        <v>15</v>
      </c>
      <c r="AE465" s="44">
        <v>73</v>
      </c>
      <c r="AF465" s="45">
        <f t="shared" si="7"/>
        <v>1</v>
      </c>
      <c r="AG465" s="44">
        <v>63</v>
      </c>
      <c r="AH465" s="45" cm="1">
        <f t="array" ref="AH465">IF(OR(AI465:AN465=""),"BLANK",IF(AND(AI465:AN465&lt;99),1,IF(AND(AI465:AN465="NA"),3,2)))</f>
        <v>3</v>
      </c>
      <c r="AI465" s="40" t="s">
        <v>7</v>
      </c>
      <c r="AJ465" s="40" t="s">
        <v>7</v>
      </c>
      <c r="AK465" s="40" t="s">
        <v>7</v>
      </c>
      <c r="AL465" s="40" t="s">
        <v>7</v>
      </c>
      <c r="AM465" s="40" t="s">
        <v>7</v>
      </c>
      <c r="AN465" s="44" t="s">
        <v>7</v>
      </c>
    </row>
    <row r="466" spans="1:40" x14ac:dyDescent="0.2">
      <c r="C466" s="36"/>
      <c r="D466" s="36"/>
      <c r="E466" s="36"/>
      <c r="F466" s="4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4"/>
      <c r="U466" s="34"/>
    </row>
    <row r="467" spans="1:40" x14ac:dyDescent="0.2">
      <c r="C467" s="36"/>
      <c r="D467" s="36"/>
      <c r="E467" s="36"/>
      <c r="F467" s="4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4"/>
      <c r="U467" s="34"/>
    </row>
    <row r="468" spans="1:40" x14ac:dyDescent="0.2">
      <c r="C468" s="36"/>
      <c r="D468" s="36"/>
      <c r="E468" s="36"/>
      <c r="F468" s="4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4"/>
      <c r="U468" s="34"/>
    </row>
    <row r="469" spans="1:40" x14ac:dyDescent="0.2">
      <c r="C469" s="36"/>
      <c r="D469" s="36"/>
      <c r="E469" s="36"/>
      <c r="F469" s="4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4"/>
      <c r="U469" s="34"/>
    </row>
    <row r="470" spans="1:40" x14ac:dyDescent="0.2">
      <c r="C470" s="36"/>
      <c r="D470" s="36"/>
      <c r="E470" s="36"/>
      <c r="F470" s="4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4"/>
      <c r="U470" s="34"/>
    </row>
    <row r="471" spans="1:40" x14ac:dyDescent="0.2">
      <c r="C471" s="36"/>
      <c r="D471" s="36"/>
      <c r="E471" s="36"/>
      <c r="F471" s="4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4"/>
      <c r="U471" s="34"/>
    </row>
    <row r="472" spans="1:40" x14ac:dyDescent="0.2">
      <c r="C472" s="36"/>
      <c r="D472" s="36"/>
      <c r="E472" s="36"/>
      <c r="F472" s="4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4"/>
      <c r="U472" s="34"/>
    </row>
    <row r="473" spans="1:40" x14ac:dyDescent="0.2">
      <c r="C473" s="36"/>
      <c r="D473" s="36"/>
      <c r="E473" s="36"/>
      <c r="F473" s="4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4"/>
      <c r="U473" s="34"/>
    </row>
    <row r="474" spans="1:40" x14ac:dyDescent="0.2">
      <c r="C474" s="36"/>
      <c r="D474" s="36"/>
      <c r="E474" s="36"/>
      <c r="F474" s="4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4"/>
      <c r="U474" s="34"/>
    </row>
    <row r="475" spans="1:40" x14ac:dyDescent="0.2">
      <c r="C475" s="36"/>
      <c r="D475" s="36"/>
      <c r="E475" s="36"/>
      <c r="F475" s="4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4"/>
      <c r="U475" s="34"/>
    </row>
    <row r="476" spans="1:40" x14ac:dyDescent="0.2">
      <c r="C476" s="36"/>
      <c r="D476" s="36"/>
      <c r="E476" s="36"/>
      <c r="F476" s="4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4"/>
      <c r="U476" s="34"/>
    </row>
    <row r="477" spans="1:40" x14ac:dyDescent="0.2">
      <c r="C477" s="36"/>
      <c r="D477" s="36"/>
      <c r="E477" s="36"/>
      <c r="F477" s="4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4"/>
      <c r="U477" s="34"/>
    </row>
    <row r="478" spans="1:40" x14ac:dyDescent="0.2">
      <c r="C478" s="36"/>
      <c r="D478" s="36"/>
      <c r="E478" s="36"/>
      <c r="F478" s="4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4"/>
      <c r="U478" s="34"/>
    </row>
    <row r="479" spans="1:40" x14ac:dyDescent="0.2">
      <c r="C479" s="36"/>
      <c r="D479" s="36"/>
      <c r="E479" s="36"/>
      <c r="F479" s="4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4"/>
      <c r="U479" s="34"/>
    </row>
    <row r="480" spans="1:40" x14ac:dyDescent="0.2">
      <c r="C480" s="36"/>
      <c r="D480" s="36"/>
      <c r="E480" s="36"/>
      <c r="F480" s="4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4"/>
      <c r="U480" s="34"/>
    </row>
    <row r="481" spans="3:21" x14ac:dyDescent="0.2">
      <c r="C481" s="36"/>
      <c r="D481" s="36"/>
      <c r="E481" s="36"/>
      <c r="F481" s="4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4"/>
      <c r="U481" s="34"/>
    </row>
    <row r="482" spans="3:21" x14ac:dyDescent="0.2">
      <c r="C482" s="36"/>
      <c r="D482" s="36"/>
      <c r="E482" s="36"/>
      <c r="F482" s="4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4"/>
      <c r="U482" s="34"/>
    </row>
    <row r="483" spans="3:21" x14ac:dyDescent="0.2">
      <c r="C483" s="36"/>
      <c r="D483" s="36"/>
      <c r="E483" s="36"/>
      <c r="F483" s="4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4"/>
      <c r="U483" s="34"/>
    </row>
    <row r="484" spans="3:21" x14ac:dyDescent="0.2">
      <c r="C484" s="36"/>
      <c r="D484" s="36"/>
      <c r="E484" s="36"/>
      <c r="F484" s="4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4"/>
      <c r="U484" s="34"/>
    </row>
    <row r="485" spans="3:21" x14ac:dyDescent="0.2">
      <c r="C485" s="36"/>
      <c r="D485" s="36"/>
      <c r="E485" s="36"/>
      <c r="F485" s="4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4"/>
      <c r="U485" s="34"/>
    </row>
    <row r="486" spans="3:21" x14ac:dyDescent="0.2">
      <c r="C486" s="36"/>
      <c r="D486" s="36"/>
      <c r="E486" s="36"/>
      <c r="F486" s="4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4"/>
      <c r="U486" s="34"/>
    </row>
    <row r="487" spans="3:21" x14ac:dyDescent="0.2">
      <c r="C487" s="36"/>
      <c r="D487" s="36"/>
      <c r="E487" s="36"/>
      <c r="F487" s="4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4"/>
      <c r="U487" s="34"/>
    </row>
    <row r="488" spans="3:21" x14ac:dyDescent="0.2">
      <c r="C488" s="36"/>
      <c r="D488" s="36"/>
      <c r="E488" s="36"/>
      <c r="F488" s="4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4"/>
      <c r="U488" s="34"/>
    </row>
    <row r="489" spans="3:21" x14ac:dyDescent="0.2">
      <c r="C489" s="36"/>
      <c r="D489" s="36"/>
      <c r="E489" s="36"/>
      <c r="F489" s="4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4"/>
      <c r="U489" s="34"/>
    </row>
    <row r="490" spans="3:21" x14ac:dyDescent="0.2">
      <c r="C490" s="36"/>
      <c r="D490" s="36"/>
      <c r="E490" s="36"/>
      <c r="F490" s="4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4"/>
      <c r="U490" s="34"/>
    </row>
    <row r="491" spans="3:21" x14ac:dyDescent="0.2">
      <c r="C491" s="36"/>
      <c r="D491" s="36"/>
      <c r="E491" s="36"/>
      <c r="F491" s="4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4"/>
      <c r="U491" s="34"/>
    </row>
    <row r="492" spans="3:21" x14ac:dyDescent="0.2">
      <c r="C492" s="36"/>
      <c r="D492" s="36"/>
      <c r="E492" s="36"/>
      <c r="F492" s="4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4"/>
      <c r="U492" s="34"/>
    </row>
    <row r="493" spans="3:21" x14ac:dyDescent="0.2">
      <c r="C493" s="36"/>
      <c r="D493" s="36"/>
      <c r="E493" s="36"/>
      <c r="F493" s="4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4"/>
      <c r="U493" s="34"/>
    </row>
    <row r="494" spans="3:21" x14ac:dyDescent="0.2">
      <c r="C494" s="36"/>
      <c r="D494" s="36"/>
      <c r="E494" s="36"/>
      <c r="F494" s="4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4"/>
      <c r="U494" s="34"/>
    </row>
    <row r="495" spans="3:21" x14ac:dyDescent="0.2">
      <c r="C495" s="36"/>
      <c r="D495" s="36"/>
      <c r="E495" s="36"/>
      <c r="F495" s="4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4"/>
      <c r="U495" s="34"/>
    </row>
    <row r="496" spans="3:21" x14ac:dyDescent="0.2">
      <c r="C496" s="36"/>
      <c r="D496" s="36"/>
      <c r="E496" s="36"/>
      <c r="F496" s="4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4"/>
      <c r="U496" s="34"/>
    </row>
    <row r="497" spans="3:21" x14ac:dyDescent="0.2">
      <c r="C497" s="36"/>
      <c r="D497" s="36"/>
      <c r="E497" s="36"/>
      <c r="F497" s="4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4"/>
      <c r="U497" s="34"/>
    </row>
    <row r="498" spans="3:21" x14ac:dyDescent="0.2">
      <c r="C498" s="36"/>
      <c r="D498" s="36"/>
      <c r="E498" s="36"/>
      <c r="F498" s="4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4"/>
      <c r="U498" s="34"/>
    </row>
    <row r="499" spans="3:21" x14ac:dyDescent="0.2">
      <c r="C499" s="36"/>
      <c r="D499" s="36"/>
      <c r="E499" s="36"/>
      <c r="F499" s="4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4"/>
      <c r="U499" s="34"/>
    </row>
    <row r="500" spans="3:21" x14ac:dyDescent="0.2">
      <c r="C500" s="36"/>
      <c r="D500" s="36"/>
      <c r="E500" s="36"/>
      <c r="F500" s="4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4"/>
      <c r="U500" s="34"/>
    </row>
    <row r="501" spans="3:21" x14ac:dyDescent="0.2">
      <c r="C501" s="36"/>
      <c r="D501" s="36"/>
      <c r="E501" s="36"/>
      <c r="F501" s="4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4"/>
      <c r="U501" s="34"/>
    </row>
    <row r="502" spans="3:21" x14ac:dyDescent="0.2">
      <c r="C502" s="36"/>
      <c r="D502" s="36"/>
      <c r="E502" s="36"/>
      <c r="F502" s="4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4"/>
      <c r="U502" s="34"/>
    </row>
    <row r="503" spans="3:21" x14ac:dyDescent="0.2">
      <c r="C503" s="36"/>
      <c r="D503" s="36"/>
      <c r="E503" s="36"/>
      <c r="F503" s="4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4"/>
      <c r="U503" s="34"/>
    </row>
    <row r="504" spans="3:21" x14ac:dyDescent="0.2">
      <c r="C504" s="36"/>
      <c r="D504" s="36"/>
      <c r="E504" s="36"/>
      <c r="F504" s="4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4"/>
      <c r="U504" s="34"/>
    </row>
    <row r="505" spans="3:21" x14ac:dyDescent="0.2">
      <c r="C505" s="36"/>
      <c r="D505" s="36"/>
      <c r="E505" s="36"/>
      <c r="F505" s="4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4"/>
      <c r="U505" s="34"/>
    </row>
    <row r="506" spans="3:21" x14ac:dyDescent="0.2">
      <c r="C506" s="36"/>
      <c r="D506" s="36"/>
      <c r="E506" s="36"/>
      <c r="F506" s="4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4"/>
      <c r="U506" s="34"/>
    </row>
    <row r="507" spans="3:21" x14ac:dyDescent="0.2">
      <c r="C507" s="36"/>
      <c r="D507" s="36"/>
      <c r="E507" s="36"/>
      <c r="F507" s="4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4"/>
      <c r="U507" s="34"/>
    </row>
    <row r="508" spans="3:21" x14ac:dyDescent="0.2">
      <c r="C508" s="36"/>
      <c r="D508" s="36"/>
      <c r="E508" s="36"/>
      <c r="F508" s="4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4"/>
      <c r="U508" s="34"/>
    </row>
    <row r="509" spans="3:21" x14ac:dyDescent="0.2">
      <c r="C509" s="36"/>
      <c r="D509" s="36"/>
      <c r="E509" s="36"/>
      <c r="F509" s="4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4"/>
      <c r="U509" s="34"/>
    </row>
    <row r="510" spans="3:21" x14ac:dyDescent="0.2">
      <c r="C510" s="36"/>
      <c r="D510" s="36"/>
      <c r="E510" s="36"/>
      <c r="F510" s="4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4"/>
      <c r="U510" s="34"/>
    </row>
    <row r="511" spans="3:21" x14ac:dyDescent="0.2">
      <c r="C511" s="36"/>
      <c r="D511" s="36"/>
      <c r="E511" s="36"/>
      <c r="F511" s="4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4"/>
      <c r="U511" s="34"/>
    </row>
    <row r="512" spans="3:21" x14ac:dyDescent="0.2">
      <c r="C512" s="36"/>
      <c r="D512" s="36"/>
      <c r="E512" s="36"/>
      <c r="F512" s="4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4"/>
      <c r="U512" s="34"/>
    </row>
    <row r="513" spans="3:21" x14ac:dyDescent="0.2">
      <c r="C513" s="36"/>
      <c r="D513" s="36"/>
      <c r="E513" s="36"/>
      <c r="F513" s="4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4"/>
      <c r="U513" s="34"/>
    </row>
    <row r="514" spans="3:21" x14ac:dyDescent="0.2">
      <c r="C514" s="36"/>
      <c r="D514" s="36"/>
      <c r="E514" s="36"/>
      <c r="F514" s="4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4"/>
      <c r="U514" s="34"/>
    </row>
    <row r="515" spans="3:21" x14ac:dyDescent="0.2">
      <c r="C515" s="36"/>
      <c r="D515" s="36"/>
      <c r="E515" s="36"/>
      <c r="F515" s="4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4"/>
      <c r="U515" s="34"/>
    </row>
    <row r="516" spans="3:21" x14ac:dyDescent="0.2">
      <c r="C516" s="36"/>
      <c r="D516" s="36"/>
      <c r="E516" s="36"/>
      <c r="F516" s="4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4"/>
      <c r="U516" s="34"/>
    </row>
    <row r="517" spans="3:21" x14ac:dyDescent="0.2">
      <c r="C517" s="36"/>
      <c r="D517" s="36"/>
      <c r="E517" s="36"/>
      <c r="F517" s="4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4"/>
      <c r="U517" s="34"/>
    </row>
    <row r="518" spans="3:21" x14ac:dyDescent="0.2">
      <c r="C518" s="36"/>
      <c r="D518" s="36"/>
      <c r="E518" s="36"/>
      <c r="F518" s="4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4"/>
      <c r="U518" s="34"/>
    </row>
    <row r="519" spans="3:21" x14ac:dyDescent="0.2">
      <c r="C519" s="36"/>
      <c r="D519" s="36"/>
      <c r="E519" s="36"/>
      <c r="F519" s="4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4"/>
      <c r="U519" s="34"/>
    </row>
    <row r="520" spans="3:21" x14ac:dyDescent="0.2">
      <c r="C520" s="36"/>
      <c r="D520" s="36"/>
      <c r="E520" s="36"/>
      <c r="F520" s="4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4"/>
      <c r="U520" s="34"/>
    </row>
    <row r="521" spans="3:21" x14ac:dyDescent="0.2">
      <c r="C521" s="36"/>
      <c r="D521" s="36"/>
      <c r="E521" s="36"/>
      <c r="F521" s="4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4"/>
      <c r="U521" s="34"/>
    </row>
    <row r="522" spans="3:21" x14ac:dyDescent="0.2">
      <c r="C522" s="36"/>
      <c r="D522" s="36"/>
      <c r="E522" s="36"/>
      <c r="F522" s="4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4"/>
      <c r="U522" s="34"/>
    </row>
    <row r="523" spans="3:21" x14ac:dyDescent="0.2">
      <c r="C523" s="36"/>
      <c r="D523" s="36"/>
      <c r="E523" s="36"/>
      <c r="F523" s="4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4"/>
      <c r="U523" s="34"/>
    </row>
    <row r="524" spans="3:21" x14ac:dyDescent="0.2">
      <c r="C524" s="36"/>
      <c r="D524" s="36"/>
      <c r="E524" s="36"/>
      <c r="F524" s="4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4"/>
      <c r="U524" s="34"/>
    </row>
    <row r="525" spans="3:21" x14ac:dyDescent="0.2">
      <c r="C525" s="36"/>
      <c r="D525" s="36"/>
      <c r="E525" s="36"/>
      <c r="F525" s="4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4"/>
      <c r="U525" s="34"/>
    </row>
    <row r="526" spans="3:21" x14ac:dyDescent="0.2">
      <c r="C526" s="36"/>
      <c r="D526" s="36"/>
      <c r="E526" s="36"/>
      <c r="F526" s="4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4"/>
      <c r="U526" s="34"/>
    </row>
    <row r="527" spans="3:21" x14ac:dyDescent="0.2">
      <c r="C527" s="36"/>
      <c r="D527" s="36"/>
      <c r="E527" s="36"/>
      <c r="F527" s="4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4"/>
      <c r="U527" s="34"/>
    </row>
    <row r="528" spans="3:21" x14ac:dyDescent="0.2">
      <c r="C528" s="36"/>
      <c r="D528" s="36"/>
      <c r="E528" s="36"/>
      <c r="F528" s="4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4"/>
      <c r="U528" s="34"/>
    </row>
    <row r="529" spans="3:21" x14ac:dyDescent="0.2">
      <c r="C529" s="36"/>
      <c r="D529" s="36"/>
      <c r="E529" s="36"/>
      <c r="F529" s="4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4"/>
      <c r="U529" s="34"/>
    </row>
    <row r="530" spans="3:21" x14ac:dyDescent="0.2">
      <c r="C530" s="36"/>
      <c r="D530" s="36"/>
      <c r="E530" s="36"/>
      <c r="F530" s="4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4"/>
      <c r="U530" s="34"/>
    </row>
    <row r="531" spans="3:21" x14ac:dyDescent="0.2">
      <c r="C531" s="36"/>
      <c r="D531" s="36"/>
      <c r="E531" s="36"/>
      <c r="F531" s="4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4"/>
      <c r="U531" s="34"/>
    </row>
    <row r="532" spans="3:21" x14ac:dyDescent="0.2">
      <c r="C532" s="36"/>
      <c r="D532" s="36"/>
      <c r="E532" s="36"/>
      <c r="F532" s="4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4"/>
      <c r="U532" s="34"/>
    </row>
    <row r="533" spans="3:21" x14ac:dyDescent="0.2">
      <c r="C533" s="36"/>
      <c r="D533" s="36"/>
      <c r="E533" s="36"/>
      <c r="F533" s="4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4"/>
      <c r="U533" s="34"/>
    </row>
    <row r="534" spans="3:21" x14ac:dyDescent="0.2">
      <c r="C534" s="36"/>
      <c r="D534" s="36"/>
      <c r="E534" s="36"/>
      <c r="F534" s="4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4"/>
      <c r="U534" s="34"/>
    </row>
    <row r="535" spans="3:21" x14ac:dyDescent="0.2">
      <c r="C535" s="36"/>
      <c r="D535" s="36"/>
      <c r="E535" s="36"/>
      <c r="F535" s="4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4"/>
      <c r="U535" s="34"/>
    </row>
    <row r="536" spans="3:21" x14ac:dyDescent="0.2">
      <c r="C536" s="36"/>
      <c r="D536" s="36"/>
      <c r="E536" s="36"/>
      <c r="F536" s="4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4"/>
      <c r="U536" s="34"/>
    </row>
    <row r="537" spans="3:21" x14ac:dyDescent="0.2">
      <c r="C537" s="36"/>
      <c r="D537" s="36"/>
      <c r="E537" s="36"/>
      <c r="F537" s="4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4"/>
      <c r="U537" s="34"/>
    </row>
    <row r="538" spans="3:21" x14ac:dyDescent="0.2">
      <c r="C538" s="36"/>
      <c r="D538" s="36"/>
      <c r="E538" s="36"/>
      <c r="F538" s="4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4"/>
      <c r="U538" s="34"/>
    </row>
    <row r="539" spans="3:21" x14ac:dyDescent="0.2">
      <c r="C539" s="36"/>
      <c r="D539" s="36"/>
      <c r="E539" s="36"/>
      <c r="F539" s="4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4"/>
      <c r="U539" s="34"/>
    </row>
    <row r="540" spans="3:21" x14ac:dyDescent="0.2">
      <c r="C540" s="36"/>
      <c r="D540" s="36"/>
      <c r="E540" s="36"/>
      <c r="F540" s="4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4"/>
      <c r="U540" s="34"/>
    </row>
    <row r="541" spans="3:21" x14ac:dyDescent="0.2">
      <c r="C541" s="36"/>
      <c r="D541" s="36"/>
      <c r="E541" s="36"/>
      <c r="F541" s="4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4"/>
      <c r="U541" s="34"/>
    </row>
    <row r="542" spans="3:21" x14ac:dyDescent="0.2">
      <c r="C542" s="36"/>
      <c r="D542" s="36"/>
      <c r="E542" s="36"/>
      <c r="F542" s="4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4"/>
      <c r="U542" s="34"/>
    </row>
    <row r="543" spans="3:21" x14ac:dyDescent="0.2">
      <c r="C543" s="36"/>
      <c r="D543" s="36"/>
      <c r="E543" s="36"/>
      <c r="F543" s="4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4"/>
      <c r="U543" s="34"/>
    </row>
    <row r="544" spans="3:21" x14ac:dyDescent="0.2">
      <c r="C544" s="36"/>
      <c r="D544" s="36"/>
      <c r="E544" s="36"/>
      <c r="F544" s="4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4"/>
      <c r="U544" s="34"/>
    </row>
    <row r="545" spans="3:21" x14ac:dyDescent="0.2">
      <c r="C545" s="36"/>
      <c r="D545" s="36"/>
      <c r="E545" s="36"/>
      <c r="F545" s="4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4"/>
      <c r="U545" s="34"/>
    </row>
    <row r="546" spans="3:21" x14ac:dyDescent="0.2">
      <c r="C546" s="36"/>
      <c r="D546" s="36"/>
      <c r="E546" s="36"/>
      <c r="F546" s="4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4"/>
      <c r="U546" s="34"/>
    </row>
    <row r="547" spans="3:21" x14ac:dyDescent="0.2">
      <c r="C547" s="36"/>
      <c r="D547" s="36"/>
      <c r="E547" s="36"/>
      <c r="F547" s="4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4"/>
      <c r="U547" s="34"/>
    </row>
    <row r="548" spans="3:21" x14ac:dyDescent="0.2">
      <c r="C548" s="36"/>
      <c r="D548" s="36"/>
      <c r="E548" s="36"/>
      <c r="F548" s="4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4"/>
      <c r="U548" s="34"/>
    </row>
    <row r="549" spans="3:21" x14ac:dyDescent="0.2">
      <c r="C549" s="36"/>
      <c r="D549" s="36"/>
      <c r="E549" s="36"/>
      <c r="F549" s="4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4"/>
      <c r="U549" s="34"/>
    </row>
    <row r="550" spans="3:21" x14ac:dyDescent="0.2">
      <c r="C550" s="36"/>
      <c r="D550" s="36"/>
      <c r="E550" s="36"/>
      <c r="F550" s="4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4"/>
      <c r="U550" s="34"/>
    </row>
    <row r="551" spans="3:21" x14ac:dyDescent="0.2">
      <c r="C551" s="36"/>
      <c r="D551" s="36"/>
      <c r="E551" s="36"/>
      <c r="F551" s="4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4"/>
      <c r="U551" s="34"/>
    </row>
    <row r="552" spans="3:21" x14ac:dyDescent="0.2">
      <c r="C552" s="36"/>
      <c r="D552" s="36"/>
      <c r="E552" s="36"/>
      <c r="F552" s="4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4"/>
      <c r="U552" s="34"/>
    </row>
    <row r="553" spans="3:21" x14ac:dyDescent="0.2">
      <c r="C553" s="36"/>
      <c r="D553" s="36"/>
      <c r="E553" s="36"/>
      <c r="F553" s="4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4"/>
      <c r="U553" s="34"/>
    </row>
    <row r="554" spans="3:21" x14ac:dyDescent="0.2">
      <c r="C554" s="36"/>
      <c r="D554" s="36"/>
      <c r="E554" s="36"/>
      <c r="F554" s="4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4"/>
      <c r="U554" s="34"/>
    </row>
    <row r="555" spans="3:21" x14ac:dyDescent="0.2">
      <c r="C555" s="36"/>
      <c r="D555" s="36"/>
      <c r="E555" s="36"/>
      <c r="F555" s="4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4"/>
      <c r="U555" s="34"/>
    </row>
    <row r="556" spans="3:21" x14ac:dyDescent="0.2">
      <c r="C556" s="36"/>
      <c r="D556" s="36"/>
      <c r="E556" s="36"/>
      <c r="F556" s="4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4"/>
      <c r="U556" s="34"/>
    </row>
    <row r="557" spans="3:21" x14ac:dyDescent="0.2">
      <c r="C557" s="36"/>
      <c r="D557" s="36"/>
      <c r="E557" s="36"/>
      <c r="F557" s="4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4"/>
      <c r="U557" s="34"/>
    </row>
    <row r="558" spans="3:21" x14ac:dyDescent="0.2">
      <c r="C558" s="36"/>
      <c r="D558" s="36"/>
      <c r="E558" s="36"/>
      <c r="F558" s="4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4"/>
      <c r="U558" s="34"/>
    </row>
    <row r="559" spans="3:21" x14ac:dyDescent="0.2">
      <c r="C559" s="36"/>
      <c r="D559" s="36"/>
      <c r="E559" s="36"/>
      <c r="F559" s="4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4"/>
      <c r="U559" s="34"/>
    </row>
    <row r="560" spans="3:21" x14ac:dyDescent="0.2">
      <c r="C560" s="36"/>
      <c r="D560" s="36"/>
      <c r="E560" s="36"/>
      <c r="F560" s="4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4"/>
      <c r="U560" s="34"/>
    </row>
    <row r="561" spans="3:21" x14ac:dyDescent="0.2">
      <c r="C561" s="36"/>
      <c r="D561" s="36"/>
      <c r="E561" s="36"/>
      <c r="F561" s="4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4"/>
      <c r="U561" s="34"/>
    </row>
    <row r="562" spans="3:21" x14ac:dyDescent="0.2">
      <c r="C562" s="36"/>
      <c r="D562" s="36"/>
      <c r="E562" s="36"/>
      <c r="F562" s="4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4"/>
      <c r="U562" s="34"/>
    </row>
    <row r="563" spans="3:21" x14ac:dyDescent="0.2">
      <c r="C563" s="36"/>
      <c r="D563" s="36"/>
      <c r="E563" s="36"/>
      <c r="F563" s="4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4"/>
      <c r="U563" s="34"/>
    </row>
    <row r="564" spans="3:21" x14ac:dyDescent="0.2">
      <c r="C564" s="36"/>
      <c r="D564" s="36"/>
      <c r="E564" s="36"/>
      <c r="F564" s="4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4"/>
      <c r="U564" s="34"/>
    </row>
    <row r="565" spans="3:21" x14ac:dyDescent="0.2">
      <c r="C565" s="36"/>
      <c r="D565" s="36"/>
      <c r="E565" s="36"/>
      <c r="F565" s="4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4"/>
      <c r="U565" s="34"/>
    </row>
    <row r="566" spans="3:21" x14ac:dyDescent="0.2">
      <c r="C566" s="36"/>
      <c r="D566" s="36"/>
      <c r="E566" s="36"/>
      <c r="F566" s="4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4"/>
      <c r="U566" s="34"/>
    </row>
    <row r="567" spans="3:21" x14ac:dyDescent="0.2">
      <c r="C567" s="36"/>
      <c r="D567" s="36"/>
      <c r="E567" s="36"/>
      <c r="F567" s="4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4"/>
      <c r="U567" s="34"/>
    </row>
    <row r="568" spans="3:21" x14ac:dyDescent="0.2">
      <c r="C568" s="36"/>
      <c r="D568" s="36"/>
      <c r="E568" s="36"/>
      <c r="F568" s="4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4"/>
      <c r="U568" s="34"/>
    </row>
    <row r="569" spans="3:21" x14ac:dyDescent="0.2">
      <c r="C569" s="36"/>
      <c r="D569" s="36"/>
      <c r="E569" s="36"/>
      <c r="F569" s="4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4"/>
      <c r="U569" s="34"/>
    </row>
    <row r="570" spans="3:21" x14ac:dyDescent="0.2">
      <c r="C570" s="36"/>
      <c r="D570" s="36"/>
      <c r="E570" s="36"/>
      <c r="F570" s="4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4"/>
      <c r="U570" s="34"/>
    </row>
    <row r="571" spans="3:21" x14ac:dyDescent="0.2">
      <c r="C571" s="36"/>
      <c r="D571" s="36"/>
      <c r="E571" s="36"/>
      <c r="F571" s="4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4"/>
      <c r="U571" s="34"/>
    </row>
    <row r="572" spans="3:21" x14ac:dyDescent="0.2">
      <c r="C572" s="36"/>
      <c r="D572" s="36"/>
      <c r="E572" s="36"/>
      <c r="F572" s="4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4"/>
      <c r="U572" s="34"/>
    </row>
    <row r="573" spans="3:21" x14ac:dyDescent="0.2">
      <c r="C573" s="36"/>
      <c r="D573" s="36"/>
      <c r="E573" s="36"/>
      <c r="F573" s="4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4"/>
      <c r="U573" s="34"/>
    </row>
    <row r="574" spans="3:21" x14ac:dyDescent="0.2">
      <c r="C574" s="36"/>
      <c r="D574" s="36"/>
      <c r="E574" s="36"/>
      <c r="F574" s="4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4"/>
      <c r="U574" s="34"/>
    </row>
    <row r="575" spans="3:21" x14ac:dyDescent="0.2">
      <c r="C575" s="36"/>
      <c r="D575" s="36"/>
      <c r="E575" s="36"/>
      <c r="F575" s="4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4"/>
      <c r="U575" s="34"/>
    </row>
    <row r="576" spans="3:21" x14ac:dyDescent="0.2">
      <c r="C576" s="36"/>
      <c r="D576" s="36"/>
      <c r="E576" s="36"/>
      <c r="F576" s="4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4"/>
      <c r="U576" s="34"/>
    </row>
    <row r="577" spans="3:21" x14ac:dyDescent="0.2">
      <c r="C577" s="36"/>
      <c r="D577" s="36"/>
      <c r="E577" s="36"/>
      <c r="F577" s="4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4"/>
      <c r="U577" s="34"/>
    </row>
    <row r="578" spans="3:21" x14ac:dyDescent="0.2">
      <c r="C578" s="36"/>
      <c r="D578" s="36"/>
      <c r="E578" s="36"/>
      <c r="F578" s="4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4"/>
      <c r="U578" s="34"/>
    </row>
    <row r="579" spans="3:21" x14ac:dyDescent="0.2">
      <c r="C579" s="36"/>
      <c r="D579" s="36"/>
      <c r="E579" s="36"/>
      <c r="F579" s="4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4"/>
      <c r="U579" s="34"/>
    </row>
    <row r="580" spans="3:21" x14ac:dyDescent="0.2">
      <c r="C580" s="36"/>
      <c r="D580" s="36"/>
      <c r="E580" s="36"/>
      <c r="F580" s="4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4"/>
      <c r="U580" s="34"/>
    </row>
    <row r="581" spans="3:21" x14ac:dyDescent="0.2">
      <c r="C581" s="36"/>
      <c r="D581" s="36"/>
      <c r="E581" s="36"/>
      <c r="F581" s="4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4"/>
      <c r="U581" s="34"/>
    </row>
    <row r="582" spans="3:21" x14ac:dyDescent="0.2">
      <c r="C582" s="36"/>
      <c r="D582" s="36"/>
      <c r="E582" s="36"/>
      <c r="F582" s="4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4"/>
      <c r="U582" s="34"/>
    </row>
    <row r="583" spans="3:21" x14ac:dyDescent="0.2">
      <c r="C583" s="36"/>
      <c r="D583" s="36"/>
      <c r="E583" s="36"/>
      <c r="F583" s="4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4"/>
      <c r="U583" s="34"/>
    </row>
    <row r="584" spans="3:21" x14ac:dyDescent="0.2">
      <c r="C584" s="36"/>
      <c r="D584" s="36"/>
      <c r="E584" s="36"/>
      <c r="F584" s="4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4"/>
      <c r="U584" s="34"/>
    </row>
    <row r="585" spans="3:21" x14ac:dyDescent="0.2">
      <c r="C585" s="36"/>
      <c r="D585" s="36"/>
      <c r="E585" s="36"/>
      <c r="F585" s="4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4"/>
      <c r="U585" s="34"/>
    </row>
    <row r="586" spans="3:21" x14ac:dyDescent="0.2">
      <c r="C586" s="36"/>
      <c r="D586" s="36"/>
      <c r="E586" s="36"/>
      <c r="F586" s="4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4"/>
      <c r="U586" s="34"/>
    </row>
    <row r="587" spans="3:21" x14ac:dyDescent="0.2">
      <c r="C587" s="36"/>
      <c r="D587" s="36"/>
      <c r="E587" s="36"/>
      <c r="F587" s="4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4"/>
      <c r="U587" s="34"/>
    </row>
    <row r="588" spans="3:21" x14ac:dyDescent="0.2">
      <c r="C588" s="36"/>
      <c r="D588" s="36"/>
      <c r="E588" s="36"/>
      <c r="F588" s="4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4"/>
      <c r="U588" s="34"/>
    </row>
    <row r="589" spans="3:21" x14ac:dyDescent="0.2">
      <c r="C589" s="36"/>
      <c r="D589" s="36"/>
      <c r="E589" s="36"/>
      <c r="F589" s="4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4"/>
      <c r="U589" s="34"/>
    </row>
    <row r="590" spans="3:21" x14ac:dyDescent="0.2">
      <c r="C590" s="36"/>
      <c r="D590" s="36"/>
      <c r="E590" s="36"/>
      <c r="F590" s="4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4"/>
      <c r="U590" s="34"/>
    </row>
    <row r="591" spans="3:21" x14ac:dyDescent="0.2">
      <c r="C591" s="36"/>
      <c r="D591" s="36"/>
      <c r="E591" s="36"/>
      <c r="F591" s="4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4"/>
      <c r="U591" s="34"/>
    </row>
    <row r="592" spans="3:21" x14ac:dyDescent="0.2">
      <c r="C592" s="36"/>
      <c r="D592" s="36"/>
      <c r="E592" s="36"/>
      <c r="F592" s="4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4"/>
      <c r="U592" s="34"/>
    </row>
    <row r="593" spans="3:21" x14ac:dyDescent="0.2">
      <c r="C593" s="36"/>
      <c r="D593" s="36"/>
      <c r="E593" s="36"/>
      <c r="F593" s="4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4"/>
      <c r="U593" s="34"/>
    </row>
    <row r="594" spans="3:21" x14ac:dyDescent="0.2">
      <c r="C594" s="36"/>
      <c r="D594" s="36"/>
      <c r="E594" s="36"/>
      <c r="F594" s="4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4"/>
      <c r="U594" s="34"/>
    </row>
    <row r="595" spans="3:21" x14ac:dyDescent="0.2">
      <c r="C595" s="36"/>
      <c r="D595" s="36"/>
      <c r="E595" s="36"/>
      <c r="F595" s="4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4"/>
      <c r="U595" s="34"/>
    </row>
    <row r="596" spans="3:21" x14ac:dyDescent="0.2">
      <c r="C596" s="36"/>
      <c r="D596" s="36"/>
      <c r="E596" s="36"/>
      <c r="F596" s="4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4"/>
      <c r="U596" s="34"/>
    </row>
    <row r="597" spans="3:21" x14ac:dyDescent="0.2">
      <c r="C597" s="36"/>
      <c r="D597" s="36"/>
      <c r="E597" s="36"/>
      <c r="F597" s="4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4"/>
      <c r="U597" s="34"/>
    </row>
    <row r="598" spans="3:21" x14ac:dyDescent="0.2">
      <c r="C598" s="36"/>
      <c r="D598" s="36"/>
      <c r="E598" s="36"/>
      <c r="F598" s="4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4"/>
      <c r="U598" s="34"/>
    </row>
    <row r="599" spans="3:21" x14ac:dyDescent="0.2">
      <c r="C599" s="36"/>
      <c r="D599" s="36"/>
      <c r="E599" s="36"/>
      <c r="F599" s="4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4"/>
      <c r="U599" s="34"/>
    </row>
    <row r="600" spans="3:21" x14ac:dyDescent="0.2">
      <c r="C600" s="36"/>
      <c r="D600" s="36"/>
      <c r="E600" s="36"/>
      <c r="F600" s="4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4"/>
      <c r="U600" s="34"/>
    </row>
    <row r="601" spans="3:21" x14ac:dyDescent="0.2">
      <c r="C601" s="36"/>
      <c r="D601" s="36"/>
      <c r="E601" s="36"/>
      <c r="F601" s="4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4"/>
      <c r="U601" s="34"/>
    </row>
    <row r="602" spans="3:21" x14ac:dyDescent="0.2">
      <c r="C602" s="36"/>
      <c r="D602" s="36"/>
      <c r="E602" s="36"/>
      <c r="F602" s="4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4"/>
      <c r="U602" s="34"/>
    </row>
    <row r="603" spans="3:21" x14ac:dyDescent="0.2">
      <c r="C603" s="36"/>
      <c r="D603" s="36"/>
      <c r="E603" s="36"/>
      <c r="F603" s="4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4"/>
      <c r="U603" s="34"/>
    </row>
    <row r="604" spans="3:21" x14ac:dyDescent="0.2">
      <c r="C604" s="36"/>
      <c r="D604" s="36"/>
      <c r="E604" s="36"/>
      <c r="F604" s="4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4"/>
      <c r="U604" s="34"/>
    </row>
    <row r="605" spans="3:21" x14ac:dyDescent="0.2">
      <c r="C605" s="36"/>
      <c r="D605" s="36"/>
      <c r="E605" s="36"/>
      <c r="F605" s="4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4"/>
      <c r="U605" s="34"/>
    </row>
    <row r="606" spans="3:21" x14ac:dyDescent="0.2">
      <c r="C606" s="36"/>
      <c r="D606" s="36"/>
      <c r="E606" s="36"/>
      <c r="F606" s="4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4"/>
      <c r="U606" s="34"/>
    </row>
    <row r="607" spans="3:21" x14ac:dyDescent="0.2">
      <c r="C607" s="36"/>
      <c r="D607" s="36"/>
      <c r="E607" s="36"/>
      <c r="F607" s="4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4"/>
      <c r="U607" s="34"/>
    </row>
    <row r="608" spans="3:21" x14ac:dyDescent="0.2">
      <c r="C608" s="36"/>
      <c r="D608" s="36"/>
      <c r="E608" s="36"/>
      <c r="F608" s="4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4"/>
      <c r="U608" s="34"/>
    </row>
    <row r="609" spans="3:21" x14ac:dyDescent="0.2">
      <c r="C609" s="36"/>
      <c r="D609" s="36"/>
      <c r="E609" s="36"/>
      <c r="F609" s="4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4"/>
      <c r="U609" s="34"/>
    </row>
    <row r="610" spans="3:21" x14ac:dyDescent="0.2">
      <c r="C610" s="36"/>
      <c r="D610" s="36"/>
      <c r="E610" s="36"/>
      <c r="F610" s="4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4"/>
      <c r="U610" s="34"/>
    </row>
    <row r="611" spans="3:21" x14ac:dyDescent="0.2">
      <c r="C611" s="36"/>
      <c r="D611" s="36"/>
      <c r="E611" s="36"/>
      <c r="F611" s="4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4"/>
      <c r="U611" s="34"/>
    </row>
    <row r="612" spans="3:21" x14ac:dyDescent="0.2">
      <c r="C612" s="36"/>
      <c r="D612" s="36"/>
      <c r="E612" s="36"/>
      <c r="F612" s="4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4"/>
      <c r="U612" s="34"/>
    </row>
    <row r="613" spans="3:21" x14ac:dyDescent="0.2">
      <c r="C613" s="36"/>
      <c r="D613" s="36"/>
      <c r="E613" s="36"/>
      <c r="F613" s="4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4"/>
      <c r="U613" s="34"/>
    </row>
    <row r="614" spans="3:21" x14ac:dyDescent="0.2">
      <c r="C614" s="36"/>
      <c r="D614" s="36"/>
      <c r="E614" s="36"/>
      <c r="F614" s="4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4"/>
      <c r="U614" s="34"/>
    </row>
    <row r="615" spans="3:21" x14ac:dyDescent="0.2">
      <c r="C615" s="36"/>
      <c r="D615" s="36"/>
      <c r="E615" s="36"/>
      <c r="F615" s="4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4"/>
      <c r="U615" s="34"/>
    </row>
    <row r="616" spans="3:21" x14ac:dyDescent="0.2">
      <c r="C616" s="36"/>
      <c r="D616" s="36"/>
      <c r="E616" s="36"/>
      <c r="F616" s="4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4"/>
      <c r="U616" s="34"/>
    </row>
    <row r="617" spans="3:21" x14ac:dyDescent="0.2">
      <c r="C617" s="36"/>
      <c r="D617" s="36"/>
      <c r="E617" s="36"/>
      <c r="F617" s="4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4"/>
      <c r="U617" s="34"/>
    </row>
    <row r="618" spans="3:21" x14ac:dyDescent="0.2">
      <c r="C618" s="36"/>
      <c r="D618" s="36"/>
      <c r="E618" s="36"/>
      <c r="F618" s="4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4"/>
      <c r="U618" s="34"/>
    </row>
    <row r="619" spans="3:21" x14ac:dyDescent="0.2">
      <c r="C619" s="36"/>
      <c r="D619" s="36"/>
      <c r="E619" s="36"/>
      <c r="F619" s="4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4"/>
      <c r="U619" s="34"/>
    </row>
    <row r="620" spans="3:21" x14ac:dyDescent="0.2">
      <c r="C620" s="36"/>
      <c r="D620" s="36"/>
      <c r="E620" s="36"/>
      <c r="F620" s="4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4"/>
      <c r="U620" s="34"/>
    </row>
    <row r="621" spans="3:21" x14ac:dyDescent="0.2">
      <c r="C621" s="36"/>
      <c r="D621" s="36"/>
      <c r="E621" s="36"/>
      <c r="F621" s="4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4"/>
      <c r="U621" s="34"/>
    </row>
    <row r="622" spans="3:21" x14ac:dyDescent="0.2">
      <c r="C622" s="36"/>
      <c r="D622" s="36"/>
      <c r="E622" s="36"/>
      <c r="F622" s="4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4"/>
      <c r="U622" s="34"/>
    </row>
    <row r="623" spans="3:21" x14ac:dyDescent="0.2">
      <c r="C623" s="36"/>
      <c r="D623" s="36"/>
      <c r="E623" s="36"/>
      <c r="F623" s="4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4"/>
      <c r="U623" s="34"/>
    </row>
    <row r="624" spans="3:21" x14ac:dyDescent="0.2">
      <c r="C624" s="36"/>
      <c r="D624" s="36"/>
      <c r="E624" s="36"/>
      <c r="F624" s="4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4"/>
      <c r="U624" s="34"/>
    </row>
    <row r="625" spans="3:21" x14ac:dyDescent="0.2">
      <c r="C625" s="36"/>
      <c r="D625" s="36"/>
      <c r="E625" s="36"/>
      <c r="F625" s="4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4"/>
      <c r="U625" s="34"/>
    </row>
    <row r="626" spans="3:21" x14ac:dyDescent="0.2">
      <c r="C626" s="36"/>
      <c r="D626" s="36"/>
      <c r="E626" s="36"/>
      <c r="F626" s="4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4"/>
      <c r="U626" s="34"/>
    </row>
    <row r="627" spans="3:21" x14ac:dyDescent="0.2">
      <c r="C627" s="36"/>
      <c r="D627" s="36"/>
      <c r="E627" s="36"/>
      <c r="F627" s="4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4"/>
      <c r="U627" s="34"/>
    </row>
    <row r="628" spans="3:21" x14ac:dyDescent="0.2">
      <c r="C628" s="36"/>
      <c r="D628" s="36"/>
      <c r="E628" s="36"/>
      <c r="F628" s="4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4"/>
      <c r="U628" s="34"/>
    </row>
    <row r="629" spans="3:21" x14ac:dyDescent="0.2">
      <c r="C629" s="36"/>
      <c r="D629" s="36"/>
      <c r="E629" s="36"/>
      <c r="F629" s="4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4"/>
      <c r="U629" s="34"/>
    </row>
    <row r="630" spans="3:21" x14ac:dyDescent="0.2">
      <c r="C630" s="36"/>
      <c r="D630" s="36"/>
      <c r="E630" s="36"/>
      <c r="F630" s="4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4"/>
      <c r="U630" s="34"/>
    </row>
    <row r="631" spans="3:21" x14ac:dyDescent="0.2">
      <c r="C631" s="36"/>
      <c r="D631" s="36"/>
      <c r="E631" s="36"/>
      <c r="F631" s="4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4"/>
      <c r="U631" s="34"/>
    </row>
    <row r="632" spans="3:21" x14ac:dyDescent="0.2">
      <c r="C632" s="36"/>
      <c r="D632" s="36"/>
      <c r="E632" s="36"/>
      <c r="F632" s="4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4"/>
      <c r="U632" s="34"/>
    </row>
    <row r="633" spans="3:21" x14ac:dyDescent="0.2">
      <c r="C633" s="36"/>
      <c r="D633" s="36"/>
      <c r="E633" s="36"/>
      <c r="F633" s="4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4"/>
      <c r="U633" s="34"/>
    </row>
    <row r="634" spans="3:21" x14ac:dyDescent="0.2">
      <c r="C634" s="36"/>
      <c r="D634" s="36"/>
      <c r="E634" s="36"/>
      <c r="F634" s="4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4"/>
      <c r="U634" s="34"/>
    </row>
    <row r="635" spans="3:21" x14ac:dyDescent="0.2">
      <c r="C635" s="36"/>
      <c r="D635" s="36"/>
      <c r="E635" s="36"/>
      <c r="F635" s="4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4"/>
      <c r="U635" s="34"/>
    </row>
    <row r="636" spans="3:21" x14ac:dyDescent="0.2">
      <c r="C636" s="36"/>
      <c r="D636" s="36"/>
      <c r="E636" s="36"/>
      <c r="F636" s="4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4"/>
      <c r="U636" s="34"/>
    </row>
    <row r="637" spans="3:21" x14ac:dyDescent="0.2">
      <c r="C637" s="36"/>
      <c r="D637" s="36"/>
      <c r="E637" s="36"/>
      <c r="F637" s="4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4"/>
      <c r="U637" s="34"/>
    </row>
    <row r="638" spans="3:21" x14ac:dyDescent="0.2">
      <c r="C638" s="36"/>
      <c r="D638" s="36"/>
      <c r="E638" s="36"/>
      <c r="F638" s="4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4"/>
      <c r="U638" s="34"/>
    </row>
    <row r="639" spans="3:21" x14ac:dyDescent="0.2">
      <c r="C639" s="36"/>
      <c r="D639" s="36"/>
      <c r="E639" s="36"/>
      <c r="F639" s="4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4"/>
      <c r="U639" s="34"/>
    </row>
    <row r="640" spans="3:21" x14ac:dyDescent="0.2">
      <c r="C640" s="36"/>
      <c r="D640" s="36"/>
      <c r="E640" s="36"/>
      <c r="F640" s="4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4"/>
      <c r="U640" s="34"/>
    </row>
    <row r="641" spans="3:21" x14ac:dyDescent="0.2">
      <c r="C641" s="36"/>
      <c r="D641" s="36"/>
      <c r="E641" s="36"/>
      <c r="F641" s="4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4"/>
      <c r="U641" s="34"/>
    </row>
    <row r="642" spans="3:21" x14ac:dyDescent="0.2">
      <c r="C642" s="36"/>
      <c r="D642" s="36"/>
      <c r="E642" s="36"/>
      <c r="F642" s="4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4"/>
      <c r="U642" s="34"/>
    </row>
    <row r="643" spans="3:21" x14ac:dyDescent="0.2">
      <c r="C643" s="36"/>
      <c r="D643" s="36"/>
      <c r="E643" s="36"/>
      <c r="F643" s="4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4"/>
      <c r="U643" s="34"/>
    </row>
    <row r="644" spans="3:21" x14ac:dyDescent="0.2">
      <c r="C644" s="36"/>
      <c r="D644" s="36"/>
      <c r="E644" s="36"/>
      <c r="F644" s="4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4"/>
      <c r="U644" s="34"/>
    </row>
    <row r="645" spans="3:21" x14ac:dyDescent="0.2">
      <c r="C645" s="36"/>
      <c r="D645" s="36"/>
      <c r="E645" s="36"/>
      <c r="F645" s="4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4"/>
      <c r="U645" s="34"/>
    </row>
    <row r="646" spans="3:21" x14ac:dyDescent="0.2">
      <c r="C646" s="36"/>
      <c r="D646" s="36"/>
      <c r="E646" s="36"/>
      <c r="F646" s="4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4"/>
      <c r="U646" s="34"/>
    </row>
    <row r="647" spans="3:21" x14ac:dyDescent="0.2">
      <c r="C647" s="36"/>
      <c r="D647" s="36"/>
      <c r="E647" s="36"/>
      <c r="F647" s="4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4"/>
      <c r="U647" s="34"/>
    </row>
    <row r="648" spans="3:21" x14ac:dyDescent="0.2">
      <c r="C648" s="36"/>
      <c r="D648" s="36"/>
      <c r="E648" s="36"/>
      <c r="F648" s="4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4"/>
      <c r="U648" s="34"/>
    </row>
    <row r="649" spans="3:21" x14ac:dyDescent="0.2">
      <c r="C649" s="36"/>
      <c r="D649" s="36"/>
      <c r="E649" s="36"/>
      <c r="F649" s="4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4"/>
      <c r="U649" s="34"/>
    </row>
    <row r="650" spans="3:21" x14ac:dyDescent="0.2">
      <c r="C650" s="36"/>
      <c r="D650" s="36"/>
      <c r="E650" s="36"/>
      <c r="F650" s="4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4"/>
      <c r="U650" s="34"/>
    </row>
    <row r="651" spans="3:21" x14ac:dyDescent="0.2">
      <c r="C651" s="36"/>
      <c r="D651" s="36"/>
      <c r="E651" s="36"/>
      <c r="F651" s="4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4"/>
      <c r="U651" s="34"/>
    </row>
    <row r="652" spans="3:21" x14ac:dyDescent="0.2">
      <c r="C652" s="36"/>
      <c r="D652" s="36"/>
      <c r="E652" s="36"/>
      <c r="F652" s="4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4"/>
      <c r="U652" s="34"/>
    </row>
    <row r="653" spans="3:21" x14ac:dyDescent="0.2">
      <c r="C653" s="36"/>
      <c r="D653" s="36"/>
      <c r="E653" s="36"/>
      <c r="F653" s="4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4"/>
      <c r="U653" s="34"/>
    </row>
    <row r="654" spans="3:21" x14ac:dyDescent="0.2">
      <c r="C654" s="36"/>
      <c r="D654" s="36"/>
      <c r="E654" s="36"/>
      <c r="F654" s="4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4"/>
      <c r="U654" s="34"/>
    </row>
    <row r="655" spans="3:21" x14ac:dyDescent="0.2">
      <c r="C655" s="36"/>
      <c r="D655" s="36"/>
      <c r="E655" s="36"/>
      <c r="F655" s="4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4"/>
      <c r="U655" s="34"/>
    </row>
    <row r="656" spans="3:21" x14ac:dyDescent="0.2">
      <c r="C656" s="36"/>
      <c r="D656" s="36"/>
      <c r="E656" s="36"/>
      <c r="F656" s="4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4"/>
      <c r="U656" s="34"/>
    </row>
    <row r="657" spans="3:21" x14ac:dyDescent="0.2">
      <c r="C657" s="36"/>
      <c r="D657" s="36"/>
      <c r="E657" s="36"/>
      <c r="F657" s="4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4"/>
      <c r="U657" s="34"/>
    </row>
    <row r="658" spans="3:21" x14ac:dyDescent="0.2">
      <c r="C658" s="36"/>
      <c r="D658" s="36"/>
      <c r="E658" s="36"/>
      <c r="F658" s="4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4"/>
      <c r="U658" s="34"/>
    </row>
    <row r="659" spans="3:21" x14ac:dyDescent="0.2">
      <c r="C659" s="36"/>
      <c r="D659" s="36"/>
      <c r="E659" s="36"/>
      <c r="F659" s="4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4"/>
      <c r="U659" s="34"/>
    </row>
    <row r="660" spans="3:21" x14ac:dyDescent="0.2">
      <c r="C660" s="36"/>
      <c r="D660" s="36"/>
      <c r="E660" s="36"/>
      <c r="F660" s="4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4"/>
      <c r="U660" s="34"/>
    </row>
    <row r="661" spans="3:21" x14ac:dyDescent="0.2">
      <c r="C661" s="36"/>
      <c r="D661" s="36"/>
      <c r="E661" s="36"/>
      <c r="F661" s="4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4"/>
      <c r="U661" s="34"/>
    </row>
    <row r="662" spans="3:21" x14ac:dyDescent="0.2">
      <c r="C662" s="36"/>
      <c r="D662" s="36"/>
      <c r="E662" s="36"/>
      <c r="F662" s="4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4"/>
      <c r="U662" s="34"/>
    </row>
    <row r="663" spans="3:21" x14ac:dyDescent="0.2">
      <c r="C663" s="36"/>
      <c r="D663" s="36"/>
      <c r="E663" s="36"/>
      <c r="F663" s="4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4"/>
      <c r="U663" s="34"/>
    </row>
    <row r="664" spans="3:21" x14ac:dyDescent="0.2">
      <c r="C664" s="36"/>
      <c r="D664" s="36"/>
      <c r="E664" s="36"/>
      <c r="F664" s="4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4"/>
      <c r="U664" s="34"/>
    </row>
    <row r="665" spans="3:21" x14ac:dyDescent="0.2">
      <c r="C665" s="36"/>
      <c r="D665" s="36"/>
      <c r="E665" s="36"/>
      <c r="F665" s="4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4"/>
      <c r="U665" s="34"/>
    </row>
    <row r="666" spans="3:21" x14ac:dyDescent="0.2">
      <c r="C666" s="36"/>
      <c r="D666" s="36"/>
      <c r="E666" s="36"/>
      <c r="F666" s="4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4"/>
      <c r="U666" s="34"/>
    </row>
    <row r="667" spans="3:21" x14ac:dyDescent="0.2">
      <c r="C667" s="36"/>
      <c r="D667" s="36"/>
      <c r="E667" s="36"/>
      <c r="F667" s="4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4"/>
      <c r="U667" s="34"/>
    </row>
    <row r="668" spans="3:21" x14ac:dyDescent="0.2">
      <c r="C668" s="36"/>
      <c r="D668" s="36"/>
      <c r="E668" s="36"/>
      <c r="F668" s="4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4"/>
      <c r="U668" s="34"/>
    </row>
    <row r="669" spans="3:21" x14ac:dyDescent="0.2">
      <c r="C669" s="36"/>
      <c r="D669" s="36"/>
      <c r="E669" s="36"/>
      <c r="F669" s="4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4"/>
      <c r="U669" s="34"/>
    </row>
    <row r="670" spans="3:21" x14ac:dyDescent="0.2">
      <c r="C670" s="36"/>
      <c r="D670" s="36"/>
      <c r="E670" s="36"/>
      <c r="F670" s="4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4"/>
      <c r="U670" s="34"/>
    </row>
    <row r="671" spans="3:21" x14ac:dyDescent="0.2">
      <c r="C671" s="36"/>
      <c r="D671" s="36"/>
      <c r="E671" s="36"/>
      <c r="F671" s="4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4"/>
      <c r="U671" s="34"/>
    </row>
    <row r="672" spans="3:21" x14ac:dyDescent="0.2">
      <c r="C672" s="36"/>
      <c r="D672" s="36"/>
      <c r="E672" s="36"/>
      <c r="F672" s="4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4"/>
      <c r="U672" s="34"/>
    </row>
    <row r="673" spans="3:21" x14ac:dyDescent="0.2">
      <c r="C673" s="36"/>
      <c r="D673" s="36"/>
      <c r="E673" s="36"/>
      <c r="F673" s="4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4"/>
      <c r="U673" s="34"/>
    </row>
    <row r="674" spans="3:21" x14ac:dyDescent="0.2">
      <c r="C674" s="36"/>
      <c r="D674" s="36"/>
      <c r="E674" s="36"/>
      <c r="F674" s="4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4"/>
      <c r="U674" s="34"/>
    </row>
    <row r="675" spans="3:21" x14ac:dyDescent="0.2">
      <c r="C675" s="36"/>
      <c r="D675" s="36"/>
      <c r="E675" s="36"/>
      <c r="F675" s="4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4"/>
      <c r="U675" s="34"/>
    </row>
    <row r="676" spans="3:21" x14ac:dyDescent="0.2">
      <c r="C676" s="36"/>
      <c r="D676" s="36"/>
      <c r="E676" s="36"/>
      <c r="F676" s="4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4"/>
      <c r="U676" s="34"/>
    </row>
    <row r="677" spans="3:21" x14ac:dyDescent="0.2">
      <c r="C677" s="36"/>
      <c r="D677" s="36"/>
      <c r="E677" s="36"/>
      <c r="F677" s="4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4"/>
      <c r="U677" s="34"/>
    </row>
    <row r="678" spans="3:21" x14ac:dyDescent="0.2">
      <c r="C678" s="36"/>
      <c r="D678" s="36"/>
      <c r="E678" s="36"/>
      <c r="F678" s="4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4"/>
      <c r="U678" s="34"/>
    </row>
    <row r="679" spans="3:21" x14ac:dyDescent="0.2">
      <c r="C679" s="36"/>
      <c r="D679" s="36"/>
      <c r="E679" s="36"/>
      <c r="F679" s="4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4"/>
      <c r="U679" s="34"/>
    </row>
    <row r="680" spans="3:21" x14ac:dyDescent="0.2">
      <c r="C680" s="36"/>
      <c r="D680" s="36"/>
      <c r="E680" s="36"/>
      <c r="F680" s="4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4"/>
      <c r="U680" s="34"/>
    </row>
    <row r="681" spans="3:21" x14ac:dyDescent="0.2">
      <c r="C681" s="36"/>
      <c r="D681" s="36"/>
      <c r="E681" s="36"/>
      <c r="F681" s="4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4"/>
      <c r="U681" s="34"/>
    </row>
    <row r="682" spans="3:21" x14ac:dyDescent="0.2">
      <c r="C682" s="36"/>
      <c r="D682" s="36"/>
      <c r="E682" s="36"/>
      <c r="F682" s="4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4"/>
      <c r="U682" s="34"/>
    </row>
    <row r="683" spans="3:21" x14ac:dyDescent="0.2">
      <c r="C683" s="36"/>
      <c r="D683" s="36"/>
      <c r="E683" s="36"/>
      <c r="F683" s="4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4"/>
      <c r="U683" s="34"/>
    </row>
    <row r="684" spans="3:21" x14ac:dyDescent="0.2">
      <c r="C684" s="36"/>
      <c r="D684" s="36"/>
      <c r="E684" s="36"/>
      <c r="F684" s="4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4"/>
      <c r="U684" s="34"/>
    </row>
    <row r="685" spans="3:21" x14ac:dyDescent="0.2">
      <c r="C685" s="36"/>
      <c r="D685" s="36"/>
      <c r="E685" s="36"/>
      <c r="F685" s="4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4"/>
      <c r="U685" s="34"/>
    </row>
    <row r="686" spans="3:21" x14ac:dyDescent="0.2">
      <c r="C686" s="36"/>
      <c r="D686" s="36"/>
      <c r="E686" s="36"/>
      <c r="F686" s="4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4"/>
      <c r="U686" s="34"/>
    </row>
    <row r="687" spans="3:21" x14ac:dyDescent="0.2">
      <c r="C687" s="36"/>
      <c r="D687" s="36"/>
      <c r="E687" s="36"/>
      <c r="F687" s="4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4"/>
      <c r="U687" s="34"/>
    </row>
    <row r="688" spans="3:21" x14ac:dyDescent="0.2">
      <c r="C688" s="36"/>
      <c r="D688" s="36"/>
      <c r="E688" s="36"/>
      <c r="F688" s="4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4"/>
      <c r="U688" s="34"/>
    </row>
    <row r="689" spans="3:21" x14ac:dyDescent="0.2">
      <c r="C689" s="36"/>
      <c r="D689" s="36"/>
      <c r="E689" s="36"/>
      <c r="F689" s="4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4"/>
      <c r="U689" s="34"/>
    </row>
    <row r="690" spans="3:21" x14ac:dyDescent="0.2">
      <c r="C690" s="36"/>
      <c r="D690" s="36"/>
      <c r="E690" s="36"/>
      <c r="F690" s="4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4"/>
      <c r="U690" s="34"/>
    </row>
    <row r="691" spans="3:21" x14ac:dyDescent="0.2">
      <c r="C691" s="36"/>
      <c r="D691" s="36"/>
      <c r="E691" s="36"/>
      <c r="F691" s="4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4"/>
      <c r="U691" s="34"/>
    </row>
    <row r="692" spans="3:21" x14ac:dyDescent="0.2">
      <c r="C692" s="36"/>
      <c r="D692" s="36"/>
      <c r="E692" s="36"/>
      <c r="F692" s="4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4"/>
      <c r="U692" s="34"/>
    </row>
    <row r="693" spans="3:21" x14ac:dyDescent="0.2">
      <c r="C693" s="36"/>
      <c r="D693" s="36"/>
      <c r="E693" s="36"/>
      <c r="F693" s="4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4"/>
      <c r="U693" s="34"/>
    </row>
    <row r="694" spans="3:21" x14ac:dyDescent="0.2">
      <c r="C694" s="36"/>
      <c r="D694" s="36"/>
      <c r="E694" s="36"/>
      <c r="F694" s="4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4"/>
      <c r="U694" s="34"/>
    </row>
    <row r="695" spans="3:21" x14ac:dyDescent="0.2">
      <c r="C695" s="36"/>
      <c r="D695" s="36"/>
      <c r="E695" s="36"/>
      <c r="F695" s="4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4"/>
      <c r="U695" s="34"/>
    </row>
    <row r="696" spans="3:21" x14ac:dyDescent="0.2">
      <c r="C696" s="36"/>
      <c r="D696" s="36"/>
      <c r="E696" s="36"/>
      <c r="F696" s="4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4"/>
      <c r="U696" s="34"/>
    </row>
    <row r="697" spans="3:21" x14ac:dyDescent="0.2">
      <c r="C697" s="36"/>
      <c r="D697" s="36"/>
      <c r="E697" s="36"/>
      <c r="F697" s="4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4"/>
      <c r="U697" s="34"/>
    </row>
    <row r="698" spans="3:21" x14ac:dyDescent="0.2">
      <c r="C698" s="36"/>
      <c r="D698" s="36"/>
      <c r="E698" s="36"/>
      <c r="F698" s="4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4"/>
      <c r="U698" s="34"/>
    </row>
    <row r="699" spans="3:21" x14ac:dyDescent="0.2">
      <c r="C699" s="36"/>
      <c r="D699" s="36"/>
      <c r="E699" s="36"/>
      <c r="F699" s="4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4"/>
      <c r="U699" s="34"/>
    </row>
    <row r="700" spans="3:21" x14ac:dyDescent="0.2">
      <c r="C700" s="36"/>
      <c r="D700" s="36"/>
      <c r="E700" s="36"/>
      <c r="F700" s="4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4"/>
      <c r="U700" s="34"/>
    </row>
    <row r="701" spans="3:21" x14ac:dyDescent="0.2">
      <c r="C701" s="36"/>
      <c r="D701" s="36"/>
      <c r="E701" s="36"/>
      <c r="F701" s="4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4"/>
      <c r="U701" s="34"/>
    </row>
    <row r="702" spans="3:21" x14ac:dyDescent="0.2">
      <c r="C702" s="36"/>
      <c r="D702" s="36"/>
      <c r="E702" s="36"/>
      <c r="F702" s="4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4"/>
      <c r="U702" s="34"/>
    </row>
    <row r="703" spans="3:21" x14ac:dyDescent="0.2">
      <c r="C703" s="36"/>
      <c r="D703" s="36"/>
      <c r="E703" s="36"/>
      <c r="F703" s="4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4"/>
      <c r="U703" s="34"/>
    </row>
    <row r="704" spans="3:21" x14ac:dyDescent="0.2">
      <c r="C704" s="36"/>
      <c r="D704" s="36"/>
      <c r="E704" s="36"/>
      <c r="F704" s="4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4"/>
      <c r="U704" s="34"/>
    </row>
    <row r="705" spans="3:21" x14ac:dyDescent="0.2">
      <c r="C705" s="36"/>
      <c r="D705" s="36"/>
      <c r="E705" s="36"/>
      <c r="F705" s="4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4"/>
      <c r="U705" s="34"/>
    </row>
    <row r="706" spans="3:21" x14ac:dyDescent="0.2">
      <c r="C706" s="36"/>
      <c r="D706" s="36"/>
      <c r="E706" s="36"/>
      <c r="F706" s="4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4"/>
      <c r="U706" s="34"/>
    </row>
    <row r="707" spans="3:21" x14ac:dyDescent="0.2">
      <c r="C707" s="36"/>
      <c r="D707" s="36"/>
      <c r="E707" s="36"/>
      <c r="F707" s="4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4"/>
      <c r="U707" s="34"/>
    </row>
    <row r="708" spans="3:21" x14ac:dyDescent="0.2">
      <c r="C708" s="36"/>
      <c r="D708" s="36"/>
      <c r="E708" s="36"/>
      <c r="F708" s="4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4"/>
      <c r="U708" s="34"/>
    </row>
    <row r="709" spans="3:21" x14ac:dyDescent="0.2">
      <c r="C709" s="36"/>
      <c r="D709" s="36"/>
      <c r="E709" s="36"/>
      <c r="F709" s="4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4"/>
      <c r="U709" s="34"/>
    </row>
    <row r="710" spans="3:21" x14ac:dyDescent="0.2">
      <c r="C710" s="36"/>
      <c r="D710" s="36"/>
      <c r="E710" s="36"/>
      <c r="F710" s="4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4"/>
      <c r="U710" s="34"/>
    </row>
    <row r="711" spans="3:21" x14ac:dyDescent="0.2">
      <c r="C711" s="36"/>
      <c r="D711" s="36"/>
      <c r="E711" s="36"/>
      <c r="F711" s="4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4"/>
      <c r="U711" s="34"/>
    </row>
    <row r="712" spans="3:21" x14ac:dyDescent="0.2">
      <c r="C712" s="36"/>
      <c r="D712" s="36"/>
      <c r="E712" s="36"/>
      <c r="F712" s="4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4"/>
      <c r="U712" s="34"/>
    </row>
    <row r="713" spans="3:21" x14ac:dyDescent="0.2">
      <c r="C713" s="36"/>
      <c r="D713" s="36"/>
      <c r="E713" s="36"/>
      <c r="F713" s="4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4"/>
      <c r="U713" s="34"/>
    </row>
    <row r="714" spans="3:21" x14ac:dyDescent="0.2">
      <c r="C714" s="36"/>
      <c r="D714" s="36"/>
      <c r="E714" s="36"/>
      <c r="F714" s="4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4"/>
      <c r="U714" s="34"/>
    </row>
    <row r="715" spans="3:21" x14ac:dyDescent="0.2">
      <c r="C715" s="36"/>
      <c r="D715" s="36"/>
      <c r="E715" s="36"/>
      <c r="F715" s="4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4"/>
      <c r="U715" s="34"/>
    </row>
    <row r="716" spans="3:21" x14ac:dyDescent="0.2">
      <c r="C716" s="36"/>
      <c r="D716" s="36"/>
      <c r="E716" s="36"/>
      <c r="F716" s="4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4"/>
      <c r="U716" s="34"/>
    </row>
    <row r="717" spans="3:21" x14ac:dyDescent="0.2">
      <c r="C717" s="36"/>
      <c r="D717" s="36"/>
      <c r="E717" s="36"/>
      <c r="F717" s="4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4"/>
      <c r="U717" s="34"/>
    </row>
    <row r="718" spans="3:21" x14ac:dyDescent="0.2">
      <c r="C718" s="36"/>
      <c r="D718" s="36"/>
      <c r="E718" s="36"/>
      <c r="F718" s="4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4"/>
      <c r="U718" s="34"/>
    </row>
    <row r="719" spans="3:21" x14ac:dyDescent="0.2">
      <c r="C719" s="36"/>
      <c r="D719" s="36"/>
      <c r="E719" s="36"/>
      <c r="F719" s="4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4"/>
      <c r="U719" s="34"/>
    </row>
    <row r="720" spans="3:21" x14ac:dyDescent="0.2">
      <c r="C720" s="36"/>
      <c r="D720" s="36"/>
      <c r="E720" s="36"/>
      <c r="F720" s="4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4"/>
      <c r="U720" s="34"/>
    </row>
    <row r="721" spans="3:21" x14ac:dyDescent="0.2">
      <c r="C721" s="36"/>
      <c r="D721" s="36"/>
      <c r="E721" s="36"/>
      <c r="F721" s="4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4"/>
      <c r="U721" s="34"/>
    </row>
    <row r="722" spans="3:21" x14ac:dyDescent="0.2">
      <c r="C722" s="36"/>
      <c r="D722" s="36"/>
      <c r="E722" s="36"/>
      <c r="F722" s="4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4"/>
      <c r="U722" s="34"/>
    </row>
    <row r="723" spans="3:21" x14ac:dyDescent="0.2">
      <c r="C723" s="36"/>
      <c r="D723" s="36"/>
      <c r="E723" s="36"/>
      <c r="F723" s="4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4"/>
      <c r="U723" s="34"/>
    </row>
    <row r="724" spans="3:21" x14ac:dyDescent="0.2">
      <c r="C724" s="36"/>
      <c r="D724" s="36"/>
      <c r="E724" s="36"/>
      <c r="F724" s="4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4"/>
      <c r="U724" s="34"/>
    </row>
    <row r="725" spans="3:21" x14ac:dyDescent="0.2">
      <c r="C725" s="36"/>
      <c r="D725" s="36"/>
      <c r="E725" s="36"/>
      <c r="F725" s="4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4"/>
      <c r="U725" s="34"/>
    </row>
    <row r="726" spans="3:21" x14ac:dyDescent="0.2">
      <c r="C726" s="36"/>
      <c r="D726" s="36"/>
      <c r="E726" s="36"/>
      <c r="F726" s="4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4"/>
      <c r="U726" s="34"/>
    </row>
    <row r="727" spans="3:21" x14ac:dyDescent="0.2">
      <c r="C727" s="36"/>
      <c r="D727" s="36"/>
      <c r="E727" s="36"/>
      <c r="F727" s="4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4"/>
      <c r="U727" s="34"/>
    </row>
    <row r="728" spans="3:21" x14ac:dyDescent="0.2">
      <c r="C728" s="36"/>
      <c r="D728" s="36"/>
      <c r="E728" s="36"/>
      <c r="F728" s="4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4"/>
      <c r="U728" s="34"/>
    </row>
    <row r="729" spans="3:21" x14ac:dyDescent="0.2">
      <c r="C729" s="36"/>
      <c r="D729" s="36"/>
      <c r="E729" s="36"/>
      <c r="F729" s="4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4"/>
      <c r="U729" s="34"/>
    </row>
    <row r="730" spans="3:21" x14ac:dyDescent="0.2">
      <c r="C730" s="36"/>
      <c r="D730" s="36"/>
      <c r="E730" s="36"/>
      <c r="F730" s="4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4"/>
      <c r="U730" s="34"/>
    </row>
    <row r="731" spans="3:21" x14ac:dyDescent="0.2">
      <c r="C731" s="36"/>
      <c r="D731" s="36"/>
      <c r="E731" s="36"/>
      <c r="F731" s="4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4"/>
      <c r="U731" s="34"/>
    </row>
    <row r="732" spans="3:21" x14ac:dyDescent="0.2">
      <c r="C732" s="36"/>
      <c r="D732" s="36"/>
      <c r="E732" s="36"/>
      <c r="F732" s="4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4"/>
      <c r="U732" s="34"/>
    </row>
    <row r="733" spans="3:21" x14ac:dyDescent="0.2">
      <c r="C733" s="36"/>
      <c r="D733" s="36"/>
      <c r="E733" s="36"/>
      <c r="F733" s="4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4"/>
      <c r="U733" s="34"/>
    </row>
    <row r="734" spans="3:21" x14ac:dyDescent="0.2">
      <c r="C734" s="36"/>
      <c r="D734" s="36"/>
      <c r="E734" s="36"/>
      <c r="F734" s="4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4"/>
      <c r="U734" s="34"/>
    </row>
    <row r="735" spans="3:21" x14ac:dyDescent="0.2">
      <c r="C735" s="36"/>
      <c r="D735" s="36"/>
      <c r="E735" s="36"/>
      <c r="F735" s="4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4"/>
      <c r="U735" s="34"/>
    </row>
    <row r="736" spans="3:21" x14ac:dyDescent="0.2">
      <c r="C736" s="36"/>
      <c r="D736" s="36"/>
      <c r="E736" s="36"/>
      <c r="F736" s="4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4"/>
      <c r="U736" s="34"/>
    </row>
    <row r="737" spans="3:21" x14ac:dyDescent="0.2">
      <c r="C737" s="36"/>
      <c r="D737" s="36"/>
      <c r="E737" s="36"/>
      <c r="F737" s="4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4"/>
      <c r="U737" s="34"/>
    </row>
    <row r="738" spans="3:21" x14ac:dyDescent="0.2">
      <c r="C738" s="36"/>
      <c r="D738" s="36"/>
      <c r="E738" s="36"/>
      <c r="F738" s="4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4"/>
      <c r="U738" s="34"/>
    </row>
    <row r="739" spans="3:21" x14ac:dyDescent="0.2">
      <c r="C739" s="36"/>
      <c r="D739" s="36"/>
      <c r="E739" s="36"/>
      <c r="F739" s="4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4"/>
      <c r="U739" s="34"/>
    </row>
    <row r="740" spans="3:21" x14ac:dyDescent="0.2">
      <c r="C740" s="36"/>
      <c r="D740" s="36"/>
      <c r="E740" s="36"/>
      <c r="F740" s="4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4"/>
      <c r="U740" s="34"/>
    </row>
    <row r="741" spans="3:21" x14ac:dyDescent="0.2">
      <c r="C741" s="36"/>
      <c r="D741" s="36"/>
      <c r="E741" s="36"/>
      <c r="F741" s="4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4"/>
      <c r="U741" s="34"/>
    </row>
    <row r="742" spans="3:21" x14ac:dyDescent="0.2">
      <c r="C742" s="36"/>
      <c r="D742" s="36"/>
      <c r="E742" s="36"/>
      <c r="F742" s="4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4"/>
      <c r="U742" s="34"/>
    </row>
    <row r="743" spans="3:21" x14ac:dyDescent="0.2">
      <c r="C743" s="36"/>
      <c r="D743" s="36"/>
      <c r="E743" s="36"/>
      <c r="F743" s="4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4"/>
      <c r="U743" s="34"/>
    </row>
    <row r="744" spans="3:21" x14ac:dyDescent="0.2">
      <c r="C744" s="36"/>
      <c r="D744" s="36"/>
      <c r="E744" s="36"/>
      <c r="F744" s="4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4"/>
      <c r="U744" s="34"/>
    </row>
    <row r="745" spans="3:21" x14ac:dyDescent="0.2">
      <c r="C745" s="36"/>
      <c r="D745" s="36"/>
      <c r="E745" s="36"/>
      <c r="F745" s="4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4"/>
      <c r="U745" s="34"/>
    </row>
    <row r="746" spans="3:21" x14ac:dyDescent="0.2">
      <c r="C746" s="36"/>
      <c r="D746" s="36"/>
      <c r="E746" s="36"/>
      <c r="F746" s="4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4"/>
      <c r="U746" s="34"/>
    </row>
    <row r="747" spans="3:21" x14ac:dyDescent="0.2">
      <c r="C747" s="36"/>
      <c r="D747" s="36"/>
      <c r="E747" s="36"/>
      <c r="F747" s="4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4"/>
      <c r="U747" s="34"/>
    </row>
    <row r="748" spans="3:21" x14ac:dyDescent="0.2">
      <c r="C748" s="36"/>
      <c r="D748" s="36"/>
      <c r="E748" s="36"/>
      <c r="F748" s="4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4"/>
      <c r="U748" s="34"/>
    </row>
    <row r="749" spans="3:21" x14ac:dyDescent="0.2">
      <c r="C749" s="36"/>
      <c r="D749" s="36"/>
      <c r="E749" s="36"/>
      <c r="F749" s="4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4"/>
      <c r="U749" s="34"/>
    </row>
    <row r="750" spans="3:21" x14ac:dyDescent="0.2">
      <c r="C750" s="36"/>
      <c r="D750" s="36"/>
      <c r="E750" s="36"/>
      <c r="F750" s="4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4"/>
      <c r="U750" s="34"/>
    </row>
    <row r="751" spans="3:21" x14ac:dyDescent="0.2">
      <c r="C751" s="36"/>
      <c r="D751" s="36"/>
      <c r="E751" s="36"/>
      <c r="F751" s="4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4"/>
      <c r="U751" s="34"/>
    </row>
    <row r="752" spans="3:21" x14ac:dyDescent="0.2">
      <c r="C752" s="36"/>
      <c r="D752" s="36"/>
      <c r="E752" s="36"/>
      <c r="F752" s="4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4"/>
      <c r="U752" s="34"/>
    </row>
    <row r="753" spans="3:21" x14ac:dyDescent="0.2">
      <c r="C753" s="36"/>
      <c r="D753" s="36"/>
      <c r="E753" s="36"/>
      <c r="F753" s="4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4"/>
      <c r="U753" s="34"/>
    </row>
    <row r="754" spans="3:21" x14ac:dyDescent="0.2">
      <c r="C754" s="36"/>
      <c r="D754" s="36"/>
      <c r="E754" s="36"/>
      <c r="F754" s="4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4"/>
      <c r="U754" s="34"/>
    </row>
    <row r="755" spans="3:21" x14ac:dyDescent="0.2">
      <c r="C755" s="36"/>
      <c r="D755" s="36"/>
      <c r="E755" s="36"/>
      <c r="F755" s="4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4"/>
      <c r="U755" s="34"/>
    </row>
    <row r="756" spans="3:21" x14ac:dyDescent="0.2">
      <c r="C756" s="36"/>
      <c r="D756" s="36"/>
      <c r="E756" s="36"/>
      <c r="F756" s="4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4"/>
      <c r="U756" s="34"/>
    </row>
    <row r="757" spans="3:21" x14ac:dyDescent="0.2">
      <c r="C757" s="36"/>
      <c r="D757" s="36"/>
      <c r="E757" s="36"/>
      <c r="F757" s="4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4"/>
      <c r="U757" s="34"/>
    </row>
    <row r="758" spans="3:21" x14ac:dyDescent="0.2">
      <c r="C758" s="36"/>
      <c r="D758" s="36"/>
      <c r="E758" s="36"/>
      <c r="F758" s="4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4"/>
      <c r="U758" s="34"/>
    </row>
    <row r="759" spans="3:21" x14ac:dyDescent="0.2">
      <c r="C759" s="36"/>
      <c r="D759" s="36"/>
      <c r="E759" s="36"/>
      <c r="F759" s="4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4"/>
      <c r="U759" s="34"/>
    </row>
    <row r="760" spans="3:21" x14ac:dyDescent="0.2">
      <c r="C760" s="36"/>
      <c r="D760" s="36"/>
      <c r="E760" s="36"/>
      <c r="F760" s="4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4"/>
      <c r="U760" s="34"/>
    </row>
    <row r="761" spans="3:21" x14ac:dyDescent="0.2">
      <c r="C761" s="36"/>
      <c r="D761" s="36"/>
      <c r="E761" s="36"/>
      <c r="F761" s="4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4"/>
      <c r="U761" s="34"/>
    </row>
    <row r="762" spans="3:21" x14ac:dyDescent="0.2">
      <c r="C762" s="36"/>
      <c r="D762" s="36"/>
      <c r="E762" s="36"/>
      <c r="F762" s="4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4"/>
      <c r="U762" s="34"/>
    </row>
    <row r="763" spans="3:21" x14ac:dyDescent="0.2">
      <c r="C763" s="36"/>
      <c r="D763" s="36"/>
      <c r="E763" s="36"/>
      <c r="F763" s="4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4"/>
      <c r="U763" s="34"/>
    </row>
    <row r="764" spans="3:21" x14ac:dyDescent="0.2">
      <c r="C764" s="36"/>
      <c r="D764" s="36"/>
      <c r="E764" s="36"/>
      <c r="F764" s="4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4"/>
      <c r="U764" s="34"/>
    </row>
    <row r="765" spans="3:21" x14ac:dyDescent="0.2">
      <c r="C765" s="36"/>
      <c r="D765" s="36"/>
      <c r="E765" s="36"/>
      <c r="F765" s="4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4"/>
      <c r="U765" s="34"/>
    </row>
    <row r="766" spans="3:21" x14ac:dyDescent="0.2">
      <c r="C766" s="36"/>
      <c r="D766" s="36"/>
      <c r="E766" s="36"/>
      <c r="F766" s="4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4"/>
      <c r="U766" s="34"/>
    </row>
    <row r="767" spans="3:21" x14ac:dyDescent="0.2">
      <c r="C767" s="36"/>
      <c r="D767" s="36"/>
      <c r="E767" s="36"/>
      <c r="F767" s="4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4"/>
      <c r="U767" s="34"/>
    </row>
    <row r="768" spans="3:21" x14ac:dyDescent="0.2">
      <c r="C768" s="36"/>
      <c r="D768" s="36"/>
      <c r="E768" s="36"/>
      <c r="F768" s="4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4"/>
      <c r="U768" s="34"/>
    </row>
    <row r="769" spans="3:21" x14ac:dyDescent="0.2">
      <c r="C769" s="36"/>
      <c r="D769" s="36"/>
      <c r="E769" s="36"/>
      <c r="F769" s="4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4"/>
      <c r="U769" s="34"/>
    </row>
    <row r="770" spans="3:21" x14ac:dyDescent="0.2">
      <c r="C770" s="36"/>
      <c r="D770" s="36"/>
      <c r="E770" s="36"/>
      <c r="F770" s="4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4"/>
      <c r="U770" s="34"/>
    </row>
    <row r="771" spans="3:21" x14ac:dyDescent="0.2">
      <c r="C771" s="36"/>
      <c r="D771" s="36"/>
      <c r="E771" s="36"/>
      <c r="F771" s="4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4"/>
      <c r="U771" s="34"/>
    </row>
    <row r="772" spans="3:21" x14ac:dyDescent="0.2">
      <c r="C772" s="36"/>
      <c r="D772" s="36"/>
      <c r="E772" s="36"/>
      <c r="F772" s="4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4"/>
      <c r="U772" s="34"/>
    </row>
    <row r="773" spans="3:21" x14ac:dyDescent="0.2">
      <c r="C773" s="36"/>
      <c r="D773" s="36"/>
      <c r="E773" s="36"/>
      <c r="F773" s="4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4"/>
      <c r="U773" s="34"/>
    </row>
    <row r="774" spans="3:21" x14ac:dyDescent="0.2">
      <c r="C774" s="36"/>
      <c r="D774" s="36"/>
      <c r="E774" s="36"/>
      <c r="F774" s="4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4"/>
      <c r="U774" s="34"/>
    </row>
    <row r="775" spans="3:21" x14ac:dyDescent="0.2">
      <c r="C775" s="36"/>
      <c r="D775" s="36"/>
      <c r="E775" s="36"/>
      <c r="F775" s="4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4"/>
      <c r="U775" s="34"/>
    </row>
    <row r="776" spans="3:21" x14ac:dyDescent="0.2">
      <c r="C776" s="36"/>
      <c r="D776" s="36"/>
      <c r="E776" s="36"/>
      <c r="F776" s="4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4"/>
      <c r="U776" s="34"/>
    </row>
    <row r="777" spans="3:21" x14ac:dyDescent="0.2">
      <c r="C777" s="36"/>
      <c r="D777" s="36"/>
      <c r="E777" s="36"/>
      <c r="F777" s="4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4"/>
      <c r="U777" s="34"/>
    </row>
    <row r="778" spans="3:21" x14ac:dyDescent="0.2">
      <c r="C778" s="36"/>
      <c r="D778" s="36"/>
      <c r="E778" s="36"/>
      <c r="F778" s="4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4"/>
      <c r="U778" s="34"/>
    </row>
    <row r="779" spans="3:21" x14ac:dyDescent="0.2">
      <c r="C779" s="36"/>
      <c r="D779" s="36"/>
      <c r="E779" s="36"/>
      <c r="F779" s="4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4"/>
      <c r="U779" s="34"/>
    </row>
    <row r="780" spans="3:21" x14ac:dyDescent="0.2">
      <c r="C780" s="36"/>
      <c r="D780" s="36"/>
      <c r="E780" s="36"/>
      <c r="F780" s="4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4"/>
      <c r="U780" s="34"/>
    </row>
    <row r="781" spans="3:21" x14ac:dyDescent="0.2">
      <c r="C781" s="36"/>
      <c r="D781" s="36"/>
      <c r="E781" s="36"/>
      <c r="F781" s="4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4"/>
      <c r="U781" s="34"/>
    </row>
    <row r="782" spans="3:21" x14ac:dyDescent="0.2">
      <c r="C782" s="36"/>
      <c r="D782" s="36"/>
      <c r="E782" s="36"/>
      <c r="F782" s="4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4"/>
      <c r="U782" s="34"/>
    </row>
    <row r="783" spans="3:21" x14ac:dyDescent="0.2">
      <c r="C783" s="36"/>
      <c r="D783" s="36"/>
      <c r="E783" s="36"/>
      <c r="F783" s="4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4"/>
      <c r="U783" s="34"/>
    </row>
    <row r="784" spans="3:21" x14ac:dyDescent="0.2">
      <c r="C784" s="36"/>
      <c r="D784" s="36"/>
      <c r="E784" s="36"/>
      <c r="F784" s="4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4"/>
      <c r="U784" s="34"/>
    </row>
    <row r="785" spans="3:21" x14ac:dyDescent="0.2">
      <c r="C785" s="36"/>
      <c r="D785" s="36"/>
      <c r="E785" s="36"/>
      <c r="F785" s="4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4"/>
      <c r="U785" s="34"/>
    </row>
    <row r="786" spans="3:21" x14ac:dyDescent="0.2">
      <c r="C786" s="36"/>
      <c r="D786" s="36"/>
      <c r="E786" s="36"/>
      <c r="F786" s="4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4"/>
      <c r="U786" s="34"/>
    </row>
    <row r="787" spans="3:21" x14ac:dyDescent="0.2">
      <c r="C787" s="36"/>
      <c r="D787" s="36"/>
      <c r="E787" s="36"/>
      <c r="F787" s="4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4"/>
      <c r="U787" s="34"/>
    </row>
    <row r="788" spans="3:21" x14ac:dyDescent="0.2">
      <c r="C788" s="36"/>
      <c r="D788" s="36"/>
      <c r="E788" s="36"/>
      <c r="F788" s="4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4"/>
      <c r="U788" s="34"/>
    </row>
    <row r="789" spans="3:21" x14ac:dyDescent="0.2">
      <c r="C789" s="36"/>
      <c r="D789" s="36"/>
      <c r="E789" s="36"/>
      <c r="F789" s="4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4"/>
      <c r="U789" s="34"/>
    </row>
    <row r="790" spans="3:21" x14ac:dyDescent="0.2">
      <c r="C790" s="36"/>
      <c r="D790" s="36"/>
      <c r="E790" s="36"/>
      <c r="F790" s="4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4"/>
      <c r="U790" s="34"/>
    </row>
    <row r="791" spans="3:21" x14ac:dyDescent="0.2">
      <c r="C791" s="36"/>
      <c r="D791" s="36"/>
      <c r="E791" s="36"/>
      <c r="F791" s="4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4"/>
      <c r="U791" s="34"/>
    </row>
    <row r="792" spans="3:21" x14ac:dyDescent="0.2">
      <c r="C792" s="36"/>
      <c r="D792" s="36"/>
      <c r="E792" s="36"/>
      <c r="F792" s="4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4"/>
      <c r="U792" s="34"/>
    </row>
    <row r="793" spans="3:21" x14ac:dyDescent="0.2">
      <c r="C793" s="36"/>
      <c r="D793" s="36"/>
      <c r="E793" s="36"/>
      <c r="F793" s="4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4"/>
      <c r="U793" s="34"/>
    </row>
    <row r="794" spans="3:21" x14ac:dyDescent="0.2">
      <c r="C794" s="36"/>
      <c r="D794" s="36"/>
      <c r="E794" s="36"/>
      <c r="F794" s="4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4"/>
      <c r="U794" s="34"/>
    </row>
    <row r="795" spans="3:21" x14ac:dyDescent="0.2">
      <c r="C795" s="36"/>
      <c r="D795" s="36"/>
      <c r="E795" s="36"/>
      <c r="F795" s="4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4"/>
      <c r="U795" s="34"/>
    </row>
    <row r="796" spans="3:21" x14ac:dyDescent="0.2">
      <c r="C796" s="36"/>
      <c r="D796" s="36"/>
      <c r="E796" s="36"/>
      <c r="F796" s="4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4"/>
      <c r="U796" s="34"/>
    </row>
    <row r="797" spans="3:21" x14ac:dyDescent="0.2">
      <c r="C797" s="36"/>
      <c r="D797" s="36"/>
      <c r="E797" s="36"/>
      <c r="F797" s="4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4"/>
      <c r="U797" s="34"/>
    </row>
    <row r="798" spans="3:21" x14ac:dyDescent="0.2">
      <c r="C798" s="36"/>
      <c r="D798" s="36"/>
      <c r="E798" s="36"/>
      <c r="F798" s="4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4"/>
      <c r="U798" s="34"/>
    </row>
    <row r="799" spans="3:21" x14ac:dyDescent="0.2">
      <c r="C799" s="36"/>
      <c r="D799" s="36"/>
      <c r="E799" s="36"/>
      <c r="F799" s="4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4"/>
      <c r="U799" s="34"/>
    </row>
    <row r="800" spans="3:21" x14ac:dyDescent="0.2">
      <c r="C800" s="36"/>
      <c r="D800" s="36"/>
      <c r="E800" s="36"/>
      <c r="F800" s="4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4"/>
      <c r="U800" s="34"/>
    </row>
    <row r="801" spans="3:21" x14ac:dyDescent="0.2">
      <c r="C801" s="36"/>
      <c r="D801" s="36"/>
      <c r="E801" s="36"/>
      <c r="F801" s="4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4"/>
      <c r="U801" s="34"/>
    </row>
    <row r="802" spans="3:21" x14ac:dyDescent="0.2">
      <c r="C802" s="36"/>
      <c r="D802" s="36"/>
      <c r="E802" s="36"/>
      <c r="F802" s="4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4"/>
      <c r="U802" s="34"/>
    </row>
    <row r="803" spans="3:21" x14ac:dyDescent="0.2">
      <c r="C803" s="36"/>
      <c r="D803" s="36"/>
      <c r="E803" s="36"/>
      <c r="F803" s="4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4"/>
      <c r="U803" s="34"/>
    </row>
    <row r="804" spans="3:21" x14ac:dyDescent="0.2">
      <c r="C804" s="36"/>
      <c r="D804" s="36"/>
      <c r="E804" s="36"/>
      <c r="F804" s="4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4"/>
      <c r="U804" s="34"/>
    </row>
    <row r="805" spans="3:21" x14ac:dyDescent="0.2">
      <c r="C805" s="36"/>
      <c r="D805" s="36"/>
      <c r="E805" s="36"/>
      <c r="F805" s="4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4"/>
      <c r="U805" s="34"/>
    </row>
    <row r="806" spans="3:21" x14ac:dyDescent="0.2">
      <c r="C806" s="36"/>
      <c r="D806" s="36"/>
      <c r="E806" s="36"/>
      <c r="F806" s="4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4"/>
      <c r="U806" s="34"/>
    </row>
    <row r="807" spans="3:21" x14ac:dyDescent="0.2">
      <c r="C807" s="36"/>
      <c r="D807" s="36"/>
      <c r="E807" s="36"/>
      <c r="F807" s="4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4"/>
      <c r="U807" s="34"/>
    </row>
    <row r="808" spans="3:21" x14ac:dyDescent="0.2">
      <c r="C808" s="36"/>
      <c r="D808" s="36"/>
      <c r="E808" s="36"/>
      <c r="F808" s="4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4"/>
      <c r="U808" s="34"/>
    </row>
    <row r="809" spans="3:21" x14ac:dyDescent="0.2">
      <c r="C809" s="36"/>
      <c r="D809" s="36"/>
      <c r="E809" s="36"/>
      <c r="F809" s="4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4"/>
      <c r="U809" s="34"/>
    </row>
    <row r="810" spans="3:21" x14ac:dyDescent="0.2">
      <c r="C810" s="36"/>
      <c r="D810" s="36"/>
      <c r="E810" s="36"/>
      <c r="F810" s="4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4"/>
      <c r="U810" s="34"/>
    </row>
    <row r="811" spans="3:21" x14ac:dyDescent="0.2">
      <c r="C811" s="36"/>
      <c r="D811" s="36"/>
      <c r="E811" s="36"/>
      <c r="F811" s="4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4"/>
      <c r="U811" s="34"/>
    </row>
    <row r="812" spans="3:21" x14ac:dyDescent="0.2">
      <c r="C812" s="36"/>
      <c r="D812" s="36"/>
      <c r="E812" s="36"/>
      <c r="F812" s="4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4"/>
      <c r="U812" s="34"/>
    </row>
    <row r="813" spans="3:21" x14ac:dyDescent="0.2">
      <c r="C813" s="36"/>
      <c r="D813" s="36"/>
      <c r="E813" s="36"/>
      <c r="F813" s="4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4"/>
      <c r="U813" s="34"/>
    </row>
    <row r="814" spans="3:21" x14ac:dyDescent="0.2">
      <c r="C814" s="36"/>
      <c r="D814" s="36"/>
      <c r="E814" s="36"/>
      <c r="F814" s="4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4"/>
      <c r="U814" s="34"/>
    </row>
    <row r="815" spans="3:21" x14ac:dyDescent="0.2">
      <c r="C815" s="36"/>
      <c r="D815" s="36"/>
      <c r="E815" s="36"/>
      <c r="F815" s="4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4"/>
      <c r="U815" s="34"/>
    </row>
    <row r="816" spans="3:21" x14ac:dyDescent="0.2">
      <c r="C816" s="36"/>
      <c r="D816" s="36"/>
      <c r="E816" s="36"/>
      <c r="F816" s="4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4"/>
      <c r="U816" s="34"/>
    </row>
    <row r="817" spans="3:21" x14ac:dyDescent="0.2">
      <c r="C817" s="36"/>
      <c r="D817" s="36"/>
      <c r="E817" s="36"/>
      <c r="F817" s="4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4"/>
      <c r="U817" s="34"/>
    </row>
    <row r="818" spans="3:21" x14ac:dyDescent="0.2">
      <c r="C818" s="36"/>
      <c r="D818" s="36"/>
      <c r="E818" s="36"/>
      <c r="F818" s="4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4"/>
      <c r="U818" s="34"/>
    </row>
    <row r="819" spans="3:21" x14ac:dyDescent="0.2">
      <c r="C819" s="36"/>
      <c r="D819" s="36"/>
      <c r="E819" s="36"/>
      <c r="F819" s="4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4"/>
      <c r="U819" s="34"/>
    </row>
    <row r="820" spans="3:21" x14ac:dyDescent="0.2">
      <c r="C820" s="36"/>
      <c r="D820" s="36"/>
      <c r="E820" s="36"/>
      <c r="F820" s="4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4"/>
      <c r="U820" s="34"/>
    </row>
    <row r="821" spans="3:21" x14ac:dyDescent="0.2">
      <c r="C821" s="36"/>
      <c r="D821" s="36"/>
      <c r="E821" s="36"/>
      <c r="F821" s="4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4"/>
      <c r="U821" s="34"/>
    </row>
    <row r="822" spans="3:21" x14ac:dyDescent="0.2">
      <c r="C822" s="36"/>
      <c r="D822" s="36"/>
      <c r="E822" s="36"/>
      <c r="F822" s="4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4"/>
      <c r="U822" s="34"/>
    </row>
    <row r="823" spans="3:21" x14ac:dyDescent="0.2">
      <c r="C823" s="36"/>
      <c r="D823" s="36"/>
      <c r="E823" s="36"/>
      <c r="F823" s="4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4"/>
      <c r="U823" s="34"/>
    </row>
    <row r="824" spans="3:21" x14ac:dyDescent="0.2">
      <c r="C824" s="36"/>
      <c r="D824" s="36"/>
      <c r="E824" s="36"/>
      <c r="F824" s="4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4"/>
      <c r="U824" s="34"/>
    </row>
    <row r="825" spans="3:21" x14ac:dyDescent="0.2">
      <c r="C825" s="36"/>
      <c r="D825" s="36"/>
      <c r="E825" s="36"/>
      <c r="F825" s="4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4"/>
      <c r="U825" s="34"/>
    </row>
    <row r="826" spans="3:21" x14ac:dyDescent="0.2">
      <c r="C826" s="36"/>
      <c r="D826" s="36"/>
      <c r="E826" s="36"/>
      <c r="F826" s="4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4"/>
      <c r="U826" s="34"/>
    </row>
    <row r="827" spans="3:21" x14ac:dyDescent="0.2">
      <c r="C827" s="36"/>
      <c r="D827" s="36"/>
      <c r="E827" s="36"/>
      <c r="F827" s="4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4"/>
      <c r="U827" s="34"/>
    </row>
    <row r="828" spans="3:21" x14ac:dyDescent="0.2">
      <c r="C828" s="36"/>
      <c r="D828" s="36"/>
      <c r="E828" s="36"/>
      <c r="F828" s="4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4"/>
      <c r="U828" s="34"/>
    </row>
    <row r="829" spans="3:21" x14ac:dyDescent="0.2">
      <c r="C829" s="36"/>
      <c r="D829" s="36"/>
      <c r="E829" s="36"/>
      <c r="F829" s="4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4"/>
      <c r="U829" s="34"/>
    </row>
    <row r="830" spans="3:21" x14ac:dyDescent="0.2">
      <c r="C830" s="36"/>
      <c r="D830" s="36"/>
      <c r="E830" s="36"/>
      <c r="F830" s="4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4"/>
      <c r="U830" s="34"/>
    </row>
    <row r="831" spans="3:21" x14ac:dyDescent="0.2">
      <c r="C831" s="36"/>
      <c r="D831" s="36"/>
      <c r="E831" s="36"/>
      <c r="F831" s="4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4"/>
      <c r="U831" s="34"/>
    </row>
    <row r="832" spans="3:21" x14ac:dyDescent="0.2">
      <c r="C832" s="36"/>
      <c r="D832" s="36"/>
      <c r="E832" s="36"/>
      <c r="F832" s="4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4"/>
      <c r="U832" s="34"/>
    </row>
    <row r="833" spans="3:21" x14ac:dyDescent="0.2">
      <c r="C833" s="36"/>
      <c r="D833" s="36"/>
      <c r="E833" s="36"/>
      <c r="F833" s="4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4"/>
      <c r="U833" s="34"/>
    </row>
    <row r="834" spans="3:21" x14ac:dyDescent="0.2">
      <c r="C834" s="36"/>
      <c r="D834" s="36"/>
      <c r="E834" s="36"/>
      <c r="F834" s="4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4"/>
      <c r="U834" s="34"/>
    </row>
    <row r="835" spans="3:21" x14ac:dyDescent="0.2">
      <c r="C835" s="36"/>
      <c r="D835" s="36"/>
      <c r="E835" s="36"/>
      <c r="F835" s="4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4"/>
      <c r="U835" s="34"/>
    </row>
    <row r="836" spans="3:21" x14ac:dyDescent="0.2">
      <c r="C836" s="36"/>
      <c r="D836" s="36"/>
      <c r="E836" s="36"/>
      <c r="F836" s="4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4"/>
      <c r="U836" s="34"/>
    </row>
    <row r="837" spans="3:21" x14ac:dyDescent="0.2">
      <c r="C837" s="36"/>
      <c r="D837" s="36"/>
      <c r="E837" s="36"/>
      <c r="F837" s="4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4"/>
      <c r="U837" s="34"/>
    </row>
    <row r="838" spans="3:21" x14ac:dyDescent="0.2">
      <c r="C838" s="36"/>
      <c r="D838" s="36"/>
      <c r="E838" s="36"/>
      <c r="F838" s="4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4"/>
      <c r="U838" s="34"/>
    </row>
    <row r="839" spans="3:21" x14ac:dyDescent="0.2">
      <c r="C839" s="36"/>
      <c r="D839" s="36"/>
      <c r="E839" s="36"/>
      <c r="F839" s="4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4"/>
      <c r="U839" s="34"/>
    </row>
    <row r="840" spans="3:21" x14ac:dyDescent="0.2">
      <c r="C840" s="36"/>
      <c r="D840" s="36"/>
      <c r="E840" s="36"/>
      <c r="F840" s="4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4"/>
      <c r="U840" s="34"/>
    </row>
    <row r="841" spans="3:21" x14ac:dyDescent="0.2">
      <c r="C841" s="36"/>
      <c r="D841" s="36"/>
      <c r="E841" s="36"/>
      <c r="F841" s="4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4"/>
      <c r="U841" s="34"/>
    </row>
    <row r="842" spans="3:21" x14ac:dyDescent="0.2">
      <c r="C842" s="36"/>
      <c r="D842" s="36"/>
      <c r="E842" s="36"/>
      <c r="F842" s="4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4"/>
      <c r="U842" s="34"/>
    </row>
    <row r="843" spans="3:21" x14ac:dyDescent="0.2">
      <c r="C843" s="36"/>
      <c r="D843" s="36"/>
      <c r="E843" s="36"/>
      <c r="F843" s="4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4"/>
      <c r="U843" s="34"/>
    </row>
    <row r="844" spans="3:21" x14ac:dyDescent="0.2">
      <c r="C844" s="36"/>
      <c r="D844" s="36"/>
      <c r="E844" s="36"/>
      <c r="F844" s="4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4"/>
      <c r="U844" s="34"/>
    </row>
    <row r="845" spans="3:21" x14ac:dyDescent="0.2">
      <c r="C845" s="36"/>
      <c r="D845" s="36"/>
      <c r="E845" s="36"/>
      <c r="F845" s="4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4"/>
      <c r="U845" s="34"/>
    </row>
    <row r="846" spans="3:21" x14ac:dyDescent="0.2">
      <c r="C846" s="36"/>
      <c r="D846" s="36"/>
      <c r="E846" s="36"/>
      <c r="F846" s="4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4"/>
      <c r="U846" s="34"/>
    </row>
    <row r="847" spans="3:21" x14ac:dyDescent="0.2">
      <c r="C847" s="36"/>
      <c r="D847" s="36"/>
      <c r="E847" s="36"/>
      <c r="F847" s="4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4"/>
      <c r="U847" s="34"/>
    </row>
    <row r="848" spans="3:21" x14ac:dyDescent="0.2">
      <c r="C848" s="36"/>
      <c r="D848" s="36"/>
      <c r="E848" s="36"/>
      <c r="F848" s="4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4"/>
      <c r="U848" s="34"/>
    </row>
    <row r="849" spans="3:21" x14ac:dyDescent="0.2">
      <c r="C849" s="36"/>
      <c r="D849" s="36"/>
      <c r="E849" s="36"/>
      <c r="F849" s="4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4"/>
      <c r="U849" s="34"/>
    </row>
    <row r="850" spans="3:21" x14ac:dyDescent="0.2">
      <c r="C850" s="36"/>
      <c r="D850" s="36"/>
      <c r="E850" s="36"/>
      <c r="F850" s="4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4"/>
      <c r="U850" s="34"/>
    </row>
    <row r="851" spans="3:21" x14ac:dyDescent="0.2">
      <c r="C851" s="36"/>
      <c r="D851" s="36"/>
      <c r="E851" s="36"/>
      <c r="F851" s="4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4"/>
      <c r="U851" s="34"/>
    </row>
    <row r="852" spans="3:21" x14ac:dyDescent="0.2">
      <c r="C852" s="36"/>
      <c r="D852" s="36"/>
      <c r="E852" s="36"/>
      <c r="F852" s="4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4"/>
      <c r="U852" s="34"/>
    </row>
    <row r="853" spans="3:21" x14ac:dyDescent="0.2">
      <c r="C853" s="36"/>
      <c r="D853" s="36"/>
      <c r="E853" s="36"/>
      <c r="F853" s="4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4"/>
      <c r="U853" s="34"/>
    </row>
    <row r="854" spans="3:21" x14ac:dyDescent="0.2">
      <c r="C854" s="36"/>
      <c r="D854" s="36"/>
      <c r="E854" s="36"/>
      <c r="F854" s="4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4"/>
      <c r="U854" s="34"/>
    </row>
    <row r="855" spans="3:21" x14ac:dyDescent="0.2">
      <c r="C855" s="36"/>
      <c r="D855" s="36"/>
      <c r="E855" s="36"/>
      <c r="F855" s="4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4"/>
      <c r="U855" s="34"/>
    </row>
    <row r="856" spans="3:21" x14ac:dyDescent="0.2">
      <c r="C856" s="36"/>
      <c r="D856" s="36"/>
      <c r="E856" s="36"/>
      <c r="F856" s="4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4"/>
      <c r="U856" s="34"/>
    </row>
    <row r="857" spans="3:21" x14ac:dyDescent="0.2">
      <c r="C857" s="36"/>
      <c r="D857" s="36"/>
      <c r="E857" s="36"/>
      <c r="F857" s="4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4"/>
      <c r="U857" s="34"/>
    </row>
    <row r="858" spans="3:21" x14ac:dyDescent="0.2">
      <c r="C858" s="36"/>
      <c r="D858" s="36"/>
      <c r="E858" s="36"/>
      <c r="F858" s="4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4"/>
      <c r="U858" s="34"/>
    </row>
    <row r="859" spans="3:21" x14ac:dyDescent="0.2">
      <c r="C859" s="36"/>
      <c r="D859" s="36"/>
      <c r="E859" s="36"/>
      <c r="F859" s="4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4"/>
      <c r="U859" s="34"/>
    </row>
    <row r="860" spans="3:21" x14ac:dyDescent="0.2">
      <c r="C860" s="36"/>
      <c r="D860" s="36"/>
      <c r="E860" s="36"/>
      <c r="F860" s="4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4"/>
      <c r="U860" s="34"/>
    </row>
    <row r="861" spans="3:21" x14ac:dyDescent="0.2">
      <c r="C861" s="36"/>
      <c r="D861" s="36"/>
      <c r="E861" s="36"/>
      <c r="F861" s="4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4"/>
      <c r="U861" s="34"/>
    </row>
    <row r="862" spans="3:21" x14ac:dyDescent="0.2">
      <c r="C862" s="36"/>
      <c r="D862" s="36"/>
      <c r="E862" s="36"/>
      <c r="F862" s="4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4"/>
      <c r="U862" s="34"/>
    </row>
    <row r="863" spans="3:21" x14ac:dyDescent="0.2">
      <c r="C863" s="36"/>
      <c r="D863" s="36"/>
      <c r="E863" s="36"/>
      <c r="F863" s="4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4"/>
      <c r="U863" s="34"/>
    </row>
    <row r="864" spans="3:21" x14ac:dyDescent="0.2">
      <c r="C864" s="36"/>
      <c r="D864" s="36"/>
      <c r="E864" s="36"/>
      <c r="F864" s="4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4"/>
      <c r="U864" s="34"/>
    </row>
    <row r="865" spans="3:21" x14ac:dyDescent="0.2">
      <c r="C865" s="36"/>
      <c r="D865" s="36"/>
      <c r="E865" s="36"/>
      <c r="F865" s="4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4"/>
      <c r="U865" s="34"/>
    </row>
    <row r="866" spans="3:21" x14ac:dyDescent="0.2">
      <c r="C866" s="36"/>
      <c r="D866" s="36"/>
      <c r="E866" s="36"/>
      <c r="F866" s="4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4"/>
      <c r="U866" s="34"/>
    </row>
    <row r="867" spans="3:21" x14ac:dyDescent="0.2">
      <c r="C867" s="36"/>
      <c r="D867" s="36"/>
      <c r="E867" s="36"/>
      <c r="F867" s="4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4"/>
      <c r="U867" s="34"/>
    </row>
    <row r="868" spans="3:21" x14ac:dyDescent="0.2">
      <c r="C868" s="36"/>
      <c r="D868" s="36"/>
      <c r="E868" s="36"/>
      <c r="F868" s="4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4"/>
      <c r="U868" s="34"/>
    </row>
    <row r="869" spans="3:21" x14ac:dyDescent="0.2">
      <c r="C869" s="36"/>
      <c r="D869" s="36"/>
      <c r="E869" s="36"/>
      <c r="F869" s="4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4"/>
      <c r="U869" s="34"/>
    </row>
    <row r="870" spans="3:21" x14ac:dyDescent="0.2">
      <c r="C870" s="36"/>
      <c r="D870" s="36"/>
      <c r="E870" s="36"/>
      <c r="F870" s="4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4"/>
      <c r="U870" s="34"/>
    </row>
    <row r="871" spans="3:21" x14ac:dyDescent="0.2">
      <c r="C871" s="36"/>
      <c r="D871" s="36"/>
      <c r="E871" s="36"/>
      <c r="F871" s="4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4"/>
      <c r="U871" s="34"/>
    </row>
    <row r="872" spans="3:21" x14ac:dyDescent="0.2">
      <c r="C872" s="36"/>
      <c r="D872" s="36"/>
      <c r="E872" s="36"/>
      <c r="F872" s="4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4"/>
      <c r="U872" s="34"/>
    </row>
    <row r="873" spans="3:21" x14ac:dyDescent="0.2">
      <c r="C873" s="36"/>
      <c r="D873" s="36"/>
      <c r="E873" s="36"/>
      <c r="F873" s="4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4"/>
      <c r="U873" s="34"/>
    </row>
    <row r="874" spans="3:21" x14ac:dyDescent="0.2">
      <c r="C874" s="36"/>
      <c r="D874" s="36"/>
      <c r="E874" s="36"/>
      <c r="F874" s="4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4"/>
      <c r="U874" s="34"/>
    </row>
    <row r="875" spans="3:21" x14ac:dyDescent="0.2">
      <c r="C875" s="36"/>
      <c r="D875" s="36"/>
      <c r="E875" s="36"/>
      <c r="F875" s="4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4"/>
      <c r="U875" s="34"/>
    </row>
    <row r="876" spans="3:21" x14ac:dyDescent="0.2">
      <c r="C876" s="36"/>
      <c r="D876" s="36"/>
      <c r="E876" s="36"/>
      <c r="F876" s="4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4"/>
      <c r="U876" s="34"/>
    </row>
    <row r="877" spans="3:21" x14ac:dyDescent="0.2">
      <c r="C877" s="36"/>
      <c r="D877" s="36"/>
      <c r="E877" s="36"/>
      <c r="F877" s="4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4"/>
      <c r="U877" s="34"/>
    </row>
    <row r="878" spans="3:21" x14ac:dyDescent="0.2">
      <c r="C878" s="36"/>
      <c r="D878" s="36"/>
      <c r="E878" s="36"/>
      <c r="F878" s="4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4"/>
      <c r="U878" s="34"/>
    </row>
    <row r="879" spans="3:21" x14ac:dyDescent="0.2">
      <c r="C879" s="36"/>
      <c r="D879" s="36"/>
      <c r="E879" s="36"/>
      <c r="F879" s="4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4"/>
      <c r="U879" s="34"/>
    </row>
    <row r="880" spans="3:21" x14ac:dyDescent="0.2">
      <c r="C880" s="36"/>
      <c r="D880" s="36"/>
      <c r="E880" s="36"/>
      <c r="F880" s="4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4"/>
      <c r="U880" s="34"/>
    </row>
    <row r="881" spans="3:21" x14ac:dyDescent="0.2">
      <c r="C881" s="36"/>
      <c r="D881" s="36"/>
      <c r="E881" s="36"/>
      <c r="F881" s="4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4"/>
      <c r="U881" s="34"/>
    </row>
    <row r="882" spans="3:21" x14ac:dyDescent="0.2">
      <c r="C882" s="36"/>
      <c r="D882" s="36"/>
      <c r="E882" s="36"/>
      <c r="F882" s="4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4"/>
      <c r="U882" s="34"/>
    </row>
    <row r="883" spans="3:21" x14ac:dyDescent="0.2">
      <c r="C883" s="36"/>
      <c r="D883" s="36"/>
      <c r="E883" s="36"/>
      <c r="F883" s="4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4"/>
      <c r="U883" s="34"/>
    </row>
    <row r="884" spans="3:21" x14ac:dyDescent="0.2">
      <c r="C884" s="36"/>
      <c r="D884" s="36"/>
      <c r="E884" s="36"/>
      <c r="F884" s="4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4"/>
      <c r="U884" s="34"/>
    </row>
    <row r="885" spans="3:21" x14ac:dyDescent="0.2">
      <c r="C885" s="36"/>
      <c r="D885" s="36"/>
      <c r="E885" s="36"/>
      <c r="F885" s="4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4"/>
      <c r="U885" s="34"/>
    </row>
    <row r="886" spans="3:21" x14ac:dyDescent="0.2">
      <c r="C886" s="36"/>
      <c r="D886" s="36"/>
      <c r="E886" s="36"/>
      <c r="F886" s="4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4"/>
      <c r="U886" s="34"/>
    </row>
    <row r="887" spans="3:21" x14ac:dyDescent="0.2">
      <c r="C887" s="36"/>
      <c r="D887" s="36"/>
      <c r="E887" s="36"/>
      <c r="F887" s="4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4"/>
      <c r="U887" s="34"/>
    </row>
    <row r="888" spans="3:21" x14ac:dyDescent="0.2">
      <c r="C888" s="36"/>
      <c r="D888" s="36"/>
      <c r="E888" s="36"/>
      <c r="F888" s="4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4"/>
      <c r="U888" s="34"/>
    </row>
    <row r="889" spans="3:21" x14ac:dyDescent="0.2">
      <c r="C889" s="36"/>
      <c r="D889" s="36"/>
      <c r="E889" s="36"/>
      <c r="F889" s="4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4"/>
      <c r="U889" s="34"/>
    </row>
    <row r="890" spans="3:21" x14ac:dyDescent="0.2">
      <c r="C890" s="36"/>
      <c r="D890" s="36"/>
      <c r="E890" s="36"/>
      <c r="F890" s="4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4"/>
      <c r="U890" s="34"/>
    </row>
    <row r="891" spans="3:21" x14ac:dyDescent="0.2">
      <c r="C891" s="36"/>
      <c r="D891" s="36"/>
      <c r="E891" s="36"/>
      <c r="F891" s="4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4"/>
      <c r="U891" s="34"/>
    </row>
    <row r="892" spans="3:21" x14ac:dyDescent="0.2">
      <c r="C892" s="36"/>
      <c r="D892" s="36"/>
      <c r="E892" s="36"/>
      <c r="F892" s="4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4"/>
      <c r="U892" s="34"/>
    </row>
    <row r="893" spans="3:21" x14ac:dyDescent="0.2">
      <c r="C893" s="36"/>
      <c r="D893" s="36"/>
      <c r="E893" s="36"/>
      <c r="F893" s="4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4"/>
      <c r="U893" s="34"/>
    </row>
    <row r="894" spans="3:21" x14ac:dyDescent="0.2">
      <c r="C894" s="36"/>
      <c r="D894" s="36"/>
      <c r="E894" s="36"/>
      <c r="F894" s="4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4"/>
      <c r="U894" s="34"/>
    </row>
    <row r="895" spans="3:21" x14ac:dyDescent="0.2">
      <c r="C895" s="36"/>
      <c r="D895" s="36"/>
      <c r="E895" s="36"/>
      <c r="F895" s="4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4"/>
      <c r="U895" s="34"/>
    </row>
    <row r="896" spans="3:21" x14ac:dyDescent="0.2">
      <c r="C896" s="36"/>
      <c r="D896" s="36"/>
      <c r="E896" s="36"/>
      <c r="F896" s="4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4"/>
      <c r="U896" s="34"/>
    </row>
    <row r="897" spans="3:21" x14ac:dyDescent="0.2">
      <c r="C897" s="36"/>
      <c r="D897" s="36"/>
      <c r="E897" s="36"/>
      <c r="F897" s="4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4"/>
      <c r="U897" s="34"/>
    </row>
    <row r="898" spans="3:21" x14ac:dyDescent="0.2">
      <c r="C898" s="36"/>
      <c r="D898" s="36"/>
      <c r="E898" s="36"/>
      <c r="F898" s="4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4"/>
      <c r="U898" s="34"/>
    </row>
    <row r="899" spans="3:21" x14ac:dyDescent="0.2">
      <c r="C899" s="36"/>
      <c r="D899" s="36"/>
      <c r="E899" s="36"/>
      <c r="F899" s="4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4"/>
      <c r="U899" s="34"/>
    </row>
    <row r="900" spans="3:21" x14ac:dyDescent="0.2">
      <c r="C900" s="36"/>
      <c r="D900" s="36"/>
      <c r="E900" s="36"/>
      <c r="F900" s="4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4"/>
      <c r="U900" s="34"/>
    </row>
    <row r="901" spans="3:21" x14ac:dyDescent="0.2">
      <c r="C901" s="36"/>
      <c r="D901" s="36"/>
      <c r="E901" s="36"/>
      <c r="F901" s="4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4"/>
      <c r="U901" s="34"/>
    </row>
    <row r="902" spans="3:21" x14ac:dyDescent="0.2">
      <c r="C902" s="36"/>
      <c r="D902" s="36"/>
      <c r="E902" s="36"/>
      <c r="F902" s="4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4"/>
      <c r="U902" s="34"/>
    </row>
    <row r="903" spans="3:21" x14ac:dyDescent="0.2">
      <c r="C903" s="36"/>
      <c r="D903" s="36"/>
      <c r="E903" s="36"/>
      <c r="F903" s="4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4"/>
      <c r="U903" s="34"/>
    </row>
    <row r="904" spans="3:21" x14ac:dyDescent="0.2">
      <c r="C904" s="36"/>
      <c r="D904" s="36"/>
      <c r="E904" s="36"/>
      <c r="F904" s="4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4"/>
      <c r="U904" s="34"/>
    </row>
    <row r="905" spans="3:21" x14ac:dyDescent="0.2">
      <c r="C905" s="36"/>
      <c r="D905" s="36"/>
      <c r="E905" s="36"/>
      <c r="F905" s="4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4"/>
      <c r="U905" s="34"/>
    </row>
    <row r="906" spans="3:21" x14ac:dyDescent="0.2">
      <c r="C906" s="36"/>
      <c r="D906" s="36"/>
      <c r="E906" s="36"/>
      <c r="F906" s="4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4"/>
      <c r="U906" s="34"/>
    </row>
    <row r="907" spans="3:21" x14ac:dyDescent="0.2">
      <c r="C907" s="36"/>
      <c r="D907" s="36"/>
      <c r="E907" s="36"/>
      <c r="F907" s="4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4"/>
      <c r="U907" s="34"/>
    </row>
    <row r="908" spans="3:21" x14ac:dyDescent="0.2">
      <c r="C908" s="36"/>
      <c r="D908" s="36"/>
      <c r="E908" s="36"/>
      <c r="F908" s="4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4"/>
      <c r="U908" s="34"/>
    </row>
    <row r="909" spans="3:21" x14ac:dyDescent="0.2">
      <c r="C909" s="36"/>
      <c r="D909" s="36"/>
      <c r="E909" s="36"/>
      <c r="F909" s="4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4"/>
      <c r="U909" s="34"/>
    </row>
    <row r="910" spans="3:21" x14ac:dyDescent="0.2">
      <c r="C910" s="36"/>
      <c r="D910" s="36"/>
      <c r="E910" s="36"/>
      <c r="F910" s="4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4"/>
      <c r="U910" s="34"/>
    </row>
    <row r="911" spans="3:21" x14ac:dyDescent="0.2">
      <c r="C911" s="36"/>
      <c r="D911" s="36"/>
      <c r="E911" s="36"/>
      <c r="F911" s="4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4"/>
      <c r="U911" s="34"/>
    </row>
    <row r="912" spans="3:21" x14ac:dyDescent="0.2">
      <c r="C912" s="36"/>
      <c r="D912" s="36"/>
      <c r="E912" s="36"/>
      <c r="F912" s="4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4"/>
      <c r="U912" s="34"/>
    </row>
    <row r="913" spans="3:21" x14ac:dyDescent="0.2">
      <c r="C913" s="36"/>
      <c r="D913" s="36"/>
      <c r="E913" s="36"/>
      <c r="F913" s="4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4"/>
      <c r="U913" s="34"/>
    </row>
    <row r="914" spans="3:21" x14ac:dyDescent="0.2">
      <c r="C914" s="36"/>
      <c r="D914" s="36"/>
      <c r="E914" s="36"/>
      <c r="F914" s="4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4"/>
      <c r="U914" s="34"/>
    </row>
    <row r="915" spans="3:21" x14ac:dyDescent="0.2">
      <c r="C915" s="36"/>
      <c r="D915" s="36"/>
      <c r="E915" s="36"/>
      <c r="F915" s="4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4"/>
      <c r="U915" s="34"/>
    </row>
    <row r="916" spans="3:21" x14ac:dyDescent="0.2">
      <c r="C916" s="36"/>
      <c r="D916" s="36"/>
      <c r="E916" s="36"/>
      <c r="F916" s="4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4"/>
      <c r="U916" s="34"/>
    </row>
    <row r="917" spans="3:21" x14ac:dyDescent="0.2">
      <c r="C917" s="36"/>
      <c r="D917" s="36"/>
      <c r="E917" s="36"/>
      <c r="F917" s="4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4"/>
      <c r="U917" s="34"/>
    </row>
    <row r="918" spans="3:21" x14ac:dyDescent="0.2">
      <c r="C918" s="36"/>
      <c r="D918" s="36"/>
      <c r="E918" s="36"/>
      <c r="F918" s="4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4"/>
      <c r="U918" s="34"/>
    </row>
    <row r="919" spans="3:21" x14ac:dyDescent="0.2">
      <c r="C919" s="36"/>
      <c r="D919" s="36"/>
      <c r="E919" s="36"/>
      <c r="F919" s="4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4"/>
      <c r="U919" s="34"/>
    </row>
    <row r="920" spans="3:21" x14ac:dyDescent="0.2">
      <c r="C920" s="36"/>
      <c r="D920" s="36"/>
      <c r="E920" s="36"/>
      <c r="F920" s="4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4"/>
      <c r="U920" s="34"/>
    </row>
    <row r="921" spans="3:21" x14ac:dyDescent="0.2">
      <c r="C921" s="36"/>
      <c r="D921" s="36"/>
      <c r="E921" s="36"/>
      <c r="F921" s="4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4"/>
      <c r="U921" s="34"/>
    </row>
    <row r="922" spans="3:21" x14ac:dyDescent="0.2">
      <c r="C922" s="36"/>
      <c r="D922" s="36"/>
      <c r="E922" s="36"/>
      <c r="F922" s="4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4"/>
      <c r="U922" s="34"/>
    </row>
    <row r="923" spans="3:21" x14ac:dyDescent="0.2">
      <c r="C923" s="36"/>
      <c r="D923" s="36"/>
      <c r="E923" s="36"/>
      <c r="F923" s="4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4"/>
      <c r="U923" s="34"/>
    </row>
    <row r="924" spans="3:21" x14ac:dyDescent="0.2">
      <c r="C924" s="36"/>
      <c r="D924" s="36"/>
      <c r="E924" s="36"/>
      <c r="F924" s="4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4"/>
      <c r="U924" s="34"/>
    </row>
    <row r="925" spans="3:21" x14ac:dyDescent="0.2">
      <c r="C925" s="36"/>
      <c r="D925" s="36"/>
      <c r="E925" s="36"/>
      <c r="F925" s="4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4"/>
      <c r="U925" s="34"/>
    </row>
    <row r="926" spans="3:21" x14ac:dyDescent="0.2">
      <c r="C926" s="36"/>
      <c r="D926" s="36"/>
      <c r="E926" s="36"/>
      <c r="F926" s="4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4"/>
      <c r="U926" s="34"/>
    </row>
    <row r="927" spans="3:21" x14ac:dyDescent="0.2">
      <c r="C927" s="36"/>
      <c r="D927" s="36"/>
      <c r="E927" s="36"/>
      <c r="F927" s="4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4"/>
      <c r="U927" s="34"/>
    </row>
    <row r="928" spans="3:21" x14ac:dyDescent="0.2">
      <c r="C928" s="36"/>
      <c r="D928" s="36"/>
      <c r="E928" s="36"/>
      <c r="F928" s="4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4"/>
      <c r="U928" s="34"/>
    </row>
    <row r="929" spans="3:21" x14ac:dyDescent="0.2">
      <c r="C929" s="36"/>
      <c r="D929" s="36"/>
      <c r="E929" s="36"/>
      <c r="F929" s="4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4"/>
      <c r="U929" s="34"/>
    </row>
    <row r="930" spans="3:21" x14ac:dyDescent="0.2">
      <c r="C930" s="36"/>
      <c r="D930" s="36"/>
      <c r="E930" s="36"/>
      <c r="F930" s="4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4"/>
      <c r="U930" s="34"/>
    </row>
    <row r="931" spans="3:21" x14ac:dyDescent="0.2">
      <c r="C931" s="36"/>
      <c r="D931" s="36"/>
      <c r="E931" s="36"/>
      <c r="F931" s="4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4"/>
      <c r="U931" s="34"/>
    </row>
    <row r="932" spans="3:21" x14ac:dyDescent="0.2">
      <c r="C932" s="36"/>
      <c r="D932" s="36"/>
      <c r="E932" s="36"/>
      <c r="F932" s="4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4"/>
      <c r="U932" s="34"/>
    </row>
    <row r="933" spans="3:21" x14ac:dyDescent="0.2">
      <c r="C933" s="36"/>
      <c r="D933" s="36"/>
      <c r="E933" s="36"/>
      <c r="F933" s="4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4"/>
      <c r="U933" s="34"/>
    </row>
    <row r="934" spans="3:21" x14ac:dyDescent="0.2">
      <c r="C934" s="36"/>
      <c r="D934" s="36"/>
      <c r="E934" s="36"/>
      <c r="F934" s="4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4"/>
      <c r="U934" s="34"/>
    </row>
    <row r="935" spans="3:21" x14ac:dyDescent="0.2">
      <c r="C935" s="36"/>
      <c r="D935" s="36"/>
      <c r="E935" s="36"/>
      <c r="F935" s="4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4"/>
      <c r="U935" s="34"/>
    </row>
    <row r="936" spans="3:21" x14ac:dyDescent="0.2">
      <c r="C936" s="36"/>
      <c r="D936" s="36"/>
      <c r="E936" s="36"/>
      <c r="F936" s="4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4"/>
      <c r="U936" s="34"/>
    </row>
    <row r="937" spans="3:21" x14ac:dyDescent="0.2">
      <c r="C937" s="36"/>
      <c r="D937" s="36"/>
      <c r="E937" s="36"/>
      <c r="F937" s="4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4"/>
      <c r="U937" s="34"/>
    </row>
    <row r="938" spans="3:21" x14ac:dyDescent="0.2">
      <c r="C938" s="36"/>
      <c r="D938" s="36"/>
      <c r="E938" s="36"/>
      <c r="F938" s="4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4"/>
      <c r="U938" s="34"/>
    </row>
    <row r="939" spans="3:21" x14ac:dyDescent="0.2">
      <c r="C939" s="36"/>
      <c r="D939" s="36"/>
      <c r="E939" s="36"/>
      <c r="F939" s="4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4"/>
      <c r="U939" s="34"/>
    </row>
    <row r="940" spans="3:21" x14ac:dyDescent="0.2">
      <c r="C940" s="36"/>
      <c r="D940" s="36"/>
      <c r="E940" s="36"/>
      <c r="F940" s="4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4"/>
      <c r="U940" s="34"/>
    </row>
    <row r="941" spans="3:21" x14ac:dyDescent="0.2">
      <c r="C941" s="36"/>
      <c r="D941" s="36"/>
      <c r="E941" s="36"/>
      <c r="F941" s="4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4"/>
      <c r="U941" s="34"/>
    </row>
    <row r="942" spans="3:21" x14ac:dyDescent="0.2">
      <c r="C942" s="36"/>
      <c r="D942" s="36"/>
      <c r="E942" s="36"/>
      <c r="F942" s="4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4"/>
      <c r="U942" s="34"/>
    </row>
    <row r="943" spans="3:21" x14ac:dyDescent="0.2">
      <c r="C943" s="36"/>
      <c r="D943" s="36"/>
      <c r="E943" s="36"/>
      <c r="F943" s="4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4"/>
      <c r="U943" s="34"/>
    </row>
    <row r="944" spans="3:21" x14ac:dyDescent="0.2">
      <c r="C944" s="36"/>
      <c r="D944" s="36"/>
      <c r="E944" s="36"/>
      <c r="F944" s="4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4"/>
      <c r="U944" s="34"/>
    </row>
    <row r="945" spans="3:21" x14ac:dyDescent="0.2">
      <c r="C945" s="36"/>
      <c r="D945" s="36"/>
      <c r="E945" s="36"/>
      <c r="F945" s="4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4"/>
      <c r="U945" s="34"/>
    </row>
    <row r="946" spans="3:21" x14ac:dyDescent="0.2">
      <c r="C946" s="36"/>
      <c r="D946" s="36"/>
      <c r="E946" s="36"/>
      <c r="F946" s="4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4"/>
      <c r="U946" s="34"/>
    </row>
    <row r="947" spans="3:21" x14ac:dyDescent="0.2">
      <c r="C947" s="36"/>
      <c r="D947" s="36"/>
      <c r="E947" s="36"/>
      <c r="F947" s="4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4"/>
      <c r="U947" s="34"/>
    </row>
    <row r="948" spans="3:21" x14ac:dyDescent="0.2">
      <c r="C948" s="36"/>
      <c r="D948" s="36"/>
      <c r="E948" s="36"/>
      <c r="F948" s="4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4"/>
      <c r="U948" s="34"/>
    </row>
    <row r="949" spans="3:21" x14ac:dyDescent="0.2">
      <c r="C949" s="36"/>
      <c r="D949" s="36"/>
      <c r="E949" s="36"/>
      <c r="F949" s="4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4"/>
      <c r="U949" s="34"/>
    </row>
    <row r="950" spans="3:21" x14ac:dyDescent="0.2">
      <c r="C950" s="36"/>
      <c r="D950" s="36"/>
      <c r="E950" s="36"/>
      <c r="F950" s="4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4"/>
      <c r="U950" s="34"/>
    </row>
    <row r="951" spans="3:21" x14ac:dyDescent="0.2">
      <c r="C951" s="36"/>
      <c r="D951" s="36"/>
      <c r="E951" s="36"/>
      <c r="F951" s="4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4"/>
      <c r="U951" s="34"/>
    </row>
    <row r="952" spans="3:21" x14ac:dyDescent="0.2">
      <c r="C952" s="36"/>
      <c r="D952" s="36"/>
      <c r="E952" s="36"/>
      <c r="F952" s="4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4"/>
      <c r="U952" s="34"/>
    </row>
    <row r="953" spans="3:21" x14ac:dyDescent="0.2">
      <c r="C953" s="36"/>
      <c r="D953" s="36"/>
      <c r="E953" s="36"/>
      <c r="F953" s="4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4"/>
      <c r="U953" s="34"/>
    </row>
    <row r="954" spans="3:21" x14ac:dyDescent="0.2">
      <c r="C954" s="36"/>
      <c r="D954" s="36"/>
      <c r="E954" s="36"/>
      <c r="F954" s="4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4"/>
      <c r="U954" s="34"/>
    </row>
    <row r="955" spans="3:21" x14ac:dyDescent="0.2">
      <c r="C955" s="36"/>
      <c r="D955" s="36"/>
      <c r="E955" s="36"/>
      <c r="F955" s="4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4"/>
      <c r="U955" s="34"/>
    </row>
    <row r="956" spans="3:21" x14ac:dyDescent="0.2">
      <c r="C956" s="36"/>
      <c r="D956" s="36"/>
      <c r="E956" s="36"/>
      <c r="F956" s="4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4"/>
      <c r="U956" s="34"/>
    </row>
    <row r="957" spans="3:21" x14ac:dyDescent="0.2">
      <c r="C957" s="36"/>
      <c r="D957" s="36"/>
      <c r="E957" s="36"/>
      <c r="F957" s="4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4"/>
      <c r="U957" s="34"/>
    </row>
    <row r="958" spans="3:21" x14ac:dyDescent="0.2">
      <c r="C958" s="36"/>
      <c r="D958" s="36"/>
      <c r="E958" s="36"/>
      <c r="F958" s="4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4"/>
      <c r="U958" s="34"/>
    </row>
    <row r="959" spans="3:21" x14ac:dyDescent="0.2">
      <c r="C959" s="36"/>
      <c r="D959" s="36"/>
      <c r="E959" s="36"/>
      <c r="F959" s="4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4"/>
      <c r="U959" s="34"/>
    </row>
    <row r="960" spans="3:21" x14ac:dyDescent="0.2">
      <c r="C960" s="36"/>
      <c r="D960" s="36"/>
      <c r="E960" s="36"/>
      <c r="F960" s="4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4"/>
      <c r="U960" s="34"/>
    </row>
    <row r="961" spans="3:21" x14ac:dyDescent="0.2">
      <c r="C961" s="36"/>
      <c r="D961" s="36"/>
      <c r="E961" s="36"/>
      <c r="F961" s="4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4"/>
      <c r="U961" s="34"/>
    </row>
    <row r="962" spans="3:21" x14ac:dyDescent="0.2">
      <c r="C962" s="36"/>
      <c r="D962" s="36"/>
      <c r="E962" s="36"/>
      <c r="F962" s="4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4"/>
      <c r="U962" s="34"/>
    </row>
    <row r="963" spans="3:21" x14ac:dyDescent="0.2">
      <c r="C963" s="36"/>
      <c r="D963" s="36"/>
      <c r="E963" s="36"/>
      <c r="F963" s="4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4"/>
      <c r="U963" s="34"/>
    </row>
    <row r="964" spans="3:21" x14ac:dyDescent="0.2">
      <c r="C964" s="36"/>
      <c r="D964" s="36"/>
      <c r="E964" s="36"/>
      <c r="F964" s="4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4"/>
      <c r="U964" s="34"/>
    </row>
    <row r="965" spans="3:21" x14ac:dyDescent="0.2">
      <c r="C965" s="36"/>
      <c r="D965" s="36"/>
      <c r="E965" s="36"/>
      <c r="F965" s="4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4"/>
      <c r="U965" s="34"/>
    </row>
    <row r="966" spans="3:21" x14ac:dyDescent="0.2">
      <c r="C966" s="36"/>
      <c r="D966" s="36"/>
      <c r="E966" s="36"/>
      <c r="F966" s="4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4"/>
      <c r="U966" s="34"/>
    </row>
    <row r="967" spans="3:21" x14ac:dyDescent="0.2">
      <c r="C967" s="36"/>
      <c r="D967" s="36"/>
      <c r="E967" s="36"/>
      <c r="F967" s="4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4"/>
      <c r="U967" s="34"/>
    </row>
    <row r="968" spans="3:21" x14ac:dyDescent="0.2">
      <c r="C968" s="36"/>
      <c r="D968" s="36"/>
      <c r="E968" s="36"/>
      <c r="F968" s="4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4"/>
      <c r="U968" s="34"/>
    </row>
    <row r="969" spans="3:21" x14ac:dyDescent="0.2">
      <c r="C969" s="36"/>
      <c r="D969" s="36"/>
      <c r="E969" s="36"/>
      <c r="F969" s="4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4"/>
      <c r="U969" s="34"/>
    </row>
    <row r="970" spans="3:21" x14ac:dyDescent="0.2">
      <c r="C970" s="36"/>
      <c r="D970" s="36"/>
      <c r="E970" s="36"/>
      <c r="F970" s="4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4"/>
      <c r="U970" s="34"/>
    </row>
    <row r="971" spans="3:21" x14ac:dyDescent="0.2">
      <c r="C971" s="36"/>
      <c r="D971" s="36"/>
      <c r="E971" s="36"/>
      <c r="F971" s="4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4"/>
      <c r="U971" s="34"/>
    </row>
    <row r="972" spans="3:21" x14ac:dyDescent="0.2">
      <c r="C972" s="36"/>
      <c r="D972" s="36"/>
      <c r="E972" s="36"/>
      <c r="F972" s="4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4"/>
      <c r="U972" s="34"/>
    </row>
    <row r="973" spans="3:21" x14ac:dyDescent="0.2">
      <c r="C973" s="36"/>
      <c r="D973" s="36"/>
      <c r="E973" s="36"/>
      <c r="F973" s="4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4"/>
      <c r="U973" s="34"/>
    </row>
    <row r="974" spans="3:21" x14ac:dyDescent="0.2">
      <c r="C974" s="36"/>
      <c r="D974" s="36"/>
      <c r="E974" s="36"/>
      <c r="F974" s="4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4"/>
      <c r="U974" s="34"/>
    </row>
    <row r="975" spans="3:21" x14ac:dyDescent="0.2">
      <c r="C975" s="36"/>
      <c r="D975" s="36"/>
      <c r="E975" s="36"/>
      <c r="F975" s="4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4"/>
      <c r="U975" s="34"/>
    </row>
    <row r="976" spans="3:21" x14ac:dyDescent="0.2">
      <c r="C976" s="36"/>
      <c r="D976" s="36"/>
      <c r="E976" s="36"/>
      <c r="F976" s="4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4"/>
      <c r="U976" s="34"/>
    </row>
    <row r="977" spans="3:21" x14ac:dyDescent="0.2">
      <c r="C977" s="36"/>
      <c r="D977" s="36"/>
      <c r="E977" s="36"/>
      <c r="F977" s="4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4"/>
      <c r="U977" s="34"/>
    </row>
    <row r="978" spans="3:21" x14ac:dyDescent="0.2">
      <c r="C978" s="36"/>
      <c r="D978" s="36"/>
      <c r="E978" s="36"/>
      <c r="F978" s="4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4"/>
      <c r="U978" s="34"/>
    </row>
    <row r="979" spans="3:21" x14ac:dyDescent="0.2">
      <c r="C979" s="36"/>
      <c r="D979" s="36"/>
      <c r="E979" s="36"/>
      <c r="F979" s="4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4"/>
      <c r="U979" s="34"/>
    </row>
    <row r="980" spans="3:21" x14ac:dyDescent="0.2">
      <c r="C980" s="36"/>
      <c r="D980" s="36"/>
      <c r="E980" s="36"/>
      <c r="F980" s="4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4"/>
      <c r="U980" s="34"/>
    </row>
    <row r="981" spans="3:21" x14ac:dyDescent="0.2">
      <c r="C981" s="36"/>
      <c r="D981" s="36"/>
      <c r="E981" s="36"/>
      <c r="F981" s="4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4"/>
      <c r="U981" s="34"/>
    </row>
    <row r="982" spans="3:21" x14ac:dyDescent="0.2">
      <c r="C982" s="36"/>
      <c r="D982" s="36"/>
      <c r="E982" s="36"/>
      <c r="F982" s="4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4"/>
      <c r="U982" s="34"/>
    </row>
    <row r="983" spans="3:21" x14ac:dyDescent="0.2">
      <c r="C983" s="36"/>
      <c r="D983" s="36"/>
      <c r="E983" s="36"/>
      <c r="F983" s="4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4"/>
      <c r="U983" s="34"/>
    </row>
    <row r="984" spans="3:21" x14ac:dyDescent="0.2">
      <c r="C984" s="36"/>
      <c r="D984" s="36"/>
      <c r="E984" s="36"/>
      <c r="F984" s="4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4"/>
      <c r="U984" s="34"/>
    </row>
    <row r="985" spans="3:21" x14ac:dyDescent="0.2">
      <c r="C985" s="36"/>
      <c r="D985" s="36"/>
      <c r="E985" s="36"/>
      <c r="F985" s="4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4"/>
      <c r="U985" s="34"/>
    </row>
    <row r="986" spans="3:21" x14ac:dyDescent="0.2">
      <c r="C986" s="36"/>
      <c r="D986" s="36"/>
      <c r="E986" s="36"/>
      <c r="F986" s="4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4"/>
      <c r="U986" s="34"/>
    </row>
    <row r="987" spans="3:21" x14ac:dyDescent="0.2">
      <c r="C987" s="36"/>
      <c r="D987" s="36"/>
      <c r="E987" s="36"/>
      <c r="F987" s="4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4"/>
      <c r="U987" s="34"/>
    </row>
    <row r="988" spans="3:21" x14ac:dyDescent="0.2">
      <c r="C988" s="36"/>
      <c r="D988" s="36"/>
      <c r="E988" s="36"/>
      <c r="F988" s="4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4"/>
      <c r="U988" s="34"/>
    </row>
    <row r="989" spans="3:21" x14ac:dyDescent="0.2">
      <c r="C989" s="36"/>
      <c r="D989" s="36"/>
      <c r="E989" s="36"/>
      <c r="F989" s="4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4"/>
      <c r="U989" s="34"/>
    </row>
    <row r="990" spans="3:21" x14ac:dyDescent="0.2">
      <c r="C990" s="36"/>
      <c r="D990" s="36"/>
      <c r="E990" s="36"/>
      <c r="F990" s="4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4"/>
      <c r="U990" s="34"/>
    </row>
    <row r="991" spans="3:21" x14ac:dyDescent="0.2">
      <c r="C991" s="36"/>
      <c r="D991" s="36"/>
      <c r="E991" s="36"/>
      <c r="F991" s="4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4"/>
      <c r="U991" s="34"/>
    </row>
    <row r="992" spans="3:21" x14ac:dyDescent="0.2">
      <c r="C992" s="36"/>
      <c r="D992" s="36"/>
      <c r="E992" s="36"/>
      <c r="F992" s="4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4"/>
      <c r="U992" s="34"/>
    </row>
  </sheetData>
  <pageMargins left="0.7" right="0.7" top="0.75" bottom="0.75" header="0.3" footer="0.3"/>
  <pageSetup scale="62" fitToHeight="10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682D8-4200-664D-A6F1-04A5244C4FB0}">
  <sheetPr>
    <pageSetUpPr fitToPage="1"/>
  </sheetPr>
  <dimension ref="A1:AN991"/>
  <sheetViews>
    <sheetView topLeftCell="U1" zoomScaleNormal="100" workbookViewId="0">
      <pane ySplit="1" topLeftCell="A2" activePane="bottomLeft" state="frozen"/>
      <selection pane="bottomLeft" activeCell="AA3" sqref="AA3"/>
    </sheetView>
  </sheetViews>
  <sheetFormatPr baseColWidth="10" defaultRowHeight="16" x14ac:dyDescent="0.2"/>
  <cols>
    <col min="1" max="2" width="10.83203125" customWidth="1"/>
    <col min="3" max="3" width="11" style="4"/>
    <col min="4" max="5" width="11" style="4" customWidth="1"/>
    <col min="6" max="6" width="17" style="4" customWidth="1"/>
    <col min="7" max="7" width="12.83203125" style="4" customWidth="1"/>
    <col min="8" max="10" width="15" style="4" bestFit="1" customWidth="1"/>
    <col min="11" max="13" width="21.1640625" style="4" bestFit="1" customWidth="1"/>
    <col min="14" max="16" width="15.33203125" style="4" bestFit="1" customWidth="1"/>
    <col min="17" max="19" width="19.1640625" style="4" bestFit="1" customWidth="1"/>
    <col min="20" max="20" width="11" style="4"/>
    <col min="21" max="21" width="14.1640625" style="4" bestFit="1" customWidth="1"/>
    <col min="22" max="22" width="17.6640625" style="4" bestFit="1" customWidth="1"/>
    <col min="23" max="23" width="16.6640625" style="4" bestFit="1" customWidth="1"/>
    <col min="24" max="27" width="10.83203125" style="4"/>
    <col min="28" max="30" width="11.83203125" style="4" bestFit="1" customWidth="1"/>
    <col min="31" max="31" width="14.33203125" style="4" bestFit="1" customWidth="1"/>
    <col min="32" max="32" width="10.83203125" style="4" customWidth="1"/>
    <col min="33" max="33" width="13" style="4" bestFit="1" customWidth="1"/>
    <col min="34" max="34" width="10.83203125" style="4"/>
    <col min="35" max="35" width="14.33203125" style="4" bestFit="1" customWidth="1"/>
    <col min="36" max="36" width="15.5" style="4" bestFit="1" customWidth="1"/>
    <col min="37" max="37" width="13" style="23" bestFit="1" customWidth="1"/>
    <col min="38" max="38" width="13.83203125" style="23" bestFit="1" customWidth="1"/>
    <col min="39" max="39" width="17.5" style="23" bestFit="1" customWidth="1"/>
    <col min="40" max="40" width="14.6640625" style="23" bestFit="1" customWidth="1"/>
    <col min="41" max="16384" width="10.83203125" style="13"/>
  </cols>
  <sheetData>
    <row r="1" spans="1:40" ht="17" thickBot="1" x14ac:dyDescent="0.25">
      <c r="A1" s="6" t="s">
        <v>5</v>
      </c>
      <c r="B1" s="31" t="s">
        <v>45</v>
      </c>
      <c r="C1" s="28" t="s">
        <v>25</v>
      </c>
      <c r="D1" s="28" t="s">
        <v>26</v>
      </c>
      <c r="E1" s="28" t="s">
        <v>27</v>
      </c>
      <c r="F1" s="53" t="s">
        <v>28</v>
      </c>
      <c r="G1" s="53" t="s">
        <v>29</v>
      </c>
      <c r="H1" s="31" t="s">
        <v>30</v>
      </c>
      <c r="I1" s="31" t="s">
        <v>31</v>
      </c>
      <c r="J1" s="31" t="s">
        <v>32</v>
      </c>
      <c r="K1" s="31" t="s">
        <v>33</v>
      </c>
      <c r="L1" s="31" t="s">
        <v>34</v>
      </c>
      <c r="M1" s="31" t="s">
        <v>35</v>
      </c>
      <c r="N1" s="31" t="s">
        <v>36</v>
      </c>
      <c r="O1" s="31" t="s">
        <v>37</v>
      </c>
      <c r="P1" s="31" t="s">
        <v>38</v>
      </c>
      <c r="Q1" s="31" t="s">
        <v>39</v>
      </c>
      <c r="R1" s="31" t="s">
        <v>40</v>
      </c>
      <c r="S1" s="31" t="s">
        <v>41</v>
      </c>
      <c r="T1" s="31" t="s">
        <v>42</v>
      </c>
      <c r="U1" s="31" t="s">
        <v>43</v>
      </c>
      <c r="V1" s="1" t="s">
        <v>2</v>
      </c>
      <c r="W1" s="1" t="s">
        <v>3</v>
      </c>
      <c r="X1" s="1" t="s">
        <v>0</v>
      </c>
      <c r="Y1" s="1" t="s">
        <v>8</v>
      </c>
      <c r="Z1" s="3" t="s">
        <v>4</v>
      </c>
      <c r="AA1" s="6" t="s">
        <v>9</v>
      </c>
      <c r="AB1" s="1" t="s">
        <v>12</v>
      </c>
      <c r="AC1" s="1" t="s">
        <v>13</v>
      </c>
      <c r="AD1" s="2" t="s">
        <v>14</v>
      </c>
      <c r="AE1" s="7" t="s">
        <v>15</v>
      </c>
      <c r="AF1" s="6" t="s">
        <v>10</v>
      </c>
      <c r="AG1" s="3" t="s">
        <v>16</v>
      </c>
      <c r="AH1" s="6" t="s">
        <v>11</v>
      </c>
      <c r="AI1" s="17" t="s">
        <v>17</v>
      </c>
      <c r="AJ1" s="1" t="s">
        <v>18</v>
      </c>
      <c r="AK1" s="18" t="s">
        <v>19</v>
      </c>
      <c r="AL1" s="18" t="s">
        <v>20</v>
      </c>
      <c r="AM1" s="19" t="s">
        <v>21</v>
      </c>
      <c r="AN1" s="20" t="s">
        <v>22</v>
      </c>
    </row>
    <row r="2" spans="1:40" x14ac:dyDescent="0.2">
      <c r="A2" s="14">
        <v>12</v>
      </c>
      <c r="B2" s="4" t="s">
        <v>54</v>
      </c>
      <c r="C2" s="30" t="s">
        <v>23</v>
      </c>
      <c r="D2" s="30">
        <v>5</v>
      </c>
      <c r="E2" s="30">
        <v>0</v>
      </c>
      <c r="F2" s="30" t="s">
        <v>7</v>
      </c>
      <c r="G2" s="30">
        <v>30</v>
      </c>
      <c r="H2" s="33">
        <v>4.3750855578370977</v>
      </c>
      <c r="I2" s="33">
        <v>6.2724161533196439</v>
      </c>
      <c r="J2" s="33">
        <v>10.647501711156742</v>
      </c>
      <c r="K2" s="33">
        <v>4.4134154688569476</v>
      </c>
      <c r="L2" s="33">
        <v>6.2340862422997949</v>
      </c>
      <c r="M2" s="33">
        <v>10.647501711156742</v>
      </c>
      <c r="N2" s="33">
        <v>4.3203285420944555</v>
      </c>
      <c r="O2" s="33">
        <v>6.2669404517453797</v>
      </c>
      <c r="P2" s="33">
        <v>10.587268993839835</v>
      </c>
      <c r="Q2" s="33" t="s">
        <v>7</v>
      </c>
      <c r="R2" s="33" t="s">
        <v>7</v>
      </c>
      <c r="S2" s="33" t="s">
        <v>7</v>
      </c>
      <c r="T2" s="12">
        <v>5</v>
      </c>
      <c r="U2" s="12">
        <v>20</v>
      </c>
      <c r="V2" s="10" t="s">
        <v>1</v>
      </c>
      <c r="W2" s="10">
        <v>1</v>
      </c>
      <c r="X2" s="10">
        <v>2</v>
      </c>
      <c r="Y2" s="10">
        <v>1</v>
      </c>
      <c r="Z2" s="10">
        <v>3</v>
      </c>
      <c r="AA2" s="8" cm="1">
        <f t="array" ref="AA2">IF(OR(AB2:AE2=""),"BLANK",IF(AND(AB2:AE2&lt;999),1,IF(AND(AB2:AE2="NA"),3,2)))</f>
        <v>1</v>
      </c>
      <c r="AB2" s="10">
        <v>32</v>
      </c>
      <c r="AC2" s="10">
        <v>22</v>
      </c>
      <c r="AD2" s="10">
        <v>16</v>
      </c>
      <c r="AE2" s="11">
        <v>70</v>
      </c>
      <c r="AF2" s="8">
        <f t="shared" ref="AF2:AF65" si="0">IF(OR(AG2="NA", AG2="xx"), 3,1)</f>
        <v>1</v>
      </c>
      <c r="AG2" s="11">
        <v>54</v>
      </c>
      <c r="AH2" s="9" cm="1">
        <f t="array" ref="AH2">IF(OR(AI2:AN2=""),"BLANK",IF(AND(AI2:AN2&lt;99),1,IF(AND(AI2:AN2="NA"),3,2)))</f>
        <v>2</v>
      </c>
      <c r="AI2" s="4">
        <v>43</v>
      </c>
      <c r="AJ2" s="4" t="s">
        <v>7</v>
      </c>
      <c r="AK2" s="21">
        <v>90.75</v>
      </c>
      <c r="AL2" s="21">
        <v>84.72</v>
      </c>
      <c r="AM2" s="21">
        <v>15.4</v>
      </c>
      <c r="AN2" s="22">
        <v>78.97</v>
      </c>
    </row>
    <row r="3" spans="1:40" x14ac:dyDescent="0.2">
      <c r="A3" s="15">
        <v>49</v>
      </c>
      <c r="B3" s="4" t="s">
        <v>47</v>
      </c>
      <c r="C3" s="30" t="s">
        <v>23</v>
      </c>
      <c r="D3" s="30">
        <v>5</v>
      </c>
      <c r="E3" s="30">
        <v>0</v>
      </c>
      <c r="F3" s="30" t="s">
        <v>7</v>
      </c>
      <c r="G3" s="30">
        <v>30</v>
      </c>
      <c r="H3" s="33">
        <v>4.5667351129363452</v>
      </c>
      <c r="I3" s="33">
        <v>5.6153319644079396</v>
      </c>
      <c r="J3" s="33">
        <v>10.182067077344286</v>
      </c>
      <c r="K3" s="33">
        <v>4.8651608487337441</v>
      </c>
      <c r="L3" s="33">
        <v>5.3086926762491444</v>
      </c>
      <c r="M3" s="33">
        <v>10.173853524982889</v>
      </c>
      <c r="N3" s="33">
        <v>4.1779603011635862</v>
      </c>
      <c r="O3" s="33" t="s">
        <v>7</v>
      </c>
      <c r="P3" s="33" t="s">
        <v>7</v>
      </c>
      <c r="Q3" s="33" t="s">
        <v>7</v>
      </c>
      <c r="R3" s="33" t="s">
        <v>7</v>
      </c>
      <c r="S3" s="33" t="s">
        <v>7</v>
      </c>
      <c r="T3" s="12">
        <v>3</v>
      </c>
      <c r="U3" s="12">
        <v>13</v>
      </c>
      <c r="V3" s="4" t="s">
        <v>1</v>
      </c>
      <c r="W3" s="4">
        <v>1</v>
      </c>
      <c r="X3" s="4">
        <v>2</v>
      </c>
      <c r="Y3" s="4">
        <v>1</v>
      </c>
      <c r="Z3" s="56">
        <v>3</v>
      </c>
      <c r="AA3" s="9" cm="1">
        <f t="array" ref="AA3">IF(OR(AB3:AE3=""),"BLANK",IF(AND(AB3:AE3&lt;999),1,IF(AND(AB3:AE3="NA"),3,2)))</f>
        <v>1</v>
      </c>
      <c r="AB3" s="4">
        <v>23</v>
      </c>
      <c r="AC3" s="4">
        <v>17</v>
      </c>
      <c r="AD3" s="4">
        <v>7</v>
      </c>
      <c r="AE3" s="5">
        <v>47</v>
      </c>
      <c r="AF3" s="9">
        <f t="shared" si="0"/>
        <v>1</v>
      </c>
      <c r="AG3" s="5">
        <v>46</v>
      </c>
      <c r="AH3" s="9" cm="1">
        <f t="array" ref="AH3">IF(OR(AI3:AN3=""),"BLANK",IF(AND(AI3:AN3&lt;99),1,IF(AND(AI3:AN3="NA"),3,2)))</f>
        <v>2</v>
      </c>
      <c r="AI3" s="4">
        <v>42</v>
      </c>
      <c r="AJ3" s="4" t="s">
        <v>7</v>
      </c>
      <c r="AK3" s="21">
        <v>89.6</v>
      </c>
      <c r="AL3" s="21">
        <v>93.47</v>
      </c>
      <c r="AM3" s="21">
        <v>33</v>
      </c>
      <c r="AN3" s="22" t="s">
        <v>7</v>
      </c>
    </row>
    <row r="4" spans="1:40" x14ac:dyDescent="0.2">
      <c r="A4" s="15">
        <v>61</v>
      </c>
      <c r="B4" s="4" t="s">
        <v>62</v>
      </c>
      <c r="C4" s="30" t="s">
        <v>23</v>
      </c>
      <c r="D4" s="30">
        <v>2</v>
      </c>
      <c r="E4" s="30">
        <v>0</v>
      </c>
      <c r="F4" s="30" t="s">
        <v>7</v>
      </c>
      <c r="G4" s="30">
        <v>29</v>
      </c>
      <c r="H4" s="33">
        <v>4.1232032854209448</v>
      </c>
      <c r="I4" s="33" t="s">
        <v>7</v>
      </c>
      <c r="J4" s="33" t="s">
        <v>7</v>
      </c>
      <c r="K4" s="33" t="s">
        <v>7</v>
      </c>
      <c r="L4" s="33" t="s">
        <v>7</v>
      </c>
      <c r="M4" s="33" t="s">
        <v>7</v>
      </c>
      <c r="N4" s="33">
        <v>4.1971252566735116</v>
      </c>
      <c r="O4" s="33" t="s">
        <v>7</v>
      </c>
      <c r="P4" s="33" t="s">
        <v>7</v>
      </c>
      <c r="Q4" s="33" t="s">
        <v>7</v>
      </c>
      <c r="R4" s="33" t="s">
        <v>7</v>
      </c>
      <c r="S4" s="33" t="s">
        <v>7</v>
      </c>
      <c r="T4" s="12">
        <v>6</v>
      </c>
      <c r="U4" s="12">
        <v>18</v>
      </c>
      <c r="V4" s="4" t="s">
        <v>1</v>
      </c>
      <c r="W4" s="4">
        <v>1</v>
      </c>
      <c r="X4" s="4">
        <v>2</v>
      </c>
      <c r="Y4" s="4">
        <v>1</v>
      </c>
      <c r="Z4" s="56">
        <v>3</v>
      </c>
      <c r="AA4" s="9" cm="1">
        <f t="array" ref="AA4">IF(OR(AB4:AE4=""),"BLANK",IF(AND(AB4:AE4&lt;999),1,IF(AND(AB4:AE4="NA"),3,2)))</f>
        <v>1</v>
      </c>
      <c r="AB4" s="4">
        <v>29</v>
      </c>
      <c r="AC4" s="4">
        <v>25</v>
      </c>
      <c r="AD4" s="4">
        <v>16</v>
      </c>
      <c r="AE4" s="5">
        <v>70</v>
      </c>
      <c r="AF4" s="9">
        <f t="shared" si="0"/>
        <v>1</v>
      </c>
      <c r="AG4" s="5">
        <v>69</v>
      </c>
      <c r="AH4" s="9" cm="1">
        <f t="array" ref="AH4">IF(OR(AI4:AN4=""),"BLANK",IF(AND(AI4:AN4&lt;99),1,IF(AND(AI4:AN4="NA"),3,2)))</f>
        <v>2</v>
      </c>
      <c r="AI4" s="4">
        <v>46</v>
      </c>
      <c r="AJ4" s="4" t="s">
        <v>7</v>
      </c>
      <c r="AK4" s="21">
        <v>93.98</v>
      </c>
      <c r="AL4" s="21">
        <v>89.92</v>
      </c>
      <c r="AM4" s="21">
        <v>25.1</v>
      </c>
      <c r="AN4" s="22">
        <v>92.47</v>
      </c>
    </row>
    <row r="5" spans="1:40" x14ac:dyDescent="0.2">
      <c r="A5" s="15">
        <v>80</v>
      </c>
      <c r="B5" s="4" t="s">
        <v>51</v>
      </c>
      <c r="C5" s="30" t="s">
        <v>24</v>
      </c>
      <c r="D5" s="30">
        <v>5</v>
      </c>
      <c r="E5" s="30">
        <v>0</v>
      </c>
      <c r="F5" s="30" t="s">
        <v>7</v>
      </c>
      <c r="G5" s="30">
        <v>30</v>
      </c>
      <c r="H5" s="33">
        <v>4.2272416153319643</v>
      </c>
      <c r="I5" s="33" t="s">
        <v>7</v>
      </c>
      <c r="J5" s="33" t="s">
        <v>7</v>
      </c>
      <c r="K5" s="33">
        <v>4.2409308692676246</v>
      </c>
      <c r="L5" s="33" t="s">
        <v>7</v>
      </c>
      <c r="M5" s="33" t="s">
        <v>7</v>
      </c>
      <c r="N5" s="33">
        <v>4.2080766598220398</v>
      </c>
      <c r="O5" s="33" t="s">
        <v>7</v>
      </c>
      <c r="P5" s="33" t="s">
        <v>7</v>
      </c>
      <c r="Q5" s="33" t="s">
        <v>7</v>
      </c>
      <c r="R5" s="33" t="s">
        <v>7</v>
      </c>
      <c r="S5" s="33" t="s">
        <v>7</v>
      </c>
      <c r="T5" s="12">
        <v>2</v>
      </c>
      <c r="U5" s="12">
        <v>12</v>
      </c>
      <c r="V5" s="4" t="s">
        <v>1</v>
      </c>
      <c r="W5" s="4">
        <v>1</v>
      </c>
      <c r="X5" s="4">
        <v>2</v>
      </c>
      <c r="Y5" s="4">
        <v>1</v>
      </c>
      <c r="Z5" s="56">
        <v>3</v>
      </c>
      <c r="AA5" s="9" cm="1">
        <f t="array" ref="AA5">IF(OR(AB5:AE5=""),"BLANK",IF(AND(AB5:AE5&lt;999),1,IF(AND(AB5:AE5="NA"),3,2)))</f>
        <v>1</v>
      </c>
      <c r="AB5" s="4">
        <v>32</v>
      </c>
      <c r="AC5" s="4">
        <v>24</v>
      </c>
      <c r="AD5" s="4">
        <v>15</v>
      </c>
      <c r="AE5" s="5">
        <v>71</v>
      </c>
      <c r="AF5" s="9">
        <f t="shared" si="0"/>
        <v>1</v>
      </c>
      <c r="AG5" s="5">
        <v>48</v>
      </c>
      <c r="AH5" s="9" cm="1">
        <f t="array" ref="AH5">IF(OR(AI5:AN5=""),"BLANK",IF(AND(AI5:AN5&lt;99),1,IF(AND(AI5:AN5="NA"),3,2)))</f>
        <v>2</v>
      </c>
      <c r="AI5" s="4">
        <v>51</v>
      </c>
      <c r="AJ5" s="4" t="s">
        <v>7</v>
      </c>
      <c r="AK5" s="21">
        <v>99.21</v>
      </c>
      <c r="AL5" s="21">
        <v>89.74</v>
      </c>
      <c r="AM5" s="21">
        <v>24.8</v>
      </c>
      <c r="AN5" s="22" t="s">
        <v>7</v>
      </c>
    </row>
    <row r="6" spans="1:40" x14ac:dyDescent="0.2">
      <c r="A6" s="15">
        <v>81</v>
      </c>
      <c r="B6" s="4" t="s">
        <v>51</v>
      </c>
      <c r="C6" s="30" t="s">
        <v>23</v>
      </c>
      <c r="D6" s="30">
        <v>5</v>
      </c>
      <c r="E6" s="30">
        <v>0</v>
      </c>
      <c r="F6" s="30" t="s">
        <v>7</v>
      </c>
      <c r="G6" s="30">
        <v>29</v>
      </c>
      <c r="H6" s="33">
        <v>5.2867898699520879</v>
      </c>
      <c r="I6" s="33" t="s">
        <v>7</v>
      </c>
      <c r="J6" s="33" t="s">
        <v>7</v>
      </c>
      <c r="K6" s="33">
        <v>5.2867898699520879</v>
      </c>
      <c r="L6" s="33" t="s">
        <v>7</v>
      </c>
      <c r="M6" s="33" t="s">
        <v>7</v>
      </c>
      <c r="N6" s="33">
        <v>4.8104038329911019</v>
      </c>
      <c r="O6" s="33" t="s">
        <v>7</v>
      </c>
      <c r="P6" s="33" t="s">
        <v>7</v>
      </c>
      <c r="Q6" s="33" t="s">
        <v>7</v>
      </c>
      <c r="R6" s="33" t="s">
        <v>7</v>
      </c>
      <c r="S6" s="33" t="s">
        <v>7</v>
      </c>
      <c r="T6" s="12">
        <v>5</v>
      </c>
      <c r="U6" s="12">
        <v>18</v>
      </c>
      <c r="V6" s="4" t="s">
        <v>1</v>
      </c>
      <c r="W6" s="4">
        <v>1</v>
      </c>
      <c r="X6" s="4">
        <v>2</v>
      </c>
      <c r="Y6" s="4">
        <v>1</v>
      </c>
      <c r="Z6" s="56">
        <v>3</v>
      </c>
      <c r="AA6" s="9" cm="1">
        <f t="array" ref="AA6">IF(OR(AB6:AE6=""),"BLANK",IF(AND(AB6:AE6&lt;999),1,IF(AND(AB6:AE6="NA"),3,2)))</f>
        <v>1</v>
      </c>
      <c r="AB6" s="4">
        <v>38</v>
      </c>
      <c r="AC6" s="4">
        <v>27</v>
      </c>
      <c r="AD6" s="4">
        <v>15</v>
      </c>
      <c r="AE6" s="5">
        <v>80</v>
      </c>
      <c r="AF6" s="9">
        <f t="shared" si="0"/>
        <v>1</v>
      </c>
      <c r="AG6" s="5">
        <v>79</v>
      </c>
      <c r="AH6" s="9" cm="1">
        <f t="array" ref="AH6">IF(OR(AI6:AN6=""),"BLANK",IF(AND(AI6:AN6&lt;99),1,IF(AND(AI6:AN6="NA"),3,2)))</f>
        <v>2</v>
      </c>
      <c r="AI6" s="4">
        <v>61</v>
      </c>
      <c r="AJ6" s="4" t="s">
        <v>7</v>
      </c>
      <c r="AK6" s="21">
        <v>111.66</v>
      </c>
      <c r="AL6" s="21">
        <v>108.53</v>
      </c>
      <c r="AM6" s="21">
        <v>71.599999999999994</v>
      </c>
      <c r="AN6" s="22">
        <v>103.84</v>
      </c>
    </row>
    <row r="7" spans="1:40" x14ac:dyDescent="0.2">
      <c r="A7" s="15">
        <v>92</v>
      </c>
      <c r="B7" s="4" t="s">
        <v>62</v>
      </c>
      <c r="C7" s="30" t="s">
        <v>24</v>
      </c>
      <c r="D7" s="30">
        <v>5</v>
      </c>
      <c r="E7" s="30">
        <v>0</v>
      </c>
      <c r="F7" s="30" t="s">
        <v>7</v>
      </c>
      <c r="G7" s="30">
        <v>30</v>
      </c>
      <c r="H7" s="33">
        <v>4.3531827515400412</v>
      </c>
      <c r="I7" s="33">
        <v>5.7850787132101305</v>
      </c>
      <c r="J7" s="33">
        <v>10.138261464750171</v>
      </c>
      <c r="K7" s="33">
        <v>4.3778234086242298</v>
      </c>
      <c r="L7" s="33">
        <v>5.7549623545516768</v>
      </c>
      <c r="M7" s="33">
        <v>10.132785763175907</v>
      </c>
      <c r="N7" s="33">
        <v>4.3367556468172488</v>
      </c>
      <c r="O7" s="33">
        <v>5.4866529774127306</v>
      </c>
      <c r="P7" s="33">
        <v>9.8234086242299803</v>
      </c>
      <c r="Q7" s="33" t="s">
        <v>7</v>
      </c>
      <c r="R7" s="33" t="s">
        <v>7</v>
      </c>
      <c r="S7" s="33" t="s">
        <v>7</v>
      </c>
      <c r="T7" s="12">
        <v>4</v>
      </c>
      <c r="U7" s="12">
        <v>16</v>
      </c>
      <c r="V7" s="4" t="s">
        <v>1</v>
      </c>
      <c r="W7" s="4">
        <v>1</v>
      </c>
      <c r="X7" s="4">
        <v>2</v>
      </c>
      <c r="Y7" s="4">
        <v>1</v>
      </c>
      <c r="Z7" s="56">
        <v>3</v>
      </c>
      <c r="AA7" s="9" cm="1">
        <f t="array" ref="AA7">IF(OR(AB7:AE7=""),"BLANK",IF(AND(AB7:AE7&lt;999),1,IF(AND(AB7:AE7="NA"),3,2)))</f>
        <v>1</v>
      </c>
      <c r="AB7" s="4">
        <v>43</v>
      </c>
      <c r="AC7" s="4">
        <v>26</v>
      </c>
      <c r="AD7" s="4">
        <v>17</v>
      </c>
      <c r="AE7" s="5">
        <v>86</v>
      </c>
      <c r="AF7" s="9">
        <f t="shared" si="0"/>
        <v>1</v>
      </c>
      <c r="AG7" s="5">
        <v>78</v>
      </c>
      <c r="AH7" s="9" cm="1">
        <f t="array" ref="AH7">IF(OR(AI7:AN7=""),"BLANK",IF(AND(AI7:AN7&lt;99),1,IF(AND(AI7:AN7="NA"),3,2)))</f>
        <v>2</v>
      </c>
      <c r="AI7" s="4">
        <v>50</v>
      </c>
      <c r="AJ7" s="4" t="s">
        <v>7</v>
      </c>
      <c r="AK7" s="21">
        <v>98.63</v>
      </c>
      <c r="AL7" s="21">
        <v>97.59</v>
      </c>
      <c r="AM7" s="21">
        <v>43.6</v>
      </c>
      <c r="AN7" s="22" t="s">
        <v>7</v>
      </c>
    </row>
    <row r="8" spans="1:40" x14ac:dyDescent="0.2">
      <c r="A8" s="15">
        <v>103</v>
      </c>
      <c r="B8" s="4" t="s">
        <v>51</v>
      </c>
      <c r="C8" s="30" t="s">
        <v>23</v>
      </c>
      <c r="D8" s="30">
        <v>5</v>
      </c>
      <c r="E8" s="30">
        <v>0</v>
      </c>
      <c r="F8" s="30" t="s">
        <v>7</v>
      </c>
      <c r="G8" s="30">
        <v>30</v>
      </c>
      <c r="H8" s="33">
        <v>4.3942505133470222</v>
      </c>
      <c r="I8" s="33">
        <v>5.8617385352498292</v>
      </c>
      <c r="J8" s="33">
        <v>10.255989048596852</v>
      </c>
      <c r="K8" s="33">
        <v>4.4079397672826834</v>
      </c>
      <c r="L8" s="33">
        <v>5.848049281314168</v>
      </c>
      <c r="M8" s="33">
        <v>10.255989048596852</v>
      </c>
      <c r="N8" s="33">
        <v>4.2381930184804926</v>
      </c>
      <c r="O8" s="33">
        <v>5.5989048596851472</v>
      </c>
      <c r="P8" s="33">
        <v>9.8370978781656397</v>
      </c>
      <c r="Q8" s="33" t="s">
        <v>7</v>
      </c>
      <c r="R8" s="33" t="s">
        <v>7</v>
      </c>
      <c r="S8" s="33" t="s">
        <v>7</v>
      </c>
      <c r="T8" s="12">
        <v>6</v>
      </c>
      <c r="U8" s="12">
        <v>18</v>
      </c>
      <c r="V8" s="4" t="s">
        <v>1</v>
      </c>
      <c r="W8" s="4">
        <v>1</v>
      </c>
      <c r="X8" s="4">
        <v>2</v>
      </c>
      <c r="Y8" s="4">
        <v>1</v>
      </c>
      <c r="Z8" s="56">
        <v>3</v>
      </c>
      <c r="AA8" s="9" cm="1">
        <f t="array" ref="AA8">IF(OR(AB8:AE8=""),"BLANK",IF(AND(AB8:AE8&lt;999),1,IF(AND(AB8:AE8="NA"),3,2)))</f>
        <v>1</v>
      </c>
      <c r="AB8" s="4">
        <v>33</v>
      </c>
      <c r="AC8" s="4">
        <v>19</v>
      </c>
      <c r="AD8" s="4">
        <v>10</v>
      </c>
      <c r="AE8" s="5">
        <v>62</v>
      </c>
      <c r="AF8" s="9">
        <f t="shared" si="0"/>
        <v>1</v>
      </c>
      <c r="AG8" s="5">
        <v>58</v>
      </c>
      <c r="AH8" s="9" cm="1">
        <f t="array" ref="AH8">IF(OR(AI8:AN8=""),"BLANK",IF(AND(AI8:AN8&lt;99),1,IF(AND(AI8:AN8="NA"),3,2)))</f>
        <v>2</v>
      </c>
      <c r="AI8" s="4">
        <v>45</v>
      </c>
      <c r="AJ8" s="4" t="s">
        <v>7</v>
      </c>
      <c r="AK8" s="21">
        <v>92.98</v>
      </c>
      <c r="AL8" s="21">
        <v>80.209999999999994</v>
      </c>
      <c r="AM8" s="21">
        <v>9.3000000000000007</v>
      </c>
      <c r="AN8" s="22" t="s">
        <v>7</v>
      </c>
    </row>
    <row r="9" spans="1:40" x14ac:dyDescent="0.2">
      <c r="A9" s="15">
        <v>110</v>
      </c>
      <c r="B9" s="4" t="s">
        <v>64</v>
      </c>
      <c r="C9" s="30" t="s">
        <v>23</v>
      </c>
      <c r="D9" s="30">
        <v>5</v>
      </c>
      <c r="E9" s="30">
        <v>0</v>
      </c>
      <c r="F9" s="30" t="s">
        <v>7</v>
      </c>
      <c r="G9" s="30">
        <v>30</v>
      </c>
      <c r="H9" s="33">
        <v>4.3039014373716631</v>
      </c>
      <c r="I9" s="33" t="s">
        <v>7</v>
      </c>
      <c r="J9" s="33" t="s">
        <v>7</v>
      </c>
      <c r="K9" s="33">
        <v>4</v>
      </c>
      <c r="L9" s="33" t="s">
        <v>7</v>
      </c>
      <c r="M9" s="33" t="s">
        <v>7</v>
      </c>
      <c r="N9" s="33">
        <v>4.2546201232032859</v>
      </c>
      <c r="O9" s="33" t="s">
        <v>7</v>
      </c>
      <c r="P9" s="33" t="s">
        <v>7</v>
      </c>
      <c r="Q9" s="33" t="s">
        <v>7</v>
      </c>
      <c r="R9" s="33" t="s">
        <v>7</v>
      </c>
      <c r="S9" s="33" t="s">
        <v>7</v>
      </c>
      <c r="T9" s="12">
        <v>3</v>
      </c>
      <c r="U9" s="12">
        <v>15</v>
      </c>
      <c r="V9" s="4" t="s">
        <v>1</v>
      </c>
      <c r="W9" s="4">
        <v>1</v>
      </c>
      <c r="X9" s="4">
        <v>2</v>
      </c>
      <c r="Y9" s="4">
        <v>1</v>
      </c>
      <c r="Z9" s="56">
        <v>3</v>
      </c>
      <c r="AA9" s="9" cm="1">
        <f t="array" ref="AA9">IF(OR(AB9:AE9=""),"BLANK",IF(AND(AB9:AE9&lt;999),1,IF(AND(AB9:AE9="NA"),3,2)))</f>
        <v>1</v>
      </c>
      <c r="AB9" s="4">
        <v>27</v>
      </c>
      <c r="AC9" s="4">
        <v>16</v>
      </c>
      <c r="AD9" s="4">
        <v>10</v>
      </c>
      <c r="AE9" s="5">
        <v>53</v>
      </c>
      <c r="AF9" s="9">
        <f t="shared" si="0"/>
        <v>1</v>
      </c>
      <c r="AG9" s="5">
        <v>32</v>
      </c>
      <c r="AH9" s="9" cm="1">
        <f t="array" ref="AH9">IF(OR(AI9:AN9=""),"BLANK",IF(AND(AI9:AN9&lt;99),1,IF(AND(AI9:AN9="NA"),3,2)))</f>
        <v>2</v>
      </c>
      <c r="AI9" s="4">
        <v>36</v>
      </c>
      <c r="AJ9" s="4" t="s">
        <v>7</v>
      </c>
      <c r="AK9" s="21">
        <v>83.27</v>
      </c>
      <c r="AL9" s="21">
        <v>88.95</v>
      </c>
      <c r="AM9" s="21">
        <v>23</v>
      </c>
      <c r="AN9" s="22">
        <v>84.34</v>
      </c>
    </row>
    <row r="10" spans="1:40" x14ac:dyDescent="0.2">
      <c r="A10" s="15">
        <v>133</v>
      </c>
      <c r="B10" s="4" t="s">
        <v>68</v>
      </c>
      <c r="C10" s="30" t="s">
        <v>23</v>
      </c>
      <c r="D10" s="30">
        <v>5</v>
      </c>
      <c r="E10" s="30">
        <v>0</v>
      </c>
      <c r="F10" s="30" t="s">
        <v>7</v>
      </c>
      <c r="G10" s="30">
        <v>30</v>
      </c>
      <c r="H10" s="33">
        <v>4.3285420944558526</v>
      </c>
      <c r="I10" s="33" t="s">
        <v>7</v>
      </c>
      <c r="J10" s="33" t="s">
        <v>7</v>
      </c>
      <c r="K10" s="33">
        <v>4.3696098562628336</v>
      </c>
      <c r="L10" s="33" t="s">
        <v>7</v>
      </c>
      <c r="M10" s="33" t="s">
        <v>7</v>
      </c>
      <c r="N10" s="33">
        <v>4.2737850787132103</v>
      </c>
      <c r="O10" s="33" t="s">
        <v>7</v>
      </c>
      <c r="P10" s="33" t="s">
        <v>7</v>
      </c>
      <c r="Q10" s="33" t="s">
        <v>7</v>
      </c>
      <c r="R10" s="33" t="s">
        <v>7</v>
      </c>
      <c r="S10" s="33" t="s">
        <v>7</v>
      </c>
      <c r="T10" s="12">
        <v>6</v>
      </c>
      <c r="U10" s="12">
        <v>18</v>
      </c>
      <c r="V10" s="4" t="s">
        <v>1</v>
      </c>
      <c r="W10" s="4">
        <v>1</v>
      </c>
      <c r="X10" s="4">
        <v>2</v>
      </c>
      <c r="Y10" s="4">
        <v>1</v>
      </c>
      <c r="Z10" s="56">
        <v>3</v>
      </c>
      <c r="AA10" s="9" cm="1">
        <f t="array" ref="AA10">IF(OR(AB10:AE10=""),"BLANK",IF(AND(AB10:AE10&lt;999),1,IF(AND(AB10:AE10="NA"),3,2)))</f>
        <v>1</v>
      </c>
      <c r="AB10" s="4">
        <v>40</v>
      </c>
      <c r="AC10" s="4">
        <v>30</v>
      </c>
      <c r="AD10" s="4">
        <v>16</v>
      </c>
      <c r="AE10" s="5">
        <v>86</v>
      </c>
      <c r="AF10" s="9">
        <f t="shared" si="0"/>
        <v>1</v>
      </c>
      <c r="AG10" s="5">
        <v>69</v>
      </c>
      <c r="AH10" s="9" cm="1">
        <f t="array" ref="AH10">IF(OR(AI10:AN10=""),"BLANK",IF(AND(AI10:AN10&lt;99),1,IF(AND(AI10:AN10="NA"),3,2)))</f>
        <v>2</v>
      </c>
      <c r="AI10" s="4">
        <v>48</v>
      </c>
      <c r="AJ10" s="4" t="s">
        <v>7</v>
      </c>
      <c r="AK10" s="21">
        <v>96</v>
      </c>
      <c r="AL10" s="21">
        <v>74.13</v>
      </c>
      <c r="AM10" s="21">
        <v>4.3</v>
      </c>
      <c r="AN10" s="22">
        <v>69.989999999999995</v>
      </c>
    </row>
    <row r="11" spans="1:40" x14ac:dyDescent="0.2">
      <c r="A11" s="15">
        <v>135</v>
      </c>
      <c r="B11" s="4" t="s">
        <v>59</v>
      </c>
      <c r="C11" s="30" t="s">
        <v>23</v>
      </c>
      <c r="D11" s="30">
        <v>5</v>
      </c>
      <c r="E11" s="30">
        <v>0</v>
      </c>
      <c r="F11" s="30" t="s">
        <v>7</v>
      </c>
      <c r="G11" s="30">
        <v>29</v>
      </c>
      <c r="H11" s="33">
        <v>4.2929500342231348</v>
      </c>
      <c r="I11" s="33" t="s">
        <v>7</v>
      </c>
      <c r="J11" s="33" t="s">
        <v>7</v>
      </c>
      <c r="K11" s="33">
        <v>4.3696098562628336</v>
      </c>
      <c r="L11" s="33" t="s">
        <v>7</v>
      </c>
      <c r="M11" s="33" t="s">
        <v>7</v>
      </c>
      <c r="N11" s="33">
        <v>4.1396303901437372</v>
      </c>
      <c r="O11" s="33" t="s">
        <v>7</v>
      </c>
      <c r="P11" s="33" t="s">
        <v>7</v>
      </c>
      <c r="Q11" s="33" t="s">
        <v>7</v>
      </c>
      <c r="R11" s="33" t="s">
        <v>7</v>
      </c>
      <c r="S11" s="33" t="s">
        <v>7</v>
      </c>
      <c r="T11" s="12" t="s">
        <v>7</v>
      </c>
      <c r="U11" s="12" t="s">
        <v>7</v>
      </c>
      <c r="V11" s="4" t="s">
        <v>1</v>
      </c>
      <c r="W11" s="4">
        <v>1</v>
      </c>
      <c r="X11" s="4">
        <v>2</v>
      </c>
      <c r="Y11" s="4">
        <v>1</v>
      </c>
      <c r="Z11" s="56">
        <v>3</v>
      </c>
      <c r="AA11" s="9" cm="1">
        <f t="array" ref="AA11">IF(OR(AB11:AE11=""),"BLANK",IF(AND(AB11:AE11&lt;999),1,IF(AND(AB11:AE11="NA"),3,2)))</f>
        <v>1</v>
      </c>
      <c r="AB11" s="4">
        <v>33</v>
      </c>
      <c r="AC11" s="4">
        <v>18</v>
      </c>
      <c r="AD11" s="4">
        <v>12</v>
      </c>
      <c r="AE11" s="5">
        <v>63</v>
      </c>
      <c r="AF11" s="9">
        <f t="shared" si="0"/>
        <v>1</v>
      </c>
      <c r="AG11" s="5">
        <v>56</v>
      </c>
      <c r="AH11" s="9" cm="1">
        <f t="array" ref="AH11">IF(OR(AI11:AN11=""),"BLANK",IF(AND(AI11:AN11&lt;99),1,IF(AND(AI11:AN11="NA"),3,2)))</f>
        <v>2</v>
      </c>
      <c r="AI11" s="4">
        <v>43</v>
      </c>
      <c r="AJ11" s="4" t="s">
        <v>7</v>
      </c>
      <c r="AK11" s="21">
        <v>90.18</v>
      </c>
      <c r="AL11" s="21">
        <v>87</v>
      </c>
      <c r="AM11" s="21">
        <v>19.2</v>
      </c>
      <c r="AN11" s="22">
        <v>82.36</v>
      </c>
    </row>
    <row r="12" spans="1:40" x14ac:dyDescent="0.2">
      <c r="A12" s="15">
        <v>138</v>
      </c>
      <c r="B12" s="4" t="s">
        <v>63</v>
      </c>
      <c r="C12" s="30" t="s">
        <v>23</v>
      </c>
      <c r="D12" s="30">
        <v>6</v>
      </c>
      <c r="E12" s="30">
        <v>1</v>
      </c>
      <c r="F12" s="30" t="s">
        <v>7</v>
      </c>
      <c r="G12" s="30">
        <v>30</v>
      </c>
      <c r="H12" s="33">
        <v>4.2080766598220398</v>
      </c>
      <c r="I12" s="33">
        <v>6.1546885694729641</v>
      </c>
      <c r="J12" s="33">
        <v>10.362765229295004</v>
      </c>
      <c r="K12" s="33">
        <v>4.2710472279260783</v>
      </c>
      <c r="L12" s="33">
        <v>6.0725530458590002</v>
      </c>
      <c r="M12" s="33">
        <v>10.343600273785079</v>
      </c>
      <c r="N12" s="33">
        <v>4.128678986995209</v>
      </c>
      <c r="O12" s="33">
        <v>5.8370978781656397</v>
      </c>
      <c r="P12" s="33">
        <v>9.9657768651608496</v>
      </c>
      <c r="Q12" s="33" t="s">
        <v>7</v>
      </c>
      <c r="R12" s="33" t="s">
        <v>7</v>
      </c>
      <c r="S12" s="33" t="s">
        <v>7</v>
      </c>
      <c r="T12" s="12">
        <v>7</v>
      </c>
      <c r="U12" s="12">
        <v>21</v>
      </c>
      <c r="V12" s="4" t="s">
        <v>1</v>
      </c>
      <c r="W12" s="4">
        <v>1</v>
      </c>
      <c r="X12" s="4">
        <v>2</v>
      </c>
      <c r="Y12" s="4">
        <v>1</v>
      </c>
      <c r="Z12" s="56">
        <v>3</v>
      </c>
      <c r="AA12" s="9" cm="1">
        <f t="array" ref="AA12">IF(OR(AB12:AE12=""),"BLANK",IF(AND(AB12:AE12&lt;999),1,IF(AND(AB12:AE12="NA"),3,2)))</f>
        <v>1</v>
      </c>
      <c r="AB12" s="4">
        <v>33</v>
      </c>
      <c r="AC12" s="4">
        <v>17</v>
      </c>
      <c r="AD12" s="4">
        <v>11</v>
      </c>
      <c r="AE12" s="5">
        <v>61</v>
      </c>
      <c r="AF12" s="9">
        <f t="shared" si="0"/>
        <v>1</v>
      </c>
      <c r="AG12" s="5">
        <v>59</v>
      </c>
      <c r="AH12" s="9" cm="1">
        <f t="array" ref="AH12">IF(OR(AI12:AN12=""),"BLANK",IF(AND(AI12:AN12&lt;99),1,IF(AND(AI12:AN12="NA"),3,2)))</f>
        <v>2</v>
      </c>
      <c r="AI12" s="4">
        <v>47</v>
      </c>
      <c r="AJ12" s="4" t="s">
        <v>7</v>
      </c>
      <c r="AK12" s="21">
        <v>95.41</v>
      </c>
      <c r="AL12" s="21">
        <v>79.09</v>
      </c>
      <c r="AM12" s="21">
        <v>8.1999999999999993</v>
      </c>
      <c r="AN12" s="22">
        <v>79.05</v>
      </c>
    </row>
    <row r="13" spans="1:40" x14ac:dyDescent="0.2">
      <c r="A13" s="15">
        <v>139</v>
      </c>
      <c r="B13" s="4" t="s">
        <v>68</v>
      </c>
      <c r="C13" s="30" t="s">
        <v>23</v>
      </c>
      <c r="D13" s="30">
        <v>5</v>
      </c>
      <c r="E13" s="30">
        <v>0</v>
      </c>
      <c r="F13" s="30" t="s">
        <v>7</v>
      </c>
      <c r="G13" s="30">
        <v>30</v>
      </c>
      <c r="H13" s="33">
        <v>4.5092402464065708</v>
      </c>
      <c r="I13" s="33">
        <v>5.6673511293634498</v>
      </c>
      <c r="J13" s="33">
        <v>10.17659137577002</v>
      </c>
      <c r="K13" s="33">
        <v>4.7392197125256672</v>
      </c>
      <c r="L13" s="33">
        <v>5.5605749486652973</v>
      </c>
      <c r="M13" s="33">
        <v>10.299794661190965</v>
      </c>
      <c r="N13" s="33">
        <v>4.3175906913073234</v>
      </c>
      <c r="O13" s="33">
        <v>5.6673511293634498</v>
      </c>
      <c r="P13" s="33">
        <v>9.9849418206707732</v>
      </c>
      <c r="Q13" s="33" t="s">
        <v>7</v>
      </c>
      <c r="R13" s="33" t="s">
        <v>7</v>
      </c>
      <c r="S13" s="33" t="s">
        <v>7</v>
      </c>
      <c r="T13" s="12">
        <v>6</v>
      </c>
      <c r="U13" s="12">
        <v>18</v>
      </c>
      <c r="V13" s="4" t="s">
        <v>1</v>
      </c>
      <c r="W13" s="4">
        <v>1</v>
      </c>
      <c r="X13" s="4">
        <v>2</v>
      </c>
      <c r="Y13" s="4">
        <v>1</v>
      </c>
      <c r="Z13" s="56">
        <v>3</v>
      </c>
      <c r="AA13" s="9" cm="1">
        <f t="array" ref="AA13">IF(OR(AB13:AE13=""),"BLANK",IF(AND(AB13:AE13&lt;999),1,IF(AND(AB13:AE13="NA"),3,2)))</f>
        <v>1</v>
      </c>
      <c r="AB13" s="4">
        <v>32</v>
      </c>
      <c r="AC13" s="4">
        <v>19</v>
      </c>
      <c r="AD13" s="4">
        <v>13</v>
      </c>
      <c r="AE13" s="5">
        <v>64</v>
      </c>
      <c r="AF13" s="9">
        <f t="shared" si="0"/>
        <v>1</v>
      </c>
      <c r="AG13" s="5">
        <v>61</v>
      </c>
      <c r="AH13" s="9" cm="1">
        <f t="array" ref="AH13">IF(OR(AI13:AN13=""),"BLANK",IF(AND(AI13:AN13&lt;99),1,IF(AND(AI13:AN13="NA"),3,2)))</f>
        <v>2</v>
      </c>
      <c r="AI13" s="4">
        <v>48</v>
      </c>
      <c r="AJ13" s="4" t="s">
        <v>7</v>
      </c>
      <c r="AK13" s="21">
        <v>96.5</v>
      </c>
      <c r="AL13" s="21">
        <v>74.95</v>
      </c>
      <c r="AM13" s="21">
        <v>4.8</v>
      </c>
      <c r="AN13" s="22" t="s">
        <v>7</v>
      </c>
    </row>
    <row r="14" spans="1:40" x14ac:dyDescent="0.2">
      <c r="A14" s="15">
        <v>140</v>
      </c>
      <c r="B14" s="4" t="s">
        <v>61</v>
      </c>
      <c r="C14" s="30" t="s">
        <v>23</v>
      </c>
      <c r="D14" s="30">
        <v>5</v>
      </c>
      <c r="E14" s="30">
        <v>0</v>
      </c>
      <c r="F14" s="30" t="s">
        <v>7</v>
      </c>
      <c r="G14" s="30">
        <v>30</v>
      </c>
      <c r="H14" s="33">
        <v>4.6543463381245722</v>
      </c>
      <c r="I14" s="33" t="s">
        <v>7</v>
      </c>
      <c r="J14" s="33" t="s">
        <v>7</v>
      </c>
      <c r="K14" s="33">
        <v>4.6433949349760439</v>
      </c>
      <c r="L14" s="33" t="s">
        <v>7</v>
      </c>
      <c r="M14" s="33" t="s">
        <v>7</v>
      </c>
      <c r="N14" s="33">
        <v>4.5557837097878169</v>
      </c>
      <c r="O14" s="33" t="s">
        <v>7</v>
      </c>
      <c r="P14" s="33" t="s">
        <v>7</v>
      </c>
      <c r="Q14" s="33" t="s">
        <v>7</v>
      </c>
      <c r="R14" s="33" t="s">
        <v>7</v>
      </c>
      <c r="S14" s="33" t="s">
        <v>7</v>
      </c>
      <c r="T14" s="12">
        <v>3</v>
      </c>
      <c r="U14" s="12">
        <v>14</v>
      </c>
      <c r="V14" s="4" t="s">
        <v>1</v>
      </c>
      <c r="W14" s="4">
        <v>1</v>
      </c>
      <c r="X14" s="4">
        <v>2</v>
      </c>
      <c r="Y14" s="4">
        <v>1</v>
      </c>
      <c r="Z14" s="56">
        <v>3</v>
      </c>
      <c r="AA14" s="9" cm="1">
        <f t="array" ref="AA14">IF(OR(AB14:AE14=""),"BLANK",IF(AND(AB14:AE14&lt;999),1,IF(AND(AB14:AE14="NA"),3,2)))</f>
        <v>1</v>
      </c>
      <c r="AB14" s="4">
        <v>29</v>
      </c>
      <c r="AC14" s="4">
        <v>19</v>
      </c>
      <c r="AD14" s="4">
        <v>14</v>
      </c>
      <c r="AE14" s="5">
        <v>62</v>
      </c>
      <c r="AF14" s="9">
        <f t="shared" si="0"/>
        <v>1</v>
      </c>
      <c r="AG14" s="5">
        <v>58</v>
      </c>
      <c r="AH14" s="9" cm="1">
        <f t="array" ref="AH14">IF(OR(AI14:AN14=""),"BLANK",IF(AND(AI14:AN14&lt;99),1,IF(AND(AI14:AN14="NA"),3,2)))</f>
        <v>2</v>
      </c>
      <c r="AI14" s="4">
        <v>59</v>
      </c>
      <c r="AJ14" s="4" t="s">
        <v>7</v>
      </c>
      <c r="AK14" s="21">
        <v>109.02</v>
      </c>
      <c r="AL14" s="21">
        <v>103.53</v>
      </c>
      <c r="AM14" s="21">
        <v>59.5</v>
      </c>
      <c r="AN14" s="22" t="s">
        <v>7</v>
      </c>
    </row>
    <row r="15" spans="1:40" x14ac:dyDescent="0.2">
      <c r="A15" s="15">
        <v>141</v>
      </c>
      <c r="B15" s="4" t="s">
        <v>62</v>
      </c>
      <c r="C15" s="30" t="s">
        <v>24</v>
      </c>
      <c r="D15" s="30">
        <v>5</v>
      </c>
      <c r="E15" s="30">
        <v>0</v>
      </c>
      <c r="F15" s="30" t="s">
        <v>7</v>
      </c>
      <c r="G15" s="30">
        <v>28</v>
      </c>
      <c r="H15" s="33">
        <v>4.3093771389459272</v>
      </c>
      <c r="I15" s="33" t="s">
        <v>7</v>
      </c>
      <c r="J15" s="33" t="s">
        <v>7</v>
      </c>
      <c r="K15" s="33">
        <v>4.3696098562628336</v>
      </c>
      <c r="L15" s="33" t="s">
        <v>7</v>
      </c>
      <c r="M15" s="33" t="s">
        <v>7</v>
      </c>
      <c r="N15" s="33">
        <v>4.2710472279260783</v>
      </c>
      <c r="O15" s="33" t="s">
        <v>7</v>
      </c>
      <c r="P15" s="33" t="s">
        <v>7</v>
      </c>
      <c r="Q15" s="33" t="s">
        <v>7</v>
      </c>
      <c r="R15" s="33" t="s">
        <v>7</v>
      </c>
      <c r="S15" s="33" t="s">
        <v>7</v>
      </c>
      <c r="T15" s="12">
        <v>7</v>
      </c>
      <c r="U15" s="12">
        <v>21</v>
      </c>
      <c r="V15" s="4" t="s">
        <v>1</v>
      </c>
      <c r="W15" s="4">
        <v>1</v>
      </c>
      <c r="X15" s="4">
        <v>2</v>
      </c>
      <c r="Y15" s="4">
        <v>1</v>
      </c>
      <c r="Z15" s="56">
        <v>3</v>
      </c>
      <c r="AA15" s="9" cm="1">
        <f t="array" ref="AA15">IF(OR(AB15:AE15=""),"BLANK",IF(AND(AB15:AE15&lt;999),1,IF(AND(AB15:AE15="NA"),3,2)))</f>
        <v>1</v>
      </c>
      <c r="AB15" s="4">
        <v>32</v>
      </c>
      <c r="AC15" s="4">
        <v>16</v>
      </c>
      <c r="AD15" s="4">
        <v>8</v>
      </c>
      <c r="AE15" s="5">
        <v>56</v>
      </c>
      <c r="AF15" s="9">
        <f t="shared" si="0"/>
        <v>1</v>
      </c>
      <c r="AG15" s="5">
        <v>41</v>
      </c>
      <c r="AH15" s="9" cm="1">
        <f t="array" ref="AH15">IF(OR(AI15:AN15=""),"BLANK",IF(AND(AI15:AN15&lt;99),1,IF(AND(AI15:AN15="NA"),3,2)))</f>
        <v>2</v>
      </c>
      <c r="AI15" s="4">
        <v>46</v>
      </c>
      <c r="AJ15" s="4" t="s">
        <v>7</v>
      </c>
      <c r="AK15" s="21">
        <v>94.25</v>
      </c>
      <c r="AL15" s="21">
        <v>90.48</v>
      </c>
      <c r="AM15" s="21">
        <v>26.4</v>
      </c>
      <c r="AN15" s="22">
        <v>85.41</v>
      </c>
    </row>
    <row r="16" spans="1:40" x14ac:dyDescent="0.2">
      <c r="A16" s="15">
        <v>146</v>
      </c>
      <c r="B16" s="4" t="s">
        <v>56</v>
      </c>
      <c r="C16" s="30" t="s">
        <v>23</v>
      </c>
      <c r="D16" s="30">
        <v>5</v>
      </c>
      <c r="E16" s="30">
        <v>0</v>
      </c>
      <c r="F16" s="30" t="s">
        <v>7</v>
      </c>
      <c r="G16" s="30">
        <v>29</v>
      </c>
      <c r="H16" s="33">
        <v>4.4435318275154003</v>
      </c>
      <c r="I16" s="33">
        <v>5.5687885010266944</v>
      </c>
      <c r="J16" s="33">
        <v>10.012320328542094</v>
      </c>
      <c r="K16" s="33">
        <v>4.4380561259411362</v>
      </c>
      <c r="L16" s="33">
        <v>5.6153319644079396</v>
      </c>
      <c r="M16" s="33">
        <v>10.053388090349076</v>
      </c>
      <c r="N16" s="33">
        <v>4.7008898015058183</v>
      </c>
      <c r="O16" s="33">
        <v>5.28952772073922</v>
      </c>
      <c r="P16" s="33">
        <v>9.9904175222450373</v>
      </c>
      <c r="Q16" s="33" t="s">
        <v>7</v>
      </c>
      <c r="R16" s="33" t="s">
        <v>7</v>
      </c>
      <c r="S16" s="33" t="s">
        <v>7</v>
      </c>
      <c r="T16" s="12">
        <v>4</v>
      </c>
      <c r="U16" s="12">
        <v>16</v>
      </c>
      <c r="V16" s="4" t="s">
        <v>1</v>
      </c>
      <c r="W16" s="4">
        <v>1</v>
      </c>
      <c r="X16" s="4">
        <v>2</v>
      </c>
      <c r="Y16" s="4">
        <v>1</v>
      </c>
      <c r="Z16" s="56">
        <v>3</v>
      </c>
      <c r="AA16" s="9" cm="1">
        <f t="array" ref="AA16">IF(OR(AB16:AE16=""),"BLANK",IF(AND(AB16:AE16&lt;999),1,IF(AND(AB16:AE16="NA"),3,2)))</f>
        <v>1</v>
      </c>
      <c r="AB16" s="4">
        <v>33</v>
      </c>
      <c r="AC16" s="4">
        <v>18</v>
      </c>
      <c r="AD16" s="4">
        <v>14</v>
      </c>
      <c r="AE16" s="5">
        <v>65</v>
      </c>
      <c r="AF16" s="9">
        <f t="shared" si="0"/>
        <v>1</v>
      </c>
      <c r="AG16" s="5">
        <v>65</v>
      </c>
      <c r="AH16" s="9" cm="1">
        <f t="array" ref="AH16">IF(OR(AI16:AN16=""),"BLANK",IF(AND(AI16:AN16&lt;99),1,IF(AND(AI16:AN16="NA"),3,2)))</f>
        <v>2</v>
      </c>
      <c r="AI16" s="4">
        <v>40</v>
      </c>
      <c r="AJ16" s="4" t="s">
        <v>7</v>
      </c>
      <c r="AK16" s="21">
        <v>87.8</v>
      </c>
      <c r="AL16" s="21">
        <v>65.02</v>
      </c>
      <c r="AM16" s="21">
        <v>1</v>
      </c>
      <c r="AN16" s="22" t="s">
        <v>7</v>
      </c>
    </row>
    <row r="17" spans="1:40" x14ac:dyDescent="0.2">
      <c r="A17" s="15">
        <v>147</v>
      </c>
      <c r="B17" s="4" t="s">
        <v>46</v>
      </c>
      <c r="C17" s="30" t="s">
        <v>23</v>
      </c>
      <c r="D17" s="30">
        <v>5</v>
      </c>
      <c r="E17" s="30">
        <v>0</v>
      </c>
      <c r="F17" s="30" t="s">
        <v>7</v>
      </c>
      <c r="G17" s="30">
        <v>30</v>
      </c>
      <c r="H17" s="33">
        <v>4.5804243668720055</v>
      </c>
      <c r="I17" s="33">
        <v>5.8453114305270359</v>
      </c>
      <c r="J17" s="33">
        <v>10.425735797399042</v>
      </c>
      <c r="K17" s="33">
        <v>4.5804243668720055</v>
      </c>
      <c r="L17" s="33">
        <v>5.8453114305270359</v>
      </c>
      <c r="M17" s="33">
        <v>10.425735797399042</v>
      </c>
      <c r="N17" s="33">
        <v>4.0821355236139629</v>
      </c>
      <c r="O17" s="33">
        <v>5.6837782340862422</v>
      </c>
      <c r="P17" s="33">
        <v>9.765913757700206</v>
      </c>
      <c r="Q17" s="33" t="s">
        <v>7</v>
      </c>
      <c r="R17" s="33" t="s">
        <v>7</v>
      </c>
      <c r="S17" s="33" t="s">
        <v>7</v>
      </c>
      <c r="T17" s="12">
        <v>7</v>
      </c>
      <c r="U17" s="12">
        <v>21</v>
      </c>
      <c r="V17" s="4" t="s">
        <v>1</v>
      </c>
      <c r="W17" s="4">
        <v>1</v>
      </c>
      <c r="X17" s="4">
        <v>2</v>
      </c>
      <c r="Y17" s="4">
        <v>1</v>
      </c>
      <c r="Z17" s="56">
        <v>3</v>
      </c>
      <c r="AA17" s="9" cm="1">
        <f t="array" ref="AA17">IF(OR(AB17:AE17=""),"BLANK",IF(AND(AB17:AE17&lt;999),1,IF(AND(AB17:AE17="NA"),3,2)))</f>
        <v>1</v>
      </c>
      <c r="AB17" s="4">
        <v>38</v>
      </c>
      <c r="AC17" s="4">
        <v>25</v>
      </c>
      <c r="AD17" s="4">
        <v>16</v>
      </c>
      <c r="AE17" s="5">
        <v>79</v>
      </c>
      <c r="AF17" s="9">
        <f t="shared" si="0"/>
        <v>1</v>
      </c>
      <c r="AG17" s="5">
        <v>64</v>
      </c>
      <c r="AH17" s="9" cm="1">
        <f t="array" ref="AH17">IF(OR(AI17:AN17=""),"BLANK",IF(AND(AI17:AN17&lt;99),1,IF(AND(AI17:AN17="NA"),3,2)))</f>
        <v>2</v>
      </c>
      <c r="AI17" s="4">
        <v>46</v>
      </c>
      <c r="AJ17" s="4" t="s">
        <v>7</v>
      </c>
      <c r="AK17" s="21">
        <v>94.3</v>
      </c>
      <c r="AL17" s="21">
        <v>90.56</v>
      </c>
      <c r="AM17" s="21">
        <v>26.4</v>
      </c>
      <c r="AN17" s="22" t="s">
        <v>7</v>
      </c>
    </row>
    <row r="18" spans="1:40" x14ac:dyDescent="0.2">
      <c r="A18" s="15">
        <v>149</v>
      </c>
      <c r="B18" s="4" t="s">
        <v>47</v>
      </c>
      <c r="C18" s="30" t="s">
        <v>23</v>
      </c>
      <c r="D18" s="30">
        <v>5</v>
      </c>
      <c r="E18" s="30">
        <v>0</v>
      </c>
      <c r="F18" s="30" t="s">
        <v>7</v>
      </c>
      <c r="G18" s="30">
        <v>30</v>
      </c>
      <c r="H18" s="33">
        <v>4.3394934976043809</v>
      </c>
      <c r="I18" s="33">
        <v>5.9000684462696782</v>
      </c>
      <c r="J18" s="33">
        <v>10.239561943874058</v>
      </c>
      <c r="K18" s="33">
        <v>4.4161533196440796</v>
      </c>
      <c r="L18" s="33">
        <v>5.8836413415468858</v>
      </c>
      <c r="M18" s="33">
        <v>10.299794661190965</v>
      </c>
      <c r="N18" s="33">
        <v>4.2190280629705681</v>
      </c>
      <c r="O18" s="33">
        <v>5.5660506502395624</v>
      </c>
      <c r="P18" s="33">
        <v>9.7850787132101296</v>
      </c>
      <c r="Q18" s="33" t="s">
        <v>7</v>
      </c>
      <c r="R18" s="33" t="s">
        <v>7</v>
      </c>
      <c r="S18" s="33" t="s">
        <v>7</v>
      </c>
      <c r="T18" s="12">
        <v>6</v>
      </c>
      <c r="U18" s="12">
        <v>18</v>
      </c>
      <c r="V18" s="4" t="s">
        <v>1</v>
      </c>
      <c r="W18" s="4">
        <v>1</v>
      </c>
      <c r="X18" s="4">
        <v>2</v>
      </c>
      <c r="Y18" s="4">
        <v>1</v>
      </c>
      <c r="Z18" s="56">
        <v>3</v>
      </c>
      <c r="AA18" s="9" cm="1">
        <f t="array" ref="AA18">IF(OR(AB18:AE18=""),"BLANK",IF(AND(AB18:AE18&lt;999),1,IF(AND(AB18:AE18="NA"),3,2)))</f>
        <v>1</v>
      </c>
      <c r="AB18" s="4">
        <v>33</v>
      </c>
      <c r="AC18" s="4">
        <v>21</v>
      </c>
      <c r="AD18" s="4">
        <v>14</v>
      </c>
      <c r="AE18" s="5">
        <v>68</v>
      </c>
      <c r="AF18" s="9">
        <f t="shared" si="0"/>
        <v>1</v>
      </c>
      <c r="AG18" s="5">
        <v>58</v>
      </c>
      <c r="AH18" s="9" cm="1">
        <f t="array" ref="AH18">IF(OR(AI18:AN18=""),"BLANK",IF(AND(AI18:AN18&lt;99),1,IF(AND(AI18:AN18="NA"),3,2)))</f>
        <v>2</v>
      </c>
      <c r="AI18" s="4">
        <v>48</v>
      </c>
      <c r="AJ18" s="4" t="s">
        <v>7</v>
      </c>
      <c r="AK18" s="21">
        <v>96.56</v>
      </c>
      <c r="AL18" s="21">
        <v>104.88</v>
      </c>
      <c r="AM18" s="21">
        <v>62.9</v>
      </c>
      <c r="AN18" s="22" t="s">
        <v>7</v>
      </c>
    </row>
    <row r="19" spans="1:40" x14ac:dyDescent="0.2">
      <c r="A19" s="15">
        <v>158</v>
      </c>
      <c r="B19" s="4" t="s">
        <v>47</v>
      </c>
      <c r="C19" s="30" t="s">
        <v>23</v>
      </c>
      <c r="D19" s="30">
        <v>5</v>
      </c>
      <c r="E19" s="30">
        <v>0</v>
      </c>
      <c r="F19" s="30" t="s">
        <v>7</v>
      </c>
      <c r="G19" s="30">
        <v>30</v>
      </c>
      <c r="H19" s="33">
        <v>4.5694729637234772</v>
      </c>
      <c r="I19" s="33" t="s">
        <v>7</v>
      </c>
      <c r="J19" s="33" t="s">
        <v>7</v>
      </c>
      <c r="K19" s="33">
        <v>4.5667351129363452</v>
      </c>
      <c r="L19" s="33" t="s">
        <v>7</v>
      </c>
      <c r="M19" s="33" t="s">
        <v>7</v>
      </c>
      <c r="N19" s="33">
        <v>4.5119780971937029</v>
      </c>
      <c r="O19" s="33">
        <v>6.0725530458590002</v>
      </c>
      <c r="P19" s="33">
        <v>10.584531143052704</v>
      </c>
      <c r="Q19" s="33" t="s">
        <v>7</v>
      </c>
      <c r="R19" s="33" t="s">
        <v>7</v>
      </c>
      <c r="S19" s="33" t="s">
        <v>7</v>
      </c>
      <c r="T19" s="12">
        <v>3</v>
      </c>
      <c r="U19" s="12">
        <v>14</v>
      </c>
      <c r="V19" s="4" t="s">
        <v>1</v>
      </c>
      <c r="W19" s="4">
        <v>1</v>
      </c>
      <c r="X19" s="4">
        <v>2</v>
      </c>
      <c r="Y19" s="4">
        <v>1</v>
      </c>
      <c r="Z19" s="56">
        <v>3</v>
      </c>
      <c r="AA19" s="9" cm="1">
        <f t="array" ref="AA19">IF(OR(AB19:AE19=""),"BLANK",IF(AND(AB19:AE19&lt;999),1,IF(AND(AB19:AE19="NA"),3,2)))</f>
        <v>1</v>
      </c>
      <c r="AB19" s="4">
        <v>21</v>
      </c>
      <c r="AC19" s="4">
        <v>14</v>
      </c>
      <c r="AD19" s="4">
        <v>6</v>
      </c>
      <c r="AE19" s="5">
        <v>41</v>
      </c>
      <c r="AF19" s="9">
        <f t="shared" si="0"/>
        <v>1</v>
      </c>
      <c r="AG19" s="5">
        <v>31</v>
      </c>
      <c r="AH19" s="9" cm="1">
        <f t="array" ref="AH19">IF(OR(AI19:AN19=""),"BLANK",IF(AND(AI19:AN19&lt;99),1,IF(AND(AI19:AN19="NA"),3,2)))</f>
        <v>2</v>
      </c>
      <c r="AI19" s="4">
        <v>40</v>
      </c>
      <c r="AJ19" s="4" t="s">
        <v>7</v>
      </c>
      <c r="AK19" s="21">
        <v>87.28</v>
      </c>
      <c r="AL19" s="21">
        <v>89.54</v>
      </c>
      <c r="AM19" s="21">
        <v>24.2</v>
      </c>
      <c r="AN19" s="22">
        <v>85.13</v>
      </c>
    </row>
    <row r="20" spans="1:40" x14ac:dyDescent="0.2">
      <c r="A20" s="15">
        <v>159</v>
      </c>
      <c r="B20" s="4" t="s">
        <v>49</v>
      </c>
      <c r="C20" s="30" t="s">
        <v>24</v>
      </c>
      <c r="D20" s="30">
        <v>5</v>
      </c>
      <c r="E20" s="30">
        <v>0</v>
      </c>
      <c r="F20" s="30" t="s">
        <v>7</v>
      </c>
      <c r="G20" s="30">
        <v>30</v>
      </c>
      <c r="H20" s="33">
        <v>4.5804243668720055</v>
      </c>
      <c r="I20" s="33" t="s">
        <v>7</v>
      </c>
      <c r="J20" s="33" t="s">
        <v>7</v>
      </c>
      <c r="K20" s="33">
        <v>4.5393566050650236</v>
      </c>
      <c r="L20" s="33" t="s">
        <v>7</v>
      </c>
      <c r="M20" s="33" t="s">
        <v>7</v>
      </c>
      <c r="N20" s="33">
        <v>4.5557837097878169</v>
      </c>
      <c r="O20" s="33" t="s">
        <v>7</v>
      </c>
      <c r="P20" s="33" t="s">
        <v>7</v>
      </c>
      <c r="Q20" s="33" t="s">
        <v>7</v>
      </c>
      <c r="R20" s="33" t="s">
        <v>7</v>
      </c>
      <c r="S20" s="33" t="s">
        <v>7</v>
      </c>
      <c r="T20" s="12">
        <v>4</v>
      </c>
      <c r="U20" s="12">
        <v>16</v>
      </c>
      <c r="V20" s="4" t="s">
        <v>1</v>
      </c>
      <c r="W20" s="4">
        <v>1</v>
      </c>
      <c r="X20" s="4">
        <v>2</v>
      </c>
      <c r="Y20" s="4">
        <v>1</v>
      </c>
      <c r="Z20" s="56">
        <v>3</v>
      </c>
      <c r="AA20" s="9" cm="1">
        <f t="array" ref="AA20">IF(OR(AB20:AE20=""),"BLANK",IF(AND(AB20:AE20&lt;999),1,IF(AND(AB20:AE20="NA"),3,2)))</f>
        <v>1</v>
      </c>
      <c r="AB20" s="4">
        <v>32</v>
      </c>
      <c r="AC20" s="4">
        <v>21</v>
      </c>
      <c r="AD20" s="4">
        <v>15</v>
      </c>
      <c r="AE20" s="5">
        <v>68</v>
      </c>
      <c r="AF20" s="9">
        <f t="shared" si="0"/>
        <v>1</v>
      </c>
      <c r="AG20" s="5">
        <v>57</v>
      </c>
      <c r="AH20" s="9" cm="1">
        <f t="array" ref="AH20">IF(OR(AI20:AN20=""),"BLANK",IF(AND(AI20:AN20&lt;99),1,IF(AND(AI20:AN20="NA"),3,2)))</f>
        <v>2</v>
      </c>
      <c r="AI20" s="4">
        <v>39</v>
      </c>
      <c r="AJ20" s="4" t="s">
        <v>7</v>
      </c>
      <c r="AK20" s="21">
        <v>85.9</v>
      </c>
      <c r="AL20" s="21">
        <v>69.72</v>
      </c>
      <c r="AM20" s="21">
        <v>2.2000000000000002</v>
      </c>
      <c r="AN20" s="22" t="s">
        <v>7</v>
      </c>
    </row>
    <row r="21" spans="1:40" x14ac:dyDescent="0.2">
      <c r="A21" s="15">
        <v>162</v>
      </c>
      <c r="B21" s="4" t="s">
        <v>61</v>
      </c>
      <c r="C21" s="30" t="s">
        <v>24</v>
      </c>
      <c r="D21" s="30">
        <v>5</v>
      </c>
      <c r="E21" s="30">
        <v>0</v>
      </c>
      <c r="F21" s="30" t="s">
        <v>7</v>
      </c>
      <c r="G21" s="30">
        <v>29</v>
      </c>
      <c r="H21" s="33">
        <v>4.2299794661190964</v>
      </c>
      <c r="I21" s="33" t="s">
        <v>7</v>
      </c>
      <c r="J21" s="33" t="s">
        <v>7</v>
      </c>
      <c r="K21" s="33">
        <v>4.3531827515400412</v>
      </c>
      <c r="L21" s="33" t="s">
        <v>7</v>
      </c>
      <c r="M21" s="33" t="s">
        <v>7</v>
      </c>
      <c r="N21" s="33">
        <v>4.2108145106091719</v>
      </c>
      <c r="O21" s="33">
        <v>5.6180698151950716</v>
      </c>
      <c r="P21" s="33">
        <v>9.8288843258042444</v>
      </c>
      <c r="Q21" s="33" t="s">
        <v>7</v>
      </c>
      <c r="R21" s="33" t="s">
        <v>7</v>
      </c>
      <c r="S21" s="33" t="s">
        <v>7</v>
      </c>
      <c r="T21" s="12">
        <v>3</v>
      </c>
      <c r="U21" s="12">
        <v>14</v>
      </c>
      <c r="V21" s="4" t="s">
        <v>1</v>
      </c>
      <c r="W21" s="4">
        <v>1</v>
      </c>
      <c r="X21" s="4">
        <v>2</v>
      </c>
      <c r="Y21" s="4">
        <v>1</v>
      </c>
      <c r="Z21" s="56">
        <v>3</v>
      </c>
      <c r="AA21" s="9" cm="1">
        <f t="array" ref="AA21">IF(OR(AB21:AE21=""),"BLANK",IF(AND(AB21:AE21&lt;999),1,IF(AND(AB21:AE21="NA"),3,2)))</f>
        <v>1</v>
      </c>
      <c r="AB21" s="4">
        <v>29</v>
      </c>
      <c r="AC21" s="4">
        <v>14</v>
      </c>
      <c r="AD21" s="4">
        <v>11</v>
      </c>
      <c r="AE21" s="5">
        <v>54</v>
      </c>
      <c r="AF21" s="9">
        <f t="shared" si="0"/>
        <v>1</v>
      </c>
      <c r="AG21" s="5">
        <v>53</v>
      </c>
      <c r="AH21" s="9" cm="1">
        <f t="array" ref="AH21">IF(OR(AI21:AN21=""),"BLANK",IF(AND(AI21:AN21&lt;99),1,IF(AND(AI21:AN21="NA"),3,2)))</f>
        <v>2</v>
      </c>
      <c r="AI21" s="4">
        <v>45</v>
      </c>
      <c r="AJ21" s="4" t="s">
        <v>7</v>
      </c>
      <c r="AK21" s="21">
        <v>92.2</v>
      </c>
      <c r="AL21" s="21">
        <v>79.03</v>
      </c>
      <c r="AM21" s="21">
        <v>8.1</v>
      </c>
      <c r="AN21" s="22">
        <v>75.47</v>
      </c>
    </row>
    <row r="22" spans="1:40" x14ac:dyDescent="0.2">
      <c r="A22" s="15">
        <v>163</v>
      </c>
      <c r="B22" s="4" t="s">
        <v>50</v>
      </c>
      <c r="C22" s="30" t="s">
        <v>23</v>
      </c>
      <c r="D22" s="30">
        <v>5</v>
      </c>
      <c r="E22" s="30">
        <v>0</v>
      </c>
      <c r="F22" s="30" t="s">
        <v>7</v>
      </c>
      <c r="G22" s="30">
        <v>30</v>
      </c>
      <c r="H22" s="33">
        <v>4.2902121834360027</v>
      </c>
      <c r="I22" s="33" t="s">
        <v>7</v>
      </c>
      <c r="J22" s="33" t="s">
        <v>7</v>
      </c>
      <c r="K22" s="33">
        <v>4.2902121834360027</v>
      </c>
      <c r="L22" s="33" t="s">
        <v>7</v>
      </c>
      <c r="M22" s="33" t="s">
        <v>7</v>
      </c>
      <c r="N22" s="33">
        <v>4.2573579739904179</v>
      </c>
      <c r="O22" s="33">
        <v>5.4647501711156741</v>
      </c>
      <c r="P22" s="33">
        <v>9.7221081451060911</v>
      </c>
      <c r="Q22" s="33" t="s">
        <v>7</v>
      </c>
      <c r="R22" s="33" t="s">
        <v>7</v>
      </c>
      <c r="S22" s="33" t="s">
        <v>7</v>
      </c>
      <c r="T22" s="12">
        <v>3</v>
      </c>
      <c r="U22" s="12">
        <v>14</v>
      </c>
      <c r="V22" s="4" t="s">
        <v>1</v>
      </c>
      <c r="W22" s="4">
        <v>1</v>
      </c>
      <c r="X22" s="4">
        <v>2</v>
      </c>
      <c r="Y22" s="4">
        <v>1</v>
      </c>
      <c r="Z22" s="56">
        <v>3</v>
      </c>
      <c r="AA22" s="9" cm="1">
        <f t="array" ref="AA22">IF(OR(AB22:AE22=""),"BLANK",IF(AND(AB22:AE22&lt;999),1,IF(AND(AB22:AE22="NA"),3,2)))</f>
        <v>1</v>
      </c>
      <c r="AB22" s="4">
        <v>38</v>
      </c>
      <c r="AC22" s="4">
        <v>28</v>
      </c>
      <c r="AD22" s="4">
        <v>18</v>
      </c>
      <c r="AE22" s="5">
        <v>84</v>
      </c>
      <c r="AF22" s="9">
        <f t="shared" si="0"/>
        <v>1</v>
      </c>
      <c r="AG22" s="5">
        <v>66</v>
      </c>
      <c r="AH22" s="9" cm="1">
        <f t="array" ref="AH22">IF(OR(AI22:AN22=""),"BLANK",IF(AND(AI22:AN22&lt;99),1,IF(AND(AI22:AN22="NA"),3,2)))</f>
        <v>2</v>
      </c>
      <c r="AI22" s="4">
        <v>48</v>
      </c>
      <c r="AJ22" s="4" t="s">
        <v>7</v>
      </c>
      <c r="AK22" s="21">
        <v>96.52</v>
      </c>
      <c r="AL22" s="21">
        <v>94.16</v>
      </c>
      <c r="AM22" s="21">
        <v>34.799999999999997</v>
      </c>
      <c r="AN22" s="22" t="s">
        <v>7</v>
      </c>
    </row>
    <row r="23" spans="1:40" x14ac:dyDescent="0.2">
      <c r="A23" s="15">
        <v>164</v>
      </c>
      <c r="B23" s="4" t="s">
        <v>46</v>
      </c>
      <c r="C23" s="30" t="s">
        <v>24</v>
      </c>
      <c r="D23" s="30">
        <v>5</v>
      </c>
      <c r="E23" s="30">
        <v>0</v>
      </c>
      <c r="F23" s="30" t="s">
        <v>7</v>
      </c>
      <c r="G23" s="30">
        <v>30</v>
      </c>
      <c r="H23" s="33">
        <v>4.3230663928815876</v>
      </c>
      <c r="I23" s="33" t="s">
        <v>7</v>
      </c>
      <c r="J23" s="33" t="s">
        <v>7</v>
      </c>
      <c r="K23" s="33">
        <v>4.3175906913073234</v>
      </c>
      <c r="L23" s="33" t="s">
        <v>7</v>
      </c>
      <c r="M23" s="33" t="s">
        <v>7</v>
      </c>
      <c r="N23" s="33">
        <v>4.344969199178645</v>
      </c>
      <c r="O23" s="33" t="s">
        <v>7</v>
      </c>
      <c r="P23" s="33" t="s">
        <v>7</v>
      </c>
      <c r="Q23" s="33" t="s">
        <v>7</v>
      </c>
      <c r="R23" s="33" t="s">
        <v>7</v>
      </c>
      <c r="S23" s="33" t="s">
        <v>7</v>
      </c>
      <c r="T23" s="12">
        <v>4</v>
      </c>
      <c r="U23" s="12">
        <v>16</v>
      </c>
      <c r="V23" s="4" t="s">
        <v>1</v>
      </c>
      <c r="W23" s="4">
        <v>1</v>
      </c>
      <c r="X23" s="4">
        <v>2</v>
      </c>
      <c r="Y23" s="4">
        <v>1</v>
      </c>
      <c r="Z23" s="56">
        <v>3</v>
      </c>
      <c r="AA23" s="9" cm="1">
        <f t="array" ref="AA23">IF(OR(AB23:AE23=""),"BLANK",IF(AND(AB23:AE23&lt;999),1,IF(AND(AB23:AE23="NA"),3,2)))</f>
        <v>1</v>
      </c>
      <c r="AB23" s="4">
        <v>29</v>
      </c>
      <c r="AC23" s="4">
        <v>14</v>
      </c>
      <c r="AD23" s="4">
        <v>13</v>
      </c>
      <c r="AE23" s="5">
        <v>56</v>
      </c>
      <c r="AF23" s="9">
        <f t="shared" si="0"/>
        <v>1</v>
      </c>
      <c r="AG23" s="5">
        <v>68</v>
      </c>
      <c r="AH23" s="9" cm="1">
        <f t="array" ref="AH23">IF(OR(AI23:AN23=""),"BLANK",IF(AND(AI23:AN23&lt;99),1,IF(AND(AI23:AN23="NA"),3,2)))</f>
        <v>2</v>
      </c>
      <c r="AI23" s="4">
        <v>46</v>
      </c>
      <c r="AJ23" s="4" t="s">
        <v>7</v>
      </c>
      <c r="AK23" s="21">
        <v>94.03</v>
      </c>
      <c r="AL23" s="21">
        <v>89.97</v>
      </c>
      <c r="AM23" s="21">
        <v>25.1</v>
      </c>
      <c r="AN23" s="22" t="s">
        <v>7</v>
      </c>
    </row>
    <row r="24" spans="1:40" x14ac:dyDescent="0.2">
      <c r="A24" s="15">
        <v>169</v>
      </c>
      <c r="B24" s="4" t="s">
        <v>54</v>
      </c>
      <c r="C24" s="30" t="s">
        <v>23</v>
      </c>
      <c r="D24" s="30">
        <v>5</v>
      </c>
      <c r="E24" s="30">
        <v>0</v>
      </c>
      <c r="F24" s="30" t="s">
        <v>7</v>
      </c>
      <c r="G24" s="30">
        <v>29</v>
      </c>
      <c r="H24" s="33">
        <v>4.16974674880219</v>
      </c>
      <c r="I24" s="33">
        <v>5.4921286789869956</v>
      </c>
      <c r="J24" s="33">
        <v>9.6618754277891856</v>
      </c>
      <c r="K24" s="33">
        <v>4.16974674880219</v>
      </c>
      <c r="L24" s="33">
        <v>5.4921286789869956</v>
      </c>
      <c r="M24" s="33">
        <v>9.6618754277891856</v>
      </c>
      <c r="N24" s="33">
        <v>4.043805612594114</v>
      </c>
      <c r="O24" s="33">
        <v>5.2621492128678984</v>
      </c>
      <c r="P24" s="33">
        <v>9.3059548254620115</v>
      </c>
      <c r="Q24" s="33">
        <v>3.353867214236824</v>
      </c>
      <c r="R24" s="33">
        <v>6.2422997946611911</v>
      </c>
      <c r="S24" s="33">
        <v>9.5961670088980142</v>
      </c>
      <c r="T24" s="12">
        <v>4</v>
      </c>
      <c r="U24" s="12">
        <v>16</v>
      </c>
      <c r="V24" s="4" t="s">
        <v>1</v>
      </c>
      <c r="W24" s="4">
        <v>1</v>
      </c>
      <c r="X24" s="4">
        <v>2</v>
      </c>
      <c r="Y24" s="4">
        <v>1</v>
      </c>
      <c r="Z24" s="56">
        <v>3</v>
      </c>
      <c r="AA24" s="9" cm="1">
        <f t="array" ref="AA24">IF(OR(AB24:AE24=""),"BLANK",IF(AND(AB24:AE24&lt;999),1,IF(AND(AB24:AE24="NA"),3,2)))</f>
        <v>1</v>
      </c>
      <c r="AB24" s="4">
        <v>33</v>
      </c>
      <c r="AC24" s="4">
        <v>20</v>
      </c>
      <c r="AD24" s="4">
        <v>15</v>
      </c>
      <c r="AE24" s="5">
        <v>68</v>
      </c>
      <c r="AF24" s="9">
        <f t="shared" si="0"/>
        <v>1</v>
      </c>
      <c r="AG24" s="5">
        <v>61</v>
      </c>
      <c r="AH24" s="9" cm="1">
        <f t="array" ref="AH24">IF(OR(AI24:AN24=""),"BLANK",IF(AND(AI24:AN24&lt;99),1,IF(AND(AI24:AN24="NA"),3,2)))</f>
        <v>2</v>
      </c>
      <c r="AI24" s="4">
        <v>61</v>
      </c>
      <c r="AJ24" s="4" t="s">
        <v>7</v>
      </c>
      <c r="AK24" s="21">
        <v>110.91</v>
      </c>
      <c r="AL24" s="21">
        <v>119.74</v>
      </c>
      <c r="AM24" s="21">
        <v>90.7</v>
      </c>
      <c r="AN24" s="22" t="s">
        <v>7</v>
      </c>
    </row>
    <row r="25" spans="1:40" x14ac:dyDescent="0.2">
      <c r="A25" s="15">
        <v>174</v>
      </c>
      <c r="B25" s="4" t="s">
        <v>46</v>
      </c>
      <c r="C25" s="30" t="s">
        <v>24</v>
      </c>
      <c r="D25" s="30">
        <v>5</v>
      </c>
      <c r="E25" s="30">
        <v>0</v>
      </c>
      <c r="F25" s="30" t="s">
        <v>7</v>
      </c>
      <c r="G25" s="30">
        <v>30</v>
      </c>
      <c r="H25" s="33">
        <v>4.216290212183436</v>
      </c>
      <c r="I25" s="33">
        <v>5.9575633127994525</v>
      </c>
      <c r="J25" s="33">
        <v>10.173853524982889</v>
      </c>
      <c r="K25" s="33">
        <v>4.2737850787132103</v>
      </c>
      <c r="L25" s="33">
        <v>5.8973305954825461</v>
      </c>
      <c r="M25" s="33">
        <v>10.171115674195756</v>
      </c>
      <c r="N25" s="33">
        <v>4.2245037645448322</v>
      </c>
      <c r="O25" s="33">
        <v>5.6399726214921291</v>
      </c>
      <c r="P25" s="33">
        <v>9.8644763860369604</v>
      </c>
      <c r="Q25" s="33" t="s">
        <v>7</v>
      </c>
      <c r="R25" s="33" t="s">
        <v>7</v>
      </c>
      <c r="S25" s="33" t="s">
        <v>7</v>
      </c>
      <c r="T25" s="12">
        <v>4</v>
      </c>
      <c r="U25" s="12">
        <v>16</v>
      </c>
      <c r="V25" s="4" t="s">
        <v>1</v>
      </c>
      <c r="W25" s="4">
        <v>1</v>
      </c>
      <c r="X25" s="4">
        <v>2</v>
      </c>
      <c r="Y25" s="4">
        <v>1</v>
      </c>
      <c r="Z25" s="56">
        <v>3</v>
      </c>
      <c r="AA25" s="9" cm="1">
        <f t="array" ref="AA25">IF(OR(AB25:AE25=""),"BLANK",IF(AND(AB25:AE25&lt;999),1,IF(AND(AB25:AE25="NA"),3,2)))</f>
        <v>1</v>
      </c>
      <c r="AB25" s="4">
        <v>33</v>
      </c>
      <c r="AC25" s="4">
        <v>23</v>
      </c>
      <c r="AD25" s="4">
        <v>16</v>
      </c>
      <c r="AE25" s="5">
        <v>72</v>
      </c>
      <c r="AF25" s="9">
        <f t="shared" si="0"/>
        <v>1</v>
      </c>
      <c r="AG25" s="5">
        <v>75</v>
      </c>
      <c r="AH25" s="9" cm="1">
        <f t="array" ref="AH25">IF(OR(AI25:AN25=""),"BLANK",IF(AND(AI25:AN25&lt;99),1,IF(AND(AI25:AN25="NA"),3,2)))</f>
        <v>2</v>
      </c>
      <c r="AI25" s="4">
        <v>46</v>
      </c>
      <c r="AJ25" s="4" t="s">
        <v>7</v>
      </c>
      <c r="AK25" s="21">
        <v>94.01</v>
      </c>
      <c r="AL25" s="21">
        <v>89.95</v>
      </c>
      <c r="AM25" s="21">
        <v>25.1</v>
      </c>
      <c r="AN25" s="22">
        <v>84.96</v>
      </c>
    </row>
    <row r="26" spans="1:40" x14ac:dyDescent="0.2">
      <c r="A26" s="15">
        <v>178</v>
      </c>
      <c r="B26" s="4" t="s">
        <v>46</v>
      </c>
      <c r="C26" s="30" t="s">
        <v>24</v>
      </c>
      <c r="D26" s="30">
        <v>5</v>
      </c>
      <c r="E26" s="30">
        <v>0</v>
      </c>
      <c r="F26" s="30" t="s">
        <v>7</v>
      </c>
      <c r="G26" s="30">
        <v>27</v>
      </c>
      <c r="H26" s="33">
        <v>3.5509924709103355</v>
      </c>
      <c r="I26" s="33">
        <v>5.0102669404517455</v>
      </c>
      <c r="J26" s="33">
        <v>8.5612594113620801</v>
      </c>
      <c r="K26" s="33">
        <v>3.5509924709103355</v>
      </c>
      <c r="L26" s="33">
        <v>5.1279945242984262</v>
      </c>
      <c r="M26" s="33">
        <v>8.6789869952087617</v>
      </c>
      <c r="N26" s="33">
        <v>3.5208761122518824</v>
      </c>
      <c r="O26" s="33">
        <v>5.0978781656399725</v>
      </c>
      <c r="P26" s="33">
        <v>8.6187542778918544</v>
      </c>
      <c r="Q26" s="33">
        <v>3.871321013004791</v>
      </c>
      <c r="R26" s="33">
        <v>5.1937029431895958</v>
      </c>
      <c r="S26" s="33">
        <v>9.0650239561943877</v>
      </c>
      <c r="T26" s="12">
        <v>4</v>
      </c>
      <c r="U26" s="12">
        <v>16</v>
      </c>
      <c r="V26" s="4" t="s">
        <v>1</v>
      </c>
      <c r="W26" s="4">
        <v>1</v>
      </c>
      <c r="X26" s="4">
        <v>2</v>
      </c>
      <c r="Y26" s="4">
        <v>1</v>
      </c>
      <c r="Z26" s="56">
        <v>3</v>
      </c>
      <c r="AA26" s="9" cm="1">
        <f t="array" ref="AA26">IF(OR(AB26:AE26=""),"BLANK",IF(AND(AB26:AE26&lt;999),1,IF(AND(AB26:AE26="NA"),3,2)))</f>
        <v>1</v>
      </c>
      <c r="AB26" s="4">
        <v>40</v>
      </c>
      <c r="AC26" s="4">
        <v>17</v>
      </c>
      <c r="AD26" s="4">
        <v>16</v>
      </c>
      <c r="AE26" s="5">
        <v>73</v>
      </c>
      <c r="AF26" s="9">
        <f t="shared" si="0"/>
        <v>1</v>
      </c>
      <c r="AG26" s="5">
        <v>56</v>
      </c>
      <c r="AH26" s="9" cm="1">
        <f t="array" ref="AH26">IF(OR(AI26:AN26=""),"BLANK",IF(AND(AI26:AN26&lt;99),1,IF(AND(AI26:AN26="NA"),3,2)))</f>
        <v>2</v>
      </c>
      <c r="AI26" s="4">
        <v>72</v>
      </c>
      <c r="AJ26" s="4" t="s">
        <v>7</v>
      </c>
      <c r="AK26" s="21">
        <v>125.64</v>
      </c>
      <c r="AL26" s="21">
        <v>135.83000000000001</v>
      </c>
      <c r="AM26" s="21">
        <v>99.2</v>
      </c>
      <c r="AN26" s="22">
        <v>132.21</v>
      </c>
    </row>
    <row r="27" spans="1:40" x14ac:dyDescent="0.2">
      <c r="A27" s="15">
        <v>183</v>
      </c>
      <c r="B27" s="4" t="s">
        <v>58</v>
      </c>
      <c r="C27" s="30" t="s">
        <v>23</v>
      </c>
      <c r="D27" s="30">
        <v>5</v>
      </c>
      <c r="E27" s="30">
        <v>0</v>
      </c>
      <c r="F27" s="30" t="s">
        <v>7</v>
      </c>
      <c r="G27" s="30">
        <v>30</v>
      </c>
      <c r="H27" s="33">
        <v>4.2053388090349078</v>
      </c>
      <c r="I27" s="33">
        <v>5.8261464750171115</v>
      </c>
      <c r="J27" s="33">
        <v>10.031485284052019</v>
      </c>
      <c r="K27" s="33">
        <v>4.2765229295003424</v>
      </c>
      <c r="L27" s="33">
        <v>5.7549623545516768</v>
      </c>
      <c r="M27" s="33">
        <v>10.031485284052019</v>
      </c>
      <c r="N27" s="33">
        <v>4.1971252566735116</v>
      </c>
      <c r="O27" s="33">
        <v>5.631759069130732</v>
      </c>
      <c r="P27" s="33">
        <v>9.8288843258042444</v>
      </c>
      <c r="Q27" s="33" t="s">
        <v>7</v>
      </c>
      <c r="R27" s="33" t="s">
        <v>7</v>
      </c>
      <c r="S27" s="33" t="s">
        <v>7</v>
      </c>
      <c r="T27" s="12">
        <v>5</v>
      </c>
      <c r="U27" s="12">
        <v>16</v>
      </c>
      <c r="V27" s="4" t="s">
        <v>1</v>
      </c>
      <c r="W27" s="4">
        <v>1</v>
      </c>
      <c r="X27" s="4">
        <v>2</v>
      </c>
      <c r="Y27" s="4">
        <v>1</v>
      </c>
      <c r="Z27" s="56">
        <v>3</v>
      </c>
      <c r="AA27" s="9" cm="1">
        <f t="array" ref="AA27">IF(OR(AB27:AE27=""),"BLANK",IF(AND(AB27:AE27&lt;999),1,IF(AND(AB27:AE27="NA"),3,2)))</f>
        <v>1</v>
      </c>
      <c r="AB27" s="4">
        <v>37</v>
      </c>
      <c r="AC27" s="4">
        <v>22</v>
      </c>
      <c r="AD27" s="4">
        <v>18</v>
      </c>
      <c r="AE27" s="5">
        <v>77</v>
      </c>
      <c r="AF27" s="9">
        <f t="shared" si="0"/>
        <v>1</v>
      </c>
      <c r="AG27" s="5">
        <v>59</v>
      </c>
      <c r="AH27" s="9" cm="1">
        <f t="array" ref="AH27">IF(OR(AI27:AN27=""),"BLANK",IF(AND(AI27:AN27&lt;99),1,IF(AND(AI27:AN27="NA"),3,2)))</f>
        <v>2</v>
      </c>
      <c r="AI27" s="4">
        <v>49</v>
      </c>
      <c r="AJ27" s="4" t="s">
        <v>7</v>
      </c>
      <c r="AK27" s="21">
        <v>97.15</v>
      </c>
      <c r="AL27" s="21">
        <v>98.09</v>
      </c>
      <c r="AM27" s="21">
        <v>44.8</v>
      </c>
      <c r="AN27" s="22">
        <v>93.81</v>
      </c>
    </row>
    <row r="28" spans="1:40" x14ac:dyDescent="0.2">
      <c r="A28" s="15">
        <v>189</v>
      </c>
      <c r="B28" s="4" t="s">
        <v>68</v>
      </c>
      <c r="C28" s="30" t="s">
        <v>23</v>
      </c>
      <c r="D28" s="30">
        <v>5</v>
      </c>
      <c r="E28" s="30">
        <v>0</v>
      </c>
      <c r="F28" s="30" t="s">
        <v>7</v>
      </c>
      <c r="G28" s="30">
        <v>29</v>
      </c>
      <c r="H28" s="33">
        <v>4.0164271047227924</v>
      </c>
      <c r="I28" s="33">
        <v>6.2970568104038334</v>
      </c>
      <c r="J28" s="33">
        <v>10.313483915126625</v>
      </c>
      <c r="K28" s="33">
        <v>4.0164271047227924</v>
      </c>
      <c r="L28" s="33">
        <v>6.2970568104038334</v>
      </c>
      <c r="M28" s="33">
        <v>10.313483915126625</v>
      </c>
      <c r="N28" s="33">
        <v>4.3997262149212863</v>
      </c>
      <c r="O28" s="33">
        <v>5.3935660506502394</v>
      </c>
      <c r="P28" s="33">
        <v>9.7932922655715267</v>
      </c>
      <c r="Q28" s="33" t="s">
        <v>7</v>
      </c>
      <c r="R28" s="33" t="s">
        <v>7</v>
      </c>
      <c r="S28" s="33" t="s">
        <v>7</v>
      </c>
      <c r="T28" s="12">
        <v>5</v>
      </c>
      <c r="U28" s="12">
        <v>16</v>
      </c>
      <c r="V28" s="4" t="s">
        <v>1</v>
      </c>
      <c r="W28" s="4">
        <v>1</v>
      </c>
      <c r="X28" s="4">
        <v>2</v>
      </c>
      <c r="Y28" s="4">
        <v>1</v>
      </c>
      <c r="Z28" s="56">
        <v>3</v>
      </c>
      <c r="AA28" s="9" cm="1">
        <f t="array" ref="AA28">IF(OR(AB28:AE28=""),"BLANK",IF(AND(AB28:AE28&lt;999),1,IF(AND(AB28:AE28="NA"),3,2)))</f>
        <v>1</v>
      </c>
      <c r="AB28" s="4">
        <v>35</v>
      </c>
      <c r="AC28" s="4">
        <v>21</v>
      </c>
      <c r="AD28" s="4">
        <v>14</v>
      </c>
      <c r="AE28" s="5">
        <v>70</v>
      </c>
      <c r="AF28" s="9">
        <f t="shared" si="0"/>
        <v>1</v>
      </c>
      <c r="AG28" s="5">
        <v>65</v>
      </c>
      <c r="AH28" s="9" cm="1">
        <f t="array" ref="AH28">IF(OR(AI28:AN28=""),"BLANK",IF(AND(AI28:AN28&lt;99),1,IF(AND(AI28:AN28="NA"),3,2)))</f>
        <v>2</v>
      </c>
      <c r="AI28" s="4">
        <v>47</v>
      </c>
      <c r="AJ28" s="4" t="s">
        <v>7</v>
      </c>
      <c r="AK28" s="21">
        <v>95.08</v>
      </c>
      <c r="AL28" s="21">
        <v>72.930000000000007</v>
      </c>
      <c r="AM28" s="21">
        <v>3.6</v>
      </c>
      <c r="AN28" s="22" t="s">
        <v>7</v>
      </c>
    </row>
    <row r="29" spans="1:40" x14ac:dyDescent="0.2">
      <c r="A29" s="15">
        <v>192</v>
      </c>
      <c r="B29" s="4" t="s">
        <v>63</v>
      </c>
      <c r="C29" s="30" t="s">
        <v>23</v>
      </c>
      <c r="D29" s="30">
        <v>5</v>
      </c>
      <c r="E29" s="30">
        <v>0</v>
      </c>
      <c r="F29" s="30" t="s">
        <v>7</v>
      </c>
      <c r="G29" s="30">
        <v>29</v>
      </c>
      <c r="H29" s="33">
        <v>4.043805612594114</v>
      </c>
      <c r="I29" s="33">
        <v>5.1909650924024637</v>
      </c>
      <c r="J29" s="33">
        <v>9.2347707049965777</v>
      </c>
      <c r="K29" s="33">
        <v>4.043805612594114</v>
      </c>
      <c r="L29" s="33">
        <v>5.1909650924024637</v>
      </c>
      <c r="M29" s="33">
        <v>9.2347707049965777</v>
      </c>
      <c r="N29" s="33">
        <v>4.046543463381246</v>
      </c>
      <c r="O29" s="33">
        <v>5.1526351813826148</v>
      </c>
      <c r="P29" s="33">
        <v>9.1991786447638599</v>
      </c>
      <c r="Q29" s="33" t="s">
        <v>7</v>
      </c>
      <c r="R29" s="33" t="s">
        <v>7</v>
      </c>
      <c r="S29" s="33" t="s">
        <v>7</v>
      </c>
      <c r="T29" s="12">
        <v>7</v>
      </c>
      <c r="U29" s="12">
        <v>21</v>
      </c>
      <c r="V29" s="4" t="s">
        <v>1</v>
      </c>
      <c r="W29" s="4">
        <v>1</v>
      </c>
      <c r="X29" s="4">
        <v>2</v>
      </c>
      <c r="Y29" s="4">
        <v>1</v>
      </c>
      <c r="Z29" s="56">
        <v>3</v>
      </c>
      <c r="AA29" s="9" cm="1">
        <f t="array" ref="AA29">IF(OR(AB29:AE29=""),"BLANK",IF(AND(AB29:AE29&lt;999),1,IF(AND(AB29:AE29="NA"),3,2)))</f>
        <v>1</v>
      </c>
      <c r="AB29" s="4">
        <v>40</v>
      </c>
      <c r="AC29" s="4">
        <v>25</v>
      </c>
      <c r="AD29" s="4">
        <v>17</v>
      </c>
      <c r="AE29" s="5">
        <v>82</v>
      </c>
      <c r="AF29" s="9">
        <f t="shared" si="0"/>
        <v>1</v>
      </c>
      <c r="AG29" s="5">
        <v>78</v>
      </c>
      <c r="AH29" s="9" cm="1">
        <f t="array" ref="AH29">IF(OR(AI29:AN29=""),"BLANK",IF(AND(AI29:AN29&lt;99),1,IF(AND(AI29:AN29="NA"),3,2)))</f>
        <v>2</v>
      </c>
      <c r="AI29" s="4">
        <v>63</v>
      </c>
      <c r="AJ29" s="4" t="s">
        <v>7</v>
      </c>
      <c r="AK29" s="21">
        <v>113.62</v>
      </c>
      <c r="AL29" s="21">
        <v>106.53</v>
      </c>
      <c r="AM29" s="21">
        <v>67</v>
      </c>
      <c r="AN29" s="22" t="s">
        <v>7</v>
      </c>
    </row>
    <row r="30" spans="1:40" x14ac:dyDescent="0.2">
      <c r="A30" s="15">
        <v>194</v>
      </c>
      <c r="B30" s="4" t="s">
        <v>60</v>
      </c>
      <c r="C30" s="30" t="s">
        <v>24</v>
      </c>
      <c r="D30" s="30">
        <v>5</v>
      </c>
      <c r="E30" s="30">
        <v>0</v>
      </c>
      <c r="F30" s="30" t="s">
        <v>7</v>
      </c>
      <c r="G30" s="30">
        <v>30</v>
      </c>
      <c r="H30" s="33">
        <v>4.3148528405201914</v>
      </c>
      <c r="I30" s="33" t="s">
        <v>7</v>
      </c>
      <c r="J30" s="33" t="s">
        <v>7</v>
      </c>
      <c r="K30" s="33">
        <v>4.3148528405201914</v>
      </c>
      <c r="L30" s="33" t="s">
        <v>7</v>
      </c>
      <c r="M30" s="33" t="s">
        <v>7</v>
      </c>
      <c r="N30" s="33">
        <v>4.2792607802874745</v>
      </c>
      <c r="O30" s="33" t="s">
        <v>7</v>
      </c>
      <c r="P30" s="33" t="s">
        <v>7</v>
      </c>
      <c r="Q30" s="33" t="s">
        <v>7</v>
      </c>
      <c r="R30" s="33" t="s">
        <v>7</v>
      </c>
      <c r="S30" s="33" t="s">
        <v>7</v>
      </c>
      <c r="T30" s="12">
        <v>6</v>
      </c>
      <c r="U30" s="12">
        <v>18</v>
      </c>
      <c r="V30" s="4" t="s">
        <v>1</v>
      </c>
      <c r="W30" s="4">
        <v>1</v>
      </c>
      <c r="X30" s="4">
        <v>2</v>
      </c>
      <c r="Y30" s="4">
        <v>1</v>
      </c>
      <c r="Z30" s="56">
        <v>3</v>
      </c>
      <c r="AA30" s="9" cm="1">
        <f t="array" ref="AA30">IF(OR(AB30:AE30=""),"BLANK",IF(AND(AB30:AE30&lt;999),1,IF(AND(AB30:AE30="NA"),3,2)))</f>
        <v>1</v>
      </c>
      <c r="AB30" s="4">
        <v>32</v>
      </c>
      <c r="AC30" s="4">
        <v>23</v>
      </c>
      <c r="AD30" s="4">
        <v>19</v>
      </c>
      <c r="AE30" s="5">
        <v>74</v>
      </c>
      <c r="AF30" s="9">
        <f t="shared" si="0"/>
        <v>1</v>
      </c>
      <c r="AG30" s="5">
        <v>51</v>
      </c>
      <c r="AH30" s="9" cm="1">
        <f t="array" ref="AH30">IF(OR(AI30:AN30=""),"BLANK",IF(AND(AI30:AN30&lt;99),1,IF(AND(AI30:AN30="NA"),3,2)))</f>
        <v>2</v>
      </c>
      <c r="AI30" s="4">
        <v>52</v>
      </c>
      <c r="AJ30" s="4" t="s">
        <v>7</v>
      </c>
      <c r="AK30" s="21">
        <v>100.1</v>
      </c>
      <c r="AL30" s="21">
        <v>86.2</v>
      </c>
      <c r="AM30" s="21">
        <v>17.899999999999999</v>
      </c>
      <c r="AN30" s="22" t="s">
        <v>7</v>
      </c>
    </row>
    <row r="31" spans="1:40" x14ac:dyDescent="0.2">
      <c r="A31" s="15">
        <v>196</v>
      </c>
      <c r="B31" s="4" t="s">
        <v>48</v>
      </c>
      <c r="C31" s="30" t="s">
        <v>24</v>
      </c>
      <c r="D31" s="30">
        <v>5</v>
      </c>
      <c r="E31" s="30">
        <v>0</v>
      </c>
      <c r="F31" s="30" t="s">
        <v>7</v>
      </c>
      <c r="G31" s="30">
        <v>28</v>
      </c>
      <c r="H31" s="33">
        <v>4.2546201232032859</v>
      </c>
      <c r="I31" s="33">
        <v>5.6919917864476384</v>
      </c>
      <c r="J31" s="33">
        <v>9.9466119096509242</v>
      </c>
      <c r="K31" s="33">
        <v>4.2546201232032859</v>
      </c>
      <c r="L31" s="33">
        <v>5.6919917864476384</v>
      </c>
      <c r="M31" s="33">
        <v>9.9466119096509242</v>
      </c>
      <c r="N31" s="33">
        <v>4.3394934976043809</v>
      </c>
      <c r="O31" s="33">
        <v>5.2676249144421625</v>
      </c>
      <c r="P31" s="33">
        <v>9.6071184120465443</v>
      </c>
      <c r="Q31" s="33" t="s">
        <v>7</v>
      </c>
      <c r="R31" s="33" t="s">
        <v>7</v>
      </c>
      <c r="S31" s="33" t="s">
        <v>7</v>
      </c>
      <c r="T31" s="12">
        <v>4</v>
      </c>
      <c r="U31" s="12">
        <v>16</v>
      </c>
      <c r="V31" s="4" t="s">
        <v>1</v>
      </c>
      <c r="W31" s="4">
        <v>1</v>
      </c>
      <c r="X31" s="4">
        <v>2</v>
      </c>
      <c r="Y31" s="4">
        <v>1</v>
      </c>
      <c r="Z31" s="56">
        <v>3</v>
      </c>
      <c r="AA31" s="9" cm="1">
        <f t="array" ref="AA31">IF(OR(AB31:AE31=""),"BLANK",IF(AND(AB31:AE31&lt;999),1,IF(AND(AB31:AE31="NA"),3,2)))</f>
        <v>1</v>
      </c>
      <c r="AB31" s="4">
        <v>29</v>
      </c>
      <c r="AC31" s="4">
        <v>17</v>
      </c>
      <c r="AD31" s="4">
        <v>15</v>
      </c>
      <c r="AE31" s="5">
        <v>61</v>
      </c>
      <c r="AF31" s="9">
        <f t="shared" si="0"/>
        <v>1</v>
      </c>
      <c r="AG31" s="5">
        <v>48</v>
      </c>
      <c r="AH31" s="9" cm="1">
        <f t="array" ref="AH31">IF(OR(AI31:AN31=""),"BLANK",IF(AND(AI31:AN31&lt;99),1,IF(AND(AI31:AN31="NA"),3,2)))</f>
        <v>2</v>
      </c>
      <c r="AI31" s="4">
        <v>49</v>
      </c>
      <c r="AJ31" s="4" t="s">
        <v>7</v>
      </c>
      <c r="AK31" s="21">
        <v>97.41</v>
      </c>
      <c r="AL31" s="21">
        <v>106.58</v>
      </c>
      <c r="AM31" s="21">
        <v>67</v>
      </c>
      <c r="AN31" s="22" t="s">
        <v>7</v>
      </c>
    </row>
    <row r="32" spans="1:40" x14ac:dyDescent="0.2">
      <c r="A32" s="15">
        <v>200</v>
      </c>
      <c r="B32" s="4" t="s">
        <v>46</v>
      </c>
      <c r="C32" s="30" t="s">
        <v>24</v>
      </c>
      <c r="D32" s="30">
        <v>3</v>
      </c>
      <c r="E32" s="30">
        <v>0</v>
      </c>
      <c r="F32" s="30" t="s">
        <v>7</v>
      </c>
      <c r="G32" s="30" t="s">
        <v>7</v>
      </c>
      <c r="H32" s="33">
        <v>4.1396303901437372</v>
      </c>
      <c r="I32" s="33">
        <v>6.2258726899383987</v>
      </c>
      <c r="J32" s="33">
        <v>10.365503080082135</v>
      </c>
      <c r="K32" s="33" t="s">
        <v>7</v>
      </c>
      <c r="L32" s="33" t="s">
        <v>7</v>
      </c>
      <c r="M32" s="33">
        <v>10.370978781656399</v>
      </c>
      <c r="N32" s="33">
        <v>4.0219028062970565</v>
      </c>
      <c r="O32" s="33">
        <v>6.2176591375770016</v>
      </c>
      <c r="P32" s="33">
        <v>10.239561943874058</v>
      </c>
      <c r="Q32" s="33" t="s">
        <v>7</v>
      </c>
      <c r="R32" s="33" t="s">
        <v>7</v>
      </c>
      <c r="S32" s="33" t="s">
        <v>7</v>
      </c>
      <c r="T32" s="12" t="s">
        <v>7</v>
      </c>
      <c r="U32" s="12" t="s">
        <v>7</v>
      </c>
      <c r="V32" s="4" t="s">
        <v>1</v>
      </c>
      <c r="W32" s="4">
        <v>1</v>
      </c>
      <c r="X32" s="4">
        <v>2</v>
      </c>
      <c r="Y32" s="4">
        <v>1</v>
      </c>
      <c r="Z32" s="56">
        <v>3</v>
      </c>
      <c r="AA32" s="9" cm="1">
        <f t="array" ref="AA32">IF(OR(AB32:AE32=""),"BLANK",IF(AND(AB32:AE32&lt;999),1,IF(AND(AB32:AE32="NA"),3,2)))</f>
        <v>3</v>
      </c>
      <c r="AB32" s="4" t="s">
        <v>7</v>
      </c>
      <c r="AC32" s="4" t="s">
        <v>7</v>
      </c>
      <c r="AD32" s="4" t="s">
        <v>7</v>
      </c>
      <c r="AE32" s="5" t="s">
        <v>7</v>
      </c>
      <c r="AF32" s="9">
        <f t="shared" si="0"/>
        <v>3</v>
      </c>
      <c r="AG32" s="5" t="s">
        <v>7</v>
      </c>
      <c r="AH32" s="9" cm="1">
        <f t="array" ref="AH32">IF(OR(AI32:AN32=""),"BLANK",IF(AND(AI32:AN32&lt;99),1,IF(AND(AI32:AN32="NA"),3,2)))</f>
        <v>2</v>
      </c>
      <c r="AI32" s="4">
        <v>46</v>
      </c>
      <c r="AJ32" s="4" t="s">
        <v>7</v>
      </c>
      <c r="AK32" s="21">
        <v>94.09</v>
      </c>
      <c r="AL32" s="21">
        <v>90.13</v>
      </c>
      <c r="AM32" s="21">
        <v>25.5</v>
      </c>
      <c r="AN32" s="22" t="s">
        <v>7</v>
      </c>
    </row>
    <row r="33" spans="1:40" x14ac:dyDescent="0.2">
      <c r="A33" s="15">
        <v>208</v>
      </c>
      <c r="B33" s="4" t="s">
        <v>62</v>
      </c>
      <c r="C33" s="30" t="s">
        <v>23</v>
      </c>
      <c r="D33" s="30">
        <v>5</v>
      </c>
      <c r="E33" s="30">
        <v>0</v>
      </c>
      <c r="F33" s="30" t="s">
        <v>7</v>
      </c>
      <c r="G33" s="30">
        <v>30</v>
      </c>
      <c r="H33" s="33">
        <v>3.5400410677618068</v>
      </c>
      <c r="I33" s="33">
        <v>4.9609856262833674</v>
      </c>
      <c r="J33" s="33">
        <v>8.5010266940451746</v>
      </c>
      <c r="K33" s="33">
        <v>3.5400410677618068</v>
      </c>
      <c r="L33" s="33">
        <v>4.9609856262833674</v>
      </c>
      <c r="M33" s="33">
        <v>8.5010266940451746</v>
      </c>
      <c r="N33" s="33">
        <v>3.5290896646132786</v>
      </c>
      <c r="O33" s="33">
        <v>4.8870636550308006</v>
      </c>
      <c r="P33" s="33">
        <v>8.4161533196440796</v>
      </c>
      <c r="Q33" s="33">
        <v>3.7180013689253935</v>
      </c>
      <c r="R33" s="33" t="s">
        <v>7</v>
      </c>
      <c r="S33" s="33" t="s">
        <v>7</v>
      </c>
      <c r="T33" s="12">
        <v>6</v>
      </c>
      <c r="U33" s="12">
        <v>18</v>
      </c>
      <c r="V33" s="4" t="s">
        <v>1</v>
      </c>
      <c r="W33" s="4">
        <v>1</v>
      </c>
      <c r="X33" s="4">
        <v>2</v>
      </c>
      <c r="Y33" s="4">
        <v>1</v>
      </c>
      <c r="Z33" s="56">
        <v>3</v>
      </c>
      <c r="AA33" s="9" cm="1">
        <f t="array" ref="AA33">IF(OR(AB33:AE33=""),"BLANK",IF(AND(AB33:AE33&lt;999),1,IF(AND(AB33:AE33="NA"),3,2)))</f>
        <v>1</v>
      </c>
      <c r="AB33" s="4">
        <v>32</v>
      </c>
      <c r="AC33" s="4">
        <v>20</v>
      </c>
      <c r="AD33" s="4">
        <v>12</v>
      </c>
      <c r="AE33" s="5">
        <v>64</v>
      </c>
      <c r="AF33" s="9">
        <f t="shared" si="0"/>
        <v>1</v>
      </c>
      <c r="AG33" s="5">
        <v>65</v>
      </c>
      <c r="AH33" s="9" cm="1">
        <f t="array" ref="AH33">IF(OR(AI33:AN33=""),"BLANK",IF(AND(AI33:AN33&lt;99),1,IF(AND(AI33:AN33="NA"),3,2)))</f>
        <v>2</v>
      </c>
      <c r="AI33" s="4">
        <v>48</v>
      </c>
      <c r="AJ33" s="4" t="s">
        <v>7</v>
      </c>
      <c r="AK33" s="21">
        <v>96.06</v>
      </c>
      <c r="AL33" s="21">
        <v>93.1</v>
      </c>
      <c r="AM33" s="21">
        <v>32.299999999999997</v>
      </c>
      <c r="AN33" s="22">
        <v>87.83</v>
      </c>
    </row>
    <row r="34" spans="1:40" x14ac:dyDescent="0.2">
      <c r="A34" s="15">
        <v>213</v>
      </c>
      <c r="B34" s="4" t="s">
        <v>54</v>
      </c>
      <c r="C34" s="30" t="s">
        <v>23</v>
      </c>
      <c r="D34" s="30">
        <v>5</v>
      </c>
      <c r="E34" s="30">
        <v>0</v>
      </c>
      <c r="F34" s="30" t="s">
        <v>7</v>
      </c>
      <c r="G34" s="30">
        <v>30</v>
      </c>
      <c r="H34" s="33">
        <v>4.1806981519507183</v>
      </c>
      <c r="I34" s="33">
        <v>5.7029431895961666</v>
      </c>
      <c r="J34" s="33">
        <v>9.8836413415468858</v>
      </c>
      <c r="K34" s="33">
        <v>4.1806981519507183</v>
      </c>
      <c r="L34" s="33">
        <v>5.7029431895961666</v>
      </c>
      <c r="M34" s="33">
        <v>9.8836413415468858</v>
      </c>
      <c r="N34" s="33">
        <v>3.9863107460643397</v>
      </c>
      <c r="O34" s="33">
        <v>5.5578370978781653</v>
      </c>
      <c r="P34" s="33">
        <v>9.5441478439425058</v>
      </c>
      <c r="Q34" s="33" t="s">
        <v>7</v>
      </c>
      <c r="R34" s="33" t="s">
        <v>7</v>
      </c>
      <c r="S34" s="33" t="s">
        <v>7</v>
      </c>
      <c r="T34" s="12">
        <v>6</v>
      </c>
      <c r="U34" s="12">
        <v>18</v>
      </c>
      <c r="V34" s="4" t="s">
        <v>1</v>
      </c>
      <c r="W34" s="4">
        <v>1</v>
      </c>
      <c r="X34" s="4">
        <v>2</v>
      </c>
      <c r="Y34" s="4">
        <v>1</v>
      </c>
      <c r="Z34" s="56">
        <v>3</v>
      </c>
      <c r="AA34" s="9" cm="1">
        <f t="array" ref="AA34">IF(OR(AB34:AE34=""),"BLANK",IF(AND(AB34:AE34&lt;999),1,IF(AND(AB34:AE34="NA"),3,2)))</f>
        <v>1</v>
      </c>
      <c r="AB34" s="4">
        <v>34</v>
      </c>
      <c r="AC34" s="4">
        <v>21</v>
      </c>
      <c r="AD34" s="4">
        <v>13</v>
      </c>
      <c r="AE34" s="5">
        <v>68</v>
      </c>
      <c r="AF34" s="9">
        <f t="shared" si="0"/>
        <v>1</v>
      </c>
      <c r="AG34" s="5">
        <v>66</v>
      </c>
      <c r="AH34" s="9" cm="1">
        <f t="array" ref="AH34">IF(OR(AI34:AN34=""),"BLANK",IF(AND(AI34:AN34&lt;99),1,IF(AND(AI34:AN34="NA"),3,2)))</f>
        <v>2</v>
      </c>
      <c r="AI34" s="4">
        <v>45</v>
      </c>
      <c r="AJ34" s="4" t="s">
        <v>7</v>
      </c>
      <c r="AK34" s="21">
        <v>93.04</v>
      </c>
      <c r="AL34" s="21">
        <v>91.6</v>
      </c>
      <c r="AM34" s="21">
        <v>28.8</v>
      </c>
      <c r="AN34" s="22" t="s">
        <v>7</v>
      </c>
    </row>
    <row r="35" spans="1:40" x14ac:dyDescent="0.2">
      <c r="A35" s="15">
        <v>220</v>
      </c>
      <c r="B35" s="4" t="s">
        <v>48</v>
      </c>
      <c r="C35" s="30" t="s">
        <v>23</v>
      </c>
      <c r="D35" s="30">
        <v>5</v>
      </c>
      <c r="E35" s="30">
        <v>0</v>
      </c>
      <c r="F35" s="30" t="s">
        <v>7</v>
      </c>
      <c r="G35" s="30">
        <v>30</v>
      </c>
      <c r="H35" s="33">
        <v>4.2327173169062284</v>
      </c>
      <c r="I35" s="33">
        <v>5.9657768651608487</v>
      </c>
      <c r="J35" s="33">
        <v>10.198494182067078</v>
      </c>
      <c r="K35" s="33">
        <v>5.7713894592744692</v>
      </c>
      <c r="L35" s="33">
        <v>4.4271047227926079</v>
      </c>
      <c r="M35" s="33">
        <v>10.198494182067078</v>
      </c>
      <c r="N35" s="33">
        <v>4.0219028062970565</v>
      </c>
      <c r="O35" s="33">
        <v>5.7138945927446958</v>
      </c>
      <c r="P35" s="33">
        <v>9.7357973990417523</v>
      </c>
      <c r="Q35" s="33" t="s">
        <v>7</v>
      </c>
      <c r="R35" s="33" t="s">
        <v>7</v>
      </c>
      <c r="S35" s="33" t="s">
        <v>7</v>
      </c>
      <c r="T35" s="12">
        <v>5</v>
      </c>
      <c r="U35" s="12">
        <v>17.5</v>
      </c>
      <c r="V35" s="4" t="s">
        <v>1</v>
      </c>
      <c r="W35" s="4">
        <v>1</v>
      </c>
      <c r="X35" s="4">
        <v>2</v>
      </c>
      <c r="Y35" s="4">
        <v>1</v>
      </c>
      <c r="Z35" s="56">
        <v>3</v>
      </c>
      <c r="AA35" s="9" cm="1">
        <f t="array" ref="AA35">IF(OR(AB35:AE35=""),"BLANK",IF(AND(AB35:AE35&lt;999),1,IF(AND(AB35:AE35="NA"),3,2)))</f>
        <v>1</v>
      </c>
      <c r="AB35" s="4">
        <v>20</v>
      </c>
      <c r="AC35" s="4">
        <v>16</v>
      </c>
      <c r="AD35" s="4">
        <v>12</v>
      </c>
      <c r="AE35" s="5">
        <v>48</v>
      </c>
      <c r="AF35" s="9">
        <f t="shared" si="0"/>
        <v>1</v>
      </c>
      <c r="AG35" s="5">
        <v>42</v>
      </c>
      <c r="AH35" s="9" cm="1">
        <f t="array" ref="AH35">IF(OR(AI35:AN35=""),"BLANK",IF(AND(AI35:AN35&lt;99),1,IF(AND(AI35:AN35="NA"),3,2)))</f>
        <v>2</v>
      </c>
      <c r="AI35" s="4">
        <v>44</v>
      </c>
      <c r="AJ35" s="4" t="s">
        <v>7</v>
      </c>
      <c r="AK35" s="21">
        <v>92.15</v>
      </c>
      <c r="AL35" s="21">
        <v>90.28</v>
      </c>
      <c r="AM35" s="21">
        <v>25.8</v>
      </c>
      <c r="AN35" s="22">
        <v>85.92</v>
      </c>
    </row>
    <row r="36" spans="1:40" x14ac:dyDescent="0.2">
      <c r="A36" s="15">
        <v>221</v>
      </c>
      <c r="B36" s="4" t="s">
        <v>62</v>
      </c>
      <c r="C36" s="30" t="s">
        <v>24</v>
      </c>
      <c r="D36" s="30">
        <v>5</v>
      </c>
      <c r="E36" s="30">
        <v>0</v>
      </c>
      <c r="F36" s="30" t="s">
        <v>7</v>
      </c>
      <c r="G36" s="30">
        <v>28</v>
      </c>
      <c r="H36" s="33">
        <v>4.2190280629705681</v>
      </c>
      <c r="I36" s="33">
        <v>6.2067077344284733</v>
      </c>
      <c r="J36" s="33">
        <v>10.425735797399042</v>
      </c>
      <c r="K36" s="33">
        <v>4.1232032854209448</v>
      </c>
      <c r="L36" s="33">
        <v>6.1793292265571527</v>
      </c>
      <c r="M36" s="33">
        <v>10.302532511978097</v>
      </c>
      <c r="N36" s="33" t="s">
        <v>7</v>
      </c>
      <c r="O36" s="33" t="s">
        <v>7</v>
      </c>
      <c r="P36" s="33" t="s">
        <v>7</v>
      </c>
      <c r="Q36" s="33" t="s">
        <v>7</v>
      </c>
      <c r="R36" s="33" t="s">
        <v>7</v>
      </c>
      <c r="S36" s="33" t="s">
        <v>7</v>
      </c>
      <c r="T36" s="12" t="s">
        <v>7</v>
      </c>
      <c r="U36" s="12" t="s">
        <v>7</v>
      </c>
      <c r="V36" s="4" t="s">
        <v>1</v>
      </c>
      <c r="W36" s="4">
        <v>1</v>
      </c>
      <c r="X36" s="4">
        <v>2</v>
      </c>
      <c r="Y36" s="4">
        <v>1</v>
      </c>
      <c r="Z36" s="56">
        <v>3</v>
      </c>
      <c r="AA36" s="9" cm="1">
        <f t="array" ref="AA36">IF(OR(AB36:AE36=""),"BLANK",IF(AND(AB36:AE36&lt;999),1,IF(AND(AB36:AE36="NA"),3,2)))</f>
        <v>1</v>
      </c>
      <c r="AB36" s="4">
        <v>29</v>
      </c>
      <c r="AC36" s="4">
        <v>16</v>
      </c>
      <c r="AD36" s="4">
        <v>12</v>
      </c>
      <c r="AE36" s="5">
        <v>57</v>
      </c>
      <c r="AF36" s="9">
        <f t="shared" si="0"/>
        <v>1</v>
      </c>
      <c r="AG36" s="5">
        <v>53</v>
      </c>
      <c r="AH36" s="9" cm="1">
        <f t="array" ref="AH36">IF(OR(AI36:AN36=""),"BLANK",IF(AND(AI36:AN36&lt;99),1,IF(AND(AI36:AN36="NA"),3,2)))</f>
        <v>2</v>
      </c>
      <c r="AI36" s="4">
        <v>51</v>
      </c>
      <c r="AJ36" s="4" t="s">
        <v>7</v>
      </c>
      <c r="AK36" s="21">
        <v>99.11</v>
      </c>
      <c r="AL36" s="21">
        <v>98.28</v>
      </c>
      <c r="AM36" s="21">
        <v>45.6</v>
      </c>
      <c r="AN36" s="22" t="s">
        <v>7</v>
      </c>
    </row>
    <row r="37" spans="1:40" x14ac:dyDescent="0.2">
      <c r="A37" s="15">
        <v>224</v>
      </c>
      <c r="B37" s="4" t="s">
        <v>69</v>
      </c>
      <c r="C37" s="30" t="s">
        <v>24</v>
      </c>
      <c r="D37" s="30">
        <v>5</v>
      </c>
      <c r="E37" s="30">
        <v>0</v>
      </c>
      <c r="F37" s="30" t="s">
        <v>7</v>
      </c>
      <c r="G37" s="30">
        <v>27</v>
      </c>
      <c r="H37" s="33">
        <v>4.1396303901437372</v>
      </c>
      <c r="I37" s="33" t="s">
        <v>7</v>
      </c>
      <c r="J37" s="33" t="s">
        <v>7</v>
      </c>
      <c r="K37" s="33" t="s">
        <v>7</v>
      </c>
      <c r="L37" s="33" t="s">
        <v>7</v>
      </c>
      <c r="M37" s="33" t="s">
        <v>7</v>
      </c>
      <c r="N37" s="33" t="s">
        <v>7</v>
      </c>
      <c r="O37" s="33" t="s">
        <v>7</v>
      </c>
      <c r="P37" s="33" t="s">
        <v>7</v>
      </c>
      <c r="Q37" s="33" t="s">
        <v>7</v>
      </c>
      <c r="R37" s="33" t="s">
        <v>7</v>
      </c>
      <c r="S37" s="33" t="s">
        <v>7</v>
      </c>
      <c r="T37" s="12" t="s">
        <v>7</v>
      </c>
      <c r="U37" s="12" t="s">
        <v>7</v>
      </c>
      <c r="V37" s="4" t="s">
        <v>1</v>
      </c>
      <c r="W37" s="4">
        <v>1</v>
      </c>
      <c r="X37" s="4">
        <v>2</v>
      </c>
      <c r="Y37" s="4">
        <v>1</v>
      </c>
      <c r="Z37" s="56">
        <v>3</v>
      </c>
      <c r="AA37" s="9" cm="1">
        <f t="array" ref="AA37">IF(OR(AB37:AE37=""),"BLANK",IF(AND(AB37:AE37&lt;999),1,IF(AND(AB37:AE37="NA"),3,2)))</f>
        <v>3</v>
      </c>
      <c r="AB37" s="4" t="s">
        <v>7</v>
      </c>
      <c r="AC37" s="4" t="s">
        <v>7</v>
      </c>
      <c r="AD37" s="4" t="s">
        <v>7</v>
      </c>
      <c r="AE37" s="5" t="s">
        <v>7</v>
      </c>
      <c r="AF37" s="9">
        <f t="shared" si="0"/>
        <v>3</v>
      </c>
      <c r="AG37" s="5" t="s">
        <v>7</v>
      </c>
      <c r="AH37" s="9" cm="1">
        <f t="array" ref="AH37">IF(OR(AI37:AN37=""),"BLANK",IF(AND(AI37:AN37&lt;99),1,IF(AND(AI37:AN37="NA"),3,2)))</f>
        <v>2</v>
      </c>
      <c r="AI37" s="4">
        <v>22</v>
      </c>
      <c r="AJ37" s="4" t="s">
        <v>7</v>
      </c>
      <c r="AK37" s="23" t="s">
        <v>7</v>
      </c>
      <c r="AL37" s="23" t="s">
        <v>7</v>
      </c>
      <c r="AM37" s="23" t="s">
        <v>7</v>
      </c>
      <c r="AN37" s="24" t="s">
        <v>7</v>
      </c>
    </row>
    <row r="38" spans="1:40" x14ac:dyDescent="0.2">
      <c r="A38" s="15">
        <v>232</v>
      </c>
      <c r="B38" s="4" t="s">
        <v>65</v>
      </c>
      <c r="C38" s="30" t="s">
        <v>23</v>
      </c>
      <c r="D38" s="30">
        <v>5</v>
      </c>
      <c r="E38" s="30">
        <v>0</v>
      </c>
      <c r="F38" s="30" t="s">
        <v>7</v>
      </c>
      <c r="G38" s="30">
        <v>29</v>
      </c>
      <c r="H38" s="33">
        <v>4.128678986995209</v>
      </c>
      <c r="I38" s="33">
        <v>5.6919917864476384</v>
      </c>
      <c r="J38" s="33">
        <v>9.8206707734428473</v>
      </c>
      <c r="K38" s="33">
        <v>4.128678986995209</v>
      </c>
      <c r="L38" s="33">
        <v>5.7029431895961666</v>
      </c>
      <c r="M38" s="33">
        <v>9.8316221765913756</v>
      </c>
      <c r="N38" s="33">
        <v>4.0246406570841886</v>
      </c>
      <c r="O38" s="33">
        <v>5.3442847364818613</v>
      </c>
      <c r="P38" s="33">
        <v>9.3689253935660499</v>
      </c>
      <c r="Q38" s="33" t="s">
        <v>7</v>
      </c>
      <c r="R38" s="33" t="s">
        <v>7</v>
      </c>
      <c r="S38" s="33" t="s">
        <v>7</v>
      </c>
      <c r="T38" s="12">
        <v>3</v>
      </c>
      <c r="U38" s="12">
        <v>14</v>
      </c>
      <c r="V38" s="4" t="s">
        <v>1</v>
      </c>
      <c r="W38" s="4">
        <v>1</v>
      </c>
      <c r="X38" s="4">
        <v>2</v>
      </c>
      <c r="Y38" s="4">
        <v>1</v>
      </c>
      <c r="Z38" s="56">
        <v>3</v>
      </c>
      <c r="AA38" s="9" cm="1">
        <f t="array" ref="AA38">IF(OR(AB38:AE38=""),"BLANK",IF(AND(AB38:AE38&lt;999),1,IF(AND(AB38:AE38="NA"),3,2)))</f>
        <v>1</v>
      </c>
      <c r="AB38" s="4">
        <v>27</v>
      </c>
      <c r="AC38" s="4">
        <v>15</v>
      </c>
      <c r="AD38" s="4">
        <v>10</v>
      </c>
      <c r="AE38" s="5">
        <v>52</v>
      </c>
      <c r="AF38" s="9">
        <f t="shared" si="0"/>
        <v>1</v>
      </c>
      <c r="AG38" s="5">
        <v>60</v>
      </c>
      <c r="AH38" s="9" cm="1">
        <f t="array" ref="AH38">IF(OR(AI38:AN38=""),"BLANK",IF(AND(AI38:AN38&lt;99),1,IF(AND(AI38:AN38="NA"),3,2)))</f>
        <v>2</v>
      </c>
      <c r="AI38" s="4">
        <v>38</v>
      </c>
      <c r="AJ38" s="4" t="s">
        <v>7</v>
      </c>
      <c r="AK38" s="21">
        <v>85.79</v>
      </c>
      <c r="AL38" s="21">
        <v>93.07</v>
      </c>
      <c r="AM38" s="21">
        <v>32.299999999999997</v>
      </c>
      <c r="AN38" s="22" t="s">
        <v>7</v>
      </c>
    </row>
    <row r="39" spans="1:40" x14ac:dyDescent="0.2">
      <c r="A39" s="15">
        <v>236</v>
      </c>
      <c r="B39" s="4" t="s">
        <v>66</v>
      </c>
      <c r="C39" s="30" t="s">
        <v>24</v>
      </c>
      <c r="D39" s="30">
        <v>5</v>
      </c>
      <c r="E39" s="30">
        <v>0</v>
      </c>
      <c r="F39" s="30" t="s">
        <v>7</v>
      </c>
      <c r="G39" s="30">
        <v>30</v>
      </c>
      <c r="H39" s="33">
        <v>4.0985626283367553</v>
      </c>
      <c r="I39" s="33">
        <v>5.9137577002053385</v>
      </c>
      <c r="J39" s="33">
        <v>10.012320328542094</v>
      </c>
      <c r="K39" s="33">
        <v>4.1451060917180014</v>
      </c>
      <c r="L39" s="33">
        <v>5.8590006844626972</v>
      </c>
      <c r="M39" s="33">
        <v>10.004106776180699</v>
      </c>
      <c r="N39" s="33">
        <v>4.0164271047227924</v>
      </c>
      <c r="O39" s="33">
        <v>5.5961670088980151</v>
      </c>
      <c r="P39" s="33">
        <v>9.6125941136208084</v>
      </c>
      <c r="Q39" s="33" t="s">
        <v>7</v>
      </c>
      <c r="R39" s="33" t="s">
        <v>7</v>
      </c>
      <c r="S39" s="33" t="s">
        <v>7</v>
      </c>
      <c r="T39" s="12">
        <v>7</v>
      </c>
      <c r="U39" s="12">
        <v>21</v>
      </c>
      <c r="V39" s="4" t="s">
        <v>1</v>
      </c>
      <c r="W39" s="4">
        <v>1</v>
      </c>
      <c r="X39" s="4">
        <v>2</v>
      </c>
      <c r="Y39" s="4">
        <v>1</v>
      </c>
      <c r="Z39" s="56">
        <v>3</v>
      </c>
      <c r="AA39" s="9" cm="1">
        <f t="array" ref="AA39">IF(OR(AB39:AE39=""),"BLANK",IF(AND(AB39:AE39&lt;999),1,IF(AND(AB39:AE39="NA"),3,2)))</f>
        <v>1</v>
      </c>
      <c r="AB39" s="4">
        <v>32</v>
      </c>
      <c r="AC39" s="4">
        <v>18</v>
      </c>
      <c r="AD39" s="4">
        <v>14</v>
      </c>
      <c r="AE39" s="5">
        <v>64</v>
      </c>
      <c r="AF39" s="9">
        <f t="shared" si="0"/>
        <v>1</v>
      </c>
      <c r="AG39" s="5">
        <v>48</v>
      </c>
      <c r="AH39" s="9" cm="1">
        <f t="array" ref="AH39">IF(OR(AI39:AN39=""),"BLANK",IF(AND(AI39:AN39&lt;99),1,IF(AND(AI39:AN39="NA"),3,2)))</f>
        <v>2</v>
      </c>
      <c r="AI39" s="4">
        <v>49</v>
      </c>
      <c r="AJ39" s="4" t="s">
        <v>7</v>
      </c>
      <c r="AK39" s="21">
        <v>96.72</v>
      </c>
      <c r="AL39" s="21">
        <v>105.14</v>
      </c>
      <c r="AM39" s="21">
        <v>63.3</v>
      </c>
      <c r="AN39" s="22">
        <v>101.7</v>
      </c>
    </row>
    <row r="40" spans="1:40" x14ac:dyDescent="0.2">
      <c r="A40" s="15">
        <v>245</v>
      </c>
      <c r="B40" s="4" t="s">
        <v>48</v>
      </c>
      <c r="C40" s="30" t="s">
        <v>23</v>
      </c>
      <c r="D40" s="30">
        <v>2</v>
      </c>
      <c r="E40" s="30">
        <v>0</v>
      </c>
      <c r="F40" s="30" t="s">
        <v>7</v>
      </c>
      <c r="G40" s="30">
        <v>30</v>
      </c>
      <c r="H40" s="33">
        <v>4.0985626283367553</v>
      </c>
      <c r="I40" s="33">
        <v>5.9712525667351128</v>
      </c>
      <c r="J40" s="33">
        <v>10.069815195071868</v>
      </c>
      <c r="K40" s="33">
        <v>4.1204654346338128</v>
      </c>
      <c r="L40" s="33">
        <v>5.9493497604380563</v>
      </c>
      <c r="M40" s="33">
        <v>10.069815195071868</v>
      </c>
      <c r="N40" s="33">
        <v>4.2792607802874745</v>
      </c>
      <c r="O40" s="33">
        <v>5.7084188911704308</v>
      </c>
      <c r="P40" s="33">
        <v>9.9876796714579061</v>
      </c>
      <c r="Q40" s="33">
        <v>3.1156741957563314</v>
      </c>
      <c r="R40" s="33">
        <v>6.3052703627652296</v>
      </c>
      <c r="S40" s="33">
        <v>9.4209445585215601</v>
      </c>
      <c r="T40" s="12">
        <v>3</v>
      </c>
      <c r="U40" s="12">
        <v>13</v>
      </c>
      <c r="V40" s="4" t="s">
        <v>1</v>
      </c>
      <c r="W40" s="4">
        <v>1</v>
      </c>
      <c r="X40" s="4">
        <v>2</v>
      </c>
      <c r="Y40" s="4">
        <v>1</v>
      </c>
      <c r="Z40" s="56">
        <v>3</v>
      </c>
      <c r="AA40" s="9" cm="1">
        <f t="array" ref="AA40">IF(OR(AB40:AE40=""),"BLANK",IF(AND(AB40:AE40&lt;999),1,IF(AND(AB40:AE40="NA"),3,2)))</f>
        <v>1</v>
      </c>
      <c r="AB40" s="4">
        <v>27</v>
      </c>
      <c r="AC40" s="4">
        <v>18</v>
      </c>
      <c r="AD40" s="4">
        <v>14</v>
      </c>
      <c r="AE40" s="5">
        <v>59</v>
      </c>
      <c r="AF40" s="9">
        <f t="shared" si="0"/>
        <v>1</v>
      </c>
      <c r="AG40" s="5">
        <v>45</v>
      </c>
      <c r="AH40" s="9" cm="1">
        <f t="array" ref="AH40">IF(OR(AI40:AN40=""),"BLANK",IF(AND(AI40:AN40&lt;99),1,IF(AND(AI40:AN40="NA"),3,2)))</f>
        <v>2</v>
      </c>
      <c r="AI40" s="4">
        <v>37</v>
      </c>
      <c r="AJ40" s="4" t="s">
        <v>7</v>
      </c>
      <c r="AK40" s="21">
        <v>84.06</v>
      </c>
      <c r="AL40" s="21">
        <v>77.040000000000006</v>
      </c>
      <c r="AM40" s="21">
        <v>6.3</v>
      </c>
      <c r="AN40" s="22" t="s">
        <v>7</v>
      </c>
    </row>
    <row r="41" spans="1:40" x14ac:dyDescent="0.2">
      <c r="A41" s="15">
        <v>257</v>
      </c>
      <c r="B41" s="4" t="s">
        <v>65</v>
      </c>
      <c r="C41" s="30" t="s">
        <v>23</v>
      </c>
      <c r="D41" s="30">
        <v>5</v>
      </c>
      <c r="E41" s="30">
        <v>0</v>
      </c>
      <c r="F41" s="30" t="s">
        <v>7</v>
      </c>
      <c r="G41" s="30">
        <v>30</v>
      </c>
      <c r="H41" s="33">
        <v>4.3531827515400412</v>
      </c>
      <c r="I41" s="33" t="s">
        <v>7</v>
      </c>
      <c r="J41" s="33" t="s">
        <v>7</v>
      </c>
      <c r="K41" s="33">
        <v>4.3641341546885695</v>
      </c>
      <c r="L41" s="33" t="s">
        <v>7</v>
      </c>
      <c r="M41" s="33" t="s">
        <v>7</v>
      </c>
      <c r="N41" s="33" t="s">
        <v>7</v>
      </c>
      <c r="O41" s="33" t="s">
        <v>7</v>
      </c>
      <c r="P41" s="33" t="s">
        <v>7</v>
      </c>
      <c r="Q41" s="33" t="s">
        <v>7</v>
      </c>
      <c r="R41" s="33" t="s">
        <v>7</v>
      </c>
      <c r="S41" s="33" t="s">
        <v>7</v>
      </c>
      <c r="T41" s="12">
        <v>3</v>
      </c>
      <c r="U41" s="12">
        <v>13</v>
      </c>
      <c r="V41" s="4" t="s">
        <v>1</v>
      </c>
      <c r="W41" s="4">
        <v>1</v>
      </c>
      <c r="X41" s="4">
        <v>2</v>
      </c>
      <c r="Y41" s="4">
        <v>1</v>
      </c>
      <c r="Z41" s="56">
        <v>3</v>
      </c>
      <c r="AA41" s="9" cm="1">
        <f t="array" ref="AA41">IF(OR(AB41:AE41=""),"BLANK",IF(AND(AB41:AE41&lt;999),1,IF(AND(AB41:AE41="NA"),3,2)))</f>
        <v>1</v>
      </c>
      <c r="AB41" s="4">
        <v>17</v>
      </c>
      <c r="AC41" s="4">
        <v>11</v>
      </c>
      <c r="AD41" s="4">
        <v>10</v>
      </c>
      <c r="AE41" s="5">
        <v>38</v>
      </c>
      <c r="AF41" s="9">
        <f t="shared" si="0"/>
        <v>1</v>
      </c>
      <c r="AG41" s="5">
        <v>42</v>
      </c>
      <c r="AH41" s="9" cm="1">
        <f t="array" ref="AH41">IF(OR(AI41:AN41=""),"BLANK",IF(AND(AI41:AN41&lt;99),1,IF(AND(AI41:AN41="NA"),3,2)))</f>
        <v>2</v>
      </c>
      <c r="AI41" s="4">
        <v>49</v>
      </c>
      <c r="AJ41" s="4" t="s">
        <v>7</v>
      </c>
      <c r="AK41" s="21">
        <v>97.64</v>
      </c>
      <c r="AL41" s="21">
        <v>113.09</v>
      </c>
      <c r="AM41" s="21">
        <v>80.8</v>
      </c>
      <c r="AN41" s="22" t="s">
        <v>7</v>
      </c>
    </row>
    <row r="42" spans="1:40" x14ac:dyDescent="0.2">
      <c r="A42" s="15">
        <v>261</v>
      </c>
      <c r="B42" s="4" t="s">
        <v>64</v>
      </c>
      <c r="C42" s="30" t="s">
        <v>23</v>
      </c>
      <c r="D42" s="30">
        <v>5</v>
      </c>
      <c r="E42" s="30">
        <v>0</v>
      </c>
      <c r="F42" s="30" t="s">
        <v>7</v>
      </c>
      <c r="G42" s="30">
        <v>30</v>
      </c>
      <c r="H42" s="33">
        <v>4.1998631074606436</v>
      </c>
      <c r="I42" s="33" t="s">
        <v>7</v>
      </c>
      <c r="J42" s="33" t="s">
        <v>7</v>
      </c>
      <c r="K42" s="33">
        <v>4.3148528405201914</v>
      </c>
      <c r="L42" s="33" t="s">
        <v>7</v>
      </c>
      <c r="M42" s="33" t="s">
        <v>7</v>
      </c>
      <c r="N42" s="33">
        <v>4.2299794661190964</v>
      </c>
      <c r="O42" s="33" t="s">
        <v>7</v>
      </c>
      <c r="P42" s="33" t="s">
        <v>7</v>
      </c>
      <c r="Q42" s="33" t="s">
        <v>7</v>
      </c>
      <c r="R42" s="33" t="s">
        <v>7</v>
      </c>
      <c r="S42" s="33" t="s">
        <v>7</v>
      </c>
      <c r="T42" s="12">
        <v>4</v>
      </c>
      <c r="U42" s="12">
        <v>16</v>
      </c>
      <c r="V42" s="4" t="s">
        <v>1</v>
      </c>
      <c r="W42" s="4">
        <v>1</v>
      </c>
      <c r="X42" s="4">
        <v>2</v>
      </c>
      <c r="Y42" s="4">
        <v>1</v>
      </c>
      <c r="Z42" s="56">
        <v>3</v>
      </c>
      <c r="AA42" s="9" cm="1">
        <f t="array" ref="AA42">IF(OR(AB42:AE42=""),"BLANK",IF(AND(AB42:AE42&lt;999),1,IF(AND(AB42:AE42="NA"),3,2)))</f>
        <v>1</v>
      </c>
      <c r="AB42" s="4">
        <v>31</v>
      </c>
      <c r="AC42" s="4">
        <v>20</v>
      </c>
      <c r="AD42" s="4">
        <v>13</v>
      </c>
      <c r="AE42" s="5">
        <v>64</v>
      </c>
      <c r="AF42" s="9">
        <f t="shared" si="0"/>
        <v>1</v>
      </c>
      <c r="AG42" s="5">
        <v>45</v>
      </c>
      <c r="AH42" s="9" cm="1">
        <f t="array" ref="AH42">IF(OR(AI42:AN42=""),"BLANK",IF(AND(AI42:AN42&lt;99),1,IF(AND(AI42:AN42="NA"),3,2)))</f>
        <v>2</v>
      </c>
      <c r="AI42" s="4">
        <v>47</v>
      </c>
      <c r="AJ42" s="4" t="s">
        <v>7</v>
      </c>
      <c r="AK42" s="21">
        <v>95.32</v>
      </c>
      <c r="AL42" s="21">
        <v>109.14</v>
      </c>
      <c r="AM42" s="21">
        <v>72.900000000000006</v>
      </c>
      <c r="AN42" s="22" t="s">
        <v>7</v>
      </c>
    </row>
    <row r="43" spans="1:40" x14ac:dyDescent="0.2">
      <c r="A43" s="15">
        <v>274</v>
      </c>
      <c r="B43" s="4" t="s">
        <v>52</v>
      </c>
      <c r="C43" s="30" t="s">
        <v>24</v>
      </c>
      <c r="D43" s="30">
        <v>5</v>
      </c>
      <c r="E43" s="30">
        <v>0</v>
      </c>
      <c r="F43" s="30" t="s">
        <v>7</v>
      </c>
      <c r="G43" s="30">
        <v>29</v>
      </c>
      <c r="H43" s="33">
        <v>4.043805612594114</v>
      </c>
      <c r="I43" s="33">
        <v>5.415468856947296</v>
      </c>
      <c r="J43" s="33">
        <v>9.4592744695414108</v>
      </c>
      <c r="K43" s="33">
        <v>4.043805612594114</v>
      </c>
      <c r="L43" s="33">
        <v>5.5003422313483918</v>
      </c>
      <c r="M43" s="33">
        <v>9.5441478439425058</v>
      </c>
      <c r="N43" s="33">
        <v>4.0301163586584527</v>
      </c>
      <c r="O43" s="33" t="s">
        <v>7</v>
      </c>
      <c r="P43" s="33" t="s">
        <v>7</v>
      </c>
      <c r="Q43" s="33">
        <v>3.1978097193702943</v>
      </c>
      <c r="R43" s="33" t="s">
        <v>7</v>
      </c>
      <c r="S43" s="33" t="s">
        <v>7</v>
      </c>
      <c r="T43" s="12">
        <v>4</v>
      </c>
      <c r="U43" s="12">
        <v>16</v>
      </c>
      <c r="V43" s="4" t="s">
        <v>1</v>
      </c>
      <c r="W43" s="4">
        <v>1</v>
      </c>
      <c r="X43" s="4">
        <v>2</v>
      </c>
      <c r="Y43" s="4">
        <v>1</v>
      </c>
      <c r="Z43" s="56">
        <v>3</v>
      </c>
      <c r="AA43" s="9" cm="1">
        <f t="array" ref="AA43">IF(OR(AB43:AE43=""),"BLANK",IF(AND(AB43:AE43&lt;999),1,IF(AND(AB43:AE43="NA"),3,2)))</f>
        <v>1</v>
      </c>
      <c r="AB43" s="4">
        <v>17</v>
      </c>
      <c r="AC43" s="4">
        <v>14</v>
      </c>
      <c r="AD43" s="4">
        <v>7</v>
      </c>
      <c r="AE43" s="5">
        <v>38</v>
      </c>
      <c r="AF43" s="9">
        <f t="shared" si="0"/>
        <v>3</v>
      </c>
      <c r="AG43" s="5" t="s">
        <v>7</v>
      </c>
      <c r="AH43" s="9" cm="1">
        <f t="array" ref="AH43">IF(OR(AI43:AN43=""),"BLANK",IF(AND(AI43:AN43&lt;99),1,IF(AND(AI43:AN43="NA"),3,2)))</f>
        <v>2</v>
      </c>
      <c r="AI43" s="4">
        <v>45</v>
      </c>
      <c r="AJ43" s="4" t="s">
        <v>7</v>
      </c>
      <c r="AK43" s="21">
        <v>92.49</v>
      </c>
      <c r="AL43" s="21">
        <v>98.29</v>
      </c>
      <c r="AM43" s="21">
        <v>45.6</v>
      </c>
      <c r="AN43" s="22" t="s">
        <v>7</v>
      </c>
    </row>
    <row r="44" spans="1:40" x14ac:dyDescent="0.2">
      <c r="A44" s="15">
        <v>311</v>
      </c>
      <c r="B44" s="4" t="s">
        <v>52</v>
      </c>
      <c r="C44" s="30" t="s">
        <v>23</v>
      </c>
      <c r="D44" s="30">
        <v>5</v>
      </c>
      <c r="E44" s="30">
        <v>0</v>
      </c>
      <c r="F44" s="30" t="s">
        <v>7</v>
      </c>
      <c r="G44" s="30">
        <v>26</v>
      </c>
      <c r="H44" s="33">
        <v>4.0821355236139629</v>
      </c>
      <c r="I44" s="33" t="s">
        <v>7</v>
      </c>
      <c r="J44" s="33" t="s">
        <v>7</v>
      </c>
      <c r="K44" s="33">
        <v>4.0985626283367553</v>
      </c>
      <c r="L44" s="33" t="s">
        <v>7</v>
      </c>
      <c r="M44" s="33" t="s">
        <v>7</v>
      </c>
      <c r="N44" s="33">
        <v>4.0492813141683781</v>
      </c>
      <c r="O44" s="33" t="s">
        <v>7</v>
      </c>
      <c r="P44" s="33" t="s">
        <v>7</v>
      </c>
      <c r="Q44" s="33">
        <v>3.2607802874743328</v>
      </c>
      <c r="R44" s="33" t="s">
        <v>7</v>
      </c>
      <c r="S44" s="33" t="s">
        <v>7</v>
      </c>
      <c r="T44" s="12">
        <v>3</v>
      </c>
      <c r="U44" s="12">
        <v>14</v>
      </c>
      <c r="V44" s="4" t="s">
        <v>1</v>
      </c>
      <c r="W44" s="4">
        <v>1</v>
      </c>
      <c r="X44" s="4">
        <v>2</v>
      </c>
      <c r="Y44" s="4">
        <v>1</v>
      </c>
      <c r="Z44" s="56">
        <v>3</v>
      </c>
      <c r="AA44" s="9" cm="1">
        <f t="array" ref="AA44">IF(OR(AB44:AE44=""),"BLANK",IF(AND(AB44:AE44&lt;999),1,IF(AND(AB44:AE44="NA"),3,2)))</f>
        <v>1</v>
      </c>
      <c r="AB44" s="4">
        <v>18</v>
      </c>
      <c r="AC44" s="4">
        <v>11</v>
      </c>
      <c r="AD44" s="4">
        <v>8</v>
      </c>
      <c r="AE44" s="5">
        <v>37</v>
      </c>
      <c r="AF44" s="9">
        <f t="shared" si="0"/>
        <v>1</v>
      </c>
      <c r="AG44" s="5">
        <v>27</v>
      </c>
      <c r="AH44" s="9" cm="1">
        <f t="array" ref="AH44">IF(OR(AI44:AN44=""),"BLANK",IF(AND(AI44:AN44&lt;99),1,IF(AND(AI44:AN44="NA"),3,2)))</f>
        <v>2</v>
      </c>
      <c r="AI44" s="4">
        <v>53</v>
      </c>
      <c r="AJ44" s="4" t="s">
        <v>7</v>
      </c>
      <c r="AK44" s="21">
        <v>101.16</v>
      </c>
      <c r="AL44" s="21">
        <v>112.94</v>
      </c>
      <c r="AM44" s="21">
        <v>80.5</v>
      </c>
      <c r="AN44" s="22">
        <v>108.22</v>
      </c>
    </row>
    <row r="45" spans="1:40" x14ac:dyDescent="0.2">
      <c r="A45" s="15">
        <v>318</v>
      </c>
      <c r="B45" s="4" t="s">
        <v>67</v>
      </c>
      <c r="C45" s="30" t="s">
        <v>23</v>
      </c>
      <c r="D45" s="30">
        <v>5</v>
      </c>
      <c r="E45" s="30">
        <v>0</v>
      </c>
      <c r="F45" s="30" t="s">
        <v>7</v>
      </c>
      <c r="G45" s="30">
        <v>28</v>
      </c>
      <c r="H45" s="33">
        <v>4.1177275838466807</v>
      </c>
      <c r="I45" s="33" t="s">
        <v>7</v>
      </c>
      <c r="J45" s="33" t="s">
        <v>7</v>
      </c>
      <c r="K45" s="33" t="s">
        <v>7</v>
      </c>
      <c r="L45" s="33" t="s">
        <v>7</v>
      </c>
      <c r="M45" s="33" t="s">
        <v>7</v>
      </c>
      <c r="N45" s="33" t="s">
        <v>7</v>
      </c>
      <c r="O45" s="33" t="s">
        <v>7</v>
      </c>
      <c r="P45" s="33" t="s">
        <v>7</v>
      </c>
      <c r="Q45" s="33" t="s">
        <v>7</v>
      </c>
      <c r="R45" s="33" t="s">
        <v>7</v>
      </c>
      <c r="S45" s="33" t="s">
        <v>7</v>
      </c>
      <c r="T45" s="12" t="s">
        <v>7</v>
      </c>
      <c r="U45" s="12" t="s">
        <v>7</v>
      </c>
      <c r="V45" s="4" t="s">
        <v>1</v>
      </c>
      <c r="W45" s="4">
        <v>1</v>
      </c>
      <c r="X45" s="4">
        <v>2</v>
      </c>
      <c r="Y45" s="4">
        <v>1</v>
      </c>
      <c r="Z45" s="56">
        <v>3</v>
      </c>
      <c r="AA45" s="9" cm="1">
        <f t="array" ref="AA45">IF(OR(AB45:AE45=""),"BLANK",IF(AND(AB45:AE45&lt;999),1,IF(AND(AB45:AE45="NA"),3,2)))</f>
        <v>3</v>
      </c>
      <c r="AB45" s="4" t="s">
        <v>7</v>
      </c>
      <c r="AC45" s="4" t="s">
        <v>7</v>
      </c>
      <c r="AD45" s="4" t="s">
        <v>7</v>
      </c>
      <c r="AE45" s="5" t="s">
        <v>7</v>
      </c>
      <c r="AF45" s="9">
        <f t="shared" si="0"/>
        <v>3</v>
      </c>
      <c r="AG45" s="5" t="s">
        <v>7</v>
      </c>
      <c r="AH45" s="9" cm="1">
        <f t="array" ref="AH45">IF(OR(AI45:AN45=""),"BLANK",IF(AND(AI45:AN45&lt;99),1,IF(AND(AI45:AN45="NA"),3,2)))</f>
        <v>2</v>
      </c>
      <c r="AI45" s="4">
        <v>21</v>
      </c>
      <c r="AJ45" s="4" t="s">
        <v>7</v>
      </c>
      <c r="AK45" s="23" t="s">
        <v>7</v>
      </c>
      <c r="AL45" s="23" t="s">
        <v>7</v>
      </c>
      <c r="AM45" s="23" t="s">
        <v>7</v>
      </c>
      <c r="AN45" s="24" t="s">
        <v>7</v>
      </c>
    </row>
    <row r="46" spans="1:40" x14ac:dyDescent="0.2">
      <c r="A46" s="15">
        <v>324</v>
      </c>
      <c r="B46" s="4" t="s">
        <v>51</v>
      </c>
      <c r="C46" s="30" t="s">
        <v>23</v>
      </c>
      <c r="D46" s="30">
        <v>5</v>
      </c>
      <c r="E46" s="30">
        <v>0</v>
      </c>
      <c r="F46" s="30" t="s">
        <v>7</v>
      </c>
      <c r="G46" s="30">
        <v>29</v>
      </c>
      <c r="H46" s="33">
        <v>4.5256673511293632</v>
      </c>
      <c r="I46" s="33" t="s">
        <v>7</v>
      </c>
      <c r="J46" s="33" t="s">
        <v>7</v>
      </c>
      <c r="K46" s="33">
        <v>4.5256673511293632</v>
      </c>
      <c r="L46" s="33" t="s">
        <v>7</v>
      </c>
      <c r="M46" s="33" t="s">
        <v>7</v>
      </c>
      <c r="N46" s="33">
        <v>4.4134154688569476</v>
      </c>
      <c r="O46" s="33" t="s">
        <v>7</v>
      </c>
      <c r="P46" s="33" t="s">
        <v>7</v>
      </c>
      <c r="Q46" s="33">
        <v>3.0143737166324436</v>
      </c>
      <c r="R46" s="33" t="s">
        <v>7</v>
      </c>
      <c r="S46" s="33" t="s">
        <v>7</v>
      </c>
      <c r="T46" s="12">
        <v>6</v>
      </c>
      <c r="U46" s="12">
        <v>18</v>
      </c>
      <c r="V46" s="4" t="s">
        <v>1</v>
      </c>
      <c r="W46" s="4">
        <v>1</v>
      </c>
      <c r="X46" s="4">
        <v>2</v>
      </c>
      <c r="Y46" s="4">
        <v>1</v>
      </c>
      <c r="Z46" s="56">
        <v>3</v>
      </c>
      <c r="AA46" s="9" cm="1">
        <f t="array" ref="AA46">IF(OR(AB46:AE46=""),"BLANK",IF(AND(AB46:AE46&lt;999),1,IF(AND(AB46:AE46="NA"),3,2)))</f>
        <v>1</v>
      </c>
      <c r="AB46" s="4">
        <v>38</v>
      </c>
      <c r="AC46" s="4">
        <v>19</v>
      </c>
      <c r="AD46" s="4">
        <v>14</v>
      </c>
      <c r="AE46" s="5">
        <v>71</v>
      </c>
      <c r="AF46" s="9">
        <f t="shared" si="0"/>
        <v>1</v>
      </c>
      <c r="AG46" s="5">
        <v>60</v>
      </c>
      <c r="AH46" s="9" cm="1">
        <f t="array" ref="AH46">IF(OR(AI46:AN46=""),"BLANK",IF(AND(AI46:AN46&lt;99),1,IF(AND(AI46:AN46="NA"),3,2)))</f>
        <v>2</v>
      </c>
      <c r="AI46" s="4">
        <v>59</v>
      </c>
      <c r="AJ46" s="4" t="s">
        <v>7</v>
      </c>
      <c r="AK46" s="21">
        <v>109.21</v>
      </c>
      <c r="AL46" s="21">
        <v>103.96</v>
      </c>
      <c r="AM46" s="21">
        <v>60.3</v>
      </c>
      <c r="AN46" s="22">
        <v>99.71</v>
      </c>
    </row>
    <row r="47" spans="1:40" x14ac:dyDescent="0.2">
      <c r="A47" s="15">
        <v>326</v>
      </c>
      <c r="B47" s="4" t="s">
        <v>58</v>
      </c>
      <c r="C47" s="30" t="s">
        <v>23</v>
      </c>
      <c r="D47" s="30">
        <v>5</v>
      </c>
      <c r="E47" s="30">
        <v>0</v>
      </c>
      <c r="F47" s="30" t="s">
        <v>7</v>
      </c>
      <c r="G47" s="30">
        <v>30</v>
      </c>
      <c r="H47" s="33">
        <v>4.4079397672826834</v>
      </c>
      <c r="I47" s="33">
        <v>5.7084188911704308</v>
      </c>
      <c r="J47" s="33">
        <v>10.116358658453114</v>
      </c>
      <c r="K47" s="33">
        <v>4.4079397672826834</v>
      </c>
      <c r="L47" s="33">
        <v>5.7084188911704308</v>
      </c>
      <c r="M47" s="33">
        <v>10.116358658453114</v>
      </c>
      <c r="N47" s="33">
        <v>4.4052019164955514</v>
      </c>
      <c r="O47" s="33">
        <v>5.5003422313483918</v>
      </c>
      <c r="P47" s="33">
        <v>9.9055441478439423</v>
      </c>
      <c r="Q47" s="33">
        <v>3.3483915126625599</v>
      </c>
      <c r="R47" s="33">
        <v>6.3189596167008899</v>
      </c>
      <c r="S47" s="33">
        <v>9.6673511293634498</v>
      </c>
      <c r="T47" s="12">
        <v>3</v>
      </c>
      <c r="U47" s="12">
        <v>14</v>
      </c>
      <c r="V47" s="4" t="s">
        <v>1</v>
      </c>
      <c r="W47" s="4">
        <v>1</v>
      </c>
      <c r="X47" s="4">
        <v>2</v>
      </c>
      <c r="Y47" s="4">
        <v>1</v>
      </c>
      <c r="Z47" s="56">
        <v>3</v>
      </c>
      <c r="AA47" s="9" cm="1">
        <f t="array" ref="AA47">IF(OR(AB47:AE47=""),"BLANK",IF(AND(AB47:AE47&lt;999),1,IF(AND(AB47:AE47="NA"),3,2)))</f>
        <v>1</v>
      </c>
      <c r="AB47" s="4">
        <v>26</v>
      </c>
      <c r="AC47" s="4">
        <v>14</v>
      </c>
      <c r="AD47" s="4">
        <v>12</v>
      </c>
      <c r="AE47" s="5">
        <v>52</v>
      </c>
      <c r="AF47" s="9">
        <f t="shared" si="0"/>
        <v>1</v>
      </c>
      <c r="AG47" s="5">
        <v>45</v>
      </c>
      <c r="AH47" s="9" cm="1">
        <f t="array" ref="AH47">IF(OR(AI47:AN47=""),"BLANK",IF(AND(AI47:AN47&lt;99),1,IF(AND(AI47:AN47="NA"),3,2)))</f>
        <v>2</v>
      </c>
      <c r="AI47" s="4">
        <v>51</v>
      </c>
      <c r="AJ47" s="4" t="s">
        <v>7</v>
      </c>
      <c r="AK47" s="21">
        <v>99.02</v>
      </c>
      <c r="AL47" s="21">
        <v>101.15</v>
      </c>
      <c r="AM47" s="21">
        <v>53.2</v>
      </c>
      <c r="AN47" s="22" t="s">
        <v>7</v>
      </c>
    </row>
    <row r="48" spans="1:40" x14ac:dyDescent="0.2">
      <c r="A48" s="15">
        <v>327</v>
      </c>
      <c r="B48" s="4" t="s">
        <v>51</v>
      </c>
      <c r="C48" s="30" t="s">
        <v>23</v>
      </c>
      <c r="D48" s="30">
        <v>5</v>
      </c>
      <c r="E48" s="30">
        <v>0</v>
      </c>
      <c r="F48" s="30" t="s">
        <v>7</v>
      </c>
      <c r="G48" s="30">
        <v>30</v>
      </c>
      <c r="H48" s="33">
        <v>4.1505817932922655</v>
      </c>
      <c r="I48" s="33">
        <v>5.6344969199178641</v>
      </c>
      <c r="J48" s="33">
        <v>9.7850787132101296</v>
      </c>
      <c r="K48" s="33">
        <v>4.1505817932922655</v>
      </c>
      <c r="L48" s="33" t="s">
        <v>7</v>
      </c>
      <c r="M48" s="33" t="s">
        <v>7</v>
      </c>
      <c r="N48" s="33">
        <v>4.1451060917180014</v>
      </c>
      <c r="O48" s="33">
        <v>5.5961670088980151</v>
      </c>
      <c r="P48" s="33">
        <v>9.7412731006160165</v>
      </c>
      <c r="Q48" s="33" t="s">
        <v>7</v>
      </c>
      <c r="R48" s="33" t="s">
        <v>7</v>
      </c>
      <c r="S48" s="33" t="s">
        <v>7</v>
      </c>
      <c r="T48" s="12">
        <v>4</v>
      </c>
      <c r="U48" s="12">
        <v>16</v>
      </c>
      <c r="V48" s="4" t="s">
        <v>1</v>
      </c>
      <c r="W48" s="4">
        <v>1</v>
      </c>
      <c r="X48" s="4">
        <v>2</v>
      </c>
      <c r="Y48" s="4">
        <v>1</v>
      </c>
      <c r="Z48" s="56">
        <v>3</v>
      </c>
      <c r="AA48" s="9" cm="1">
        <f t="array" ref="AA48">IF(OR(AB48:AE48=""),"BLANK",IF(AND(AB48:AE48&lt;999),1,IF(AND(AB48:AE48="NA"),3,2)))</f>
        <v>1</v>
      </c>
      <c r="AB48" s="4">
        <v>32</v>
      </c>
      <c r="AC48" s="4">
        <v>20</v>
      </c>
      <c r="AD48" s="4">
        <v>17</v>
      </c>
      <c r="AE48" s="5">
        <v>69</v>
      </c>
      <c r="AF48" s="9">
        <f t="shared" si="0"/>
        <v>1</v>
      </c>
      <c r="AG48" s="5">
        <v>62</v>
      </c>
      <c r="AH48" s="9" cm="1">
        <f t="array" ref="AH48">IF(OR(AI48:AN48=""),"BLANK",IF(AND(AI48:AN48&lt;99),1,IF(AND(AI48:AN48="NA"),3,2)))</f>
        <v>2</v>
      </c>
      <c r="AI48" s="4">
        <v>47</v>
      </c>
      <c r="AJ48" s="4" t="s">
        <v>7</v>
      </c>
      <c r="AK48" s="25">
        <v>94.69</v>
      </c>
      <c r="AL48" s="21">
        <v>82.7</v>
      </c>
      <c r="AM48" s="21">
        <v>12.5</v>
      </c>
      <c r="AN48" s="22" t="s">
        <v>7</v>
      </c>
    </row>
    <row r="49" spans="1:40" x14ac:dyDescent="0.2">
      <c r="A49" s="15">
        <v>335</v>
      </c>
      <c r="B49" s="4" t="s">
        <v>58</v>
      </c>
      <c r="C49" s="30" t="s">
        <v>23</v>
      </c>
      <c r="D49" s="30">
        <v>5</v>
      </c>
      <c r="E49" s="30">
        <v>0</v>
      </c>
      <c r="F49" s="30" t="s">
        <v>7</v>
      </c>
      <c r="G49" s="30">
        <v>30</v>
      </c>
      <c r="H49" s="33">
        <v>4.3969883641341543</v>
      </c>
      <c r="I49" s="33">
        <v>5.2950034223134841</v>
      </c>
      <c r="J49" s="33">
        <v>9.6919917864476393</v>
      </c>
      <c r="K49" s="33">
        <v>4.4380561259411362</v>
      </c>
      <c r="L49" s="33">
        <v>5.2539356605065022</v>
      </c>
      <c r="M49" s="33">
        <v>9.6919917864476393</v>
      </c>
      <c r="N49" s="33">
        <v>4.3641341546885695</v>
      </c>
      <c r="O49" s="33">
        <v>5.2867898699520879</v>
      </c>
      <c r="P49" s="33">
        <v>9.6509240246406574</v>
      </c>
      <c r="Q49" s="33">
        <v>3.0198494182067077</v>
      </c>
      <c r="R49" s="33" t="s">
        <v>7</v>
      </c>
      <c r="S49" s="33" t="s">
        <v>7</v>
      </c>
      <c r="T49" s="12">
        <v>4</v>
      </c>
      <c r="U49" s="12">
        <v>16</v>
      </c>
      <c r="V49" s="4" t="s">
        <v>1</v>
      </c>
      <c r="W49" s="4">
        <v>1</v>
      </c>
      <c r="X49" s="4">
        <v>2</v>
      </c>
      <c r="Y49" s="4">
        <v>1</v>
      </c>
      <c r="Z49" s="56">
        <v>3</v>
      </c>
      <c r="AA49" s="9" cm="1">
        <f t="array" ref="AA49">IF(OR(AB49:AE49=""),"BLANK",IF(AND(AB49:AE49&lt;999),1,IF(AND(AB49:AE49="NA"),3,2)))</f>
        <v>1</v>
      </c>
      <c r="AB49" s="4">
        <v>20</v>
      </c>
      <c r="AC49" s="4">
        <v>15</v>
      </c>
      <c r="AD49" s="4">
        <v>12</v>
      </c>
      <c r="AE49" s="5">
        <v>47</v>
      </c>
      <c r="AF49" s="9">
        <f t="shared" si="0"/>
        <v>1</v>
      </c>
      <c r="AG49" s="5">
        <v>41</v>
      </c>
      <c r="AH49" s="9" cm="1">
        <f t="array" ref="AH49">IF(OR(AI49:AN49=""),"BLANK",IF(AND(AI49:AN49&lt;99),1,IF(AND(AI49:AN49="NA"),3,2)))</f>
        <v>2</v>
      </c>
      <c r="AI49" s="4">
        <v>60</v>
      </c>
      <c r="AJ49" s="4" t="s">
        <v>7</v>
      </c>
      <c r="AK49" s="25">
        <v>110.45</v>
      </c>
      <c r="AL49" s="25">
        <v>118.9</v>
      </c>
      <c r="AM49" s="25">
        <v>89.6</v>
      </c>
      <c r="AN49" s="22" t="s">
        <v>7</v>
      </c>
    </row>
    <row r="50" spans="1:40" x14ac:dyDescent="0.2">
      <c r="A50" s="15">
        <v>341</v>
      </c>
      <c r="B50" s="4" t="s">
        <v>48</v>
      </c>
      <c r="C50" s="30" t="s">
        <v>24</v>
      </c>
      <c r="D50" s="30">
        <v>5</v>
      </c>
      <c r="E50" s="30">
        <v>0</v>
      </c>
      <c r="F50" s="30" t="s">
        <v>7</v>
      </c>
      <c r="G50" s="30">
        <v>30</v>
      </c>
      <c r="H50" s="33">
        <v>4.1642710472279258</v>
      </c>
      <c r="I50" s="33">
        <v>5.5167693360711842</v>
      </c>
      <c r="J50" s="33">
        <v>9.681040383299111</v>
      </c>
      <c r="K50" s="33">
        <v>4.1587953456536617</v>
      </c>
      <c r="L50" s="33">
        <v>5.5167693360711842</v>
      </c>
      <c r="M50" s="33">
        <v>9.6755646817248468</v>
      </c>
      <c r="N50" s="33">
        <v>4.1806981519507183</v>
      </c>
      <c r="O50" s="33">
        <v>5.4592744695414099</v>
      </c>
      <c r="P50" s="33">
        <v>9.6399726214921291</v>
      </c>
      <c r="Q50" s="33">
        <v>3.2169746748802188</v>
      </c>
      <c r="R50" s="33">
        <v>6.3436002737850785</v>
      </c>
      <c r="S50" s="33">
        <v>9.5605749486652982</v>
      </c>
      <c r="T50" s="12">
        <v>3</v>
      </c>
      <c r="U50" s="12">
        <v>14</v>
      </c>
      <c r="V50" s="4" t="s">
        <v>1</v>
      </c>
      <c r="W50" s="4">
        <v>1</v>
      </c>
      <c r="X50" s="4">
        <v>2</v>
      </c>
      <c r="Y50" s="4">
        <v>1</v>
      </c>
      <c r="Z50" s="56">
        <v>3</v>
      </c>
      <c r="AA50" s="9" cm="1">
        <f t="array" ref="AA50">IF(OR(AB50:AE50=""),"BLANK",IF(AND(AB50:AE50&lt;999),1,IF(AND(AB50:AE50="NA"),3,2)))</f>
        <v>1</v>
      </c>
      <c r="AB50" s="4">
        <v>27</v>
      </c>
      <c r="AC50" s="4">
        <v>14</v>
      </c>
      <c r="AD50" s="4">
        <v>10</v>
      </c>
      <c r="AE50" s="5">
        <v>51</v>
      </c>
      <c r="AF50" s="9">
        <f t="shared" si="0"/>
        <v>1</v>
      </c>
      <c r="AG50" s="5">
        <v>44</v>
      </c>
      <c r="AH50" s="9" cm="1">
        <f t="array" ref="AH50">IF(OR(AI50:AN50=""),"BLANK",IF(AND(AI50:AN50&lt;99),1,IF(AND(AI50:AN50="NA"),3,2)))</f>
        <v>2</v>
      </c>
      <c r="AI50" s="4">
        <v>49</v>
      </c>
      <c r="AJ50" s="4" t="s">
        <v>7</v>
      </c>
      <c r="AK50" s="21">
        <v>96.85</v>
      </c>
      <c r="AL50" s="21">
        <v>105.42</v>
      </c>
      <c r="AM50" s="21">
        <v>64.099999999999994</v>
      </c>
      <c r="AN50" s="22" t="s">
        <v>7</v>
      </c>
    </row>
    <row r="51" spans="1:40" x14ac:dyDescent="0.2">
      <c r="A51" s="15">
        <v>346</v>
      </c>
      <c r="B51" s="4" t="s">
        <v>47</v>
      </c>
      <c r="C51" s="30" t="s">
        <v>23</v>
      </c>
      <c r="D51" s="30">
        <v>5</v>
      </c>
      <c r="E51" s="30">
        <v>0</v>
      </c>
      <c r="F51" s="30" t="s">
        <v>7</v>
      </c>
      <c r="G51" s="30">
        <v>30</v>
      </c>
      <c r="H51" s="33">
        <v>4.2518822724161529</v>
      </c>
      <c r="I51" s="33">
        <v>5.5824777549623548</v>
      </c>
      <c r="J51" s="33">
        <v>9.8343600273785086</v>
      </c>
      <c r="K51" s="33">
        <v>4.26009582477755</v>
      </c>
      <c r="L51" s="33">
        <v>5.5742642026009586</v>
      </c>
      <c r="M51" s="33">
        <v>9.8343600273785086</v>
      </c>
      <c r="N51" s="33">
        <v>4.1861738535249833</v>
      </c>
      <c r="O51" s="33">
        <v>5.2511978097193701</v>
      </c>
      <c r="P51" s="33">
        <v>9.4373716632443525</v>
      </c>
      <c r="Q51" s="33">
        <v>3.2799452429842573</v>
      </c>
      <c r="R51" s="33">
        <v>6.2067077344284733</v>
      </c>
      <c r="S51" s="33">
        <v>9.4866529774127315</v>
      </c>
      <c r="T51" s="12">
        <v>3</v>
      </c>
      <c r="U51" s="12">
        <v>14</v>
      </c>
      <c r="V51" s="4" t="s">
        <v>1</v>
      </c>
      <c r="W51" s="4">
        <v>1</v>
      </c>
      <c r="X51" s="4">
        <v>2</v>
      </c>
      <c r="Y51" s="4">
        <v>1</v>
      </c>
      <c r="Z51" s="56">
        <v>3</v>
      </c>
      <c r="AA51" s="9" cm="1">
        <f t="array" ref="AA51">IF(OR(AB51:AE51=""),"BLANK",IF(AND(AB51:AE51&lt;999),1,IF(AND(AB51:AE51="NA"),3,2)))</f>
        <v>1</v>
      </c>
      <c r="AB51" s="4">
        <v>29</v>
      </c>
      <c r="AC51" s="4">
        <v>18</v>
      </c>
      <c r="AD51" s="4">
        <v>15</v>
      </c>
      <c r="AE51" s="5">
        <v>62</v>
      </c>
      <c r="AF51" s="9">
        <f t="shared" si="0"/>
        <v>1</v>
      </c>
      <c r="AG51" s="5">
        <v>49</v>
      </c>
      <c r="AH51" s="9" cm="1">
        <f t="array" ref="AH51">IF(OR(AI51:AN51=""),"BLANK",IF(AND(AI51:AN51&lt;99),1,IF(AND(AI51:AN51="NA"),3,2)))</f>
        <v>2</v>
      </c>
      <c r="AI51" s="4">
        <v>41</v>
      </c>
      <c r="AJ51" s="4" t="s">
        <v>7</v>
      </c>
      <c r="AK51" s="21">
        <v>88.52</v>
      </c>
      <c r="AL51" s="21">
        <v>91.41</v>
      </c>
      <c r="AM51" s="21">
        <v>28.4</v>
      </c>
      <c r="AN51" s="22" t="s">
        <v>7</v>
      </c>
    </row>
    <row r="52" spans="1:40" x14ac:dyDescent="0.2">
      <c r="A52" s="15">
        <v>349</v>
      </c>
      <c r="B52" s="4" t="s">
        <v>52</v>
      </c>
      <c r="C52" s="30" t="s">
        <v>23</v>
      </c>
      <c r="D52" s="30">
        <v>5</v>
      </c>
      <c r="E52" s="30">
        <v>0</v>
      </c>
      <c r="F52" s="30" t="s">
        <v>7</v>
      </c>
      <c r="G52" s="30">
        <v>28</v>
      </c>
      <c r="H52" s="33">
        <v>3.9698836413415468</v>
      </c>
      <c r="I52" s="33" t="s">
        <v>7</v>
      </c>
      <c r="J52" s="33" t="s">
        <v>7</v>
      </c>
      <c r="K52" s="33">
        <v>3.978097193702943</v>
      </c>
      <c r="L52" s="33" t="s">
        <v>7</v>
      </c>
      <c r="M52" s="33" t="s">
        <v>7</v>
      </c>
      <c r="N52" s="33">
        <v>3.9671457905544147</v>
      </c>
      <c r="O52" s="33" t="s">
        <v>7</v>
      </c>
      <c r="P52" s="33" t="s">
        <v>7</v>
      </c>
      <c r="Q52" s="33">
        <v>3.4661190965092401</v>
      </c>
      <c r="R52" s="33" t="s">
        <v>7</v>
      </c>
      <c r="S52" s="33" t="s">
        <v>7</v>
      </c>
      <c r="T52" s="12">
        <v>6</v>
      </c>
      <c r="U52" s="12">
        <v>18</v>
      </c>
      <c r="V52" s="4" t="s">
        <v>1</v>
      </c>
      <c r="W52" s="4">
        <v>1</v>
      </c>
      <c r="X52" s="4">
        <v>2</v>
      </c>
      <c r="Y52" s="4">
        <v>1</v>
      </c>
      <c r="Z52" s="56">
        <v>3</v>
      </c>
      <c r="AA52" s="9" cm="1">
        <f t="array" ref="AA52">IF(OR(AB52:AE52=""),"BLANK",IF(AND(AB52:AE52&lt;999),1,IF(AND(AB52:AE52="NA"),3,2)))</f>
        <v>1</v>
      </c>
      <c r="AB52" s="4">
        <v>25</v>
      </c>
      <c r="AC52" s="4">
        <v>15</v>
      </c>
      <c r="AD52" s="4">
        <v>6</v>
      </c>
      <c r="AE52" s="5">
        <v>46</v>
      </c>
      <c r="AF52" s="9">
        <f t="shared" si="0"/>
        <v>1</v>
      </c>
      <c r="AG52" s="5">
        <v>38</v>
      </c>
      <c r="AH52" s="9" cm="1">
        <f t="array" ref="AH52">IF(OR(AI52:AN52=""),"BLANK",IF(AND(AI52:AN52&lt;99),1,IF(AND(AI52:AN52="NA"),3,2)))</f>
        <v>2</v>
      </c>
      <c r="AI52" s="4">
        <v>45</v>
      </c>
      <c r="AJ52" s="4" t="s">
        <v>7</v>
      </c>
      <c r="AK52" s="21">
        <v>92.23</v>
      </c>
      <c r="AL52" s="21">
        <v>97.89</v>
      </c>
      <c r="AM52" s="21">
        <v>44.4</v>
      </c>
      <c r="AN52" s="22" t="s">
        <v>7</v>
      </c>
    </row>
    <row r="53" spans="1:40" x14ac:dyDescent="0.2">
      <c r="A53" s="15">
        <v>360</v>
      </c>
      <c r="B53" s="4" t="s">
        <v>47</v>
      </c>
      <c r="C53" s="30" t="s">
        <v>24</v>
      </c>
      <c r="D53" s="30">
        <v>5</v>
      </c>
      <c r="E53" s="30">
        <v>0</v>
      </c>
      <c r="F53" s="30" t="s">
        <v>7</v>
      </c>
      <c r="G53" s="30">
        <v>29</v>
      </c>
      <c r="H53" s="33">
        <v>3.808350444900753</v>
      </c>
      <c r="I53" s="33">
        <v>5.4099931553730318</v>
      </c>
      <c r="J53" s="33">
        <v>9.2183436002737853</v>
      </c>
      <c r="K53" s="33">
        <v>3.8329911019849416</v>
      </c>
      <c r="L53" s="33">
        <v>5.4674880219028061</v>
      </c>
      <c r="M53" s="33">
        <v>9.3004791238877473</v>
      </c>
      <c r="N53" s="33">
        <v>3.8439425051334704</v>
      </c>
      <c r="O53" s="33">
        <v>5.160848733744011</v>
      </c>
      <c r="P53" s="33">
        <v>9.0047912388774805</v>
      </c>
      <c r="Q53" s="33">
        <v>3.2936344969199181</v>
      </c>
      <c r="R53" s="33">
        <v>6.1683778234086244</v>
      </c>
      <c r="S53" s="33">
        <v>9.462012320328542</v>
      </c>
      <c r="T53" s="12">
        <v>6</v>
      </c>
      <c r="U53" s="12">
        <v>18</v>
      </c>
      <c r="V53" s="4" t="s">
        <v>1</v>
      </c>
      <c r="W53" s="4">
        <v>1</v>
      </c>
      <c r="X53" s="4">
        <v>2</v>
      </c>
      <c r="Y53" s="4">
        <v>1</v>
      </c>
      <c r="Z53" s="56">
        <v>3</v>
      </c>
      <c r="AA53" s="9" cm="1">
        <f t="array" ref="AA53">IF(OR(AB53:AE53=""),"BLANK",IF(AND(AB53:AE53&lt;999),1,IF(AND(AB53:AE53="NA"),3,2)))</f>
        <v>1</v>
      </c>
      <c r="AB53" s="4">
        <v>27</v>
      </c>
      <c r="AC53" s="4">
        <v>17</v>
      </c>
      <c r="AD53" s="4">
        <v>15</v>
      </c>
      <c r="AE53" s="5">
        <v>59</v>
      </c>
      <c r="AF53" s="9">
        <f t="shared" si="0"/>
        <v>1</v>
      </c>
      <c r="AG53" s="5">
        <v>49</v>
      </c>
      <c r="AH53" s="9" cm="1">
        <f t="array" ref="AH53">IF(OR(AI53:AN53=""),"BLANK",IF(AND(AI53:AN53&lt;99),1,IF(AND(AI53:AN53="NA"),3,2)))</f>
        <v>2</v>
      </c>
      <c r="AI53" s="4">
        <v>47</v>
      </c>
      <c r="AJ53" s="4" t="s">
        <v>7</v>
      </c>
      <c r="AK53" s="21">
        <v>94.94</v>
      </c>
      <c r="AL53" s="21">
        <v>102.17</v>
      </c>
      <c r="AM53" s="21">
        <v>55.6</v>
      </c>
      <c r="AN53" s="22">
        <v>98.74</v>
      </c>
    </row>
    <row r="54" spans="1:40" x14ac:dyDescent="0.2">
      <c r="A54" s="15">
        <v>361</v>
      </c>
      <c r="B54" s="4" t="s">
        <v>58</v>
      </c>
      <c r="C54" s="30" t="s">
        <v>23</v>
      </c>
      <c r="D54" s="30">
        <v>5</v>
      </c>
      <c r="E54" s="30">
        <v>0</v>
      </c>
      <c r="F54" s="30" t="s">
        <v>7</v>
      </c>
      <c r="G54" s="30">
        <v>30</v>
      </c>
      <c r="H54" s="33">
        <v>4.1040383299110195</v>
      </c>
      <c r="I54" s="33">
        <v>5.4948665297741277</v>
      </c>
      <c r="J54" s="33">
        <v>9.5989048596851472</v>
      </c>
      <c r="K54" s="33">
        <v>4.1040383299110195</v>
      </c>
      <c r="L54" s="33">
        <v>5.5030800821355239</v>
      </c>
      <c r="M54" s="33">
        <v>9.6071184120465443</v>
      </c>
      <c r="N54" s="33" t="s">
        <v>7</v>
      </c>
      <c r="O54" s="33" t="s">
        <v>7</v>
      </c>
      <c r="P54" s="33">
        <v>9.3716632443531829</v>
      </c>
      <c r="Q54" s="33" t="s">
        <v>7</v>
      </c>
      <c r="R54" s="33" t="s">
        <v>7</v>
      </c>
      <c r="S54" s="33">
        <v>9.6536618754277885</v>
      </c>
      <c r="T54" s="12" t="s">
        <v>7</v>
      </c>
      <c r="U54" s="12" t="s">
        <v>7</v>
      </c>
      <c r="V54" s="4" t="s">
        <v>1</v>
      </c>
      <c r="W54" s="4">
        <v>1</v>
      </c>
      <c r="X54" s="4">
        <v>2</v>
      </c>
      <c r="Y54" s="4">
        <v>1</v>
      </c>
      <c r="Z54" s="56">
        <v>3</v>
      </c>
      <c r="AA54" s="9" cm="1">
        <f t="array" ref="AA54">IF(OR(AB54:AE54=""),"BLANK",IF(AND(AB54:AE54&lt;999),1,IF(AND(AB54:AE54="NA"),3,2)))</f>
        <v>3</v>
      </c>
      <c r="AB54" s="4" t="s">
        <v>7</v>
      </c>
      <c r="AC54" s="4" t="s">
        <v>7</v>
      </c>
      <c r="AD54" s="4" t="s">
        <v>7</v>
      </c>
      <c r="AE54" s="5" t="s">
        <v>7</v>
      </c>
      <c r="AF54" s="9">
        <f t="shared" si="0"/>
        <v>3</v>
      </c>
      <c r="AG54" s="5" t="s">
        <v>7</v>
      </c>
      <c r="AH54" s="9" cm="1">
        <f t="array" ref="AH54">IF(OR(AI54:AN54=""),"BLANK",IF(AND(AI54:AN54&lt;99),1,IF(AND(AI54:AN54="NA"),3,2)))</f>
        <v>2</v>
      </c>
      <c r="AI54" s="4">
        <v>42</v>
      </c>
      <c r="AJ54" s="4" t="s">
        <v>7</v>
      </c>
      <c r="AK54" s="21">
        <v>89.36</v>
      </c>
      <c r="AL54" s="21">
        <v>85.3</v>
      </c>
      <c r="AM54" s="21">
        <v>16.399999999999999</v>
      </c>
      <c r="AN54" s="22">
        <v>80.45</v>
      </c>
    </row>
    <row r="55" spans="1:40" x14ac:dyDescent="0.2">
      <c r="A55" s="15">
        <v>376</v>
      </c>
      <c r="B55" s="4" t="s">
        <v>66</v>
      </c>
      <c r="C55" s="30" t="s">
        <v>23</v>
      </c>
      <c r="D55" s="30">
        <v>5</v>
      </c>
      <c r="E55" s="30">
        <v>0</v>
      </c>
      <c r="F55" s="30" t="s">
        <v>7</v>
      </c>
      <c r="G55" s="30">
        <v>29</v>
      </c>
      <c r="H55" s="33">
        <v>4.4407939767282683</v>
      </c>
      <c r="I55" s="33" t="s">
        <v>7</v>
      </c>
      <c r="J55" s="33" t="s">
        <v>7</v>
      </c>
      <c r="K55" s="33">
        <v>4.4407939767282683</v>
      </c>
      <c r="L55" s="33" t="s">
        <v>7</v>
      </c>
      <c r="M55" s="33" t="s">
        <v>7</v>
      </c>
      <c r="N55" s="33">
        <v>4.4353182751540041</v>
      </c>
      <c r="O55" s="33" t="s">
        <v>7</v>
      </c>
      <c r="P55" s="33" t="s">
        <v>7</v>
      </c>
      <c r="Q55" s="33" t="s">
        <v>7</v>
      </c>
      <c r="R55" s="33" t="s">
        <v>7</v>
      </c>
      <c r="S55" s="33" t="s">
        <v>7</v>
      </c>
      <c r="T55" s="12">
        <v>2</v>
      </c>
      <c r="U55" s="12">
        <v>12</v>
      </c>
      <c r="V55" s="4" t="s">
        <v>1</v>
      </c>
      <c r="W55" s="4">
        <v>1</v>
      </c>
      <c r="X55" s="4">
        <v>2</v>
      </c>
      <c r="Y55" s="4">
        <v>1</v>
      </c>
      <c r="Z55" s="56">
        <v>3</v>
      </c>
      <c r="AA55" s="9" cm="1">
        <f t="array" ref="AA55">IF(OR(AB55:AE55=""),"BLANK",IF(AND(AB55:AE55&lt;999),1,IF(AND(AB55:AE55="NA"),3,2)))</f>
        <v>1</v>
      </c>
      <c r="AB55" s="4">
        <v>25</v>
      </c>
      <c r="AC55" s="4">
        <v>11</v>
      </c>
      <c r="AD55" s="4">
        <v>8</v>
      </c>
      <c r="AE55" s="5">
        <v>44</v>
      </c>
      <c r="AF55" s="9">
        <f t="shared" si="0"/>
        <v>1</v>
      </c>
      <c r="AG55" s="5">
        <v>33</v>
      </c>
      <c r="AH55" s="9" cm="1">
        <f t="array" ref="AH55">IF(OR(AI55:AN55=""),"BLANK",IF(AND(AI55:AN55&lt;99),1,IF(AND(AI55:AN55="NA"),3,2)))</f>
        <v>2</v>
      </c>
      <c r="AI55" s="4">
        <v>55</v>
      </c>
      <c r="AJ55" s="4" t="s">
        <v>7</v>
      </c>
      <c r="AK55" s="21">
        <v>104.35</v>
      </c>
      <c r="AL55" s="21">
        <v>117.96</v>
      </c>
      <c r="AM55" s="21">
        <v>88.5</v>
      </c>
      <c r="AN55" s="22">
        <v>113.09</v>
      </c>
    </row>
    <row r="56" spans="1:40" x14ac:dyDescent="0.2">
      <c r="A56" s="15">
        <v>378</v>
      </c>
      <c r="B56" s="4" t="s">
        <v>66</v>
      </c>
      <c r="C56" s="30" t="s">
        <v>23</v>
      </c>
      <c r="D56" s="30">
        <v>5</v>
      </c>
      <c r="E56" s="30">
        <v>0</v>
      </c>
      <c r="F56" s="30" t="s">
        <v>7</v>
      </c>
      <c r="G56" s="30">
        <v>29</v>
      </c>
      <c r="H56" s="33">
        <v>4.2518822724161529</v>
      </c>
      <c r="I56" s="33">
        <v>5.5824777549623548</v>
      </c>
      <c r="J56" s="33">
        <v>9.8343600273785086</v>
      </c>
      <c r="K56" s="33">
        <v>4.2518822724161529</v>
      </c>
      <c r="L56" s="33">
        <v>5.5824777549623548</v>
      </c>
      <c r="M56" s="33">
        <v>9.8343600273785086</v>
      </c>
      <c r="N56" s="33">
        <v>4.1861738535249833</v>
      </c>
      <c r="O56" s="33" t="s">
        <v>7</v>
      </c>
      <c r="P56" s="33" t="s">
        <v>7</v>
      </c>
      <c r="Q56" s="33" t="s">
        <v>7</v>
      </c>
      <c r="R56" s="33" t="s">
        <v>7</v>
      </c>
      <c r="S56" s="33" t="s">
        <v>7</v>
      </c>
      <c r="T56" s="12">
        <v>2</v>
      </c>
      <c r="U56" s="12">
        <v>12</v>
      </c>
      <c r="V56" s="4" t="s">
        <v>1</v>
      </c>
      <c r="W56" s="4">
        <v>1</v>
      </c>
      <c r="X56" s="4">
        <v>2</v>
      </c>
      <c r="Y56" s="4">
        <v>1</v>
      </c>
      <c r="Z56" s="56">
        <v>3</v>
      </c>
      <c r="AA56" s="9" cm="1">
        <f t="array" ref="AA56">IF(OR(AB56:AE56=""),"BLANK",IF(AND(AB56:AE56&lt;999),1,IF(AND(AB56:AE56="NA"),3,2)))</f>
        <v>1</v>
      </c>
      <c r="AB56" s="4">
        <v>24</v>
      </c>
      <c r="AC56" s="4">
        <v>16</v>
      </c>
      <c r="AD56" s="4">
        <v>9</v>
      </c>
      <c r="AE56" s="5">
        <v>49</v>
      </c>
      <c r="AF56" s="9">
        <f t="shared" si="0"/>
        <v>1</v>
      </c>
      <c r="AG56" s="5">
        <v>42</v>
      </c>
      <c r="AH56" s="9" cm="1">
        <f t="array" ref="AH56">IF(OR(AI56:AN56=""),"BLANK",IF(AND(AI56:AN56&lt;99),1,IF(AND(AI56:AN56="NA"),3,2)))</f>
        <v>2</v>
      </c>
      <c r="AI56" s="4">
        <v>47</v>
      </c>
      <c r="AJ56" s="4" t="s">
        <v>7</v>
      </c>
      <c r="AK56" s="21">
        <v>94.88</v>
      </c>
      <c r="AL56" s="21">
        <v>102.07</v>
      </c>
      <c r="AM56" s="21">
        <v>55.6</v>
      </c>
      <c r="AN56" s="22" t="s">
        <v>7</v>
      </c>
    </row>
    <row r="57" spans="1:40" x14ac:dyDescent="0.2">
      <c r="A57" s="15">
        <v>383</v>
      </c>
      <c r="B57" s="4" t="s">
        <v>66</v>
      </c>
      <c r="C57" s="30" t="s">
        <v>23</v>
      </c>
      <c r="D57" s="30">
        <v>5</v>
      </c>
      <c r="E57" s="30">
        <v>0</v>
      </c>
      <c r="F57" s="30" t="s">
        <v>7</v>
      </c>
      <c r="G57" s="30">
        <v>30</v>
      </c>
      <c r="H57" s="33">
        <v>3.9452429842573578</v>
      </c>
      <c r="I57" s="33">
        <v>5.5003422313483918</v>
      </c>
      <c r="J57" s="33">
        <v>9.4455852156057496</v>
      </c>
      <c r="K57" s="33">
        <v>3.9452429842573578</v>
      </c>
      <c r="L57" s="33">
        <v>5.5605749486652973</v>
      </c>
      <c r="M57" s="33">
        <v>9.5058179329226551</v>
      </c>
      <c r="N57" s="33">
        <v>3.7700205338809036</v>
      </c>
      <c r="O57" s="33">
        <v>5.2429842573579739</v>
      </c>
      <c r="P57" s="33">
        <v>9.0130047912388775</v>
      </c>
      <c r="Q57" s="33">
        <v>3.2553045859000687</v>
      </c>
      <c r="R57" s="33">
        <v>6.1683778234086244</v>
      </c>
      <c r="S57" s="33">
        <v>9.4236824093086931</v>
      </c>
      <c r="T57" s="12">
        <v>3</v>
      </c>
      <c r="U57" s="12">
        <v>14</v>
      </c>
      <c r="V57" s="4" t="s">
        <v>1</v>
      </c>
      <c r="W57" s="4">
        <v>1</v>
      </c>
      <c r="X57" s="4">
        <v>2</v>
      </c>
      <c r="Y57" s="4">
        <v>1</v>
      </c>
      <c r="Z57" s="56">
        <v>3</v>
      </c>
      <c r="AA57" s="9" cm="1">
        <f t="array" ref="AA57">IF(OR(AB57:AE57=""),"BLANK",IF(AND(AB57:AE57&lt;999),1,IF(AND(AB57:AE57="NA"),3,2)))</f>
        <v>1</v>
      </c>
      <c r="AB57" s="4">
        <v>24</v>
      </c>
      <c r="AC57" s="4">
        <v>16</v>
      </c>
      <c r="AD57" s="4">
        <v>12</v>
      </c>
      <c r="AE57" s="5">
        <v>52</v>
      </c>
      <c r="AF57" s="9">
        <f t="shared" si="0"/>
        <v>1</v>
      </c>
      <c r="AG57" s="5">
        <v>43</v>
      </c>
      <c r="AH57" s="9" cm="1">
        <f t="array" ref="AH57">IF(OR(AI57:AN57=""),"BLANK",IF(AND(AI57:AN57&lt;99),1,IF(AND(AI57:AN57="NA"),3,2)))</f>
        <v>2</v>
      </c>
      <c r="AI57" s="4">
        <v>56</v>
      </c>
      <c r="AJ57" s="4" t="s">
        <v>7</v>
      </c>
      <c r="AK57" s="21">
        <v>105.5</v>
      </c>
      <c r="AL57" s="21">
        <v>119.53</v>
      </c>
      <c r="AM57" s="21">
        <v>90.3</v>
      </c>
      <c r="AN57" s="22">
        <v>114.98</v>
      </c>
    </row>
    <row r="58" spans="1:40" x14ac:dyDescent="0.2">
      <c r="A58" s="15">
        <v>408</v>
      </c>
      <c r="B58" s="4" t="s">
        <v>69</v>
      </c>
      <c r="C58" s="30" t="s">
        <v>24</v>
      </c>
      <c r="D58" s="30">
        <v>5</v>
      </c>
      <c r="E58" s="30">
        <v>0</v>
      </c>
      <c r="F58" s="30" t="s">
        <v>7</v>
      </c>
      <c r="G58" s="30">
        <v>25</v>
      </c>
      <c r="H58" s="33">
        <v>4.0328542094455848</v>
      </c>
      <c r="I58" s="33" t="s">
        <v>7</v>
      </c>
      <c r="J58" s="33" t="s">
        <v>7</v>
      </c>
      <c r="K58" s="33">
        <v>4.0574948665297743</v>
      </c>
      <c r="L58" s="33" t="s">
        <v>7</v>
      </c>
      <c r="M58" s="33" t="s">
        <v>7</v>
      </c>
      <c r="N58" s="33">
        <v>4.043805612594114</v>
      </c>
      <c r="O58" s="33" t="s">
        <v>7</v>
      </c>
      <c r="P58" s="33" t="s">
        <v>7</v>
      </c>
      <c r="Q58" s="33" t="s">
        <v>7</v>
      </c>
      <c r="R58" s="33" t="s">
        <v>7</v>
      </c>
      <c r="S58" s="33" t="s">
        <v>7</v>
      </c>
      <c r="T58" s="12">
        <v>4</v>
      </c>
      <c r="U58" s="12">
        <v>16</v>
      </c>
      <c r="V58" s="4" t="s">
        <v>1</v>
      </c>
      <c r="W58" s="4">
        <v>1</v>
      </c>
      <c r="X58" s="4">
        <v>2</v>
      </c>
      <c r="Y58" s="4">
        <v>1</v>
      </c>
      <c r="Z58" s="56">
        <v>3</v>
      </c>
      <c r="AA58" s="9" cm="1">
        <f t="array" ref="AA58">IF(OR(AB58:AE58=""),"BLANK",IF(AND(AB58:AE58&lt;999),1,IF(AND(AB58:AE58="NA"),3,2)))</f>
        <v>1</v>
      </c>
      <c r="AB58" s="4">
        <v>15</v>
      </c>
      <c r="AC58" s="4">
        <v>9</v>
      </c>
      <c r="AD58" s="4">
        <v>6</v>
      </c>
      <c r="AE58" s="5">
        <v>30</v>
      </c>
      <c r="AF58" s="9">
        <f t="shared" si="0"/>
        <v>1</v>
      </c>
      <c r="AG58" s="5">
        <v>11</v>
      </c>
      <c r="AH58" s="9" cm="1">
        <f t="array" ref="AH58">IF(OR(AI58:AN58=""),"BLANK",IF(AND(AI58:AN58&lt;99),1,IF(AND(AI58:AN58="NA"),3,2)))</f>
        <v>2</v>
      </c>
      <c r="AI58" s="4">
        <v>14</v>
      </c>
      <c r="AJ58" s="4" t="s">
        <v>7</v>
      </c>
      <c r="AK58" s="23" t="s">
        <v>7</v>
      </c>
      <c r="AL58" s="23" t="s">
        <v>7</v>
      </c>
      <c r="AM58" s="23" t="s">
        <v>7</v>
      </c>
      <c r="AN58" s="24" t="s">
        <v>7</v>
      </c>
    </row>
    <row r="59" spans="1:40" x14ac:dyDescent="0.2">
      <c r="A59" s="15">
        <v>409</v>
      </c>
      <c r="B59" s="4" t="s">
        <v>47</v>
      </c>
      <c r="C59" s="30" t="s">
        <v>23</v>
      </c>
      <c r="D59" s="30">
        <v>5</v>
      </c>
      <c r="E59" s="30">
        <v>0</v>
      </c>
      <c r="F59" s="30" t="s">
        <v>7</v>
      </c>
      <c r="G59" s="30">
        <v>29</v>
      </c>
      <c r="H59" s="33">
        <v>4.0027378507871321</v>
      </c>
      <c r="I59" s="33" t="s">
        <v>7</v>
      </c>
      <c r="J59" s="33" t="s">
        <v>7</v>
      </c>
      <c r="K59" s="33">
        <v>4.0602327173169064</v>
      </c>
      <c r="L59" s="33" t="s">
        <v>7</v>
      </c>
      <c r="M59" s="33" t="s">
        <v>7</v>
      </c>
      <c r="N59" s="33">
        <v>4.0684462696783026</v>
      </c>
      <c r="O59" s="33" t="s">
        <v>7</v>
      </c>
      <c r="P59" s="33" t="s">
        <v>7</v>
      </c>
      <c r="Q59" s="33" t="s">
        <v>7</v>
      </c>
      <c r="R59" s="33" t="s">
        <v>7</v>
      </c>
      <c r="S59" s="33" t="s">
        <v>7</v>
      </c>
      <c r="T59" s="12">
        <v>7</v>
      </c>
      <c r="U59" s="12">
        <v>21</v>
      </c>
      <c r="V59" s="4" t="s">
        <v>1</v>
      </c>
      <c r="W59" s="4">
        <v>1</v>
      </c>
      <c r="X59" s="4">
        <v>2</v>
      </c>
      <c r="Y59" s="4">
        <v>1</v>
      </c>
      <c r="Z59" s="56">
        <v>3</v>
      </c>
      <c r="AA59" s="9" cm="1">
        <f t="array" ref="AA59">IF(OR(AB59:AE59=""),"BLANK",IF(AND(AB59:AE59&lt;999),1,IF(AND(AB59:AE59="NA"),3,2)))</f>
        <v>1</v>
      </c>
      <c r="AB59" s="4">
        <v>26</v>
      </c>
      <c r="AC59" s="4">
        <v>15</v>
      </c>
      <c r="AD59" s="4">
        <v>8</v>
      </c>
      <c r="AE59" s="5">
        <v>49</v>
      </c>
      <c r="AF59" s="9">
        <f t="shared" si="0"/>
        <v>1</v>
      </c>
      <c r="AG59" s="5">
        <v>52</v>
      </c>
      <c r="AH59" s="9" cm="1">
        <f t="array" ref="AH59">IF(OR(AI59:AN59=""),"BLANK",IF(AND(AI59:AN59&lt;99),1,IF(AND(AI59:AN59="NA"),3,2)))</f>
        <v>2</v>
      </c>
      <c r="AI59" s="4">
        <v>40</v>
      </c>
      <c r="AJ59" s="4" t="s">
        <v>7</v>
      </c>
      <c r="AK59" s="21">
        <v>87.66</v>
      </c>
      <c r="AL59" s="21">
        <v>90.19</v>
      </c>
      <c r="AM59" s="21">
        <v>25.8</v>
      </c>
      <c r="AN59" s="22" t="s">
        <v>7</v>
      </c>
    </row>
    <row r="60" spans="1:40" x14ac:dyDescent="0.2">
      <c r="A60" s="15">
        <v>419</v>
      </c>
      <c r="B60" s="4" t="s">
        <v>47</v>
      </c>
      <c r="C60" s="30" t="s">
        <v>23</v>
      </c>
      <c r="D60" s="30">
        <v>5</v>
      </c>
      <c r="E60" s="30">
        <v>0</v>
      </c>
      <c r="F60" s="30" t="s">
        <v>7</v>
      </c>
      <c r="G60" s="30">
        <v>25</v>
      </c>
      <c r="H60" s="33">
        <v>4.3340177960301167</v>
      </c>
      <c r="I60" s="33" t="s">
        <v>7</v>
      </c>
      <c r="J60" s="33" t="s">
        <v>7</v>
      </c>
      <c r="K60" s="33">
        <v>4.3312799452429847</v>
      </c>
      <c r="L60" s="33" t="s">
        <v>7</v>
      </c>
      <c r="M60" s="33" t="s">
        <v>7</v>
      </c>
      <c r="N60" s="33">
        <v>4.3093771389459272</v>
      </c>
      <c r="O60" s="33" t="s">
        <v>7</v>
      </c>
      <c r="P60" s="33" t="s">
        <v>7</v>
      </c>
      <c r="Q60" s="33" t="s">
        <v>7</v>
      </c>
      <c r="R60" s="33" t="s">
        <v>7</v>
      </c>
      <c r="S60" s="33" t="s">
        <v>7</v>
      </c>
      <c r="T60" s="12" t="s">
        <v>7</v>
      </c>
      <c r="U60" s="12" t="s">
        <v>7</v>
      </c>
      <c r="V60" s="4" t="s">
        <v>1</v>
      </c>
      <c r="W60" s="4">
        <v>1</v>
      </c>
      <c r="X60" s="4">
        <v>2</v>
      </c>
      <c r="Y60" s="4">
        <v>1</v>
      </c>
      <c r="Z60" s="56">
        <v>3</v>
      </c>
      <c r="AA60" s="9" cm="1">
        <f t="array" ref="AA60">IF(OR(AB60:AE60=""),"BLANK",IF(AND(AB60:AE60&lt;999),1,IF(AND(AB60:AE60="NA"),3,2)))</f>
        <v>1</v>
      </c>
      <c r="AB60" s="4">
        <v>14</v>
      </c>
      <c r="AC60" s="4">
        <v>8</v>
      </c>
      <c r="AD60" s="4">
        <v>6</v>
      </c>
      <c r="AE60" s="5">
        <v>28</v>
      </c>
      <c r="AF60" s="9">
        <f t="shared" si="0"/>
        <v>1</v>
      </c>
      <c r="AG60" s="5">
        <v>27</v>
      </c>
      <c r="AH60" s="9" cm="1">
        <f t="array" ref="AH60">IF(OR(AI60:AN60=""),"BLANK",IF(AND(AI60:AN60&lt;99),1,IF(AND(AI60:AN60="NA"),3,2)))</f>
        <v>2</v>
      </c>
      <c r="AI60" s="4">
        <v>33</v>
      </c>
      <c r="AJ60" s="4" t="s">
        <v>7</v>
      </c>
      <c r="AK60" s="21">
        <v>79.36</v>
      </c>
      <c r="AL60" s="21">
        <v>77.2</v>
      </c>
      <c r="AM60" s="21">
        <v>6.4</v>
      </c>
      <c r="AN60" s="22" t="s">
        <v>7</v>
      </c>
    </row>
    <row r="61" spans="1:40" x14ac:dyDescent="0.2">
      <c r="A61" s="15">
        <v>465</v>
      </c>
      <c r="B61" s="4" t="s">
        <v>46</v>
      </c>
      <c r="C61" s="30" t="s">
        <v>23</v>
      </c>
      <c r="D61" s="30">
        <v>5</v>
      </c>
      <c r="E61" s="30">
        <v>0</v>
      </c>
      <c r="F61" s="30" t="s">
        <v>7</v>
      </c>
      <c r="G61" s="30">
        <v>30</v>
      </c>
      <c r="H61" s="33">
        <v>4.1806981519507183</v>
      </c>
      <c r="I61" s="33">
        <v>5.3278576317590689</v>
      </c>
      <c r="J61" s="33">
        <v>9.508555783709788</v>
      </c>
      <c r="K61" s="33">
        <v>4.1806981519507183</v>
      </c>
      <c r="L61" s="33">
        <v>5.3388090349075972</v>
      </c>
      <c r="M61" s="33">
        <v>9.5195071868583163</v>
      </c>
      <c r="N61" s="33">
        <v>4.0246406570841886</v>
      </c>
      <c r="O61" s="33">
        <v>5.0978781656399725</v>
      </c>
      <c r="P61" s="33">
        <v>9.122518822724162</v>
      </c>
      <c r="Q61" s="33">
        <v>3.3264887063655029</v>
      </c>
      <c r="R61" s="33">
        <v>6.3025325119780975</v>
      </c>
      <c r="S61" s="33">
        <v>9.6290212183436008</v>
      </c>
      <c r="T61" s="12">
        <v>6</v>
      </c>
      <c r="U61" s="12">
        <v>18</v>
      </c>
      <c r="V61" s="4" t="s">
        <v>1</v>
      </c>
      <c r="W61" s="4">
        <v>1</v>
      </c>
      <c r="X61" s="4">
        <v>2</v>
      </c>
      <c r="Y61" s="4">
        <v>1</v>
      </c>
      <c r="Z61" s="56">
        <v>3</v>
      </c>
      <c r="AA61" s="9" cm="1">
        <f t="array" ref="AA61">IF(OR(AB61:AE61=""),"BLANK",IF(AND(AB61:AE61&lt;999),1,IF(AND(AB61:AE61="NA"),3,2)))</f>
        <v>1</v>
      </c>
      <c r="AB61" s="4">
        <v>31</v>
      </c>
      <c r="AC61" s="4">
        <v>20</v>
      </c>
      <c r="AD61" s="4">
        <v>12</v>
      </c>
      <c r="AE61" s="5">
        <v>63</v>
      </c>
      <c r="AF61" s="9">
        <f t="shared" si="0"/>
        <v>1</v>
      </c>
      <c r="AG61" s="5">
        <v>60</v>
      </c>
      <c r="AH61" s="9" cm="1">
        <f t="array" ref="AH61">IF(OR(AI61:AN61=""),"BLANK",IF(AND(AI61:AN61&lt;99),1,IF(AND(AI61:AN61="NA"),3,2)))</f>
        <v>2</v>
      </c>
      <c r="AI61" s="4">
        <v>49</v>
      </c>
      <c r="AJ61" s="4" t="s">
        <v>7</v>
      </c>
      <c r="AK61" s="21">
        <v>97.03</v>
      </c>
      <c r="AL61" s="21">
        <v>94.73</v>
      </c>
      <c r="AM61" s="21">
        <v>36.299999999999997</v>
      </c>
      <c r="AN61" s="22" t="s">
        <v>7</v>
      </c>
    </row>
    <row r="62" spans="1:40" x14ac:dyDescent="0.2">
      <c r="A62" s="15">
        <v>466</v>
      </c>
      <c r="B62" s="4" t="s">
        <v>68</v>
      </c>
      <c r="C62" s="30" t="s">
        <v>23</v>
      </c>
      <c r="D62" s="30">
        <v>5</v>
      </c>
      <c r="E62" s="30">
        <v>0</v>
      </c>
      <c r="F62" s="30" t="s">
        <v>7</v>
      </c>
      <c r="G62" s="30">
        <v>30</v>
      </c>
      <c r="H62" s="33">
        <v>4.3723477070499657</v>
      </c>
      <c r="I62" s="33">
        <v>5.2703627652292946</v>
      </c>
      <c r="J62" s="33">
        <v>9.6427104722792603</v>
      </c>
      <c r="K62" s="33">
        <v>4.3641341546885695</v>
      </c>
      <c r="L62" s="33">
        <v>5.2703627652292946</v>
      </c>
      <c r="M62" s="33">
        <v>9.6344969199178649</v>
      </c>
      <c r="N62" s="33">
        <v>4.3312799452429847</v>
      </c>
      <c r="O62" s="33">
        <v>5.2676249144421625</v>
      </c>
      <c r="P62" s="33">
        <v>9.5989048596851472</v>
      </c>
      <c r="Q62" s="33" t="s">
        <v>7</v>
      </c>
      <c r="R62" s="33" t="s">
        <v>7</v>
      </c>
      <c r="S62" s="33" t="s">
        <v>7</v>
      </c>
      <c r="T62" s="12">
        <v>7</v>
      </c>
      <c r="U62" s="12">
        <v>21</v>
      </c>
      <c r="V62" s="4" t="s">
        <v>1</v>
      </c>
      <c r="W62" s="4">
        <v>1</v>
      </c>
      <c r="X62" s="4">
        <v>2</v>
      </c>
      <c r="Y62" s="4">
        <v>1</v>
      </c>
      <c r="Z62" s="56">
        <v>3</v>
      </c>
      <c r="AA62" s="9" cm="1">
        <f t="array" ref="AA62">IF(OR(AB62:AE62=""),"BLANK",IF(AND(AB62:AE62&lt;999),1,IF(AND(AB62:AE62="NA"),3,2)))</f>
        <v>1</v>
      </c>
      <c r="AB62" s="4">
        <v>42</v>
      </c>
      <c r="AC62" s="4">
        <v>23</v>
      </c>
      <c r="AD62" s="4">
        <v>16</v>
      </c>
      <c r="AE62" s="5">
        <v>81</v>
      </c>
      <c r="AF62" s="9">
        <f t="shared" si="0"/>
        <v>1</v>
      </c>
      <c r="AG62" s="5">
        <v>77</v>
      </c>
      <c r="AH62" s="9" cm="1">
        <f t="array" ref="AH62">IF(OR(AI62:AN62=""),"BLANK",IF(AND(AI62:AN62&lt;99),1,IF(AND(AI62:AN62="NA"),3,2)))</f>
        <v>2</v>
      </c>
      <c r="AI62" s="4">
        <v>59</v>
      </c>
      <c r="AJ62" s="4" t="s">
        <v>7</v>
      </c>
      <c r="AK62" s="21">
        <v>108.84</v>
      </c>
      <c r="AL62" s="21">
        <v>92.55</v>
      </c>
      <c r="AM62" s="21">
        <v>30.9</v>
      </c>
      <c r="AN62" s="22" t="s">
        <v>7</v>
      </c>
    </row>
    <row r="63" spans="1:40" x14ac:dyDescent="0.2">
      <c r="A63" s="15">
        <v>470</v>
      </c>
      <c r="B63" s="4" t="s">
        <v>68</v>
      </c>
      <c r="C63" s="30" t="s">
        <v>23</v>
      </c>
      <c r="D63" s="30">
        <v>5</v>
      </c>
      <c r="E63" s="30">
        <v>0</v>
      </c>
      <c r="F63" s="30" t="s">
        <v>7</v>
      </c>
      <c r="G63" s="30">
        <v>29</v>
      </c>
      <c r="H63" s="33">
        <v>4.0492813141683781</v>
      </c>
      <c r="I63" s="33">
        <v>6.1273100616016425</v>
      </c>
      <c r="J63" s="33">
        <v>10.17659137577002</v>
      </c>
      <c r="K63" s="33">
        <v>4.1642710472279258</v>
      </c>
      <c r="L63" s="33">
        <v>6.0123203285420947</v>
      </c>
      <c r="M63" s="33">
        <v>10.17659137577002</v>
      </c>
      <c r="N63" s="33" t="s">
        <v>7</v>
      </c>
      <c r="O63" s="33" t="s">
        <v>7</v>
      </c>
      <c r="P63" s="33">
        <v>10.061601642710473</v>
      </c>
      <c r="Q63" s="33" t="s">
        <v>7</v>
      </c>
      <c r="R63" s="33" t="s">
        <v>7</v>
      </c>
      <c r="S63" s="33" t="s">
        <v>7</v>
      </c>
      <c r="T63" s="12">
        <v>6</v>
      </c>
      <c r="U63" s="34">
        <v>18</v>
      </c>
      <c r="V63" s="4" t="s">
        <v>1</v>
      </c>
      <c r="W63" s="4">
        <v>1</v>
      </c>
      <c r="X63" s="4">
        <v>2</v>
      </c>
      <c r="Y63" s="4">
        <v>1</v>
      </c>
      <c r="Z63" s="56">
        <v>3</v>
      </c>
      <c r="AA63" s="9" cm="1">
        <f t="array" ref="AA63">IF(OR(AB63:AE63=""),"BLANK",IF(AND(AB63:AE63&lt;999),1,IF(AND(AB63:AE63="NA"),3,2)))</f>
        <v>1</v>
      </c>
      <c r="AB63" s="4">
        <v>35</v>
      </c>
      <c r="AC63" s="4">
        <v>24</v>
      </c>
      <c r="AD63" s="4">
        <v>18</v>
      </c>
      <c r="AE63" s="5">
        <v>77</v>
      </c>
      <c r="AF63" s="9">
        <f t="shared" si="0"/>
        <v>1</v>
      </c>
      <c r="AG63" s="5">
        <v>77</v>
      </c>
      <c r="AH63" s="9" cm="1">
        <f t="array" ref="AH63">IF(OR(AI63:AN63=""),"BLANK",IF(AND(AI63:AN63&lt;99),1,IF(AND(AI63:AN63="NA"),3,2)))</f>
        <v>2</v>
      </c>
      <c r="AI63" s="4">
        <v>50</v>
      </c>
      <c r="AJ63" s="4" t="s">
        <v>7</v>
      </c>
      <c r="AK63" s="21">
        <v>97.69</v>
      </c>
      <c r="AL63" s="21">
        <v>76.7</v>
      </c>
      <c r="AM63" s="21">
        <v>6.1</v>
      </c>
      <c r="AN63" s="22" t="s">
        <v>7</v>
      </c>
    </row>
    <row r="64" spans="1:40" x14ac:dyDescent="0.2">
      <c r="A64" s="15">
        <v>483</v>
      </c>
      <c r="B64" s="4" t="s">
        <v>64</v>
      </c>
      <c r="C64" s="30" t="s">
        <v>23</v>
      </c>
      <c r="D64" s="30">
        <v>5</v>
      </c>
      <c r="E64" s="30">
        <v>0</v>
      </c>
      <c r="F64" s="30" t="s">
        <v>7</v>
      </c>
      <c r="G64" s="30">
        <v>28</v>
      </c>
      <c r="H64" s="33">
        <v>4.1013004791238874</v>
      </c>
      <c r="I64" s="33" t="s">
        <v>7</v>
      </c>
      <c r="J64" s="33" t="s">
        <v>7</v>
      </c>
      <c r="K64" s="33">
        <v>4.1013004791238874</v>
      </c>
      <c r="L64" s="33" t="s">
        <v>7</v>
      </c>
      <c r="M64" s="33" t="s">
        <v>7</v>
      </c>
      <c r="N64" s="33">
        <v>4.1013004791238874</v>
      </c>
      <c r="O64" s="33" t="s">
        <v>7</v>
      </c>
      <c r="P64" s="33" t="s">
        <v>7</v>
      </c>
      <c r="Q64" s="33" t="s">
        <v>7</v>
      </c>
      <c r="R64" s="33" t="s">
        <v>7</v>
      </c>
      <c r="S64" s="33" t="s">
        <v>7</v>
      </c>
      <c r="T64" s="12">
        <v>4</v>
      </c>
      <c r="U64" s="12">
        <v>16</v>
      </c>
      <c r="V64" s="4" t="s">
        <v>1</v>
      </c>
      <c r="W64" s="4">
        <v>1</v>
      </c>
      <c r="X64" s="4">
        <v>2</v>
      </c>
      <c r="Y64" s="4">
        <v>1</v>
      </c>
      <c r="Z64" s="56">
        <v>3</v>
      </c>
      <c r="AA64" s="9" cm="1">
        <f t="array" ref="AA64">IF(OR(AB64:AE64=""),"BLANK",IF(AND(AB64:AE64&lt;999),1,IF(AND(AB64:AE64="NA"),3,2)))</f>
        <v>1</v>
      </c>
      <c r="AB64" s="4">
        <v>21</v>
      </c>
      <c r="AC64" s="4">
        <v>12</v>
      </c>
      <c r="AD64" s="4">
        <v>9</v>
      </c>
      <c r="AE64" s="5">
        <v>42</v>
      </c>
      <c r="AF64" s="9">
        <f t="shared" si="0"/>
        <v>1</v>
      </c>
      <c r="AG64" s="5">
        <v>29</v>
      </c>
      <c r="AH64" s="9" cm="1">
        <f t="array" ref="AH64">IF(OR(AI64:AN64=""),"BLANK",IF(AND(AI64:AN64&lt;99),1,IF(AND(AI64:AN64="NA"),3,2)))</f>
        <v>2</v>
      </c>
      <c r="AI64" s="4">
        <v>40</v>
      </c>
      <c r="AJ64" s="4" t="s">
        <v>7</v>
      </c>
      <c r="AK64" s="21">
        <v>87.19</v>
      </c>
      <c r="AL64" s="21">
        <v>95.22</v>
      </c>
      <c r="AM64" s="21">
        <v>37.5</v>
      </c>
      <c r="AN64" s="22" t="s">
        <v>7</v>
      </c>
    </row>
    <row r="65" spans="1:40" x14ac:dyDescent="0.2">
      <c r="A65" s="15">
        <v>492</v>
      </c>
      <c r="B65" s="4" t="s">
        <v>66</v>
      </c>
      <c r="C65" s="30" t="s">
        <v>23</v>
      </c>
      <c r="D65" s="30">
        <v>5</v>
      </c>
      <c r="E65" s="30">
        <v>0</v>
      </c>
      <c r="F65" s="30" t="s">
        <v>7</v>
      </c>
      <c r="G65" s="30">
        <v>30</v>
      </c>
      <c r="H65" s="33">
        <v>4.0246406570841886</v>
      </c>
      <c r="I65" s="33">
        <v>6.1765913757700206</v>
      </c>
      <c r="J65" s="33">
        <v>10.201232032854209</v>
      </c>
      <c r="K65" s="33">
        <v>4.0246406570841886</v>
      </c>
      <c r="L65" s="33">
        <v>6.1765913757700206</v>
      </c>
      <c r="M65" s="33">
        <v>10.201232032854209</v>
      </c>
      <c r="N65" s="33">
        <v>4.043805612594114</v>
      </c>
      <c r="O65" s="33" t="s">
        <v>7</v>
      </c>
      <c r="P65" s="33" t="s">
        <v>7</v>
      </c>
      <c r="Q65" s="33" t="s">
        <v>7</v>
      </c>
      <c r="R65" s="33" t="s">
        <v>7</v>
      </c>
      <c r="S65" s="33" t="s">
        <v>7</v>
      </c>
      <c r="T65" s="12">
        <v>6</v>
      </c>
      <c r="U65" s="12">
        <v>18</v>
      </c>
      <c r="V65" s="4" t="s">
        <v>1</v>
      </c>
      <c r="W65" s="4">
        <v>1</v>
      </c>
      <c r="X65" s="4">
        <v>2</v>
      </c>
      <c r="Y65" s="4">
        <v>1</v>
      </c>
      <c r="Z65" s="56">
        <v>3</v>
      </c>
      <c r="AA65" s="9" cm="1">
        <f t="array" ref="AA65">IF(OR(AB65:AE65=""),"BLANK",IF(AND(AB65:AE65&lt;999),1,IF(AND(AB65:AE65="NA"),3,2)))</f>
        <v>1</v>
      </c>
      <c r="AB65" s="4">
        <v>39</v>
      </c>
      <c r="AC65" s="4">
        <v>22</v>
      </c>
      <c r="AD65" s="4">
        <v>13</v>
      </c>
      <c r="AE65" s="5">
        <v>74</v>
      </c>
      <c r="AF65" s="9">
        <f t="shared" si="0"/>
        <v>1</v>
      </c>
      <c r="AG65" s="5">
        <v>60</v>
      </c>
      <c r="AH65" s="9" cm="1">
        <f t="array" ref="AH65">IF(OR(AI65:AN65=""),"BLANK",IF(AND(AI65:AN65&lt;99),1,IF(AND(AI65:AN65="NA"),3,2)))</f>
        <v>2</v>
      </c>
      <c r="AI65" s="4">
        <v>52</v>
      </c>
      <c r="AJ65" s="4" t="s">
        <v>7</v>
      </c>
      <c r="AK65" s="21">
        <v>100.39</v>
      </c>
      <c r="AL65" s="21">
        <v>111.74</v>
      </c>
      <c r="AM65" s="21">
        <v>78.2</v>
      </c>
      <c r="AN65" s="22" t="s">
        <v>7</v>
      </c>
    </row>
    <row r="66" spans="1:40" x14ac:dyDescent="0.2">
      <c r="A66" s="15">
        <v>495</v>
      </c>
      <c r="B66" s="4" t="s">
        <v>47</v>
      </c>
      <c r="C66" s="30" t="s">
        <v>24</v>
      </c>
      <c r="D66" s="30">
        <v>5</v>
      </c>
      <c r="E66" s="30">
        <v>0</v>
      </c>
      <c r="F66" s="30" t="s">
        <v>7</v>
      </c>
      <c r="G66" s="30">
        <v>27</v>
      </c>
      <c r="H66" s="33">
        <v>4.0136892539356603</v>
      </c>
      <c r="I66" s="33" t="s">
        <v>7</v>
      </c>
      <c r="J66" s="33" t="s">
        <v>7</v>
      </c>
      <c r="K66" s="33">
        <v>4.0136892539356603</v>
      </c>
      <c r="L66" s="33" t="s">
        <v>7</v>
      </c>
      <c r="M66" s="33" t="s">
        <v>7</v>
      </c>
      <c r="N66" s="33" t="s">
        <v>7</v>
      </c>
      <c r="O66" s="33" t="s">
        <v>7</v>
      </c>
      <c r="P66" s="33" t="s">
        <v>7</v>
      </c>
      <c r="Q66" s="33" t="s">
        <v>7</v>
      </c>
      <c r="R66" s="33" t="s">
        <v>7</v>
      </c>
      <c r="S66" s="33" t="s">
        <v>7</v>
      </c>
      <c r="T66" s="12">
        <v>3</v>
      </c>
      <c r="U66" s="12">
        <v>14</v>
      </c>
      <c r="V66" s="4" t="s">
        <v>1</v>
      </c>
      <c r="W66" s="4">
        <v>1</v>
      </c>
      <c r="X66" s="4">
        <v>2</v>
      </c>
      <c r="Y66" s="4">
        <v>1</v>
      </c>
      <c r="Z66" s="56">
        <v>3</v>
      </c>
      <c r="AA66" s="9" cm="1">
        <f t="array" ref="AA66">IF(OR(AB66:AE66=""),"BLANK",IF(AND(AB66:AE66&lt;999),1,IF(AND(AB66:AE66="NA"),3,2)))</f>
        <v>1</v>
      </c>
      <c r="AB66" s="4">
        <v>14</v>
      </c>
      <c r="AC66" s="4">
        <v>10</v>
      </c>
      <c r="AD66" s="4">
        <v>5</v>
      </c>
      <c r="AE66" s="5">
        <v>29</v>
      </c>
      <c r="AF66" s="9">
        <f t="shared" ref="AF66:AF129" si="1">IF(OR(AG66="NA", AG66="xx"), 3,1)</f>
        <v>1</v>
      </c>
      <c r="AG66" s="5">
        <v>30</v>
      </c>
      <c r="AH66" s="9" cm="1">
        <f t="array" ref="AH66">IF(OR(AI66:AN66=""),"BLANK",IF(AND(AI66:AN66&lt;99),1,IF(AND(AI66:AN66="NA"),3,2)))</f>
        <v>2</v>
      </c>
      <c r="AI66" s="4">
        <v>46</v>
      </c>
      <c r="AJ66" s="4" t="s">
        <v>7</v>
      </c>
      <c r="AK66" s="21">
        <v>93.42</v>
      </c>
      <c r="AL66" s="21">
        <v>99.91</v>
      </c>
      <c r="AM66" s="21">
        <v>49.6</v>
      </c>
      <c r="AN66" s="22" t="s">
        <v>7</v>
      </c>
    </row>
    <row r="67" spans="1:40" x14ac:dyDescent="0.2">
      <c r="A67" s="15">
        <v>503</v>
      </c>
      <c r="B67" s="4" t="s">
        <v>47</v>
      </c>
      <c r="C67" s="30" t="s">
        <v>23</v>
      </c>
      <c r="D67" s="30">
        <v>5</v>
      </c>
      <c r="E67" s="30">
        <v>0</v>
      </c>
      <c r="F67" s="30" t="s">
        <v>7</v>
      </c>
      <c r="G67" s="30">
        <v>30</v>
      </c>
      <c r="H67" s="33">
        <v>4.2573579739904179</v>
      </c>
      <c r="I67" s="33">
        <v>6.0670773442847361</v>
      </c>
      <c r="J67" s="33">
        <v>10.324435318275153</v>
      </c>
      <c r="K67" s="33">
        <v>4.2628336755646821</v>
      </c>
      <c r="L67" s="33">
        <v>6.061601642710472</v>
      </c>
      <c r="M67" s="33">
        <v>10.324435318275153</v>
      </c>
      <c r="N67" s="33">
        <v>4.0766598220396988</v>
      </c>
      <c r="O67" s="33">
        <v>6.0479123887748116</v>
      </c>
      <c r="P67" s="33">
        <v>10.124572210814511</v>
      </c>
      <c r="Q67" s="33" t="s">
        <v>7</v>
      </c>
      <c r="R67" s="33" t="s">
        <v>7</v>
      </c>
      <c r="S67" s="33" t="s">
        <v>7</v>
      </c>
      <c r="T67" s="12">
        <v>3</v>
      </c>
      <c r="U67" s="12">
        <v>14</v>
      </c>
      <c r="V67" s="4" t="s">
        <v>1</v>
      </c>
      <c r="W67" s="4">
        <v>1</v>
      </c>
      <c r="X67" s="4">
        <v>2</v>
      </c>
      <c r="Y67" s="4">
        <v>1</v>
      </c>
      <c r="Z67" s="56">
        <v>3</v>
      </c>
      <c r="AA67" s="9" cm="1">
        <f t="array" ref="AA67">IF(OR(AB67:AE67=""),"BLANK",IF(AND(AB67:AE67&lt;999),1,IF(AND(AB67:AE67="NA"),3,2)))</f>
        <v>1</v>
      </c>
      <c r="AB67" s="4">
        <v>28</v>
      </c>
      <c r="AC67" s="4">
        <v>18</v>
      </c>
      <c r="AD67" s="4">
        <v>12</v>
      </c>
      <c r="AE67" s="5">
        <v>58</v>
      </c>
      <c r="AF67" s="9">
        <f t="shared" si="1"/>
        <v>1</v>
      </c>
      <c r="AG67" s="5">
        <v>49</v>
      </c>
      <c r="AH67" s="9" cm="1">
        <f t="array" ref="AH67">IF(OR(AI67:AN67=""),"BLANK",IF(AND(AI67:AN67&lt;99),1,IF(AND(AI67:AN67="NA"),3,2)))</f>
        <v>2</v>
      </c>
      <c r="AI67" s="4">
        <v>43</v>
      </c>
      <c r="AJ67" s="4" t="s">
        <v>7</v>
      </c>
      <c r="AK67" s="25">
        <v>90.79</v>
      </c>
      <c r="AL67" s="25">
        <v>95.76</v>
      </c>
      <c r="AM67" s="25">
        <v>39</v>
      </c>
      <c r="AN67" s="22" t="s">
        <v>7</v>
      </c>
    </row>
    <row r="68" spans="1:40" x14ac:dyDescent="0.2">
      <c r="A68" s="15">
        <v>509</v>
      </c>
      <c r="B68" s="4" t="s">
        <v>59</v>
      </c>
      <c r="C68" s="30" t="s">
        <v>23</v>
      </c>
      <c r="D68" s="30">
        <v>5</v>
      </c>
      <c r="E68" s="30">
        <v>1</v>
      </c>
      <c r="F68" s="30" t="s">
        <v>7</v>
      </c>
      <c r="G68" s="30">
        <v>30</v>
      </c>
      <c r="H68" s="33">
        <v>4.0109514031485283</v>
      </c>
      <c r="I68" s="33">
        <v>6.0041067761806985</v>
      </c>
      <c r="J68" s="33">
        <v>10.015058179329227</v>
      </c>
      <c r="K68" s="33">
        <v>4.0109514031485283</v>
      </c>
      <c r="L68" s="33">
        <v>6.0041067761806985</v>
      </c>
      <c r="M68" s="33">
        <v>10.015058179329227</v>
      </c>
      <c r="N68" s="33">
        <v>3.9863107460643397</v>
      </c>
      <c r="O68" s="33">
        <v>5.7275838466803561</v>
      </c>
      <c r="P68" s="33">
        <v>9.7138945927446958</v>
      </c>
      <c r="Q68" s="33" t="s">
        <v>7</v>
      </c>
      <c r="R68" s="33" t="s">
        <v>7</v>
      </c>
      <c r="S68" s="33" t="s">
        <v>7</v>
      </c>
      <c r="T68" s="12">
        <v>4</v>
      </c>
      <c r="U68" s="12">
        <v>16</v>
      </c>
      <c r="V68" s="4" t="s">
        <v>1</v>
      </c>
      <c r="W68" s="4">
        <v>1</v>
      </c>
      <c r="X68" s="4">
        <v>2</v>
      </c>
      <c r="Y68" s="4">
        <v>1</v>
      </c>
      <c r="Z68" s="56">
        <v>3</v>
      </c>
      <c r="AA68" s="9" cm="1">
        <f t="array" ref="AA68">IF(OR(AB68:AE68=""),"BLANK",IF(AND(AB68:AE68&lt;999),1,IF(AND(AB68:AE68="NA"),3,2)))</f>
        <v>1</v>
      </c>
      <c r="AB68" s="4">
        <v>39</v>
      </c>
      <c r="AC68" s="4">
        <v>21</v>
      </c>
      <c r="AD68" s="4">
        <v>14</v>
      </c>
      <c r="AE68" s="5">
        <v>74</v>
      </c>
      <c r="AF68" s="9">
        <f t="shared" si="1"/>
        <v>1</v>
      </c>
      <c r="AG68" s="5">
        <v>63</v>
      </c>
      <c r="AH68" s="9" cm="1">
        <f t="array" ref="AH68">IF(OR(AI68:AN68=""),"BLANK",IF(AND(AI68:AN68&lt;99),1,IF(AND(AI68:AN68="NA"),3,2)))</f>
        <v>2</v>
      </c>
      <c r="AI68" s="4">
        <v>50</v>
      </c>
      <c r="AJ68" s="4" t="s">
        <v>7</v>
      </c>
      <c r="AK68" s="21">
        <v>98.34</v>
      </c>
      <c r="AL68" s="21">
        <v>99.97</v>
      </c>
      <c r="AM68" s="21">
        <v>50</v>
      </c>
      <c r="AN68" s="22" t="s">
        <v>7</v>
      </c>
    </row>
    <row r="69" spans="1:40" x14ac:dyDescent="0.2">
      <c r="A69" s="15">
        <v>520</v>
      </c>
      <c r="B69" s="4" t="s">
        <v>59</v>
      </c>
      <c r="C69" s="30" t="s">
        <v>23</v>
      </c>
      <c r="D69" s="30">
        <v>5</v>
      </c>
      <c r="E69" s="30">
        <v>0</v>
      </c>
      <c r="F69" s="30" t="s">
        <v>7</v>
      </c>
      <c r="G69" s="30">
        <v>29</v>
      </c>
      <c r="H69" s="33">
        <v>4.16974674880219</v>
      </c>
      <c r="I69" s="33" t="s">
        <v>7</v>
      </c>
      <c r="J69" s="33" t="s">
        <v>7</v>
      </c>
      <c r="K69" s="33">
        <v>4.1806981519507183</v>
      </c>
      <c r="L69" s="33" t="s">
        <v>7</v>
      </c>
      <c r="M69" s="33" t="s">
        <v>7</v>
      </c>
      <c r="N69" s="33">
        <v>3.9616700889801506</v>
      </c>
      <c r="O69" s="33" t="s">
        <v>7</v>
      </c>
      <c r="P69" s="33" t="s">
        <v>7</v>
      </c>
      <c r="Q69" s="33" t="s">
        <v>7</v>
      </c>
      <c r="R69" s="33" t="s">
        <v>7</v>
      </c>
      <c r="S69" s="33" t="s">
        <v>7</v>
      </c>
      <c r="T69" s="12">
        <v>4</v>
      </c>
      <c r="U69" s="12">
        <v>16</v>
      </c>
      <c r="V69" s="4" t="s">
        <v>1</v>
      </c>
      <c r="W69" s="4">
        <v>1</v>
      </c>
      <c r="X69" s="4">
        <v>2</v>
      </c>
      <c r="Y69" s="4">
        <v>1</v>
      </c>
      <c r="Z69" s="56">
        <v>3</v>
      </c>
      <c r="AA69" s="9" cm="1">
        <f t="array" ref="AA69">IF(OR(AB69:AE69=""),"BLANK",IF(AND(AB69:AE69&lt;999),1,IF(AND(AB69:AE69="NA"),3,2)))</f>
        <v>1</v>
      </c>
      <c r="AB69" s="4">
        <v>24</v>
      </c>
      <c r="AC69" s="4">
        <v>19</v>
      </c>
      <c r="AD69" s="4">
        <v>16</v>
      </c>
      <c r="AE69" s="5">
        <v>59</v>
      </c>
      <c r="AF69" s="9">
        <f t="shared" si="1"/>
        <v>1</v>
      </c>
      <c r="AG69" s="5">
        <v>60</v>
      </c>
      <c r="AH69" s="9" cm="1">
        <f t="array" ref="AH69">IF(OR(AI69:AN69=""),"BLANK",IF(AND(AI69:AN69&lt;99),1,IF(AND(AI69:AN69="NA"),3,2)))</f>
        <v>2</v>
      </c>
      <c r="AI69" s="4">
        <v>45</v>
      </c>
      <c r="AJ69" s="4" t="s">
        <v>7</v>
      </c>
      <c r="AK69" s="21">
        <v>92.9</v>
      </c>
      <c r="AL69" s="21">
        <v>91.29</v>
      </c>
      <c r="AM69" s="21">
        <v>28.1</v>
      </c>
      <c r="AN69" s="22">
        <v>86.98</v>
      </c>
    </row>
    <row r="70" spans="1:40" x14ac:dyDescent="0.2">
      <c r="A70" s="15">
        <v>528</v>
      </c>
      <c r="B70" s="4" t="s">
        <v>47</v>
      </c>
      <c r="C70" s="30" t="s">
        <v>24</v>
      </c>
      <c r="D70" s="30">
        <v>5</v>
      </c>
      <c r="E70" s="30">
        <v>0</v>
      </c>
      <c r="F70" s="30" t="s">
        <v>7</v>
      </c>
      <c r="G70" s="30">
        <v>28</v>
      </c>
      <c r="H70" s="33">
        <v>4.0054757015742641</v>
      </c>
      <c r="I70" s="33" t="s">
        <v>7</v>
      </c>
      <c r="J70" s="33" t="s">
        <v>7</v>
      </c>
      <c r="K70" s="33">
        <v>4.0246406570841886</v>
      </c>
      <c r="L70" s="33" t="s">
        <v>7</v>
      </c>
      <c r="M70" s="33" t="s">
        <v>7</v>
      </c>
      <c r="N70" s="33">
        <v>4.0136892539356603</v>
      </c>
      <c r="O70" s="33" t="s">
        <v>7</v>
      </c>
      <c r="P70" s="33" t="s">
        <v>7</v>
      </c>
      <c r="Q70" s="33">
        <v>3.3347022587268995</v>
      </c>
      <c r="R70" s="33" t="s">
        <v>7</v>
      </c>
      <c r="S70" s="33" t="s">
        <v>7</v>
      </c>
      <c r="T70" s="12">
        <v>7</v>
      </c>
      <c r="U70" s="12">
        <v>21</v>
      </c>
      <c r="V70" s="4" t="s">
        <v>1</v>
      </c>
      <c r="W70" s="4">
        <v>1</v>
      </c>
      <c r="X70" s="4">
        <v>2</v>
      </c>
      <c r="Y70" s="4">
        <v>1</v>
      </c>
      <c r="Z70" s="56">
        <v>3</v>
      </c>
      <c r="AA70" s="9" cm="1">
        <f t="array" ref="AA70">IF(OR(AB70:AE70=""),"BLANK",IF(AND(AB70:AE70&lt;999),1,IF(AND(AB70:AE70="NA"),3,2)))</f>
        <v>1</v>
      </c>
      <c r="AB70" s="4">
        <v>15</v>
      </c>
      <c r="AC70" s="4">
        <v>10</v>
      </c>
      <c r="AD70" s="4">
        <v>7</v>
      </c>
      <c r="AE70" s="5">
        <v>32</v>
      </c>
      <c r="AF70" s="9">
        <f t="shared" si="1"/>
        <v>1</v>
      </c>
      <c r="AG70" s="5">
        <v>53</v>
      </c>
      <c r="AH70" s="9" cm="1">
        <f t="array" ref="AH70">IF(OR(AI70:AN70=""),"BLANK",IF(AND(AI70:AN70&lt;99),1,IF(AND(AI70:AN70="NA"),3,2)))</f>
        <v>2</v>
      </c>
      <c r="AI70" s="4">
        <v>45</v>
      </c>
      <c r="AJ70" s="4" t="s">
        <v>7</v>
      </c>
      <c r="AK70" s="21">
        <v>92.99</v>
      </c>
      <c r="AL70" s="21">
        <v>99.26</v>
      </c>
      <c r="AM70" s="21">
        <v>48</v>
      </c>
      <c r="AN70" s="22">
        <v>95.32</v>
      </c>
    </row>
    <row r="71" spans="1:40" x14ac:dyDescent="0.2">
      <c r="A71" s="15">
        <v>532</v>
      </c>
      <c r="B71" s="4" t="s">
        <v>58</v>
      </c>
      <c r="C71" s="30" t="s">
        <v>24</v>
      </c>
      <c r="D71" s="30">
        <v>5</v>
      </c>
      <c r="E71" s="30">
        <v>0</v>
      </c>
      <c r="F71" s="30" t="s">
        <v>7</v>
      </c>
      <c r="G71" s="30">
        <v>29</v>
      </c>
      <c r="H71" s="33">
        <v>4.1998631074606436</v>
      </c>
      <c r="I71" s="33" t="s">
        <v>7</v>
      </c>
      <c r="J71" s="33" t="s">
        <v>7</v>
      </c>
      <c r="K71" s="33">
        <v>4.1998631074606436</v>
      </c>
      <c r="L71" s="33" t="s">
        <v>7</v>
      </c>
      <c r="M71" s="33" t="s">
        <v>7</v>
      </c>
      <c r="N71" s="33">
        <v>4.2026009582477757</v>
      </c>
      <c r="O71" s="33" t="s">
        <v>7</v>
      </c>
      <c r="P71" s="33" t="s">
        <v>7</v>
      </c>
      <c r="Q71" s="33">
        <v>3.1978097193702943</v>
      </c>
      <c r="R71" s="33" t="s">
        <v>7</v>
      </c>
      <c r="S71" s="33" t="s">
        <v>7</v>
      </c>
      <c r="T71" s="12">
        <v>6</v>
      </c>
      <c r="U71" s="12">
        <v>18</v>
      </c>
      <c r="V71" s="4" t="s">
        <v>1</v>
      </c>
      <c r="W71" s="4">
        <v>1</v>
      </c>
      <c r="X71" s="4">
        <v>2</v>
      </c>
      <c r="Y71" s="4">
        <v>1</v>
      </c>
      <c r="Z71" s="56">
        <v>3</v>
      </c>
      <c r="AA71" s="9" cm="1">
        <f t="array" ref="AA71">IF(OR(AB71:AE71=""),"BLANK",IF(AND(AB71:AE71&lt;999),1,IF(AND(AB71:AE71="NA"),3,2)))</f>
        <v>1</v>
      </c>
      <c r="AB71" s="4">
        <v>23</v>
      </c>
      <c r="AC71" s="4">
        <v>14</v>
      </c>
      <c r="AD71" s="4">
        <v>10</v>
      </c>
      <c r="AE71" s="5">
        <v>47</v>
      </c>
      <c r="AF71" s="9">
        <f t="shared" si="1"/>
        <v>1</v>
      </c>
      <c r="AG71" s="5">
        <v>41</v>
      </c>
      <c r="AH71" s="9" cm="1">
        <f t="array" ref="AH71">IF(OR(AI71:AN71=""),"BLANK",IF(AND(AI71:AN71&lt;99),1,IF(AND(AI71:AN71="NA"),3,2)))</f>
        <v>2</v>
      </c>
      <c r="AI71" s="4">
        <v>40</v>
      </c>
      <c r="AJ71" s="4" t="s">
        <v>7</v>
      </c>
      <c r="AK71" s="21">
        <v>87.32</v>
      </c>
      <c r="AL71" s="21">
        <v>82.07</v>
      </c>
      <c r="AM71" s="21">
        <v>11.5</v>
      </c>
      <c r="AN71" s="22" t="s">
        <v>7</v>
      </c>
    </row>
    <row r="72" spans="1:40" x14ac:dyDescent="0.2">
      <c r="A72" s="15">
        <v>543</v>
      </c>
      <c r="B72" s="4" t="s">
        <v>47</v>
      </c>
      <c r="C72" s="30" t="s">
        <v>24</v>
      </c>
      <c r="D72" s="30">
        <v>5</v>
      </c>
      <c r="E72" s="30">
        <v>0</v>
      </c>
      <c r="F72" s="30" t="s">
        <v>7</v>
      </c>
      <c r="G72" s="30">
        <v>30</v>
      </c>
      <c r="H72" s="33">
        <v>4.2956878850102669</v>
      </c>
      <c r="I72" s="33" t="s">
        <v>7</v>
      </c>
      <c r="J72" s="33" t="s">
        <v>7</v>
      </c>
      <c r="K72" s="33">
        <v>4.2956878850102669</v>
      </c>
      <c r="L72" s="33" t="s">
        <v>7</v>
      </c>
      <c r="M72" s="33" t="s">
        <v>7</v>
      </c>
      <c r="N72" s="33">
        <v>4.2929500342231348</v>
      </c>
      <c r="O72" s="33" t="s">
        <v>7</v>
      </c>
      <c r="P72" s="33" t="s">
        <v>7</v>
      </c>
      <c r="Q72" s="33">
        <v>3.6221765913757702</v>
      </c>
      <c r="R72" s="33" t="s">
        <v>7</v>
      </c>
      <c r="S72" s="33" t="s">
        <v>7</v>
      </c>
      <c r="T72" s="12">
        <v>7</v>
      </c>
      <c r="U72" s="12">
        <v>21</v>
      </c>
      <c r="V72" s="4" t="s">
        <v>1</v>
      </c>
      <c r="W72" s="4">
        <v>1</v>
      </c>
      <c r="X72" s="4">
        <v>2</v>
      </c>
      <c r="Y72" s="4">
        <v>1</v>
      </c>
      <c r="Z72" s="56">
        <v>3</v>
      </c>
      <c r="AA72" s="9" cm="1">
        <f t="array" ref="AA72">IF(OR(AB72:AE72=""),"BLANK",IF(AND(AB72:AE72&lt;999),1,IF(AND(AB72:AE72="NA"),3,2)))</f>
        <v>1</v>
      </c>
      <c r="AB72" s="4">
        <v>23</v>
      </c>
      <c r="AC72" s="4">
        <v>18</v>
      </c>
      <c r="AD72" s="4">
        <v>13</v>
      </c>
      <c r="AE72" s="5">
        <v>54</v>
      </c>
      <c r="AF72" s="9">
        <f t="shared" si="1"/>
        <v>1</v>
      </c>
      <c r="AG72" s="5">
        <v>43</v>
      </c>
      <c r="AH72" s="9" cm="1">
        <f t="array" ref="AH72">IF(OR(AI72:AN72=""),"BLANK",IF(AND(AI72:AN72&lt;99),1,IF(AND(AI72:AN72="NA"),3,2)))</f>
        <v>2</v>
      </c>
      <c r="AI72" s="4">
        <v>45</v>
      </c>
      <c r="AJ72" s="4" t="s">
        <v>7</v>
      </c>
      <c r="AK72" s="21">
        <v>92.24</v>
      </c>
      <c r="AL72" s="21">
        <v>97.92</v>
      </c>
      <c r="AM72" s="21">
        <v>44.4</v>
      </c>
      <c r="AN72" s="22" t="s">
        <v>7</v>
      </c>
    </row>
    <row r="73" spans="1:40" x14ac:dyDescent="0.2">
      <c r="A73" s="15">
        <v>557</v>
      </c>
      <c r="B73" s="4" t="s">
        <v>59</v>
      </c>
      <c r="C73" s="30" t="s">
        <v>23</v>
      </c>
      <c r="D73" s="30">
        <v>5</v>
      </c>
      <c r="E73" s="30">
        <v>0</v>
      </c>
      <c r="F73" s="30" t="s">
        <v>7</v>
      </c>
      <c r="G73" s="30">
        <v>29</v>
      </c>
      <c r="H73" s="33">
        <v>4.1122518822724166</v>
      </c>
      <c r="I73" s="33">
        <v>5.675564681724846</v>
      </c>
      <c r="J73" s="33">
        <v>9.7878165639972625</v>
      </c>
      <c r="K73" s="33">
        <v>4.2491444216290208</v>
      </c>
      <c r="L73" s="33">
        <v>5.7878165639972625</v>
      </c>
      <c r="M73" s="33">
        <v>10.036960985626283</v>
      </c>
      <c r="N73" s="33">
        <v>4.1451060917180014</v>
      </c>
      <c r="O73" s="33">
        <v>5.5961670088980151</v>
      </c>
      <c r="P73" s="33">
        <v>9.7412731006160165</v>
      </c>
      <c r="Q73" s="33">
        <v>3.2553045859000687</v>
      </c>
      <c r="R73" s="33">
        <v>6.4750171115674195</v>
      </c>
      <c r="S73" s="33">
        <v>9.7303216974674882</v>
      </c>
      <c r="T73" s="12">
        <v>4</v>
      </c>
      <c r="U73" s="12">
        <v>16</v>
      </c>
      <c r="V73" s="4" t="s">
        <v>1</v>
      </c>
      <c r="W73" s="4">
        <v>1</v>
      </c>
      <c r="X73" s="4">
        <v>2</v>
      </c>
      <c r="Y73" s="4">
        <v>1</v>
      </c>
      <c r="Z73" s="56">
        <v>3</v>
      </c>
      <c r="AA73" s="9" cm="1">
        <f t="array" ref="AA73">IF(OR(AB73:AE73=""),"BLANK",IF(AND(AB73:AE73&lt;999),1,IF(AND(AB73:AE73="NA"),3,2)))</f>
        <v>1</v>
      </c>
      <c r="AB73" s="4">
        <v>29</v>
      </c>
      <c r="AC73" s="4">
        <v>16</v>
      </c>
      <c r="AD73" s="4">
        <v>17</v>
      </c>
      <c r="AE73" s="5">
        <v>62</v>
      </c>
      <c r="AF73" s="9">
        <f t="shared" si="1"/>
        <v>1</v>
      </c>
      <c r="AG73" s="5">
        <v>52</v>
      </c>
      <c r="AH73" s="9" cm="1">
        <f t="array" ref="AH73">IF(OR(AI73:AN73=""),"BLANK",IF(AND(AI73:AN73&lt;99),1,IF(AND(AI73:AN73="NA"),3,2)))</f>
        <v>2</v>
      </c>
      <c r="AI73" s="4">
        <v>51</v>
      </c>
      <c r="AJ73" s="4" t="s">
        <v>7</v>
      </c>
      <c r="AK73" s="21">
        <v>99.09</v>
      </c>
      <c r="AL73" s="21">
        <v>101.27</v>
      </c>
      <c r="AM73" s="21">
        <v>53.2</v>
      </c>
      <c r="AN73" s="22" t="s">
        <v>7</v>
      </c>
    </row>
    <row r="74" spans="1:40" x14ac:dyDescent="0.2">
      <c r="A74" s="15">
        <v>562</v>
      </c>
      <c r="B74" s="4" t="s">
        <v>52</v>
      </c>
      <c r="C74" s="30" t="s">
        <v>24</v>
      </c>
      <c r="D74" s="30">
        <v>5</v>
      </c>
      <c r="E74" s="30">
        <v>0</v>
      </c>
      <c r="F74" s="30" t="s">
        <v>7</v>
      </c>
      <c r="G74" s="30">
        <v>30</v>
      </c>
      <c r="H74" s="33">
        <v>4.2546201232032859</v>
      </c>
      <c r="I74" s="33">
        <v>5.4839151266255985</v>
      </c>
      <c r="J74" s="33">
        <v>9.7385352498288835</v>
      </c>
      <c r="K74" s="33">
        <v>4.6214921286789874</v>
      </c>
      <c r="L74" s="33">
        <v>5.117043121149897</v>
      </c>
      <c r="M74" s="33">
        <v>9.7385352498288835</v>
      </c>
      <c r="N74" s="33">
        <v>3.9206023271731691</v>
      </c>
      <c r="O74" s="33">
        <v>5.1800136892539355</v>
      </c>
      <c r="P74" s="33">
        <v>9.1006160164271055</v>
      </c>
      <c r="Q74" s="33">
        <v>3.1950718685831623</v>
      </c>
      <c r="R74" s="33">
        <v>6.1108829568788501</v>
      </c>
      <c r="S74" s="33">
        <v>9.3059548254620115</v>
      </c>
      <c r="T74" s="12">
        <v>6</v>
      </c>
      <c r="U74" s="12">
        <v>18</v>
      </c>
      <c r="V74" s="4" t="s">
        <v>1</v>
      </c>
      <c r="W74" s="4">
        <v>1</v>
      </c>
      <c r="X74" s="4">
        <v>2</v>
      </c>
      <c r="Y74" s="4">
        <v>1</v>
      </c>
      <c r="Z74" s="56">
        <v>3</v>
      </c>
      <c r="AA74" s="9" cm="1">
        <f t="array" ref="AA74">IF(OR(AB74:AE74=""),"BLANK",IF(AND(AB74:AE74&lt;999),1,IF(AND(AB74:AE74="NA"),3,2)))</f>
        <v>1</v>
      </c>
      <c r="AB74" s="4">
        <v>30</v>
      </c>
      <c r="AC74" s="4">
        <v>14</v>
      </c>
      <c r="AD74" s="4">
        <v>12</v>
      </c>
      <c r="AE74" s="5">
        <v>56</v>
      </c>
      <c r="AF74" s="9">
        <f t="shared" si="1"/>
        <v>1</v>
      </c>
      <c r="AG74" s="5">
        <v>38</v>
      </c>
      <c r="AH74" s="9" cm="1">
        <f t="array" ref="AH74">IF(OR(AI74:AN74=""),"BLANK",IF(AND(AI74:AN74&lt;99),1,IF(AND(AI74:AN74="NA"),3,2)))</f>
        <v>2</v>
      </c>
      <c r="AI74" s="4">
        <v>47</v>
      </c>
      <c r="AJ74" s="4" t="s">
        <v>7</v>
      </c>
      <c r="AK74" s="21">
        <v>94.84</v>
      </c>
      <c r="AL74" s="21">
        <v>102.03</v>
      </c>
      <c r="AM74" s="21">
        <v>55.6</v>
      </c>
      <c r="AN74" s="22">
        <v>98.53</v>
      </c>
    </row>
    <row r="75" spans="1:40" x14ac:dyDescent="0.2">
      <c r="A75" s="15">
        <v>567</v>
      </c>
      <c r="B75" s="4" t="s">
        <v>63</v>
      </c>
      <c r="C75" s="30" t="s">
        <v>23</v>
      </c>
      <c r="D75" s="30">
        <v>2</v>
      </c>
      <c r="E75" s="30">
        <v>0</v>
      </c>
      <c r="F75" s="30" t="s">
        <v>7</v>
      </c>
      <c r="G75" s="30">
        <v>30</v>
      </c>
      <c r="H75" s="33">
        <v>3.9644079397672827</v>
      </c>
      <c r="I75" s="33" t="s">
        <v>7</v>
      </c>
      <c r="J75" s="33" t="s">
        <v>7</v>
      </c>
      <c r="K75" s="33">
        <v>3.9671457905544147</v>
      </c>
      <c r="L75" s="33" t="s">
        <v>7</v>
      </c>
      <c r="M75" s="33" t="s">
        <v>7</v>
      </c>
      <c r="N75" s="33">
        <v>3.9561943874058865</v>
      </c>
      <c r="O75" s="33" t="s">
        <v>7</v>
      </c>
      <c r="P75" s="33" t="s">
        <v>7</v>
      </c>
      <c r="Q75" s="33" t="s">
        <v>7</v>
      </c>
      <c r="R75" s="33" t="s">
        <v>7</v>
      </c>
      <c r="S75" s="33" t="s">
        <v>7</v>
      </c>
      <c r="T75" s="12">
        <v>6</v>
      </c>
      <c r="U75" s="12">
        <v>18</v>
      </c>
      <c r="V75" s="4" t="s">
        <v>1</v>
      </c>
      <c r="W75" s="4">
        <v>1</v>
      </c>
      <c r="X75" s="4">
        <v>2</v>
      </c>
      <c r="Y75" s="4">
        <v>1</v>
      </c>
      <c r="Z75" s="56">
        <v>3</v>
      </c>
      <c r="AA75" s="9" cm="1">
        <f t="array" ref="AA75">IF(OR(AB75:AE75=""),"BLANK",IF(AND(AB75:AE75&lt;999),1,IF(AND(AB75:AE75="NA"),3,2)))</f>
        <v>1</v>
      </c>
      <c r="AB75" s="4">
        <v>47</v>
      </c>
      <c r="AC75" s="4">
        <v>35</v>
      </c>
      <c r="AD75" s="4">
        <v>26</v>
      </c>
      <c r="AE75" s="5">
        <v>108</v>
      </c>
      <c r="AF75" s="9">
        <f t="shared" si="1"/>
        <v>1</v>
      </c>
      <c r="AG75" s="5">
        <v>53</v>
      </c>
      <c r="AH75" s="9" cm="1">
        <f t="array" ref="AH75">IF(OR(AI75:AN75=""),"BLANK",IF(AND(AI75:AN75&lt;99),1,IF(AND(AI75:AN75="NA"),3,2)))</f>
        <v>2</v>
      </c>
      <c r="AI75" s="4">
        <v>53</v>
      </c>
      <c r="AJ75" s="4" t="s">
        <v>7</v>
      </c>
      <c r="AK75" s="21">
        <v>101.1</v>
      </c>
      <c r="AL75" s="21">
        <v>87.81</v>
      </c>
      <c r="AM75" s="21">
        <v>20.9</v>
      </c>
      <c r="AN75" s="22" t="s">
        <v>7</v>
      </c>
    </row>
    <row r="76" spans="1:40" x14ac:dyDescent="0.2">
      <c r="A76" s="15">
        <v>575</v>
      </c>
      <c r="B76" s="4" t="s">
        <v>62</v>
      </c>
      <c r="C76" s="30" t="s">
        <v>23</v>
      </c>
      <c r="D76" s="30">
        <v>5</v>
      </c>
      <c r="E76" s="30">
        <v>0</v>
      </c>
      <c r="F76" s="30" t="s">
        <v>7</v>
      </c>
      <c r="G76" s="30">
        <v>29</v>
      </c>
      <c r="H76" s="33">
        <v>3.8576317590691307</v>
      </c>
      <c r="I76" s="33">
        <v>5.2703627652292946</v>
      </c>
      <c r="J76" s="33">
        <v>9.1279945242984262</v>
      </c>
      <c r="K76" s="33">
        <v>3.8576317590691307</v>
      </c>
      <c r="L76" s="33">
        <v>5.2703627652292946</v>
      </c>
      <c r="M76" s="33">
        <v>9.1279945242984262</v>
      </c>
      <c r="N76" s="33">
        <v>3.8576317590691307</v>
      </c>
      <c r="O76" s="33">
        <v>5.0239561943874058</v>
      </c>
      <c r="P76" s="33">
        <v>8.8815879534565365</v>
      </c>
      <c r="Q76" s="33" t="s">
        <v>7</v>
      </c>
      <c r="R76" s="33" t="s">
        <v>7</v>
      </c>
      <c r="S76" s="33" t="s">
        <v>7</v>
      </c>
      <c r="T76" s="12">
        <v>5</v>
      </c>
      <c r="U76" s="12">
        <v>17</v>
      </c>
      <c r="V76" s="4" t="s">
        <v>1</v>
      </c>
      <c r="W76" s="4">
        <v>1</v>
      </c>
      <c r="X76" s="4">
        <v>2</v>
      </c>
      <c r="Y76" s="4">
        <v>1</v>
      </c>
      <c r="Z76" s="56">
        <v>3</v>
      </c>
      <c r="AA76" s="9" cm="1">
        <f t="array" ref="AA76">IF(OR(AB76:AE76=""),"BLANK",IF(AND(AB76:AE76&lt;999),1,IF(AND(AB76:AE76="NA"),3,2)))</f>
        <v>1</v>
      </c>
      <c r="AB76" s="4">
        <v>24</v>
      </c>
      <c r="AC76" s="4">
        <v>9</v>
      </c>
      <c r="AD76" s="4">
        <v>8</v>
      </c>
      <c r="AE76" s="5">
        <v>41</v>
      </c>
      <c r="AF76" s="9">
        <f t="shared" si="1"/>
        <v>1</v>
      </c>
      <c r="AG76" s="5">
        <v>65</v>
      </c>
      <c r="AH76" s="9" cm="1">
        <f t="array" ref="AH76">IF(OR(AI76:AN76=""),"BLANK",IF(AND(AI76:AN76&lt;99),1,IF(AND(AI76:AN76="NA"),3,2)))</f>
        <v>2</v>
      </c>
      <c r="AI76" s="4">
        <v>53</v>
      </c>
      <c r="AJ76" s="4" t="s">
        <v>7</v>
      </c>
      <c r="AK76" s="21">
        <v>100.99</v>
      </c>
      <c r="AL76" s="21">
        <v>101.08</v>
      </c>
      <c r="AM76" s="21">
        <v>52.8</v>
      </c>
      <c r="AN76" s="22">
        <v>95.48</v>
      </c>
    </row>
    <row r="77" spans="1:40" x14ac:dyDescent="0.2">
      <c r="A77" s="15">
        <v>587</v>
      </c>
      <c r="B77" s="4" t="s">
        <v>50</v>
      </c>
      <c r="C77" s="30" t="s">
        <v>23</v>
      </c>
      <c r="D77" s="30">
        <v>2</v>
      </c>
      <c r="E77" s="30">
        <v>0</v>
      </c>
      <c r="F77" s="30" t="s">
        <v>7</v>
      </c>
      <c r="G77" s="30">
        <v>29</v>
      </c>
      <c r="H77" s="33">
        <v>4.0246406570841886</v>
      </c>
      <c r="I77" s="33" t="s">
        <v>7</v>
      </c>
      <c r="J77" s="33" t="s">
        <v>7</v>
      </c>
      <c r="K77" s="33" t="s">
        <v>7</v>
      </c>
      <c r="L77" s="33" t="s">
        <v>7</v>
      </c>
      <c r="M77" s="33" t="s">
        <v>7</v>
      </c>
      <c r="N77" s="33">
        <v>4.1122518822724166</v>
      </c>
      <c r="O77" s="33" t="s">
        <v>7</v>
      </c>
      <c r="P77" s="33" t="s">
        <v>7</v>
      </c>
      <c r="Q77" s="33">
        <v>4.1177275838466807</v>
      </c>
      <c r="R77" s="33" t="s">
        <v>7</v>
      </c>
      <c r="S77" s="33" t="s">
        <v>7</v>
      </c>
      <c r="T77" s="12">
        <v>6</v>
      </c>
      <c r="U77" s="12">
        <v>18</v>
      </c>
      <c r="V77" s="4" t="s">
        <v>1</v>
      </c>
      <c r="W77" s="4">
        <v>1</v>
      </c>
      <c r="X77" s="4">
        <v>2</v>
      </c>
      <c r="Y77" s="4">
        <v>1</v>
      </c>
      <c r="Z77" s="56">
        <v>3</v>
      </c>
      <c r="AA77" s="9" cm="1">
        <f t="array" ref="AA77">IF(OR(AB77:AE77=""),"BLANK",IF(AND(AB77:AE77&lt;999),1,IF(AND(AB77:AE77="NA"),3,2)))</f>
        <v>1</v>
      </c>
      <c r="AB77" s="4">
        <v>32</v>
      </c>
      <c r="AC77" s="4">
        <v>16</v>
      </c>
      <c r="AD77" s="4">
        <v>13</v>
      </c>
      <c r="AE77" s="5">
        <v>61</v>
      </c>
      <c r="AF77" s="9">
        <f t="shared" si="1"/>
        <v>1</v>
      </c>
      <c r="AG77" s="5">
        <v>56</v>
      </c>
      <c r="AH77" s="9" cm="1">
        <f t="array" ref="AH77">IF(OR(AI77:AN77=""),"BLANK",IF(AND(AI77:AN77&lt;99),1,IF(AND(AI77:AN77="NA"),3,2)))</f>
        <v>2</v>
      </c>
      <c r="AI77" s="4">
        <v>62</v>
      </c>
      <c r="AJ77" s="4" t="s">
        <v>7</v>
      </c>
      <c r="AK77" s="21">
        <v>112.4</v>
      </c>
      <c r="AL77" s="21">
        <v>118.88</v>
      </c>
      <c r="AM77" s="21">
        <v>89.6</v>
      </c>
      <c r="AN77" s="22" t="s">
        <v>7</v>
      </c>
    </row>
    <row r="78" spans="1:40" x14ac:dyDescent="0.2">
      <c r="A78" s="15">
        <v>591</v>
      </c>
      <c r="B78" s="4" t="s">
        <v>46</v>
      </c>
      <c r="C78" s="30" t="s">
        <v>23</v>
      </c>
      <c r="D78" s="30">
        <v>5</v>
      </c>
      <c r="E78" s="30">
        <v>0</v>
      </c>
      <c r="F78" s="30" t="s">
        <v>7</v>
      </c>
      <c r="G78" s="30">
        <v>29</v>
      </c>
      <c r="H78" s="33">
        <v>4.5913757700205338</v>
      </c>
      <c r="I78" s="33">
        <v>5.2347707049965777</v>
      </c>
      <c r="J78" s="33">
        <v>9.8261464750171115</v>
      </c>
      <c r="K78" s="33" t="s">
        <v>7</v>
      </c>
      <c r="L78" s="33" t="s">
        <v>7</v>
      </c>
      <c r="M78" s="33">
        <v>9.9520876112251884</v>
      </c>
      <c r="N78" s="33">
        <v>4.3832991101984939</v>
      </c>
      <c r="O78" s="33">
        <v>5.1718001368925393</v>
      </c>
      <c r="P78" s="33">
        <v>9.5550992470910341</v>
      </c>
      <c r="Q78" s="33">
        <v>3.7919233401779602</v>
      </c>
      <c r="R78" s="33">
        <v>5.0814510609171801</v>
      </c>
      <c r="S78" s="33">
        <v>8.8733744010951412</v>
      </c>
      <c r="T78" s="12" t="s">
        <v>7</v>
      </c>
      <c r="U78" s="12" t="s">
        <v>7</v>
      </c>
      <c r="V78" s="4" t="s">
        <v>1</v>
      </c>
      <c r="W78" s="4">
        <v>1</v>
      </c>
      <c r="X78" s="4">
        <v>2</v>
      </c>
      <c r="Y78" s="4">
        <v>1</v>
      </c>
      <c r="Z78" s="56">
        <v>3</v>
      </c>
      <c r="AA78" s="9" cm="1">
        <f t="array" ref="AA78">IF(OR(AB78:AE78=""),"BLANK",IF(AND(AB78:AE78&lt;999),1,IF(AND(AB78:AE78="NA"),3,2)))</f>
        <v>1</v>
      </c>
      <c r="AB78" s="4">
        <v>40</v>
      </c>
      <c r="AC78" s="4">
        <v>27</v>
      </c>
      <c r="AD78" s="4">
        <v>19</v>
      </c>
      <c r="AE78" s="5">
        <v>86</v>
      </c>
      <c r="AF78" s="9">
        <f t="shared" si="1"/>
        <v>1</v>
      </c>
      <c r="AG78" s="5">
        <v>71</v>
      </c>
      <c r="AH78" s="9" cm="1">
        <f t="array" ref="AH78">IF(OR(AI78:AN78=""),"BLANK",IF(AND(AI78:AN78&lt;99),1,IF(AND(AI78:AN78="NA"),3,2)))</f>
        <v>2</v>
      </c>
      <c r="AI78" s="4">
        <v>63</v>
      </c>
      <c r="AJ78" s="4" t="s">
        <v>7</v>
      </c>
      <c r="AK78" s="21">
        <v>112.96</v>
      </c>
      <c r="AL78" s="21">
        <v>119.74</v>
      </c>
      <c r="AM78" s="21">
        <v>90.7</v>
      </c>
      <c r="AN78" s="22" t="s">
        <v>7</v>
      </c>
    </row>
    <row r="79" spans="1:40" x14ac:dyDescent="0.2">
      <c r="A79" s="15">
        <v>595</v>
      </c>
      <c r="B79" s="4" t="s">
        <v>59</v>
      </c>
      <c r="C79" s="30" t="s">
        <v>23</v>
      </c>
      <c r="D79" s="30">
        <v>5</v>
      </c>
      <c r="E79" s="30">
        <v>0</v>
      </c>
      <c r="F79" s="30" t="s">
        <v>7</v>
      </c>
      <c r="G79" s="30">
        <v>30</v>
      </c>
      <c r="H79" s="33">
        <v>4.0602327173169064</v>
      </c>
      <c r="I79" s="33">
        <v>5.5222450376454484</v>
      </c>
      <c r="J79" s="33">
        <v>9.5824777549623548</v>
      </c>
      <c r="K79" s="33">
        <v>4.0602327173169064</v>
      </c>
      <c r="L79" s="33">
        <v>5.5222450376454484</v>
      </c>
      <c r="M79" s="33">
        <v>9.5824777549623548</v>
      </c>
      <c r="N79" s="33">
        <v>4.0246406570841886</v>
      </c>
      <c r="O79" s="33">
        <v>5.1279945242984262</v>
      </c>
      <c r="P79" s="33">
        <v>9.1526351813826139</v>
      </c>
      <c r="Q79" s="33" t="s">
        <v>7</v>
      </c>
      <c r="R79" s="33" t="s">
        <v>7</v>
      </c>
      <c r="S79" s="33" t="s">
        <v>7</v>
      </c>
      <c r="T79" s="12">
        <v>6</v>
      </c>
      <c r="U79" s="12">
        <v>18</v>
      </c>
      <c r="V79" s="4" t="s">
        <v>1</v>
      </c>
      <c r="W79" s="4">
        <v>1</v>
      </c>
      <c r="X79" s="4">
        <v>2</v>
      </c>
      <c r="Y79" s="4">
        <v>1</v>
      </c>
      <c r="Z79" s="56">
        <v>3</v>
      </c>
      <c r="AA79" s="9" cm="1">
        <f t="array" ref="AA79">IF(OR(AB79:AE79=""),"BLANK",IF(AND(AB79:AE79&lt;999),1,IF(AND(AB79:AE79="NA"),3,2)))</f>
        <v>1</v>
      </c>
      <c r="AB79" s="4">
        <v>32</v>
      </c>
      <c r="AC79" s="4">
        <v>21</v>
      </c>
      <c r="AD79" s="4">
        <v>15</v>
      </c>
      <c r="AE79" s="5">
        <v>68</v>
      </c>
      <c r="AF79" s="9">
        <f t="shared" si="1"/>
        <v>1</v>
      </c>
      <c r="AG79" s="5">
        <v>56</v>
      </c>
      <c r="AH79" s="9" cm="1">
        <f t="array" ref="AH79">IF(OR(AI79:AN79=""),"BLANK",IF(AND(AI79:AN79&lt;99),1,IF(AND(AI79:AN79="NA"),3,2)))</f>
        <v>2</v>
      </c>
      <c r="AI79" s="4">
        <v>49</v>
      </c>
      <c r="AJ79" s="4" t="s">
        <v>7</v>
      </c>
      <c r="AK79" s="21">
        <v>97.05</v>
      </c>
      <c r="AL79" s="21">
        <v>97.78</v>
      </c>
      <c r="AM79" s="21">
        <v>44</v>
      </c>
      <c r="AN79" s="22" t="s">
        <v>7</v>
      </c>
    </row>
    <row r="80" spans="1:40" x14ac:dyDescent="0.2">
      <c r="A80" s="15">
        <v>604</v>
      </c>
      <c r="B80" s="4" t="s">
        <v>52</v>
      </c>
      <c r="C80" s="30" t="s">
        <v>24</v>
      </c>
      <c r="D80" s="30">
        <v>5</v>
      </c>
      <c r="E80" s="30">
        <v>0</v>
      </c>
      <c r="F80" s="30" t="s">
        <v>7</v>
      </c>
      <c r="G80" s="30">
        <v>29</v>
      </c>
      <c r="H80" s="33">
        <v>4.0109514031485283</v>
      </c>
      <c r="I80" s="33">
        <v>5.3552361396303905</v>
      </c>
      <c r="J80" s="33">
        <v>9.3661875427789187</v>
      </c>
      <c r="K80" s="33">
        <v>4.0109514031485283</v>
      </c>
      <c r="L80" s="33">
        <v>5.3552361396303905</v>
      </c>
      <c r="M80" s="33">
        <v>9.3661875427789187</v>
      </c>
      <c r="N80" s="33">
        <v>4.0273785078713207</v>
      </c>
      <c r="O80" s="33">
        <v>5.248459958932238</v>
      </c>
      <c r="P80" s="33">
        <v>9.2758384668035596</v>
      </c>
      <c r="Q80" s="33">
        <v>3.3483915126625599</v>
      </c>
      <c r="R80" s="33">
        <v>6.020533880903491</v>
      </c>
      <c r="S80" s="33">
        <v>9.3689253935660499</v>
      </c>
      <c r="T80" s="12">
        <v>4</v>
      </c>
      <c r="U80" s="12">
        <v>16</v>
      </c>
      <c r="V80" s="4" t="s">
        <v>1</v>
      </c>
      <c r="W80" s="4">
        <v>1</v>
      </c>
      <c r="X80" s="4">
        <v>2</v>
      </c>
      <c r="Y80" s="4">
        <v>1</v>
      </c>
      <c r="Z80" s="56">
        <v>3</v>
      </c>
      <c r="AA80" s="9" cm="1">
        <f t="array" ref="AA80">IF(OR(AB80:AE80=""),"BLANK",IF(AND(AB80:AE80&lt;999),1,IF(AND(AB80:AE80="NA"),3,2)))</f>
        <v>1</v>
      </c>
      <c r="AB80" s="4">
        <v>26</v>
      </c>
      <c r="AC80" s="4">
        <v>14</v>
      </c>
      <c r="AD80" s="4">
        <v>10</v>
      </c>
      <c r="AE80" s="5">
        <v>50</v>
      </c>
      <c r="AF80" s="9">
        <f t="shared" si="1"/>
        <v>1</v>
      </c>
      <c r="AG80" s="5">
        <v>42</v>
      </c>
      <c r="AH80" s="9" cm="1">
        <f t="array" ref="AH80">IF(OR(AI80:AN80=""),"BLANK",IF(AND(AI80:AN80&lt;99),1,IF(AND(AI80:AN80="NA"),3,2)))</f>
        <v>2</v>
      </c>
      <c r="AI80" s="4">
        <v>50</v>
      </c>
      <c r="AJ80" s="4" t="s">
        <v>7</v>
      </c>
      <c r="AK80" s="21">
        <v>97.71</v>
      </c>
      <c r="AL80" s="21">
        <v>106.93</v>
      </c>
      <c r="AM80" s="21">
        <v>67.7</v>
      </c>
      <c r="AN80" s="22">
        <v>103.24</v>
      </c>
    </row>
    <row r="81" spans="1:40" x14ac:dyDescent="0.2">
      <c r="A81" s="15">
        <v>606</v>
      </c>
      <c r="B81" s="4" t="s">
        <v>66</v>
      </c>
      <c r="C81" s="30" t="s">
        <v>24</v>
      </c>
      <c r="D81" s="30">
        <v>5</v>
      </c>
      <c r="E81" s="30">
        <v>0</v>
      </c>
      <c r="F81" s="30" t="s">
        <v>7</v>
      </c>
      <c r="G81" s="30">
        <v>29</v>
      </c>
      <c r="H81" s="33">
        <v>4.0930869267624912</v>
      </c>
      <c r="I81" s="33" t="s">
        <v>7</v>
      </c>
      <c r="J81" s="33" t="s">
        <v>7</v>
      </c>
      <c r="K81" s="33">
        <v>4.0930869267624912</v>
      </c>
      <c r="L81" s="33" t="s">
        <v>7</v>
      </c>
      <c r="M81" s="33" t="s">
        <v>7</v>
      </c>
      <c r="N81" s="33">
        <v>4.1067761806981515</v>
      </c>
      <c r="O81" s="33" t="s">
        <v>7</v>
      </c>
      <c r="P81" s="33" t="s">
        <v>7</v>
      </c>
      <c r="Q81" s="33" t="s">
        <v>7</v>
      </c>
      <c r="R81" s="33" t="s">
        <v>7</v>
      </c>
      <c r="S81" s="33" t="s">
        <v>7</v>
      </c>
      <c r="T81" s="12">
        <v>7</v>
      </c>
      <c r="U81" s="12">
        <v>21</v>
      </c>
      <c r="V81" s="4" t="s">
        <v>1</v>
      </c>
      <c r="W81" s="4">
        <v>1</v>
      </c>
      <c r="X81" s="4">
        <v>2</v>
      </c>
      <c r="Y81" s="4">
        <v>1</v>
      </c>
      <c r="Z81" s="56">
        <v>3</v>
      </c>
      <c r="AA81" s="9" cm="1">
        <f t="array" ref="AA81">IF(OR(AB81:AE81=""),"BLANK",IF(AND(AB81:AE81&lt;999),1,IF(AND(AB81:AE81="NA"),3,2)))</f>
        <v>1</v>
      </c>
      <c r="AB81" s="4">
        <v>26</v>
      </c>
      <c r="AC81" s="4">
        <v>17</v>
      </c>
      <c r="AD81" s="4">
        <v>9</v>
      </c>
      <c r="AE81" s="5">
        <v>52</v>
      </c>
      <c r="AF81" s="9">
        <f t="shared" si="1"/>
        <v>1</v>
      </c>
      <c r="AG81" s="5">
        <v>41</v>
      </c>
      <c r="AH81" s="9" cm="1">
        <f t="array" ref="AH81">IF(OR(AI81:AN81=""),"BLANK",IF(AND(AI81:AN81&lt;99),1,IF(AND(AI81:AN81="NA"),3,2)))</f>
        <v>2</v>
      </c>
      <c r="AI81" s="4">
        <v>44</v>
      </c>
      <c r="AJ81" s="4" t="s">
        <v>7</v>
      </c>
      <c r="AK81" s="21">
        <v>91.94</v>
      </c>
      <c r="AL81" s="21">
        <v>97.6</v>
      </c>
      <c r="AM81" s="21">
        <v>43.6</v>
      </c>
      <c r="AN81" s="22" t="s">
        <v>7</v>
      </c>
    </row>
    <row r="82" spans="1:40" x14ac:dyDescent="0.2">
      <c r="A82" s="15">
        <v>611</v>
      </c>
      <c r="B82" s="4" t="s">
        <v>62</v>
      </c>
      <c r="C82" s="30" t="s">
        <v>23</v>
      </c>
      <c r="D82" s="30">
        <v>5</v>
      </c>
      <c r="E82" s="30">
        <v>0</v>
      </c>
      <c r="F82" s="30" t="s">
        <v>7</v>
      </c>
      <c r="G82" s="30">
        <v>30</v>
      </c>
      <c r="H82" s="33">
        <v>4.0191649555099245</v>
      </c>
      <c r="I82" s="33">
        <v>5.7494866529774127</v>
      </c>
      <c r="J82" s="33">
        <v>9.7686516084873372</v>
      </c>
      <c r="K82" s="33">
        <v>4.0246406570841886</v>
      </c>
      <c r="L82" s="33">
        <v>5.7412731006160165</v>
      </c>
      <c r="M82" s="33">
        <v>9.765913757700206</v>
      </c>
      <c r="N82" s="33">
        <v>4.0109514031485283</v>
      </c>
      <c r="O82" s="33">
        <v>5.3634496919917867</v>
      </c>
      <c r="P82" s="33">
        <v>9.3744010951403141</v>
      </c>
      <c r="Q82" s="33" t="s">
        <v>7</v>
      </c>
      <c r="R82" s="33" t="s">
        <v>7</v>
      </c>
      <c r="S82" s="33" t="s">
        <v>7</v>
      </c>
      <c r="T82" s="12">
        <v>5</v>
      </c>
      <c r="U82" s="12">
        <v>16.5</v>
      </c>
      <c r="V82" s="4" t="s">
        <v>1</v>
      </c>
      <c r="W82" s="4">
        <v>1</v>
      </c>
      <c r="X82" s="4">
        <v>2</v>
      </c>
      <c r="Y82" s="4">
        <v>1</v>
      </c>
      <c r="Z82" s="56">
        <v>3</v>
      </c>
      <c r="AA82" s="9" cm="1">
        <f t="array" ref="AA82">IF(OR(AB82:AE82=""),"BLANK",IF(AND(AB82:AE82&lt;999),1,IF(AND(AB82:AE82="NA"),3,2)))</f>
        <v>1</v>
      </c>
      <c r="AB82" s="4">
        <v>32</v>
      </c>
      <c r="AC82" s="4">
        <v>17</v>
      </c>
      <c r="AD82" s="4">
        <v>14</v>
      </c>
      <c r="AE82" s="5">
        <v>63</v>
      </c>
      <c r="AF82" s="9">
        <f t="shared" si="1"/>
        <v>1</v>
      </c>
      <c r="AG82" s="5">
        <v>70</v>
      </c>
      <c r="AH82" s="9" cm="1">
        <f t="array" ref="AH82">IF(OR(AI82:AN82=""),"BLANK",IF(AND(AI82:AN82&lt;99),1,IF(AND(AI82:AN82="NA"),3,2)))</f>
        <v>2</v>
      </c>
      <c r="AI82" s="4">
        <v>58</v>
      </c>
      <c r="AJ82" s="4" t="s">
        <v>7</v>
      </c>
      <c r="AK82" s="21">
        <v>107.77</v>
      </c>
      <c r="AL82" s="21">
        <v>110.95</v>
      </c>
      <c r="AM82" s="21">
        <v>76.7</v>
      </c>
      <c r="AN82" s="22" t="s">
        <v>7</v>
      </c>
    </row>
    <row r="83" spans="1:40" x14ac:dyDescent="0.2">
      <c r="A83" s="15">
        <v>612</v>
      </c>
      <c r="B83" s="4" t="s">
        <v>56</v>
      </c>
      <c r="C83" s="30" t="s">
        <v>23</v>
      </c>
      <c r="D83" s="30">
        <v>5</v>
      </c>
      <c r="E83" s="30">
        <v>0</v>
      </c>
      <c r="F83" s="30" t="s">
        <v>7</v>
      </c>
      <c r="G83" s="30">
        <v>29</v>
      </c>
      <c r="H83" s="33">
        <v>4.0383299110198498</v>
      </c>
      <c r="I83" s="33" t="s">
        <v>7</v>
      </c>
      <c r="J83" s="33" t="s">
        <v>7</v>
      </c>
      <c r="K83" s="33">
        <v>4.043805612594114</v>
      </c>
      <c r="L83" s="33" t="s">
        <v>7</v>
      </c>
      <c r="M83" s="33" t="s">
        <v>7</v>
      </c>
      <c r="N83" s="33">
        <v>3.9260780287474333</v>
      </c>
      <c r="O83" s="33" t="s">
        <v>7</v>
      </c>
      <c r="P83" s="33" t="s">
        <v>7</v>
      </c>
      <c r="Q83" s="33" t="s">
        <v>7</v>
      </c>
      <c r="R83" s="33" t="s">
        <v>7</v>
      </c>
      <c r="S83" s="33" t="s">
        <v>7</v>
      </c>
      <c r="T83" s="12">
        <v>3</v>
      </c>
      <c r="U83" s="12">
        <v>15</v>
      </c>
      <c r="V83" s="4" t="s">
        <v>1</v>
      </c>
      <c r="W83" s="4">
        <v>1</v>
      </c>
      <c r="X83" s="4">
        <v>2</v>
      </c>
      <c r="Y83" s="4">
        <v>1</v>
      </c>
      <c r="Z83" s="56">
        <v>3</v>
      </c>
      <c r="AA83" s="9" cm="1">
        <f t="array" ref="AA83">IF(OR(AB83:AE83=""),"BLANK",IF(AND(AB83:AE83&lt;999),1,IF(AND(AB83:AE83="NA"),3,2)))</f>
        <v>1</v>
      </c>
      <c r="AB83" s="4">
        <v>44</v>
      </c>
      <c r="AC83" s="4">
        <v>30</v>
      </c>
      <c r="AD83" s="4">
        <v>16</v>
      </c>
      <c r="AE83" s="5">
        <v>90</v>
      </c>
      <c r="AF83" s="9">
        <f t="shared" si="1"/>
        <v>1</v>
      </c>
      <c r="AG83" s="5">
        <v>80</v>
      </c>
      <c r="AH83" s="9" cm="1">
        <f t="array" ref="AH83">IF(OR(AI83:AN83=""),"BLANK",IF(AND(AI83:AN83&lt;99),1,IF(AND(AI83:AN83="NA"),3,2)))</f>
        <v>2</v>
      </c>
      <c r="AI83" s="4">
        <v>50</v>
      </c>
      <c r="AJ83" s="4" t="s">
        <v>7</v>
      </c>
      <c r="AK83" s="21">
        <v>98.51</v>
      </c>
      <c r="AL83" s="21">
        <v>77.97</v>
      </c>
      <c r="AM83" s="21">
        <v>7.1</v>
      </c>
      <c r="AN83" s="22" t="s">
        <v>7</v>
      </c>
    </row>
    <row r="84" spans="1:40" x14ac:dyDescent="0.2">
      <c r="A84" s="15">
        <v>634</v>
      </c>
      <c r="B84" s="4" t="s">
        <v>68</v>
      </c>
      <c r="C84" s="30" t="s">
        <v>24</v>
      </c>
      <c r="D84" s="30">
        <v>1</v>
      </c>
      <c r="E84" s="30">
        <v>0</v>
      </c>
      <c r="F84" s="30" t="s">
        <v>7</v>
      </c>
      <c r="G84" s="30">
        <v>30</v>
      </c>
      <c r="H84" s="33">
        <v>4.2956878850102669</v>
      </c>
      <c r="I84" s="33">
        <v>5.1362080766598224</v>
      </c>
      <c r="J84" s="33">
        <v>9.4318959616700884</v>
      </c>
      <c r="K84" s="33">
        <v>4.3750855578370977</v>
      </c>
      <c r="L84" s="33">
        <v>5.2840520191649558</v>
      </c>
      <c r="M84" s="33">
        <v>9.6591375770020527</v>
      </c>
      <c r="N84" s="33">
        <v>4.3723477070499657</v>
      </c>
      <c r="O84" s="33">
        <v>4.6735112936344967</v>
      </c>
      <c r="P84" s="33">
        <v>9.0458590006844624</v>
      </c>
      <c r="Q84" s="33" t="s">
        <v>7</v>
      </c>
      <c r="R84" s="33" t="s">
        <v>7</v>
      </c>
      <c r="S84" s="33" t="s">
        <v>7</v>
      </c>
      <c r="T84" s="12">
        <v>3</v>
      </c>
      <c r="U84" s="12">
        <v>15</v>
      </c>
      <c r="V84" s="4" t="s">
        <v>1</v>
      </c>
      <c r="W84" s="4">
        <v>1</v>
      </c>
      <c r="X84" s="4">
        <v>2</v>
      </c>
      <c r="Y84" s="4">
        <v>1</v>
      </c>
      <c r="Z84" s="56">
        <v>3</v>
      </c>
      <c r="AA84" s="9" cm="1">
        <f t="array" ref="AA84">IF(OR(AB84:AE84=""),"BLANK",IF(AND(AB84:AE84&lt;999),1,IF(AND(AB84:AE84="NA"),3,2)))</f>
        <v>1</v>
      </c>
      <c r="AB84" s="4">
        <v>32</v>
      </c>
      <c r="AC84" s="4">
        <v>24</v>
      </c>
      <c r="AD84" s="4">
        <v>12</v>
      </c>
      <c r="AE84" s="5">
        <v>68</v>
      </c>
      <c r="AF84" s="9">
        <f t="shared" si="1"/>
        <v>1</v>
      </c>
      <c r="AG84" s="5">
        <v>49</v>
      </c>
      <c r="AH84" s="9" cm="1">
        <f t="array" ref="AH84">IF(OR(AI84:AN84=""),"BLANK",IF(AND(AI84:AN84&lt;99),1,IF(AND(AI84:AN84="NA"),3,2)))</f>
        <v>2</v>
      </c>
      <c r="AI84" s="4">
        <v>58</v>
      </c>
      <c r="AJ84" s="4" t="s">
        <v>7</v>
      </c>
      <c r="AK84" s="21">
        <v>108.39</v>
      </c>
      <c r="AL84" s="21">
        <v>91.81</v>
      </c>
      <c r="AM84" s="21">
        <v>29.1</v>
      </c>
      <c r="AN84" s="22">
        <v>87.43</v>
      </c>
    </row>
    <row r="85" spans="1:40" x14ac:dyDescent="0.2">
      <c r="A85" s="15">
        <v>639</v>
      </c>
      <c r="B85" s="4" t="s">
        <v>59</v>
      </c>
      <c r="C85" s="30" t="s">
        <v>23</v>
      </c>
      <c r="D85" s="30">
        <v>5</v>
      </c>
      <c r="E85" s="30">
        <v>0</v>
      </c>
      <c r="F85" s="30" t="s">
        <v>7</v>
      </c>
      <c r="G85" s="30">
        <v>30</v>
      </c>
      <c r="H85" s="33">
        <v>3.805612594113621</v>
      </c>
      <c r="I85" s="33" t="s">
        <v>7</v>
      </c>
      <c r="J85" s="33" t="s">
        <v>7</v>
      </c>
      <c r="K85" s="33">
        <v>3.9288158795345653</v>
      </c>
      <c r="L85" s="33" t="s">
        <v>7</v>
      </c>
      <c r="M85" s="33" t="s">
        <v>7</v>
      </c>
      <c r="N85" s="33">
        <v>3.8138261464750172</v>
      </c>
      <c r="O85" s="33" t="s">
        <v>7</v>
      </c>
      <c r="P85" s="33" t="s">
        <v>7</v>
      </c>
      <c r="Q85" s="33" t="s">
        <v>7</v>
      </c>
      <c r="R85" s="33" t="s">
        <v>7</v>
      </c>
      <c r="S85" s="33" t="s">
        <v>7</v>
      </c>
      <c r="T85" s="12" t="s">
        <v>7</v>
      </c>
      <c r="U85" s="12" t="s">
        <v>7</v>
      </c>
      <c r="V85" s="4" t="s">
        <v>1</v>
      </c>
      <c r="W85" s="4">
        <v>1</v>
      </c>
      <c r="X85" s="4">
        <v>2</v>
      </c>
      <c r="Y85" s="4">
        <v>1</v>
      </c>
      <c r="Z85" s="56">
        <v>3</v>
      </c>
      <c r="AA85" s="9" cm="1">
        <f t="array" ref="AA85">IF(OR(AB85:AE85=""),"BLANK",IF(AND(AB85:AE85&lt;999),1,IF(AND(AB85:AE85="NA"),3,2)))</f>
        <v>1</v>
      </c>
      <c r="AB85" s="4">
        <v>30</v>
      </c>
      <c r="AC85" s="4">
        <v>15</v>
      </c>
      <c r="AD85" s="4">
        <v>14</v>
      </c>
      <c r="AE85" s="5">
        <v>59</v>
      </c>
      <c r="AF85" s="9">
        <f t="shared" si="1"/>
        <v>1</v>
      </c>
      <c r="AG85" s="5">
        <v>38</v>
      </c>
      <c r="AH85" s="9" cm="1">
        <f t="array" ref="AH85">IF(OR(AI85:AN85=""),"BLANK",IF(AND(AI85:AN85&lt;99),1,IF(AND(AI85:AN85="NA"),3,2)))</f>
        <v>2</v>
      </c>
      <c r="AI85" s="4">
        <v>38</v>
      </c>
      <c r="AJ85" s="4" t="s">
        <v>7</v>
      </c>
      <c r="AK85" s="21">
        <v>85.6</v>
      </c>
      <c r="AL85" s="21">
        <v>79.61</v>
      </c>
      <c r="AM85" s="21">
        <v>8.6999999999999993</v>
      </c>
      <c r="AN85" s="22" t="s">
        <v>7</v>
      </c>
    </row>
    <row r="86" spans="1:40" x14ac:dyDescent="0.2">
      <c r="A86" s="15">
        <v>671</v>
      </c>
      <c r="B86" s="4" t="s">
        <v>48</v>
      </c>
      <c r="C86" s="30" t="s">
        <v>23</v>
      </c>
      <c r="D86" s="30">
        <v>5</v>
      </c>
      <c r="E86" s="30">
        <v>0</v>
      </c>
      <c r="F86" s="30" t="s">
        <v>7</v>
      </c>
      <c r="G86" s="30">
        <v>30</v>
      </c>
      <c r="H86" s="33">
        <v>4.0821355236139629</v>
      </c>
      <c r="I86" s="33" t="s">
        <v>7</v>
      </c>
      <c r="J86" s="33" t="s">
        <v>7</v>
      </c>
      <c r="K86" s="33">
        <v>4.084873374401095</v>
      </c>
      <c r="L86" s="33" t="s">
        <v>7</v>
      </c>
      <c r="M86" s="33" t="s">
        <v>7</v>
      </c>
      <c r="N86" s="33">
        <v>4.0273785078713207</v>
      </c>
      <c r="O86" s="33" t="s">
        <v>7</v>
      </c>
      <c r="P86" s="33" t="s">
        <v>7</v>
      </c>
      <c r="Q86" s="33">
        <v>3.2580424366872007</v>
      </c>
      <c r="R86" s="33" t="s">
        <v>7</v>
      </c>
      <c r="S86" s="33" t="s">
        <v>7</v>
      </c>
      <c r="T86" s="12">
        <v>6</v>
      </c>
      <c r="U86" s="12">
        <v>18</v>
      </c>
      <c r="V86" s="4" t="s">
        <v>1</v>
      </c>
      <c r="W86" s="4">
        <v>1</v>
      </c>
      <c r="X86" s="4">
        <v>2</v>
      </c>
      <c r="Y86" s="4">
        <v>1</v>
      </c>
      <c r="Z86" s="56">
        <v>3</v>
      </c>
      <c r="AA86" s="9" cm="1">
        <f t="array" ref="AA86">IF(OR(AB86:AE86=""),"BLANK",IF(AND(AB86:AE86&lt;999),1,IF(AND(AB86:AE86="NA"),3,2)))</f>
        <v>1</v>
      </c>
      <c r="AB86" s="4">
        <v>32</v>
      </c>
      <c r="AC86" s="4">
        <v>18</v>
      </c>
      <c r="AD86" s="4">
        <v>15</v>
      </c>
      <c r="AE86" s="5">
        <v>65</v>
      </c>
      <c r="AF86" s="9">
        <f t="shared" si="1"/>
        <v>1</v>
      </c>
      <c r="AG86" s="5">
        <v>55</v>
      </c>
      <c r="AH86" s="9" cm="1">
        <f t="array" ref="AH86">IF(OR(AI86:AN86=""),"BLANK",IF(AND(AI86:AN86&lt;99),1,IF(AND(AI86:AN86="NA"),3,2)))</f>
        <v>2</v>
      </c>
      <c r="AI86" s="4">
        <v>55</v>
      </c>
      <c r="AJ86" s="4" t="s">
        <v>7</v>
      </c>
      <c r="AK86" s="21">
        <v>103.95</v>
      </c>
      <c r="AL86" s="21">
        <v>108.63</v>
      </c>
      <c r="AM86" s="21">
        <v>71.900000000000006</v>
      </c>
      <c r="AN86" s="22" t="s">
        <v>7</v>
      </c>
    </row>
    <row r="87" spans="1:40" x14ac:dyDescent="0.2">
      <c r="A87" s="15">
        <v>674</v>
      </c>
      <c r="B87" s="4" t="s">
        <v>48</v>
      </c>
      <c r="C87" s="30" t="s">
        <v>24</v>
      </c>
      <c r="D87" s="30">
        <v>6</v>
      </c>
      <c r="E87" s="30">
        <v>0</v>
      </c>
      <c r="F87" s="30" t="s">
        <v>7</v>
      </c>
      <c r="G87" s="30">
        <v>30</v>
      </c>
      <c r="H87" s="33">
        <v>3.9644079397672827</v>
      </c>
      <c r="I87" s="33">
        <v>4.7529089664613275</v>
      </c>
      <c r="J87" s="33">
        <v>8.7173169062286107</v>
      </c>
      <c r="K87" s="33">
        <v>3.9644079397672827</v>
      </c>
      <c r="L87" s="33">
        <v>4.7529089664613275</v>
      </c>
      <c r="M87" s="33">
        <v>8.7173169062286107</v>
      </c>
      <c r="N87" s="33">
        <v>3.9753593429158109</v>
      </c>
      <c r="O87" s="33">
        <v>4.4599589322381927</v>
      </c>
      <c r="P87" s="33">
        <v>8.4353182751540032</v>
      </c>
      <c r="Q87" s="33" t="s">
        <v>7</v>
      </c>
      <c r="R87" s="33" t="s">
        <v>7</v>
      </c>
      <c r="S87" s="33" t="s">
        <v>7</v>
      </c>
      <c r="T87" s="12">
        <v>6</v>
      </c>
      <c r="U87" s="12">
        <v>18</v>
      </c>
      <c r="V87" s="4" t="s">
        <v>1</v>
      </c>
      <c r="W87" s="4">
        <v>1</v>
      </c>
      <c r="X87" s="4">
        <v>2</v>
      </c>
      <c r="Y87" s="4">
        <v>1</v>
      </c>
      <c r="Z87" s="56">
        <v>3</v>
      </c>
      <c r="AA87" s="9" cm="1">
        <f t="array" ref="AA87">IF(OR(AB87:AE87=""),"BLANK",IF(AND(AB87:AE87&lt;999),1,IF(AND(AB87:AE87="NA"),3,2)))</f>
        <v>1</v>
      </c>
      <c r="AB87" s="4">
        <v>23</v>
      </c>
      <c r="AC87" s="4">
        <v>15</v>
      </c>
      <c r="AD87" s="4">
        <v>8</v>
      </c>
      <c r="AE87" s="5">
        <v>46</v>
      </c>
      <c r="AF87" s="9">
        <f t="shared" si="1"/>
        <v>1</v>
      </c>
      <c r="AG87" s="5">
        <v>38</v>
      </c>
      <c r="AH87" s="9" cm="1">
        <f t="array" ref="AH87">IF(OR(AI87:AN87=""),"BLANK",IF(AND(AI87:AN87&lt;99),1,IF(AND(AI87:AN87="NA"),3,2)))</f>
        <v>2</v>
      </c>
      <c r="AI87" s="4">
        <v>43</v>
      </c>
      <c r="AJ87" s="4" t="s">
        <v>7</v>
      </c>
      <c r="AK87" s="21">
        <v>90.59</v>
      </c>
      <c r="AL87" s="21">
        <v>87.65</v>
      </c>
      <c r="AM87" s="21">
        <v>20.6</v>
      </c>
      <c r="AN87" s="22">
        <v>83.58</v>
      </c>
    </row>
    <row r="88" spans="1:40" x14ac:dyDescent="0.2">
      <c r="A88" s="15">
        <v>676</v>
      </c>
      <c r="B88" s="4" t="s">
        <v>64</v>
      </c>
      <c r="C88" s="30" t="s">
        <v>23</v>
      </c>
      <c r="D88" s="30">
        <v>5</v>
      </c>
      <c r="E88" s="30">
        <v>0</v>
      </c>
      <c r="F88" s="30" t="s">
        <v>7</v>
      </c>
      <c r="G88" s="30">
        <v>28</v>
      </c>
      <c r="H88" s="33">
        <v>3.7043121149897331</v>
      </c>
      <c r="I88" s="33" t="s">
        <v>7</v>
      </c>
      <c r="J88" s="33" t="s">
        <v>7</v>
      </c>
      <c r="K88" s="33" t="s">
        <v>7</v>
      </c>
      <c r="L88" s="33" t="s">
        <v>7</v>
      </c>
      <c r="M88" s="33" t="s">
        <v>7</v>
      </c>
      <c r="N88" s="33" t="s">
        <v>7</v>
      </c>
      <c r="O88" s="33" t="s">
        <v>7</v>
      </c>
      <c r="P88" s="33" t="s">
        <v>7</v>
      </c>
      <c r="Q88" s="33">
        <v>3.3730321697467489</v>
      </c>
      <c r="R88" s="33" t="s">
        <v>7</v>
      </c>
      <c r="S88" s="33" t="s">
        <v>7</v>
      </c>
      <c r="T88" s="12">
        <v>3</v>
      </c>
      <c r="U88" s="12">
        <v>14</v>
      </c>
      <c r="V88" s="4" t="s">
        <v>1</v>
      </c>
      <c r="W88" s="4">
        <v>1</v>
      </c>
      <c r="X88" s="4">
        <v>2</v>
      </c>
      <c r="Y88" s="4">
        <v>1</v>
      </c>
      <c r="Z88" s="56">
        <v>3</v>
      </c>
      <c r="AA88" s="9" cm="1">
        <f t="array" ref="AA88">IF(OR(AB88:AE88=""),"BLANK",IF(AND(AB88:AE88&lt;999),1,IF(AND(AB88:AE88="NA"),3,2)))</f>
        <v>1</v>
      </c>
      <c r="AB88" s="4">
        <v>26</v>
      </c>
      <c r="AC88" s="4">
        <v>20</v>
      </c>
      <c r="AD88" s="4">
        <v>16</v>
      </c>
      <c r="AE88" s="5">
        <v>62</v>
      </c>
      <c r="AF88" s="9">
        <f t="shared" si="1"/>
        <v>1</v>
      </c>
      <c r="AG88" s="5">
        <v>56</v>
      </c>
      <c r="AH88" s="9" cm="1">
        <f t="array" ref="AH88">IF(OR(AI88:AN88=""),"BLANK",IF(AND(AI88:AN88&lt;99),1,IF(AND(AI88:AN88="NA"),3,2)))</f>
        <v>2</v>
      </c>
      <c r="AI88" s="4">
        <v>49</v>
      </c>
      <c r="AJ88" s="4" t="s">
        <v>7</v>
      </c>
      <c r="AK88" s="21">
        <v>97.33</v>
      </c>
      <c r="AL88" s="21">
        <v>112.36</v>
      </c>
      <c r="AM88" s="21">
        <v>79.400000000000006</v>
      </c>
      <c r="AN88" s="22" t="s">
        <v>7</v>
      </c>
    </row>
    <row r="89" spans="1:40" x14ac:dyDescent="0.2">
      <c r="A89" s="15">
        <v>680</v>
      </c>
      <c r="B89" s="4" t="s">
        <v>48</v>
      </c>
      <c r="C89" s="30" t="s">
        <v>24</v>
      </c>
      <c r="D89" s="30">
        <v>5</v>
      </c>
      <c r="E89" s="30">
        <v>0</v>
      </c>
      <c r="F89" s="30" t="s">
        <v>7</v>
      </c>
      <c r="G89" s="30">
        <v>28</v>
      </c>
      <c r="H89" s="33">
        <v>3.8220396988364134</v>
      </c>
      <c r="I89" s="33">
        <v>5.1663244353182751</v>
      </c>
      <c r="J89" s="33">
        <v>8.988364134154688</v>
      </c>
      <c r="K89" s="33">
        <v>3.893223819301848</v>
      </c>
      <c r="L89" s="33">
        <v>5.0951403148528405</v>
      </c>
      <c r="M89" s="33">
        <v>8.988364134154688</v>
      </c>
      <c r="N89" s="33">
        <v>3.7809719370294319</v>
      </c>
      <c r="O89" s="33">
        <v>5.1526351813826148</v>
      </c>
      <c r="P89" s="33">
        <v>8.9336071184120467</v>
      </c>
      <c r="Q89" s="33">
        <v>3.4743326488706368</v>
      </c>
      <c r="R89" s="33">
        <v>5.9192334017796027</v>
      </c>
      <c r="S89" s="33">
        <v>9.3935660506502394</v>
      </c>
      <c r="T89" s="12" t="s">
        <v>7</v>
      </c>
      <c r="U89" s="12" t="s">
        <v>7</v>
      </c>
      <c r="V89" s="4" t="s">
        <v>1</v>
      </c>
      <c r="W89" s="4">
        <v>1</v>
      </c>
      <c r="X89" s="4">
        <v>2</v>
      </c>
      <c r="Y89" s="4">
        <v>1</v>
      </c>
      <c r="Z89" s="56">
        <v>3</v>
      </c>
      <c r="AA89" s="9" cm="1">
        <f t="array" ref="AA89">IF(OR(AB89:AE89=""),"BLANK",IF(AND(AB89:AE89&lt;999),1,IF(AND(AB89:AE89="NA"),3,2)))</f>
        <v>1</v>
      </c>
      <c r="AB89" s="4">
        <v>29</v>
      </c>
      <c r="AC89" s="4">
        <v>17</v>
      </c>
      <c r="AD89" s="4">
        <v>11</v>
      </c>
      <c r="AE89" s="5">
        <v>57</v>
      </c>
      <c r="AF89" s="9">
        <f t="shared" si="1"/>
        <v>1</v>
      </c>
      <c r="AG89" s="5">
        <v>55</v>
      </c>
      <c r="AH89" s="9" cm="1">
        <f t="array" ref="AH89">IF(OR(AI89:AN89=""),"BLANK",IF(AND(AI89:AN89&lt;99),1,IF(AND(AI89:AN89="NA"),3,2)))</f>
        <v>2</v>
      </c>
      <c r="AI89" s="4">
        <v>57</v>
      </c>
      <c r="AJ89" s="4" t="s">
        <v>7</v>
      </c>
      <c r="AK89" s="21">
        <v>105.99</v>
      </c>
      <c r="AL89" s="21">
        <v>111.91</v>
      </c>
      <c r="AM89" s="21">
        <v>78.5</v>
      </c>
      <c r="AN89" s="22">
        <v>107.91</v>
      </c>
    </row>
    <row r="90" spans="1:40" x14ac:dyDescent="0.2">
      <c r="A90" s="15">
        <v>684</v>
      </c>
      <c r="B90" s="4" t="s">
        <v>52</v>
      </c>
      <c r="C90" s="30" t="s">
        <v>23</v>
      </c>
      <c r="D90" s="30">
        <v>4</v>
      </c>
      <c r="E90" s="30">
        <v>0</v>
      </c>
      <c r="F90" s="30" t="s">
        <v>7</v>
      </c>
      <c r="G90" s="30">
        <v>29</v>
      </c>
      <c r="H90" s="33">
        <v>4.1971252566735116</v>
      </c>
      <c r="I90" s="33">
        <v>5.0841889117043122</v>
      </c>
      <c r="J90" s="33">
        <v>9.2813141683778237</v>
      </c>
      <c r="K90" s="33" t="s">
        <v>7</v>
      </c>
      <c r="L90" s="33">
        <v>5.3415468856947292</v>
      </c>
      <c r="M90" s="33" t="s">
        <v>7</v>
      </c>
      <c r="N90" s="33">
        <v>4.1204654346338128</v>
      </c>
      <c r="O90" s="33">
        <v>4.8377823408624234</v>
      </c>
      <c r="P90" s="33">
        <v>8.9582477754962362</v>
      </c>
      <c r="Q90" s="33">
        <v>3.2963723477070501</v>
      </c>
      <c r="R90" s="33" t="s">
        <v>7</v>
      </c>
      <c r="S90" s="33" t="s">
        <v>7</v>
      </c>
      <c r="T90" s="12">
        <v>2</v>
      </c>
      <c r="U90" s="12">
        <v>12</v>
      </c>
      <c r="V90" s="4" t="s">
        <v>1</v>
      </c>
      <c r="W90" s="4">
        <v>1</v>
      </c>
      <c r="X90" s="4">
        <v>2</v>
      </c>
      <c r="Y90" s="4">
        <v>1</v>
      </c>
      <c r="Z90" s="56">
        <v>3</v>
      </c>
      <c r="AA90" s="9" cm="1">
        <f t="array" ref="AA90">IF(OR(AB90:AE90=""),"BLANK",IF(AND(AB90:AE90&lt;999),1,IF(AND(AB90:AE90="NA"),3,2)))</f>
        <v>1</v>
      </c>
      <c r="AB90" s="4">
        <v>27</v>
      </c>
      <c r="AC90" s="4">
        <v>19</v>
      </c>
      <c r="AD90" s="4">
        <v>14</v>
      </c>
      <c r="AE90" s="5">
        <v>60</v>
      </c>
      <c r="AF90" s="9">
        <f t="shared" si="1"/>
        <v>1</v>
      </c>
      <c r="AG90" s="5">
        <v>42</v>
      </c>
      <c r="AH90" s="9" cm="1">
        <f t="array" ref="AH90">IF(OR(AI90:AN90=""),"BLANK",IF(AND(AI90:AN90&lt;99),1,IF(AND(AI90:AN90="NA"),3,2)))</f>
        <v>2</v>
      </c>
      <c r="AI90" s="4">
        <v>32</v>
      </c>
      <c r="AJ90" s="4" t="s">
        <v>7</v>
      </c>
      <c r="AK90" s="21">
        <v>78.47</v>
      </c>
      <c r="AL90" s="21">
        <v>76.069999999999993</v>
      </c>
      <c r="AM90" s="21">
        <v>5.5</v>
      </c>
      <c r="AN90" s="22">
        <v>72.52</v>
      </c>
    </row>
    <row r="91" spans="1:40" x14ac:dyDescent="0.2">
      <c r="A91" s="15">
        <v>688</v>
      </c>
      <c r="B91" s="4" t="s">
        <v>47</v>
      </c>
      <c r="C91" s="30" t="s">
        <v>24</v>
      </c>
      <c r="D91" s="30">
        <v>5</v>
      </c>
      <c r="E91" s="30">
        <v>0</v>
      </c>
      <c r="F91" s="30" t="s">
        <v>7</v>
      </c>
      <c r="G91" s="30">
        <v>30</v>
      </c>
      <c r="H91" s="33">
        <v>3.9096509240246409</v>
      </c>
      <c r="I91" s="33">
        <v>5.4811772758384665</v>
      </c>
      <c r="J91" s="33">
        <v>9.3908281998631082</v>
      </c>
      <c r="K91" s="33">
        <v>3.9288158795345653</v>
      </c>
      <c r="L91" s="33">
        <v>5.4565366187542779</v>
      </c>
      <c r="M91" s="33">
        <v>9.3853524982888441</v>
      </c>
      <c r="N91" s="33">
        <v>3.9288158795345653</v>
      </c>
      <c r="O91" s="33">
        <v>5.6208076659822037</v>
      </c>
      <c r="P91" s="33">
        <v>9.54962354551677</v>
      </c>
      <c r="Q91" s="33">
        <v>3.3566050650239561</v>
      </c>
      <c r="R91" s="33">
        <v>5.8726899383983575</v>
      </c>
      <c r="S91" s="33">
        <v>9.2292950034223136</v>
      </c>
      <c r="T91" s="12">
        <v>7</v>
      </c>
      <c r="U91" s="12">
        <v>21</v>
      </c>
      <c r="V91" s="4" t="s">
        <v>1</v>
      </c>
      <c r="W91" s="4">
        <v>1</v>
      </c>
      <c r="X91" s="4">
        <v>2</v>
      </c>
      <c r="Y91" s="4">
        <v>1</v>
      </c>
      <c r="Z91" s="56">
        <v>3</v>
      </c>
      <c r="AA91" s="9" cm="1">
        <f t="array" ref="AA91">IF(OR(AB91:AE91=""),"BLANK",IF(AND(AB91:AE91&lt;999),1,IF(AND(AB91:AE91="NA"),3,2)))</f>
        <v>1</v>
      </c>
      <c r="AB91" s="4">
        <v>27</v>
      </c>
      <c r="AC91" s="4">
        <v>15</v>
      </c>
      <c r="AD91" s="4">
        <v>13</v>
      </c>
      <c r="AE91" s="5">
        <v>55</v>
      </c>
      <c r="AF91" s="9">
        <f t="shared" si="1"/>
        <v>1</v>
      </c>
      <c r="AG91" s="5">
        <v>42</v>
      </c>
      <c r="AH91" s="9" cm="1">
        <f t="array" ref="AH91">IF(OR(AI91:AN91=""),"BLANK",IF(AND(AI91:AN91&lt;99),1,IF(AND(AI91:AN91="NA"),3,2)))</f>
        <v>2</v>
      </c>
      <c r="AI91" s="4">
        <v>41</v>
      </c>
      <c r="AJ91" s="4" t="s">
        <v>7</v>
      </c>
      <c r="AK91" s="21">
        <v>88.46</v>
      </c>
      <c r="AL91" s="21">
        <v>91.29</v>
      </c>
      <c r="AM91" s="21">
        <v>28.1</v>
      </c>
      <c r="AN91" s="22" t="s">
        <v>7</v>
      </c>
    </row>
    <row r="92" spans="1:40" x14ac:dyDescent="0.2">
      <c r="A92" s="15">
        <v>695</v>
      </c>
      <c r="B92" s="4" t="s">
        <v>47</v>
      </c>
      <c r="C92" s="30" t="s">
        <v>23</v>
      </c>
      <c r="D92" s="30">
        <v>5</v>
      </c>
      <c r="E92" s="30">
        <v>0</v>
      </c>
      <c r="F92" s="30" t="s">
        <v>7</v>
      </c>
      <c r="G92" s="30">
        <v>30</v>
      </c>
      <c r="H92" s="33">
        <v>4.0109514031485283</v>
      </c>
      <c r="I92" s="33">
        <v>5.7303216974674882</v>
      </c>
      <c r="J92" s="33">
        <v>9.7412731006160165</v>
      </c>
      <c r="K92" s="33">
        <v>4.0109514031485283</v>
      </c>
      <c r="L92" s="33">
        <v>5.7303216974674882</v>
      </c>
      <c r="M92" s="33">
        <v>9.7412731006160165</v>
      </c>
      <c r="N92" s="33">
        <v>4.0602327173169064</v>
      </c>
      <c r="O92" s="33">
        <v>5.5030800821355239</v>
      </c>
      <c r="P92" s="33">
        <v>9.5633127994524294</v>
      </c>
      <c r="Q92" s="33" t="s">
        <v>7</v>
      </c>
      <c r="R92" s="33" t="s">
        <v>7</v>
      </c>
      <c r="S92" s="33" t="s">
        <v>7</v>
      </c>
      <c r="T92" s="12">
        <v>5</v>
      </c>
      <c r="U92" s="12">
        <v>17</v>
      </c>
      <c r="V92" s="4" t="s">
        <v>1</v>
      </c>
      <c r="W92" s="4">
        <v>1</v>
      </c>
      <c r="X92" s="4">
        <v>2</v>
      </c>
      <c r="Y92" s="4">
        <v>1</v>
      </c>
      <c r="Z92" s="56">
        <v>3</v>
      </c>
      <c r="AA92" s="9" cm="1">
        <f t="array" ref="AA92">IF(OR(AB92:AE92=""),"BLANK",IF(AND(AB92:AE92&lt;999),1,IF(AND(AB92:AE92="NA"),3,2)))</f>
        <v>1</v>
      </c>
      <c r="AB92" s="4">
        <v>32</v>
      </c>
      <c r="AC92" s="4">
        <v>20</v>
      </c>
      <c r="AD92" s="4">
        <v>18</v>
      </c>
      <c r="AE92" s="5">
        <v>70</v>
      </c>
      <c r="AF92" s="9">
        <f t="shared" si="1"/>
        <v>1</v>
      </c>
      <c r="AG92" s="5">
        <v>54</v>
      </c>
      <c r="AH92" s="9" cm="1">
        <f t="array" ref="AH92">IF(OR(AI92:AN92=""),"BLANK",IF(AND(AI92:AN92&lt;99),1,IF(AND(AI92:AN92="NA"),3,2)))</f>
        <v>2</v>
      </c>
      <c r="AI92" s="4">
        <v>53</v>
      </c>
      <c r="AJ92" s="4" t="s">
        <v>7</v>
      </c>
      <c r="AK92" s="21">
        <v>102.06</v>
      </c>
      <c r="AL92" s="21">
        <v>114.43</v>
      </c>
      <c r="AM92" s="21">
        <v>83.2</v>
      </c>
      <c r="AN92" s="22" t="s">
        <v>7</v>
      </c>
    </row>
    <row r="93" spans="1:40" x14ac:dyDescent="0.2">
      <c r="A93" s="15">
        <v>719</v>
      </c>
      <c r="B93" s="4" t="s">
        <v>58</v>
      </c>
      <c r="C93" s="30" t="s">
        <v>23</v>
      </c>
      <c r="D93" s="30">
        <v>5</v>
      </c>
      <c r="E93" s="30">
        <v>1</v>
      </c>
      <c r="F93" s="30" t="s">
        <v>7</v>
      </c>
      <c r="G93" s="30">
        <v>28</v>
      </c>
      <c r="H93" s="33">
        <v>4.0328542094455848</v>
      </c>
      <c r="I93" s="33">
        <v>5.5496235455167691</v>
      </c>
      <c r="J93" s="33">
        <v>9.5824777549623548</v>
      </c>
      <c r="K93" s="33">
        <v>4.0657084188911705</v>
      </c>
      <c r="L93" s="33">
        <v>5.5195071868583163</v>
      </c>
      <c r="M93" s="33">
        <v>9.5852156057494859</v>
      </c>
      <c r="N93" s="33">
        <v>3.978097193702943</v>
      </c>
      <c r="O93" s="33">
        <v>5.1745379876796713</v>
      </c>
      <c r="P93" s="33">
        <v>9.1526351813826139</v>
      </c>
      <c r="Q93" s="33">
        <v>3.3730321697467489</v>
      </c>
      <c r="R93" s="33">
        <v>6.1902806297056809</v>
      </c>
      <c r="S93" s="33">
        <v>9.5633127994524294</v>
      </c>
      <c r="T93" s="12">
        <v>6</v>
      </c>
      <c r="U93" s="12">
        <v>18</v>
      </c>
      <c r="V93" s="4" t="s">
        <v>1</v>
      </c>
      <c r="W93" s="4">
        <v>1</v>
      </c>
      <c r="X93" s="4">
        <v>2</v>
      </c>
      <c r="Y93" s="4">
        <v>1</v>
      </c>
      <c r="Z93" s="56">
        <v>3</v>
      </c>
      <c r="AA93" s="9" cm="1">
        <f t="array" ref="AA93">IF(OR(AB93:AE93=""),"BLANK",IF(AND(AB93:AE93&lt;999),1,IF(AND(AB93:AE93="NA"),3,2)))</f>
        <v>1</v>
      </c>
      <c r="AB93" s="4">
        <v>29</v>
      </c>
      <c r="AC93" s="4">
        <v>15</v>
      </c>
      <c r="AD93" s="4">
        <v>12</v>
      </c>
      <c r="AE93" s="5">
        <v>56</v>
      </c>
      <c r="AF93" s="9">
        <f t="shared" si="1"/>
        <v>1</v>
      </c>
      <c r="AG93" s="5">
        <v>43</v>
      </c>
      <c r="AH93" s="9" cm="1">
        <f t="array" ref="AH93">IF(OR(AI93:AN93=""),"BLANK",IF(AND(AI93:AN93&lt;99),1,IF(AND(AI93:AN93="NA"),3,2)))</f>
        <v>2</v>
      </c>
      <c r="AI93" s="4">
        <v>46</v>
      </c>
      <c r="AJ93" s="4" t="s">
        <v>7</v>
      </c>
      <c r="AK93" s="21">
        <v>94.22</v>
      </c>
      <c r="AL93" s="21">
        <v>93.48</v>
      </c>
      <c r="AM93" s="21">
        <v>33.4</v>
      </c>
      <c r="AN93" s="22" t="s">
        <v>7</v>
      </c>
    </row>
    <row r="94" spans="1:40" x14ac:dyDescent="0.2">
      <c r="A94" s="15">
        <v>741</v>
      </c>
      <c r="B94" s="4" t="s">
        <v>60</v>
      </c>
      <c r="C94" s="30" t="s">
        <v>23</v>
      </c>
      <c r="D94" s="30">
        <v>2</v>
      </c>
      <c r="E94" s="30">
        <v>0</v>
      </c>
      <c r="F94" s="30" t="s">
        <v>7</v>
      </c>
      <c r="G94" s="30">
        <v>30</v>
      </c>
      <c r="H94" s="33">
        <v>4.0383299110198498</v>
      </c>
      <c r="I94" s="33">
        <v>5.4236824093086931</v>
      </c>
      <c r="J94" s="33">
        <v>9.462012320328542</v>
      </c>
      <c r="K94" s="33">
        <v>4.0383299110198498</v>
      </c>
      <c r="L94" s="33">
        <v>5.4757015742642023</v>
      </c>
      <c r="M94" s="33">
        <v>9.5140314852840522</v>
      </c>
      <c r="N94" s="33">
        <v>4.0191649555099245</v>
      </c>
      <c r="O94" s="33">
        <v>5.1553730321697468</v>
      </c>
      <c r="P94" s="33">
        <v>9.1745379876796722</v>
      </c>
      <c r="Q94" s="33" t="s">
        <v>7</v>
      </c>
      <c r="R94" s="33" t="s">
        <v>7</v>
      </c>
      <c r="S94" s="33" t="s">
        <v>7</v>
      </c>
      <c r="T94" s="12" t="s">
        <v>7</v>
      </c>
      <c r="U94" s="12" t="s">
        <v>7</v>
      </c>
      <c r="V94" s="4" t="s">
        <v>1</v>
      </c>
      <c r="W94" s="4">
        <v>1</v>
      </c>
      <c r="X94" s="4">
        <v>2</v>
      </c>
      <c r="Y94" s="4">
        <v>1</v>
      </c>
      <c r="Z94" s="56">
        <v>3</v>
      </c>
      <c r="AA94" s="9" cm="1">
        <f t="array" ref="AA94">IF(OR(AB94:AE94=""),"BLANK",IF(AND(AB94:AE94&lt;999),1,IF(AND(AB94:AE94="NA"),3,2)))</f>
        <v>1</v>
      </c>
      <c r="AB94" s="4">
        <v>32</v>
      </c>
      <c r="AC94" s="4">
        <v>21</v>
      </c>
      <c r="AD94" s="4">
        <v>14</v>
      </c>
      <c r="AE94" s="5">
        <v>67</v>
      </c>
      <c r="AF94" s="9">
        <f t="shared" si="1"/>
        <v>1</v>
      </c>
      <c r="AG94" s="5">
        <v>58</v>
      </c>
      <c r="AH94" s="9" cm="1">
        <f t="array" ref="AH94">IF(OR(AI94:AN94=""),"BLANK",IF(AND(AI94:AN94&lt;99),1,IF(AND(AI94:AN94="NA"),3,2)))</f>
        <v>2</v>
      </c>
      <c r="AI94" s="4">
        <v>59</v>
      </c>
      <c r="AJ94" s="4" t="s">
        <v>7</v>
      </c>
      <c r="AK94" s="21">
        <v>108.5</v>
      </c>
      <c r="AL94" s="21">
        <v>97.95</v>
      </c>
      <c r="AM94" s="21">
        <v>44.4</v>
      </c>
      <c r="AN94" s="22" t="s">
        <v>7</v>
      </c>
    </row>
    <row r="95" spans="1:40" x14ac:dyDescent="0.2">
      <c r="A95" s="15">
        <v>752</v>
      </c>
      <c r="B95" s="4" t="s">
        <v>67</v>
      </c>
      <c r="C95" s="30" t="s">
        <v>23</v>
      </c>
      <c r="D95" s="30">
        <v>5</v>
      </c>
      <c r="E95" s="30">
        <v>0</v>
      </c>
      <c r="F95" s="30" t="s">
        <v>7</v>
      </c>
      <c r="G95" s="30">
        <v>29</v>
      </c>
      <c r="H95" s="33">
        <v>4.0136892539356603</v>
      </c>
      <c r="I95" s="33" t="s">
        <v>7</v>
      </c>
      <c r="J95" s="33" t="s">
        <v>7</v>
      </c>
      <c r="K95" s="33">
        <v>4.0410677618069819</v>
      </c>
      <c r="L95" s="33" t="s">
        <v>7</v>
      </c>
      <c r="M95" s="33" t="s">
        <v>7</v>
      </c>
      <c r="N95" s="33">
        <v>3.9835728952772076</v>
      </c>
      <c r="O95" s="33" t="s">
        <v>7</v>
      </c>
      <c r="P95" s="33" t="s">
        <v>7</v>
      </c>
      <c r="Q95" s="33">
        <v>3.0472279260780288</v>
      </c>
      <c r="R95" s="33" t="s">
        <v>7</v>
      </c>
      <c r="S95" s="33" t="s">
        <v>7</v>
      </c>
      <c r="T95" s="12">
        <v>3</v>
      </c>
      <c r="U95" s="12">
        <v>13</v>
      </c>
      <c r="V95" s="4" t="s">
        <v>1</v>
      </c>
      <c r="W95" s="4">
        <v>1</v>
      </c>
      <c r="X95" s="4">
        <v>2</v>
      </c>
      <c r="Y95" s="4">
        <v>1</v>
      </c>
      <c r="Z95" s="56">
        <v>3</v>
      </c>
      <c r="AA95" s="9" cm="1">
        <f t="array" ref="AA95">IF(OR(AB95:AE95=""),"BLANK",IF(AND(AB95:AE95&lt;999),1,IF(AND(AB95:AE95="NA"),3,2)))</f>
        <v>1</v>
      </c>
      <c r="AB95" s="4">
        <v>17</v>
      </c>
      <c r="AC95" s="4">
        <v>10</v>
      </c>
      <c r="AD95" s="4">
        <v>6</v>
      </c>
      <c r="AE95" s="5">
        <v>33</v>
      </c>
      <c r="AF95" s="9">
        <f t="shared" si="1"/>
        <v>1</v>
      </c>
      <c r="AG95" s="5">
        <v>24</v>
      </c>
      <c r="AH95" s="9" cm="1">
        <f t="array" ref="AH95">IF(OR(AI95:AN95=""),"BLANK",IF(AND(AI95:AN95&lt;99),1,IF(AND(AI95:AN95="NA"),3,2)))</f>
        <v>2</v>
      </c>
      <c r="AI95" s="4">
        <v>37</v>
      </c>
      <c r="AJ95" s="4" t="s">
        <v>7</v>
      </c>
      <c r="AK95" s="23" t="s">
        <v>7</v>
      </c>
      <c r="AL95" s="23" t="s">
        <v>7</v>
      </c>
      <c r="AM95" s="23" t="s">
        <v>7</v>
      </c>
      <c r="AN95" s="24" t="s">
        <v>7</v>
      </c>
    </row>
    <row r="96" spans="1:40" x14ac:dyDescent="0.2">
      <c r="A96" s="15">
        <v>754</v>
      </c>
      <c r="B96" s="4" t="s">
        <v>58</v>
      </c>
      <c r="C96" s="30" t="s">
        <v>23</v>
      </c>
      <c r="D96" s="30">
        <v>5</v>
      </c>
      <c r="E96" s="30">
        <v>0</v>
      </c>
      <c r="F96" s="30" t="s">
        <v>7</v>
      </c>
      <c r="G96" s="30">
        <v>30</v>
      </c>
      <c r="H96" s="33">
        <v>4.0711841204654347</v>
      </c>
      <c r="I96" s="33" t="s">
        <v>7</v>
      </c>
      <c r="J96" s="33" t="s">
        <v>7</v>
      </c>
      <c r="K96" s="33">
        <v>4.0657084188911705</v>
      </c>
      <c r="L96" s="33" t="s">
        <v>7</v>
      </c>
      <c r="M96" s="33" t="s">
        <v>7</v>
      </c>
      <c r="N96" s="33">
        <v>4.0164271047227924</v>
      </c>
      <c r="O96" s="33" t="s">
        <v>7</v>
      </c>
      <c r="P96" s="33" t="s">
        <v>7</v>
      </c>
      <c r="Q96" s="33">
        <v>3.137577002053388</v>
      </c>
      <c r="R96" s="33" t="s">
        <v>7</v>
      </c>
      <c r="S96" s="33" t="s">
        <v>7</v>
      </c>
      <c r="T96" s="12">
        <v>6</v>
      </c>
      <c r="U96" s="12">
        <v>18</v>
      </c>
      <c r="V96" s="4" t="s">
        <v>1</v>
      </c>
      <c r="W96" s="4">
        <v>1</v>
      </c>
      <c r="X96" s="4">
        <v>2</v>
      </c>
      <c r="Y96" s="4">
        <v>1</v>
      </c>
      <c r="Z96" s="56">
        <v>3</v>
      </c>
      <c r="AA96" s="9" cm="1">
        <f t="array" ref="AA96">IF(OR(AB96:AE96=""),"BLANK",IF(AND(AB96:AE96&lt;999),1,IF(AND(AB96:AE96="NA"),3,2)))</f>
        <v>1</v>
      </c>
      <c r="AB96" s="4">
        <v>37</v>
      </c>
      <c r="AC96" s="4">
        <v>24</v>
      </c>
      <c r="AD96" s="4">
        <v>13</v>
      </c>
      <c r="AE96" s="5">
        <v>74</v>
      </c>
      <c r="AF96" s="9">
        <f t="shared" si="1"/>
        <v>1</v>
      </c>
      <c r="AG96" s="5">
        <v>50</v>
      </c>
      <c r="AH96" s="9" cm="1">
        <f t="array" ref="AH96">IF(OR(AI96:AN96=""),"BLANK",IF(AND(AI96:AN96&lt;99),1,IF(AND(AI96:AN96="NA"),3,2)))</f>
        <v>2</v>
      </c>
      <c r="AI96" s="4">
        <v>53</v>
      </c>
      <c r="AJ96" s="4" t="s">
        <v>7</v>
      </c>
      <c r="AK96" s="21">
        <v>101.98</v>
      </c>
      <c r="AL96" s="21">
        <v>105.66</v>
      </c>
      <c r="AM96" s="21">
        <v>64.8</v>
      </c>
      <c r="AN96" s="22" t="s">
        <v>7</v>
      </c>
    </row>
    <row r="97" spans="1:40" x14ac:dyDescent="0.2">
      <c r="A97" s="15">
        <v>770</v>
      </c>
      <c r="B97" s="4" t="s">
        <v>52</v>
      </c>
      <c r="C97" s="30" t="s">
        <v>24</v>
      </c>
      <c r="D97" s="30">
        <v>5</v>
      </c>
      <c r="E97" s="30">
        <v>0</v>
      </c>
      <c r="F97" s="30" t="s">
        <v>7</v>
      </c>
      <c r="G97" s="30">
        <v>27</v>
      </c>
      <c r="H97" s="33">
        <v>4.0602327173169064</v>
      </c>
      <c r="I97" s="33" t="s">
        <v>7</v>
      </c>
      <c r="J97" s="33" t="s">
        <v>7</v>
      </c>
      <c r="K97" s="33">
        <v>4.0602327173169064</v>
      </c>
      <c r="L97" s="33" t="s">
        <v>7</v>
      </c>
      <c r="M97" s="33" t="s">
        <v>7</v>
      </c>
      <c r="N97" s="33">
        <v>4.0985626283367553</v>
      </c>
      <c r="O97" s="33">
        <v>5.5550992470910332</v>
      </c>
      <c r="P97" s="33">
        <v>9.6536618754277885</v>
      </c>
      <c r="Q97" s="33" t="s">
        <v>7</v>
      </c>
      <c r="R97" s="33" t="s">
        <v>7</v>
      </c>
      <c r="S97" s="33" t="s">
        <v>7</v>
      </c>
      <c r="T97" s="12">
        <v>4</v>
      </c>
      <c r="U97" s="12">
        <v>16</v>
      </c>
      <c r="V97" s="4" t="s">
        <v>1</v>
      </c>
      <c r="W97" s="4">
        <v>1</v>
      </c>
      <c r="X97" s="4">
        <v>2</v>
      </c>
      <c r="Y97" s="4">
        <v>1</v>
      </c>
      <c r="Z97" s="56">
        <v>3</v>
      </c>
      <c r="AA97" s="9" cm="1">
        <f t="array" ref="AA97">IF(OR(AB97:AE97=""),"BLANK",IF(AND(AB97:AE97&lt;999),1,IF(AND(AB97:AE97="NA"),3,2)))</f>
        <v>1</v>
      </c>
      <c r="AB97" s="4">
        <v>18</v>
      </c>
      <c r="AC97" s="4">
        <v>13</v>
      </c>
      <c r="AD97" s="4">
        <v>11</v>
      </c>
      <c r="AE97" s="5">
        <v>42</v>
      </c>
      <c r="AF97" s="9">
        <f t="shared" si="1"/>
        <v>1</v>
      </c>
      <c r="AG97" s="5">
        <v>41</v>
      </c>
      <c r="AH97" s="9" cm="1">
        <f t="array" ref="AH97">IF(OR(AI97:AN97=""),"BLANK",IF(AND(AI97:AN97&lt;99),1,IF(AND(AI97:AN97="NA"),3,2)))</f>
        <v>2</v>
      </c>
      <c r="AI97" s="4">
        <v>49</v>
      </c>
      <c r="AJ97" s="4" t="s">
        <v>7</v>
      </c>
      <c r="AK97" s="21">
        <v>96.93</v>
      </c>
      <c r="AL97" s="21">
        <v>105.46</v>
      </c>
      <c r="AM97" s="21">
        <v>64.099999999999994</v>
      </c>
      <c r="AN97" s="22" t="s">
        <v>7</v>
      </c>
    </row>
    <row r="98" spans="1:40" x14ac:dyDescent="0.2">
      <c r="A98" s="15">
        <v>772</v>
      </c>
      <c r="B98" s="4" t="s">
        <v>66</v>
      </c>
      <c r="C98" s="30" t="s">
        <v>24</v>
      </c>
      <c r="D98" s="30">
        <v>5</v>
      </c>
      <c r="E98" s="30">
        <v>0</v>
      </c>
      <c r="F98" s="30" t="s">
        <v>7</v>
      </c>
      <c r="G98" s="30">
        <v>26</v>
      </c>
      <c r="H98" s="33">
        <v>4.0273785078713207</v>
      </c>
      <c r="I98" s="33">
        <v>5.7303216974674882</v>
      </c>
      <c r="J98" s="33">
        <v>9.7577002053388089</v>
      </c>
      <c r="K98" s="33">
        <v>4.0246406570841886</v>
      </c>
      <c r="L98" s="33">
        <v>5.7275838466803561</v>
      </c>
      <c r="M98" s="33">
        <v>9.7522245037645447</v>
      </c>
      <c r="N98" s="33">
        <v>4.0766598220396988</v>
      </c>
      <c r="O98" s="33">
        <v>5.5222450376454484</v>
      </c>
      <c r="P98" s="33">
        <v>9.5989048596851472</v>
      </c>
      <c r="Q98" s="33">
        <v>3.7399041752224504</v>
      </c>
      <c r="R98" s="33">
        <v>6.0260095824777551</v>
      </c>
      <c r="S98" s="33">
        <v>9.765913757700206</v>
      </c>
      <c r="T98" s="12">
        <v>5</v>
      </c>
      <c r="U98" s="12">
        <v>18</v>
      </c>
      <c r="V98" s="4" t="s">
        <v>1</v>
      </c>
      <c r="W98" s="4">
        <v>1</v>
      </c>
      <c r="X98" s="4">
        <v>2</v>
      </c>
      <c r="Y98" s="4">
        <v>1</v>
      </c>
      <c r="Z98" s="56">
        <v>3</v>
      </c>
      <c r="AA98" s="9" cm="1">
        <f t="array" ref="AA98">IF(OR(AB98:AE98=""),"BLANK",IF(AND(AB98:AE98&lt;999),1,IF(AND(AB98:AE98="NA"),3,2)))</f>
        <v>1</v>
      </c>
      <c r="AB98" s="4">
        <v>32</v>
      </c>
      <c r="AC98" s="4">
        <v>17</v>
      </c>
      <c r="AD98" s="4">
        <v>12</v>
      </c>
      <c r="AE98" s="5">
        <v>61</v>
      </c>
      <c r="AF98" s="9">
        <f t="shared" si="1"/>
        <v>1</v>
      </c>
      <c r="AG98" s="5">
        <v>38</v>
      </c>
      <c r="AH98" s="9" cm="1">
        <f t="array" ref="AH98">IF(OR(AI98:AN98=""),"BLANK",IF(AND(AI98:AN98&lt;99),1,IF(AND(AI98:AN98="NA"),3,2)))</f>
        <v>2</v>
      </c>
      <c r="AI98" s="4">
        <v>46</v>
      </c>
      <c r="AJ98" s="4" t="s">
        <v>7</v>
      </c>
      <c r="AK98" s="21">
        <v>94.09</v>
      </c>
      <c r="AL98" s="21">
        <v>100.97</v>
      </c>
      <c r="AM98" s="21">
        <v>52.4</v>
      </c>
      <c r="AN98" s="22" t="s">
        <v>7</v>
      </c>
    </row>
    <row r="99" spans="1:40" x14ac:dyDescent="0.2">
      <c r="A99" s="15">
        <v>779</v>
      </c>
      <c r="B99" s="4" t="s">
        <v>50</v>
      </c>
      <c r="C99" s="30" t="s">
        <v>23</v>
      </c>
      <c r="D99" s="30">
        <v>5</v>
      </c>
      <c r="E99" s="30">
        <v>0</v>
      </c>
      <c r="F99" s="30" t="s">
        <v>7</v>
      </c>
      <c r="G99" s="30">
        <v>30</v>
      </c>
      <c r="H99" s="33">
        <v>4.1149897330595486</v>
      </c>
      <c r="I99" s="33">
        <v>5.5770020533880906</v>
      </c>
      <c r="J99" s="33">
        <v>9.6919917864476393</v>
      </c>
      <c r="K99" s="33">
        <v>4.1149897330595486</v>
      </c>
      <c r="L99" s="33">
        <v>5.7878165639972625</v>
      </c>
      <c r="M99" s="33">
        <v>9.9028062970568111</v>
      </c>
      <c r="N99" s="33">
        <v>4.0766598220396988</v>
      </c>
      <c r="O99" s="33">
        <v>5.1909650924024637</v>
      </c>
      <c r="P99" s="33">
        <v>9.2676249144421625</v>
      </c>
      <c r="Q99" s="33">
        <v>3.2114989733059547</v>
      </c>
      <c r="R99" s="33">
        <v>6.1574264202600961</v>
      </c>
      <c r="S99" s="33">
        <v>9.3689253935660499</v>
      </c>
      <c r="T99" s="12">
        <v>6</v>
      </c>
      <c r="U99" s="12">
        <v>18</v>
      </c>
      <c r="V99" s="4" t="s">
        <v>1</v>
      </c>
      <c r="W99" s="4">
        <v>1</v>
      </c>
      <c r="X99" s="4">
        <v>2</v>
      </c>
      <c r="Y99" s="4">
        <v>1</v>
      </c>
      <c r="Z99" s="56">
        <v>3</v>
      </c>
      <c r="AA99" s="9" cm="1">
        <f t="array" ref="AA99">IF(OR(AB99:AE99=""),"BLANK",IF(AND(AB99:AE99&lt;999),1,IF(AND(AB99:AE99="NA"),3,2)))</f>
        <v>1</v>
      </c>
      <c r="AB99" s="4">
        <v>33</v>
      </c>
      <c r="AC99" s="4">
        <v>16</v>
      </c>
      <c r="AD99" s="4">
        <v>14</v>
      </c>
      <c r="AE99" s="5">
        <v>63</v>
      </c>
      <c r="AF99" s="9">
        <f t="shared" si="1"/>
        <v>1</v>
      </c>
      <c r="AG99" s="5">
        <v>53</v>
      </c>
      <c r="AH99" s="9" cm="1">
        <f t="array" ref="AH99">IF(OR(AI99:AN99=""),"BLANK",IF(AND(AI99:AN99&lt;99),1,IF(AND(AI99:AN99="NA"),3,2)))</f>
        <v>2</v>
      </c>
      <c r="AI99" s="4">
        <v>55</v>
      </c>
      <c r="AJ99" s="4" t="s">
        <v>7</v>
      </c>
      <c r="AK99" s="21">
        <v>103.52</v>
      </c>
      <c r="AL99" s="21">
        <v>104.84</v>
      </c>
      <c r="AM99" s="21">
        <v>62.5</v>
      </c>
      <c r="AN99" s="22" t="s">
        <v>7</v>
      </c>
    </row>
    <row r="100" spans="1:40" x14ac:dyDescent="0.2">
      <c r="A100" s="15">
        <v>784</v>
      </c>
      <c r="B100" s="4" t="s">
        <v>46</v>
      </c>
      <c r="C100" s="30" t="s">
        <v>23</v>
      </c>
      <c r="D100" s="30">
        <v>5</v>
      </c>
      <c r="E100" s="30">
        <v>0</v>
      </c>
      <c r="F100" s="30" t="s">
        <v>7</v>
      </c>
      <c r="G100" s="30">
        <v>30</v>
      </c>
      <c r="H100" s="33">
        <v>4.0383299110198498</v>
      </c>
      <c r="I100" s="33">
        <v>5.4428473648186175</v>
      </c>
      <c r="J100" s="33">
        <v>9.4811772758384674</v>
      </c>
      <c r="K100" s="33">
        <v>4.0383299110198498</v>
      </c>
      <c r="L100" s="33">
        <v>5.4483230663928817</v>
      </c>
      <c r="M100" s="33">
        <v>9.4866529774127315</v>
      </c>
      <c r="N100" s="33">
        <v>4.043805612594114</v>
      </c>
      <c r="O100" s="33">
        <v>5.0349075975359341</v>
      </c>
      <c r="P100" s="33">
        <v>9.0787132101300472</v>
      </c>
      <c r="Q100" s="33">
        <v>3.2032854209445585</v>
      </c>
      <c r="R100" s="33" t="s">
        <v>7</v>
      </c>
      <c r="S100" s="33" t="s">
        <v>7</v>
      </c>
      <c r="T100" s="12">
        <v>4</v>
      </c>
      <c r="U100" s="12">
        <v>16</v>
      </c>
      <c r="V100" s="4" t="s">
        <v>1</v>
      </c>
      <c r="W100" s="4">
        <v>1</v>
      </c>
      <c r="X100" s="4">
        <v>2</v>
      </c>
      <c r="Y100" s="4">
        <v>1</v>
      </c>
      <c r="Z100" s="56">
        <v>3</v>
      </c>
      <c r="AA100" s="9" cm="1">
        <f t="array" ref="AA100">IF(OR(AB100:AE100=""),"BLANK",IF(AND(AB100:AE100&lt;999),1,IF(AND(AB100:AE100="NA"),3,2)))</f>
        <v>1</v>
      </c>
      <c r="AB100" s="4">
        <v>27</v>
      </c>
      <c r="AC100" s="4">
        <v>15</v>
      </c>
      <c r="AD100" s="4">
        <v>10</v>
      </c>
      <c r="AE100" s="5">
        <v>52</v>
      </c>
      <c r="AF100" s="9">
        <f t="shared" si="1"/>
        <v>1</v>
      </c>
      <c r="AG100" s="5">
        <v>51</v>
      </c>
      <c r="AH100" s="9" cm="1">
        <f t="array" ref="AH100">IF(OR(AI100:AN100=""),"BLANK",IF(AND(AI100:AN100&lt;99),1,IF(AND(AI100:AN100="NA"),3,2)))</f>
        <v>2</v>
      </c>
      <c r="AI100" s="4">
        <v>57</v>
      </c>
      <c r="AJ100" s="4" t="s">
        <v>7</v>
      </c>
      <c r="AK100" s="21">
        <v>106.87</v>
      </c>
      <c r="AL100" s="21">
        <v>109.78</v>
      </c>
      <c r="AM100" s="21">
        <v>74.2</v>
      </c>
      <c r="AN100" s="22" t="s">
        <v>7</v>
      </c>
    </row>
    <row r="101" spans="1:40" x14ac:dyDescent="0.2">
      <c r="A101" s="15">
        <v>799</v>
      </c>
      <c r="B101" s="4" t="s">
        <v>58</v>
      </c>
      <c r="C101" s="30" t="s">
        <v>23</v>
      </c>
      <c r="D101" s="30">
        <v>5</v>
      </c>
      <c r="E101" s="30">
        <v>0</v>
      </c>
      <c r="F101" s="30" t="s">
        <v>7</v>
      </c>
      <c r="G101" s="30">
        <v>30</v>
      </c>
      <c r="H101" s="33">
        <v>4.0930869267624912</v>
      </c>
      <c r="I101" s="33">
        <v>5.6016427104722792</v>
      </c>
      <c r="J101" s="33">
        <v>9.6947296372347704</v>
      </c>
      <c r="K101" s="33">
        <v>4.0930869267624912</v>
      </c>
      <c r="L101" s="33">
        <v>5.6016427104722792</v>
      </c>
      <c r="M101" s="33">
        <v>9.6947296372347704</v>
      </c>
      <c r="N101" s="33">
        <v>4.0574948665297743</v>
      </c>
      <c r="O101" s="33">
        <v>5.4428473648186175</v>
      </c>
      <c r="P101" s="33">
        <v>9.500342231348391</v>
      </c>
      <c r="Q101" s="33" t="s">
        <v>7</v>
      </c>
      <c r="R101" s="33" t="s">
        <v>7</v>
      </c>
      <c r="S101" s="33" t="s">
        <v>7</v>
      </c>
      <c r="T101" s="12">
        <v>6</v>
      </c>
      <c r="U101" s="12">
        <v>18</v>
      </c>
      <c r="V101" s="4" t="s">
        <v>1</v>
      </c>
      <c r="W101" s="4">
        <v>1</v>
      </c>
      <c r="X101" s="4">
        <v>2</v>
      </c>
      <c r="Y101" s="4">
        <v>1</v>
      </c>
      <c r="Z101" s="56">
        <v>3</v>
      </c>
      <c r="AA101" s="9" cm="1">
        <f t="array" ref="AA101">IF(OR(AB101:AE101=""),"BLANK",IF(AND(AB101:AE101&lt;999),1,IF(AND(AB101:AE101="NA"),3,2)))</f>
        <v>1</v>
      </c>
      <c r="AB101" s="4">
        <v>34</v>
      </c>
      <c r="AC101" s="4">
        <v>24</v>
      </c>
      <c r="AD101" s="4">
        <v>15</v>
      </c>
      <c r="AE101" s="5">
        <v>73</v>
      </c>
      <c r="AF101" s="9">
        <f t="shared" si="1"/>
        <v>1</v>
      </c>
      <c r="AG101" s="5">
        <v>67</v>
      </c>
      <c r="AH101" s="9" cm="1">
        <f t="array" ref="AH101">IF(OR(AI101:AN101=""),"BLANK",IF(AND(AI101:AN101&lt;99),1,IF(AND(AI101:AN101="NA"),3,2)))</f>
        <v>2</v>
      </c>
      <c r="AI101" s="4">
        <v>48</v>
      </c>
      <c r="AJ101" s="4" t="s">
        <v>7</v>
      </c>
      <c r="AK101" s="21">
        <v>95.7</v>
      </c>
      <c r="AL101" s="21">
        <v>95.87</v>
      </c>
      <c r="AM101" s="21">
        <v>39</v>
      </c>
      <c r="AN101" s="22">
        <v>91.58</v>
      </c>
    </row>
    <row r="102" spans="1:40" x14ac:dyDescent="0.2">
      <c r="A102" s="15">
        <v>812</v>
      </c>
      <c r="B102" s="4" t="s">
        <v>54</v>
      </c>
      <c r="C102" s="30" t="s">
        <v>23</v>
      </c>
      <c r="D102" s="30">
        <v>5</v>
      </c>
      <c r="E102" s="30">
        <v>0</v>
      </c>
      <c r="F102" s="30" t="s">
        <v>7</v>
      </c>
      <c r="G102" s="30">
        <v>29</v>
      </c>
      <c r="H102" s="33">
        <v>4.0054757015742641</v>
      </c>
      <c r="I102" s="33">
        <v>5.4784394250513344</v>
      </c>
      <c r="J102" s="33">
        <v>9.4839151266255985</v>
      </c>
      <c r="K102" s="33">
        <v>4.0027378507871321</v>
      </c>
      <c r="L102" s="33">
        <v>5.4784394250513344</v>
      </c>
      <c r="M102" s="33">
        <v>9.4811772758384674</v>
      </c>
      <c r="N102" s="33">
        <v>4.0246406570841886</v>
      </c>
      <c r="O102" s="33">
        <v>5.0595482546201236</v>
      </c>
      <c r="P102" s="33">
        <v>9.0841889117043113</v>
      </c>
      <c r="Q102" s="33">
        <v>3.2251882272416155</v>
      </c>
      <c r="R102" s="33">
        <v>6.1601642710472282</v>
      </c>
      <c r="S102" s="33">
        <v>9.3853524982888441</v>
      </c>
      <c r="T102" s="12">
        <v>4</v>
      </c>
      <c r="U102" s="12">
        <v>16</v>
      </c>
      <c r="V102" s="4" t="s">
        <v>1</v>
      </c>
      <c r="W102" s="4">
        <v>1</v>
      </c>
      <c r="X102" s="4">
        <v>2</v>
      </c>
      <c r="Y102" s="4">
        <v>1</v>
      </c>
      <c r="Z102" s="56">
        <v>3</v>
      </c>
      <c r="AA102" s="9" cm="1">
        <f t="array" ref="AA102">IF(OR(AB102:AE102=""),"BLANK",IF(AND(AB102:AE102&lt;999),1,IF(AND(AB102:AE102="NA"),3,2)))</f>
        <v>1</v>
      </c>
      <c r="AB102" s="4">
        <v>36</v>
      </c>
      <c r="AC102" s="4">
        <v>20</v>
      </c>
      <c r="AD102" s="4">
        <v>15</v>
      </c>
      <c r="AE102" s="5">
        <v>71</v>
      </c>
      <c r="AF102" s="9">
        <f t="shared" si="1"/>
        <v>1</v>
      </c>
      <c r="AG102" s="5">
        <v>54</v>
      </c>
      <c r="AH102" s="9" cm="1">
        <f t="array" ref="AH102">IF(OR(AI102:AN102=""),"BLANK",IF(AND(AI102:AN102&lt;99),1,IF(AND(AI102:AN102="NA"),3,2)))</f>
        <v>2</v>
      </c>
      <c r="AI102" s="4">
        <v>47</v>
      </c>
      <c r="AJ102" s="4" t="s">
        <v>7</v>
      </c>
      <c r="AK102" s="21">
        <v>95.3</v>
      </c>
      <c r="AL102" s="21">
        <v>95.17</v>
      </c>
      <c r="AM102" s="21">
        <v>37.5</v>
      </c>
      <c r="AN102" s="22">
        <v>90.84</v>
      </c>
    </row>
    <row r="103" spans="1:40" x14ac:dyDescent="0.2">
      <c r="A103" s="15">
        <v>815</v>
      </c>
      <c r="B103" s="4" t="s">
        <v>51</v>
      </c>
      <c r="C103" s="30" t="s">
        <v>23</v>
      </c>
      <c r="D103" s="30">
        <v>5</v>
      </c>
      <c r="E103" s="30">
        <v>0</v>
      </c>
      <c r="F103" s="30" t="s">
        <v>7</v>
      </c>
      <c r="G103" s="30">
        <v>30</v>
      </c>
      <c r="H103" s="33">
        <v>4.3997262149212863</v>
      </c>
      <c r="I103" s="33">
        <v>4.9883641341546889</v>
      </c>
      <c r="J103" s="33">
        <v>9.3880903490759753</v>
      </c>
      <c r="K103" s="33">
        <v>4.4654346338124569</v>
      </c>
      <c r="L103" s="33">
        <v>5.1471594798083506</v>
      </c>
      <c r="M103" s="33">
        <v>9.6125941136208084</v>
      </c>
      <c r="N103" s="33">
        <v>4.4517453798767965</v>
      </c>
      <c r="O103" s="33">
        <v>4.5749486652977414</v>
      </c>
      <c r="P103" s="33">
        <v>9.0266940451745388</v>
      </c>
      <c r="Q103" s="33">
        <v>3.6413415468856947</v>
      </c>
      <c r="R103" s="33" t="s">
        <v>7</v>
      </c>
      <c r="S103" s="33" t="s">
        <v>7</v>
      </c>
      <c r="T103" s="12" t="s">
        <v>7</v>
      </c>
      <c r="U103" s="12" t="s">
        <v>7</v>
      </c>
      <c r="V103" s="4" t="s">
        <v>1</v>
      </c>
      <c r="W103" s="4">
        <v>1</v>
      </c>
      <c r="X103" s="4">
        <v>2</v>
      </c>
      <c r="Y103" s="4">
        <v>1</v>
      </c>
      <c r="Z103" s="56">
        <v>3</v>
      </c>
      <c r="AA103" s="9" cm="1">
        <f t="array" ref="AA103">IF(OR(AB103:AE103=""),"BLANK",IF(AND(AB103:AE103&lt;999),1,IF(AND(AB103:AE103="NA"),3,2)))</f>
        <v>1</v>
      </c>
      <c r="AB103" s="4">
        <v>34</v>
      </c>
      <c r="AC103" s="4">
        <v>24</v>
      </c>
      <c r="AD103" s="4">
        <v>16</v>
      </c>
      <c r="AE103" s="5">
        <v>74</v>
      </c>
      <c r="AF103" s="9">
        <f t="shared" si="1"/>
        <v>1</v>
      </c>
      <c r="AG103" s="5">
        <v>61</v>
      </c>
      <c r="AH103" s="9" cm="1">
        <f t="array" ref="AH103">IF(OR(AI103:AN103=""),"BLANK",IF(AND(AI103:AN103&lt;99),1,IF(AND(AI103:AN103="NA"),3,2)))</f>
        <v>2</v>
      </c>
      <c r="AI103" s="4">
        <v>66</v>
      </c>
      <c r="AJ103" s="4" t="s">
        <v>7</v>
      </c>
      <c r="AK103" s="21">
        <v>117.2</v>
      </c>
      <c r="AL103" s="21">
        <v>116.94</v>
      </c>
      <c r="AM103" s="21">
        <v>87.1</v>
      </c>
      <c r="AN103" s="22">
        <v>112.06</v>
      </c>
    </row>
    <row r="104" spans="1:40" x14ac:dyDescent="0.2">
      <c r="A104" s="15">
        <v>817</v>
      </c>
      <c r="B104" s="4" t="s">
        <v>61</v>
      </c>
      <c r="C104" s="30" t="s">
        <v>23</v>
      </c>
      <c r="D104" s="30">
        <v>4</v>
      </c>
      <c r="E104" s="30">
        <v>0</v>
      </c>
      <c r="F104" s="30" t="s">
        <v>7</v>
      </c>
      <c r="G104" s="30">
        <v>29</v>
      </c>
      <c r="H104" s="33">
        <v>4.4407939767282683</v>
      </c>
      <c r="I104" s="33">
        <v>5.5715263518138265</v>
      </c>
      <c r="J104" s="33">
        <v>10.012320328542094</v>
      </c>
      <c r="K104" s="33">
        <v>4.4407939767282683</v>
      </c>
      <c r="L104" s="33">
        <v>5.5715263518138265</v>
      </c>
      <c r="M104" s="33">
        <v>10.012320328542094</v>
      </c>
      <c r="N104" s="33">
        <v>4.3997262149212863</v>
      </c>
      <c r="O104" s="33">
        <v>5.5715263518138265</v>
      </c>
      <c r="P104" s="33">
        <v>9.9712525667351137</v>
      </c>
      <c r="Q104" s="33" t="s">
        <v>7</v>
      </c>
      <c r="R104" s="33" t="s">
        <v>7</v>
      </c>
      <c r="S104" s="33" t="s">
        <v>7</v>
      </c>
      <c r="T104" s="12">
        <v>7</v>
      </c>
      <c r="U104" s="12">
        <v>21</v>
      </c>
      <c r="V104" s="4" t="s">
        <v>1</v>
      </c>
      <c r="W104" s="4">
        <v>1</v>
      </c>
      <c r="X104" s="4">
        <v>2</v>
      </c>
      <c r="Y104" s="4">
        <v>1</v>
      </c>
      <c r="Z104" s="56">
        <v>3</v>
      </c>
      <c r="AA104" s="9" cm="1">
        <f t="array" ref="AA104">IF(OR(AB104:AE104=""),"BLANK",IF(AND(AB104:AE104&lt;999),1,IF(AND(AB104:AE104="NA"),3,2)))</f>
        <v>1</v>
      </c>
      <c r="AB104" s="4">
        <v>38</v>
      </c>
      <c r="AC104" s="4">
        <v>23</v>
      </c>
      <c r="AD104" s="4">
        <v>15</v>
      </c>
      <c r="AE104" s="5">
        <v>76</v>
      </c>
      <c r="AF104" s="9">
        <f t="shared" si="1"/>
        <v>1</v>
      </c>
      <c r="AG104" s="5">
        <v>64</v>
      </c>
      <c r="AH104" s="9" cm="1">
        <f t="array" ref="AH104">IF(OR(AI104:AN104=""),"BLANK",IF(AND(AI104:AN104&lt;99),1,IF(AND(AI104:AN104="NA"),3,2)))</f>
        <v>2</v>
      </c>
      <c r="AI104" s="4">
        <v>64</v>
      </c>
      <c r="AJ104" s="4" t="s">
        <v>7</v>
      </c>
      <c r="AK104" s="21">
        <v>114.52</v>
      </c>
      <c r="AL104" s="21">
        <v>113.12</v>
      </c>
      <c r="AM104" s="21">
        <v>80.8</v>
      </c>
      <c r="AN104" s="22">
        <v>108.44</v>
      </c>
    </row>
    <row r="105" spans="1:40" x14ac:dyDescent="0.2">
      <c r="A105" s="15">
        <v>818</v>
      </c>
      <c r="B105" s="4" t="s">
        <v>46</v>
      </c>
      <c r="C105" s="30" t="s">
        <v>23</v>
      </c>
      <c r="D105" s="30">
        <v>5</v>
      </c>
      <c r="E105" s="30">
        <v>0</v>
      </c>
      <c r="F105" s="30" t="s">
        <v>7</v>
      </c>
      <c r="G105" s="30">
        <v>29</v>
      </c>
      <c r="H105" s="33">
        <v>4.4626967830253248</v>
      </c>
      <c r="I105" s="33" t="s">
        <v>7</v>
      </c>
      <c r="J105" s="33" t="s">
        <v>7</v>
      </c>
      <c r="K105" s="33">
        <v>4.4626967830253248</v>
      </c>
      <c r="L105" s="33" t="s">
        <v>7</v>
      </c>
      <c r="M105" s="33" t="s">
        <v>7</v>
      </c>
      <c r="N105" s="33">
        <v>4.3750855578370977</v>
      </c>
      <c r="O105" s="33" t="s">
        <v>7</v>
      </c>
      <c r="P105" s="33" t="s">
        <v>7</v>
      </c>
      <c r="Q105" s="33" t="s">
        <v>7</v>
      </c>
      <c r="R105" s="33" t="s">
        <v>7</v>
      </c>
      <c r="S105" s="33" t="s">
        <v>7</v>
      </c>
      <c r="T105" s="12">
        <v>2</v>
      </c>
      <c r="U105" s="12">
        <v>12</v>
      </c>
      <c r="V105" s="4" t="s">
        <v>1</v>
      </c>
      <c r="W105" s="4">
        <v>1</v>
      </c>
      <c r="X105" s="4">
        <v>2</v>
      </c>
      <c r="Y105" s="4">
        <v>1</v>
      </c>
      <c r="Z105" s="56">
        <v>3</v>
      </c>
      <c r="AA105" s="9" cm="1">
        <f t="array" ref="AA105">IF(OR(AB105:AE105=""),"BLANK",IF(AND(AB105:AE105&lt;999),1,IF(AND(AB105:AE105="NA"),3,2)))</f>
        <v>1</v>
      </c>
      <c r="AB105" s="4">
        <v>33</v>
      </c>
      <c r="AC105" s="4">
        <v>20</v>
      </c>
      <c r="AD105" s="4">
        <v>13</v>
      </c>
      <c r="AE105" s="5">
        <v>66</v>
      </c>
      <c r="AF105" s="9">
        <f t="shared" si="1"/>
        <v>1</v>
      </c>
      <c r="AG105" s="5">
        <v>65</v>
      </c>
      <c r="AH105" s="9" cm="1">
        <f t="array" ref="AH105">IF(OR(AI105:AN105=""),"BLANK",IF(AND(AI105:AN105&lt;99),1,IF(AND(AI105:AN105="NA"),3,2)))</f>
        <v>2</v>
      </c>
      <c r="AI105" s="4">
        <v>57</v>
      </c>
      <c r="AJ105" s="4" t="s">
        <v>7</v>
      </c>
      <c r="AK105" s="21">
        <v>106.46</v>
      </c>
      <c r="AL105" s="21">
        <v>109.15</v>
      </c>
      <c r="AM105" s="21">
        <v>72.900000000000006</v>
      </c>
      <c r="AN105" s="22">
        <v>103.55</v>
      </c>
    </row>
    <row r="106" spans="1:40" x14ac:dyDescent="0.2">
      <c r="A106" s="15">
        <v>819</v>
      </c>
      <c r="B106" s="4" t="s">
        <v>67</v>
      </c>
      <c r="C106" s="30" t="s">
        <v>24</v>
      </c>
      <c r="D106" s="30">
        <v>5</v>
      </c>
      <c r="E106" s="30">
        <v>0</v>
      </c>
      <c r="F106" s="30" t="s">
        <v>7</v>
      </c>
      <c r="G106" s="30">
        <v>30</v>
      </c>
      <c r="H106" s="33">
        <v>4.131416837782341</v>
      </c>
      <c r="I106" s="33" t="s">
        <v>7</v>
      </c>
      <c r="J106" s="33" t="s">
        <v>7</v>
      </c>
      <c r="K106" s="33">
        <v>4.1505817932922655</v>
      </c>
      <c r="L106" s="33" t="s">
        <v>7</v>
      </c>
      <c r="M106" s="33" t="s">
        <v>7</v>
      </c>
      <c r="N106" s="33" t="s">
        <v>7</v>
      </c>
      <c r="O106" s="33" t="s">
        <v>7</v>
      </c>
      <c r="P106" s="33" t="s">
        <v>7</v>
      </c>
      <c r="Q106" s="33" t="s">
        <v>7</v>
      </c>
      <c r="R106" s="33" t="s">
        <v>7</v>
      </c>
      <c r="S106" s="33" t="s">
        <v>7</v>
      </c>
      <c r="T106" s="12">
        <v>6</v>
      </c>
      <c r="U106" s="12">
        <v>18</v>
      </c>
      <c r="V106" s="4" t="s">
        <v>1</v>
      </c>
      <c r="W106" s="4">
        <v>1</v>
      </c>
      <c r="X106" s="4">
        <v>2</v>
      </c>
      <c r="Y106" s="4">
        <v>1</v>
      </c>
      <c r="Z106" s="56">
        <v>3</v>
      </c>
      <c r="AA106" s="9" cm="1">
        <f t="array" ref="AA106">IF(OR(AB106:AE106=""),"BLANK",IF(AND(AB106:AE106&lt;999),1,IF(AND(AB106:AE106="NA"),3,2)))</f>
        <v>1</v>
      </c>
      <c r="AB106" s="4">
        <v>24</v>
      </c>
      <c r="AC106" s="4">
        <v>15</v>
      </c>
      <c r="AD106" s="4">
        <v>9</v>
      </c>
      <c r="AE106" s="5">
        <v>48</v>
      </c>
      <c r="AF106" s="9">
        <f t="shared" si="1"/>
        <v>1</v>
      </c>
      <c r="AG106" s="5">
        <v>37</v>
      </c>
      <c r="AH106" s="9" cm="1">
        <f t="array" ref="AH106">IF(OR(AI106:AN106=""),"BLANK",IF(AND(AI106:AN106&lt;99),1,IF(AND(AI106:AN106="NA"),3,2)))</f>
        <v>3</v>
      </c>
      <c r="AI106" s="4" t="s">
        <v>7</v>
      </c>
      <c r="AJ106" s="4" t="s">
        <v>7</v>
      </c>
      <c r="AK106" s="23" t="s">
        <v>7</v>
      </c>
      <c r="AL106" s="23" t="s">
        <v>7</v>
      </c>
      <c r="AM106" s="23" t="s">
        <v>7</v>
      </c>
      <c r="AN106" s="24" t="s">
        <v>7</v>
      </c>
    </row>
    <row r="107" spans="1:40" x14ac:dyDescent="0.2">
      <c r="A107" s="15">
        <v>823</v>
      </c>
      <c r="B107" s="4" t="s">
        <v>65</v>
      </c>
      <c r="C107" s="30" t="s">
        <v>23</v>
      </c>
      <c r="D107" s="30">
        <v>5</v>
      </c>
      <c r="E107" s="30">
        <v>0</v>
      </c>
      <c r="F107" s="30" t="s">
        <v>7</v>
      </c>
      <c r="G107" s="30">
        <v>28</v>
      </c>
      <c r="H107" s="33">
        <v>4.084873374401095</v>
      </c>
      <c r="I107" s="33">
        <v>5.5222450376454484</v>
      </c>
      <c r="J107" s="33">
        <v>9.6071184120465443</v>
      </c>
      <c r="K107" s="33">
        <v>4.1040383299110195</v>
      </c>
      <c r="L107" s="33">
        <v>5.631759069130732</v>
      </c>
      <c r="M107" s="33">
        <v>9.7357973990417523</v>
      </c>
      <c r="N107" s="33">
        <v>3.9753593429158109</v>
      </c>
      <c r="O107" s="33">
        <v>5.0924024640657084</v>
      </c>
      <c r="P107" s="33">
        <v>9.0677618069815189</v>
      </c>
      <c r="Q107" s="33">
        <v>3.1950718685831623</v>
      </c>
      <c r="R107" s="33" t="s">
        <v>7</v>
      </c>
      <c r="S107" s="33" t="s">
        <v>7</v>
      </c>
      <c r="T107" s="12">
        <v>3</v>
      </c>
      <c r="U107" s="12">
        <v>14</v>
      </c>
      <c r="V107" s="4" t="s">
        <v>1</v>
      </c>
      <c r="W107" s="4">
        <v>1</v>
      </c>
      <c r="X107" s="4">
        <v>2</v>
      </c>
      <c r="Y107" s="4">
        <v>1</v>
      </c>
      <c r="Z107" s="56">
        <v>3</v>
      </c>
      <c r="AA107" s="9" cm="1">
        <f t="array" ref="AA107">IF(OR(AB107:AE107=""),"BLANK",IF(AND(AB107:AE107&lt;999),1,IF(AND(AB107:AE107="NA"),3,2)))</f>
        <v>1</v>
      </c>
      <c r="AB107" s="4">
        <v>21</v>
      </c>
      <c r="AC107" s="4">
        <v>12</v>
      </c>
      <c r="AD107" s="4">
        <v>8</v>
      </c>
      <c r="AE107" s="5">
        <v>41</v>
      </c>
      <c r="AF107" s="9">
        <f t="shared" si="1"/>
        <v>1</v>
      </c>
      <c r="AG107" s="5">
        <v>40</v>
      </c>
      <c r="AH107" s="9" cm="1">
        <f t="array" ref="AH107">IF(OR(AI107:AN107=""),"BLANK",IF(AND(AI107:AN107&lt;99),1,IF(AND(AI107:AN107="NA"),3,2)))</f>
        <v>2</v>
      </c>
      <c r="AI107" s="4">
        <v>54</v>
      </c>
      <c r="AJ107" s="4" t="s">
        <v>7</v>
      </c>
      <c r="AK107" s="21">
        <v>102.61</v>
      </c>
      <c r="AL107" s="21">
        <v>120.98</v>
      </c>
      <c r="AM107" s="21">
        <v>91.9</v>
      </c>
      <c r="AN107" s="22">
        <v>116.88</v>
      </c>
    </row>
    <row r="108" spans="1:40" x14ac:dyDescent="0.2">
      <c r="A108" s="15">
        <v>829</v>
      </c>
      <c r="B108" s="4" t="s">
        <v>46</v>
      </c>
      <c r="C108" s="30" t="s">
        <v>24</v>
      </c>
      <c r="D108" s="30">
        <v>5</v>
      </c>
      <c r="E108" s="30">
        <v>0</v>
      </c>
      <c r="F108" s="30" t="s">
        <v>7</v>
      </c>
      <c r="G108" s="30">
        <v>30</v>
      </c>
      <c r="H108" s="33">
        <v>4.131416837782341</v>
      </c>
      <c r="I108" s="33">
        <v>5.4045174537987677</v>
      </c>
      <c r="J108" s="33">
        <v>9.5359342915811087</v>
      </c>
      <c r="K108" s="33">
        <v>4.131416837782341</v>
      </c>
      <c r="L108" s="33">
        <v>5.6646132785763177</v>
      </c>
      <c r="M108" s="33">
        <v>9.7960301163586578</v>
      </c>
      <c r="N108" s="33">
        <v>4.1341546885694731</v>
      </c>
      <c r="O108" s="33">
        <v>5.248459958932238</v>
      </c>
      <c r="P108" s="33">
        <v>9.3826146475017111</v>
      </c>
      <c r="Q108" s="33">
        <v>3.2580424366872007</v>
      </c>
      <c r="R108" s="33">
        <v>6.2039698836413413</v>
      </c>
      <c r="S108" s="33">
        <v>9.462012320328542</v>
      </c>
      <c r="T108" s="12" t="s">
        <v>7</v>
      </c>
      <c r="U108" s="12" t="s">
        <v>7</v>
      </c>
      <c r="V108" s="4" t="s">
        <v>1</v>
      </c>
      <c r="W108" s="4">
        <v>1</v>
      </c>
      <c r="X108" s="4">
        <v>2</v>
      </c>
      <c r="Y108" s="4">
        <v>1</v>
      </c>
      <c r="Z108" s="56">
        <v>3</v>
      </c>
      <c r="AA108" s="9" cm="1">
        <f t="array" ref="AA108">IF(OR(AB108:AE108=""),"BLANK",IF(AND(AB108:AE108&lt;999),1,IF(AND(AB108:AE108="NA"),3,2)))</f>
        <v>1</v>
      </c>
      <c r="AB108" s="4">
        <v>23</v>
      </c>
      <c r="AC108" s="4">
        <v>17</v>
      </c>
      <c r="AD108" s="4">
        <v>11</v>
      </c>
      <c r="AE108" s="5">
        <v>51</v>
      </c>
      <c r="AF108" s="9">
        <f t="shared" si="1"/>
        <v>1</v>
      </c>
      <c r="AG108" s="5">
        <v>46</v>
      </c>
      <c r="AH108" s="9" cm="1">
        <f t="array" ref="AH108">IF(OR(AI108:AN108=""),"BLANK",IF(AND(AI108:AN108&lt;99),1,IF(AND(AI108:AN108="NA"),3,2)))</f>
        <v>2</v>
      </c>
      <c r="AI108" s="4">
        <v>58</v>
      </c>
      <c r="AJ108" s="4" t="s">
        <v>7</v>
      </c>
      <c r="AK108" s="21">
        <v>107.25</v>
      </c>
      <c r="AL108" s="21">
        <v>110.38</v>
      </c>
      <c r="AM108" s="21">
        <v>75.5</v>
      </c>
      <c r="AN108" s="22" t="s">
        <v>7</v>
      </c>
    </row>
    <row r="109" spans="1:40" x14ac:dyDescent="0.2">
      <c r="A109" s="15">
        <v>831</v>
      </c>
      <c r="B109" s="4" t="s">
        <v>59</v>
      </c>
      <c r="C109" s="30" t="s">
        <v>23</v>
      </c>
      <c r="D109" s="30">
        <v>5</v>
      </c>
      <c r="E109" s="30">
        <v>0</v>
      </c>
      <c r="F109" s="30" t="s">
        <v>7</v>
      </c>
      <c r="G109" s="30">
        <v>30</v>
      </c>
      <c r="H109" s="33">
        <v>4.0082135523613962</v>
      </c>
      <c r="I109" s="33">
        <v>5.4236824093086931</v>
      </c>
      <c r="J109" s="33">
        <v>9.4318959616700884</v>
      </c>
      <c r="K109" s="33">
        <v>4.0082135523613962</v>
      </c>
      <c r="L109" s="33">
        <v>5.4236824093086931</v>
      </c>
      <c r="M109" s="33">
        <v>9.4318959616700884</v>
      </c>
      <c r="N109" s="33">
        <v>4.0273785078713207</v>
      </c>
      <c r="O109" s="33">
        <v>5.0978781656399725</v>
      </c>
      <c r="P109" s="33">
        <v>9.1252566735112932</v>
      </c>
      <c r="Q109" s="33">
        <v>3.2388774811772758</v>
      </c>
      <c r="R109" s="33">
        <v>6.2669404517453797</v>
      </c>
      <c r="S109" s="33">
        <v>9.5058179329226551</v>
      </c>
      <c r="T109" s="12">
        <v>3</v>
      </c>
      <c r="U109" s="12">
        <v>14</v>
      </c>
      <c r="V109" s="4" t="s">
        <v>1</v>
      </c>
      <c r="W109" s="4">
        <v>1</v>
      </c>
      <c r="X109" s="4">
        <v>2</v>
      </c>
      <c r="Y109" s="4">
        <v>1</v>
      </c>
      <c r="Z109" s="56">
        <v>3</v>
      </c>
      <c r="AA109" s="9" cm="1">
        <f t="array" ref="AA109">IF(OR(AB109:AE109=""),"BLANK",IF(AND(AB109:AE109&lt;999),1,IF(AND(AB109:AE109="NA"),3,2)))</f>
        <v>1</v>
      </c>
      <c r="AB109" s="4">
        <v>25</v>
      </c>
      <c r="AC109" s="4">
        <v>15</v>
      </c>
      <c r="AD109" s="4">
        <v>12</v>
      </c>
      <c r="AE109" s="5">
        <v>52</v>
      </c>
      <c r="AF109" s="9">
        <f t="shared" si="1"/>
        <v>1</v>
      </c>
      <c r="AG109" s="5">
        <v>61</v>
      </c>
      <c r="AH109" s="9" cm="1">
        <f t="array" ref="AH109">IF(OR(AI109:AN109=""),"BLANK",IF(AND(AI109:AN109&lt;99),1,IF(AND(AI109:AN109="NA"),3,2)))</f>
        <v>2</v>
      </c>
      <c r="AI109" s="4">
        <v>51</v>
      </c>
      <c r="AJ109" s="4" t="s">
        <v>7</v>
      </c>
      <c r="AK109" s="21">
        <v>98.97</v>
      </c>
      <c r="AL109" s="21">
        <v>101.13</v>
      </c>
      <c r="AM109" s="21">
        <v>53.2</v>
      </c>
      <c r="AN109" s="22" t="s">
        <v>7</v>
      </c>
    </row>
    <row r="110" spans="1:40" x14ac:dyDescent="0.2">
      <c r="A110" s="15">
        <v>833</v>
      </c>
      <c r="B110" s="4" t="s">
        <v>66</v>
      </c>
      <c r="C110" s="30" t="s">
        <v>23</v>
      </c>
      <c r="D110" s="30">
        <v>5</v>
      </c>
      <c r="E110" s="30">
        <v>0</v>
      </c>
      <c r="F110" s="30" t="s">
        <v>7</v>
      </c>
      <c r="G110" s="30">
        <v>25</v>
      </c>
      <c r="H110" s="33">
        <v>4.0027378507871321</v>
      </c>
      <c r="I110" s="33">
        <v>5.6153319644079396</v>
      </c>
      <c r="J110" s="33">
        <v>9.6180698151950725</v>
      </c>
      <c r="K110" s="33">
        <v>4.0219028062970565</v>
      </c>
      <c r="L110" s="33">
        <v>5.5961670088980151</v>
      </c>
      <c r="M110" s="33">
        <v>9.6180698151950725</v>
      </c>
      <c r="N110" s="33">
        <v>4.0219028062970565</v>
      </c>
      <c r="O110" s="33">
        <v>5.5222450376454484</v>
      </c>
      <c r="P110" s="33">
        <v>9.5441478439425058</v>
      </c>
      <c r="Q110" s="33">
        <v>3.2361396303901437</v>
      </c>
      <c r="R110" s="33">
        <v>6.0698151950718682</v>
      </c>
      <c r="S110" s="33">
        <v>9.3059548254620115</v>
      </c>
      <c r="T110" s="12" t="s">
        <v>7</v>
      </c>
      <c r="U110" s="12" t="s">
        <v>7</v>
      </c>
      <c r="V110" s="4" t="s">
        <v>1</v>
      </c>
      <c r="W110" s="4">
        <v>1</v>
      </c>
      <c r="X110" s="4">
        <v>2</v>
      </c>
      <c r="Y110" s="4">
        <v>1</v>
      </c>
      <c r="Z110" s="56">
        <v>3</v>
      </c>
      <c r="AA110" s="9" cm="1">
        <f t="array" ref="AA110">IF(OR(AB110:AE110=""),"BLANK",IF(AND(AB110:AE110&lt;999),1,IF(AND(AB110:AE110="NA"),3,2)))</f>
        <v>1</v>
      </c>
      <c r="AB110" s="4">
        <v>30</v>
      </c>
      <c r="AC110" s="4">
        <v>20</v>
      </c>
      <c r="AD110" s="4">
        <v>13</v>
      </c>
      <c r="AE110" s="5">
        <v>63</v>
      </c>
      <c r="AF110" s="9">
        <f t="shared" si="1"/>
        <v>1</v>
      </c>
      <c r="AG110" s="5">
        <v>40</v>
      </c>
      <c r="AH110" s="9" cm="1">
        <f t="array" ref="AH110">IF(OR(AI110:AN110=""),"BLANK",IF(AND(AI110:AN110&lt;99),1,IF(AND(AI110:AN110="NA"),3,2)))</f>
        <v>3</v>
      </c>
      <c r="AI110" s="4" t="s">
        <v>7</v>
      </c>
      <c r="AJ110" s="4" t="s">
        <v>7</v>
      </c>
      <c r="AK110" s="23" t="s">
        <v>7</v>
      </c>
      <c r="AL110" s="23" t="s">
        <v>7</v>
      </c>
      <c r="AM110" s="23" t="s">
        <v>7</v>
      </c>
      <c r="AN110" s="24" t="s">
        <v>7</v>
      </c>
    </row>
    <row r="111" spans="1:40" x14ac:dyDescent="0.2">
      <c r="A111" s="15">
        <v>835</v>
      </c>
      <c r="B111" s="4" t="s">
        <v>57</v>
      </c>
      <c r="C111" s="30" t="s">
        <v>23</v>
      </c>
      <c r="D111" s="30">
        <v>5</v>
      </c>
      <c r="E111" s="30">
        <v>0</v>
      </c>
      <c r="F111" s="30" t="s">
        <v>7</v>
      </c>
      <c r="G111" s="30">
        <v>30</v>
      </c>
      <c r="H111" s="33">
        <v>4.561259411362081</v>
      </c>
      <c r="I111" s="33">
        <v>4.2984257357973989</v>
      </c>
      <c r="J111" s="33">
        <v>8.85968514715948</v>
      </c>
      <c r="K111" s="33">
        <v>4.6187542778918553</v>
      </c>
      <c r="L111" s="33">
        <v>4.2409308692676246</v>
      </c>
      <c r="M111" s="33">
        <v>8.85968514715948</v>
      </c>
      <c r="N111" s="33">
        <v>4.4845995893223822</v>
      </c>
      <c r="O111" s="33">
        <v>4.0492813141683781</v>
      </c>
      <c r="P111" s="33">
        <v>8.5338809034907595</v>
      </c>
      <c r="Q111" s="33" t="s">
        <v>7</v>
      </c>
      <c r="R111" s="33" t="s">
        <v>7</v>
      </c>
      <c r="S111" s="33" t="s">
        <v>7</v>
      </c>
      <c r="T111" s="12">
        <v>4</v>
      </c>
      <c r="U111" s="12">
        <v>16</v>
      </c>
      <c r="V111" s="4" t="s">
        <v>1</v>
      </c>
      <c r="W111" s="4">
        <v>1</v>
      </c>
      <c r="X111" s="4">
        <v>2</v>
      </c>
      <c r="Y111" s="4">
        <v>1</v>
      </c>
      <c r="Z111" s="56">
        <v>3</v>
      </c>
      <c r="AA111" s="9" cm="1">
        <f t="array" ref="AA111">IF(OR(AB111:AE111=""),"BLANK",IF(AND(AB111:AE111&lt;999),1,IF(AND(AB111:AE111="NA"),3,2)))</f>
        <v>1</v>
      </c>
      <c r="AB111" s="4">
        <v>28</v>
      </c>
      <c r="AC111" s="4">
        <v>21</v>
      </c>
      <c r="AD111" s="4">
        <v>14</v>
      </c>
      <c r="AE111" s="5">
        <v>63</v>
      </c>
      <c r="AF111" s="9">
        <f t="shared" si="1"/>
        <v>1</v>
      </c>
      <c r="AG111" s="5">
        <v>69</v>
      </c>
      <c r="AH111" s="9" cm="1">
        <f t="array" ref="AH111">IF(OR(AI111:AN111=""),"BLANK",IF(AND(AI111:AN111&lt;99),1,IF(AND(AI111:AN111="NA"),3,2)))</f>
        <v>2</v>
      </c>
      <c r="AI111" s="4" t="s">
        <v>7</v>
      </c>
      <c r="AJ111" s="4" t="s">
        <v>7</v>
      </c>
      <c r="AK111" s="21">
        <v>134.82</v>
      </c>
      <c r="AL111" s="21">
        <v>136.81</v>
      </c>
      <c r="AM111" s="21">
        <v>99.3</v>
      </c>
      <c r="AN111" s="22">
        <v>134.05000000000001</v>
      </c>
    </row>
    <row r="112" spans="1:40" x14ac:dyDescent="0.2">
      <c r="A112" s="15">
        <v>841</v>
      </c>
      <c r="B112" s="4" t="s">
        <v>46</v>
      </c>
      <c r="C112" s="30" t="s">
        <v>23</v>
      </c>
      <c r="D112" s="30">
        <v>5</v>
      </c>
      <c r="E112" s="30">
        <v>0</v>
      </c>
      <c r="F112" s="30" t="s">
        <v>7</v>
      </c>
      <c r="G112" s="30">
        <v>30</v>
      </c>
      <c r="H112" s="33">
        <v>3.9972621492128679</v>
      </c>
      <c r="I112" s="33">
        <v>5.5687885010266944</v>
      </c>
      <c r="J112" s="33">
        <v>9.5660506502395624</v>
      </c>
      <c r="K112" s="33">
        <v>3.9972621492128679</v>
      </c>
      <c r="L112" s="33">
        <v>5.5687885010266944</v>
      </c>
      <c r="M112" s="33">
        <v>9.5660506502395624</v>
      </c>
      <c r="N112" s="33">
        <v>4</v>
      </c>
      <c r="O112" s="33">
        <v>5.1964407939767279</v>
      </c>
      <c r="P112" s="33">
        <v>9.1964407939767288</v>
      </c>
      <c r="Q112" s="33" t="s">
        <v>7</v>
      </c>
      <c r="R112" s="33" t="s">
        <v>7</v>
      </c>
      <c r="S112" s="33" t="s">
        <v>7</v>
      </c>
      <c r="T112" s="12">
        <v>7</v>
      </c>
      <c r="U112" s="12">
        <v>21</v>
      </c>
      <c r="V112" s="4" t="s">
        <v>1</v>
      </c>
      <c r="W112" s="4">
        <v>1</v>
      </c>
      <c r="X112" s="4">
        <v>2</v>
      </c>
      <c r="Y112" s="4">
        <v>1</v>
      </c>
      <c r="Z112" s="56">
        <v>3</v>
      </c>
      <c r="AA112" s="9" cm="1">
        <f t="array" ref="AA112">IF(OR(AB112:AE112=""),"BLANK",IF(AND(AB112:AE112&lt;999),1,IF(AND(AB112:AE112="NA"),3,2)))</f>
        <v>1</v>
      </c>
      <c r="AB112" s="4">
        <v>41</v>
      </c>
      <c r="AC112" s="4">
        <v>27</v>
      </c>
      <c r="AD112" s="4">
        <v>16</v>
      </c>
      <c r="AE112" s="5">
        <v>84</v>
      </c>
      <c r="AF112" s="9">
        <f t="shared" si="1"/>
        <v>1</v>
      </c>
      <c r="AG112" s="5">
        <v>75</v>
      </c>
      <c r="AH112" s="9" cm="1">
        <f t="array" ref="AH112">IF(OR(AI112:AN112=""),"BLANK",IF(AND(AI112:AN112&lt;99),1,IF(AND(AI112:AN112="NA"),3,2)))</f>
        <v>2</v>
      </c>
      <c r="AI112" s="4">
        <v>62</v>
      </c>
      <c r="AJ112" s="4" t="s">
        <v>7</v>
      </c>
      <c r="AK112" s="21">
        <v>111.77</v>
      </c>
      <c r="AL112" s="21">
        <v>118.06</v>
      </c>
      <c r="AM112" s="21">
        <v>88.5</v>
      </c>
      <c r="AN112" s="22" t="s">
        <v>7</v>
      </c>
    </row>
    <row r="113" spans="1:40" x14ac:dyDescent="0.2">
      <c r="A113" s="15">
        <v>849</v>
      </c>
      <c r="B113" s="4" t="s">
        <v>60</v>
      </c>
      <c r="C113" s="30" t="s">
        <v>24</v>
      </c>
      <c r="D113" s="30">
        <v>5</v>
      </c>
      <c r="E113" s="30">
        <v>0</v>
      </c>
      <c r="F113" s="30" t="s">
        <v>7</v>
      </c>
      <c r="G113" s="30">
        <v>30</v>
      </c>
      <c r="H113" s="33">
        <v>4.1587953456536617</v>
      </c>
      <c r="I113" s="33">
        <v>5.7577002053388089</v>
      </c>
      <c r="J113" s="33">
        <v>9.9164955509924706</v>
      </c>
      <c r="K113" s="33">
        <v>4.2354551676933605</v>
      </c>
      <c r="L113" s="33">
        <v>5.7002053388090346</v>
      </c>
      <c r="M113" s="33">
        <v>9.935660506502396</v>
      </c>
      <c r="N113" s="33">
        <v>4.476386036960986</v>
      </c>
      <c r="O113" s="33">
        <v>5.4318959616700893</v>
      </c>
      <c r="P113" s="33">
        <v>9.9082819986310753</v>
      </c>
      <c r="Q113" s="33" t="s">
        <v>7</v>
      </c>
      <c r="R113" s="33" t="s">
        <v>7</v>
      </c>
      <c r="S113" s="33" t="s">
        <v>7</v>
      </c>
      <c r="T113" s="12">
        <v>7</v>
      </c>
      <c r="U113" s="12">
        <v>21</v>
      </c>
      <c r="V113" s="4" t="s">
        <v>1</v>
      </c>
      <c r="W113" s="4">
        <v>1</v>
      </c>
      <c r="X113" s="4">
        <v>2</v>
      </c>
      <c r="Y113" s="4">
        <v>1</v>
      </c>
      <c r="Z113" s="56">
        <v>3</v>
      </c>
      <c r="AA113" s="9" cm="1">
        <f t="array" ref="AA113">IF(OR(AB113:AE113=""),"BLANK",IF(AND(AB113:AE113&lt;999),1,IF(AND(AB113:AE113="NA"),3,2)))</f>
        <v>1</v>
      </c>
      <c r="AB113" s="4">
        <v>29</v>
      </c>
      <c r="AC113" s="4">
        <v>17</v>
      </c>
      <c r="AD113" s="4">
        <v>11</v>
      </c>
      <c r="AE113" s="5">
        <v>57</v>
      </c>
      <c r="AF113" s="9">
        <f t="shared" si="1"/>
        <v>1</v>
      </c>
      <c r="AG113" s="5">
        <v>63</v>
      </c>
      <c r="AH113" s="9" cm="1">
        <f t="array" ref="AH113">IF(OR(AI113:AN113=""),"BLANK",IF(AND(AI113:AN113&lt;99),1,IF(AND(AI113:AN113="NA"),3,2)))</f>
        <v>2</v>
      </c>
      <c r="AI113" s="4">
        <v>55</v>
      </c>
      <c r="AJ113" s="4" t="s">
        <v>7</v>
      </c>
      <c r="AK113" s="21">
        <v>104.66</v>
      </c>
      <c r="AL113" s="21">
        <v>92.58</v>
      </c>
      <c r="AM113" s="21">
        <v>31.2</v>
      </c>
      <c r="AN113" s="22" t="s">
        <v>7</v>
      </c>
    </row>
    <row r="114" spans="1:40" x14ac:dyDescent="0.2">
      <c r="A114" s="15">
        <v>860</v>
      </c>
      <c r="B114" s="4" t="s">
        <v>64</v>
      </c>
      <c r="C114" s="30" t="s">
        <v>23</v>
      </c>
      <c r="D114" s="30">
        <v>5</v>
      </c>
      <c r="E114" s="30">
        <v>0</v>
      </c>
      <c r="F114" s="30" t="s">
        <v>7</v>
      </c>
      <c r="G114" s="30">
        <v>30</v>
      </c>
      <c r="H114" s="33">
        <v>3.9863107460643397</v>
      </c>
      <c r="I114" s="33">
        <v>5.5249828884325805</v>
      </c>
      <c r="J114" s="33">
        <v>9.5112936344969192</v>
      </c>
      <c r="K114" s="33">
        <v>3.9863107460643397</v>
      </c>
      <c r="L114" s="33">
        <v>5.5824777549623548</v>
      </c>
      <c r="M114" s="33">
        <v>9.5687885010266935</v>
      </c>
      <c r="N114" s="33">
        <v>3.9698836413415468</v>
      </c>
      <c r="O114" s="33">
        <v>5.2731006160164275</v>
      </c>
      <c r="P114" s="33">
        <v>9.2429842573579748</v>
      </c>
      <c r="Q114" s="33">
        <v>3.184120465434634</v>
      </c>
      <c r="R114" s="33" t="s">
        <v>7</v>
      </c>
      <c r="S114" s="33" t="s">
        <v>7</v>
      </c>
      <c r="T114" s="12" t="s">
        <v>7</v>
      </c>
      <c r="U114" s="12" t="s">
        <v>7</v>
      </c>
      <c r="V114" s="4" t="s">
        <v>1</v>
      </c>
      <c r="W114" s="4">
        <v>1</v>
      </c>
      <c r="X114" s="4">
        <v>2</v>
      </c>
      <c r="Y114" s="4">
        <v>1</v>
      </c>
      <c r="Z114" s="56">
        <v>3</v>
      </c>
      <c r="AA114" s="9" cm="1">
        <f t="array" ref="AA114">IF(OR(AB114:AE114=""),"BLANK",IF(AND(AB114:AE114&lt;999),1,IF(AND(AB114:AE114="NA"),3,2)))</f>
        <v>1</v>
      </c>
      <c r="AB114" s="4">
        <v>23</v>
      </c>
      <c r="AC114" s="4">
        <v>14</v>
      </c>
      <c r="AD114" s="4">
        <v>11</v>
      </c>
      <c r="AE114" s="5">
        <v>48</v>
      </c>
      <c r="AF114" s="9">
        <f t="shared" si="1"/>
        <v>1</v>
      </c>
      <c r="AG114" s="5">
        <v>41</v>
      </c>
      <c r="AH114" s="9" cm="1">
        <f t="array" ref="AH114">IF(OR(AI114:AN114=""),"BLANK",IF(AND(AI114:AN114&lt;99),1,IF(AND(AI114:AN114="NA"),3,2)))</f>
        <v>2</v>
      </c>
      <c r="AI114" s="4">
        <v>46</v>
      </c>
      <c r="AJ114" s="4" t="s">
        <v>7</v>
      </c>
      <c r="AK114" s="21">
        <v>93.66</v>
      </c>
      <c r="AL114" s="21">
        <v>106.51</v>
      </c>
      <c r="AM114" s="21">
        <v>66.599999999999994</v>
      </c>
      <c r="AN114" s="22" t="s">
        <v>7</v>
      </c>
    </row>
    <row r="115" spans="1:40" x14ac:dyDescent="0.2">
      <c r="A115" s="15">
        <v>867</v>
      </c>
      <c r="B115" s="4" t="s">
        <v>67</v>
      </c>
      <c r="C115" s="30" t="s">
        <v>24</v>
      </c>
      <c r="D115" s="30">
        <v>5</v>
      </c>
      <c r="E115" s="30">
        <v>0</v>
      </c>
      <c r="F115" s="30" t="s">
        <v>7</v>
      </c>
      <c r="G115" s="30">
        <v>29</v>
      </c>
      <c r="H115" s="33">
        <v>4.1396303901437372</v>
      </c>
      <c r="I115" s="33" t="s">
        <v>7</v>
      </c>
      <c r="J115" s="33" t="s">
        <v>7</v>
      </c>
      <c r="K115" s="33">
        <v>4.1396303901437372</v>
      </c>
      <c r="L115" s="33" t="s">
        <v>7</v>
      </c>
      <c r="M115" s="33" t="s">
        <v>7</v>
      </c>
      <c r="N115" s="33">
        <v>4.1943874058863795</v>
      </c>
      <c r="O115" s="33" t="s">
        <v>7</v>
      </c>
      <c r="P115" s="33" t="s">
        <v>7</v>
      </c>
      <c r="Q115" s="33">
        <v>3.3100616016427105</v>
      </c>
      <c r="R115" s="33" t="s">
        <v>7</v>
      </c>
      <c r="S115" s="33" t="s">
        <v>7</v>
      </c>
      <c r="T115" s="12">
        <v>4</v>
      </c>
      <c r="U115" s="12">
        <v>16</v>
      </c>
      <c r="V115" s="4" t="s">
        <v>1</v>
      </c>
      <c r="W115" s="4">
        <v>1</v>
      </c>
      <c r="X115" s="4">
        <v>2</v>
      </c>
      <c r="Y115" s="4">
        <v>1</v>
      </c>
      <c r="Z115" s="56">
        <v>3</v>
      </c>
      <c r="AA115" s="9" cm="1">
        <f t="array" ref="AA115">IF(OR(AB115:AE115=""),"BLANK",IF(AND(AB115:AE115&lt;999),1,IF(AND(AB115:AE115="NA"),3,2)))</f>
        <v>1</v>
      </c>
      <c r="AB115" s="4">
        <v>26</v>
      </c>
      <c r="AC115" s="4">
        <v>14</v>
      </c>
      <c r="AD115" s="4">
        <v>12</v>
      </c>
      <c r="AE115" s="5">
        <v>52</v>
      </c>
      <c r="AF115" s="9">
        <f t="shared" si="1"/>
        <v>1</v>
      </c>
      <c r="AG115" s="5">
        <v>52</v>
      </c>
      <c r="AH115" s="9" cm="1">
        <f t="array" ref="AH115">IF(OR(AI115:AN115=""),"BLANK",IF(AND(AI115:AN115&lt;99),1,IF(AND(AI115:AN115="NA"),3,2)))</f>
        <v>2</v>
      </c>
      <c r="AI115" s="4">
        <v>43</v>
      </c>
      <c r="AJ115" s="4" t="s">
        <v>7</v>
      </c>
      <c r="AK115" s="23" t="s">
        <v>7</v>
      </c>
      <c r="AL115" s="23" t="s">
        <v>7</v>
      </c>
      <c r="AM115" s="23" t="s">
        <v>7</v>
      </c>
      <c r="AN115" s="24" t="s">
        <v>7</v>
      </c>
    </row>
    <row r="116" spans="1:40" x14ac:dyDescent="0.2">
      <c r="A116" s="15">
        <v>872</v>
      </c>
      <c r="B116" s="4" t="s">
        <v>59</v>
      </c>
      <c r="C116" s="30" t="s">
        <v>23</v>
      </c>
      <c r="D116" s="30">
        <v>5</v>
      </c>
      <c r="E116" s="30">
        <v>0</v>
      </c>
      <c r="F116" s="30" t="s">
        <v>7</v>
      </c>
      <c r="G116" s="30">
        <v>30</v>
      </c>
      <c r="H116" s="33">
        <v>3.9589322381930185</v>
      </c>
      <c r="I116" s="33">
        <v>5.4428473648186175</v>
      </c>
      <c r="J116" s="33">
        <v>9.4017796030116365</v>
      </c>
      <c r="K116" s="33">
        <v>3.9589322381930185</v>
      </c>
      <c r="L116" s="33">
        <v>5.4428473648186175</v>
      </c>
      <c r="M116" s="33">
        <v>9.4017796030116365</v>
      </c>
      <c r="N116" s="33">
        <v>3.9972621492128679</v>
      </c>
      <c r="O116" s="33">
        <v>5.0814510609171801</v>
      </c>
      <c r="P116" s="33">
        <v>9.0787132101300472</v>
      </c>
      <c r="Q116" s="33">
        <v>3.353867214236824</v>
      </c>
      <c r="R116" s="33" t="s">
        <v>7</v>
      </c>
      <c r="S116" s="33" t="s">
        <v>7</v>
      </c>
      <c r="T116" s="12">
        <v>6</v>
      </c>
      <c r="U116" s="12">
        <v>18</v>
      </c>
      <c r="V116" s="4" t="s">
        <v>1</v>
      </c>
      <c r="W116" s="4">
        <v>1</v>
      </c>
      <c r="X116" s="4">
        <v>2</v>
      </c>
      <c r="Y116" s="4">
        <v>1</v>
      </c>
      <c r="Z116" s="56">
        <v>3</v>
      </c>
      <c r="AA116" s="9" cm="1">
        <f t="array" ref="AA116">IF(OR(AB116:AE116=""),"BLANK",IF(AND(AB116:AE116&lt;999),1,IF(AND(AB116:AE116="NA"),3,2)))</f>
        <v>1</v>
      </c>
      <c r="AB116" s="4">
        <v>27</v>
      </c>
      <c r="AC116" s="4">
        <v>18</v>
      </c>
      <c r="AD116" s="4">
        <v>13</v>
      </c>
      <c r="AE116" s="5">
        <v>58</v>
      </c>
      <c r="AF116" s="9">
        <f t="shared" si="1"/>
        <v>1</v>
      </c>
      <c r="AG116" s="5">
        <v>52</v>
      </c>
      <c r="AH116" s="9" cm="1">
        <f t="array" ref="AH116">IF(OR(AI116:AN116=""),"BLANK",IF(AND(AI116:AN116&lt;99),1,IF(AND(AI116:AN116="NA"),3,2)))</f>
        <v>2</v>
      </c>
      <c r="AI116" s="4">
        <v>53</v>
      </c>
      <c r="AJ116" s="4" t="s">
        <v>7</v>
      </c>
      <c r="AK116" s="21">
        <v>101.5</v>
      </c>
      <c r="AL116" s="21">
        <v>104.9</v>
      </c>
      <c r="AM116" s="21">
        <v>62.9</v>
      </c>
      <c r="AN116" s="22" t="s">
        <v>7</v>
      </c>
    </row>
    <row r="117" spans="1:40" x14ac:dyDescent="0.2">
      <c r="A117" s="15">
        <v>881</v>
      </c>
      <c r="B117" s="4" t="s">
        <v>66</v>
      </c>
      <c r="C117" s="30" t="s">
        <v>23</v>
      </c>
      <c r="D117" s="30">
        <v>5</v>
      </c>
      <c r="E117" s="30">
        <v>0</v>
      </c>
      <c r="F117" s="30" t="s">
        <v>7</v>
      </c>
      <c r="G117" s="30">
        <v>29</v>
      </c>
      <c r="H117" s="33">
        <v>4.1834360027378512</v>
      </c>
      <c r="I117" s="33" t="s">
        <v>7</v>
      </c>
      <c r="J117" s="33" t="s">
        <v>7</v>
      </c>
      <c r="K117" s="33">
        <v>4.1834360027378512</v>
      </c>
      <c r="L117" s="33" t="s">
        <v>7</v>
      </c>
      <c r="M117" s="33" t="s">
        <v>7</v>
      </c>
      <c r="N117" s="33">
        <v>4.1451060917180014</v>
      </c>
      <c r="O117" s="33" t="s">
        <v>7</v>
      </c>
      <c r="P117" s="33" t="s">
        <v>7</v>
      </c>
      <c r="Q117" s="33" t="s">
        <v>7</v>
      </c>
      <c r="R117" s="33" t="s">
        <v>7</v>
      </c>
      <c r="S117" s="33" t="s">
        <v>7</v>
      </c>
      <c r="T117" s="12" t="s">
        <v>7</v>
      </c>
      <c r="U117" s="12" t="s">
        <v>7</v>
      </c>
      <c r="V117" s="4" t="s">
        <v>1</v>
      </c>
      <c r="W117" s="4">
        <v>1</v>
      </c>
      <c r="X117" s="4">
        <v>2</v>
      </c>
      <c r="Y117" s="4">
        <v>1</v>
      </c>
      <c r="Z117" s="56">
        <v>3</v>
      </c>
      <c r="AA117" s="9" cm="1">
        <f t="array" ref="AA117">IF(OR(AB117:AE117=""),"BLANK",IF(AND(AB117:AE117&lt;999),1,IF(AND(AB117:AE117="NA"),3,2)))</f>
        <v>1</v>
      </c>
      <c r="AB117" s="4">
        <v>17</v>
      </c>
      <c r="AC117" s="4">
        <v>15</v>
      </c>
      <c r="AD117" s="4">
        <v>10</v>
      </c>
      <c r="AE117" s="5">
        <v>42</v>
      </c>
      <c r="AF117" s="9">
        <f t="shared" si="1"/>
        <v>1</v>
      </c>
      <c r="AG117" s="5">
        <v>38</v>
      </c>
      <c r="AH117" s="9" cm="1">
        <f t="array" ref="AH117">IF(OR(AI117:AN117=""),"BLANK",IF(AND(AI117:AN117&lt;99),1,IF(AND(AI117:AN117="NA"),3,2)))</f>
        <v>2</v>
      </c>
      <c r="AI117" s="4">
        <v>43</v>
      </c>
      <c r="AJ117" s="4" t="s">
        <v>7</v>
      </c>
      <c r="AK117" s="21">
        <v>90.49</v>
      </c>
      <c r="AL117" s="21">
        <v>95.06</v>
      </c>
      <c r="AM117" s="21">
        <v>37.1</v>
      </c>
      <c r="AN117" s="22" t="s">
        <v>7</v>
      </c>
    </row>
    <row r="118" spans="1:40" x14ac:dyDescent="0.2">
      <c r="A118" s="15">
        <v>883</v>
      </c>
      <c r="B118" s="4" t="s">
        <v>61</v>
      </c>
      <c r="C118" s="30" t="s">
        <v>23</v>
      </c>
      <c r="D118" s="30">
        <v>5</v>
      </c>
      <c r="E118" s="30">
        <v>0</v>
      </c>
      <c r="F118" s="30" t="s">
        <v>7</v>
      </c>
      <c r="G118" s="30">
        <v>30</v>
      </c>
      <c r="H118" s="33">
        <v>4.4052019164955514</v>
      </c>
      <c r="I118" s="33" t="s">
        <v>7</v>
      </c>
      <c r="J118" s="33" t="s">
        <v>7</v>
      </c>
      <c r="K118" s="33">
        <v>4.4024640657084193</v>
      </c>
      <c r="L118" s="33" t="s">
        <v>7</v>
      </c>
      <c r="M118" s="33" t="s">
        <v>7</v>
      </c>
      <c r="N118" s="33">
        <v>4.213552361396304</v>
      </c>
      <c r="O118" s="33" t="s">
        <v>7</v>
      </c>
      <c r="P118" s="33" t="s">
        <v>7</v>
      </c>
      <c r="Q118" s="33" t="s">
        <v>7</v>
      </c>
      <c r="R118" s="33" t="s">
        <v>7</v>
      </c>
      <c r="S118" s="33" t="s">
        <v>7</v>
      </c>
      <c r="T118" s="12" t="s">
        <v>7</v>
      </c>
      <c r="U118" s="12" t="s">
        <v>7</v>
      </c>
      <c r="V118" s="4" t="s">
        <v>1</v>
      </c>
      <c r="W118" s="4">
        <v>1</v>
      </c>
      <c r="X118" s="4">
        <v>2</v>
      </c>
      <c r="Y118" s="4">
        <v>1</v>
      </c>
      <c r="Z118" s="56">
        <v>3</v>
      </c>
      <c r="AA118" s="9" cm="1">
        <f t="array" ref="AA118">IF(OR(AB118:AE118=""),"BLANK",IF(AND(AB118:AE118&lt;999),1,IF(AND(AB118:AE118="NA"),3,2)))</f>
        <v>1</v>
      </c>
      <c r="AB118" s="4">
        <v>31</v>
      </c>
      <c r="AC118" s="4">
        <v>21</v>
      </c>
      <c r="AD118" s="4">
        <v>13</v>
      </c>
      <c r="AE118" s="5">
        <v>65</v>
      </c>
      <c r="AF118" s="9">
        <f t="shared" si="1"/>
        <v>1</v>
      </c>
      <c r="AG118" s="5">
        <v>51</v>
      </c>
      <c r="AH118" s="9" cm="1">
        <f t="array" ref="AH118">IF(OR(AI118:AN118=""),"BLANK",IF(AND(AI118:AN118&lt;99),1,IF(AND(AI118:AN118="NA"),3,2)))</f>
        <v>2</v>
      </c>
      <c r="AI118" s="4">
        <v>49</v>
      </c>
      <c r="AJ118" s="4" t="s">
        <v>7</v>
      </c>
      <c r="AK118" s="21">
        <v>97.03</v>
      </c>
      <c r="AL118" s="21">
        <v>86.03</v>
      </c>
      <c r="AM118" s="21">
        <v>17.600000000000001</v>
      </c>
      <c r="AN118" s="22">
        <v>80.87</v>
      </c>
    </row>
    <row r="119" spans="1:40" x14ac:dyDescent="0.2">
      <c r="A119" s="15">
        <v>884</v>
      </c>
      <c r="B119" s="4" t="s">
        <v>68</v>
      </c>
      <c r="C119" s="30" t="s">
        <v>23</v>
      </c>
      <c r="D119" s="30">
        <v>5</v>
      </c>
      <c r="E119" s="30">
        <v>0</v>
      </c>
      <c r="F119" s="30" t="s">
        <v>7</v>
      </c>
      <c r="G119" s="30">
        <v>30</v>
      </c>
      <c r="H119" s="33">
        <v>4.046543463381246</v>
      </c>
      <c r="I119" s="33">
        <v>5.722108145106092</v>
      </c>
      <c r="J119" s="33">
        <v>9.7686516084873372</v>
      </c>
      <c r="K119" s="33">
        <v>4.0657084188911705</v>
      </c>
      <c r="L119" s="33">
        <v>5.7029431895961666</v>
      </c>
      <c r="M119" s="33">
        <v>9.7686516084873372</v>
      </c>
      <c r="N119" s="33">
        <v>4.0246406570841886</v>
      </c>
      <c r="O119" s="33">
        <v>5.7029431895961666</v>
      </c>
      <c r="P119" s="33">
        <v>9.7275838466803553</v>
      </c>
      <c r="Q119" s="33" t="s">
        <v>7</v>
      </c>
      <c r="R119" s="33" t="s">
        <v>7</v>
      </c>
      <c r="S119" s="33" t="s">
        <v>7</v>
      </c>
      <c r="T119" s="12">
        <v>4</v>
      </c>
      <c r="U119" s="12">
        <v>16</v>
      </c>
      <c r="V119" s="4" t="s">
        <v>1</v>
      </c>
      <c r="W119" s="4">
        <v>1</v>
      </c>
      <c r="X119" s="4">
        <v>2</v>
      </c>
      <c r="Y119" s="4">
        <v>1</v>
      </c>
      <c r="Z119" s="56">
        <v>3</v>
      </c>
      <c r="AA119" s="9" cm="1">
        <f t="array" ref="AA119">IF(OR(AB119:AE119=""),"BLANK",IF(AND(AB119:AE119&lt;999),1,IF(AND(AB119:AE119="NA"),3,2)))</f>
        <v>1</v>
      </c>
      <c r="AB119" s="4">
        <v>48</v>
      </c>
      <c r="AC119" s="4">
        <v>25</v>
      </c>
      <c r="AD119" s="4">
        <v>11</v>
      </c>
      <c r="AE119" s="5">
        <v>84</v>
      </c>
      <c r="AF119" s="9">
        <f t="shared" si="1"/>
        <v>1</v>
      </c>
      <c r="AG119" s="5">
        <v>72</v>
      </c>
      <c r="AH119" s="9" cm="1">
        <f t="array" ref="AH119">IF(OR(AI119:AN119=""),"BLANK",IF(AND(AI119:AN119&lt;99),1,IF(AND(AI119:AN119="NA"),3,2)))</f>
        <v>2</v>
      </c>
      <c r="AI119" s="4">
        <v>60</v>
      </c>
      <c r="AJ119" s="4" t="s">
        <v>7</v>
      </c>
      <c r="AK119" s="21">
        <v>109.92</v>
      </c>
      <c r="AL119" s="21">
        <v>94.28</v>
      </c>
      <c r="AM119" s="21">
        <v>35.200000000000003</v>
      </c>
      <c r="AN119" s="22" t="s">
        <v>7</v>
      </c>
    </row>
    <row r="120" spans="1:40" x14ac:dyDescent="0.2">
      <c r="A120" s="15">
        <v>886</v>
      </c>
      <c r="B120" s="4" t="s">
        <v>46</v>
      </c>
      <c r="C120" s="30" t="s">
        <v>23</v>
      </c>
      <c r="D120" s="30">
        <v>5</v>
      </c>
      <c r="E120" s="30">
        <v>0</v>
      </c>
      <c r="F120" s="30" t="s">
        <v>7</v>
      </c>
      <c r="G120" s="30">
        <v>30</v>
      </c>
      <c r="H120" s="33">
        <v>3.978097193702943</v>
      </c>
      <c r="I120" s="33">
        <v>5.763175906913073</v>
      </c>
      <c r="J120" s="33">
        <v>9.7412731006160165</v>
      </c>
      <c r="K120" s="33">
        <v>3.978097193702943</v>
      </c>
      <c r="L120" s="33">
        <v>5.763175906913073</v>
      </c>
      <c r="M120" s="33">
        <v>9.7412731006160165</v>
      </c>
      <c r="N120" s="33" t="s">
        <v>7</v>
      </c>
      <c r="O120" s="33" t="s">
        <v>7</v>
      </c>
      <c r="P120" s="33" t="s">
        <v>7</v>
      </c>
      <c r="Q120" s="33" t="s">
        <v>7</v>
      </c>
      <c r="R120" s="33" t="s">
        <v>7</v>
      </c>
      <c r="S120" s="33" t="s">
        <v>7</v>
      </c>
      <c r="T120" s="12">
        <v>4</v>
      </c>
      <c r="U120" s="12">
        <v>16</v>
      </c>
      <c r="V120" s="4" t="s">
        <v>1</v>
      </c>
      <c r="W120" s="4">
        <v>1</v>
      </c>
      <c r="X120" s="4">
        <v>2</v>
      </c>
      <c r="Y120" s="4">
        <v>1</v>
      </c>
      <c r="Z120" s="56">
        <v>3</v>
      </c>
      <c r="AA120" s="9" cm="1">
        <f t="array" ref="AA120">IF(OR(AB120:AE120=""),"BLANK",IF(AND(AB120:AE120&lt;999),1,IF(AND(AB120:AE120="NA"),3,2)))</f>
        <v>1</v>
      </c>
      <c r="AB120" s="4">
        <v>31</v>
      </c>
      <c r="AC120" s="4">
        <v>15</v>
      </c>
      <c r="AD120" s="4">
        <v>14</v>
      </c>
      <c r="AE120" s="5">
        <v>60</v>
      </c>
      <c r="AF120" s="9">
        <f t="shared" si="1"/>
        <v>1</v>
      </c>
      <c r="AG120" s="5">
        <v>55</v>
      </c>
      <c r="AH120" s="9" cm="1">
        <f t="array" ref="AH120">IF(OR(AI120:AN120=""),"BLANK",IF(AND(AI120:AN120&lt;99),1,IF(AND(AI120:AN120="NA"),3,2)))</f>
        <v>2</v>
      </c>
      <c r="AI120" s="4">
        <v>55</v>
      </c>
      <c r="AJ120" s="4" t="s">
        <v>7</v>
      </c>
      <c r="AK120" s="21">
        <v>104.5</v>
      </c>
      <c r="AL120" s="21">
        <v>106.46</v>
      </c>
      <c r="AM120" s="21">
        <v>66.599999999999994</v>
      </c>
      <c r="AN120" s="22" t="s">
        <v>7</v>
      </c>
    </row>
    <row r="121" spans="1:40" x14ac:dyDescent="0.2">
      <c r="A121" s="15">
        <v>889</v>
      </c>
      <c r="B121" s="4" t="s">
        <v>51</v>
      </c>
      <c r="C121" s="30" t="s">
        <v>23</v>
      </c>
      <c r="D121" s="30">
        <v>5</v>
      </c>
      <c r="E121" s="30">
        <v>0</v>
      </c>
      <c r="F121" s="30" t="s">
        <v>7</v>
      </c>
      <c r="G121" s="30">
        <v>30</v>
      </c>
      <c r="H121" s="33">
        <v>4.0657084188911705</v>
      </c>
      <c r="I121" s="33">
        <v>5.1937029431895958</v>
      </c>
      <c r="J121" s="33">
        <v>9.2594113620807672</v>
      </c>
      <c r="K121" s="33">
        <v>4.0657084188911705</v>
      </c>
      <c r="L121" s="33">
        <v>5.1937029431895958</v>
      </c>
      <c r="M121" s="33">
        <v>9.2594113620807672</v>
      </c>
      <c r="N121" s="33">
        <v>4.0547570157426422</v>
      </c>
      <c r="O121" s="33">
        <v>4.8733744010951403</v>
      </c>
      <c r="P121" s="33">
        <v>8.9281314168377826</v>
      </c>
      <c r="Q121" s="33" t="s">
        <v>7</v>
      </c>
      <c r="R121" s="33" t="s">
        <v>7</v>
      </c>
      <c r="S121" s="33" t="s">
        <v>7</v>
      </c>
      <c r="T121" s="12">
        <v>4</v>
      </c>
      <c r="U121" s="12">
        <v>16</v>
      </c>
      <c r="V121" s="4" t="s">
        <v>1</v>
      </c>
      <c r="W121" s="4">
        <v>1</v>
      </c>
      <c r="X121" s="4">
        <v>2</v>
      </c>
      <c r="Y121" s="4">
        <v>1</v>
      </c>
      <c r="Z121" s="56">
        <v>3</v>
      </c>
      <c r="AA121" s="9" cm="1">
        <f t="array" ref="AA121">IF(OR(AB121:AE121=""),"BLANK",IF(AND(AB121:AE121&lt;999),1,IF(AND(AB121:AE121="NA"),3,2)))</f>
        <v>1</v>
      </c>
      <c r="AB121" s="4">
        <v>24</v>
      </c>
      <c r="AC121" s="4">
        <v>20</v>
      </c>
      <c r="AD121" s="4">
        <v>14</v>
      </c>
      <c r="AE121" s="5">
        <v>58</v>
      </c>
      <c r="AF121" s="9">
        <f t="shared" si="1"/>
        <v>1</v>
      </c>
      <c r="AG121" s="5">
        <v>52</v>
      </c>
      <c r="AH121" s="9" cm="1">
        <f t="array" ref="AH121">IF(OR(AI121:AN121=""),"BLANK",IF(AND(AI121:AN121&lt;99),1,IF(AND(AI121:AN121="NA"),3,2)))</f>
        <v>2</v>
      </c>
      <c r="AI121" s="4">
        <v>63</v>
      </c>
      <c r="AJ121" s="4" t="s">
        <v>7</v>
      </c>
      <c r="AK121" s="21">
        <v>113.4</v>
      </c>
      <c r="AL121" s="21">
        <v>111.03</v>
      </c>
      <c r="AM121" s="21">
        <v>77</v>
      </c>
      <c r="AN121" s="22">
        <v>106.51</v>
      </c>
    </row>
    <row r="122" spans="1:40" x14ac:dyDescent="0.2">
      <c r="A122" s="15">
        <v>890</v>
      </c>
      <c r="B122" s="4" t="s">
        <v>66</v>
      </c>
      <c r="C122" s="30" t="s">
        <v>24</v>
      </c>
      <c r="D122" s="30">
        <v>5</v>
      </c>
      <c r="E122" s="30">
        <v>0</v>
      </c>
      <c r="F122" s="30" t="s">
        <v>7</v>
      </c>
      <c r="G122" s="30">
        <v>30</v>
      </c>
      <c r="H122" s="33">
        <v>3.9945242984257359</v>
      </c>
      <c r="I122" s="33" t="s">
        <v>7</v>
      </c>
      <c r="J122" s="33" t="s">
        <v>7</v>
      </c>
      <c r="K122" s="33">
        <v>4.0136892539356603</v>
      </c>
      <c r="L122" s="33" t="s">
        <v>7</v>
      </c>
      <c r="M122" s="33" t="s">
        <v>7</v>
      </c>
      <c r="N122" s="33">
        <v>4.0109514031485283</v>
      </c>
      <c r="O122" s="33" t="s">
        <v>7</v>
      </c>
      <c r="P122" s="33" t="s">
        <v>7</v>
      </c>
      <c r="Q122" s="33" t="s">
        <v>7</v>
      </c>
      <c r="R122" s="33" t="s">
        <v>7</v>
      </c>
      <c r="S122" s="33" t="s">
        <v>7</v>
      </c>
      <c r="T122" s="12">
        <v>3</v>
      </c>
      <c r="U122" s="12">
        <v>14</v>
      </c>
      <c r="V122" s="4" t="s">
        <v>1</v>
      </c>
      <c r="W122" s="4">
        <v>1</v>
      </c>
      <c r="X122" s="4">
        <v>2</v>
      </c>
      <c r="Y122" s="4">
        <v>1</v>
      </c>
      <c r="Z122" s="56">
        <v>3</v>
      </c>
      <c r="AA122" s="9" cm="1">
        <f t="array" ref="AA122">IF(OR(AB122:AE122=""),"BLANK",IF(AND(AB122:AE122&lt;999),1,IF(AND(AB122:AE122="NA"),3,2)))</f>
        <v>1</v>
      </c>
      <c r="AB122" s="4">
        <v>15</v>
      </c>
      <c r="AC122" s="4">
        <v>11</v>
      </c>
      <c r="AD122" s="4">
        <v>7</v>
      </c>
      <c r="AE122" s="5">
        <v>33</v>
      </c>
      <c r="AF122" s="9">
        <f t="shared" si="1"/>
        <v>1</v>
      </c>
      <c r="AG122" s="5">
        <v>26</v>
      </c>
      <c r="AH122" s="9" cm="1">
        <f t="array" ref="AH122">IF(OR(AI122:AN122=""),"BLANK",IF(AND(AI122:AN122&lt;99),1,IF(AND(AI122:AN122="NA"),3,2)))</f>
        <v>2</v>
      </c>
      <c r="AI122" s="4">
        <v>35</v>
      </c>
      <c r="AJ122" s="4" t="s">
        <v>7</v>
      </c>
      <c r="AK122" s="21">
        <v>82.08</v>
      </c>
      <c r="AL122" s="21">
        <v>81.5</v>
      </c>
      <c r="AM122" s="21">
        <v>10.9</v>
      </c>
      <c r="AN122" s="22" t="s">
        <v>7</v>
      </c>
    </row>
    <row r="123" spans="1:40" x14ac:dyDescent="0.2">
      <c r="A123" s="15">
        <v>891</v>
      </c>
      <c r="B123" s="4" t="s">
        <v>55</v>
      </c>
      <c r="C123" s="30" t="s">
        <v>24</v>
      </c>
      <c r="D123" s="30">
        <v>5</v>
      </c>
      <c r="E123" s="30">
        <v>0</v>
      </c>
      <c r="F123" s="30" t="s">
        <v>7</v>
      </c>
      <c r="G123" s="30">
        <v>30</v>
      </c>
      <c r="H123" s="33">
        <v>4.213552361396304</v>
      </c>
      <c r="I123" s="33">
        <v>5.678302532511978</v>
      </c>
      <c r="J123" s="33">
        <v>9.8918548939082829</v>
      </c>
      <c r="K123" s="33" t="s">
        <v>7</v>
      </c>
      <c r="L123" s="33">
        <v>5.6919917864476384</v>
      </c>
      <c r="M123" s="33" t="s">
        <v>7</v>
      </c>
      <c r="N123" s="33">
        <v>4.2327173169062284</v>
      </c>
      <c r="O123" s="33">
        <v>5.6399726214921291</v>
      </c>
      <c r="P123" s="33">
        <v>9.8726899383983575</v>
      </c>
      <c r="Q123" s="33" t="s">
        <v>7</v>
      </c>
      <c r="R123" s="33" t="s">
        <v>7</v>
      </c>
      <c r="S123" s="33" t="s">
        <v>7</v>
      </c>
      <c r="T123" s="12">
        <v>6</v>
      </c>
      <c r="U123" s="12">
        <v>18</v>
      </c>
      <c r="V123" s="4" t="s">
        <v>1</v>
      </c>
      <c r="W123" s="4">
        <v>1</v>
      </c>
      <c r="X123" s="4">
        <v>2</v>
      </c>
      <c r="Y123" s="4">
        <v>1</v>
      </c>
      <c r="Z123" s="56">
        <v>3</v>
      </c>
      <c r="AA123" s="9" cm="1">
        <f t="array" ref="AA123">IF(OR(AB123:AE123=""),"BLANK",IF(AND(AB123:AE123&lt;999),1,IF(AND(AB123:AE123="NA"),3,2)))</f>
        <v>1</v>
      </c>
      <c r="AB123" s="4">
        <v>39</v>
      </c>
      <c r="AC123" s="4">
        <v>24</v>
      </c>
      <c r="AD123" s="4">
        <v>12</v>
      </c>
      <c r="AE123" s="5">
        <v>75</v>
      </c>
      <c r="AF123" s="9">
        <f t="shared" si="1"/>
        <v>1</v>
      </c>
      <c r="AG123" s="5">
        <v>62</v>
      </c>
      <c r="AH123" s="9" cm="1">
        <f t="array" ref="AH123">IF(OR(AI123:AN123=""),"BLANK",IF(AND(AI123:AN123&lt;99),1,IF(AND(AI123:AN123="NA"),3,2)))</f>
        <v>2</v>
      </c>
      <c r="AI123" s="4">
        <v>61</v>
      </c>
      <c r="AJ123" s="4" t="s">
        <v>7</v>
      </c>
      <c r="AK123" s="21">
        <v>110.79</v>
      </c>
      <c r="AL123" s="21">
        <v>95.8</v>
      </c>
      <c r="AM123" s="21">
        <v>39</v>
      </c>
      <c r="AN123" s="22" t="s">
        <v>7</v>
      </c>
    </row>
    <row r="124" spans="1:40" x14ac:dyDescent="0.2">
      <c r="A124" s="15">
        <v>898</v>
      </c>
      <c r="B124" s="4" t="s">
        <v>46</v>
      </c>
      <c r="C124" s="30" t="s">
        <v>23</v>
      </c>
      <c r="D124" s="30">
        <v>5</v>
      </c>
      <c r="E124" s="30">
        <v>0</v>
      </c>
      <c r="F124" s="30" t="s">
        <v>7</v>
      </c>
      <c r="G124" s="30">
        <v>30</v>
      </c>
      <c r="H124" s="33">
        <v>3.9835728952772076</v>
      </c>
      <c r="I124" s="33">
        <v>5.5770020533880906</v>
      </c>
      <c r="J124" s="33">
        <v>9.5605749486652982</v>
      </c>
      <c r="K124" s="33">
        <v>3.9835728952772076</v>
      </c>
      <c r="L124" s="33">
        <v>5.6618754277891856</v>
      </c>
      <c r="M124" s="33">
        <v>9.6454483230663932</v>
      </c>
      <c r="N124" s="33">
        <v>4.0410677618069819</v>
      </c>
      <c r="O124" s="33">
        <v>5.292265571526352</v>
      </c>
      <c r="P124" s="33">
        <v>9.3333333333333339</v>
      </c>
      <c r="Q124" s="33">
        <v>3.3374401095140316</v>
      </c>
      <c r="R124" s="33" t="s">
        <v>7</v>
      </c>
      <c r="S124" s="33" t="s">
        <v>7</v>
      </c>
      <c r="T124" s="12">
        <v>4</v>
      </c>
      <c r="U124" s="12">
        <v>16</v>
      </c>
      <c r="V124" s="4" t="s">
        <v>1</v>
      </c>
      <c r="W124" s="4">
        <v>1</v>
      </c>
      <c r="X124" s="4">
        <v>2</v>
      </c>
      <c r="Y124" s="4">
        <v>1</v>
      </c>
      <c r="Z124" s="56">
        <v>3</v>
      </c>
      <c r="AA124" s="9" cm="1">
        <f t="array" ref="AA124">IF(OR(AB124:AE124=""),"BLANK",IF(AND(AB124:AE124&lt;999),1,IF(AND(AB124:AE124="NA"),3,2)))</f>
        <v>1</v>
      </c>
      <c r="AB124" s="4">
        <v>40</v>
      </c>
      <c r="AC124" s="4">
        <v>22</v>
      </c>
      <c r="AD124" s="4">
        <v>14</v>
      </c>
      <c r="AE124" s="5">
        <v>76</v>
      </c>
      <c r="AF124" s="9">
        <f t="shared" si="1"/>
        <v>1</v>
      </c>
      <c r="AG124" s="5">
        <v>62</v>
      </c>
      <c r="AH124" s="9" cm="1">
        <f t="array" ref="AH124">IF(OR(AI124:AN124=""),"BLANK",IF(AND(AI124:AN124&lt;99),1,IF(AND(AI124:AN124="NA"),3,2)))</f>
        <v>2</v>
      </c>
      <c r="AI124" s="4">
        <v>54</v>
      </c>
      <c r="AJ124" s="4" t="s">
        <v>7</v>
      </c>
      <c r="AK124" s="21">
        <v>102.28</v>
      </c>
      <c r="AL124" s="21">
        <v>102.86</v>
      </c>
      <c r="AM124" s="21">
        <v>57.5</v>
      </c>
      <c r="AN124" s="22" t="s">
        <v>7</v>
      </c>
    </row>
    <row r="125" spans="1:40" x14ac:dyDescent="0.2">
      <c r="A125" s="15">
        <v>927</v>
      </c>
      <c r="B125" s="4" t="s">
        <v>57</v>
      </c>
      <c r="C125" s="30" t="s">
        <v>23</v>
      </c>
      <c r="D125" s="30">
        <v>5</v>
      </c>
      <c r="E125" s="30">
        <v>0</v>
      </c>
      <c r="F125" s="30" t="s">
        <v>7</v>
      </c>
      <c r="G125" s="30">
        <v>30</v>
      </c>
      <c r="H125" s="33">
        <v>4.1232032854209448</v>
      </c>
      <c r="I125" s="33">
        <v>5.3661875427789187</v>
      </c>
      <c r="J125" s="33">
        <v>9.4893908281998627</v>
      </c>
      <c r="K125" s="33">
        <v>4.1232032854209448</v>
      </c>
      <c r="L125" s="33">
        <v>5.3661875427789187</v>
      </c>
      <c r="M125" s="33">
        <v>9.4893908281998627</v>
      </c>
      <c r="N125" s="33">
        <v>4.1204654346338128</v>
      </c>
      <c r="O125" s="33">
        <v>4.9774127310061598</v>
      </c>
      <c r="P125" s="33">
        <v>9.0978781656399725</v>
      </c>
      <c r="Q125" s="33" t="s">
        <v>7</v>
      </c>
      <c r="R125" s="33" t="s">
        <v>7</v>
      </c>
      <c r="S125" s="33" t="s">
        <v>7</v>
      </c>
      <c r="T125" s="12">
        <v>4</v>
      </c>
      <c r="U125" s="12">
        <v>16</v>
      </c>
      <c r="V125" s="4" t="s">
        <v>1</v>
      </c>
      <c r="W125" s="4">
        <v>1</v>
      </c>
      <c r="X125" s="4">
        <v>2</v>
      </c>
      <c r="Y125" s="4">
        <v>1</v>
      </c>
      <c r="Z125" s="56">
        <v>3</v>
      </c>
      <c r="AA125" s="9" cm="1">
        <f t="array" ref="AA125">IF(OR(AB125:AE125=""),"BLANK",IF(AND(AB125:AE125&lt;999),1,IF(AND(AB125:AE125="NA"),3,2)))</f>
        <v>1</v>
      </c>
      <c r="AB125" s="4">
        <v>32</v>
      </c>
      <c r="AC125" s="4">
        <v>19</v>
      </c>
      <c r="AD125" s="4">
        <v>15</v>
      </c>
      <c r="AE125" s="5">
        <v>66</v>
      </c>
      <c r="AF125" s="9">
        <f t="shared" si="1"/>
        <v>1</v>
      </c>
      <c r="AG125" s="5">
        <v>73</v>
      </c>
      <c r="AH125" s="9" cm="1">
        <f t="array" ref="AH125">IF(OR(AI125:AN125=""),"BLANK",IF(AND(AI125:AN125&lt;99),1,IF(AND(AI125:AN125="NA"),3,2)))</f>
        <v>2</v>
      </c>
      <c r="AI125" s="4">
        <v>59</v>
      </c>
      <c r="AJ125" s="4" t="s">
        <v>7</v>
      </c>
      <c r="AK125" s="21">
        <v>108.53</v>
      </c>
      <c r="AL125" s="21">
        <v>102.95</v>
      </c>
      <c r="AM125" s="21">
        <v>57.9</v>
      </c>
      <c r="AN125" s="22" t="s">
        <v>7</v>
      </c>
    </row>
    <row r="126" spans="1:40" x14ac:dyDescent="0.2">
      <c r="A126" s="15">
        <v>929</v>
      </c>
      <c r="B126" s="4" t="s">
        <v>63</v>
      </c>
      <c r="C126" s="30" t="s">
        <v>23</v>
      </c>
      <c r="D126" s="30">
        <v>5</v>
      </c>
      <c r="E126" s="30">
        <v>0</v>
      </c>
      <c r="F126" s="30" t="s">
        <v>7</v>
      </c>
      <c r="G126" s="30">
        <v>29</v>
      </c>
      <c r="H126" s="33">
        <v>4.0520191649555102</v>
      </c>
      <c r="I126" s="33" t="s">
        <v>7</v>
      </c>
      <c r="J126" s="33" t="s">
        <v>7</v>
      </c>
      <c r="K126" s="33">
        <v>4.0520191649555102</v>
      </c>
      <c r="L126" s="33" t="s">
        <v>7</v>
      </c>
      <c r="M126" s="33" t="s">
        <v>7</v>
      </c>
      <c r="N126" s="33">
        <v>4.0602327173169064</v>
      </c>
      <c r="O126" s="33" t="s">
        <v>7</v>
      </c>
      <c r="P126" s="33" t="s">
        <v>7</v>
      </c>
      <c r="Q126" s="33" t="s">
        <v>7</v>
      </c>
      <c r="R126" s="33" t="s">
        <v>7</v>
      </c>
      <c r="S126" s="33" t="s">
        <v>7</v>
      </c>
      <c r="T126" s="12">
        <v>4</v>
      </c>
      <c r="U126" s="12">
        <v>16</v>
      </c>
      <c r="V126" s="4" t="s">
        <v>1</v>
      </c>
      <c r="W126" s="4">
        <v>1</v>
      </c>
      <c r="X126" s="4">
        <v>2</v>
      </c>
      <c r="Y126" s="4">
        <v>1</v>
      </c>
      <c r="Z126" s="56">
        <v>3</v>
      </c>
      <c r="AA126" s="9" cm="1">
        <f t="array" ref="AA126">IF(OR(AB126:AE126=""),"BLANK",IF(AND(AB126:AE126&lt;999),1,IF(AND(AB126:AE126="NA"),3,2)))</f>
        <v>1</v>
      </c>
      <c r="AB126" s="4">
        <v>42</v>
      </c>
      <c r="AC126" s="4">
        <v>26</v>
      </c>
      <c r="AD126" s="4">
        <v>19</v>
      </c>
      <c r="AE126" s="5">
        <v>87</v>
      </c>
      <c r="AF126" s="9">
        <f t="shared" si="1"/>
        <v>1</v>
      </c>
      <c r="AG126" s="5">
        <v>75</v>
      </c>
      <c r="AH126" s="9" cm="1">
        <f t="array" ref="AH126">IF(OR(AI126:AN126=""),"BLANK",IF(AND(AI126:AN126&lt;99),1,IF(AND(AI126:AN126="NA"),3,2)))</f>
        <v>2</v>
      </c>
      <c r="AI126" s="4">
        <v>62</v>
      </c>
      <c r="AJ126" s="4" t="s">
        <v>7</v>
      </c>
      <c r="AK126" s="25">
        <v>111.95</v>
      </c>
      <c r="AL126" s="25">
        <v>103.51</v>
      </c>
      <c r="AM126" s="25">
        <v>59.1</v>
      </c>
      <c r="AN126" s="22" t="s">
        <v>7</v>
      </c>
    </row>
    <row r="127" spans="1:40" x14ac:dyDescent="0.2">
      <c r="A127" s="15">
        <v>934</v>
      </c>
      <c r="B127" s="4" t="s">
        <v>62</v>
      </c>
      <c r="C127" s="30" t="s">
        <v>23</v>
      </c>
      <c r="D127" s="30">
        <v>5</v>
      </c>
      <c r="E127" s="30">
        <v>0</v>
      </c>
      <c r="F127" s="30" t="s">
        <v>7</v>
      </c>
      <c r="G127" s="30">
        <v>30</v>
      </c>
      <c r="H127" s="33">
        <v>4.0273785078713207</v>
      </c>
      <c r="I127" s="33">
        <v>5.5195071868583163</v>
      </c>
      <c r="J127" s="33">
        <v>9.546885694729637</v>
      </c>
      <c r="K127" s="33">
        <v>4.0273785078713207</v>
      </c>
      <c r="L127" s="33">
        <v>5.5195071868583163</v>
      </c>
      <c r="M127" s="33">
        <v>9.546885694729637</v>
      </c>
      <c r="N127" s="33">
        <v>3.9726214921286789</v>
      </c>
      <c r="O127" s="33">
        <v>5.1964407939767279</v>
      </c>
      <c r="P127" s="33">
        <v>9.1690622861054081</v>
      </c>
      <c r="Q127" s="33">
        <v>3.2881587953456535</v>
      </c>
      <c r="R127" s="33">
        <v>6.4010951403148528</v>
      </c>
      <c r="S127" s="33">
        <v>9.6892539356605063</v>
      </c>
      <c r="T127" s="12">
        <v>3</v>
      </c>
      <c r="U127" s="12">
        <v>13</v>
      </c>
      <c r="V127" s="4" t="s">
        <v>1</v>
      </c>
      <c r="W127" s="4">
        <v>1</v>
      </c>
      <c r="X127" s="4">
        <v>2</v>
      </c>
      <c r="Y127" s="4">
        <v>1</v>
      </c>
      <c r="Z127" s="56">
        <v>3</v>
      </c>
      <c r="AA127" s="9" cm="1">
        <f t="array" ref="AA127">IF(OR(AB127:AE127=""),"BLANK",IF(AND(AB127:AE127&lt;999),1,IF(AND(AB127:AE127="NA"),3,2)))</f>
        <v>1</v>
      </c>
      <c r="AB127" s="4">
        <v>33</v>
      </c>
      <c r="AC127" s="4">
        <v>20</v>
      </c>
      <c r="AD127" s="4">
        <v>14</v>
      </c>
      <c r="AE127" s="5">
        <v>67</v>
      </c>
      <c r="AF127" s="9">
        <f t="shared" si="1"/>
        <v>1</v>
      </c>
      <c r="AG127" s="5">
        <v>66</v>
      </c>
      <c r="AH127" s="9" cm="1">
        <f t="array" ref="AH127">IF(OR(AI127:AN127=""),"BLANK",IF(AND(AI127:AN127&lt;99),1,IF(AND(AI127:AN127="NA"),3,2)))</f>
        <v>2</v>
      </c>
      <c r="AI127" s="4">
        <v>56</v>
      </c>
      <c r="AJ127" s="4" t="s">
        <v>7</v>
      </c>
      <c r="AK127" s="21">
        <v>105.54</v>
      </c>
      <c r="AL127" s="21">
        <v>107.88</v>
      </c>
      <c r="AM127" s="21">
        <v>70.2</v>
      </c>
      <c r="AN127" s="22" t="s">
        <v>7</v>
      </c>
    </row>
    <row r="128" spans="1:40" x14ac:dyDescent="0.2">
      <c r="A128" s="15">
        <v>935</v>
      </c>
      <c r="B128" s="4" t="s">
        <v>69</v>
      </c>
      <c r="C128" s="30" t="s">
        <v>24</v>
      </c>
      <c r="D128" s="30">
        <v>5</v>
      </c>
      <c r="E128" s="30">
        <v>0</v>
      </c>
      <c r="F128" s="30" t="s">
        <v>7</v>
      </c>
      <c r="G128" s="30">
        <v>28</v>
      </c>
      <c r="H128" s="33">
        <v>4.0136892539356603</v>
      </c>
      <c r="I128" s="33" t="s">
        <v>7</v>
      </c>
      <c r="J128" s="33" t="s">
        <v>7</v>
      </c>
      <c r="K128" s="33">
        <v>4.0109514031485283</v>
      </c>
      <c r="L128" s="33" t="s">
        <v>7</v>
      </c>
      <c r="M128" s="33" t="s">
        <v>7</v>
      </c>
      <c r="N128" s="33">
        <v>4.0027378507871321</v>
      </c>
      <c r="O128" s="33" t="s">
        <v>7</v>
      </c>
      <c r="P128" s="33" t="s">
        <v>7</v>
      </c>
      <c r="Q128" s="33">
        <v>3.2553045859000687</v>
      </c>
      <c r="R128" s="33" t="s">
        <v>7</v>
      </c>
      <c r="S128" s="33" t="s">
        <v>7</v>
      </c>
      <c r="T128" s="12">
        <v>5</v>
      </c>
      <c r="U128" s="12">
        <v>17</v>
      </c>
      <c r="V128" s="4" t="s">
        <v>1</v>
      </c>
      <c r="W128" s="4">
        <v>1</v>
      </c>
      <c r="X128" s="4">
        <v>2</v>
      </c>
      <c r="Y128" s="4">
        <v>1</v>
      </c>
      <c r="Z128" s="56">
        <v>3</v>
      </c>
      <c r="AA128" s="9" cm="1">
        <f t="array" ref="AA128">IF(OR(AB128:AE128=""),"BLANK",IF(AND(AB128:AE128&lt;999),1,IF(AND(AB128:AE128="NA"),3,2)))</f>
        <v>1</v>
      </c>
      <c r="AB128" s="4">
        <v>26</v>
      </c>
      <c r="AC128" s="4">
        <v>14</v>
      </c>
      <c r="AD128" s="4">
        <v>9</v>
      </c>
      <c r="AE128" s="5">
        <v>49</v>
      </c>
      <c r="AF128" s="9">
        <f t="shared" si="1"/>
        <v>1</v>
      </c>
      <c r="AG128" s="5">
        <v>33</v>
      </c>
      <c r="AH128" s="9" cm="1">
        <f t="array" ref="AH128">IF(OR(AI128:AN128=""),"BLANK",IF(AND(AI128:AN128&lt;99),1,IF(AND(AI128:AN128="NA"),3,2)))</f>
        <v>2</v>
      </c>
      <c r="AI128" s="4">
        <v>38</v>
      </c>
      <c r="AJ128" s="4" t="s">
        <v>7</v>
      </c>
      <c r="AK128" s="23" t="s">
        <v>7</v>
      </c>
      <c r="AL128" s="23" t="s">
        <v>7</v>
      </c>
      <c r="AM128" s="23" t="s">
        <v>7</v>
      </c>
      <c r="AN128" s="24" t="s">
        <v>7</v>
      </c>
    </row>
    <row r="129" spans="1:40" x14ac:dyDescent="0.2">
      <c r="A129" s="15">
        <v>940</v>
      </c>
      <c r="B129" s="4" t="s">
        <v>54</v>
      </c>
      <c r="C129" s="30" t="s">
        <v>23</v>
      </c>
      <c r="D129" s="30">
        <v>5</v>
      </c>
      <c r="E129" s="30">
        <v>0</v>
      </c>
      <c r="F129" s="30" t="s">
        <v>7</v>
      </c>
      <c r="G129" s="30">
        <v>29</v>
      </c>
      <c r="H129" s="33">
        <v>4.0629705681040384</v>
      </c>
      <c r="I129" s="33">
        <v>5.3497604380561263</v>
      </c>
      <c r="J129" s="33">
        <v>9.4127310061601648</v>
      </c>
      <c r="K129" s="33">
        <v>4.0629705681040384</v>
      </c>
      <c r="L129" s="33">
        <v>5.3935660506502394</v>
      </c>
      <c r="M129" s="33">
        <v>9.4565366187542779</v>
      </c>
      <c r="N129" s="33">
        <v>4.0246406570841886</v>
      </c>
      <c r="O129" s="33">
        <v>5.075975359342916</v>
      </c>
      <c r="P129" s="33">
        <v>9.1006160164271055</v>
      </c>
      <c r="Q129" s="33">
        <v>3.57015742642026</v>
      </c>
      <c r="R129" s="33">
        <v>6.0862422997946615</v>
      </c>
      <c r="S129" s="33">
        <v>9.6563997262149215</v>
      </c>
      <c r="T129" s="12" t="s">
        <v>7</v>
      </c>
      <c r="U129" s="12" t="s">
        <v>7</v>
      </c>
      <c r="V129" s="4" t="s">
        <v>1</v>
      </c>
      <c r="W129" s="4">
        <v>1</v>
      </c>
      <c r="X129" s="4">
        <v>2</v>
      </c>
      <c r="Y129" s="4">
        <v>1</v>
      </c>
      <c r="Z129" s="56">
        <v>3</v>
      </c>
      <c r="AA129" s="9" cm="1">
        <f t="array" ref="AA129">IF(OR(AB129:AE129=""),"BLANK",IF(AND(AB129:AE129&lt;999),1,IF(AND(AB129:AE129="NA"),3,2)))</f>
        <v>1</v>
      </c>
      <c r="AB129" s="4">
        <v>31</v>
      </c>
      <c r="AC129" s="4">
        <v>20</v>
      </c>
      <c r="AD129" s="4">
        <v>9</v>
      </c>
      <c r="AE129" s="5">
        <v>60</v>
      </c>
      <c r="AF129" s="9">
        <f t="shared" si="1"/>
        <v>1</v>
      </c>
      <c r="AG129" s="5">
        <v>45</v>
      </c>
      <c r="AH129" s="9" cm="1">
        <f t="array" ref="AH129">IF(OR(AI129:AN129=""),"BLANK",IF(AND(AI129:AN129&lt;99),1,IF(AND(AI129:AN129="NA"),3,2)))</f>
        <v>2</v>
      </c>
      <c r="AI129" s="4">
        <v>42</v>
      </c>
      <c r="AJ129" s="4" t="s">
        <v>7</v>
      </c>
      <c r="AK129" s="21">
        <v>89.41</v>
      </c>
      <c r="AL129" s="21">
        <v>85.36</v>
      </c>
      <c r="AM129" s="21">
        <v>16.399999999999999</v>
      </c>
      <c r="AN129" s="22">
        <v>80.5</v>
      </c>
    </row>
    <row r="130" spans="1:40" x14ac:dyDescent="0.2">
      <c r="A130" s="15">
        <v>943</v>
      </c>
      <c r="B130" s="4" t="s">
        <v>50</v>
      </c>
      <c r="C130" s="30" t="s">
        <v>24</v>
      </c>
      <c r="D130" s="30">
        <v>5</v>
      </c>
      <c r="E130" s="30">
        <v>0</v>
      </c>
      <c r="F130" s="30" t="s">
        <v>7</v>
      </c>
      <c r="G130" s="30">
        <v>30</v>
      </c>
      <c r="H130" s="33">
        <v>4.301163586584531</v>
      </c>
      <c r="I130" s="33" t="s">
        <v>7</v>
      </c>
      <c r="J130" s="33" t="s">
        <v>7</v>
      </c>
      <c r="K130" s="33">
        <v>4.301163586584531</v>
      </c>
      <c r="L130" s="33" t="s">
        <v>7</v>
      </c>
      <c r="M130" s="33" t="s">
        <v>7</v>
      </c>
      <c r="N130" s="33">
        <v>3.9698836413415468</v>
      </c>
      <c r="O130" s="33" t="s">
        <v>7</v>
      </c>
      <c r="P130" s="33" t="s">
        <v>7</v>
      </c>
      <c r="Q130" s="33">
        <v>3.3511293634496919</v>
      </c>
      <c r="R130" s="33" t="s">
        <v>7</v>
      </c>
      <c r="S130" s="33" t="s">
        <v>7</v>
      </c>
      <c r="T130" s="12">
        <v>3</v>
      </c>
      <c r="U130" s="12">
        <v>14</v>
      </c>
      <c r="V130" s="4" t="s">
        <v>1</v>
      </c>
      <c r="W130" s="4">
        <v>1</v>
      </c>
      <c r="X130" s="4">
        <v>2</v>
      </c>
      <c r="Y130" s="4">
        <v>1</v>
      </c>
      <c r="Z130" s="56">
        <v>3</v>
      </c>
      <c r="AA130" s="9" cm="1">
        <f t="array" ref="AA130">IF(OR(AB130:AE130=""),"BLANK",IF(AND(AB130:AE130&lt;999),1,IF(AND(AB130:AE130="NA"),3,2)))</f>
        <v>1</v>
      </c>
      <c r="AB130" s="4">
        <v>32</v>
      </c>
      <c r="AC130" s="4">
        <v>20</v>
      </c>
      <c r="AD130" s="4">
        <v>14</v>
      </c>
      <c r="AE130" s="5">
        <v>66</v>
      </c>
      <c r="AF130" s="9">
        <f t="shared" ref="AF130:AF193" si="2">IF(OR(AG130="NA", AG130="xx"), 3,1)</f>
        <v>1</v>
      </c>
      <c r="AG130" s="5">
        <v>63</v>
      </c>
      <c r="AH130" s="9" cm="1">
        <f t="array" ref="AH130">IF(OR(AI130:AN130=""),"BLANK",IF(AND(AI130:AN130&lt;99),1,IF(AND(AI130:AN130="NA"),3,2)))</f>
        <v>2</v>
      </c>
      <c r="AI130" s="4">
        <v>47</v>
      </c>
      <c r="AJ130" s="4" t="s">
        <v>7</v>
      </c>
      <c r="AK130" s="21">
        <v>95.22</v>
      </c>
      <c r="AL130" s="21">
        <v>92.02</v>
      </c>
      <c r="AM130" s="21">
        <v>29.8</v>
      </c>
      <c r="AN130" s="22" t="s">
        <v>7</v>
      </c>
    </row>
    <row r="131" spans="1:40" x14ac:dyDescent="0.2">
      <c r="A131" s="15">
        <v>946</v>
      </c>
      <c r="B131" s="4" t="s">
        <v>50</v>
      </c>
      <c r="C131" s="30" t="s">
        <v>24</v>
      </c>
      <c r="D131" s="30">
        <v>5</v>
      </c>
      <c r="E131" s="30">
        <v>0</v>
      </c>
      <c r="F131" s="30" t="s">
        <v>7</v>
      </c>
      <c r="G131" s="30">
        <v>29</v>
      </c>
      <c r="H131" s="33">
        <v>4.0301163586584527</v>
      </c>
      <c r="I131" s="33">
        <v>5.3059548254620124</v>
      </c>
      <c r="J131" s="33">
        <v>9.3360711841204651</v>
      </c>
      <c r="K131" s="33">
        <v>4.0301163586584527</v>
      </c>
      <c r="L131" s="33">
        <v>5.3059548254620124</v>
      </c>
      <c r="M131" s="33">
        <v>9.3360711841204651</v>
      </c>
      <c r="N131" s="33">
        <v>4.0082135523613962</v>
      </c>
      <c r="O131" s="33">
        <v>5.2703627652292946</v>
      </c>
      <c r="P131" s="33">
        <v>9.2785763175906908</v>
      </c>
      <c r="Q131" s="33" t="s">
        <v>7</v>
      </c>
      <c r="R131" s="33" t="s">
        <v>7</v>
      </c>
      <c r="S131" s="33" t="s">
        <v>7</v>
      </c>
      <c r="T131" s="12">
        <v>3</v>
      </c>
      <c r="U131" s="12">
        <v>14</v>
      </c>
      <c r="V131" s="4" t="s">
        <v>1</v>
      </c>
      <c r="W131" s="4">
        <v>1</v>
      </c>
      <c r="X131" s="4">
        <v>2</v>
      </c>
      <c r="Y131" s="4">
        <v>1</v>
      </c>
      <c r="Z131" s="56">
        <v>3</v>
      </c>
      <c r="AA131" s="9" cm="1">
        <f t="array" ref="AA131">IF(OR(AB131:AE131=""),"BLANK",IF(AND(AB131:AE131&lt;999),1,IF(AND(AB131:AE131="NA"),3,2)))</f>
        <v>1</v>
      </c>
      <c r="AB131" s="4">
        <v>38</v>
      </c>
      <c r="AC131" s="4">
        <v>19</v>
      </c>
      <c r="AD131" s="4">
        <v>14</v>
      </c>
      <c r="AE131" s="5">
        <v>71</v>
      </c>
      <c r="AF131" s="9">
        <f t="shared" si="2"/>
        <v>1</v>
      </c>
      <c r="AG131" s="5">
        <v>54</v>
      </c>
      <c r="AH131" s="9" cm="1">
        <f t="array" ref="AH131">IF(OR(AI131:AN131=""),"BLANK",IF(AND(AI131:AN131&lt;99),1,IF(AND(AI131:AN131="NA"),3,2)))</f>
        <v>2</v>
      </c>
      <c r="AI131" s="4">
        <v>46</v>
      </c>
      <c r="AJ131" s="4" t="s">
        <v>7</v>
      </c>
      <c r="AK131" s="25">
        <v>93.55</v>
      </c>
      <c r="AL131" s="21">
        <v>89.19</v>
      </c>
      <c r="AM131" s="21">
        <v>23.6</v>
      </c>
      <c r="AN131" s="22">
        <v>84.08</v>
      </c>
    </row>
    <row r="132" spans="1:40" x14ac:dyDescent="0.2">
      <c r="A132" s="15">
        <v>953</v>
      </c>
      <c r="B132" s="4" t="s">
        <v>67</v>
      </c>
      <c r="C132" s="30" t="s">
        <v>23</v>
      </c>
      <c r="D132" s="30">
        <v>4</v>
      </c>
      <c r="E132" s="30">
        <v>0</v>
      </c>
      <c r="F132" s="30" t="s">
        <v>7</v>
      </c>
      <c r="G132" s="30">
        <v>28</v>
      </c>
      <c r="H132" s="33">
        <v>3.7754962354551678</v>
      </c>
      <c r="I132" s="33" t="s">
        <v>7</v>
      </c>
      <c r="J132" s="33" t="s">
        <v>7</v>
      </c>
      <c r="K132" s="33" t="s">
        <v>7</v>
      </c>
      <c r="L132" s="33" t="s">
        <v>7</v>
      </c>
      <c r="M132" s="33" t="s">
        <v>7</v>
      </c>
      <c r="N132" s="33">
        <v>3.893223819301848</v>
      </c>
      <c r="O132" s="33" t="s">
        <v>7</v>
      </c>
      <c r="P132" s="33" t="s">
        <v>7</v>
      </c>
      <c r="Q132" s="33">
        <v>3.3127994524298425</v>
      </c>
      <c r="R132" s="33" t="s">
        <v>7</v>
      </c>
      <c r="S132" s="33" t="s">
        <v>7</v>
      </c>
      <c r="T132" s="12">
        <v>3</v>
      </c>
      <c r="U132" s="12">
        <v>12</v>
      </c>
      <c r="V132" s="4" t="s">
        <v>1</v>
      </c>
      <c r="W132" s="4">
        <v>1</v>
      </c>
      <c r="X132" s="4">
        <v>2</v>
      </c>
      <c r="Y132" s="4">
        <v>1</v>
      </c>
      <c r="Z132" s="56">
        <v>3</v>
      </c>
      <c r="AA132" s="9" cm="1">
        <f t="array" ref="AA132">IF(OR(AB132:AE132=""),"BLANK",IF(AND(AB132:AE132&lt;999),1,IF(AND(AB132:AE132="NA"),3,2)))</f>
        <v>1</v>
      </c>
      <c r="AB132" s="4">
        <v>18</v>
      </c>
      <c r="AC132" s="4">
        <v>8</v>
      </c>
      <c r="AD132" s="4">
        <v>7</v>
      </c>
      <c r="AE132" s="5">
        <v>33</v>
      </c>
      <c r="AF132" s="9">
        <f t="shared" si="2"/>
        <v>1</v>
      </c>
      <c r="AG132" s="5">
        <v>38</v>
      </c>
      <c r="AH132" s="9" cm="1">
        <f t="array" ref="AH132">IF(OR(AI132:AN132=""),"BLANK",IF(AND(AI132:AN132&lt;99),1,IF(AND(AI132:AN132="NA"),3,2)))</f>
        <v>2</v>
      </c>
      <c r="AI132" s="4">
        <v>40</v>
      </c>
      <c r="AJ132" s="4" t="s">
        <v>7</v>
      </c>
      <c r="AK132" s="23" t="s">
        <v>7</v>
      </c>
      <c r="AL132" s="23" t="s">
        <v>7</v>
      </c>
      <c r="AM132" s="23" t="s">
        <v>7</v>
      </c>
      <c r="AN132" s="24" t="s">
        <v>7</v>
      </c>
    </row>
    <row r="133" spans="1:40" x14ac:dyDescent="0.2">
      <c r="A133" s="15">
        <v>961</v>
      </c>
      <c r="B133" s="4" t="s">
        <v>56</v>
      </c>
      <c r="C133" s="30" t="s">
        <v>24</v>
      </c>
      <c r="D133" s="30">
        <v>5</v>
      </c>
      <c r="E133" s="30">
        <v>0</v>
      </c>
      <c r="F133" s="30" t="s">
        <v>7</v>
      </c>
      <c r="G133" s="30">
        <v>30</v>
      </c>
      <c r="H133" s="33">
        <v>4.1998631074606436</v>
      </c>
      <c r="I133" s="33" t="s">
        <v>7</v>
      </c>
      <c r="J133" s="33" t="s">
        <v>7</v>
      </c>
      <c r="K133" s="33">
        <v>4.1998631074606436</v>
      </c>
      <c r="L133" s="33" t="s">
        <v>7</v>
      </c>
      <c r="M133" s="33" t="s">
        <v>7</v>
      </c>
      <c r="N133" s="33">
        <v>4.1834360027378512</v>
      </c>
      <c r="O133" s="33" t="s">
        <v>7</v>
      </c>
      <c r="P133" s="33" t="s">
        <v>7</v>
      </c>
      <c r="Q133" s="33" t="s">
        <v>7</v>
      </c>
      <c r="R133" s="33" t="s">
        <v>7</v>
      </c>
      <c r="S133" s="33" t="s">
        <v>7</v>
      </c>
      <c r="T133" s="12">
        <v>3</v>
      </c>
      <c r="U133" s="12">
        <v>15</v>
      </c>
      <c r="V133" s="4" t="s">
        <v>1</v>
      </c>
      <c r="W133" s="4">
        <v>1</v>
      </c>
      <c r="X133" s="4">
        <v>2</v>
      </c>
      <c r="Y133" s="4">
        <v>1</v>
      </c>
      <c r="Z133" s="56">
        <v>3</v>
      </c>
      <c r="AA133" s="9" cm="1">
        <f t="array" ref="AA133">IF(OR(AB133:AE133=""),"BLANK",IF(AND(AB133:AE133&lt;999),1,IF(AND(AB133:AE133="NA"),3,2)))</f>
        <v>1</v>
      </c>
      <c r="AB133" s="4">
        <v>44</v>
      </c>
      <c r="AC133" s="4">
        <v>29</v>
      </c>
      <c r="AD133" s="4">
        <v>18</v>
      </c>
      <c r="AE133" s="5">
        <v>91</v>
      </c>
      <c r="AF133" s="9">
        <f t="shared" si="2"/>
        <v>1</v>
      </c>
      <c r="AG133" s="5">
        <v>72</v>
      </c>
      <c r="AH133" s="9" cm="1">
        <f t="array" ref="AH133">IF(OR(AI133:AN133=""),"BLANK",IF(AND(AI133:AN133&lt;99),1,IF(AND(AI133:AN133="NA"),3,2)))</f>
        <v>2</v>
      </c>
      <c r="AI133" s="4">
        <v>63</v>
      </c>
      <c r="AJ133" s="4" t="s">
        <v>7</v>
      </c>
      <c r="AK133" s="21">
        <v>112.97</v>
      </c>
      <c r="AL133" s="21">
        <v>99.16</v>
      </c>
      <c r="AM133" s="21">
        <v>47.6</v>
      </c>
      <c r="AN133" s="22" t="s">
        <v>7</v>
      </c>
    </row>
    <row r="134" spans="1:40" x14ac:dyDescent="0.2">
      <c r="A134" s="15">
        <v>965</v>
      </c>
      <c r="B134" s="4" t="s">
        <v>62</v>
      </c>
      <c r="C134" s="30" t="s">
        <v>23</v>
      </c>
      <c r="D134" s="30">
        <v>5</v>
      </c>
      <c r="E134" s="30">
        <v>0</v>
      </c>
      <c r="F134" s="30" t="s">
        <v>7</v>
      </c>
      <c r="G134" s="30">
        <v>30</v>
      </c>
      <c r="H134" s="33">
        <v>4.0520191649555102</v>
      </c>
      <c r="I134" s="33" t="s">
        <v>7</v>
      </c>
      <c r="J134" s="33" t="s">
        <v>7</v>
      </c>
      <c r="K134" s="33">
        <v>4.0520191649555102</v>
      </c>
      <c r="L134" s="33" t="s">
        <v>7</v>
      </c>
      <c r="M134" s="33" t="s">
        <v>7</v>
      </c>
      <c r="N134" s="33" t="s">
        <v>7</v>
      </c>
      <c r="O134" s="33" t="s">
        <v>7</v>
      </c>
      <c r="P134" s="33" t="s">
        <v>7</v>
      </c>
      <c r="Q134" s="33" t="s">
        <v>7</v>
      </c>
      <c r="R134" s="33" t="s">
        <v>7</v>
      </c>
      <c r="S134" s="33" t="s">
        <v>7</v>
      </c>
      <c r="T134" s="12">
        <v>7</v>
      </c>
      <c r="U134" s="12">
        <v>21</v>
      </c>
      <c r="V134" s="4" t="s">
        <v>1</v>
      </c>
      <c r="W134" s="4">
        <v>1</v>
      </c>
      <c r="X134" s="4">
        <v>2</v>
      </c>
      <c r="Y134" s="4">
        <v>1</v>
      </c>
      <c r="Z134" s="56">
        <v>3</v>
      </c>
      <c r="AA134" s="9" cm="1">
        <f t="array" ref="AA134">IF(OR(AB134:AE134=""),"BLANK",IF(AND(AB134:AE134&lt;999),1,IF(AND(AB134:AE134="NA"),3,2)))</f>
        <v>1</v>
      </c>
      <c r="AB134" s="4">
        <v>33</v>
      </c>
      <c r="AC134" s="4">
        <v>17</v>
      </c>
      <c r="AD134" s="4">
        <v>13</v>
      </c>
      <c r="AE134" s="5">
        <v>63</v>
      </c>
      <c r="AF134" s="9">
        <f t="shared" si="2"/>
        <v>1</v>
      </c>
      <c r="AG134" s="5">
        <v>39</v>
      </c>
      <c r="AH134" s="9" cm="1">
        <f t="array" ref="AH134">IF(OR(AI134:AN134=""),"BLANK",IF(AND(AI134:AN134&lt;99),1,IF(AND(AI134:AN134="NA"),3,2)))</f>
        <v>2</v>
      </c>
      <c r="AI134" s="4">
        <v>45</v>
      </c>
      <c r="AJ134" s="4" t="s">
        <v>7</v>
      </c>
      <c r="AK134" s="21">
        <v>93.21</v>
      </c>
      <c r="AL134" s="21">
        <v>88.85</v>
      </c>
      <c r="AM134" s="21">
        <v>23</v>
      </c>
      <c r="AN134" s="22">
        <v>82.88</v>
      </c>
    </row>
    <row r="135" spans="1:40" x14ac:dyDescent="0.2">
      <c r="A135" s="15">
        <v>974</v>
      </c>
      <c r="B135" s="4" t="s">
        <v>50</v>
      </c>
      <c r="C135" s="30" t="s">
        <v>24</v>
      </c>
      <c r="D135" s="30">
        <v>5</v>
      </c>
      <c r="E135" s="30">
        <v>0</v>
      </c>
      <c r="F135" s="30" t="s">
        <v>7</v>
      </c>
      <c r="G135" s="30">
        <v>30</v>
      </c>
      <c r="H135" s="33">
        <v>4.0876112251882271</v>
      </c>
      <c r="I135" s="33" t="s">
        <v>7</v>
      </c>
      <c r="J135" s="33" t="s">
        <v>7</v>
      </c>
      <c r="K135" s="33">
        <v>4.1505817932922655</v>
      </c>
      <c r="L135" s="33" t="s">
        <v>7</v>
      </c>
      <c r="M135" s="33" t="s">
        <v>7</v>
      </c>
      <c r="N135" s="33">
        <v>4.043805612594114</v>
      </c>
      <c r="O135" s="33">
        <v>4.9418206707734429</v>
      </c>
      <c r="P135" s="33">
        <v>8.9856262833675569</v>
      </c>
      <c r="Q135" s="33" t="s">
        <v>7</v>
      </c>
      <c r="R135" s="33" t="s">
        <v>7</v>
      </c>
      <c r="S135" s="33" t="s">
        <v>7</v>
      </c>
      <c r="T135" s="12" t="s">
        <v>7</v>
      </c>
      <c r="U135" s="12" t="s">
        <v>7</v>
      </c>
      <c r="V135" s="4" t="s">
        <v>1</v>
      </c>
      <c r="W135" s="4">
        <v>1</v>
      </c>
      <c r="X135" s="4">
        <v>2</v>
      </c>
      <c r="Y135" s="4">
        <v>1</v>
      </c>
      <c r="Z135" s="56">
        <v>3</v>
      </c>
      <c r="AA135" s="9" cm="1">
        <f t="array" ref="AA135">IF(OR(AB135:AE135=""),"BLANK",IF(AND(AB135:AE135&lt;999),1,IF(AND(AB135:AE135="NA"),3,2)))</f>
        <v>1</v>
      </c>
      <c r="AB135" s="4">
        <v>22</v>
      </c>
      <c r="AC135" s="4">
        <v>14</v>
      </c>
      <c r="AD135" s="4">
        <v>12</v>
      </c>
      <c r="AE135" s="5">
        <v>48</v>
      </c>
      <c r="AF135" s="9">
        <f t="shared" si="2"/>
        <v>1</v>
      </c>
      <c r="AG135" s="5">
        <v>45</v>
      </c>
      <c r="AH135" s="9" cm="1">
        <f t="array" ref="AH135">IF(OR(AI135:AN135=""),"BLANK",IF(AND(AI135:AN135&lt;99),1,IF(AND(AI135:AN135="NA"),3,2)))</f>
        <v>2</v>
      </c>
      <c r="AI135" s="4">
        <v>47</v>
      </c>
      <c r="AJ135" s="4" t="s">
        <v>7</v>
      </c>
      <c r="AK135" s="21">
        <v>95.34</v>
      </c>
      <c r="AL135" s="21">
        <v>92.32</v>
      </c>
      <c r="AM135" s="21">
        <v>30.5</v>
      </c>
      <c r="AN135" s="22" t="s">
        <v>7</v>
      </c>
    </row>
    <row r="136" spans="1:40" x14ac:dyDescent="0.2">
      <c r="A136" s="15">
        <v>976</v>
      </c>
      <c r="B136" s="4" t="s">
        <v>50</v>
      </c>
      <c r="C136" s="30" t="s">
        <v>23</v>
      </c>
      <c r="D136" s="30">
        <v>5</v>
      </c>
      <c r="E136" s="30">
        <v>0</v>
      </c>
      <c r="F136" s="30" t="s">
        <v>7</v>
      </c>
      <c r="G136" s="30">
        <v>29</v>
      </c>
      <c r="H136" s="33">
        <v>3.9698836413415468</v>
      </c>
      <c r="I136" s="33">
        <v>5.4948665297741277</v>
      </c>
      <c r="J136" s="33">
        <v>9.464750171115675</v>
      </c>
      <c r="K136" s="33">
        <v>3.9698836413415468</v>
      </c>
      <c r="L136" s="33">
        <v>5.4948665297741277</v>
      </c>
      <c r="M136" s="33">
        <v>9.464750171115675</v>
      </c>
      <c r="N136" s="33">
        <v>4.0301163586584527</v>
      </c>
      <c r="O136" s="33">
        <v>5.0020533880903493</v>
      </c>
      <c r="P136" s="33">
        <v>9.0321697467488029</v>
      </c>
      <c r="Q136" s="33">
        <v>3.3675564681724848</v>
      </c>
      <c r="R136" s="33">
        <v>5.9274469541409998</v>
      </c>
      <c r="S136" s="33">
        <v>9.2950034223134832</v>
      </c>
      <c r="T136" s="12">
        <v>3</v>
      </c>
      <c r="U136" s="12">
        <v>13</v>
      </c>
      <c r="V136" s="4" t="s">
        <v>1</v>
      </c>
      <c r="W136" s="4">
        <v>1</v>
      </c>
      <c r="X136" s="4">
        <v>2</v>
      </c>
      <c r="Y136" s="4">
        <v>1</v>
      </c>
      <c r="Z136" s="56">
        <v>3</v>
      </c>
      <c r="AA136" s="9" cm="1">
        <f t="array" ref="AA136">IF(OR(AB136:AE136=""),"BLANK",IF(AND(AB136:AE136&lt;999),1,IF(AND(AB136:AE136="NA"),3,2)))</f>
        <v>1</v>
      </c>
      <c r="AB136" s="4">
        <v>31</v>
      </c>
      <c r="AC136" s="4">
        <v>21</v>
      </c>
      <c r="AD136" s="4">
        <v>14</v>
      </c>
      <c r="AE136" s="5">
        <v>66</v>
      </c>
      <c r="AF136" s="9">
        <f t="shared" si="2"/>
        <v>1</v>
      </c>
      <c r="AG136" s="5">
        <v>60</v>
      </c>
      <c r="AH136" s="9" cm="1">
        <f t="array" ref="AH136">IF(OR(AI136:AN136=""),"BLANK",IF(AND(AI136:AN136&lt;99),1,IF(AND(AI136:AN136="NA"),3,2)))</f>
        <v>2</v>
      </c>
      <c r="AI136" s="4">
        <v>56</v>
      </c>
      <c r="AJ136" s="4" t="s">
        <v>7</v>
      </c>
      <c r="AK136" s="21">
        <v>105.57</v>
      </c>
      <c r="AL136" s="21">
        <v>107.97</v>
      </c>
      <c r="AM136" s="21">
        <v>70.2</v>
      </c>
      <c r="AN136" s="22" t="s">
        <v>7</v>
      </c>
    </row>
    <row r="137" spans="1:40" x14ac:dyDescent="0.2">
      <c r="A137" s="15">
        <v>988</v>
      </c>
      <c r="B137" s="4" t="s">
        <v>68</v>
      </c>
      <c r="C137" s="30" t="s">
        <v>23</v>
      </c>
      <c r="D137" s="30">
        <v>5</v>
      </c>
      <c r="E137" s="30">
        <v>0</v>
      </c>
      <c r="F137" s="30" t="s">
        <v>7</v>
      </c>
      <c r="G137" s="30">
        <v>29</v>
      </c>
      <c r="H137" s="33">
        <v>4.1067761806981515</v>
      </c>
      <c r="I137" s="33">
        <v>5.6427104722792611</v>
      </c>
      <c r="J137" s="33">
        <v>9.7494866529774136</v>
      </c>
      <c r="K137" s="33">
        <v>4.1067761806981515</v>
      </c>
      <c r="L137" s="33">
        <v>5.6399726214921291</v>
      </c>
      <c r="M137" s="33">
        <v>9.7467488021902806</v>
      </c>
      <c r="N137" s="33">
        <v>3.9288158795345653</v>
      </c>
      <c r="O137" s="33">
        <v>5.637234770704997</v>
      </c>
      <c r="P137" s="33">
        <v>9.5660506502395624</v>
      </c>
      <c r="Q137" s="33" t="s">
        <v>7</v>
      </c>
      <c r="R137" s="33" t="s">
        <v>7</v>
      </c>
      <c r="S137" s="33" t="s">
        <v>7</v>
      </c>
      <c r="T137" s="12">
        <v>7</v>
      </c>
      <c r="U137" s="12">
        <v>21</v>
      </c>
      <c r="V137" s="4" t="s">
        <v>1</v>
      </c>
      <c r="W137" s="4">
        <v>1</v>
      </c>
      <c r="X137" s="4">
        <v>2</v>
      </c>
      <c r="Y137" s="4">
        <v>1</v>
      </c>
      <c r="Z137" s="56">
        <v>3</v>
      </c>
      <c r="AA137" s="9" cm="1">
        <f t="array" ref="AA137">IF(OR(AB137:AE137=""),"BLANK",IF(AND(AB137:AE137&lt;999),1,IF(AND(AB137:AE137="NA"),3,2)))</f>
        <v>1</v>
      </c>
      <c r="AB137" s="4">
        <v>36</v>
      </c>
      <c r="AC137" s="4">
        <v>24</v>
      </c>
      <c r="AD137" s="4">
        <v>14</v>
      </c>
      <c r="AE137" s="5">
        <v>74</v>
      </c>
      <c r="AF137" s="9">
        <f t="shared" si="2"/>
        <v>1</v>
      </c>
      <c r="AG137" s="5">
        <v>66</v>
      </c>
      <c r="AH137" s="9" cm="1">
        <f t="array" ref="AH137">IF(OR(AI137:AN137=""),"BLANK",IF(AND(AI137:AN137&lt;99),1,IF(AND(AI137:AN137="NA"),3,2)))</f>
        <v>2</v>
      </c>
      <c r="AI137" s="4">
        <v>54</v>
      </c>
      <c r="AJ137" s="4" t="s">
        <v>7</v>
      </c>
      <c r="AK137" s="21">
        <v>102.71</v>
      </c>
      <c r="AL137" s="21">
        <v>83.71</v>
      </c>
      <c r="AM137" s="21">
        <v>13.8</v>
      </c>
      <c r="AN137" s="22" t="s">
        <v>7</v>
      </c>
    </row>
    <row r="138" spans="1:40" x14ac:dyDescent="0.2">
      <c r="A138" s="15">
        <v>989</v>
      </c>
      <c r="B138" s="4" t="s">
        <v>55</v>
      </c>
      <c r="C138" s="30" t="s">
        <v>24</v>
      </c>
      <c r="D138" s="30">
        <v>5</v>
      </c>
      <c r="E138" s="30">
        <v>0</v>
      </c>
      <c r="F138" s="30" t="s">
        <v>7</v>
      </c>
      <c r="G138" s="30">
        <v>29</v>
      </c>
      <c r="H138" s="33">
        <v>4.1067761806981515</v>
      </c>
      <c r="I138" s="33">
        <v>5.6427104722792611</v>
      </c>
      <c r="J138" s="33">
        <v>9.7494866529774136</v>
      </c>
      <c r="K138" s="33">
        <v>4.1067761806981515</v>
      </c>
      <c r="L138" s="33">
        <v>5.6399726214921291</v>
      </c>
      <c r="M138" s="33">
        <v>9.7467488021902806</v>
      </c>
      <c r="N138" s="33">
        <v>3.9425051334702257</v>
      </c>
      <c r="O138" s="33">
        <v>5.6344969199178641</v>
      </c>
      <c r="P138" s="33">
        <v>9.5770020533880906</v>
      </c>
      <c r="Q138" s="33" t="s">
        <v>7</v>
      </c>
      <c r="R138" s="33" t="s">
        <v>7</v>
      </c>
      <c r="S138" s="33" t="s">
        <v>7</v>
      </c>
      <c r="T138" s="12">
        <v>4</v>
      </c>
      <c r="U138" s="12">
        <v>16</v>
      </c>
      <c r="V138" s="4" t="s">
        <v>1</v>
      </c>
      <c r="W138" s="4">
        <v>1</v>
      </c>
      <c r="X138" s="4">
        <v>2</v>
      </c>
      <c r="Y138" s="4">
        <v>1</v>
      </c>
      <c r="Z138" s="56">
        <v>3</v>
      </c>
      <c r="AA138" s="9" cm="1">
        <f t="array" ref="AA138">IF(OR(AB138:AE138=""),"BLANK",IF(AND(AB138:AE138&lt;999),1,IF(AND(AB138:AE138="NA"),3,2)))</f>
        <v>1</v>
      </c>
      <c r="AB138" s="4">
        <v>37</v>
      </c>
      <c r="AC138" s="4">
        <v>23</v>
      </c>
      <c r="AD138" s="4">
        <v>15</v>
      </c>
      <c r="AE138" s="5">
        <v>75</v>
      </c>
      <c r="AF138" s="9">
        <f t="shared" si="2"/>
        <v>1</v>
      </c>
      <c r="AG138" s="5">
        <v>68</v>
      </c>
      <c r="AH138" s="9" cm="1">
        <f t="array" ref="AH138">IF(OR(AI138:AN138=""),"BLANK",IF(AND(AI138:AN138&lt;99),1,IF(AND(AI138:AN138="NA"),3,2)))</f>
        <v>2</v>
      </c>
      <c r="AI138" s="4">
        <v>57</v>
      </c>
      <c r="AJ138" s="4" t="s">
        <v>7</v>
      </c>
      <c r="AK138" s="21">
        <v>106.13</v>
      </c>
      <c r="AL138" s="21">
        <v>88.79</v>
      </c>
      <c r="AM138" s="21">
        <v>22.7</v>
      </c>
      <c r="AN138" s="22" t="s">
        <v>7</v>
      </c>
    </row>
    <row r="139" spans="1:40" x14ac:dyDescent="0.2">
      <c r="A139" s="15">
        <v>998</v>
      </c>
      <c r="B139" s="4" t="s">
        <v>68</v>
      </c>
      <c r="C139" s="30" t="s">
        <v>23</v>
      </c>
      <c r="D139" s="30">
        <v>5</v>
      </c>
      <c r="E139" s="30">
        <v>0</v>
      </c>
      <c r="F139" s="30" t="s">
        <v>7</v>
      </c>
      <c r="G139" s="30">
        <v>30</v>
      </c>
      <c r="H139" s="33">
        <v>4.043805612594114</v>
      </c>
      <c r="I139" s="33" t="s">
        <v>7</v>
      </c>
      <c r="J139" s="33" t="s">
        <v>7</v>
      </c>
      <c r="K139" s="33">
        <v>4.0328542094455848</v>
      </c>
      <c r="L139" s="33" t="s">
        <v>7</v>
      </c>
      <c r="M139" s="33" t="s">
        <v>7</v>
      </c>
      <c r="N139" s="33">
        <v>3.9616700889801506</v>
      </c>
      <c r="O139" s="33" t="s">
        <v>7</v>
      </c>
      <c r="P139" s="33" t="s">
        <v>7</v>
      </c>
      <c r="Q139" s="33" t="s">
        <v>7</v>
      </c>
      <c r="R139" s="33" t="s">
        <v>7</v>
      </c>
      <c r="S139" s="33" t="s">
        <v>7</v>
      </c>
      <c r="T139" s="12">
        <v>7</v>
      </c>
      <c r="U139" s="12">
        <v>21</v>
      </c>
      <c r="V139" s="4" t="s">
        <v>1</v>
      </c>
      <c r="W139" s="4">
        <v>1</v>
      </c>
      <c r="X139" s="4">
        <v>2</v>
      </c>
      <c r="Y139" s="4">
        <v>1</v>
      </c>
      <c r="Z139" s="56">
        <v>3</v>
      </c>
      <c r="AA139" s="9" cm="1">
        <f t="array" ref="AA139">IF(OR(AB139:AE139=""),"BLANK",IF(AND(AB139:AE139&lt;999),1,IF(AND(AB139:AE139="NA"),3,2)))</f>
        <v>1</v>
      </c>
      <c r="AB139" s="4">
        <v>40</v>
      </c>
      <c r="AC139" s="4">
        <v>25</v>
      </c>
      <c r="AD139" s="4">
        <v>17</v>
      </c>
      <c r="AE139" s="5">
        <v>82</v>
      </c>
      <c r="AF139" s="9">
        <f t="shared" si="2"/>
        <v>1</v>
      </c>
      <c r="AG139" s="5">
        <v>78</v>
      </c>
      <c r="AH139" s="9" cm="1">
        <f t="array" ref="AH139">IF(OR(AI139:AN139=""),"BLANK",IF(AND(AI139:AN139&lt;99),1,IF(AND(AI139:AN139="NA"),3,2)))</f>
        <v>2</v>
      </c>
      <c r="AI139" s="4">
        <v>63</v>
      </c>
      <c r="AJ139" s="4" t="s">
        <v>7</v>
      </c>
      <c r="AK139" s="21">
        <v>113.09</v>
      </c>
      <c r="AL139" s="21">
        <v>99.28</v>
      </c>
      <c r="AM139" s="21">
        <v>48</v>
      </c>
      <c r="AN139" s="22" t="s">
        <v>7</v>
      </c>
    </row>
    <row r="140" spans="1:40" x14ac:dyDescent="0.2">
      <c r="A140" s="15">
        <v>1003</v>
      </c>
      <c r="B140" s="4" t="s">
        <v>62</v>
      </c>
      <c r="C140" s="30" t="s">
        <v>24</v>
      </c>
      <c r="D140" s="30">
        <v>5</v>
      </c>
      <c r="E140" s="30">
        <v>0</v>
      </c>
      <c r="F140" s="30" t="s">
        <v>7</v>
      </c>
      <c r="G140" s="30">
        <v>30</v>
      </c>
      <c r="H140" s="33">
        <v>3.9342915811088295</v>
      </c>
      <c r="I140" s="33">
        <v>5.2731006160164275</v>
      </c>
      <c r="J140" s="33">
        <v>9.207392197125257</v>
      </c>
      <c r="K140" s="33">
        <v>3.9342915811088295</v>
      </c>
      <c r="L140" s="33">
        <v>5.2731006160164275</v>
      </c>
      <c r="M140" s="33">
        <v>9.207392197125257</v>
      </c>
      <c r="N140" s="33">
        <v>3.9206023271731691</v>
      </c>
      <c r="O140" s="33">
        <v>5.0020533880903493</v>
      </c>
      <c r="P140" s="33">
        <v>8.9226557152635184</v>
      </c>
      <c r="Q140" s="33">
        <v>3.2772073921971252</v>
      </c>
      <c r="R140" s="33">
        <v>6.362765229295003</v>
      </c>
      <c r="S140" s="33">
        <v>9.6399726214921291</v>
      </c>
      <c r="T140" s="12">
        <v>3</v>
      </c>
      <c r="U140" s="12">
        <v>15</v>
      </c>
      <c r="V140" s="4" t="s">
        <v>1</v>
      </c>
      <c r="W140" s="4">
        <v>1</v>
      </c>
      <c r="X140" s="4">
        <v>2</v>
      </c>
      <c r="Y140" s="4">
        <v>1</v>
      </c>
      <c r="Z140" s="56">
        <v>3</v>
      </c>
      <c r="AA140" s="9" cm="1">
        <f t="array" ref="AA140">IF(OR(AB140:AE140=""),"BLANK",IF(AND(AB140:AE140&lt;999),1,IF(AND(AB140:AE140="NA"),3,2)))</f>
        <v>1</v>
      </c>
      <c r="AB140" s="4">
        <v>25</v>
      </c>
      <c r="AC140" s="4">
        <v>15</v>
      </c>
      <c r="AD140" s="4">
        <v>10</v>
      </c>
      <c r="AE140" s="5">
        <v>50</v>
      </c>
      <c r="AF140" s="9">
        <f t="shared" si="2"/>
        <v>1</v>
      </c>
      <c r="AG140" s="5">
        <v>39</v>
      </c>
      <c r="AH140" s="9" cm="1">
        <f t="array" ref="AH140">IF(OR(AI140:AN140=""),"BLANK",IF(AND(AI140:AN140&lt;99),1,IF(AND(AI140:AN140="NA"),3,2)))</f>
        <v>2</v>
      </c>
      <c r="AI140" s="4">
        <v>48</v>
      </c>
      <c r="AJ140" s="4" t="s">
        <v>7</v>
      </c>
      <c r="AK140" s="21">
        <v>96.55</v>
      </c>
      <c r="AL140" s="21">
        <v>94.18</v>
      </c>
      <c r="AM140" s="21">
        <v>34.799999999999997</v>
      </c>
      <c r="AN140" s="22" t="s">
        <v>7</v>
      </c>
    </row>
    <row r="141" spans="1:40" x14ac:dyDescent="0.2">
      <c r="A141" s="15">
        <v>1007</v>
      </c>
      <c r="B141" s="4" t="s">
        <v>66</v>
      </c>
      <c r="C141" s="30" t="s">
        <v>24</v>
      </c>
      <c r="D141" s="30">
        <v>5</v>
      </c>
      <c r="E141" s="30">
        <v>0</v>
      </c>
      <c r="F141" s="30" t="s">
        <v>7</v>
      </c>
      <c r="G141" s="30">
        <v>30</v>
      </c>
      <c r="H141" s="33">
        <v>4.0821355236139629</v>
      </c>
      <c r="I141" s="33">
        <v>5.0650239561943877</v>
      </c>
      <c r="J141" s="33">
        <v>9.1471594798083498</v>
      </c>
      <c r="K141" s="33">
        <v>4.1013004791238874</v>
      </c>
      <c r="L141" s="33">
        <v>5.0485968514715944</v>
      </c>
      <c r="M141" s="33">
        <v>9.1498973305954827</v>
      </c>
      <c r="N141" s="33">
        <v>4.0273785078713207</v>
      </c>
      <c r="O141" s="33">
        <v>4.9993155373032172</v>
      </c>
      <c r="P141" s="33">
        <v>9.0266940451745388</v>
      </c>
      <c r="Q141" s="33">
        <v>3.482546201232033</v>
      </c>
      <c r="R141" s="33">
        <v>5.7960301163586587</v>
      </c>
      <c r="S141" s="33">
        <v>9.2785763175906908</v>
      </c>
      <c r="T141" s="12">
        <v>6</v>
      </c>
      <c r="U141" s="12">
        <v>18</v>
      </c>
      <c r="V141" s="4" t="s">
        <v>1</v>
      </c>
      <c r="W141" s="4">
        <v>1</v>
      </c>
      <c r="X141" s="4">
        <v>2</v>
      </c>
      <c r="Y141" s="4">
        <v>1</v>
      </c>
      <c r="Z141" s="56">
        <v>3</v>
      </c>
      <c r="AA141" s="9" cm="1">
        <f t="array" ref="AA141">IF(OR(AB141:AE141=""),"BLANK",IF(AND(AB141:AE141&lt;999),1,IF(AND(AB141:AE141="NA"),3,2)))</f>
        <v>1</v>
      </c>
      <c r="AB141" s="4">
        <v>30</v>
      </c>
      <c r="AC141" s="4">
        <v>13</v>
      </c>
      <c r="AD141" s="4">
        <v>9</v>
      </c>
      <c r="AE141" s="5">
        <v>52</v>
      </c>
      <c r="AF141" s="9">
        <f t="shared" si="2"/>
        <v>1</v>
      </c>
      <c r="AG141" s="5">
        <v>29</v>
      </c>
      <c r="AH141" s="9" cm="1">
        <f t="array" ref="AH141">IF(OR(AI141:AN141=""),"BLANK",IF(AND(AI141:AN141&lt;99),1,IF(AND(AI141:AN141="NA"),3,2)))</f>
        <v>2</v>
      </c>
      <c r="AI141" s="4">
        <v>44</v>
      </c>
      <c r="AJ141" s="4" t="s">
        <v>7</v>
      </c>
      <c r="AK141" s="21">
        <v>92.06</v>
      </c>
      <c r="AL141" s="21">
        <v>97.74</v>
      </c>
      <c r="AM141" s="21">
        <v>44</v>
      </c>
      <c r="AN141" s="22" t="s">
        <v>7</v>
      </c>
    </row>
    <row r="142" spans="1:40" x14ac:dyDescent="0.2">
      <c r="A142" s="15">
        <v>1008</v>
      </c>
      <c r="B142" s="4" t="s">
        <v>68</v>
      </c>
      <c r="C142" s="30" t="s">
        <v>24</v>
      </c>
      <c r="D142" s="30">
        <v>2</v>
      </c>
      <c r="E142" s="30">
        <v>0</v>
      </c>
      <c r="F142" s="30" t="s">
        <v>7</v>
      </c>
      <c r="G142" s="30">
        <v>28</v>
      </c>
      <c r="H142" s="33">
        <v>4.043805612594114</v>
      </c>
      <c r="I142" s="33" t="s">
        <v>7</v>
      </c>
      <c r="J142" s="33" t="s">
        <v>7</v>
      </c>
      <c r="K142" s="33">
        <v>4.043805612594114</v>
      </c>
      <c r="L142" s="33" t="s">
        <v>7</v>
      </c>
      <c r="M142" s="33" t="s">
        <v>7</v>
      </c>
      <c r="N142" s="33">
        <v>4.0739219712525667</v>
      </c>
      <c r="O142" s="33" t="s">
        <v>7</v>
      </c>
      <c r="P142" s="33" t="s">
        <v>7</v>
      </c>
      <c r="Q142" s="33" t="s">
        <v>7</v>
      </c>
      <c r="R142" s="33" t="s">
        <v>7</v>
      </c>
      <c r="S142" s="33" t="s">
        <v>7</v>
      </c>
      <c r="T142" s="12" t="s">
        <v>7</v>
      </c>
      <c r="U142" s="12" t="s">
        <v>7</v>
      </c>
      <c r="V142" s="4" t="s">
        <v>1</v>
      </c>
      <c r="W142" s="4">
        <v>1</v>
      </c>
      <c r="X142" s="4">
        <v>2</v>
      </c>
      <c r="Y142" s="4">
        <v>1</v>
      </c>
      <c r="Z142" s="56">
        <v>3</v>
      </c>
      <c r="AA142" s="9" cm="1">
        <f t="array" ref="AA142">IF(OR(AB142:AE142=""),"BLANK",IF(AND(AB142:AE142&lt;999),1,IF(AND(AB142:AE142="NA"),3,2)))</f>
        <v>1</v>
      </c>
      <c r="AB142" s="4">
        <v>32</v>
      </c>
      <c r="AC142" s="4">
        <v>26</v>
      </c>
      <c r="AD142" s="4">
        <v>19</v>
      </c>
      <c r="AE142" s="5">
        <v>77</v>
      </c>
      <c r="AF142" s="9">
        <f t="shared" si="2"/>
        <v>1</v>
      </c>
      <c r="AG142" s="5">
        <v>73</v>
      </c>
      <c r="AH142" s="9" cm="1">
        <f t="array" ref="AH142">IF(OR(AI142:AN142=""),"BLANK",IF(AND(AI142:AN142&lt;99),1,IF(AND(AI142:AN142="NA"),3,2)))</f>
        <v>2</v>
      </c>
      <c r="AI142" s="4">
        <v>58</v>
      </c>
      <c r="AJ142" s="4" t="s">
        <v>7</v>
      </c>
      <c r="AK142" s="21">
        <v>107.32</v>
      </c>
      <c r="AL142" s="21">
        <v>90.4</v>
      </c>
      <c r="AM142" s="21">
        <v>26.1</v>
      </c>
      <c r="AN142" s="22" t="s">
        <v>7</v>
      </c>
    </row>
    <row r="143" spans="1:40" x14ac:dyDescent="0.2">
      <c r="A143" s="15">
        <v>1013</v>
      </c>
      <c r="B143" s="4" t="s">
        <v>56</v>
      </c>
      <c r="C143" s="30" t="s">
        <v>23</v>
      </c>
      <c r="D143" s="30">
        <v>5</v>
      </c>
      <c r="E143" s="30">
        <v>0</v>
      </c>
      <c r="F143" s="30" t="s">
        <v>7</v>
      </c>
      <c r="G143" s="30">
        <v>30</v>
      </c>
      <c r="H143" s="33">
        <v>4.0219028062970565</v>
      </c>
      <c r="I143" s="33">
        <v>5.0841889117043122</v>
      </c>
      <c r="J143" s="33">
        <v>9.1060917180013696</v>
      </c>
      <c r="K143" s="33">
        <v>4.0219028062970565</v>
      </c>
      <c r="L143" s="33">
        <v>5.0841889117043122</v>
      </c>
      <c r="M143" s="33">
        <v>9.1060917180013696</v>
      </c>
      <c r="N143" s="33">
        <v>4.0574948665297743</v>
      </c>
      <c r="O143" s="33">
        <v>4.7912388774811774</v>
      </c>
      <c r="P143" s="33">
        <v>8.8487337440109517</v>
      </c>
      <c r="Q143" s="33" t="s">
        <v>7</v>
      </c>
      <c r="R143" s="33" t="s">
        <v>7</v>
      </c>
      <c r="S143" s="33" t="s">
        <v>7</v>
      </c>
      <c r="T143" s="12">
        <v>6</v>
      </c>
      <c r="U143" s="12">
        <v>18</v>
      </c>
      <c r="V143" s="4" t="s">
        <v>1</v>
      </c>
      <c r="W143" s="4">
        <v>1</v>
      </c>
      <c r="X143" s="4">
        <v>2</v>
      </c>
      <c r="Y143" s="4">
        <v>1</v>
      </c>
      <c r="Z143" s="56">
        <v>3</v>
      </c>
      <c r="AA143" s="9" cm="1">
        <f t="array" ref="AA143">IF(OR(AB143:AE143=""),"BLANK",IF(AND(AB143:AE143&lt;999),1,IF(AND(AB143:AE143="NA"),3,2)))</f>
        <v>1</v>
      </c>
      <c r="AB143" s="4">
        <v>33</v>
      </c>
      <c r="AC143" s="4">
        <v>25</v>
      </c>
      <c r="AD143" s="4">
        <v>15</v>
      </c>
      <c r="AE143" s="5">
        <v>73</v>
      </c>
      <c r="AF143" s="9">
        <f t="shared" si="2"/>
        <v>1</v>
      </c>
      <c r="AG143" s="5">
        <v>80</v>
      </c>
      <c r="AH143" s="9" cm="1">
        <f t="array" ref="AH143">IF(OR(AI143:AN143=""),"BLANK",IF(AND(AI143:AN143&lt;99),1,IF(AND(AI143:AN143="NA"),3,2)))</f>
        <v>2</v>
      </c>
      <c r="AI143" s="4">
        <v>59</v>
      </c>
      <c r="AJ143" s="4" t="s">
        <v>7</v>
      </c>
      <c r="AK143" s="21">
        <v>109.18</v>
      </c>
      <c r="AL143" s="21">
        <v>93.02</v>
      </c>
      <c r="AM143" s="21">
        <v>31.9</v>
      </c>
      <c r="AN143" s="22">
        <v>87.65</v>
      </c>
    </row>
    <row r="144" spans="1:40" x14ac:dyDescent="0.2">
      <c r="A144" s="15">
        <v>1022</v>
      </c>
      <c r="B144" s="4" t="s">
        <v>63</v>
      </c>
      <c r="C144" s="30" t="s">
        <v>23</v>
      </c>
      <c r="D144" s="30">
        <v>5</v>
      </c>
      <c r="E144" s="30">
        <v>0</v>
      </c>
      <c r="F144" s="30" t="s">
        <v>7</v>
      </c>
      <c r="G144" s="30">
        <v>27</v>
      </c>
      <c r="H144" s="33">
        <v>4</v>
      </c>
      <c r="I144" s="33">
        <v>5.4893908281998627</v>
      </c>
      <c r="J144" s="33">
        <v>9.4893908281998627</v>
      </c>
      <c r="K144" s="33">
        <v>4</v>
      </c>
      <c r="L144" s="33">
        <v>5.4893908281998627</v>
      </c>
      <c r="M144" s="33">
        <v>9.4893908281998627</v>
      </c>
      <c r="N144" s="33">
        <v>3.9616700889801506</v>
      </c>
      <c r="O144" s="33">
        <v>5.5030800821355239</v>
      </c>
      <c r="P144" s="33">
        <v>9.464750171115675</v>
      </c>
      <c r="Q144" s="33" t="s">
        <v>7</v>
      </c>
      <c r="R144" s="33" t="s">
        <v>7</v>
      </c>
      <c r="S144" s="33" t="s">
        <v>7</v>
      </c>
      <c r="T144" s="12">
        <v>4</v>
      </c>
      <c r="U144" s="12">
        <v>16</v>
      </c>
      <c r="V144" s="4" t="s">
        <v>1</v>
      </c>
      <c r="W144" s="4">
        <v>1</v>
      </c>
      <c r="X144" s="4">
        <v>2</v>
      </c>
      <c r="Y144" s="4">
        <v>1</v>
      </c>
      <c r="Z144" s="56">
        <v>3</v>
      </c>
      <c r="AA144" s="9" cm="1">
        <f t="array" ref="AA144">IF(OR(AB144:AE144=""),"BLANK",IF(AND(AB144:AE144&lt;999),1,IF(AND(AB144:AE144="NA"),3,2)))</f>
        <v>1</v>
      </c>
      <c r="AB144" s="4">
        <v>45</v>
      </c>
      <c r="AC144" s="4">
        <v>27</v>
      </c>
      <c r="AD144" s="4">
        <v>19</v>
      </c>
      <c r="AE144" s="5">
        <v>91</v>
      </c>
      <c r="AF144" s="9">
        <f t="shared" si="2"/>
        <v>1</v>
      </c>
      <c r="AG144" s="5">
        <v>70</v>
      </c>
      <c r="AH144" s="9" cm="1">
        <f t="array" ref="AH144">IF(OR(AI144:AN144=""),"BLANK",IF(AND(AI144:AN144&lt;99),1,IF(AND(AI144:AN144="NA"),3,2)))</f>
        <v>2</v>
      </c>
      <c r="AI144" s="4">
        <v>63</v>
      </c>
      <c r="AJ144" s="4" t="s">
        <v>7</v>
      </c>
      <c r="AK144" s="21">
        <v>113.35</v>
      </c>
      <c r="AL144" s="21">
        <v>105.82</v>
      </c>
      <c r="AM144" s="21">
        <v>65.2</v>
      </c>
      <c r="AN144" s="22">
        <v>101.49</v>
      </c>
    </row>
    <row r="145" spans="1:40" x14ac:dyDescent="0.2">
      <c r="A145" s="15">
        <v>1023</v>
      </c>
      <c r="B145" s="4" t="s">
        <v>64</v>
      </c>
      <c r="C145" s="30" t="s">
        <v>23</v>
      </c>
      <c r="D145" s="30">
        <v>5</v>
      </c>
      <c r="E145" s="30">
        <v>0</v>
      </c>
      <c r="F145" s="30" t="s">
        <v>7</v>
      </c>
      <c r="G145" s="30">
        <v>27</v>
      </c>
      <c r="H145" s="33">
        <v>3.9616700889801506</v>
      </c>
      <c r="I145" s="33">
        <v>5.3497604380561263</v>
      </c>
      <c r="J145" s="33">
        <v>9.3114305270362774</v>
      </c>
      <c r="K145" s="33">
        <v>3.9479808350444903</v>
      </c>
      <c r="L145" s="33">
        <v>5.3497604380561263</v>
      </c>
      <c r="M145" s="33">
        <v>9.2977412731006162</v>
      </c>
      <c r="N145" s="33">
        <v>3.9863107460643397</v>
      </c>
      <c r="O145" s="33">
        <v>5.3634496919917867</v>
      </c>
      <c r="P145" s="33">
        <v>9.3497604380561263</v>
      </c>
      <c r="Q145" s="33">
        <v>3.4086242299794662</v>
      </c>
      <c r="R145" s="33">
        <v>6.023271731690623</v>
      </c>
      <c r="S145" s="33">
        <v>9.4318959616700884</v>
      </c>
      <c r="T145" s="12">
        <v>6</v>
      </c>
      <c r="U145" s="12">
        <v>18</v>
      </c>
      <c r="V145" s="4" t="s">
        <v>1</v>
      </c>
      <c r="W145" s="4">
        <v>1</v>
      </c>
      <c r="X145" s="4">
        <v>2</v>
      </c>
      <c r="Y145" s="4">
        <v>1</v>
      </c>
      <c r="Z145" s="56">
        <v>3</v>
      </c>
      <c r="AA145" s="9" cm="1">
        <f t="array" ref="AA145">IF(OR(AB145:AE145=""),"BLANK",IF(AND(AB145:AE145&lt;999),1,IF(AND(AB145:AE145="NA"),3,2)))</f>
        <v>1</v>
      </c>
      <c r="AB145" s="4">
        <v>24</v>
      </c>
      <c r="AC145" s="4">
        <v>14</v>
      </c>
      <c r="AD145" s="4">
        <v>12</v>
      </c>
      <c r="AE145" s="5">
        <v>50</v>
      </c>
      <c r="AF145" s="9">
        <f t="shared" si="2"/>
        <v>1</v>
      </c>
      <c r="AG145" s="5">
        <v>28</v>
      </c>
      <c r="AH145" s="9" cm="1">
        <f t="array" ref="AH145">IF(OR(AI145:AN145=""),"BLANK",IF(AND(AI145:AN145&lt;99),1,IF(AND(AI145:AN145="NA"),3,2)))</f>
        <v>2</v>
      </c>
      <c r="AI145" s="4">
        <v>42</v>
      </c>
      <c r="AJ145" s="4" t="s">
        <v>7</v>
      </c>
      <c r="AK145" s="21">
        <v>89.86</v>
      </c>
      <c r="AL145" s="21">
        <v>99.63</v>
      </c>
      <c r="AM145" s="21">
        <v>49.2</v>
      </c>
      <c r="AN145" s="22" t="s">
        <v>7</v>
      </c>
    </row>
    <row r="146" spans="1:40" x14ac:dyDescent="0.2">
      <c r="A146" s="15">
        <v>1031</v>
      </c>
      <c r="B146" s="4" t="s">
        <v>50</v>
      </c>
      <c r="C146" s="30" t="s">
        <v>23</v>
      </c>
      <c r="D146" s="30">
        <v>6</v>
      </c>
      <c r="E146" s="30">
        <v>1</v>
      </c>
      <c r="F146" s="30" t="s">
        <v>7</v>
      </c>
      <c r="G146" s="30">
        <v>30</v>
      </c>
      <c r="H146" s="33">
        <v>4.1067761806981515</v>
      </c>
      <c r="I146" s="33">
        <v>5.5195071868583163</v>
      </c>
      <c r="J146" s="33">
        <v>9.6262833675564679</v>
      </c>
      <c r="K146" s="33">
        <v>4.1067761806981515</v>
      </c>
      <c r="L146" s="33">
        <v>5.5195071868583163</v>
      </c>
      <c r="M146" s="33">
        <v>9.6262833675564679</v>
      </c>
      <c r="N146" s="33">
        <v>4.043805612594114</v>
      </c>
      <c r="O146" s="33">
        <v>5.0212183436002737</v>
      </c>
      <c r="P146" s="33">
        <v>9.0650239561943877</v>
      </c>
      <c r="Q146" s="33" t="s">
        <v>7</v>
      </c>
      <c r="R146" s="33" t="s">
        <v>7</v>
      </c>
      <c r="S146" s="33" t="s">
        <v>7</v>
      </c>
      <c r="T146" s="12">
        <v>4</v>
      </c>
      <c r="U146" s="12">
        <v>16</v>
      </c>
      <c r="V146" s="4" t="s">
        <v>1</v>
      </c>
      <c r="W146" s="4">
        <v>1</v>
      </c>
      <c r="X146" s="4">
        <v>2</v>
      </c>
      <c r="Y146" s="4">
        <v>1</v>
      </c>
      <c r="Z146" s="56">
        <v>3</v>
      </c>
      <c r="AA146" s="9" cm="1">
        <f t="array" ref="AA146">IF(OR(AB146:AE146=""),"BLANK",IF(AND(AB146:AE146&lt;999),1,IF(AND(AB146:AE146="NA"),3,2)))</f>
        <v>1</v>
      </c>
      <c r="AB146" s="4">
        <v>29</v>
      </c>
      <c r="AC146" s="4">
        <v>18</v>
      </c>
      <c r="AD146" s="4">
        <v>12</v>
      </c>
      <c r="AE146" s="5">
        <v>59</v>
      </c>
      <c r="AF146" s="9">
        <f t="shared" si="2"/>
        <v>1</v>
      </c>
      <c r="AG146" s="5">
        <v>58</v>
      </c>
      <c r="AH146" s="9" cm="1">
        <f t="array" ref="AH146">IF(OR(AI146:AN146=""),"BLANK",IF(AND(AI146:AN146&lt;99),1,IF(AND(AI146:AN146="NA"),3,2)))</f>
        <v>2</v>
      </c>
      <c r="AI146" s="4">
        <v>51</v>
      </c>
      <c r="AJ146" s="4" t="s">
        <v>7</v>
      </c>
      <c r="AK146" s="21">
        <v>99.56</v>
      </c>
      <c r="AL146" s="21">
        <v>99.16</v>
      </c>
      <c r="AM146" s="21">
        <v>47.6</v>
      </c>
      <c r="AN146" s="22" t="s">
        <v>7</v>
      </c>
    </row>
    <row r="147" spans="1:40" x14ac:dyDescent="0.2">
      <c r="A147" s="15">
        <v>1045</v>
      </c>
      <c r="B147" s="4" t="s">
        <v>64</v>
      </c>
      <c r="C147" s="30" t="s">
        <v>23</v>
      </c>
      <c r="D147" s="30">
        <v>5</v>
      </c>
      <c r="E147" s="30">
        <v>0</v>
      </c>
      <c r="F147" s="30" t="s">
        <v>7</v>
      </c>
      <c r="G147" s="30">
        <v>29</v>
      </c>
      <c r="H147" s="33">
        <v>4.3723477070499657</v>
      </c>
      <c r="I147" s="33">
        <v>5.0787132101300481</v>
      </c>
      <c r="J147" s="33">
        <v>9.4510609171800137</v>
      </c>
      <c r="K147" s="33">
        <v>4.3723477070499657</v>
      </c>
      <c r="L147" s="33">
        <v>5.0787132101300481</v>
      </c>
      <c r="M147" s="33">
        <v>9.4510609171800137</v>
      </c>
      <c r="N147" s="33" t="s">
        <v>7</v>
      </c>
      <c r="O147" s="33" t="s">
        <v>7</v>
      </c>
      <c r="P147" s="33" t="s">
        <v>7</v>
      </c>
      <c r="Q147" s="33">
        <v>3.3127994524298425</v>
      </c>
      <c r="R147" s="33" t="s">
        <v>7</v>
      </c>
      <c r="S147" s="33" t="s">
        <v>7</v>
      </c>
      <c r="T147" s="12">
        <v>5</v>
      </c>
      <c r="U147" s="12">
        <v>17</v>
      </c>
      <c r="V147" s="4" t="s">
        <v>1</v>
      </c>
      <c r="W147" s="4">
        <v>1</v>
      </c>
      <c r="X147" s="4">
        <v>2</v>
      </c>
      <c r="Y147" s="4">
        <v>1</v>
      </c>
      <c r="Z147" s="56">
        <v>3</v>
      </c>
      <c r="AA147" s="9" cm="1">
        <f t="array" ref="AA147">IF(OR(AB147:AE147=""),"BLANK",IF(AND(AB147:AE147&lt;999),1,IF(AND(AB147:AE147="NA"),3,2)))</f>
        <v>1</v>
      </c>
      <c r="AB147" s="4">
        <v>27</v>
      </c>
      <c r="AC147" s="4">
        <v>18</v>
      </c>
      <c r="AD147" s="4">
        <v>14</v>
      </c>
      <c r="AE147" s="5">
        <v>59</v>
      </c>
      <c r="AF147" s="9">
        <f t="shared" si="2"/>
        <v>1</v>
      </c>
      <c r="AG147" s="5">
        <v>39</v>
      </c>
      <c r="AH147" s="9" cm="1">
        <f t="array" ref="AH147">IF(OR(AI147:AN147=""),"BLANK",IF(AND(AI147:AN147&lt;99),1,IF(AND(AI147:AN147="NA"),3,2)))</f>
        <v>2</v>
      </c>
      <c r="AI147" s="4">
        <v>51</v>
      </c>
      <c r="AJ147" s="4" t="s">
        <v>7</v>
      </c>
      <c r="AK147" s="21">
        <v>99.14</v>
      </c>
      <c r="AL147" s="21">
        <v>116.3</v>
      </c>
      <c r="AM147" s="21">
        <v>86.2</v>
      </c>
      <c r="AN147" s="22">
        <v>117.32</v>
      </c>
    </row>
    <row r="148" spans="1:40" x14ac:dyDescent="0.2">
      <c r="A148" s="15">
        <v>1054</v>
      </c>
      <c r="B148" s="4" t="s">
        <v>66</v>
      </c>
      <c r="C148" s="30" t="s">
        <v>23</v>
      </c>
      <c r="D148" s="30">
        <v>5</v>
      </c>
      <c r="E148" s="30">
        <v>0</v>
      </c>
      <c r="F148" s="30" t="s">
        <v>7</v>
      </c>
      <c r="G148" s="30">
        <v>30</v>
      </c>
      <c r="H148" s="33">
        <v>3.871321013004791</v>
      </c>
      <c r="I148" s="33">
        <v>5.3360711841204651</v>
      </c>
      <c r="J148" s="33">
        <v>9.207392197125257</v>
      </c>
      <c r="K148" s="33">
        <v>3.8795345653661877</v>
      </c>
      <c r="L148" s="33">
        <v>5.3278576317590689</v>
      </c>
      <c r="M148" s="33">
        <v>9.207392197125257</v>
      </c>
      <c r="N148" s="33">
        <v>3.9178644763860371</v>
      </c>
      <c r="O148" s="33" t="s">
        <v>7</v>
      </c>
      <c r="P148" s="33" t="s">
        <v>7</v>
      </c>
      <c r="Q148" s="33">
        <v>3.2197125256673513</v>
      </c>
      <c r="R148" s="33" t="s">
        <v>7</v>
      </c>
      <c r="S148" s="33" t="s">
        <v>7</v>
      </c>
      <c r="T148" s="12">
        <v>7</v>
      </c>
      <c r="U148" s="12">
        <v>21</v>
      </c>
      <c r="V148" s="4" t="s">
        <v>1</v>
      </c>
      <c r="W148" s="4">
        <v>1</v>
      </c>
      <c r="X148" s="4">
        <v>2</v>
      </c>
      <c r="Y148" s="4">
        <v>1</v>
      </c>
      <c r="Z148" s="56">
        <v>3</v>
      </c>
      <c r="AA148" s="9" cm="1">
        <f t="array" ref="AA148">IF(OR(AB148:AE148=""),"BLANK",IF(AND(AB148:AE148&lt;999),1,IF(AND(AB148:AE148="NA"),3,2)))</f>
        <v>1</v>
      </c>
      <c r="AB148" s="4">
        <v>32</v>
      </c>
      <c r="AC148" s="4">
        <v>21</v>
      </c>
      <c r="AD148" s="4">
        <v>14</v>
      </c>
      <c r="AE148" s="5">
        <v>67</v>
      </c>
      <c r="AF148" s="9">
        <f t="shared" si="2"/>
        <v>1</v>
      </c>
      <c r="AG148" s="5">
        <v>47</v>
      </c>
      <c r="AH148" s="9" cm="1">
        <f t="array" ref="AH148">IF(OR(AI148:AN148=""),"BLANK",IF(AND(AI148:AN148&lt;99),1,IF(AND(AI148:AN148="NA"),3,2)))</f>
        <v>2</v>
      </c>
      <c r="AI148" s="4">
        <v>41</v>
      </c>
      <c r="AJ148" s="4" t="s">
        <v>7</v>
      </c>
      <c r="AK148" s="21">
        <v>88.43</v>
      </c>
      <c r="AL148" s="21">
        <v>91.28</v>
      </c>
      <c r="AM148" s="21">
        <v>28.1</v>
      </c>
      <c r="AN148" s="22" t="s">
        <v>7</v>
      </c>
    </row>
    <row r="149" spans="1:40" x14ac:dyDescent="0.2">
      <c r="A149" s="15">
        <v>1058</v>
      </c>
      <c r="B149" s="4" t="s">
        <v>60</v>
      </c>
      <c r="C149" s="30" t="s">
        <v>23</v>
      </c>
      <c r="D149" s="30">
        <v>5</v>
      </c>
      <c r="E149" s="30">
        <v>0</v>
      </c>
      <c r="F149" s="30" t="s">
        <v>7</v>
      </c>
      <c r="G149" s="30">
        <v>30</v>
      </c>
      <c r="H149" s="33">
        <v>3.9945242984257359</v>
      </c>
      <c r="I149" s="33">
        <v>5.5633127994524294</v>
      </c>
      <c r="J149" s="33">
        <v>9.5578370978781653</v>
      </c>
      <c r="K149" s="33">
        <v>3.9945242984257359</v>
      </c>
      <c r="L149" s="33">
        <v>5.5633127994524294</v>
      </c>
      <c r="M149" s="33">
        <v>9.5578370978781653</v>
      </c>
      <c r="N149" s="33" t="s">
        <v>7</v>
      </c>
      <c r="O149" s="33" t="s">
        <v>7</v>
      </c>
      <c r="P149" s="33">
        <v>9.5742642026009577</v>
      </c>
      <c r="Q149" s="33" t="s">
        <v>7</v>
      </c>
      <c r="R149" s="33" t="s">
        <v>7</v>
      </c>
      <c r="S149" s="33" t="s">
        <v>7</v>
      </c>
      <c r="T149" s="12" t="s">
        <v>7</v>
      </c>
      <c r="U149" s="12" t="s">
        <v>7</v>
      </c>
      <c r="V149" s="4" t="s">
        <v>1</v>
      </c>
      <c r="W149" s="4">
        <v>1</v>
      </c>
      <c r="X149" s="4">
        <v>2</v>
      </c>
      <c r="Y149" s="4">
        <v>1</v>
      </c>
      <c r="Z149" s="56">
        <v>3</v>
      </c>
      <c r="AA149" s="9" cm="1">
        <f t="array" ref="AA149">IF(OR(AB149:AE149=""),"BLANK",IF(AND(AB149:AE149&lt;999),1,IF(AND(AB149:AE149="NA"),3,2)))</f>
        <v>1</v>
      </c>
      <c r="AB149" s="4">
        <v>41</v>
      </c>
      <c r="AC149" s="4">
        <v>20</v>
      </c>
      <c r="AD149" s="4">
        <v>10</v>
      </c>
      <c r="AE149" s="5">
        <v>71</v>
      </c>
      <c r="AF149" s="9">
        <f t="shared" si="2"/>
        <v>1</v>
      </c>
      <c r="AG149" s="5">
        <v>62</v>
      </c>
      <c r="AH149" s="9" cm="1">
        <f t="array" ref="AH149">IF(OR(AI149:AN149=""),"BLANK",IF(AND(AI149:AN149&lt;99),1,IF(AND(AI149:AN149="NA"),3,2)))</f>
        <v>2</v>
      </c>
      <c r="AI149" s="4">
        <v>52</v>
      </c>
      <c r="AJ149" s="4" t="s">
        <v>7</v>
      </c>
      <c r="AK149" s="21">
        <v>99.82</v>
      </c>
      <c r="AL149" s="21">
        <v>85.95</v>
      </c>
      <c r="AM149" s="21">
        <v>17.399999999999999</v>
      </c>
      <c r="AN149" s="22" t="s">
        <v>7</v>
      </c>
    </row>
    <row r="150" spans="1:40" x14ac:dyDescent="0.2">
      <c r="A150" s="15">
        <v>1084</v>
      </c>
      <c r="B150" s="4" t="s">
        <v>66</v>
      </c>
      <c r="C150" s="30" t="s">
        <v>23</v>
      </c>
      <c r="D150" s="30">
        <v>5</v>
      </c>
      <c r="E150" s="30">
        <v>0</v>
      </c>
      <c r="F150" s="30" t="s">
        <v>7</v>
      </c>
      <c r="G150" s="30">
        <v>30</v>
      </c>
      <c r="H150" s="33">
        <v>3.9507186858316223</v>
      </c>
      <c r="I150" s="33">
        <v>5.4976043805612598</v>
      </c>
      <c r="J150" s="33">
        <v>9.4483230663928808</v>
      </c>
      <c r="K150" s="33">
        <v>3.9479808350444903</v>
      </c>
      <c r="L150" s="33">
        <v>5.4976043805612598</v>
      </c>
      <c r="M150" s="33">
        <v>9.4455852156057496</v>
      </c>
      <c r="N150" s="33" t="s">
        <v>7</v>
      </c>
      <c r="O150" s="33" t="s">
        <v>7</v>
      </c>
      <c r="P150" s="33" t="s">
        <v>7</v>
      </c>
      <c r="Q150" s="33">
        <v>3.2908966461327855</v>
      </c>
      <c r="R150" s="33" t="s">
        <v>7</v>
      </c>
      <c r="S150" s="33" t="s">
        <v>7</v>
      </c>
      <c r="T150" s="12">
        <v>5</v>
      </c>
      <c r="U150" s="12">
        <v>16</v>
      </c>
      <c r="V150" s="4" t="s">
        <v>1</v>
      </c>
      <c r="W150" s="4">
        <v>1</v>
      </c>
      <c r="X150" s="4">
        <v>2</v>
      </c>
      <c r="Y150" s="4">
        <v>1</v>
      </c>
      <c r="Z150" s="56">
        <v>3</v>
      </c>
      <c r="AA150" s="9" cm="1">
        <f t="array" ref="AA150">IF(OR(AB150:AE150=""),"BLANK",IF(AND(AB150:AE150&lt;999),1,IF(AND(AB150:AE150="NA"),3,2)))</f>
        <v>1</v>
      </c>
      <c r="AB150" s="4">
        <v>25</v>
      </c>
      <c r="AC150" s="4">
        <v>17</v>
      </c>
      <c r="AD150" s="4">
        <v>10</v>
      </c>
      <c r="AE150" s="5">
        <v>52</v>
      </c>
      <c r="AF150" s="9">
        <f t="shared" si="2"/>
        <v>1</v>
      </c>
      <c r="AG150" s="5">
        <v>46</v>
      </c>
      <c r="AH150" s="9" cm="1">
        <f t="array" ref="AH150">IF(OR(AI150:AN150=""),"BLANK",IF(AND(AI150:AN150&lt;99),1,IF(AND(AI150:AN150="NA"),3,2)))</f>
        <v>2</v>
      </c>
      <c r="AI150" s="4">
        <v>41</v>
      </c>
      <c r="AJ150" s="4" t="s">
        <v>7</v>
      </c>
      <c r="AK150" s="21">
        <v>88.68</v>
      </c>
      <c r="AL150" s="21">
        <v>91.76</v>
      </c>
      <c r="AM150" s="21">
        <v>29.1</v>
      </c>
      <c r="AN150" s="22" t="s">
        <v>7</v>
      </c>
    </row>
    <row r="151" spans="1:40" x14ac:dyDescent="0.2">
      <c r="A151" s="15">
        <v>1093</v>
      </c>
      <c r="B151" s="4" t="s">
        <v>48</v>
      </c>
      <c r="C151" s="30" t="s">
        <v>24</v>
      </c>
      <c r="D151" s="30">
        <v>5</v>
      </c>
      <c r="E151" s="30">
        <v>0</v>
      </c>
      <c r="F151" s="30" t="s">
        <v>7</v>
      </c>
      <c r="G151" s="30">
        <v>29</v>
      </c>
      <c r="H151" s="33">
        <v>3.698836413415469</v>
      </c>
      <c r="I151" s="33">
        <v>5.3853524982888432</v>
      </c>
      <c r="J151" s="33">
        <v>9.0841889117043113</v>
      </c>
      <c r="K151" s="33">
        <v>3.698836413415469</v>
      </c>
      <c r="L151" s="33">
        <v>5.4072553045858998</v>
      </c>
      <c r="M151" s="33">
        <v>9.1060917180013696</v>
      </c>
      <c r="N151" s="33">
        <v>3.698836413415469</v>
      </c>
      <c r="O151" s="33">
        <v>5.0787132101300481</v>
      </c>
      <c r="P151" s="33">
        <v>8.7775496235455162</v>
      </c>
      <c r="Q151" s="33" t="s">
        <v>7</v>
      </c>
      <c r="R151" s="33" t="s">
        <v>7</v>
      </c>
      <c r="S151" s="33" t="s">
        <v>7</v>
      </c>
      <c r="T151" s="12">
        <v>6</v>
      </c>
      <c r="U151" s="12">
        <v>18</v>
      </c>
      <c r="V151" s="4" t="s">
        <v>1</v>
      </c>
      <c r="W151" s="4">
        <v>1</v>
      </c>
      <c r="X151" s="4">
        <v>2</v>
      </c>
      <c r="Y151" s="4">
        <v>1</v>
      </c>
      <c r="Z151" s="56">
        <v>3</v>
      </c>
      <c r="AA151" s="9" cm="1">
        <f t="array" ref="AA151">IF(OR(AB151:AE151=""),"BLANK",IF(AND(AB151:AE151&lt;999),1,IF(AND(AB151:AE151="NA"),3,2)))</f>
        <v>1</v>
      </c>
      <c r="AB151" s="4">
        <v>23</v>
      </c>
      <c r="AC151" s="4">
        <v>16</v>
      </c>
      <c r="AD151" s="4">
        <v>11</v>
      </c>
      <c r="AE151" s="5">
        <v>50</v>
      </c>
      <c r="AF151" s="9">
        <f t="shared" si="2"/>
        <v>1</v>
      </c>
      <c r="AG151" s="5">
        <v>43</v>
      </c>
      <c r="AH151" s="9" cm="1">
        <f t="array" ref="AH151">IF(OR(AI151:AN151=""),"BLANK",IF(AND(AI151:AN151&lt;99),1,IF(AND(AI151:AN151="NA"),3,2)))</f>
        <v>2</v>
      </c>
      <c r="AI151" s="4">
        <v>44</v>
      </c>
      <c r="AJ151" s="4" t="s">
        <v>7</v>
      </c>
      <c r="AK151" s="21">
        <v>91.26</v>
      </c>
      <c r="AL151" s="21">
        <v>88.86</v>
      </c>
      <c r="AM151" s="21">
        <v>23</v>
      </c>
      <c r="AN151" s="22">
        <v>84.79</v>
      </c>
    </row>
    <row r="152" spans="1:40" x14ac:dyDescent="0.2">
      <c r="A152" s="15">
        <v>1124</v>
      </c>
      <c r="B152" s="4" t="s">
        <v>68</v>
      </c>
      <c r="C152" s="30" t="s">
        <v>23</v>
      </c>
      <c r="D152" s="30">
        <v>1</v>
      </c>
      <c r="E152" s="30">
        <v>0</v>
      </c>
      <c r="F152" s="30" t="s">
        <v>7</v>
      </c>
      <c r="G152" s="30">
        <v>30</v>
      </c>
      <c r="H152" s="33">
        <v>4.1451060917180014</v>
      </c>
      <c r="I152" s="33" t="s">
        <v>7</v>
      </c>
      <c r="J152" s="33" t="s">
        <v>7</v>
      </c>
      <c r="K152" s="33">
        <v>4.1451060917180014</v>
      </c>
      <c r="L152" s="33" t="s">
        <v>7</v>
      </c>
      <c r="M152" s="33" t="s">
        <v>7</v>
      </c>
      <c r="N152" s="33">
        <v>4.2765229295003424</v>
      </c>
      <c r="O152" s="33" t="s">
        <v>7</v>
      </c>
      <c r="P152" s="33" t="s">
        <v>7</v>
      </c>
      <c r="Q152" s="33" t="s">
        <v>7</v>
      </c>
      <c r="R152" s="33" t="s">
        <v>7</v>
      </c>
      <c r="S152" s="33" t="s">
        <v>7</v>
      </c>
      <c r="T152" s="12">
        <v>7</v>
      </c>
      <c r="U152" s="12">
        <v>21</v>
      </c>
      <c r="V152" s="4" t="s">
        <v>1</v>
      </c>
      <c r="W152" s="4">
        <v>1</v>
      </c>
      <c r="X152" s="4">
        <v>2</v>
      </c>
      <c r="Y152" s="4">
        <v>1</v>
      </c>
      <c r="Z152" s="56">
        <v>3</v>
      </c>
      <c r="AA152" s="9" cm="1">
        <f t="array" ref="AA152">IF(OR(AB152:AE152=""),"BLANK",IF(AND(AB152:AE152&lt;999),1,IF(AND(AB152:AE152="NA"),3,2)))</f>
        <v>1</v>
      </c>
      <c r="AB152" s="4">
        <v>39</v>
      </c>
      <c r="AC152" s="4">
        <v>21</v>
      </c>
      <c r="AD152" s="4">
        <v>15</v>
      </c>
      <c r="AE152" s="5">
        <v>75</v>
      </c>
      <c r="AF152" s="9">
        <f t="shared" si="2"/>
        <v>1</v>
      </c>
      <c r="AG152" s="5">
        <v>75</v>
      </c>
      <c r="AH152" s="9" cm="1">
        <f t="array" ref="AH152">IF(OR(AI152:AN152=""),"BLANK",IF(AND(AI152:AN152&lt;99),1,IF(AND(AI152:AN152="NA"),3,2)))</f>
        <v>2</v>
      </c>
      <c r="AI152" s="4">
        <v>67</v>
      </c>
      <c r="AJ152" s="4" t="s">
        <v>7</v>
      </c>
      <c r="AK152" s="21">
        <v>118.91</v>
      </c>
      <c r="AL152" s="21">
        <v>107.36</v>
      </c>
      <c r="AM152" s="21">
        <v>68.8</v>
      </c>
      <c r="AN152" s="22">
        <v>102.5</v>
      </c>
    </row>
    <row r="153" spans="1:40" x14ac:dyDescent="0.2">
      <c r="A153" s="15">
        <v>1136</v>
      </c>
      <c r="B153" s="4" t="s">
        <v>48</v>
      </c>
      <c r="C153" s="30" t="s">
        <v>24</v>
      </c>
      <c r="D153" s="30">
        <v>5</v>
      </c>
      <c r="E153" s="30">
        <v>0</v>
      </c>
      <c r="F153" s="30" t="s">
        <v>7</v>
      </c>
      <c r="G153" s="30">
        <v>27</v>
      </c>
      <c r="H153" s="33">
        <v>3.8165639972621492</v>
      </c>
      <c r="I153" s="33" t="s">
        <v>7</v>
      </c>
      <c r="J153" s="33" t="s">
        <v>7</v>
      </c>
      <c r="K153" s="33">
        <v>3.8357289527720737</v>
      </c>
      <c r="L153" s="33" t="s">
        <v>7</v>
      </c>
      <c r="M153" s="33" t="s">
        <v>7</v>
      </c>
      <c r="N153" s="33">
        <v>3.7782340862422998</v>
      </c>
      <c r="O153" s="33" t="s">
        <v>7</v>
      </c>
      <c r="P153" s="33" t="s">
        <v>7</v>
      </c>
      <c r="Q153" s="33">
        <v>3.5126625598904861</v>
      </c>
      <c r="R153" s="33" t="s">
        <v>7</v>
      </c>
      <c r="S153" s="33" t="s">
        <v>7</v>
      </c>
      <c r="T153" s="12">
        <v>6</v>
      </c>
      <c r="U153" s="12">
        <v>18</v>
      </c>
      <c r="V153" s="4" t="s">
        <v>1</v>
      </c>
      <c r="W153" s="4">
        <v>1</v>
      </c>
      <c r="X153" s="4">
        <v>2</v>
      </c>
      <c r="Y153" s="4">
        <v>1</v>
      </c>
      <c r="Z153" s="56">
        <v>3</v>
      </c>
      <c r="AA153" s="9" cm="1">
        <f t="array" ref="AA153">IF(OR(AB153:AE153=""),"BLANK",IF(AND(AB153:AE153&lt;999),1,IF(AND(AB153:AE153="NA"),3,2)))</f>
        <v>1</v>
      </c>
      <c r="AB153" s="4">
        <v>16</v>
      </c>
      <c r="AC153" s="4">
        <v>11</v>
      </c>
      <c r="AD153" s="4">
        <v>7</v>
      </c>
      <c r="AE153" s="5">
        <v>34</v>
      </c>
      <c r="AF153" s="9">
        <f t="shared" si="2"/>
        <v>1</v>
      </c>
      <c r="AG153" s="5">
        <v>30</v>
      </c>
      <c r="AH153" s="9" cm="1">
        <f t="array" ref="AH153">IF(OR(AI153:AN153=""),"BLANK",IF(AND(AI153:AN153&lt;99),1,IF(AND(AI153:AN153="NA"),3,2)))</f>
        <v>2</v>
      </c>
      <c r="AI153" s="4">
        <v>41</v>
      </c>
      <c r="AJ153" s="4" t="s">
        <v>7</v>
      </c>
      <c r="AK153" s="21">
        <v>88.72</v>
      </c>
      <c r="AL153" s="21">
        <v>91.79</v>
      </c>
      <c r="AM153" s="21">
        <v>29.1</v>
      </c>
      <c r="AN153" s="22">
        <v>88.17</v>
      </c>
    </row>
    <row r="154" spans="1:40" x14ac:dyDescent="0.2">
      <c r="A154" s="15">
        <v>1139</v>
      </c>
      <c r="B154" s="4" t="s">
        <v>52</v>
      </c>
      <c r="C154" s="30" t="s">
        <v>23</v>
      </c>
      <c r="D154" s="30">
        <v>5</v>
      </c>
      <c r="E154" s="30">
        <v>0</v>
      </c>
      <c r="F154" s="30" t="s">
        <v>7</v>
      </c>
      <c r="G154" s="30">
        <v>30</v>
      </c>
      <c r="H154" s="33">
        <v>3.8439425051334704</v>
      </c>
      <c r="I154" s="33">
        <v>5.1635865845311431</v>
      </c>
      <c r="J154" s="33">
        <v>9.0075290896646134</v>
      </c>
      <c r="K154" s="33">
        <v>3.786447638603696</v>
      </c>
      <c r="L154" s="33">
        <v>5.1635865845311431</v>
      </c>
      <c r="M154" s="33">
        <v>8.9500342231348391</v>
      </c>
      <c r="N154" s="33">
        <v>3.8138261464750172</v>
      </c>
      <c r="O154" s="33">
        <v>5.0896646132785763</v>
      </c>
      <c r="P154" s="33">
        <v>8.9034907597535931</v>
      </c>
      <c r="Q154" s="33">
        <v>3.3483915126625599</v>
      </c>
      <c r="R154" s="33">
        <v>6.0807665982203973</v>
      </c>
      <c r="S154" s="33">
        <v>9.4291581108829572</v>
      </c>
      <c r="T154" s="12">
        <v>4</v>
      </c>
      <c r="U154" s="12">
        <v>16</v>
      </c>
      <c r="V154" s="4" t="s">
        <v>1</v>
      </c>
      <c r="W154" s="4">
        <v>1</v>
      </c>
      <c r="X154" s="4">
        <v>2</v>
      </c>
      <c r="Y154" s="4">
        <v>1</v>
      </c>
      <c r="Z154" s="56">
        <v>3</v>
      </c>
      <c r="AA154" s="9" cm="1">
        <f t="array" ref="AA154">IF(OR(AB154:AE154=""),"BLANK",IF(AND(AB154:AE154&lt;999),1,IF(AND(AB154:AE154="NA"),3,2)))</f>
        <v>1</v>
      </c>
      <c r="AB154" s="4">
        <v>38</v>
      </c>
      <c r="AC154" s="4">
        <v>28</v>
      </c>
      <c r="AD154" s="4">
        <v>20</v>
      </c>
      <c r="AE154" s="5">
        <v>86</v>
      </c>
      <c r="AF154" s="9">
        <f t="shared" si="2"/>
        <v>1</v>
      </c>
      <c r="AG154" s="5">
        <v>56</v>
      </c>
      <c r="AH154" s="9" cm="1">
        <f t="array" ref="AH154">IF(OR(AI154:AN154=""),"BLANK",IF(AND(AI154:AN154&lt;99),1,IF(AND(AI154:AN154="NA"),3,2)))</f>
        <v>2</v>
      </c>
      <c r="AI154" s="4">
        <v>53</v>
      </c>
      <c r="AJ154" s="4" t="s">
        <v>7</v>
      </c>
      <c r="AK154" s="21">
        <v>101.4</v>
      </c>
      <c r="AL154" s="21">
        <v>113.16</v>
      </c>
      <c r="AM154" s="21">
        <v>81.099999999999994</v>
      </c>
      <c r="AN154" s="22">
        <v>108.65</v>
      </c>
    </row>
    <row r="155" spans="1:40" x14ac:dyDescent="0.2">
      <c r="A155" s="15">
        <v>1141</v>
      </c>
      <c r="B155" s="4" t="s">
        <v>66</v>
      </c>
      <c r="C155" s="30" t="s">
        <v>24</v>
      </c>
      <c r="D155" s="30">
        <v>5</v>
      </c>
      <c r="E155" s="30">
        <v>0</v>
      </c>
      <c r="F155" s="30" t="s">
        <v>7</v>
      </c>
      <c r="G155" s="30">
        <v>29</v>
      </c>
      <c r="H155" s="33">
        <v>3.8795345653661877</v>
      </c>
      <c r="I155" s="33">
        <v>5.3552361396303905</v>
      </c>
      <c r="J155" s="33">
        <v>9.2347707049965777</v>
      </c>
      <c r="K155" s="33">
        <v>3.8795345653661877</v>
      </c>
      <c r="L155" s="33">
        <v>5.3579739904175225</v>
      </c>
      <c r="M155" s="33">
        <v>9.2375085557837107</v>
      </c>
      <c r="N155" s="33">
        <v>3.8658453114305269</v>
      </c>
      <c r="O155" s="33">
        <v>5.3114305270362765</v>
      </c>
      <c r="P155" s="33">
        <v>9.1772758384668034</v>
      </c>
      <c r="Q155" s="33">
        <v>3.2772073921971252</v>
      </c>
      <c r="R155" s="33">
        <v>6.0698151950718682</v>
      </c>
      <c r="S155" s="33">
        <v>9.3470225872689934</v>
      </c>
      <c r="T155" s="12">
        <v>6</v>
      </c>
      <c r="U155" s="12">
        <v>18</v>
      </c>
      <c r="V155" s="4" t="s">
        <v>1</v>
      </c>
      <c r="W155" s="4">
        <v>1</v>
      </c>
      <c r="X155" s="4">
        <v>2</v>
      </c>
      <c r="Y155" s="4">
        <v>1</v>
      </c>
      <c r="Z155" s="56">
        <v>3</v>
      </c>
      <c r="AA155" s="9" cm="1">
        <f t="array" ref="AA155">IF(OR(AB155:AE155=""),"BLANK",IF(AND(AB155:AE155&lt;999),1,IF(AND(AB155:AE155="NA"),3,2)))</f>
        <v>1</v>
      </c>
      <c r="AB155" s="4">
        <v>31</v>
      </c>
      <c r="AC155" s="4">
        <v>16</v>
      </c>
      <c r="AD155" s="4">
        <v>10</v>
      </c>
      <c r="AE155" s="5">
        <v>57</v>
      </c>
      <c r="AF155" s="9">
        <f t="shared" si="2"/>
        <v>1</v>
      </c>
      <c r="AG155" s="5">
        <v>58</v>
      </c>
      <c r="AH155" s="9" cm="1">
        <f t="array" ref="AH155">IF(OR(AI155:AN155=""),"BLANK",IF(AND(AI155:AN155&lt;99),1,IF(AND(AI155:AN155="NA"),3,2)))</f>
        <v>2</v>
      </c>
      <c r="AI155" s="4">
        <v>51</v>
      </c>
      <c r="AJ155" s="4" t="s">
        <v>7</v>
      </c>
      <c r="AK155" s="21">
        <v>99.23</v>
      </c>
      <c r="AL155" s="21">
        <v>109.87</v>
      </c>
      <c r="AM155" s="21">
        <v>74.5</v>
      </c>
      <c r="AN155" s="22">
        <v>105.93</v>
      </c>
    </row>
    <row r="156" spans="1:40" x14ac:dyDescent="0.2">
      <c r="A156" s="15">
        <v>1146</v>
      </c>
      <c r="B156" s="4" t="s">
        <v>68</v>
      </c>
      <c r="C156" s="30" t="s">
        <v>23</v>
      </c>
      <c r="D156" s="30">
        <v>3</v>
      </c>
      <c r="E156" s="30">
        <v>1</v>
      </c>
      <c r="F156" s="30" t="s">
        <v>7</v>
      </c>
      <c r="G156" s="30">
        <v>30</v>
      </c>
      <c r="H156" s="33">
        <v>4.131416837782341</v>
      </c>
      <c r="I156" s="33">
        <v>5.4784394250513344</v>
      </c>
      <c r="J156" s="33">
        <v>9.6098562628336754</v>
      </c>
      <c r="K156" s="33">
        <v>4.128678986995209</v>
      </c>
      <c r="L156" s="33">
        <v>5.4811772758384665</v>
      </c>
      <c r="M156" s="33">
        <v>9.6098562628336754</v>
      </c>
      <c r="N156" s="33">
        <v>4.0191649555099245</v>
      </c>
      <c r="O156" s="33">
        <v>5.4757015742642023</v>
      </c>
      <c r="P156" s="33">
        <v>9.4948665297741268</v>
      </c>
      <c r="Q156" s="33" t="s">
        <v>7</v>
      </c>
      <c r="R156" s="33" t="s">
        <v>7</v>
      </c>
      <c r="S156" s="33" t="s">
        <v>7</v>
      </c>
      <c r="T156" s="12">
        <v>6</v>
      </c>
      <c r="U156" s="12">
        <v>18</v>
      </c>
      <c r="V156" s="4" t="s">
        <v>1</v>
      </c>
      <c r="W156" s="4">
        <v>1</v>
      </c>
      <c r="X156" s="4">
        <v>2</v>
      </c>
      <c r="Y156" s="4">
        <v>1</v>
      </c>
      <c r="Z156" s="56">
        <v>3</v>
      </c>
      <c r="AA156" s="9" cm="1">
        <f t="array" ref="AA156">IF(OR(AB156:AE156=""),"BLANK",IF(AND(AB156:AE156&lt;999),1,IF(AND(AB156:AE156="NA"),3,2)))</f>
        <v>1</v>
      </c>
      <c r="AB156" s="4">
        <v>47</v>
      </c>
      <c r="AC156" s="4">
        <v>26</v>
      </c>
      <c r="AD156" s="4">
        <v>16</v>
      </c>
      <c r="AE156" s="5">
        <v>89</v>
      </c>
      <c r="AF156" s="9">
        <f t="shared" si="2"/>
        <v>1</v>
      </c>
      <c r="AG156" s="5">
        <v>70</v>
      </c>
      <c r="AH156" s="9" cm="1">
        <f t="array" ref="AH156">IF(OR(AI156:AN156=""),"BLANK",IF(AND(AI156:AN156&lt;99),1,IF(AND(AI156:AN156="NA"),3,2)))</f>
        <v>2</v>
      </c>
      <c r="AI156" s="4">
        <v>68</v>
      </c>
      <c r="AJ156" s="4" t="s">
        <v>7</v>
      </c>
      <c r="AK156" s="21">
        <v>119.66</v>
      </c>
      <c r="AL156" s="21">
        <v>108.52</v>
      </c>
      <c r="AM156" s="21">
        <v>71.599999999999994</v>
      </c>
      <c r="AN156" s="22" t="s">
        <v>7</v>
      </c>
    </row>
    <row r="157" spans="1:40" x14ac:dyDescent="0.2">
      <c r="A157" s="15">
        <v>1149</v>
      </c>
      <c r="B157" s="4" t="s">
        <v>49</v>
      </c>
      <c r="C157" s="30" t="s">
        <v>24</v>
      </c>
      <c r="D157" s="30">
        <v>5</v>
      </c>
      <c r="E157" s="30">
        <v>0</v>
      </c>
      <c r="F157" s="30" t="s">
        <v>7</v>
      </c>
      <c r="G157" s="30">
        <v>29</v>
      </c>
      <c r="H157" s="33">
        <v>3.9123887748117729</v>
      </c>
      <c r="I157" s="33">
        <v>5.3689253935660508</v>
      </c>
      <c r="J157" s="33">
        <v>9.2813141683778237</v>
      </c>
      <c r="K157" s="33">
        <v>3.9288158795345653</v>
      </c>
      <c r="L157" s="33">
        <v>5.3524982888432584</v>
      </c>
      <c r="M157" s="33">
        <v>9.2813141683778237</v>
      </c>
      <c r="N157" s="33">
        <v>3.9397672826830936</v>
      </c>
      <c r="O157" s="33">
        <v>5.1389459274469544</v>
      </c>
      <c r="P157" s="33">
        <v>9.0787132101300472</v>
      </c>
      <c r="Q157" s="33" t="s">
        <v>7</v>
      </c>
      <c r="R157" s="33" t="s">
        <v>7</v>
      </c>
      <c r="S157" s="33" t="s">
        <v>7</v>
      </c>
      <c r="T157" s="12">
        <v>6</v>
      </c>
      <c r="U157" s="12">
        <v>18</v>
      </c>
      <c r="V157" s="4" t="s">
        <v>1</v>
      </c>
      <c r="W157" s="4">
        <v>1</v>
      </c>
      <c r="X157" s="4">
        <v>2</v>
      </c>
      <c r="Y157" s="4">
        <v>1</v>
      </c>
      <c r="Z157" s="56">
        <v>3</v>
      </c>
      <c r="AA157" s="9" cm="1">
        <f t="array" ref="AA157">IF(OR(AB157:AE157=""),"BLANK",IF(AND(AB157:AE157&lt;999),1,IF(AND(AB157:AE157="NA"),3,2)))</f>
        <v>1</v>
      </c>
      <c r="AB157" s="4">
        <v>40</v>
      </c>
      <c r="AC157" s="4">
        <v>23</v>
      </c>
      <c r="AD157" s="4">
        <v>17</v>
      </c>
      <c r="AE157" s="5">
        <v>80</v>
      </c>
      <c r="AF157" s="9">
        <f t="shared" si="2"/>
        <v>1</v>
      </c>
      <c r="AG157" s="5">
        <v>77</v>
      </c>
      <c r="AH157" s="9" cm="1">
        <f t="array" ref="AH157">IF(OR(AI157:AN157=""),"BLANK",IF(AND(AI157:AN157&lt;99),1,IF(AND(AI157:AN157="NA"),3,2)))</f>
        <v>2</v>
      </c>
      <c r="AI157" s="4">
        <v>60</v>
      </c>
      <c r="AJ157" s="4" t="s">
        <v>7</v>
      </c>
      <c r="AK157" s="21">
        <v>109.76</v>
      </c>
      <c r="AL157" s="21">
        <v>104.89</v>
      </c>
      <c r="AM157" s="21">
        <v>62.9</v>
      </c>
      <c r="AN157" s="22" t="s">
        <v>7</v>
      </c>
    </row>
    <row r="158" spans="1:40" x14ac:dyDescent="0.2">
      <c r="A158" s="15">
        <v>1153</v>
      </c>
      <c r="B158" s="4" t="s">
        <v>54</v>
      </c>
      <c r="C158" s="30" t="s">
        <v>24</v>
      </c>
      <c r="D158" s="30">
        <v>5</v>
      </c>
      <c r="E158" s="30">
        <v>0</v>
      </c>
      <c r="F158" s="30" t="s">
        <v>7</v>
      </c>
      <c r="G158" s="30">
        <v>30</v>
      </c>
      <c r="H158" s="33">
        <v>3.8439425051334704</v>
      </c>
      <c r="I158" s="33">
        <v>5.3059548254620124</v>
      </c>
      <c r="J158" s="33">
        <v>9.1498973305954827</v>
      </c>
      <c r="K158" s="33">
        <v>3.8439425051334704</v>
      </c>
      <c r="L158" s="33">
        <v>5.3059548254620124</v>
      </c>
      <c r="M158" s="33">
        <v>9.1498973305954827</v>
      </c>
      <c r="N158" s="33">
        <v>3.9726214921286789</v>
      </c>
      <c r="O158" s="33">
        <v>5.0266940451745379</v>
      </c>
      <c r="P158" s="33">
        <v>8.9993155373032163</v>
      </c>
      <c r="Q158" s="33">
        <v>3.3100616016427105</v>
      </c>
      <c r="R158" s="33">
        <v>6.1409993155373028</v>
      </c>
      <c r="S158" s="33">
        <v>9.4510609171800137</v>
      </c>
      <c r="T158" s="12">
        <v>2</v>
      </c>
      <c r="U158" s="12">
        <v>12</v>
      </c>
      <c r="V158" s="4" t="s">
        <v>1</v>
      </c>
      <c r="W158" s="4">
        <v>1</v>
      </c>
      <c r="X158" s="4">
        <v>2</v>
      </c>
      <c r="Y158" s="4">
        <v>1</v>
      </c>
      <c r="Z158" s="56">
        <v>3</v>
      </c>
      <c r="AA158" s="9" cm="1">
        <f t="array" ref="AA158">IF(OR(AB158:AE158=""),"BLANK",IF(AND(AB158:AE158&lt;999),1,IF(AND(AB158:AE158="NA"),3,2)))</f>
        <v>1</v>
      </c>
      <c r="AB158" s="4">
        <v>32</v>
      </c>
      <c r="AC158" s="4">
        <v>20</v>
      </c>
      <c r="AD158" s="4">
        <v>13</v>
      </c>
      <c r="AE158" s="5">
        <v>65</v>
      </c>
      <c r="AF158" s="9">
        <f t="shared" si="2"/>
        <v>1</v>
      </c>
      <c r="AG158" s="5">
        <v>55</v>
      </c>
      <c r="AH158" s="9" cm="1">
        <f t="array" ref="AH158">IF(OR(AI158:AN158=""),"BLANK",IF(AND(AI158:AN158&lt;99),1,IF(AND(AI158:AN158="NA"),3,2)))</f>
        <v>2</v>
      </c>
      <c r="AI158" s="4">
        <v>57</v>
      </c>
      <c r="AJ158" s="4" t="s">
        <v>7</v>
      </c>
      <c r="AK158" s="21">
        <v>106.97</v>
      </c>
      <c r="AL158" s="21">
        <v>110.02</v>
      </c>
      <c r="AM158" s="21">
        <v>74.900000000000006</v>
      </c>
      <c r="AN158" s="22">
        <v>104.81</v>
      </c>
    </row>
    <row r="159" spans="1:40" x14ac:dyDescent="0.2">
      <c r="A159" s="15">
        <v>1154</v>
      </c>
      <c r="B159" s="4" t="s">
        <v>55</v>
      </c>
      <c r="C159" s="30" t="s">
        <v>23</v>
      </c>
      <c r="D159" s="30">
        <v>5</v>
      </c>
      <c r="E159" s="30">
        <v>0</v>
      </c>
      <c r="F159" s="30" t="s">
        <v>7</v>
      </c>
      <c r="G159" s="30">
        <v>30</v>
      </c>
      <c r="H159" s="33">
        <v>4.2902121834360027</v>
      </c>
      <c r="I159" s="33" t="s">
        <v>7</v>
      </c>
      <c r="J159" s="33" t="s">
        <v>7</v>
      </c>
      <c r="K159" s="33">
        <v>4.2902121834360027</v>
      </c>
      <c r="L159" s="33" t="s">
        <v>7</v>
      </c>
      <c r="M159" s="33" t="s">
        <v>7</v>
      </c>
      <c r="N159" s="33" t="s">
        <v>7</v>
      </c>
      <c r="O159" s="33" t="s">
        <v>7</v>
      </c>
      <c r="P159" s="33" t="s">
        <v>7</v>
      </c>
      <c r="Q159" s="33" t="s">
        <v>7</v>
      </c>
      <c r="R159" s="33" t="s">
        <v>7</v>
      </c>
      <c r="S159" s="33" t="s">
        <v>7</v>
      </c>
      <c r="T159" s="12">
        <v>1</v>
      </c>
      <c r="U159" s="12">
        <v>11</v>
      </c>
      <c r="V159" s="4" t="s">
        <v>1</v>
      </c>
      <c r="W159" s="4">
        <v>1</v>
      </c>
      <c r="X159" s="4">
        <v>2</v>
      </c>
      <c r="Y159" s="4">
        <v>1</v>
      </c>
      <c r="Z159" s="56">
        <v>3</v>
      </c>
      <c r="AA159" s="9" cm="1">
        <f t="array" ref="AA159">IF(OR(AB159:AE159=""),"BLANK",IF(AND(AB159:AE159&lt;999),1,IF(AND(AB159:AE159="NA"),3,2)))</f>
        <v>3</v>
      </c>
      <c r="AB159" s="4" t="s">
        <v>7</v>
      </c>
      <c r="AC159" s="4" t="s">
        <v>7</v>
      </c>
      <c r="AD159" s="4" t="s">
        <v>7</v>
      </c>
      <c r="AE159" s="5" t="s">
        <v>7</v>
      </c>
      <c r="AF159" s="9">
        <f t="shared" si="2"/>
        <v>3</v>
      </c>
      <c r="AG159" s="5" t="s">
        <v>7</v>
      </c>
      <c r="AH159" s="9" cm="1">
        <f t="array" ref="AH159">IF(OR(AI159:AN159=""),"BLANK",IF(AND(AI159:AN159&lt;99),1,IF(AND(AI159:AN159="NA"),3,2)))</f>
        <v>2</v>
      </c>
      <c r="AI159" s="4">
        <v>60</v>
      </c>
      <c r="AJ159" s="4" t="s">
        <v>7</v>
      </c>
      <c r="AK159" s="21">
        <v>110.26</v>
      </c>
      <c r="AL159" s="21">
        <v>100.84</v>
      </c>
      <c r="AM159" s="21">
        <v>52.4</v>
      </c>
      <c r="AN159" s="22">
        <v>106.92</v>
      </c>
    </row>
    <row r="160" spans="1:40" x14ac:dyDescent="0.2">
      <c r="A160" s="15">
        <v>1157</v>
      </c>
      <c r="B160" s="4" t="s">
        <v>63</v>
      </c>
      <c r="C160" s="30" t="s">
        <v>23</v>
      </c>
      <c r="D160" s="30">
        <v>5</v>
      </c>
      <c r="E160" s="30">
        <v>0</v>
      </c>
      <c r="F160" s="30" t="s">
        <v>7</v>
      </c>
      <c r="G160" s="30">
        <v>30</v>
      </c>
      <c r="H160" s="33">
        <v>4.1177275838466807</v>
      </c>
      <c r="I160" s="33">
        <v>5.5359342915811087</v>
      </c>
      <c r="J160" s="33">
        <v>9.6536618754277885</v>
      </c>
      <c r="K160" s="33">
        <v>4.1177275838466807</v>
      </c>
      <c r="L160" s="33">
        <v>5.5359342915811087</v>
      </c>
      <c r="M160" s="33">
        <v>9.6536618754277885</v>
      </c>
      <c r="N160" s="33" t="s">
        <v>7</v>
      </c>
      <c r="O160" s="33" t="s">
        <v>7</v>
      </c>
      <c r="P160" s="33">
        <v>9.4976043805612598</v>
      </c>
      <c r="Q160" s="33" t="s">
        <v>7</v>
      </c>
      <c r="R160" s="33" t="s">
        <v>7</v>
      </c>
      <c r="S160" s="33" t="s">
        <v>7</v>
      </c>
      <c r="T160" s="12">
        <v>6</v>
      </c>
      <c r="U160" s="12">
        <v>18</v>
      </c>
      <c r="V160" s="4" t="s">
        <v>1</v>
      </c>
      <c r="W160" s="4">
        <v>1</v>
      </c>
      <c r="X160" s="4">
        <v>2</v>
      </c>
      <c r="Y160" s="4">
        <v>1</v>
      </c>
      <c r="Z160" s="56">
        <v>3</v>
      </c>
      <c r="AA160" s="9" cm="1">
        <f t="array" ref="AA160">IF(OR(AB160:AE160=""),"BLANK",IF(AND(AB160:AE160&lt;999),1,IF(AND(AB160:AE160="NA"),3,2)))</f>
        <v>1</v>
      </c>
      <c r="AB160" s="4">
        <v>32</v>
      </c>
      <c r="AC160" s="4">
        <v>31</v>
      </c>
      <c r="AD160" s="4">
        <v>20</v>
      </c>
      <c r="AE160" s="5">
        <v>83</v>
      </c>
      <c r="AF160" s="9">
        <f t="shared" si="2"/>
        <v>1</v>
      </c>
      <c r="AG160" s="5">
        <v>72</v>
      </c>
      <c r="AH160" s="9" cm="1">
        <f t="array" ref="AH160">IF(OR(AI160:AN160=""),"BLANK",IF(AND(AI160:AN160&lt;99),1,IF(AND(AI160:AN160="NA"),3,2)))</f>
        <v>2</v>
      </c>
      <c r="AI160" s="4">
        <v>51</v>
      </c>
      <c r="AJ160" s="4" t="s">
        <v>7</v>
      </c>
      <c r="AK160" s="21">
        <v>99.09</v>
      </c>
      <c r="AL160" s="21">
        <v>84.73</v>
      </c>
      <c r="AM160" s="21">
        <v>15.4</v>
      </c>
      <c r="AN160" s="22">
        <v>79.52</v>
      </c>
    </row>
    <row r="161" spans="1:40" x14ac:dyDescent="0.2">
      <c r="A161" s="15">
        <v>1169</v>
      </c>
      <c r="B161" s="4" t="s">
        <v>63</v>
      </c>
      <c r="C161" s="30" t="s">
        <v>23</v>
      </c>
      <c r="D161" s="30">
        <v>5</v>
      </c>
      <c r="E161" s="30">
        <v>0</v>
      </c>
      <c r="F161" s="30" t="s">
        <v>7</v>
      </c>
      <c r="G161" s="30">
        <v>29</v>
      </c>
      <c r="H161" s="33">
        <v>3.978097193702943</v>
      </c>
      <c r="I161" s="33" t="s">
        <v>7</v>
      </c>
      <c r="J161" s="33" t="s">
        <v>7</v>
      </c>
      <c r="K161" s="33">
        <v>3.978097193702943</v>
      </c>
      <c r="L161" s="33" t="s">
        <v>7</v>
      </c>
      <c r="M161" s="33" t="s">
        <v>7</v>
      </c>
      <c r="N161" s="33">
        <v>4.0054757015742641</v>
      </c>
      <c r="O161" s="33" t="s">
        <v>7</v>
      </c>
      <c r="P161" s="33" t="s">
        <v>7</v>
      </c>
      <c r="Q161" s="33" t="s">
        <v>7</v>
      </c>
      <c r="R161" s="33" t="s">
        <v>7</v>
      </c>
      <c r="S161" s="33" t="s">
        <v>7</v>
      </c>
      <c r="T161" s="12">
        <v>6</v>
      </c>
      <c r="U161" s="12">
        <v>18</v>
      </c>
      <c r="V161" s="4" t="s">
        <v>1</v>
      </c>
      <c r="W161" s="4">
        <v>1</v>
      </c>
      <c r="X161" s="4">
        <v>2</v>
      </c>
      <c r="Y161" s="4">
        <v>1</v>
      </c>
      <c r="Z161" s="56">
        <v>3</v>
      </c>
      <c r="AA161" s="9" cm="1">
        <f t="array" ref="AA161">IF(OR(AB161:AE161=""),"BLANK",IF(AND(AB161:AE161&lt;999),1,IF(AND(AB161:AE161="NA"),3,2)))</f>
        <v>1</v>
      </c>
      <c r="AB161" s="4">
        <v>41</v>
      </c>
      <c r="AC161" s="4">
        <v>28</v>
      </c>
      <c r="AD161" s="4">
        <v>17</v>
      </c>
      <c r="AE161" s="5">
        <v>86</v>
      </c>
      <c r="AF161" s="9">
        <f t="shared" si="2"/>
        <v>1</v>
      </c>
      <c r="AG161" s="5">
        <v>69</v>
      </c>
      <c r="AH161" s="9" cm="1">
        <f t="array" ref="AH161">IF(OR(AI161:AN161=""),"BLANK",IF(AND(AI161:AN161&lt;99),1,IF(AND(AI161:AN161="NA"),3,2)))</f>
        <v>2</v>
      </c>
      <c r="AI161" s="4">
        <v>83</v>
      </c>
      <c r="AJ161" s="4" t="s">
        <v>7</v>
      </c>
      <c r="AK161" s="21">
        <v>142.84</v>
      </c>
      <c r="AL161" s="21">
        <v>138.6</v>
      </c>
      <c r="AM161" s="21">
        <v>99.5</v>
      </c>
      <c r="AN161" s="22">
        <v>136.59</v>
      </c>
    </row>
    <row r="162" spans="1:40" x14ac:dyDescent="0.2">
      <c r="A162" s="15">
        <v>1172</v>
      </c>
      <c r="B162" s="4" t="s">
        <v>55</v>
      </c>
      <c r="C162" s="30" t="s">
        <v>24</v>
      </c>
      <c r="D162" s="30">
        <v>5</v>
      </c>
      <c r="E162" s="30">
        <v>0</v>
      </c>
      <c r="F162" s="30" t="s">
        <v>7</v>
      </c>
      <c r="G162" s="30">
        <v>29</v>
      </c>
      <c r="H162" s="33">
        <v>3.9589322381930185</v>
      </c>
      <c r="I162" s="33">
        <v>5.6919917864476384</v>
      </c>
      <c r="J162" s="33">
        <v>9.6509240246406574</v>
      </c>
      <c r="K162" s="33">
        <v>3.9589322381930185</v>
      </c>
      <c r="L162" s="33">
        <v>5.6919917864476384</v>
      </c>
      <c r="M162" s="33">
        <v>9.6509240246406574</v>
      </c>
      <c r="N162" s="33">
        <v>3.8959616700889801</v>
      </c>
      <c r="O162" s="33">
        <v>5.6673511293634498</v>
      </c>
      <c r="P162" s="33">
        <v>9.5633127994524294</v>
      </c>
      <c r="Q162" s="33" t="s">
        <v>7</v>
      </c>
      <c r="R162" s="33" t="s">
        <v>7</v>
      </c>
      <c r="S162" s="33" t="s">
        <v>7</v>
      </c>
      <c r="T162" s="12">
        <v>6</v>
      </c>
      <c r="U162" s="12">
        <v>18</v>
      </c>
      <c r="V162" s="4" t="s">
        <v>1</v>
      </c>
      <c r="W162" s="4">
        <v>1</v>
      </c>
      <c r="X162" s="4">
        <v>2</v>
      </c>
      <c r="Y162" s="4">
        <v>1</v>
      </c>
      <c r="Z162" s="56">
        <v>3</v>
      </c>
      <c r="AA162" s="9" cm="1">
        <f t="array" ref="AA162">IF(OR(AB162:AE162=""),"BLANK",IF(AND(AB162:AE162&lt;999),1,IF(AND(AB162:AE162="NA"),3,2)))</f>
        <v>1</v>
      </c>
      <c r="AB162" s="4">
        <v>42</v>
      </c>
      <c r="AC162" s="4">
        <v>29</v>
      </c>
      <c r="AD162" s="4">
        <v>18</v>
      </c>
      <c r="AE162" s="5">
        <v>89</v>
      </c>
      <c r="AF162" s="9">
        <f t="shared" si="2"/>
        <v>1</v>
      </c>
      <c r="AG162" s="5">
        <v>68</v>
      </c>
      <c r="AH162" s="9" cm="1">
        <f t="array" ref="AH162">IF(OR(AI162:AN162=""),"BLANK",IF(AND(AI162:AN162&lt;99),1,IF(AND(AI162:AN162="NA"),3,2)))</f>
        <v>2</v>
      </c>
      <c r="AI162" s="4">
        <v>69</v>
      </c>
      <c r="AJ162" s="4" t="s">
        <v>7</v>
      </c>
      <c r="AK162" s="21">
        <v>121.75</v>
      </c>
      <c r="AL162" s="21">
        <v>118.06</v>
      </c>
      <c r="AM162" s="21">
        <v>88.5</v>
      </c>
      <c r="AN162" s="22" t="s">
        <v>7</v>
      </c>
    </row>
    <row r="163" spans="1:40" x14ac:dyDescent="0.2">
      <c r="A163" s="15">
        <v>1175</v>
      </c>
      <c r="B163" s="4" t="s">
        <v>51</v>
      </c>
      <c r="C163" s="30" t="s">
        <v>24</v>
      </c>
      <c r="D163" s="30">
        <v>1</v>
      </c>
      <c r="E163" s="30">
        <v>0</v>
      </c>
      <c r="F163" s="30" t="s">
        <v>7</v>
      </c>
      <c r="G163" s="30">
        <v>30</v>
      </c>
      <c r="H163" s="33">
        <v>3.9096509240246409</v>
      </c>
      <c r="I163" s="33">
        <v>5.2648870636550305</v>
      </c>
      <c r="J163" s="33">
        <v>9.1745379876796722</v>
      </c>
      <c r="K163" s="33">
        <v>3.9096509240246409</v>
      </c>
      <c r="L163" s="33">
        <v>5.5879534565366189</v>
      </c>
      <c r="M163" s="33">
        <v>9.4976043805612598</v>
      </c>
      <c r="N163" s="33" t="s">
        <v>7</v>
      </c>
      <c r="O163" s="33" t="s">
        <v>7</v>
      </c>
      <c r="P163" s="33">
        <v>9.073237508555783</v>
      </c>
      <c r="Q163" s="33">
        <v>3.1676933607118412</v>
      </c>
      <c r="R163" s="33">
        <v>6.2094455852156054</v>
      </c>
      <c r="S163" s="33">
        <v>9.377138945927447</v>
      </c>
      <c r="T163" s="12">
        <v>4</v>
      </c>
      <c r="U163" s="12">
        <v>16</v>
      </c>
      <c r="V163" s="4" t="s">
        <v>1</v>
      </c>
      <c r="W163" s="4">
        <v>1</v>
      </c>
      <c r="X163" s="4">
        <v>2</v>
      </c>
      <c r="Y163" s="4">
        <v>1</v>
      </c>
      <c r="Z163" s="56">
        <v>3</v>
      </c>
      <c r="AA163" s="9" cm="1">
        <f t="array" ref="AA163">IF(OR(AB163:AE163=""),"BLANK",IF(AND(AB163:AE163&lt;999),1,IF(AND(AB163:AE163="NA"),3,2)))</f>
        <v>1</v>
      </c>
      <c r="AB163" s="4">
        <v>34</v>
      </c>
      <c r="AC163" s="4">
        <v>19</v>
      </c>
      <c r="AD163" s="4">
        <v>10</v>
      </c>
      <c r="AE163" s="5">
        <v>63</v>
      </c>
      <c r="AF163" s="9">
        <f t="shared" si="2"/>
        <v>1</v>
      </c>
      <c r="AG163" s="5">
        <v>66</v>
      </c>
      <c r="AH163" s="9" cm="1">
        <f t="array" ref="AH163">IF(OR(AI163:AN163=""),"BLANK",IF(AND(AI163:AN163&lt;99),1,IF(AND(AI163:AN163="NA"),3,2)))</f>
        <v>2</v>
      </c>
      <c r="AI163" s="4">
        <v>48</v>
      </c>
      <c r="AJ163" s="4" t="s">
        <v>7</v>
      </c>
      <c r="AK163" s="21">
        <v>96.11</v>
      </c>
      <c r="AL163" s="21">
        <v>84.53</v>
      </c>
      <c r="AM163" s="21">
        <v>15.1</v>
      </c>
      <c r="AN163" s="22" t="s">
        <v>7</v>
      </c>
    </row>
    <row r="164" spans="1:40" x14ac:dyDescent="0.2">
      <c r="A164" s="15">
        <v>1183</v>
      </c>
      <c r="B164" s="4" t="s">
        <v>56</v>
      </c>
      <c r="C164" s="30" t="s">
        <v>24</v>
      </c>
      <c r="D164" s="30">
        <v>5</v>
      </c>
      <c r="E164" s="30">
        <v>0</v>
      </c>
      <c r="F164" s="30" t="s">
        <v>7</v>
      </c>
      <c r="G164" s="30">
        <v>30</v>
      </c>
      <c r="H164" s="33">
        <v>3.8412046543463383</v>
      </c>
      <c r="I164" s="33">
        <v>5.6536618754277894</v>
      </c>
      <c r="J164" s="33">
        <v>9.4948665297741268</v>
      </c>
      <c r="K164" s="33">
        <v>3.8412046543463383</v>
      </c>
      <c r="L164" s="33">
        <v>5.6536618754277894</v>
      </c>
      <c r="M164" s="33">
        <v>9.4948665297741268</v>
      </c>
      <c r="N164" s="33" t="s">
        <v>7</v>
      </c>
      <c r="O164" s="33" t="s">
        <v>7</v>
      </c>
      <c r="P164" s="33">
        <v>9.4811772758384674</v>
      </c>
      <c r="Q164" s="33" t="s">
        <v>7</v>
      </c>
      <c r="R164" s="33" t="s">
        <v>7</v>
      </c>
      <c r="S164" s="33" t="s">
        <v>7</v>
      </c>
      <c r="T164" s="12">
        <v>6</v>
      </c>
      <c r="U164" s="12">
        <v>18</v>
      </c>
      <c r="V164" s="4" t="s">
        <v>1</v>
      </c>
      <c r="W164" s="4">
        <v>1</v>
      </c>
      <c r="X164" s="4">
        <v>2</v>
      </c>
      <c r="Y164" s="4">
        <v>1</v>
      </c>
      <c r="Z164" s="56">
        <v>3</v>
      </c>
      <c r="AA164" s="9" cm="1">
        <f t="array" ref="AA164">IF(OR(AB164:AE164=""),"BLANK",IF(AND(AB164:AE164&lt;999),1,IF(AND(AB164:AE164="NA"),3,2)))</f>
        <v>1</v>
      </c>
      <c r="AB164" s="4">
        <v>41</v>
      </c>
      <c r="AC164" s="4">
        <v>21</v>
      </c>
      <c r="AD164" s="4">
        <v>16</v>
      </c>
      <c r="AE164" s="5">
        <v>78</v>
      </c>
      <c r="AF164" s="9">
        <f t="shared" si="2"/>
        <v>1</v>
      </c>
      <c r="AG164" s="5">
        <v>78</v>
      </c>
      <c r="AH164" s="9" cm="1">
        <f t="array" ref="AH164">IF(OR(AI164:AN164=""),"BLANK",IF(AND(AI164:AN164&lt;99),1,IF(AND(AI164:AN164="NA"),3,2)))</f>
        <v>2</v>
      </c>
      <c r="AI164" s="4">
        <v>56</v>
      </c>
      <c r="AJ164" s="4" t="s">
        <v>7</v>
      </c>
      <c r="AK164" s="21">
        <v>104.88</v>
      </c>
      <c r="AL164" s="21">
        <v>87.07</v>
      </c>
      <c r="AM164" s="21">
        <v>19.5</v>
      </c>
      <c r="AN164" s="22" t="s">
        <v>7</v>
      </c>
    </row>
    <row r="165" spans="1:40" x14ac:dyDescent="0.2">
      <c r="A165" s="15">
        <v>1200</v>
      </c>
      <c r="B165" s="4" t="s">
        <v>66</v>
      </c>
      <c r="C165" s="30" t="s">
        <v>23</v>
      </c>
      <c r="D165" s="30">
        <v>5</v>
      </c>
      <c r="E165" s="30">
        <v>1</v>
      </c>
      <c r="F165" s="30" t="s">
        <v>7</v>
      </c>
      <c r="G165" s="30">
        <v>27</v>
      </c>
      <c r="H165" s="33">
        <v>3.8740588637919235</v>
      </c>
      <c r="I165" s="33">
        <v>5.4236824093086931</v>
      </c>
      <c r="J165" s="33">
        <v>9.2977412731006162</v>
      </c>
      <c r="K165" s="33">
        <v>3.8740588637919235</v>
      </c>
      <c r="L165" s="33">
        <v>5.4236824093086931</v>
      </c>
      <c r="M165" s="33">
        <v>9.2977412731006162</v>
      </c>
      <c r="N165" s="33">
        <v>3.9644079397672827</v>
      </c>
      <c r="O165" s="33" t="s">
        <v>7</v>
      </c>
      <c r="P165" s="33" t="s">
        <v>7</v>
      </c>
      <c r="Q165" s="33">
        <v>3.3456536618754278</v>
      </c>
      <c r="R165" s="33" t="s">
        <v>7</v>
      </c>
      <c r="S165" s="33" t="s">
        <v>7</v>
      </c>
      <c r="T165" s="12">
        <v>3</v>
      </c>
      <c r="U165" s="12">
        <v>14</v>
      </c>
      <c r="V165" s="4" t="s">
        <v>1</v>
      </c>
      <c r="W165" s="4">
        <v>1</v>
      </c>
      <c r="X165" s="4">
        <v>2</v>
      </c>
      <c r="Y165" s="4">
        <v>1</v>
      </c>
      <c r="Z165" s="56">
        <v>3</v>
      </c>
      <c r="AA165" s="9" cm="1">
        <f t="array" ref="AA165">IF(OR(AB165:AE165=""),"BLANK",IF(AND(AB165:AE165&lt;999),1,IF(AND(AB165:AE165="NA"),3,2)))</f>
        <v>1</v>
      </c>
      <c r="AB165" s="4">
        <v>32</v>
      </c>
      <c r="AC165" s="4">
        <v>21</v>
      </c>
      <c r="AD165" s="4">
        <v>16</v>
      </c>
      <c r="AE165" s="5">
        <v>69</v>
      </c>
      <c r="AF165" s="9">
        <f t="shared" si="2"/>
        <v>1</v>
      </c>
      <c r="AG165" s="5">
        <v>55</v>
      </c>
      <c r="AH165" s="9" cm="1">
        <f t="array" ref="AH165">IF(OR(AI165:AN165=""),"BLANK",IF(AND(AI165:AN165&lt;99),1,IF(AND(AI165:AN165="NA"),3,2)))</f>
        <v>2</v>
      </c>
      <c r="AI165" s="4">
        <v>44</v>
      </c>
      <c r="AJ165" s="4" t="s">
        <v>7</v>
      </c>
      <c r="AK165" s="21">
        <v>91.32</v>
      </c>
      <c r="AL165" s="21">
        <v>96.43</v>
      </c>
      <c r="AM165" s="21">
        <v>40.5</v>
      </c>
      <c r="AN165" s="22" t="s">
        <v>7</v>
      </c>
    </row>
    <row r="166" spans="1:40" x14ac:dyDescent="0.2">
      <c r="A166" s="15">
        <v>1220</v>
      </c>
      <c r="B166" s="4" t="s">
        <v>54</v>
      </c>
      <c r="C166" s="30" t="s">
        <v>23</v>
      </c>
      <c r="D166" s="30">
        <v>5</v>
      </c>
      <c r="E166" s="30">
        <v>0</v>
      </c>
      <c r="F166" s="30" t="s">
        <v>7</v>
      </c>
      <c r="G166" s="30">
        <v>29</v>
      </c>
      <c r="H166" s="33">
        <v>4.1779603011635862</v>
      </c>
      <c r="I166" s="33">
        <v>4.8213552361396301</v>
      </c>
      <c r="J166" s="33">
        <v>8.9993155373032163</v>
      </c>
      <c r="K166" s="33">
        <v>4.1779603011635862</v>
      </c>
      <c r="L166" s="33">
        <v>5.0540725530458586</v>
      </c>
      <c r="M166" s="33">
        <v>9.2320328542094447</v>
      </c>
      <c r="N166" s="33">
        <v>4.1040383299110195</v>
      </c>
      <c r="O166" s="33">
        <v>4.7446954140999313</v>
      </c>
      <c r="P166" s="33">
        <v>8.8487337440109517</v>
      </c>
      <c r="Q166" s="33" t="s">
        <v>7</v>
      </c>
      <c r="R166" s="33" t="s">
        <v>7</v>
      </c>
      <c r="S166" s="33" t="s">
        <v>7</v>
      </c>
      <c r="T166" s="12">
        <v>5</v>
      </c>
      <c r="U166" s="12">
        <v>17</v>
      </c>
      <c r="V166" s="4" t="s">
        <v>1</v>
      </c>
      <c r="W166" s="4">
        <v>1</v>
      </c>
      <c r="X166" s="4">
        <v>2</v>
      </c>
      <c r="Y166" s="4">
        <v>1</v>
      </c>
      <c r="Z166" s="56">
        <v>3</v>
      </c>
      <c r="AA166" s="9" cm="1">
        <f t="array" ref="AA166">IF(OR(AB166:AE166=""),"BLANK",IF(AND(AB166:AE166&lt;999),1,IF(AND(AB166:AE166="NA"),3,2)))</f>
        <v>1</v>
      </c>
      <c r="AB166" s="4">
        <v>32</v>
      </c>
      <c r="AC166" s="4">
        <v>18</v>
      </c>
      <c r="AD166" s="4">
        <v>14</v>
      </c>
      <c r="AE166" s="5">
        <v>64</v>
      </c>
      <c r="AF166" s="9">
        <f t="shared" si="2"/>
        <v>1</v>
      </c>
      <c r="AG166" s="5">
        <v>59</v>
      </c>
      <c r="AH166" s="9" cm="1">
        <f t="array" ref="AH166">IF(OR(AI166:AN166=""),"BLANK",IF(AND(AI166:AN166&lt;99),1,IF(AND(AI166:AN166="NA"),3,2)))</f>
        <v>2</v>
      </c>
      <c r="AI166" s="4">
        <v>63</v>
      </c>
      <c r="AJ166" s="4" t="s">
        <v>7</v>
      </c>
      <c r="AK166" s="21">
        <v>113.4</v>
      </c>
      <c r="AL166" s="21">
        <v>120.19</v>
      </c>
      <c r="AM166" s="21">
        <v>91.2</v>
      </c>
      <c r="AN166" s="22">
        <v>114.95</v>
      </c>
    </row>
    <row r="167" spans="1:40" x14ac:dyDescent="0.2">
      <c r="A167" s="15">
        <v>1225</v>
      </c>
      <c r="B167" s="4" t="s">
        <v>70</v>
      </c>
      <c r="C167" s="30" t="s">
        <v>23</v>
      </c>
      <c r="D167" s="30">
        <v>5</v>
      </c>
      <c r="E167" s="30">
        <v>0</v>
      </c>
      <c r="F167" s="30" t="s">
        <v>7</v>
      </c>
      <c r="G167" s="30">
        <v>28</v>
      </c>
      <c r="H167" s="33">
        <v>3.9342915811088295</v>
      </c>
      <c r="I167" s="33" t="s">
        <v>7</v>
      </c>
      <c r="J167" s="33" t="s">
        <v>7</v>
      </c>
      <c r="K167" s="33">
        <v>3.9671457905544147</v>
      </c>
      <c r="L167" s="33" t="s">
        <v>7</v>
      </c>
      <c r="M167" s="33" t="s">
        <v>7</v>
      </c>
      <c r="N167" s="33">
        <v>3.9534565366187544</v>
      </c>
      <c r="O167" s="33" t="s">
        <v>7</v>
      </c>
      <c r="P167" s="33" t="s">
        <v>7</v>
      </c>
      <c r="Q167" s="33">
        <v>3.3702943189596168</v>
      </c>
      <c r="R167" s="33" t="s">
        <v>7</v>
      </c>
      <c r="S167" s="33" t="s">
        <v>7</v>
      </c>
      <c r="T167" s="12">
        <v>3</v>
      </c>
      <c r="U167" s="12">
        <v>12</v>
      </c>
      <c r="V167" s="4" t="s">
        <v>1</v>
      </c>
      <c r="W167" s="4">
        <v>1</v>
      </c>
      <c r="X167" s="4">
        <v>2</v>
      </c>
      <c r="Y167" s="4">
        <v>1</v>
      </c>
      <c r="Z167" s="56">
        <v>3</v>
      </c>
      <c r="AA167" s="9" cm="1">
        <f t="array" ref="AA167">IF(OR(AB167:AE167=""),"BLANK",IF(AND(AB167:AE167&lt;999),1,IF(AND(AB167:AE167="NA"),3,2)))</f>
        <v>1</v>
      </c>
      <c r="AB167" s="4">
        <v>12</v>
      </c>
      <c r="AC167" s="4">
        <v>4</v>
      </c>
      <c r="AD167" s="4">
        <v>5</v>
      </c>
      <c r="AE167" s="5">
        <v>21</v>
      </c>
      <c r="AF167" s="9">
        <f t="shared" si="2"/>
        <v>1</v>
      </c>
      <c r="AG167" s="5">
        <v>19</v>
      </c>
      <c r="AH167" s="9" cm="1">
        <f t="array" ref="AH167">IF(OR(AI167:AN167=""),"BLANK",IF(AND(AI167:AN167&lt;99),1,IF(AND(AI167:AN167="NA"),3,2)))</f>
        <v>2</v>
      </c>
      <c r="AI167" s="4">
        <v>27</v>
      </c>
      <c r="AJ167" s="4" t="s">
        <v>7</v>
      </c>
      <c r="AK167" s="23" t="s">
        <v>7</v>
      </c>
      <c r="AL167" s="23" t="s">
        <v>7</v>
      </c>
      <c r="AM167" s="23" t="s">
        <v>7</v>
      </c>
      <c r="AN167" s="24" t="s">
        <v>7</v>
      </c>
    </row>
    <row r="168" spans="1:40" x14ac:dyDescent="0.2">
      <c r="A168" s="15">
        <v>1226</v>
      </c>
      <c r="B168" s="4" t="s">
        <v>52</v>
      </c>
      <c r="C168" s="30" t="s">
        <v>23</v>
      </c>
      <c r="D168" s="30">
        <v>5</v>
      </c>
      <c r="E168" s="30">
        <v>0</v>
      </c>
      <c r="F168" s="30" t="s">
        <v>7</v>
      </c>
      <c r="G168" s="30">
        <v>30</v>
      </c>
      <c r="H168" s="33">
        <v>3.890485968514716</v>
      </c>
      <c r="I168" s="33">
        <v>5.3689253935660508</v>
      </c>
      <c r="J168" s="33">
        <v>9.2594113620807672</v>
      </c>
      <c r="K168" s="33" t="s">
        <v>7</v>
      </c>
      <c r="L168" s="33" t="s">
        <v>7</v>
      </c>
      <c r="M168" s="33" t="s">
        <v>7</v>
      </c>
      <c r="N168" s="33">
        <v>4.2053388090349078</v>
      </c>
      <c r="O168" s="33">
        <v>4.991101984941821</v>
      </c>
      <c r="P168" s="33">
        <v>9.1964407939767288</v>
      </c>
      <c r="Q168" s="33">
        <v>3.4140999315537304</v>
      </c>
      <c r="R168" s="33">
        <v>6.3189596167008899</v>
      </c>
      <c r="S168" s="33">
        <v>9.7330595482546194</v>
      </c>
      <c r="T168" s="12">
        <v>3</v>
      </c>
      <c r="U168" s="12">
        <v>15</v>
      </c>
      <c r="V168" s="4" t="s">
        <v>1</v>
      </c>
      <c r="W168" s="4">
        <v>1</v>
      </c>
      <c r="X168" s="4">
        <v>2</v>
      </c>
      <c r="Y168" s="4">
        <v>1</v>
      </c>
      <c r="Z168" s="56">
        <v>3</v>
      </c>
      <c r="AA168" s="9" cm="1">
        <f t="array" ref="AA168">IF(OR(AB168:AE168=""),"BLANK",IF(AND(AB168:AE168&lt;999),1,IF(AND(AB168:AE168="NA"),3,2)))</f>
        <v>1</v>
      </c>
      <c r="AB168" s="4">
        <v>23</v>
      </c>
      <c r="AC168" s="4">
        <v>16</v>
      </c>
      <c r="AD168" s="4">
        <v>11</v>
      </c>
      <c r="AE168" s="5">
        <v>50</v>
      </c>
      <c r="AF168" s="9">
        <f t="shared" si="2"/>
        <v>1</v>
      </c>
      <c r="AG168" s="5">
        <v>47</v>
      </c>
      <c r="AH168" s="9" cm="1">
        <f t="array" ref="AH168">IF(OR(AI168:AN168=""),"BLANK",IF(AND(AI168:AN168&lt;99),1,IF(AND(AI168:AN168="NA"),3,2)))</f>
        <v>2</v>
      </c>
      <c r="AI168" s="4">
        <v>49</v>
      </c>
      <c r="AJ168" s="4" t="s">
        <v>7</v>
      </c>
      <c r="AK168" s="21">
        <v>97.07</v>
      </c>
      <c r="AL168" s="21">
        <v>105.77</v>
      </c>
      <c r="AM168" s="21">
        <v>64.8</v>
      </c>
      <c r="AN168" s="22">
        <v>101.66</v>
      </c>
    </row>
    <row r="169" spans="1:40" x14ac:dyDescent="0.2">
      <c r="A169" s="15">
        <v>1240</v>
      </c>
      <c r="B169" s="4" t="s">
        <v>61</v>
      </c>
      <c r="C169" s="30" t="s">
        <v>23</v>
      </c>
      <c r="D169" s="30">
        <v>5</v>
      </c>
      <c r="E169" s="30">
        <v>0</v>
      </c>
      <c r="F169" s="30" t="s">
        <v>7</v>
      </c>
      <c r="G169" s="30">
        <v>30</v>
      </c>
      <c r="H169" s="33">
        <v>3.9671457905544147</v>
      </c>
      <c r="I169" s="33">
        <v>4.9774127310061598</v>
      </c>
      <c r="J169" s="33">
        <v>8.944558521560575</v>
      </c>
      <c r="K169" s="33">
        <v>3.9671457905544147</v>
      </c>
      <c r="L169" s="33">
        <v>4.9774127310061598</v>
      </c>
      <c r="M169" s="33">
        <v>8.944558521560575</v>
      </c>
      <c r="N169" s="33">
        <v>3.9589322381930185</v>
      </c>
      <c r="O169" s="33">
        <v>4.9253935660506505</v>
      </c>
      <c r="P169" s="33">
        <v>8.8843258042436695</v>
      </c>
      <c r="Q169" s="33">
        <v>3.1649555099247091</v>
      </c>
      <c r="R169" s="33">
        <v>5.935660506502396</v>
      </c>
      <c r="S169" s="33">
        <v>9.1006160164271055</v>
      </c>
      <c r="T169" s="12">
        <v>4</v>
      </c>
      <c r="U169" s="12">
        <v>16</v>
      </c>
      <c r="V169" s="4" t="s">
        <v>1</v>
      </c>
      <c r="W169" s="4">
        <v>1</v>
      </c>
      <c r="X169" s="4">
        <v>2</v>
      </c>
      <c r="Y169" s="4">
        <v>1</v>
      </c>
      <c r="Z169" s="56">
        <v>3</v>
      </c>
      <c r="AA169" s="9" cm="1">
        <f t="array" ref="AA169">IF(OR(AB169:AE169=""),"BLANK",IF(AND(AB169:AE169&lt;999),1,IF(AND(AB169:AE169="NA"),3,2)))</f>
        <v>1</v>
      </c>
      <c r="AB169" s="4">
        <v>30</v>
      </c>
      <c r="AC169" s="4">
        <v>12</v>
      </c>
      <c r="AD169" s="4">
        <v>12</v>
      </c>
      <c r="AE169" s="5">
        <v>54</v>
      </c>
      <c r="AF169" s="9">
        <f t="shared" si="2"/>
        <v>1</v>
      </c>
      <c r="AG169" s="5">
        <v>54</v>
      </c>
      <c r="AH169" s="9" cm="1">
        <f t="array" ref="AH169">IF(OR(AI169:AN169=""),"BLANK",IF(AND(AI169:AN169&lt;99),1,IF(AND(AI169:AN169="NA"),3,2)))</f>
        <v>2</v>
      </c>
      <c r="AI169" s="4">
        <v>56</v>
      </c>
      <c r="AJ169" s="4" t="s">
        <v>7</v>
      </c>
      <c r="AK169" s="21">
        <v>105</v>
      </c>
      <c r="AL169" s="21">
        <v>98.08</v>
      </c>
      <c r="AM169" s="21">
        <v>44.8</v>
      </c>
      <c r="AN169" s="22" t="s">
        <v>7</v>
      </c>
    </row>
    <row r="170" spans="1:40" x14ac:dyDescent="0.2">
      <c r="A170" s="15">
        <v>1245</v>
      </c>
      <c r="B170" s="4" t="s">
        <v>54</v>
      </c>
      <c r="C170" s="30" t="s">
        <v>24</v>
      </c>
      <c r="D170" s="30">
        <v>3</v>
      </c>
      <c r="E170" s="30">
        <v>1</v>
      </c>
      <c r="F170" s="30" t="s">
        <v>7</v>
      </c>
      <c r="G170" s="30">
        <v>29</v>
      </c>
      <c r="H170" s="33">
        <v>3.9835728952772076</v>
      </c>
      <c r="I170" s="33">
        <v>5.2813141683778237</v>
      </c>
      <c r="J170" s="33">
        <v>9.2648870636550313</v>
      </c>
      <c r="K170" s="33">
        <v>4.991101984941821</v>
      </c>
      <c r="L170" s="33">
        <v>4.2737850787132103</v>
      </c>
      <c r="M170" s="33">
        <v>9.2648870636550313</v>
      </c>
      <c r="N170" s="33">
        <v>3.9726214921286789</v>
      </c>
      <c r="O170" s="33">
        <v>5.0540725530458586</v>
      </c>
      <c r="P170" s="33">
        <v>9.0266940451745388</v>
      </c>
      <c r="Q170" s="33" t="s">
        <v>7</v>
      </c>
      <c r="R170" s="33" t="s">
        <v>7</v>
      </c>
      <c r="S170" s="33" t="s">
        <v>7</v>
      </c>
      <c r="T170" s="12">
        <v>7</v>
      </c>
      <c r="U170" s="12">
        <v>21</v>
      </c>
      <c r="V170" s="4" t="s">
        <v>1</v>
      </c>
      <c r="W170" s="4">
        <v>1</v>
      </c>
      <c r="X170" s="4">
        <v>2</v>
      </c>
      <c r="Y170" s="4">
        <v>1</v>
      </c>
      <c r="Z170" s="56">
        <v>3</v>
      </c>
      <c r="AA170" s="9" cm="1">
        <f t="array" ref="AA170">IF(OR(AB170:AE170=""),"BLANK",IF(AND(AB170:AE170&lt;999),1,IF(AND(AB170:AE170="NA"),3,2)))</f>
        <v>3</v>
      </c>
      <c r="AB170" s="4" t="s">
        <v>7</v>
      </c>
      <c r="AC170" s="4" t="s">
        <v>7</v>
      </c>
      <c r="AD170" s="4" t="s">
        <v>7</v>
      </c>
      <c r="AE170" s="5" t="s">
        <v>7</v>
      </c>
      <c r="AF170" s="9">
        <f t="shared" si="2"/>
        <v>3</v>
      </c>
      <c r="AG170" s="5" t="s">
        <v>7</v>
      </c>
      <c r="AH170" s="9" cm="1">
        <f t="array" ref="AH170">IF(OR(AI170:AN170=""),"BLANK",IF(AND(AI170:AN170&lt;99),1,IF(AND(AI170:AN170="NA"),3,2)))</f>
        <v>2</v>
      </c>
      <c r="AI170" s="4">
        <v>54</v>
      </c>
      <c r="AJ170" s="4" t="s">
        <v>7</v>
      </c>
      <c r="AK170" s="21">
        <v>103.08</v>
      </c>
      <c r="AL170" s="21">
        <v>103.94</v>
      </c>
      <c r="AM170" s="21">
        <v>60.3</v>
      </c>
      <c r="AN170" s="22">
        <v>104.8</v>
      </c>
    </row>
    <row r="171" spans="1:40" x14ac:dyDescent="0.2">
      <c r="A171" s="15">
        <v>1267</v>
      </c>
      <c r="B171" s="4" t="s">
        <v>56</v>
      </c>
      <c r="C171" s="30" t="s">
        <v>23</v>
      </c>
      <c r="D171" s="30">
        <v>6</v>
      </c>
      <c r="E171" s="30">
        <v>1</v>
      </c>
      <c r="F171" s="30" t="s">
        <v>7</v>
      </c>
      <c r="G171" s="30">
        <v>30</v>
      </c>
      <c r="H171" s="33">
        <v>4.0027378507871321</v>
      </c>
      <c r="I171" s="33" t="s">
        <v>7</v>
      </c>
      <c r="J171" s="33" t="s">
        <v>7</v>
      </c>
      <c r="K171" s="33">
        <v>4.0027378507871321</v>
      </c>
      <c r="L171" s="33" t="s">
        <v>7</v>
      </c>
      <c r="M171" s="33" t="s">
        <v>7</v>
      </c>
      <c r="N171" s="33">
        <v>3.9917864476386038</v>
      </c>
      <c r="O171" s="33" t="s">
        <v>7</v>
      </c>
      <c r="P171" s="33" t="s">
        <v>7</v>
      </c>
      <c r="Q171" s="33" t="s">
        <v>7</v>
      </c>
      <c r="R171" s="33" t="s">
        <v>7</v>
      </c>
      <c r="S171" s="33" t="s">
        <v>7</v>
      </c>
      <c r="T171" s="12">
        <v>4</v>
      </c>
      <c r="U171" s="12">
        <v>16</v>
      </c>
      <c r="V171" s="4" t="s">
        <v>1</v>
      </c>
      <c r="W171" s="4">
        <v>1</v>
      </c>
      <c r="X171" s="4">
        <v>2</v>
      </c>
      <c r="Y171" s="4">
        <v>1</v>
      </c>
      <c r="Z171" s="56">
        <v>3</v>
      </c>
      <c r="AA171" s="9" cm="1">
        <f t="array" ref="AA171">IF(OR(AB171:AE171=""),"BLANK",IF(AND(AB171:AE171&lt;999),1,IF(AND(AB171:AE171="NA"),3,2)))</f>
        <v>1</v>
      </c>
      <c r="AB171" s="4">
        <v>34</v>
      </c>
      <c r="AC171" s="4">
        <v>22</v>
      </c>
      <c r="AD171" s="4">
        <v>13</v>
      </c>
      <c r="AE171" s="5">
        <v>69</v>
      </c>
      <c r="AF171" s="9">
        <f t="shared" si="2"/>
        <v>1</v>
      </c>
      <c r="AG171" s="5">
        <v>65</v>
      </c>
      <c r="AH171" s="9" cm="1">
        <f t="array" ref="AH171">IF(OR(AI171:AN171=""),"BLANK",IF(AND(AI171:AN171&lt;99),1,IF(AND(AI171:AN171="NA"),3,2)))</f>
        <v>2</v>
      </c>
      <c r="AI171" s="4">
        <v>61</v>
      </c>
      <c r="AJ171" s="4" t="s">
        <v>7</v>
      </c>
      <c r="AK171" s="21">
        <v>111.44</v>
      </c>
      <c r="AL171" s="21">
        <v>96.52</v>
      </c>
      <c r="AM171" s="21">
        <v>40.9</v>
      </c>
      <c r="AN171" s="22" t="s">
        <v>7</v>
      </c>
    </row>
    <row r="172" spans="1:40" x14ac:dyDescent="0.2">
      <c r="A172" s="15">
        <v>1272</v>
      </c>
      <c r="B172" s="4" t="s">
        <v>68</v>
      </c>
      <c r="C172" s="30" t="s">
        <v>23</v>
      </c>
      <c r="D172" s="30">
        <v>1</v>
      </c>
      <c r="E172" s="30">
        <v>0</v>
      </c>
      <c r="F172" s="30" t="s">
        <v>7</v>
      </c>
      <c r="G172" s="30">
        <v>29</v>
      </c>
      <c r="H172" s="33">
        <v>4.3039014373716631</v>
      </c>
      <c r="I172" s="33" t="s">
        <v>7</v>
      </c>
      <c r="J172" s="33" t="s">
        <v>7</v>
      </c>
      <c r="K172" s="33">
        <v>4.2381930184804926</v>
      </c>
      <c r="L172" s="33" t="s">
        <v>7</v>
      </c>
      <c r="M172" s="33" t="s">
        <v>7</v>
      </c>
      <c r="N172" s="33">
        <v>4.2436687200547567</v>
      </c>
      <c r="O172" s="33" t="s">
        <v>7</v>
      </c>
      <c r="P172" s="33" t="s">
        <v>7</v>
      </c>
      <c r="Q172" s="33" t="s">
        <v>7</v>
      </c>
      <c r="R172" s="33" t="s">
        <v>7</v>
      </c>
      <c r="S172" s="33" t="s">
        <v>7</v>
      </c>
      <c r="T172" s="12">
        <v>7</v>
      </c>
      <c r="U172" s="12">
        <v>21</v>
      </c>
      <c r="V172" s="4" t="s">
        <v>1</v>
      </c>
      <c r="W172" s="4">
        <v>1</v>
      </c>
      <c r="X172" s="4">
        <v>2</v>
      </c>
      <c r="Y172" s="4">
        <v>1</v>
      </c>
      <c r="Z172" s="56">
        <v>3</v>
      </c>
      <c r="AA172" s="9" cm="1">
        <f t="array" ref="AA172">IF(OR(AB172:AE172=""),"BLANK",IF(AND(AB172:AE172&lt;999),1,IF(AND(AB172:AE172="NA"),3,2)))</f>
        <v>1</v>
      </c>
      <c r="AB172" s="4">
        <v>41</v>
      </c>
      <c r="AC172" s="4">
        <v>19</v>
      </c>
      <c r="AD172" s="4">
        <v>14</v>
      </c>
      <c r="AE172" s="5">
        <v>74</v>
      </c>
      <c r="AF172" s="9">
        <f t="shared" si="2"/>
        <v>1</v>
      </c>
      <c r="AG172" s="5">
        <v>69</v>
      </c>
      <c r="AH172" s="9" cm="1">
        <f t="array" ref="AH172">IF(OR(AI172:AN172=""),"BLANK",IF(AND(AI172:AN172&lt;99),1,IF(AND(AI172:AN172="NA"),3,2)))</f>
        <v>2</v>
      </c>
      <c r="AI172" s="4">
        <v>73</v>
      </c>
      <c r="AJ172" s="4" t="s">
        <v>7</v>
      </c>
      <c r="AK172" s="21">
        <v>126.95</v>
      </c>
      <c r="AL172" s="21">
        <v>118.18</v>
      </c>
      <c r="AM172" s="21">
        <v>88.7</v>
      </c>
      <c r="AN172" s="22">
        <v>113.11</v>
      </c>
    </row>
    <row r="173" spans="1:40" x14ac:dyDescent="0.2">
      <c r="A173" s="15">
        <v>1316</v>
      </c>
      <c r="B173" s="4" t="s">
        <v>51</v>
      </c>
      <c r="C173" s="30" t="s">
        <v>24</v>
      </c>
      <c r="D173" s="30">
        <v>5</v>
      </c>
      <c r="E173" s="30">
        <v>0</v>
      </c>
      <c r="F173" s="30" t="s">
        <v>7</v>
      </c>
      <c r="G173" s="30">
        <v>29</v>
      </c>
      <c r="H173" s="33">
        <v>3.9671457905544147</v>
      </c>
      <c r="I173" s="33">
        <v>5.1827515400410675</v>
      </c>
      <c r="J173" s="33">
        <v>9.1498973305954827</v>
      </c>
      <c r="K173" s="33">
        <v>3.9671457905544147</v>
      </c>
      <c r="L173" s="33">
        <v>5.4510609171800137</v>
      </c>
      <c r="M173" s="33">
        <v>9.4182067077344289</v>
      </c>
      <c r="N173" s="33">
        <v>3.9945242984257359</v>
      </c>
      <c r="O173" s="33">
        <v>4.8459958932238196</v>
      </c>
      <c r="P173" s="33">
        <v>8.8405201916495546</v>
      </c>
      <c r="Q173" s="33">
        <v>3.3210130047912387</v>
      </c>
      <c r="R173" s="33">
        <v>5.9137577002053385</v>
      </c>
      <c r="S173" s="33">
        <v>9.2347707049965777</v>
      </c>
      <c r="T173" s="12" t="s">
        <v>7</v>
      </c>
      <c r="U173" s="12" t="s">
        <v>7</v>
      </c>
      <c r="V173" s="4" t="s">
        <v>1</v>
      </c>
      <c r="W173" s="4">
        <v>1</v>
      </c>
      <c r="X173" s="4">
        <v>2</v>
      </c>
      <c r="Y173" s="4">
        <v>1</v>
      </c>
      <c r="Z173" s="56">
        <v>3</v>
      </c>
      <c r="AA173" s="9" cm="1">
        <f t="array" ref="AA173">IF(OR(AB173:AE173=""),"BLANK",IF(AND(AB173:AE173&lt;999),1,IF(AND(AB173:AE173="NA"),3,2)))</f>
        <v>1</v>
      </c>
      <c r="AB173" s="4">
        <v>38</v>
      </c>
      <c r="AC173" s="4">
        <v>16</v>
      </c>
      <c r="AD173" s="4">
        <v>14</v>
      </c>
      <c r="AE173" s="5">
        <v>68</v>
      </c>
      <c r="AF173" s="9">
        <f t="shared" si="2"/>
        <v>1</v>
      </c>
      <c r="AG173" s="5">
        <v>60</v>
      </c>
      <c r="AH173" s="9" cm="1">
        <f t="array" ref="AH173">IF(OR(AI173:AN173=""),"BLANK",IF(AND(AI173:AN173&lt;99),1,IF(AND(AI173:AN173="NA"),3,2)))</f>
        <v>2</v>
      </c>
      <c r="AI173" s="4">
        <v>54</v>
      </c>
      <c r="AJ173" s="4" t="s">
        <v>7</v>
      </c>
      <c r="AK173" s="21">
        <v>103.12</v>
      </c>
      <c r="AL173" s="21">
        <v>95.28</v>
      </c>
      <c r="AM173" s="21">
        <v>37.799999999999997</v>
      </c>
      <c r="AN173" s="22" t="s">
        <v>7</v>
      </c>
    </row>
    <row r="174" spans="1:40" x14ac:dyDescent="0.2">
      <c r="A174" s="15">
        <v>1356</v>
      </c>
      <c r="B174" s="4" t="s">
        <v>50</v>
      </c>
      <c r="C174" s="30" t="s">
        <v>23</v>
      </c>
      <c r="D174" s="30">
        <v>5</v>
      </c>
      <c r="E174" s="30">
        <v>0</v>
      </c>
      <c r="F174" s="30" t="s">
        <v>7</v>
      </c>
      <c r="G174" s="30">
        <v>30</v>
      </c>
      <c r="H174" s="33">
        <v>4.0301163586584527</v>
      </c>
      <c r="I174" s="33">
        <v>5.3497604380561263</v>
      </c>
      <c r="J174" s="33">
        <v>9.3798767967145782</v>
      </c>
      <c r="K174" s="33">
        <v>4.0301163586584527</v>
      </c>
      <c r="L174" s="33">
        <v>5.3497604380561263</v>
      </c>
      <c r="M174" s="33">
        <v>9.3798767967145782</v>
      </c>
      <c r="N174" s="33">
        <v>4.0273785078713207</v>
      </c>
      <c r="O174" s="33">
        <v>5.330595482546201</v>
      </c>
      <c r="P174" s="33">
        <v>9.3579739904175216</v>
      </c>
      <c r="Q174" s="33">
        <v>3.3127994524298425</v>
      </c>
      <c r="R174" s="33" t="s">
        <v>7</v>
      </c>
      <c r="S174" s="33" t="s">
        <v>7</v>
      </c>
      <c r="T174" s="12">
        <v>3</v>
      </c>
      <c r="U174" s="12">
        <v>14</v>
      </c>
      <c r="V174" s="4" t="s">
        <v>1</v>
      </c>
      <c r="W174" s="4">
        <v>1</v>
      </c>
      <c r="X174" s="4">
        <v>2</v>
      </c>
      <c r="Y174" s="4">
        <v>1</v>
      </c>
      <c r="Z174" s="56">
        <v>3</v>
      </c>
      <c r="AA174" s="9" cm="1">
        <f t="array" ref="AA174">IF(OR(AB174:AE174=""),"BLANK",IF(AND(AB174:AE174&lt;999),1,IF(AND(AB174:AE174="NA"),3,2)))</f>
        <v>1</v>
      </c>
      <c r="AB174" s="4">
        <v>29</v>
      </c>
      <c r="AC174" s="4">
        <v>17</v>
      </c>
      <c r="AD174" s="4">
        <v>12</v>
      </c>
      <c r="AE174" s="5">
        <v>58</v>
      </c>
      <c r="AF174" s="9">
        <f t="shared" si="2"/>
        <v>1</v>
      </c>
      <c r="AG174" s="5">
        <v>59</v>
      </c>
      <c r="AH174" s="9" cm="1">
        <f t="array" ref="AH174">IF(OR(AI174:AN174=""),"BLANK",IF(AND(AI174:AN174&lt;99),1,IF(AND(AI174:AN174="NA"),3,2)))</f>
        <v>2</v>
      </c>
      <c r="AI174" s="4">
        <v>58</v>
      </c>
      <c r="AJ174" s="4" t="s">
        <v>7</v>
      </c>
      <c r="AK174" s="21">
        <v>108.05</v>
      </c>
      <c r="AL174" s="21">
        <v>111.37</v>
      </c>
      <c r="AM174" s="21">
        <v>77.599999999999994</v>
      </c>
      <c r="AN174" s="22" t="s">
        <v>7</v>
      </c>
    </row>
    <row r="175" spans="1:40" x14ac:dyDescent="0.2">
      <c r="A175" s="15">
        <v>1362</v>
      </c>
      <c r="B175" s="4" t="s">
        <v>62</v>
      </c>
      <c r="C175" s="30" t="s">
        <v>23</v>
      </c>
      <c r="D175" s="30">
        <v>3</v>
      </c>
      <c r="E175" s="30">
        <v>1</v>
      </c>
      <c r="F175" s="30" t="s">
        <v>7</v>
      </c>
      <c r="G175" s="30">
        <v>30</v>
      </c>
      <c r="H175" s="33">
        <v>3.9726214921286789</v>
      </c>
      <c r="I175" s="33">
        <v>5.1334702258726903</v>
      </c>
      <c r="J175" s="33">
        <v>9.1060917180013696</v>
      </c>
      <c r="K175" s="33">
        <v>3.9726214921286789</v>
      </c>
      <c r="L175" s="33">
        <v>5.4182067077344289</v>
      </c>
      <c r="M175" s="33">
        <v>9.3908281998631082</v>
      </c>
      <c r="N175" s="33" t="s">
        <v>7</v>
      </c>
      <c r="O175" s="33" t="s">
        <v>7</v>
      </c>
      <c r="P175" s="33">
        <v>9.0540725530458595</v>
      </c>
      <c r="Q175" s="33" t="s">
        <v>7</v>
      </c>
      <c r="R175" s="33" t="s">
        <v>7</v>
      </c>
      <c r="S175" s="33" t="s">
        <v>7</v>
      </c>
      <c r="T175" s="12">
        <v>6</v>
      </c>
      <c r="U175" s="12">
        <v>18</v>
      </c>
      <c r="V175" s="4" t="s">
        <v>1</v>
      </c>
      <c r="W175" s="4">
        <v>1</v>
      </c>
      <c r="X175" s="4">
        <v>2</v>
      </c>
      <c r="Y175" s="4">
        <v>1</v>
      </c>
      <c r="Z175" s="56">
        <v>3</v>
      </c>
      <c r="AA175" s="9" cm="1">
        <f t="array" ref="AA175">IF(OR(AB175:AE175=""),"BLANK",IF(AND(AB175:AE175&lt;999),1,IF(AND(AB175:AE175="NA"),3,2)))</f>
        <v>1</v>
      </c>
      <c r="AB175" s="4">
        <v>28</v>
      </c>
      <c r="AC175" s="4">
        <v>17</v>
      </c>
      <c r="AD175" s="4">
        <v>14</v>
      </c>
      <c r="AE175" s="5">
        <v>59</v>
      </c>
      <c r="AF175" s="9">
        <f t="shared" si="2"/>
        <v>1</v>
      </c>
      <c r="AG175" s="5">
        <v>54</v>
      </c>
      <c r="AH175" s="9" cm="1">
        <f t="array" ref="AH175">IF(OR(AI175:AN175=""),"BLANK",IF(AND(AI175:AN175&lt;99),1,IF(AND(AI175:AN175="NA"),3,2)))</f>
        <v>2</v>
      </c>
      <c r="AI175" s="4">
        <v>50</v>
      </c>
      <c r="AJ175" s="4" t="s">
        <v>7</v>
      </c>
      <c r="AK175" s="21">
        <v>98.05</v>
      </c>
      <c r="AL175" s="21">
        <v>96.42</v>
      </c>
      <c r="AM175" s="21">
        <v>40.5</v>
      </c>
      <c r="AN175" s="22" t="s">
        <v>7</v>
      </c>
    </row>
    <row r="176" spans="1:40" x14ac:dyDescent="0.2">
      <c r="A176" s="15">
        <v>1370</v>
      </c>
      <c r="B176" s="4" t="s">
        <v>60</v>
      </c>
      <c r="C176" s="30" t="s">
        <v>23</v>
      </c>
      <c r="D176" s="30">
        <v>1</v>
      </c>
      <c r="E176" s="30">
        <v>0</v>
      </c>
      <c r="F176" s="30" t="s">
        <v>7</v>
      </c>
      <c r="G176" s="30">
        <v>30</v>
      </c>
      <c r="H176" s="33">
        <v>4.1396303901437372</v>
      </c>
      <c r="I176" s="33">
        <v>5.1006160164271046</v>
      </c>
      <c r="J176" s="33">
        <v>9.2402464065708418</v>
      </c>
      <c r="K176" s="33">
        <v>4.1396303901437372</v>
      </c>
      <c r="L176" s="33">
        <v>5.1006160164271046</v>
      </c>
      <c r="M176" s="33">
        <v>9.2402464065708418</v>
      </c>
      <c r="N176" s="33">
        <v>4.1560574948665296</v>
      </c>
      <c r="O176" s="33">
        <v>5.0431211498973303</v>
      </c>
      <c r="P176" s="33">
        <v>9.1991786447638599</v>
      </c>
      <c r="Q176" s="33" t="s">
        <v>7</v>
      </c>
      <c r="R176" s="33" t="s">
        <v>7</v>
      </c>
      <c r="S176" s="33" t="s">
        <v>7</v>
      </c>
      <c r="T176" s="12">
        <v>7</v>
      </c>
      <c r="U176" s="12">
        <v>21</v>
      </c>
      <c r="V176" s="4" t="s">
        <v>1</v>
      </c>
      <c r="W176" s="4">
        <v>1</v>
      </c>
      <c r="X176" s="4">
        <v>2</v>
      </c>
      <c r="Y176" s="4">
        <v>1</v>
      </c>
      <c r="Z176" s="56">
        <v>3</v>
      </c>
      <c r="AA176" s="9" cm="1">
        <f t="array" ref="AA176">IF(OR(AB176:AE176=""),"BLANK",IF(AND(AB176:AE176&lt;999),1,IF(AND(AB176:AE176="NA"),3,2)))</f>
        <v>1</v>
      </c>
      <c r="AB176" s="4">
        <v>39</v>
      </c>
      <c r="AC176" s="4">
        <v>23</v>
      </c>
      <c r="AD176" s="4">
        <v>16</v>
      </c>
      <c r="AE176" s="5">
        <v>78</v>
      </c>
      <c r="AF176" s="9">
        <f t="shared" si="2"/>
        <v>1</v>
      </c>
      <c r="AG176" s="5">
        <v>76</v>
      </c>
      <c r="AH176" s="9" cm="1">
        <f t="array" ref="AH176">IF(OR(AI176:AN176=""),"BLANK",IF(AND(AI176:AN176&lt;99),1,IF(AND(AI176:AN176="NA"),3,2)))</f>
        <v>2</v>
      </c>
      <c r="AI176" s="4">
        <v>73</v>
      </c>
      <c r="AJ176" s="4" t="s">
        <v>7</v>
      </c>
      <c r="AK176" s="21">
        <v>126.95</v>
      </c>
      <c r="AL176" s="21">
        <v>124.42</v>
      </c>
      <c r="AM176" s="21">
        <v>94.8</v>
      </c>
      <c r="AN176" s="22">
        <v>120.37</v>
      </c>
    </row>
    <row r="177" spans="1:40" x14ac:dyDescent="0.2">
      <c r="A177" s="15">
        <v>1402</v>
      </c>
      <c r="B177" s="4" t="s">
        <v>58</v>
      </c>
      <c r="C177" s="30" t="s">
        <v>24</v>
      </c>
      <c r="D177" s="30">
        <v>5</v>
      </c>
      <c r="E177" s="30">
        <v>0</v>
      </c>
      <c r="F177" s="30" t="s">
        <v>7</v>
      </c>
      <c r="G177" s="30">
        <v>30</v>
      </c>
      <c r="H177" s="33">
        <v>3.9726214921286789</v>
      </c>
      <c r="I177" s="33">
        <v>5.2238193018480494</v>
      </c>
      <c r="J177" s="33">
        <v>9.1964407939767288</v>
      </c>
      <c r="K177" s="33">
        <v>3.9726214921286789</v>
      </c>
      <c r="L177" s="33">
        <v>5.2238193018480494</v>
      </c>
      <c r="M177" s="33">
        <v>9.1964407939767288</v>
      </c>
      <c r="N177" s="33" t="s">
        <v>7</v>
      </c>
      <c r="O177" s="33" t="s">
        <v>7</v>
      </c>
      <c r="P177" s="33">
        <v>8.9117043121149901</v>
      </c>
      <c r="Q177" s="33" t="s">
        <v>7</v>
      </c>
      <c r="R177" s="33" t="s">
        <v>7</v>
      </c>
      <c r="S177" s="33" t="s">
        <v>7</v>
      </c>
      <c r="T177" s="12">
        <v>6</v>
      </c>
      <c r="U177" s="12">
        <v>18</v>
      </c>
      <c r="V177" s="4" t="s">
        <v>1</v>
      </c>
      <c r="W177" s="4">
        <v>1</v>
      </c>
      <c r="X177" s="4">
        <v>2</v>
      </c>
      <c r="Y177" s="4">
        <v>1</v>
      </c>
      <c r="Z177" s="56">
        <v>3</v>
      </c>
      <c r="AA177" s="9" cm="1">
        <f t="array" ref="AA177">IF(OR(AB177:AE177=""),"BLANK",IF(AND(AB177:AE177&lt;999),1,IF(AND(AB177:AE177="NA"),3,2)))</f>
        <v>1</v>
      </c>
      <c r="AB177" s="4">
        <v>30</v>
      </c>
      <c r="AC177" s="4">
        <v>19</v>
      </c>
      <c r="AD177" s="4">
        <v>12</v>
      </c>
      <c r="AE177" s="5">
        <v>61</v>
      </c>
      <c r="AF177" s="9">
        <f t="shared" si="2"/>
        <v>1</v>
      </c>
      <c r="AG177" s="5">
        <v>53</v>
      </c>
      <c r="AH177" s="9" cm="1">
        <f t="array" ref="AH177">IF(OR(AI177:AN177=""),"BLANK",IF(AND(AI177:AN177&lt;99),1,IF(AND(AI177:AN177="NA"),3,2)))</f>
        <v>2</v>
      </c>
      <c r="AI177" s="4">
        <v>44</v>
      </c>
      <c r="AJ177" s="4" t="s">
        <v>7</v>
      </c>
      <c r="AK177" s="21">
        <v>91.31</v>
      </c>
      <c r="AL177" s="21">
        <v>88.91</v>
      </c>
      <c r="AM177" s="21">
        <v>23</v>
      </c>
      <c r="AN177" s="22" t="s">
        <v>7</v>
      </c>
    </row>
    <row r="178" spans="1:40" x14ac:dyDescent="0.2">
      <c r="A178" s="15">
        <v>1421</v>
      </c>
      <c r="B178" s="4" t="s">
        <v>61</v>
      </c>
      <c r="C178" s="30" t="s">
        <v>24</v>
      </c>
      <c r="D178" s="30">
        <v>5</v>
      </c>
      <c r="E178" s="30">
        <v>0</v>
      </c>
      <c r="F178" s="30" t="s">
        <v>7</v>
      </c>
      <c r="G178" s="30">
        <v>26</v>
      </c>
      <c r="H178" s="33">
        <v>3.9397672826830936</v>
      </c>
      <c r="I178" s="33" t="s">
        <v>7</v>
      </c>
      <c r="J178" s="33" t="s">
        <v>7</v>
      </c>
      <c r="K178" s="33">
        <v>4</v>
      </c>
      <c r="L178" s="33" t="s">
        <v>7</v>
      </c>
      <c r="M178" s="33" t="s">
        <v>7</v>
      </c>
      <c r="N178" s="33">
        <v>3.9698836413415468</v>
      </c>
      <c r="O178" s="33" t="s">
        <v>7</v>
      </c>
      <c r="P178" s="33" t="s">
        <v>7</v>
      </c>
      <c r="Q178" s="33">
        <v>3.2334017796030117</v>
      </c>
      <c r="R178" s="33" t="s">
        <v>7</v>
      </c>
      <c r="S178" s="33" t="s">
        <v>7</v>
      </c>
      <c r="T178" s="12">
        <v>3</v>
      </c>
      <c r="U178" s="12">
        <v>12</v>
      </c>
      <c r="V178" s="4" t="s">
        <v>1</v>
      </c>
      <c r="W178" s="4">
        <v>1</v>
      </c>
      <c r="X178" s="4">
        <v>2</v>
      </c>
      <c r="Y178" s="4">
        <v>1</v>
      </c>
      <c r="Z178" s="56">
        <v>3</v>
      </c>
      <c r="AA178" s="9" cm="1">
        <f t="array" ref="AA178">IF(OR(AB178:AE178=""),"BLANK",IF(AND(AB178:AE178&lt;999),1,IF(AND(AB178:AE178="NA"),3,2)))</f>
        <v>1</v>
      </c>
      <c r="AB178" s="4">
        <v>23</v>
      </c>
      <c r="AC178" s="4">
        <v>11</v>
      </c>
      <c r="AD178" s="4">
        <v>8</v>
      </c>
      <c r="AE178" s="5">
        <v>42</v>
      </c>
      <c r="AF178" s="9">
        <f t="shared" si="2"/>
        <v>1</v>
      </c>
      <c r="AG178" s="5">
        <v>41</v>
      </c>
      <c r="AH178" s="9" cm="1">
        <f t="array" ref="AH178">IF(OR(AI178:AN178=""),"BLANK",IF(AND(AI178:AN178&lt;99),1,IF(AND(AI178:AN178="NA"),3,2)))</f>
        <v>2</v>
      </c>
      <c r="AI178" s="4">
        <v>48</v>
      </c>
      <c r="AJ178" s="4" t="s">
        <v>7</v>
      </c>
      <c r="AK178" s="21">
        <v>96.53</v>
      </c>
      <c r="AL178" s="21">
        <v>85.29</v>
      </c>
      <c r="AM178" s="21">
        <v>16.399999999999999</v>
      </c>
      <c r="AN178" s="22" t="s">
        <v>7</v>
      </c>
    </row>
    <row r="179" spans="1:40" x14ac:dyDescent="0.2">
      <c r="A179" s="15">
        <v>1431</v>
      </c>
      <c r="B179" s="4" t="s">
        <v>51</v>
      </c>
      <c r="C179" s="30" t="s">
        <v>23</v>
      </c>
      <c r="D179" s="30">
        <v>4</v>
      </c>
      <c r="E179" s="30">
        <v>0</v>
      </c>
      <c r="F179" s="30" t="s">
        <v>7</v>
      </c>
      <c r="G179" s="30">
        <v>30</v>
      </c>
      <c r="H179" s="33">
        <v>4.0629705681040384</v>
      </c>
      <c r="I179" s="33">
        <v>5.3086926762491444</v>
      </c>
      <c r="J179" s="33">
        <v>9.3716632443531829</v>
      </c>
      <c r="K179" s="33">
        <v>4.0629705681040384</v>
      </c>
      <c r="L179" s="33">
        <v>5.3086926762491444</v>
      </c>
      <c r="M179" s="33">
        <v>9.3716632443531829</v>
      </c>
      <c r="N179" s="33">
        <v>4.0328542094455848</v>
      </c>
      <c r="O179" s="33">
        <v>5.2292950034223136</v>
      </c>
      <c r="P179" s="33">
        <v>9.2621492128678984</v>
      </c>
      <c r="Q179" s="33">
        <v>3.7508555783709787</v>
      </c>
      <c r="R179" s="33">
        <v>5.292265571526352</v>
      </c>
      <c r="S179" s="33">
        <v>9.0431211498973312</v>
      </c>
      <c r="T179" s="12">
        <v>3</v>
      </c>
      <c r="U179" s="12">
        <v>14</v>
      </c>
      <c r="V179" s="4" t="s">
        <v>1</v>
      </c>
      <c r="W179" s="4">
        <v>1</v>
      </c>
      <c r="X179" s="4">
        <v>2</v>
      </c>
      <c r="Y179" s="4">
        <v>1</v>
      </c>
      <c r="Z179" s="56">
        <v>3</v>
      </c>
      <c r="AA179" s="9" cm="1">
        <f t="array" ref="AA179">IF(OR(AB179:AE179=""),"BLANK",IF(AND(AB179:AE179&lt;999),1,IF(AND(AB179:AE179="NA"),3,2)))</f>
        <v>1</v>
      </c>
      <c r="AB179" s="4">
        <v>34</v>
      </c>
      <c r="AC179" s="4">
        <v>19</v>
      </c>
      <c r="AD179" s="4">
        <v>14</v>
      </c>
      <c r="AE179" s="5">
        <v>67</v>
      </c>
      <c r="AF179" s="9">
        <f t="shared" si="2"/>
        <v>1</v>
      </c>
      <c r="AG179" s="5">
        <v>54</v>
      </c>
      <c r="AH179" s="9" cm="1">
        <f t="array" ref="AH179">IF(OR(AI179:AN179=""),"BLANK",IF(AND(AI179:AN179&lt;99),1,IF(AND(AI179:AN179="NA"),3,2)))</f>
        <v>2</v>
      </c>
      <c r="AI179" s="4">
        <v>51</v>
      </c>
      <c r="AJ179" s="4" t="s">
        <v>7</v>
      </c>
      <c r="AK179" s="21">
        <v>99.03</v>
      </c>
      <c r="AL179" s="21">
        <v>89.54</v>
      </c>
      <c r="AM179" s="21">
        <v>24.2</v>
      </c>
      <c r="AN179" s="22">
        <v>85.4</v>
      </c>
    </row>
    <row r="180" spans="1:40" x14ac:dyDescent="0.2">
      <c r="A180" s="15">
        <v>1439</v>
      </c>
      <c r="B180" s="4" t="s">
        <v>60</v>
      </c>
      <c r="C180" s="30" t="s">
        <v>23</v>
      </c>
      <c r="D180" s="30">
        <v>2</v>
      </c>
      <c r="E180" s="30">
        <v>0</v>
      </c>
      <c r="F180" s="30" t="s">
        <v>7</v>
      </c>
      <c r="G180" s="30">
        <v>28</v>
      </c>
      <c r="H180" s="33">
        <v>4.0711841204654347</v>
      </c>
      <c r="I180" s="33">
        <v>5.0951403148528405</v>
      </c>
      <c r="J180" s="33">
        <v>9.1663244353182751</v>
      </c>
      <c r="K180" s="33">
        <v>4.0602327173169064</v>
      </c>
      <c r="L180" s="33">
        <v>5.0951403148528405</v>
      </c>
      <c r="M180" s="33">
        <v>9.1553730321697468</v>
      </c>
      <c r="N180" s="33">
        <v>4.2546201232032859</v>
      </c>
      <c r="O180" s="33">
        <v>4.8377823408624234</v>
      </c>
      <c r="P180" s="33">
        <v>9.0924024640657084</v>
      </c>
      <c r="Q180" s="33" t="s">
        <v>7</v>
      </c>
      <c r="R180" s="33" t="s">
        <v>7</v>
      </c>
      <c r="S180" s="33" t="s">
        <v>7</v>
      </c>
      <c r="T180" s="12">
        <v>4</v>
      </c>
      <c r="U180" s="12">
        <v>16</v>
      </c>
      <c r="V180" s="4" t="s">
        <v>1</v>
      </c>
      <c r="W180" s="4">
        <v>1</v>
      </c>
      <c r="X180" s="4">
        <v>2</v>
      </c>
      <c r="Y180" s="4">
        <v>1</v>
      </c>
      <c r="Z180" s="56">
        <v>3</v>
      </c>
      <c r="AA180" s="9" cm="1">
        <f t="array" ref="AA180">IF(OR(AB180:AE180=""),"BLANK",IF(AND(AB180:AE180&lt;999),1,IF(AND(AB180:AE180="NA"),3,2)))</f>
        <v>1</v>
      </c>
      <c r="AB180" s="4">
        <v>31</v>
      </c>
      <c r="AC180" s="4">
        <v>19</v>
      </c>
      <c r="AD180" s="4">
        <v>11</v>
      </c>
      <c r="AE180" s="5">
        <v>61</v>
      </c>
      <c r="AF180" s="9">
        <f t="shared" si="2"/>
        <v>1</v>
      </c>
      <c r="AG180" s="5">
        <v>47</v>
      </c>
      <c r="AH180" s="9" cm="1">
        <f t="array" ref="AH180">IF(OR(AI180:AN180=""),"BLANK",IF(AND(AI180:AN180&lt;99),1,IF(AND(AI180:AN180="NA"),3,2)))</f>
        <v>2</v>
      </c>
      <c r="AI180" s="4">
        <v>52</v>
      </c>
      <c r="AJ180" s="4" t="s">
        <v>7</v>
      </c>
      <c r="AK180" s="21">
        <v>100.6</v>
      </c>
      <c r="AL180" s="21">
        <v>87.11</v>
      </c>
      <c r="AM180" s="21">
        <v>19.5</v>
      </c>
      <c r="AN180" s="22">
        <v>90.14</v>
      </c>
    </row>
    <row r="181" spans="1:40" x14ac:dyDescent="0.2">
      <c r="A181" s="15">
        <v>1444</v>
      </c>
      <c r="B181" s="4" t="s">
        <v>60</v>
      </c>
      <c r="C181" s="30" t="s">
        <v>23</v>
      </c>
      <c r="D181" s="30">
        <v>5</v>
      </c>
      <c r="E181" s="30">
        <v>0</v>
      </c>
      <c r="F181" s="30" t="s">
        <v>7</v>
      </c>
      <c r="G181" s="30">
        <v>28</v>
      </c>
      <c r="H181" s="33">
        <v>3.9808350444900751</v>
      </c>
      <c r="I181" s="33" t="s">
        <v>7</v>
      </c>
      <c r="J181" s="33" t="s">
        <v>7</v>
      </c>
      <c r="K181" s="33">
        <v>3.9808350444900751</v>
      </c>
      <c r="L181" s="33" t="s">
        <v>7</v>
      </c>
      <c r="M181" s="33" t="s">
        <v>7</v>
      </c>
      <c r="N181" s="33">
        <v>4.0082135523613962</v>
      </c>
      <c r="O181" s="33" t="s">
        <v>7</v>
      </c>
      <c r="P181" s="33" t="s">
        <v>7</v>
      </c>
      <c r="Q181" s="33" t="s">
        <v>7</v>
      </c>
      <c r="R181" s="33" t="s">
        <v>7</v>
      </c>
      <c r="S181" s="33" t="s">
        <v>7</v>
      </c>
      <c r="T181" s="12">
        <v>3</v>
      </c>
      <c r="U181" s="12">
        <v>15</v>
      </c>
      <c r="V181" s="4" t="s">
        <v>1</v>
      </c>
      <c r="W181" s="4">
        <v>1</v>
      </c>
      <c r="X181" s="4">
        <v>2</v>
      </c>
      <c r="Y181" s="4">
        <v>1</v>
      </c>
      <c r="Z181" s="56">
        <v>3</v>
      </c>
      <c r="AA181" s="9" cm="1">
        <f t="array" ref="AA181">IF(OR(AB181:AE181=""),"BLANK",IF(AND(AB181:AE181&lt;999),1,IF(AND(AB181:AE181="NA"),3,2)))</f>
        <v>1</v>
      </c>
      <c r="AB181" s="4">
        <v>35</v>
      </c>
      <c r="AC181" s="4">
        <v>21</v>
      </c>
      <c r="AD181" s="4">
        <v>11</v>
      </c>
      <c r="AE181" s="5">
        <v>67</v>
      </c>
      <c r="AF181" s="9">
        <f t="shared" si="2"/>
        <v>1</v>
      </c>
      <c r="AG181" s="5">
        <v>55</v>
      </c>
      <c r="AH181" s="9" cm="1">
        <f t="array" ref="AH181">IF(OR(AI181:AN181=""),"BLANK",IF(AND(AI181:AN181&lt;99),1,IF(AND(AI181:AN181="NA"),3,2)))</f>
        <v>2</v>
      </c>
      <c r="AI181" s="4">
        <v>58</v>
      </c>
      <c r="AJ181" s="4" t="s">
        <v>7</v>
      </c>
      <c r="AK181" s="21">
        <v>107.34</v>
      </c>
      <c r="AL181" s="21">
        <v>96.4</v>
      </c>
      <c r="AM181" s="21">
        <v>40.5</v>
      </c>
      <c r="AN181" s="22">
        <v>91.82</v>
      </c>
    </row>
    <row r="182" spans="1:40" x14ac:dyDescent="0.2">
      <c r="A182" s="15">
        <v>1451</v>
      </c>
      <c r="B182" s="4" t="s">
        <v>60</v>
      </c>
      <c r="C182" s="30" t="s">
        <v>23</v>
      </c>
      <c r="D182" s="30">
        <v>2</v>
      </c>
      <c r="E182" s="30">
        <v>0</v>
      </c>
      <c r="F182" s="30" t="s">
        <v>7</v>
      </c>
      <c r="G182" s="30">
        <v>28</v>
      </c>
      <c r="H182" s="33">
        <v>3.9917864476386038</v>
      </c>
      <c r="I182" s="33" t="s">
        <v>7</v>
      </c>
      <c r="J182" s="33" t="s">
        <v>7</v>
      </c>
      <c r="K182" s="33">
        <v>3.9917864476386038</v>
      </c>
      <c r="L182" s="33" t="s">
        <v>7</v>
      </c>
      <c r="M182" s="33" t="s">
        <v>7</v>
      </c>
      <c r="N182" s="33">
        <v>4.0109514031485283</v>
      </c>
      <c r="O182" s="33" t="s">
        <v>7</v>
      </c>
      <c r="P182" s="33" t="s">
        <v>7</v>
      </c>
      <c r="Q182" s="33" t="s">
        <v>7</v>
      </c>
      <c r="R182" s="33" t="s">
        <v>7</v>
      </c>
      <c r="S182" s="33" t="s">
        <v>7</v>
      </c>
      <c r="T182" s="12">
        <v>4</v>
      </c>
      <c r="U182" s="12">
        <v>16</v>
      </c>
      <c r="V182" s="4" t="s">
        <v>1</v>
      </c>
      <c r="W182" s="4">
        <v>1</v>
      </c>
      <c r="X182" s="4">
        <v>2</v>
      </c>
      <c r="Y182" s="4">
        <v>1</v>
      </c>
      <c r="Z182" s="56">
        <v>3</v>
      </c>
      <c r="AA182" s="9" cm="1">
        <f t="array" ref="AA182">IF(OR(AB182:AE182=""),"BLANK",IF(AND(AB182:AE182&lt;999),1,IF(AND(AB182:AE182="NA"),3,2)))</f>
        <v>1</v>
      </c>
      <c r="AB182" s="4">
        <v>42</v>
      </c>
      <c r="AC182" s="4">
        <v>25</v>
      </c>
      <c r="AD182" s="4">
        <v>13</v>
      </c>
      <c r="AE182" s="5">
        <v>80</v>
      </c>
      <c r="AF182" s="9">
        <f t="shared" si="2"/>
        <v>1</v>
      </c>
      <c r="AG182" s="5">
        <v>60</v>
      </c>
      <c r="AH182" s="9" cm="1">
        <f t="array" ref="AH182">IF(OR(AI182:AN182=""),"BLANK",IF(AND(AI182:AN182&lt;99),1,IF(AND(AI182:AN182="NA"),3,2)))</f>
        <v>2</v>
      </c>
      <c r="AI182" s="4">
        <v>60</v>
      </c>
      <c r="AJ182" s="4" t="s">
        <v>7</v>
      </c>
      <c r="AK182" s="21">
        <v>110.56</v>
      </c>
      <c r="AL182" s="21">
        <v>101.14</v>
      </c>
      <c r="AM182" s="21">
        <v>53.2</v>
      </c>
      <c r="AN182" s="22">
        <v>104.86</v>
      </c>
    </row>
    <row r="183" spans="1:40" x14ac:dyDescent="0.2">
      <c r="A183" s="15">
        <v>1452</v>
      </c>
      <c r="B183" s="4" t="s">
        <v>49</v>
      </c>
      <c r="C183" s="30" t="s">
        <v>24</v>
      </c>
      <c r="D183" s="30">
        <v>5</v>
      </c>
      <c r="E183" s="30">
        <v>0</v>
      </c>
      <c r="F183" s="30" t="s">
        <v>7</v>
      </c>
      <c r="G183" s="30">
        <v>29</v>
      </c>
      <c r="H183" s="33">
        <v>4.2354551676933605</v>
      </c>
      <c r="I183" s="33">
        <v>5.2292950034223136</v>
      </c>
      <c r="J183" s="33">
        <v>9.464750171115675</v>
      </c>
      <c r="K183" s="33">
        <v>4.2354551676933605</v>
      </c>
      <c r="L183" s="33">
        <v>5.2320328542094456</v>
      </c>
      <c r="M183" s="33">
        <v>9.4674880219028061</v>
      </c>
      <c r="N183" s="33">
        <v>4.1149897330595486</v>
      </c>
      <c r="O183" s="33">
        <v>5.2101300479123891</v>
      </c>
      <c r="P183" s="33">
        <v>9.3251197809719368</v>
      </c>
      <c r="Q183" s="33">
        <v>3.2881587953456535</v>
      </c>
      <c r="R183" s="33">
        <v>5.9630390143737166</v>
      </c>
      <c r="S183" s="33">
        <v>9.2511978097193701</v>
      </c>
      <c r="T183" s="12">
        <v>6</v>
      </c>
      <c r="U183" s="12">
        <v>18</v>
      </c>
      <c r="V183" s="4" t="s">
        <v>1</v>
      </c>
      <c r="W183" s="4">
        <v>1</v>
      </c>
      <c r="X183" s="4">
        <v>2</v>
      </c>
      <c r="Y183" s="4">
        <v>1</v>
      </c>
      <c r="Z183" s="56">
        <v>3</v>
      </c>
      <c r="AA183" s="9" cm="1">
        <f t="array" ref="AA183">IF(OR(AB183:AE183=""),"BLANK",IF(AND(AB183:AE183&lt;999),1,IF(AND(AB183:AE183="NA"),3,2)))</f>
        <v>1</v>
      </c>
      <c r="AB183" s="4">
        <v>29</v>
      </c>
      <c r="AC183" s="4">
        <v>15</v>
      </c>
      <c r="AD183" s="4">
        <v>13</v>
      </c>
      <c r="AE183" s="5">
        <v>57</v>
      </c>
      <c r="AF183" s="9">
        <f t="shared" si="2"/>
        <v>1</v>
      </c>
      <c r="AG183" s="5">
        <v>56</v>
      </c>
      <c r="AH183" s="9" cm="1">
        <f t="array" ref="AH183">IF(OR(AI183:AN183=""),"BLANK",IF(AND(AI183:AN183&lt;99),1,IF(AND(AI183:AN183="NA"),3,2)))</f>
        <v>2</v>
      </c>
      <c r="AI183" s="4">
        <v>57</v>
      </c>
      <c r="AJ183" s="4" t="s">
        <v>7</v>
      </c>
      <c r="AK183" s="21">
        <v>106.47</v>
      </c>
      <c r="AL183" s="21">
        <v>99.96</v>
      </c>
      <c r="AM183" s="21">
        <v>50</v>
      </c>
      <c r="AN183" s="22">
        <v>96.16</v>
      </c>
    </row>
    <row r="184" spans="1:40" x14ac:dyDescent="0.2">
      <c r="A184" s="15">
        <v>1467</v>
      </c>
      <c r="B184" s="4" t="s">
        <v>63</v>
      </c>
      <c r="C184" s="30" t="s">
        <v>23</v>
      </c>
      <c r="D184" s="30">
        <v>5</v>
      </c>
      <c r="E184" s="30">
        <v>0</v>
      </c>
      <c r="F184" s="30" t="s">
        <v>7</v>
      </c>
      <c r="G184" s="30">
        <v>30</v>
      </c>
      <c r="H184" s="33">
        <v>4.0054757015742641</v>
      </c>
      <c r="I184" s="33">
        <v>5.1800136892539355</v>
      </c>
      <c r="J184" s="33">
        <v>9.1854893908282005</v>
      </c>
      <c r="K184" s="33">
        <v>4.3887748117727581</v>
      </c>
      <c r="L184" s="33">
        <v>4.7967145790554415</v>
      </c>
      <c r="M184" s="33">
        <v>9.1854893908282005</v>
      </c>
      <c r="N184" s="33">
        <v>4.4106776180698155</v>
      </c>
      <c r="O184" s="33">
        <v>4.7912388774811774</v>
      </c>
      <c r="P184" s="33">
        <v>9.2019164955509929</v>
      </c>
      <c r="Q184" s="33" t="s">
        <v>7</v>
      </c>
      <c r="R184" s="33" t="s">
        <v>7</v>
      </c>
      <c r="S184" s="33" t="s">
        <v>7</v>
      </c>
      <c r="T184" s="12">
        <v>4</v>
      </c>
      <c r="U184" s="12">
        <v>16</v>
      </c>
      <c r="V184" s="4" t="s">
        <v>1</v>
      </c>
      <c r="W184" s="4">
        <v>1</v>
      </c>
      <c r="X184" s="4">
        <v>2</v>
      </c>
      <c r="Y184" s="4">
        <v>1</v>
      </c>
      <c r="Z184" s="56">
        <v>3</v>
      </c>
      <c r="AA184" s="9" cm="1">
        <f t="array" ref="AA184">IF(OR(AB184:AE184=""),"BLANK",IF(AND(AB184:AE184&lt;999),1,IF(AND(AB184:AE184="NA"),3,2)))</f>
        <v>1</v>
      </c>
      <c r="AB184" s="4">
        <v>31</v>
      </c>
      <c r="AC184" s="4">
        <v>17</v>
      </c>
      <c r="AD184" s="4">
        <v>11</v>
      </c>
      <c r="AE184" s="5">
        <v>59</v>
      </c>
      <c r="AF184" s="9">
        <f t="shared" si="2"/>
        <v>1</v>
      </c>
      <c r="AG184" s="5">
        <v>56</v>
      </c>
      <c r="AH184" s="9" cm="1">
        <f t="array" ref="AH184">IF(OR(AI184:AN184=""),"BLANK",IF(AND(AI184:AN184&lt;99),1,IF(AND(AI184:AN184="NA"),3,2)))</f>
        <v>2</v>
      </c>
      <c r="AI184" s="4">
        <v>44</v>
      </c>
      <c r="AJ184" s="4" t="s">
        <v>7</v>
      </c>
      <c r="AK184" s="21">
        <v>91.62</v>
      </c>
      <c r="AL184" s="21">
        <v>73.5</v>
      </c>
      <c r="AM184" s="21">
        <v>3.8</v>
      </c>
      <c r="AN184" s="22">
        <v>69.27</v>
      </c>
    </row>
    <row r="185" spans="1:40" x14ac:dyDescent="0.2">
      <c r="A185" s="15">
        <v>1476</v>
      </c>
      <c r="B185" s="4" t="s">
        <v>58</v>
      </c>
      <c r="C185" s="30" t="s">
        <v>24</v>
      </c>
      <c r="D185" s="30">
        <v>5</v>
      </c>
      <c r="E185" s="30">
        <v>0</v>
      </c>
      <c r="F185" s="30" t="s">
        <v>7</v>
      </c>
      <c r="G185" s="30">
        <v>29</v>
      </c>
      <c r="H185" s="33">
        <v>3.6331279945242985</v>
      </c>
      <c r="I185" s="33">
        <v>5.1362080766598224</v>
      </c>
      <c r="J185" s="33">
        <v>8.7693360711841208</v>
      </c>
      <c r="K185" s="33">
        <v>3.6331279945242985</v>
      </c>
      <c r="L185" s="33">
        <v>5.3689253935660508</v>
      </c>
      <c r="M185" s="33">
        <v>9.0020533880903493</v>
      </c>
      <c r="N185" s="33">
        <v>3.8110882956878851</v>
      </c>
      <c r="O185" s="33">
        <v>4.6789869952087608</v>
      </c>
      <c r="P185" s="33">
        <v>8.4900752908966464</v>
      </c>
      <c r="Q185" s="33">
        <v>3.2772073921971252</v>
      </c>
      <c r="R185" s="33">
        <v>5.8809034907597537</v>
      </c>
      <c r="S185" s="33">
        <v>9.158110882956878</v>
      </c>
      <c r="T185" s="12">
        <v>6</v>
      </c>
      <c r="U185" s="12">
        <v>18</v>
      </c>
      <c r="V185" s="4" t="s">
        <v>1</v>
      </c>
      <c r="W185" s="4">
        <v>1</v>
      </c>
      <c r="X185" s="4">
        <v>2</v>
      </c>
      <c r="Y185" s="4">
        <v>1</v>
      </c>
      <c r="Z185" s="56">
        <v>3</v>
      </c>
      <c r="AA185" s="9" cm="1">
        <f t="array" ref="AA185">IF(OR(AB185:AE185=""),"BLANK",IF(AND(AB185:AE185&lt;999),1,IF(AND(AB185:AE185="NA"),3,2)))</f>
        <v>1</v>
      </c>
      <c r="AB185" s="4">
        <v>26</v>
      </c>
      <c r="AC185" s="4">
        <v>14</v>
      </c>
      <c r="AD185" s="4">
        <v>13</v>
      </c>
      <c r="AE185" s="5">
        <v>53</v>
      </c>
      <c r="AF185" s="9">
        <f t="shared" si="2"/>
        <v>1</v>
      </c>
      <c r="AG185" s="5">
        <v>45</v>
      </c>
      <c r="AH185" s="9" cm="1">
        <f t="array" ref="AH185">IF(OR(AI185:AN185=""),"BLANK",IF(AND(AI185:AN185&lt;99),1,IF(AND(AI185:AN185="NA"),3,2)))</f>
        <v>2</v>
      </c>
      <c r="AI185" s="4">
        <v>49</v>
      </c>
      <c r="AJ185" s="4" t="s">
        <v>7</v>
      </c>
      <c r="AK185" s="21">
        <v>96.92</v>
      </c>
      <c r="AL185" s="21">
        <v>97.73</v>
      </c>
      <c r="AM185" s="21">
        <v>44</v>
      </c>
      <c r="AN185" s="22">
        <v>94.08</v>
      </c>
    </row>
    <row r="186" spans="1:40" x14ac:dyDescent="0.2">
      <c r="A186" s="15">
        <v>1484</v>
      </c>
      <c r="B186" s="4" t="s">
        <v>59</v>
      </c>
      <c r="C186" s="30" t="s">
        <v>24</v>
      </c>
      <c r="D186" s="30">
        <v>5</v>
      </c>
      <c r="E186" s="30">
        <v>0</v>
      </c>
      <c r="F186" s="30" t="s">
        <v>7</v>
      </c>
      <c r="G186" s="30">
        <v>29</v>
      </c>
      <c r="H186" s="33">
        <v>4.2847364818617386</v>
      </c>
      <c r="I186" s="33">
        <v>6.0013689253935665</v>
      </c>
      <c r="J186" s="33">
        <v>10.286105407255304</v>
      </c>
      <c r="K186" s="33">
        <v>4.2847364818617386</v>
      </c>
      <c r="L186" s="33">
        <v>6.0013689253935665</v>
      </c>
      <c r="M186" s="33">
        <v>10.286105407255304</v>
      </c>
      <c r="N186" s="33">
        <v>4.2628336755646821</v>
      </c>
      <c r="O186" s="33" t="s">
        <v>7</v>
      </c>
      <c r="P186" s="33" t="s">
        <v>7</v>
      </c>
      <c r="Q186" s="33">
        <v>4.128678986995209</v>
      </c>
      <c r="R186" s="33" t="s">
        <v>7</v>
      </c>
      <c r="S186" s="33" t="s">
        <v>7</v>
      </c>
      <c r="T186" s="12" t="s">
        <v>7</v>
      </c>
      <c r="U186" s="12" t="s">
        <v>7</v>
      </c>
      <c r="V186" s="4" t="s">
        <v>1</v>
      </c>
      <c r="W186" s="4">
        <v>1</v>
      </c>
      <c r="X186" s="4">
        <v>2</v>
      </c>
      <c r="Y186" s="4">
        <v>1</v>
      </c>
      <c r="Z186" s="56">
        <v>3</v>
      </c>
      <c r="AA186" s="9" cm="1">
        <f t="array" ref="AA186">IF(OR(AB186:AE186=""),"BLANK",IF(AND(AB186:AE186&lt;999),1,IF(AND(AB186:AE186="NA"),3,2)))</f>
        <v>1</v>
      </c>
      <c r="AB186" s="4">
        <v>31</v>
      </c>
      <c r="AC186" s="4">
        <v>17</v>
      </c>
      <c r="AD186" s="4">
        <v>9</v>
      </c>
      <c r="AE186" s="5">
        <v>57</v>
      </c>
      <c r="AF186" s="9">
        <f t="shared" si="2"/>
        <v>1</v>
      </c>
      <c r="AG186" s="5">
        <v>51</v>
      </c>
      <c r="AH186" s="9" cm="1">
        <f t="array" ref="AH186">IF(OR(AI186:AN186=""),"BLANK",IF(AND(AI186:AN186&lt;99),1,IF(AND(AI186:AN186="NA"),3,2)))</f>
        <v>2</v>
      </c>
      <c r="AI186" s="4">
        <v>49</v>
      </c>
      <c r="AJ186" s="4" t="s">
        <v>7</v>
      </c>
      <c r="AK186" s="21">
        <v>97.15</v>
      </c>
      <c r="AL186" s="21">
        <v>98.06</v>
      </c>
      <c r="AM186" s="21">
        <v>44.8</v>
      </c>
      <c r="AN186" s="22">
        <v>94.43</v>
      </c>
    </row>
    <row r="187" spans="1:40" x14ac:dyDescent="0.2">
      <c r="A187" s="15">
        <v>1543</v>
      </c>
      <c r="B187" s="4" t="s">
        <v>46</v>
      </c>
      <c r="C187" s="30" t="s">
        <v>24</v>
      </c>
      <c r="D187" s="30">
        <v>3</v>
      </c>
      <c r="E187" s="30">
        <v>0</v>
      </c>
      <c r="F187" s="30" t="s">
        <v>7</v>
      </c>
      <c r="G187" s="30">
        <v>30</v>
      </c>
      <c r="H187" s="33">
        <v>4.0985626283367553</v>
      </c>
      <c r="I187" s="33">
        <v>4.4955509924709105</v>
      </c>
      <c r="J187" s="33">
        <v>8.5941136208076667</v>
      </c>
      <c r="K187" s="33">
        <v>4.0903490759753591</v>
      </c>
      <c r="L187" s="33">
        <v>4.5037645448323067</v>
      </c>
      <c r="M187" s="33">
        <v>8.5941136208076667</v>
      </c>
      <c r="N187" s="33">
        <v>4.0711841204654347</v>
      </c>
      <c r="O187" s="33">
        <v>4.386036960985626</v>
      </c>
      <c r="P187" s="33">
        <v>8.4572210814510616</v>
      </c>
      <c r="Q187" s="33" t="s">
        <v>7</v>
      </c>
      <c r="R187" s="33" t="s">
        <v>7</v>
      </c>
      <c r="S187" s="33" t="s">
        <v>7</v>
      </c>
      <c r="T187" s="12">
        <v>6</v>
      </c>
      <c r="U187" s="12">
        <v>18</v>
      </c>
      <c r="V187" s="4" t="s">
        <v>1</v>
      </c>
      <c r="W187" s="4">
        <v>1</v>
      </c>
      <c r="X187" s="4">
        <v>2</v>
      </c>
      <c r="Y187" s="4">
        <v>1</v>
      </c>
      <c r="Z187" s="56">
        <v>3</v>
      </c>
      <c r="AA187" s="9" cm="1">
        <f t="array" ref="AA187">IF(OR(AB187:AE187=""),"BLANK",IF(AND(AB187:AE187&lt;999),1,IF(AND(AB187:AE187="NA"),3,2)))</f>
        <v>1</v>
      </c>
      <c r="AB187" s="4">
        <v>40</v>
      </c>
      <c r="AC187" s="4">
        <v>26</v>
      </c>
      <c r="AD187" s="4">
        <v>18</v>
      </c>
      <c r="AE187" s="5">
        <v>84</v>
      </c>
      <c r="AF187" s="9">
        <f t="shared" si="2"/>
        <v>1</v>
      </c>
      <c r="AG187" s="5">
        <v>69</v>
      </c>
      <c r="AH187" s="9" cm="1">
        <f t="array" ref="AH187">IF(OR(AI187:AN187=""),"BLANK",IF(AND(AI187:AN187&lt;99),1,IF(AND(AI187:AN187="NA"),3,2)))</f>
        <v>2</v>
      </c>
      <c r="AI187" s="4">
        <v>72</v>
      </c>
      <c r="AJ187" s="4" t="s">
        <v>7</v>
      </c>
      <c r="AK187" s="21">
        <v>125.64</v>
      </c>
      <c r="AL187" s="21">
        <v>135.83000000000001</v>
      </c>
      <c r="AM187" s="21">
        <v>99.2</v>
      </c>
      <c r="AN187" s="22">
        <v>132.21</v>
      </c>
    </row>
    <row r="188" spans="1:40" x14ac:dyDescent="0.2">
      <c r="A188" s="15">
        <v>1577</v>
      </c>
      <c r="B188" s="4" t="s">
        <v>68</v>
      </c>
      <c r="C188" s="30" t="s">
        <v>23</v>
      </c>
      <c r="D188" s="30">
        <v>5</v>
      </c>
      <c r="E188" s="30">
        <v>0</v>
      </c>
      <c r="F188" s="30" t="s">
        <v>7</v>
      </c>
      <c r="G188" s="30">
        <v>30</v>
      </c>
      <c r="H188" s="33">
        <v>4.1478439425051334</v>
      </c>
      <c r="I188" s="33">
        <v>4.7994524298425736</v>
      </c>
      <c r="J188" s="33">
        <v>8.9472963723477079</v>
      </c>
      <c r="K188" s="33">
        <v>4.1478439425051334</v>
      </c>
      <c r="L188" s="33">
        <v>4.7994524298425736</v>
      </c>
      <c r="M188" s="33">
        <v>8.9472963723477079</v>
      </c>
      <c r="N188" s="33">
        <v>4.1670088980150579</v>
      </c>
      <c r="O188" s="33">
        <v>4.5749486652977414</v>
      </c>
      <c r="P188" s="33">
        <v>8.7419575633128002</v>
      </c>
      <c r="Q188" s="33" t="s">
        <v>7</v>
      </c>
      <c r="R188" s="33" t="s">
        <v>7</v>
      </c>
      <c r="S188" s="33" t="s">
        <v>7</v>
      </c>
      <c r="T188" s="12">
        <v>4</v>
      </c>
      <c r="U188" s="12">
        <v>16</v>
      </c>
      <c r="V188" s="4" t="s">
        <v>1</v>
      </c>
      <c r="W188" s="4">
        <v>1</v>
      </c>
      <c r="X188" s="4">
        <v>2</v>
      </c>
      <c r="Y188" s="4">
        <v>1</v>
      </c>
      <c r="Z188" s="56">
        <v>3</v>
      </c>
      <c r="AA188" s="9" cm="1">
        <f t="array" ref="AA188">IF(OR(AB188:AE188=""),"BLANK",IF(AND(AB188:AE188&lt;999),1,IF(AND(AB188:AE188="NA"),3,2)))</f>
        <v>1</v>
      </c>
      <c r="AB188" s="4">
        <v>37</v>
      </c>
      <c r="AC188" s="4">
        <v>14</v>
      </c>
      <c r="AD188" s="4">
        <v>11</v>
      </c>
      <c r="AE188" s="5">
        <v>62</v>
      </c>
      <c r="AF188" s="9">
        <f t="shared" si="2"/>
        <v>1</v>
      </c>
      <c r="AG188" s="5">
        <v>68</v>
      </c>
      <c r="AH188" s="9" cm="1">
        <f t="array" ref="AH188">IF(OR(AI188:AN188=""),"BLANK",IF(AND(AI188:AN188&lt;99),1,IF(AND(AI188:AN188="NA"),3,2)))</f>
        <v>2</v>
      </c>
      <c r="AI188" s="4">
        <v>81</v>
      </c>
      <c r="AJ188" s="4" t="s">
        <v>7</v>
      </c>
      <c r="AK188" s="21">
        <v>138.72</v>
      </c>
      <c r="AL188" s="21">
        <v>131.88999999999999</v>
      </c>
      <c r="AM188" s="21">
        <v>98.3</v>
      </c>
      <c r="AN188" s="22">
        <v>127.69</v>
      </c>
    </row>
    <row r="189" spans="1:40" x14ac:dyDescent="0.2">
      <c r="A189" s="15">
        <v>1591</v>
      </c>
      <c r="B189" s="4" t="s">
        <v>66</v>
      </c>
      <c r="C189" s="30" t="s">
        <v>23</v>
      </c>
      <c r="D189" s="30">
        <v>5</v>
      </c>
      <c r="E189" s="30">
        <v>0</v>
      </c>
      <c r="F189" s="30" t="s">
        <v>7</v>
      </c>
      <c r="G189" s="30">
        <v>30</v>
      </c>
      <c r="H189" s="33">
        <v>3.7481177275838466</v>
      </c>
      <c r="I189" s="33">
        <v>5.207392197125257</v>
      </c>
      <c r="J189" s="33">
        <v>8.9555099247091032</v>
      </c>
      <c r="K189" s="33">
        <v>3.761806981519507</v>
      </c>
      <c r="L189" s="33">
        <v>5.1937029431895958</v>
      </c>
      <c r="M189" s="33">
        <v>8.9555099247091032</v>
      </c>
      <c r="N189" s="33">
        <v>3.7453798767967146</v>
      </c>
      <c r="O189" s="33">
        <v>5.1498973305954827</v>
      </c>
      <c r="P189" s="33">
        <v>8.8952772073921977</v>
      </c>
      <c r="Q189" s="33">
        <v>3.5071868583162216</v>
      </c>
      <c r="R189" s="33" t="s">
        <v>7</v>
      </c>
      <c r="S189" s="33" t="s">
        <v>7</v>
      </c>
      <c r="T189" s="12">
        <v>4</v>
      </c>
      <c r="U189" s="12">
        <v>16</v>
      </c>
      <c r="V189" s="4" t="s">
        <v>1</v>
      </c>
      <c r="W189" s="4">
        <v>1</v>
      </c>
      <c r="X189" s="4">
        <v>2</v>
      </c>
      <c r="Y189" s="4">
        <v>1</v>
      </c>
      <c r="Z189" s="56">
        <v>3</v>
      </c>
      <c r="AA189" s="9" cm="1">
        <f t="array" ref="AA189">IF(OR(AB189:AE189=""),"BLANK",IF(AND(AB189:AE189&lt;999),1,IF(AND(AB189:AE189="NA"),3,2)))</f>
        <v>1</v>
      </c>
      <c r="AB189" s="4">
        <v>32</v>
      </c>
      <c r="AC189" s="4">
        <v>21</v>
      </c>
      <c r="AD189" s="4">
        <v>13</v>
      </c>
      <c r="AE189" s="5">
        <v>66</v>
      </c>
      <c r="AF189" s="9">
        <f t="shared" si="2"/>
        <v>1</v>
      </c>
      <c r="AG189" s="5">
        <v>48</v>
      </c>
      <c r="AH189" s="9" cm="1">
        <f t="array" ref="AH189">IF(OR(AI189:AN189=""),"BLANK",IF(AND(AI189:AN189&lt;99),1,IF(AND(AI189:AN189="NA"),3,2)))</f>
        <v>2</v>
      </c>
      <c r="AI189" s="4">
        <v>47</v>
      </c>
      <c r="AJ189" s="4" t="s">
        <v>7</v>
      </c>
      <c r="AK189" s="21">
        <v>95.36</v>
      </c>
      <c r="AL189" s="21">
        <v>102.94</v>
      </c>
      <c r="AM189" s="21">
        <v>57.9</v>
      </c>
      <c r="AN189" s="24" t="s">
        <v>7</v>
      </c>
    </row>
    <row r="190" spans="1:40" x14ac:dyDescent="0.2">
      <c r="A190" s="15">
        <v>1600</v>
      </c>
      <c r="B190" s="4" t="s">
        <v>69</v>
      </c>
      <c r="C190" s="30" t="s">
        <v>23</v>
      </c>
      <c r="D190" s="30">
        <v>5</v>
      </c>
      <c r="E190" s="30">
        <v>0</v>
      </c>
      <c r="F190" s="30" t="s">
        <v>7</v>
      </c>
      <c r="G190" s="30">
        <v>27</v>
      </c>
      <c r="H190" s="33">
        <v>3.8165639972621492</v>
      </c>
      <c r="I190" s="33" t="s">
        <v>7</v>
      </c>
      <c r="J190" s="33" t="s">
        <v>7</v>
      </c>
      <c r="K190" s="33" t="s">
        <v>7</v>
      </c>
      <c r="L190" s="33" t="s">
        <v>7</v>
      </c>
      <c r="M190" s="33" t="s">
        <v>7</v>
      </c>
      <c r="N190" s="33">
        <v>3.7919233401779602</v>
      </c>
      <c r="O190" s="33" t="s">
        <v>7</v>
      </c>
      <c r="P190" s="33" t="s">
        <v>7</v>
      </c>
      <c r="Q190" s="33">
        <v>3.4086242299794662</v>
      </c>
      <c r="R190" s="33" t="s">
        <v>7</v>
      </c>
      <c r="S190" s="33" t="s">
        <v>7</v>
      </c>
      <c r="T190" s="12">
        <v>3</v>
      </c>
      <c r="U190" s="12">
        <v>14.5</v>
      </c>
      <c r="V190" s="4" t="s">
        <v>1</v>
      </c>
      <c r="W190" s="4">
        <v>1</v>
      </c>
      <c r="X190" s="4">
        <v>2</v>
      </c>
      <c r="Y190" s="4">
        <v>1</v>
      </c>
      <c r="Z190" s="56">
        <v>3</v>
      </c>
      <c r="AA190" s="9" cm="1">
        <f t="array" ref="AA190">IF(OR(AB190:AE190=""),"BLANK",IF(AND(AB190:AE190&lt;999),1,IF(AND(AB190:AE190="NA"),3,2)))</f>
        <v>1</v>
      </c>
      <c r="AB190" s="4">
        <v>20</v>
      </c>
      <c r="AC190" s="4">
        <v>11</v>
      </c>
      <c r="AD190" s="4">
        <v>11</v>
      </c>
      <c r="AE190" s="5">
        <v>42</v>
      </c>
      <c r="AF190" s="9">
        <f t="shared" si="2"/>
        <v>1</v>
      </c>
      <c r="AG190" s="5">
        <v>30</v>
      </c>
      <c r="AH190" s="9" cm="1">
        <f t="array" ref="AH190">IF(OR(AI190:AN190=""),"BLANK",IF(AND(AI190:AN190&lt;99),1,IF(AND(AI190:AN190="NA"),3,2)))</f>
        <v>2</v>
      </c>
      <c r="AI190" s="4">
        <v>39</v>
      </c>
      <c r="AJ190" s="4" t="s">
        <v>7</v>
      </c>
      <c r="AK190" s="23" t="s">
        <v>7</v>
      </c>
      <c r="AL190" s="23" t="s">
        <v>7</v>
      </c>
      <c r="AM190" s="23" t="s">
        <v>7</v>
      </c>
      <c r="AN190" s="24" t="s">
        <v>7</v>
      </c>
    </row>
    <row r="191" spans="1:40" x14ac:dyDescent="0.2">
      <c r="A191" s="15">
        <v>1613</v>
      </c>
      <c r="B191" s="4" t="s">
        <v>66</v>
      </c>
      <c r="C191" s="30" t="s">
        <v>24</v>
      </c>
      <c r="D191" s="30">
        <v>5</v>
      </c>
      <c r="E191" s="30">
        <v>0</v>
      </c>
      <c r="F191" s="30" t="s">
        <v>7</v>
      </c>
      <c r="G191" s="30">
        <v>27</v>
      </c>
      <c r="H191" s="33">
        <v>3.7672826830937716</v>
      </c>
      <c r="I191" s="33">
        <v>5.0978781656399725</v>
      </c>
      <c r="J191" s="33">
        <v>8.8651608487337441</v>
      </c>
      <c r="K191" s="33">
        <v>3.7672826830937716</v>
      </c>
      <c r="L191" s="33">
        <v>5.2320328542094456</v>
      </c>
      <c r="M191" s="33">
        <v>8.9993155373032163</v>
      </c>
      <c r="N191" s="33" t="s">
        <v>7</v>
      </c>
      <c r="O191" s="33" t="s">
        <v>7</v>
      </c>
      <c r="P191" s="33" t="s">
        <v>7</v>
      </c>
      <c r="Q191" s="33">
        <v>3.3182751540041067</v>
      </c>
      <c r="R191" s="33" t="s">
        <v>7</v>
      </c>
      <c r="S191" s="33" t="s">
        <v>7</v>
      </c>
      <c r="T191" s="12">
        <v>4</v>
      </c>
      <c r="U191" s="12">
        <v>16</v>
      </c>
      <c r="V191" s="4" t="s">
        <v>1</v>
      </c>
      <c r="W191" s="4">
        <v>1</v>
      </c>
      <c r="X191" s="4">
        <v>2</v>
      </c>
      <c r="Y191" s="4">
        <v>1</v>
      </c>
      <c r="Z191" s="56">
        <v>3</v>
      </c>
      <c r="AA191" s="9" cm="1">
        <f t="array" ref="AA191">IF(OR(AB191:AE191=""),"BLANK",IF(AND(AB191:AE191&lt;999),1,IF(AND(AB191:AE191="NA"),3,2)))</f>
        <v>1</v>
      </c>
      <c r="AB191" s="4">
        <v>24</v>
      </c>
      <c r="AC191" s="4">
        <v>14</v>
      </c>
      <c r="AD191" s="4">
        <v>10</v>
      </c>
      <c r="AE191" s="5">
        <v>48</v>
      </c>
      <c r="AF191" s="9">
        <f t="shared" si="2"/>
        <v>1</v>
      </c>
      <c r="AG191" s="5">
        <v>39</v>
      </c>
      <c r="AH191" s="9" cm="1">
        <f t="array" ref="AH191">IF(OR(AI191:AN191=""),"BLANK",IF(AND(AI191:AN191&lt;99),1,IF(AND(AI191:AN191="NA"),3,2)))</f>
        <v>2</v>
      </c>
      <c r="AI191" s="4">
        <v>47</v>
      </c>
      <c r="AJ191" s="4" t="s">
        <v>7</v>
      </c>
      <c r="AK191" s="21">
        <v>94.59</v>
      </c>
      <c r="AL191" s="21">
        <v>101.55</v>
      </c>
      <c r="AM191" s="21">
        <v>54</v>
      </c>
      <c r="AN191" s="22" t="s">
        <v>7</v>
      </c>
    </row>
    <row r="192" spans="1:40" x14ac:dyDescent="0.2">
      <c r="A192" s="15">
        <v>1615</v>
      </c>
      <c r="B192" s="4" t="s">
        <v>61</v>
      </c>
      <c r="C192" s="30" t="s">
        <v>23</v>
      </c>
      <c r="D192" s="30">
        <v>5</v>
      </c>
      <c r="E192" s="30">
        <v>0</v>
      </c>
      <c r="F192" s="30" t="s">
        <v>7</v>
      </c>
      <c r="G192" s="30">
        <v>30</v>
      </c>
      <c r="H192" s="33">
        <v>4.1396303901437372</v>
      </c>
      <c r="I192" s="33">
        <v>4.7720739219712529</v>
      </c>
      <c r="J192" s="33">
        <v>8.9117043121149901</v>
      </c>
      <c r="K192" s="33">
        <v>4.1396303901437372</v>
      </c>
      <c r="L192" s="33">
        <v>4.7720739219712529</v>
      </c>
      <c r="M192" s="33">
        <v>8.9117043121149901</v>
      </c>
      <c r="N192" s="33">
        <v>4.0136892539356603</v>
      </c>
      <c r="O192" s="33">
        <v>4.5749486652977414</v>
      </c>
      <c r="P192" s="33">
        <v>8.5886379192334026</v>
      </c>
      <c r="Q192" s="33">
        <v>3.2580424366872007</v>
      </c>
      <c r="R192" s="33">
        <v>5.9219712525667347</v>
      </c>
      <c r="S192" s="33">
        <v>9.1800136892539363</v>
      </c>
      <c r="T192" s="12">
        <v>4</v>
      </c>
      <c r="U192" s="12">
        <v>16</v>
      </c>
      <c r="V192" s="4" t="s">
        <v>1</v>
      </c>
      <c r="W192" s="4">
        <v>1</v>
      </c>
      <c r="X192" s="4">
        <v>2</v>
      </c>
      <c r="Y192" s="4">
        <v>1</v>
      </c>
      <c r="Z192" s="56">
        <v>3</v>
      </c>
      <c r="AA192" s="9" cm="1">
        <f t="array" ref="AA192">IF(OR(AB192:AE192=""),"BLANK",IF(AND(AB192:AE192&lt;999),1,IF(AND(AB192:AE192="NA"),3,2)))</f>
        <v>1</v>
      </c>
      <c r="AB192" s="4">
        <v>37</v>
      </c>
      <c r="AC192" s="4">
        <v>25</v>
      </c>
      <c r="AD192" s="4">
        <v>17</v>
      </c>
      <c r="AE192" s="5">
        <v>79</v>
      </c>
      <c r="AF192" s="9">
        <f t="shared" si="2"/>
        <v>1</v>
      </c>
      <c r="AG192" s="5">
        <v>60</v>
      </c>
      <c r="AH192" s="9" cm="1">
        <f t="array" ref="AH192">IF(OR(AI192:AN192=""),"BLANK",IF(AND(AI192:AN192&lt;99),1,IF(AND(AI192:AN192="NA"),3,2)))</f>
        <v>2</v>
      </c>
      <c r="AI192" s="4">
        <v>41</v>
      </c>
      <c r="AJ192" s="4" t="s">
        <v>7</v>
      </c>
      <c r="AK192" s="21">
        <v>88.71</v>
      </c>
      <c r="AL192" s="21">
        <v>73.12</v>
      </c>
      <c r="AM192" s="21">
        <v>3.7</v>
      </c>
      <c r="AN192" s="22">
        <v>69.209999999999994</v>
      </c>
    </row>
    <row r="193" spans="1:40" x14ac:dyDescent="0.2">
      <c r="A193" s="15">
        <v>1617</v>
      </c>
      <c r="B193" s="4" t="s">
        <v>66</v>
      </c>
      <c r="C193" s="30" t="s">
        <v>23</v>
      </c>
      <c r="D193" s="30">
        <v>5</v>
      </c>
      <c r="E193" s="30">
        <v>0</v>
      </c>
      <c r="F193" s="30" t="s">
        <v>7</v>
      </c>
      <c r="G193" s="30">
        <v>29</v>
      </c>
      <c r="H193" s="33">
        <v>4.0082135523613962</v>
      </c>
      <c r="I193" s="33">
        <v>4.9226557152635184</v>
      </c>
      <c r="J193" s="33">
        <v>8.9308692676249137</v>
      </c>
      <c r="K193" s="33">
        <v>4.0082135523613962</v>
      </c>
      <c r="L193" s="33">
        <v>4.9226557152635184</v>
      </c>
      <c r="M193" s="33">
        <v>8.9308692676249137</v>
      </c>
      <c r="N193" s="33" t="s">
        <v>7</v>
      </c>
      <c r="O193" s="33" t="s">
        <v>7</v>
      </c>
      <c r="P193" s="33" t="s">
        <v>7</v>
      </c>
      <c r="Q193" s="33" t="s">
        <v>7</v>
      </c>
      <c r="R193" s="33" t="s">
        <v>7</v>
      </c>
      <c r="S193" s="33" t="s">
        <v>7</v>
      </c>
      <c r="T193" s="12" t="s">
        <v>7</v>
      </c>
      <c r="U193" s="12" t="s">
        <v>7</v>
      </c>
      <c r="V193" s="4" t="s">
        <v>1</v>
      </c>
      <c r="W193" s="4">
        <v>1</v>
      </c>
      <c r="X193" s="4">
        <v>2</v>
      </c>
      <c r="Y193" s="4">
        <v>1</v>
      </c>
      <c r="Z193" s="56">
        <v>3</v>
      </c>
      <c r="AA193" s="9" cm="1">
        <f t="array" ref="AA193">IF(OR(AB193:AE193=""),"BLANK",IF(AND(AB193:AE193&lt;999),1,IF(AND(AB193:AE193="NA"),3,2)))</f>
        <v>1</v>
      </c>
      <c r="AB193" s="4">
        <v>18</v>
      </c>
      <c r="AC193" s="4">
        <v>15</v>
      </c>
      <c r="AD193" s="4">
        <v>11</v>
      </c>
      <c r="AE193" s="5">
        <v>44</v>
      </c>
      <c r="AF193" s="9">
        <f t="shared" si="2"/>
        <v>1</v>
      </c>
      <c r="AG193" s="5">
        <v>51</v>
      </c>
      <c r="AH193" s="9" cm="1">
        <f t="array" ref="AH193">IF(OR(AI193:AN193=""),"BLANK",IF(AND(AI193:AN193&lt;99),1,IF(AND(AI193:AN193="NA"),3,2)))</f>
        <v>2</v>
      </c>
      <c r="AI193" s="4">
        <v>54</v>
      </c>
      <c r="AJ193" s="4" t="s">
        <v>7</v>
      </c>
      <c r="AK193" s="21">
        <v>102.4</v>
      </c>
      <c r="AL193" s="21">
        <v>114.8</v>
      </c>
      <c r="AM193" s="21">
        <v>83.9</v>
      </c>
      <c r="AN193" s="22">
        <v>110.05</v>
      </c>
    </row>
    <row r="194" spans="1:40" x14ac:dyDescent="0.2">
      <c r="A194" s="15">
        <v>1626</v>
      </c>
      <c r="B194" s="4" t="s">
        <v>52</v>
      </c>
      <c r="C194" s="30" t="s">
        <v>23</v>
      </c>
      <c r="D194" s="30">
        <v>5</v>
      </c>
      <c r="E194" s="30">
        <v>0</v>
      </c>
      <c r="F194" s="30" t="s">
        <v>7</v>
      </c>
      <c r="G194" s="30">
        <v>27</v>
      </c>
      <c r="H194" s="33">
        <v>3.7180013689253935</v>
      </c>
      <c r="I194" s="33" t="s">
        <v>7</v>
      </c>
      <c r="J194" s="33" t="s">
        <v>7</v>
      </c>
      <c r="K194" s="33">
        <v>3.7207392197125255</v>
      </c>
      <c r="L194" s="33" t="s">
        <v>7</v>
      </c>
      <c r="M194" s="33" t="s">
        <v>7</v>
      </c>
      <c r="N194" s="33">
        <v>3.7371663244353184</v>
      </c>
      <c r="O194" s="33" t="s">
        <v>7</v>
      </c>
      <c r="P194" s="33" t="s">
        <v>7</v>
      </c>
      <c r="Q194" s="33">
        <v>3.3921971252566734</v>
      </c>
      <c r="R194" s="33" t="s">
        <v>7</v>
      </c>
      <c r="S194" s="33" t="s">
        <v>7</v>
      </c>
      <c r="T194" s="12">
        <v>6</v>
      </c>
      <c r="U194" s="12">
        <v>18</v>
      </c>
      <c r="V194" s="4" t="s">
        <v>1</v>
      </c>
      <c r="W194" s="4">
        <v>1</v>
      </c>
      <c r="X194" s="4">
        <v>2</v>
      </c>
      <c r="Y194" s="4">
        <v>1</v>
      </c>
      <c r="Z194" s="56">
        <v>3</v>
      </c>
      <c r="AA194" s="9" cm="1">
        <f t="array" ref="AA194">IF(OR(AB194:AE194=""),"BLANK",IF(AND(AB194:AE194&lt;999),1,IF(AND(AB194:AE194="NA"),3,2)))</f>
        <v>1</v>
      </c>
      <c r="AB194" s="4">
        <v>20</v>
      </c>
      <c r="AC194" s="4">
        <v>10</v>
      </c>
      <c r="AD194" s="4">
        <v>8</v>
      </c>
      <c r="AE194" s="5">
        <v>38</v>
      </c>
      <c r="AF194" s="9">
        <f t="shared" ref="AF194:AF257" si="3">IF(OR(AG194="NA", AG194="xx"), 3,1)</f>
        <v>1</v>
      </c>
      <c r="AG194" s="5">
        <v>28</v>
      </c>
      <c r="AH194" s="9" cm="1">
        <f t="array" ref="AH194">IF(OR(AI194:AN194=""),"BLANK",IF(AND(AI194:AN194&lt;99),1,IF(AND(AI194:AN194="NA"),3,2)))</f>
        <v>2</v>
      </c>
      <c r="AI194" s="4">
        <v>49</v>
      </c>
      <c r="AJ194" s="4" t="s">
        <v>7</v>
      </c>
      <c r="AK194" s="21">
        <v>97.15</v>
      </c>
      <c r="AL194" s="21">
        <v>105.84</v>
      </c>
      <c r="AM194" s="21">
        <v>65.2</v>
      </c>
      <c r="AN194" s="22">
        <v>101.87</v>
      </c>
    </row>
    <row r="195" spans="1:40" x14ac:dyDescent="0.2">
      <c r="A195" s="15">
        <v>1637</v>
      </c>
      <c r="B195" s="4" t="s">
        <v>66</v>
      </c>
      <c r="C195" s="30" t="s">
        <v>23</v>
      </c>
      <c r="D195" s="30">
        <v>5</v>
      </c>
      <c r="E195" s="30">
        <v>0</v>
      </c>
      <c r="F195" s="30" t="s">
        <v>7</v>
      </c>
      <c r="G195" s="30">
        <v>28</v>
      </c>
      <c r="H195" s="33">
        <v>3.8165639972621492</v>
      </c>
      <c r="I195" s="33" t="s">
        <v>7</v>
      </c>
      <c r="J195" s="33" t="s">
        <v>7</v>
      </c>
      <c r="K195" s="33">
        <v>3.8165639972621492</v>
      </c>
      <c r="L195" s="33" t="s">
        <v>7</v>
      </c>
      <c r="M195" s="33" t="s">
        <v>7</v>
      </c>
      <c r="N195" s="33">
        <v>3.7782340862422998</v>
      </c>
      <c r="O195" s="33" t="s">
        <v>7</v>
      </c>
      <c r="P195" s="33" t="s">
        <v>7</v>
      </c>
      <c r="Q195" s="33">
        <v>3.3100616016427105</v>
      </c>
      <c r="R195" s="33" t="s">
        <v>7</v>
      </c>
      <c r="S195" s="33" t="s">
        <v>7</v>
      </c>
      <c r="T195" s="12">
        <v>7</v>
      </c>
      <c r="U195" s="12">
        <v>21</v>
      </c>
      <c r="V195" s="4" t="s">
        <v>1</v>
      </c>
      <c r="W195" s="4">
        <v>1</v>
      </c>
      <c r="X195" s="4">
        <v>2</v>
      </c>
      <c r="Y195" s="4">
        <v>1</v>
      </c>
      <c r="Z195" s="56">
        <v>3</v>
      </c>
      <c r="AA195" s="9" cm="1">
        <f t="array" ref="AA195">IF(OR(AB195:AE195=""),"BLANK",IF(AND(AB195:AE195&lt;999),1,IF(AND(AB195:AE195="NA"),3,2)))</f>
        <v>1</v>
      </c>
      <c r="AB195" s="4">
        <v>20</v>
      </c>
      <c r="AC195" s="4">
        <v>8</v>
      </c>
      <c r="AD195" s="4">
        <v>7</v>
      </c>
      <c r="AE195" s="5">
        <v>35</v>
      </c>
      <c r="AF195" s="9">
        <f t="shared" si="3"/>
        <v>1</v>
      </c>
      <c r="AG195" s="5">
        <v>18</v>
      </c>
      <c r="AH195" s="9" cm="1">
        <f t="array" ref="AH195">IF(OR(AI195:AN195=""),"BLANK",IF(AND(AI195:AN195&lt;99),1,IF(AND(AI195:AN195="NA"),3,2)))</f>
        <v>2</v>
      </c>
      <c r="AI195" s="4">
        <v>36</v>
      </c>
      <c r="AJ195" s="4" t="s">
        <v>7</v>
      </c>
      <c r="AK195" s="21">
        <v>83.64</v>
      </c>
      <c r="AL195" s="21">
        <v>83.71</v>
      </c>
      <c r="AM195" s="21">
        <v>13.8</v>
      </c>
      <c r="AN195" s="22">
        <v>79</v>
      </c>
    </row>
    <row r="196" spans="1:40" x14ac:dyDescent="0.2">
      <c r="A196" s="15">
        <v>1656</v>
      </c>
      <c r="B196" s="4" t="s">
        <v>69</v>
      </c>
      <c r="C196" s="30" t="s">
        <v>23</v>
      </c>
      <c r="D196" s="30">
        <v>5</v>
      </c>
      <c r="E196" s="30">
        <v>0</v>
      </c>
      <c r="F196" s="30" t="s">
        <v>7</v>
      </c>
      <c r="G196" s="30">
        <v>30</v>
      </c>
      <c r="H196" s="33">
        <v>3.676933607118412</v>
      </c>
      <c r="I196" s="33">
        <v>5.3114305270362765</v>
      </c>
      <c r="J196" s="33">
        <v>8.988364134154688</v>
      </c>
      <c r="K196" s="33">
        <v>3.6960985626283369</v>
      </c>
      <c r="L196" s="33">
        <v>5.292265571526352</v>
      </c>
      <c r="M196" s="33">
        <v>8.988364134154688</v>
      </c>
      <c r="N196" s="33">
        <v>3.7125256673511293</v>
      </c>
      <c r="O196" s="33">
        <v>5.2950034223134841</v>
      </c>
      <c r="P196" s="33">
        <v>9.0075290896646134</v>
      </c>
      <c r="Q196" s="33">
        <v>3.4469541409993156</v>
      </c>
      <c r="R196" s="33">
        <v>5.848049281314168</v>
      </c>
      <c r="S196" s="33">
        <v>9.2950034223134832</v>
      </c>
      <c r="T196" s="12">
        <v>4</v>
      </c>
      <c r="U196" s="12">
        <v>16</v>
      </c>
      <c r="V196" s="4" t="s">
        <v>1</v>
      </c>
      <c r="W196" s="4">
        <v>1</v>
      </c>
      <c r="X196" s="4">
        <v>2</v>
      </c>
      <c r="Y196" s="4">
        <v>1</v>
      </c>
      <c r="Z196" s="56">
        <v>3</v>
      </c>
      <c r="AA196" s="9" cm="1">
        <f t="array" ref="AA196">IF(OR(AB196:AE196=""),"BLANK",IF(AND(AB196:AE196&lt;999),1,IF(AND(AB196:AE196="NA"),3,2)))</f>
        <v>1</v>
      </c>
      <c r="AB196" s="4">
        <v>25</v>
      </c>
      <c r="AC196" s="4">
        <v>13</v>
      </c>
      <c r="AD196" s="4">
        <v>6</v>
      </c>
      <c r="AE196" s="5">
        <v>44</v>
      </c>
      <c r="AF196" s="9">
        <f t="shared" si="3"/>
        <v>1</v>
      </c>
      <c r="AG196" s="5">
        <v>38</v>
      </c>
      <c r="AH196" s="9" cm="1">
        <f t="array" ref="AH196">IF(OR(AI196:AN196=""),"BLANK",IF(AND(AI196:AN196&lt;99),1,IF(AND(AI196:AN196="NA"),3,2)))</f>
        <v>2</v>
      </c>
      <c r="AI196" s="4">
        <v>41</v>
      </c>
      <c r="AJ196" s="4" t="s">
        <v>7</v>
      </c>
      <c r="AK196" s="23" t="s">
        <v>7</v>
      </c>
      <c r="AL196" s="23" t="s">
        <v>7</v>
      </c>
      <c r="AM196" s="23" t="s">
        <v>7</v>
      </c>
      <c r="AN196" s="24" t="s">
        <v>7</v>
      </c>
    </row>
    <row r="197" spans="1:40" x14ac:dyDescent="0.2">
      <c r="A197" s="15">
        <v>1664</v>
      </c>
      <c r="B197" s="4" t="s">
        <v>52</v>
      </c>
      <c r="C197" s="30" t="s">
        <v>24</v>
      </c>
      <c r="D197" s="30">
        <v>5</v>
      </c>
      <c r="E197" s="30">
        <v>0</v>
      </c>
      <c r="F197" s="30" t="s">
        <v>7</v>
      </c>
      <c r="G197" s="30">
        <v>29</v>
      </c>
      <c r="H197" s="33">
        <v>3.8165639972621492</v>
      </c>
      <c r="I197" s="33">
        <v>5.415468856947296</v>
      </c>
      <c r="J197" s="33">
        <v>9.2320328542094447</v>
      </c>
      <c r="K197" s="33">
        <v>3.8329911019849416</v>
      </c>
      <c r="L197" s="33">
        <v>5.4017796030116356</v>
      </c>
      <c r="M197" s="33">
        <v>9.2347707049965777</v>
      </c>
      <c r="N197" s="33">
        <v>3.7809719370294319</v>
      </c>
      <c r="O197" s="33" t="s">
        <v>7</v>
      </c>
      <c r="P197" s="33" t="s">
        <v>7</v>
      </c>
      <c r="Q197" s="33">
        <v>3.3100616016427105</v>
      </c>
      <c r="R197" s="33" t="s">
        <v>7</v>
      </c>
      <c r="S197" s="33" t="s">
        <v>7</v>
      </c>
      <c r="T197" s="12">
        <v>2</v>
      </c>
      <c r="U197" s="12">
        <v>12</v>
      </c>
      <c r="V197" s="4" t="s">
        <v>1</v>
      </c>
      <c r="W197" s="4">
        <v>1</v>
      </c>
      <c r="X197" s="4">
        <v>2</v>
      </c>
      <c r="Y197" s="4">
        <v>1</v>
      </c>
      <c r="Z197" s="56">
        <v>3</v>
      </c>
      <c r="AA197" s="9" cm="1">
        <f t="array" ref="AA197">IF(OR(AB197:AE197=""),"BLANK",IF(AND(AB197:AE197&lt;999),1,IF(AND(AB197:AE197="NA"),3,2)))</f>
        <v>1</v>
      </c>
      <c r="AB197" s="4">
        <v>20</v>
      </c>
      <c r="AC197" s="4">
        <v>12</v>
      </c>
      <c r="AD197" s="4">
        <v>11</v>
      </c>
      <c r="AE197" s="5">
        <v>43</v>
      </c>
      <c r="AF197" s="9">
        <f t="shared" si="3"/>
        <v>1</v>
      </c>
      <c r="AG197" s="5">
        <v>32</v>
      </c>
      <c r="AH197" s="9" cm="1">
        <f t="array" ref="AH197">IF(OR(AI197:AN197=""),"BLANK",IF(AND(AI197:AN197&lt;99),1,IF(AND(AI197:AN197="NA"),3,2)))</f>
        <v>2</v>
      </c>
      <c r="AI197" s="4">
        <v>55</v>
      </c>
      <c r="AJ197" s="4" t="s">
        <v>7</v>
      </c>
      <c r="AK197" s="21">
        <v>103.98</v>
      </c>
      <c r="AL197" s="21">
        <v>117.17</v>
      </c>
      <c r="AM197" s="21">
        <v>87.3</v>
      </c>
      <c r="AN197" s="22">
        <v>113.1</v>
      </c>
    </row>
    <row r="198" spans="1:40" x14ac:dyDescent="0.2">
      <c r="A198" s="15">
        <v>1685</v>
      </c>
      <c r="B198" s="4" t="s">
        <v>59</v>
      </c>
      <c r="C198" s="30" t="s">
        <v>23</v>
      </c>
      <c r="D198" s="30">
        <v>5</v>
      </c>
      <c r="E198" s="30">
        <v>0</v>
      </c>
      <c r="F198" s="30" t="s">
        <v>7</v>
      </c>
      <c r="G198" s="30">
        <v>30</v>
      </c>
      <c r="H198" s="33">
        <v>3.7152635181382614</v>
      </c>
      <c r="I198" s="33">
        <v>5.0978781656399725</v>
      </c>
      <c r="J198" s="33">
        <v>8.8131416837782339</v>
      </c>
      <c r="K198" s="33">
        <v>3.7180013689253935</v>
      </c>
      <c r="L198" s="33">
        <v>5.0951403148528405</v>
      </c>
      <c r="M198" s="33">
        <v>8.8131416837782339</v>
      </c>
      <c r="N198" s="33">
        <v>3.8329911019849416</v>
      </c>
      <c r="O198" s="33">
        <v>4.6926762491444221</v>
      </c>
      <c r="P198" s="33">
        <v>8.5256673511293641</v>
      </c>
      <c r="Q198" s="33">
        <v>3.378507871321013</v>
      </c>
      <c r="R198" s="33">
        <v>5.8945927446954141</v>
      </c>
      <c r="S198" s="33">
        <v>9.2731006160164267</v>
      </c>
      <c r="T198" s="12" t="s">
        <v>7</v>
      </c>
      <c r="U198" s="12" t="s">
        <v>7</v>
      </c>
      <c r="V198" s="4" t="s">
        <v>1</v>
      </c>
      <c r="W198" s="4">
        <v>1</v>
      </c>
      <c r="X198" s="4">
        <v>2</v>
      </c>
      <c r="Y198" s="4">
        <v>1</v>
      </c>
      <c r="Z198" s="56">
        <v>3</v>
      </c>
      <c r="AA198" s="9" cm="1">
        <f t="array" ref="AA198">IF(OR(AB198:AE198=""),"BLANK",IF(AND(AB198:AE198&lt;999),1,IF(AND(AB198:AE198="NA"),3,2)))</f>
        <v>1</v>
      </c>
      <c r="AB198" s="4">
        <v>35</v>
      </c>
      <c r="AC198" s="4">
        <v>21</v>
      </c>
      <c r="AD198" s="4">
        <v>15</v>
      </c>
      <c r="AE198" s="5">
        <v>71</v>
      </c>
      <c r="AF198" s="9">
        <f t="shared" si="3"/>
        <v>1</v>
      </c>
      <c r="AG198" s="5">
        <v>69</v>
      </c>
      <c r="AH198" s="9" cm="1">
        <f t="array" ref="AH198">IF(OR(AI198:AN198=""),"BLANK",IF(AND(AI198:AN198&lt;99),1,IF(AND(AI198:AN198="NA"),3,2)))</f>
        <v>2</v>
      </c>
      <c r="AI198" s="4">
        <v>58</v>
      </c>
      <c r="AJ198" s="4" t="s">
        <v>7</v>
      </c>
      <c r="AK198" s="21">
        <v>107.92</v>
      </c>
      <c r="AL198" s="21">
        <v>114.98</v>
      </c>
      <c r="AM198" s="21">
        <v>84.1</v>
      </c>
      <c r="AN198" s="22">
        <v>110.36</v>
      </c>
    </row>
    <row r="199" spans="1:40" x14ac:dyDescent="0.2">
      <c r="A199" s="15">
        <v>1751</v>
      </c>
      <c r="B199" s="4" t="s">
        <v>50</v>
      </c>
      <c r="C199" s="30" t="s">
        <v>24</v>
      </c>
      <c r="D199" s="30">
        <v>5</v>
      </c>
      <c r="E199" s="30">
        <v>0</v>
      </c>
      <c r="F199" s="30" t="s">
        <v>7</v>
      </c>
      <c r="G199" s="30">
        <v>30</v>
      </c>
      <c r="H199" s="33">
        <v>3.8193018480492813</v>
      </c>
      <c r="I199" s="33">
        <v>5.0650239561943877</v>
      </c>
      <c r="J199" s="33">
        <v>8.8843258042436695</v>
      </c>
      <c r="K199" s="33">
        <v>3.8138261464750172</v>
      </c>
      <c r="L199" s="33">
        <v>5.0650239561943877</v>
      </c>
      <c r="M199" s="33">
        <v>8.8788501026694053</v>
      </c>
      <c r="N199" s="33">
        <v>3.7371663244353184</v>
      </c>
      <c r="O199" s="33">
        <v>4.7802874743326491</v>
      </c>
      <c r="P199" s="33">
        <v>8.517453798767967</v>
      </c>
      <c r="Q199" s="33">
        <v>4.0164271047227924</v>
      </c>
      <c r="R199" s="33">
        <v>5.3826146475017111</v>
      </c>
      <c r="S199" s="33">
        <v>9.3990417522245036</v>
      </c>
      <c r="T199" s="12">
        <v>4</v>
      </c>
      <c r="U199" s="12">
        <v>16</v>
      </c>
      <c r="V199" s="4" t="s">
        <v>1</v>
      </c>
      <c r="W199" s="4">
        <v>1</v>
      </c>
      <c r="X199" s="4">
        <v>2</v>
      </c>
      <c r="Y199" s="4">
        <v>1</v>
      </c>
      <c r="Z199" s="56">
        <v>3</v>
      </c>
      <c r="AA199" s="9" cm="1">
        <f t="array" ref="AA199">IF(OR(AB199:AE199=""),"BLANK",IF(AND(AB199:AE199&lt;999),1,IF(AND(AB199:AE199="NA"),3,2)))</f>
        <v>1</v>
      </c>
      <c r="AB199" s="4">
        <v>41</v>
      </c>
      <c r="AC199" s="4">
        <v>26</v>
      </c>
      <c r="AD199" s="4">
        <v>17</v>
      </c>
      <c r="AE199" s="5">
        <v>84</v>
      </c>
      <c r="AF199" s="9">
        <f t="shared" si="3"/>
        <v>1</v>
      </c>
      <c r="AG199" s="5">
        <v>61</v>
      </c>
      <c r="AH199" s="9" cm="1">
        <f t="array" ref="AH199">IF(OR(AI199:AN199=""),"BLANK",IF(AND(AI199:AN199&lt;99),1,IF(AND(AI199:AN199="NA"),3,2)))</f>
        <v>2</v>
      </c>
      <c r="AI199" s="4">
        <v>52</v>
      </c>
      <c r="AJ199" s="4" t="s">
        <v>7</v>
      </c>
      <c r="AK199" s="21">
        <v>100.55</v>
      </c>
      <c r="AL199" s="21">
        <v>100.38</v>
      </c>
      <c r="AM199" s="21">
        <v>51.2</v>
      </c>
      <c r="AN199" s="22" t="s">
        <v>7</v>
      </c>
    </row>
    <row r="200" spans="1:40" x14ac:dyDescent="0.2">
      <c r="A200" s="15">
        <v>1759</v>
      </c>
      <c r="B200" s="4" t="s">
        <v>59</v>
      </c>
      <c r="C200" s="30" t="s">
        <v>24</v>
      </c>
      <c r="D200" s="30">
        <v>5</v>
      </c>
      <c r="E200" s="30">
        <v>0</v>
      </c>
      <c r="F200" s="30" t="s">
        <v>7</v>
      </c>
      <c r="G200" s="30">
        <v>30</v>
      </c>
      <c r="H200" s="33">
        <v>4.1067761806981515</v>
      </c>
      <c r="I200" s="33">
        <v>4.7008898015058183</v>
      </c>
      <c r="J200" s="33">
        <v>8.8076659822039698</v>
      </c>
      <c r="K200" s="33">
        <v>4.1067761806981515</v>
      </c>
      <c r="L200" s="33">
        <v>4.777549623545517</v>
      </c>
      <c r="M200" s="33">
        <v>8.8843258042436695</v>
      </c>
      <c r="N200" s="33">
        <v>4.1560574948665296</v>
      </c>
      <c r="O200" s="33">
        <v>4.7173169062286107</v>
      </c>
      <c r="P200" s="33">
        <v>8.8733744010951412</v>
      </c>
      <c r="Q200" s="33" t="s">
        <v>7</v>
      </c>
      <c r="R200" s="33" t="s">
        <v>7</v>
      </c>
      <c r="S200" s="33" t="s">
        <v>7</v>
      </c>
      <c r="T200" s="12">
        <v>6</v>
      </c>
      <c r="U200" s="12">
        <v>18</v>
      </c>
      <c r="V200" s="4" t="s">
        <v>1</v>
      </c>
      <c r="W200" s="4">
        <v>1</v>
      </c>
      <c r="X200" s="4">
        <v>2</v>
      </c>
      <c r="Y200" s="4">
        <v>1</v>
      </c>
      <c r="Z200" s="56">
        <v>3</v>
      </c>
      <c r="AA200" s="9" cm="1">
        <f t="array" ref="AA200">IF(OR(AB200:AE200=""),"BLANK",IF(AND(AB200:AE200&lt;999),1,IF(AND(AB200:AE200="NA"),3,2)))</f>
        <v>1</v>
      </c>
      <c r="AB200" s="4">
        <v>32</v>
      </c>
      <c r="AC200" s="4">
        <v>18</v>
      </c>
      <c r="AD200" s="4">
        <v>10</v>
      </c>
      <c r="AE200" s="5">
        <v>60</v>
      </c>
      <c r="AF200" s="9">
        <f t="shared" si="3"/>
        <v>1</v>
      </c>
      <c r="AG200" s="5">
        <v>69</v>
      </c>
      <c r="AH200" s="9" cm="1">
        <f t="array" ref="AH200">IF(OR(AI200:AN200=""),"BLANK",IF(AND(AI200:AN200&lt;99),1,IF(AND(AI200:AN200="NA"),3,2)))</f>
        <v>2</v>
      </c>
      <c r="AI200" s="4">
        <v>55</v>
      </c>
      <c r="AJ200" s="4" t="s">
        <v>7</v>
      </c>
      <c r="AK200" s="21">
        <v>104.06</v>
      </c>
      <c r="AL200" s="21">
        <v>108.89</v>
      </c>
      <c r="AM200" s="21">
        <v>72.2</v>
      </c>
      <c r="AN200" s="22">
        <v>105.15</v>
      </c>
    </row>
    <row r="201" spans="1:40" x14ac:dyDescent="0.2">
      <c r="A201" s="15">
        <v>1767</v>
      </c>
      <c r="B201" s="4" t="s">
        <v>57</v>
      </c>
      <c r="C201" s="30" t="s">
        <v>23</v>
      </c>
      <c r="D201" s="30">
        <v>5</v>
      </c>
      <c r="E201" s="30">
        <v>0</v>
      </c>
      <c r="F201" s="30" t="s">
        <v>7</v>
      </c>
      <c r="G201" s="30">
        <v>30</v>
      </c>
      <c r="H201" s="33">
        <v>4.0219028062970565</v>
      </c>
      <c r="I201" s="33">
        <v>5.0458590006844624</v>
      </c>
      <c r="J201" s="33">
        <v>9.0677618069815189</v>
      </c>
      <c r="K201" s="33">
        <v>4.0219028062970565</v>
      </c>
      <c r="L201" s="33">
        <v>5.0458590006844624</v>
      </c>
      <c r="M201" s="33">
        <v>9.0677618069815189</v>
      </c>
      <c r="N201" s="33">
        <v>4.0355920602327169</v>
      </c>
      <c r="O201" s="33">
        <v>4.944558521560575</v>
      </c>
      <c r="P201" s="33">
        <v>8.9801505817932927</v>
      </c>
      <c r="Q201" s="33" t="s">
        <v>7</v>
      </c>
      <c r="R201" s="33" t="s">
        <v>7</v>
      </c>
      <c r="S201" s="33" t="s">
        <v>7</v>
      </c>
      <c r="T201" s="12">
        <v>4</v>
      </c>
      <c r="U201" s="12">
        <v>16</v>
      </c>
      <c r="V201" s="4" t="s">
        <v>1</v>
      </c>
      <c r="W201" s="4">
        <v>1</v>
      </c>
      <c r="X201" s="4">
        <v>2</v>
      </c>
      <c r="Y201" s="4">
        <v>1</v>
      </c>
      <c r="Z201" s="56">
        <v>3</v>
      </c>
      <c r="AA201" s="9" cm="1">
        <f t="array" ref="AA201">IF(OR(AB201:AE201=""),"BLANK",IF(AND(AB201:AE201&lt;999),1,IF(AND(AB201:AE201="NA"),3,2)))</f>
        <v>1</v>
      </c>
      <c r="AB201" s="4">
        <v>31</v>
      </c>
      <c r="AC201" s="4">
        <v>19</v>
      </c>
      <c r="AD201" s="4">
        <v>14</v>
      </c>
      <c r="AE201" s="5">
        <v>64</v>
      </c>
      <c r="AF201" s="9">
        <f t="shared" si="3"/>
        <v>1</v>
      </c>
      <c r="AG201" s="5">
        <v>75</v>
      </c>
      <c r="AH201" s="9" cm="1">
        <f t="array" ref="AH201">IF(OR(AI201:AN201=""),"BLANK",IF(AND(AI201:AN201&lt;99),1,IF(AND(AI201:AN201="NA"),3,2)))</f>
        <v>2</v>
      </c>
      <c r="AI201" s="4">
        <v>59</v>
      </c>
      <c r="AJ201" s="4" t="s">
        <v>7</v>
      </c>
      <c r="AK201" s="21">
        <v>109.05</v>
      </c>
      <c r="AL201" s="21">
        <v>103.6</v>
      </c>
      <c r="AM201" s="21">
        <v>59.5</v>
      </c>
      <c r="AN201" s="22">
        <v>99.45</v>
      </c>
    </row>
    <row r="202" spans="1:40" x14ac:dyDescent="0.2">
      <c r="A202" s="15">
        <v>1775</v>
      </c>
      <c r="B202" s="4" t="s">
        <v>63</v>
      </c>
      <c r="C202" s="30" t="s">
        <v>24</v>
      </c>
      <c r="D202" s="30">
        <v>5</v>
      </c>
      <c r="E202" s="30">
        <v>0</v>
      </c>
      <c r="F202" s="30" t="s">
        <v>7</v>
      </c>
      <c r="G202" s="30">
        <v>30</v>
      </c>
      <c r="H202" s="33">
        <v>3.592060232717317</v>
      </c>
      <c r="I202" s="33">
        <v>5.1964407939767279</v>
      </c>
      <c r="J202" s="33">
        <v>8.7885010266940444</v>
      </c>
      <c r="K202" s="33">
        <v>3.5838466803559208</v>
      </c>
      <c r="L202" s="33">
        <v>5.4757015742642023</v>
      </c>
      <c r="M202" s="33">
        <v>9.0595482546201236</v>
      </c>
      <c r="N202" s="33">
        <v>3.5728952772073921</v>
      </c>
      <c r="O202" s="33">
        <v>5.1553730321697468</v>
      </c>
      <c r="P202" s="33">
        <v>8.7282683093771389</v>
      </c>
      <c r="Q202" s="33">
        <v>3.2936344969199181</v>
      </c>
      <c r="R202" s="33">
        <v>5.9958932238193015</v>
      </c>
      <c r="S202" s="33">
        <v>9.2895277207392191</v>
      </c>
      <c r="T202" s="12">
        <v>4</v>
      </c>
      <c r="U202" s="12">
        <v>16</v>
      </c>
      <c r="V202" s="4" t="s">
        <v>1</v>
      </c>
      <c r="W202" s="4">
        <v>1</v>
      </c>
      <c r="X202" s="4">
        <v>2</v>
      </c>
      <c r="Y202" s="4">
        <v>1</v>
      </c>
      <c r="Z202" s="56">
        <v>3</v>
      </c>
      <c r="AA202" s="9" cm="1">
        <f t="array" ref="AA202">IF(OR(AB202:AE202=""),"BLANK",IF(AND(AB202:AE202&lt;999),1,IF(AND(AB202:AE202="NA"),3,2)))</f>
        <v>1</v>
      </c>
      <c r="AB202" s="4">
        <v>40</v>
      </c>
      <c r="AC202" s="4">
        <v>23</v>
      </c>
      <c r="AD202" s="4">
        <v>15</v>
      </c>
      <c r="AE202" s="5">
        <v>78</v>
      </c>
      <c r="AF202" s="9">
        <f t="shared" si="3"/>
        <v>1</v>
      </c>
      <c r="AG202" s="5">
        <v>64</v>
      </c>
      <c r="AH202" s="9" cm="1">
        <f t="array" ref="AH202">IF(OR(AI202:AN202=""),"BLANK",IF(AND(AI202:AN202&lt;99),1,IF(AND(AI202:AN202="NA"),3,2)))</f>
        <v>2</v>
      </c>
      <c r="AI202" s="4">
        <v>58</v>
      </c>
      <c r="AJ202" s="4" t="s">
        <v>7</v>
      </c>
      <c r="AK202" s="21">
        <v>108.06</v>
      </c>
      <c r="AL202" s="21">
        <v>97.52</v>
      </c>
      <c r="AM202" s="21">
        <v>43.3</v>
      </c>
      <c r="AN202" s="22">
        <v>93.42</v>
      </c>
    </row>
    <row r="203" spans="1:40" x14ac:dyDescent="0.2">
      <c r="A203" s="15">
        <v>1781</v>
      </c>
      <c r="B203" s="4" t="s">
        <v>50</v>
      </c>
      <c r="C203" s="30" t="s">
        <v>23</v>
      </c>
      <c r="D203" s="30">
        <v>5</v>
      </c>
      <c r="E203" s="30">
        <v>0</v>
      </c>
      <c r="F203" s="30" t="s">
        <v>7</v>
      </c>
      <c r="G203" s="30">
        <v>28</v>
      </c>
      <c r="H203" s="33">
        <v>4.0684462696783026</v>
      </c>
      <c r="I203" s="33" t="s">
        <v>7</v>
      </c>
      <c r="J203" s="33" t="s">
        <v>7</v>
      </c>
      <c r="K203" s="33">
        <v>4.0684462696783026</v>
      </c>
      <c r="L203" s="33" t="s">
        <v>7</v>
      </c>
      <c r="M203" s="33" t="s">
        <v>7</v>
      </c>
      <c r="N203" s="33" t="s">
        <v>7</v>
      </c>
      <c r="O203" s="33" t="s">
        <v>7</v>
      </c>
      <c r="P203" s="33" t="s">
        <v>7</v>
      </c>
      <c r="Q203" s="33" t="s">
        <v>7</v>
      </c>
      <c r="R203" s="33" t="s">
        <v>7</v>
      </c>
      <c r="S203" s="33" t="s">
        <v>7</v>
      </c>
      <c r="T203" s="12">
        <v>6</v>
      </c>
      <c r="U203" s="12">
        <v>18</v>
      </c>
      <c r="V203" s="4" t="s">
        <v>1</v>
      </c>
      <c r="W203" s="4">
        <v>1</v>
      </c>
      <c r="X203" s="4">
        <v>2</v>
      </c>
      <c r="Y203" s="4">
        <v>1</v>
      </c>
      <c r="Z203" s="56">
        <v>3</v>
      </c>
      <c r="AA203" s="9" cm="1">
        <f t="array" ref="AA203">IF(OR(AB203:AE203=""),"BLANK",IF(AND(AB203:AE203&lt;999),1,IF(AND(AB203:AE203="NA"),3,2)))</f>
        <v>1</v>
      </c>
      <c r="AB203" s="4">
        <v>45</v>
      </c>
      <c r="AC203" s="4">
        <v>27</v>
      </c>
      <c r="AD203" s="4">
        <v>14</v>
      </c>
      <c r="AE203" s="5">
        <v>86</v>
      </c>
      <c r="AF203" s="9">
        <f t="shared" si="3"/>
        <v>1</v>
      </c>
      <c r="AG203" s="5">
        <v>77</v>
      </c>
      <c r="AH203" s="9" cm="1">
        <f t="array" ref="AH203">IF(OR(AI203:AN203=""),"BLANK",IF(AND(AI203:AN203&lt;99),1,IF(AND(AI203:AN203="NA"),3,2)))</f>
        <v>2</v>
      </c>
      <c r="AI203" s="4">
        <v>74</v>
      </c>
      <c r="AJ203" s="4" t="s">
        <v>7</v>
      </c>
      <c r="AK203" s="21">
        <v>128.25</v>
      </c>
      <c r="AL203" s="21">
        <v>137.22999999999999</v>
      </c>
      <c r="AM203" s="21">
        <v>99.3</v>
      </c>
      <c r="AN203" s="22">
        <v>134.4</v>
      </c>
    </row>
    <row r="204" spans="1:40" x14ac:dyDescent="0.2">
      <c r="A204" s="15">
        <v>1796</v>
      </c>
      <c r="B204" s="4" t="s">
        <v>57</v>
      </c>
      <c r="C204" s="30" t="s">
        <v>23</v>
      </c>
      <c r="D204" s="30">
        <v>6</v>
      </c>
      <c r="E204" s="30">
        <v>1</v>
      </c>
      <c r="F204" s="30" t="s">
        <v>7</v>
      </c>
      <c r="G204" s="30">
        <v>30</v>
      </c>
      <c r="H204" s="33">
        <v>4.213552361396304</v>
      </c>
      <c r="I204" s="33">
        <v>4.6242299794661195</v>
      </c>
      <c r="J204" s="33">
        <v>8.8377823408624234</v>
      </c>
      <c r="K204" s="33">
        <v>4.213552361396304</v>
      </c>
      <c r="L204" s="33">
        <v>4.6242299794661195</v>
      </c>
      <c r="M204" s="33">
        <v>8.8377823408624234</v>
      </c>
      <c r="N204" s="33">
        <v>4.1505817932922655</v>
      </c>
      <c r="O204" s="33">
        <v>4.6050650239561941</v>
      </c>
      <c r="P204" s="33">
        <v>8.7556468172484596</v>
      </c>
      <c r="Q204" s="33" t="s">
        <v>7</v>
      </c>
      <c r="R204" s="33" t="s">
        <v>7</v>
      </c>
      <c r="S204" s="33" t="s">
        <v>7</v>
      </c>
      <c r="T204" s="12">
        <v>7</v>
      </c>
      <c r="U204" s="12">
        <v>21</v>
      </c>
      <c r="V204" s="4" t="s">
        <v>1</v>
      </c>
      <c r="W204" s="4">
        <v>1</v>
      </c>
      <c r="X204" s="4">
        <v>2</v>
      </c>
      <c r="Y204" s="4">
        <v>1</v>
      </c>
      <c r="Z204" s="56">
        <v>3</v>
      </c>
      <c r="AA204" s="9" cm="1">
        <f t="array" ref="AA204">IF(OR(AB204:AE204=""),"BLANK",IF(AND(AB204:AE204&lt;999),1,IF(AND(AB204:AE204="NA"),3,2)))</f>
        <v>1</v>
      </c>
      <c r="AB204" s="4">
        <v>32</v>
      </c>
      <c r="AC204" s="4">
        <v>25</v>
      </c>
      <c r="AD204" s="4">
        <v>16</v>
      </c>
      <c r="AE204" s="5">
        <v>73</v>
      </c>
      <c r="AF204" s="9">
        <f t="shared" si="3"/>
        <v>1</v>
      </c>
      <c r="AG204" s="5">
        <v>76</v>
      </c>
      <c r="AH204" s="9" cm="1">
        <f t="array" ref="AH204">IF(OR(AI204:AN204=""),"BLANK",IF(AND(AI204:AN204&lt;99),1,IF(AND(AI204:AN204="NA"),3,2)))</f>
        <v>2</v>
      </c>
      <c r="AI204" s="4" t="s">
        <v>7</v>
      </c>
      <c r="AJ204" s="4" t="s">
        <v>7</v>
      </c>
      <c r="AK204" s="21">
        <v>111.11</v>
      </c>
      <c r="AL204" s="21">
        <v>107.51</v>
      </c>
      <c r="AM204" s="21">
        <v>69.2</v>
      </c>
      <c r="AN204" s="22">
        <v>103.45</v>
      </c>
    </row>
    <row r="205" spans="1:40" x14ac:dyDescent="0.2">
      <c r="A205" s="15">
        <v>1797</v>
      </c>
      <c r="B205" s="4" t="s">
        <v>49</v>
      </c>
      <c r="C205" s="30" t="s">
        <v>23</v>
      </c>
      <c r="D205" s="30">
        <v>5</v>
      </c>
      <c r="E205" s="30">
        <v>0</v>
      </c>
      <c r="F205" s="30" t="s">
        <v>7</v>
      </c>
      <c r="G205" s="30">
        <v>30</v>
      </c>
      <c r="H205" s="33">
        <v>4.1615331964407938</v>
      </c>
      <c r="I205" s="33" t="s">
        <v>7</v>
      </c>
      <c r="J205" s="33" t="s">
        <v>7</v>
      </c>
      <c r="K205" s="33">
        <v>4.1615331964407938</v>
      </c>
      <c r="L205" s="33" t="s">
        <v>7</v>
      </c>
      <c r="M205" s="33" t="s">
        <v>7</v>
      </c>
      <c r="N205" s="33">
        <v>4.131416837782341</v>
      </c>
      <c r="O205" s="33" t="s">
        <v>7</v>
      </c>
      <c r="P205" s="33" t="s">
        <v>7</v>
      </c>
      <c r="Q205" s="33">
        <v>3.9561943874058865</v>
      </c>
      <c r="R205" s="33" t="s">
        <v>7</v>
      </c>
      <c r="S205" s="33" t="s">
        <v>7</v>
      </c>
      <c r="T205" s="12">
        <v>4</v>
      </c>
      <c r="U205" s="12">
        <v>16</v>
      </c>
      <c r="V205" s="4" t="s">
        <v>1</v>
      </c>
      <c r="W205" s="4">
        <v>1</v>
      </c>
      <c r="X205" s="4">
        <v>2</v>
      </c>
      <c r="Y205" s="4">
        <v>1</v>
      </c>
      <c r="Z205" s="56">
        <v>3</v>
      </c>
      <c r="AA205" s="9" cm="1">
        <f t="array" ref="AA205">IF(OR(AB205:AE205=""),"BLANK",IF(AND(AB205:AE205&lt;999),1,IF(AND(AB205:AE205="NA"),3,2)))</f>
        <v>1</v>
      </c>
      <c r="AB205" s="4">
        <v>34</v>
      </c>
      <c r="AC205" s="4">
        <v>22</v>
      </c>
      <c r="AD205" s="4">
        <v>17</v>
      </c>
      <c r="AE205" s="5">
        <v>73</v>
      </c>
      <c r="AF205" s="9">
        <f t="shared" si="3"/>
        <v>1</v>
      </c>
      <c r="AG205" s="5">
        <v>59</v>
      </c>
      <c r="AH205" s="9" cm="1">
        <f t="array" ref="AH205">IF(OR(AI205:AN205=""),"BLANK",IF(AND(AI205:AN205&lt;99),1,IF(AND(AI205:AN205="NA"),3,2)))</f>
        <v>2</v>
      </c>
      <c r="AI205" s="4" t="s">
        <v>7</v>
      </c>
      <c r="AJ205" s="4" t="s">
        <v>7</v>
      </c>
      <c r="AK205" s="21">
        <v>111.11</v>
      </c>
      <c r="AL205" s="21">
        <v>102.2</v>
      </c>
      <c r="AM205" s="21">
        <v>56</v>
      </c>
      <c r="AN205" s="22">
        <v>97.69</v>
      </c>
    </row>
    <row r="206" spans="1:40" x14ac:dyDescent="0.2">
      <c r="A206" s="15">
        <v>1800</v>
      </c>
      <c r="B206" s="4" t="s">
        <v>58</v>
      </c>
      <c r="C206" s="30" t="s">
        <v>23</v>
      </c>
      <c r="D206" s="30">
        <v>5</v>
      </c>
      <c r="E206" s="30">
        <v>0</v>
      </c>
      <c r="F206" s="30" t="s">
        <v>7</v>
      </c>
      <c r="G206" s="30">
        <v>27</v>
      </c>
      <c r="H206" s="33">
        <v>4.213552361396304</v>
      </c>
      <c r="I206" s="33" t="s">
        <v>7</v>
      </c>
      <c r="J206" s="33" t="s">
        <v>7</v>
      </c>
      <c r="K206" s="33">
        <v>5.3442847364818613</v>
      </c>
      <c r="L206" s="33" t="s">
        <v>7</v>
      </c>
      <c r="M206" s="33" t="s">
        <v>7</v>
      </c>
      <c r="N206" s="33">
        <v>4.1724845995893221</v>
      </c>
      <c r="O206" s="33" t="s">
        <v>7</v>
      </c>
      <c r="P206" s="33" t="s">
        <v>7</v>
      </c>
      <c r="Q206" s="33">
        <v>3.9890485968514717</v>
      </c>
      <c r="R206" s="33" t="s">
        <v>7</v>
      </c>
      <c r="S206" s="33" t="s">
        <v>7</v>
      </c>
      <c r="T206" s="12" t="s">
        <v>7</v>
      </c>
      <c r="U206" s="12" t="s">
        <v>7</v>
      </c>
      <c r="V206" s="4" t="s">
        <v>1</v>
      </c>
      <c r="W206" s="4">
        <v>1</v>
      </c>
      <c r="X206" s="4">
        <v>2</v>
      </c>
      <c r="Y206" s="4">
        <v>1</v>
      </c>
      <c r="Z206" s="56">
        <v>3</v>
      </c>
      <c r="AA206" s="9" cm="1">
        <f t="array" ref="AA206">IF(OR(AB206:AE206=""),"BLANK",IF(AND(AB206:AE206&lt;999),1,IF(AND(AB206:AE206="NA"),3,2)))</f>
        <v>1</v>
      </c>
      <c r="AB206" s="4">
        <v>31</v>
      </c>
      <c r="AC206" s="4">
        <v>15</v>
      </c>
      <c r="AD206" s="4">
        <v>10</v>
      </c>
      <c r="AE206" s="5">
        <v>56</v>
      </c>
      <c r="AF206" s="9">
        <f t="shared" si="3"/>
        <v>1</v>
      </c>
      <c r="AG206" s="5">
        <v>52</v>
      </c>
      <c r="AH206" s="9" cm="1">
        <f t="array" ref="AH206">IF(OR(AI206:AN206=""),"BLANK",IF(AND(AI206:AN206&lt;99),1,IF(AND(AI206:AN206="NA"),3,2)))</f>
        <v>2</v>
      </c>
      <c r="AI206" s="4">
        <v>10</v>
      </c>
      <c r="AJ206" s="4" t="s">
        <v>7</v>
      </c>
      <c r="AK206" s="23">
        <v>93.24</v>
      </c>
      <c r="AL206" s="23">
        <v>100.29</v>
      </c>
      <c r="AM206" s="23">
        <v>50.8</v>
      </c>
      <c r="AN206" s="24">
        <v>94.78</v>
      </c>
    </row>
    <row r="207" spans="1:40" x14ac:dyDescent="0.2">
      <c r="A207" s="15">
        <v>1844</v>
      </c>
      <c r="B207" s="4" t="s">
        <v>60</v>
      </c>
      <c r="C207" s="30" t="s">
        <v>24</v>
      </c>
      <c r="D207" s="30">
        <v>5</v>
      </c>
      <c r="E207" s="30">
        <v>0</v>
      </c>
      <c r="F207" s="30" t="s">
        <v>7</v>
      </c>
      <c r="G207" s="30">
        <v>30</v>
      </c>
      <c r="H207" s="33">
        <v>3.5838466803559208</v>
      </c>
      <c r="I207" s="33">
        <v>5.4428473648186175</v>
      </c>
      <c r="J207" s="33">
        <v>9.0266940451745388</v>
      </c>
      <c r="K207" s="33">
        <v>3.5838466803559208</v>
      </c>
      <c r="L207" s="33">
        <v>5.4428473648186175</v>
      </c>
      <c r="M207" s="33">
        <v>9.0266940451745388</v>
      </c>
      <c r="N207" s="33">
        <v>3.592060232717317</v>
      </c>
      <c r="O207" s="33">
        <v>5.415468856947296</v>
      </c>
      <c r="P207" s="33">
        <v>9.0075290896646134</v>
      </c>
      <c r="Q207" s="33">
        <v>3.8658453114305269</v>
      </c>
      <c r="R207" s="33">
        <v>5.3880903490759753</v>
      </c>
      <c r="S207" s="33">
        <v>9.2539356605065031</v>
      </c>
      <c r="T207" s="12">
        <v>3</v>
      </c>
      <c r="U207" s="12">
        <v>15</v>
      </c>
      <c r="V207" s="4" t="s">
        <v>1</v>
      </c>
      <c r="W207" s="4">
        <v>1</v>
      </c>
      <c r="X207" s="4">
        <v>2</v>
      </c>
      <c r="Y207" s="4">
        <v>1</v>
      </c>
      <c r="Z207" s="56">
        <v>3</v>
      </c>
      <c r="AA207" s="9" cm="1">
        <f t="array" ref="AA207">IF(OR(AB207:AE207=""),"BLANK",IF(AND(AB207:AE207&lt;999),1,IF(AND(AB207:AE207="NA"),3,2)))</f>
        <v>1</v>
      </c>
      <c r="AB207" s="4">
        <v>31</v>
      </c>
      <c r="AC207" s="4">
        <v>21</v>
      </c>
      <c r="AD207" s="4">
        <v>11</v>
      </c>
      <c r="AE207" s="5">
        <v>63</v>
      </c>
      <c r="AF207" s="9">
        <f t="shared" si="3"/>
        <v>1</v>
      </c>
      <c r="AG207" s="5">
        <v>58</v>
      </c>
      <c r="AH207" s="9" cm="1">
        <f t="array" ref="AH207">IF(OR(AI207:AN207=""),"BLANK",IF(AND(AI207:AN207&lt;99),1,IF(AND(AI207:AN207="NA"),3,2)))</f>
        <v>2</v>
      </c>
      <c r="AI207" s="4">
        <v>56</v>
      </c>
      <c r="AJ207" s="4" t="s">
        <v>7</v>
      </c>
      <c r="AK207" s="21">
        <v>104.99</v>
      </c>
      <c r="AL207" s="21">
        <v>93.09</v>
      </c>
      <c r="AM207" s="21">
        <v>32.299999999999997</v>
      </c>
      <c r="AN207" s="22">
        <v>89.05</v>
      </c>
    </row>
    <row r="208" spans="1:40" x14ac:dyDescent="0.2">
      <c r="A208" s="15">
        <v>1849</v>
      </c>
      <c r="B208" s="4" t="s">
        <v>63</v>
      </c>
      <c r="C208" s="30" t="s">
        <v>24</v>
      </c>
      <c r="D208" s="30">
        <v>5</v>
      </c>
      <c r="E208" s="30">
        <v>0</v>
      </c>
      <c r="F208" s="30" t="s">
        <v>7</v>
      </c>
      <c r="G208" s="30">
        <v>30</v>
      </c>
      <c r="H208" s="33">
        <v>3.7344284736481863</v>
      </c>
      <c r="I208" s="33">
        <v>5.0020533880903493</v>
      </c>
      <c r="J208" s="33">
        <v>8.736481861738536</v>
      </c>
      <c r="K208" s="33">
        <v>3.7344284736481863</v>
      </c>
      <c r="L208" s="33">
        <v>5.0677618069815198</v>
      </c>
      <c r="M208" s="33">
        <v>8.8021902806297057</v>
      </c>
      <c r="N208" s="33">
        <v>3.7316906228610542</v>
      </c>
      <c r="O208" s="33">
        <v>4.7529089664613275</v>
      </c>
      <c r="P208" s="33">
        <v>8.4845995893223822</v>
      </c>
      <c r="Q208" s="33">
        <v>3.3949349760438055</v>
      </c>
      <c r="R208" s="33" t="s">
        <v>7</v>
      </c>
      <c r="S208" s="33" t="s">
        <v>7</v>
      </c>
      <c r="T208" s="12">
        <v>6</v>
      </c>
      <c r="U208" s="12">
        <v>18</v>
      </c>
      <c r="V208" s="4" t="s">
        <v>1</v>
      </c>
      <c r="W208" s="4">
        <v>1</v>
      </c>
      <c r="X208" s="4">
        <v>2</v>
      </c>
      <c r="Y208" s="4">
        <v>1</v>
      </c>
      <c r="Z208" s="56">
        <v>3</v>
      </c>
      <c r="AA208" s="9" cm="1">
        <f t="array" ref="AA208">IF(OR(AB208:AE208=""),"BLANK",IF(AND(AB208:AE208&lt;999),1,IF(AND(AB208:AE208="NA"),3,2)))</f>
        <v>1</v>
      </c>
      <c r="AB208" s="4">
        <v>32</v>
      </c>
      <c r="AC208" s="4">
        <v>22</v>
      </c>
      <c r="AD208" s="4">
        <v>14</v>
      </c>
      <c r="AE208" s="5">
        <v>68</v>
      </c>
      <c r="AF208" s="9">
        <f t="shared" si="3"/>
        <v>1</v>
      </c>
      <c r="AG208" s="5">
        <v>81</v>
      </c>
      <c r="AH208" s="9" cm="1">
        <f t="array" ref="AH208">IF(OR(AI208:AN208=""),"BLANK",IF(AND(AI208:AN208&lt;99),1,IF(AND(AI208:AN208="NA"),3,2)))</f>
        <v>2</v>
      </c>
      <c r="AI208" s="4">
        <v>56</v>
      </c>
      <c r="AJ208" s="4" t="s">
        <v>7</v>
      </c>
      <c r="AK208" s="21">
        <v>105.63</v>
      </c>
      <c r="AL208" s="21">
        <v>94.2</v>
      </c>
      <c r="AM208" s="21">
        <v>34.799999999999997</v>
      </c>
      <c r="AN208" s="22">
        <v>89.9</v>
      </c>
    </row>
    <row r="209" spans="1:40" x14ac:dyDescent="0.2">
      <c r="A209" s="15">
        <v>1850</v>
      </c>
      <c r="B209" s="4" t="s">
        <v>63</v>
      </c>
      <c r="C209" s="30" t="s">
        <v>23</v>
      </c>
      <c r="D209" s="30">
        <v>5</v>
      </c>
      <c r="E209" s="30">
        <v>0</v>
      </c>
      <c r="F209" s="30" t="s">
        <v>7</v>
      </c>
      <c r="G209" s="30">
        <v>30</v>
      </c>
      <c r="H209" s="33">
        <v>3.7070499657768652</v>
      </c>
      <c r="I209" s="33">
        <v>4.9993155373032172</v>
      </c>
      <c r="J209" s="33">
        <v>8.7063655030800824</v>
      </c>
      <c r="K209" s="33">
        <v>3.6687200547570158</v>
      </c>
      <c r="L209" s="33">
        <v>4.9993155373032172</v>
      </c>
      <c r="M209" s="33">
        <v>8.6680355920602334</v>
      </c>
      <c r="N209" s="33">
        <v>4.0629705681040384</v>
      </c>
      <c r="O209" s="33">
        <v>4.5420944558521557</v>
      </c>
      <c r="P209" s="33">
        <v>8.605065023956195</v>
      </c>
      <c r="Q209" s="33">
        <v>3.7262149212867897</v>
      </c>
      <c r="R209" s="33">
        <v>5.4674880219028061</v>
      </c>
      <c r="S209" s="33">
        <v>9.1937029431895958</v>
      </c>
      <c r="T209" s="12">
        <v>6</v>
      </c>
      <c r="U209" s="12">
        <v>18</v>
      </c>
      <c r="V209" s="4" t="s">
        <v>1</v>
      </c>
      <c r="W209" s="4">
        <v>1</v>
      </c>
      <c r="X209" s="4">
        <v>2</v>
      </c>
      <c r="Y209" s="4">
        <v>1</v>
      </c>
      <c r="Z209" s="56">
        <v>3</v>
      </c>
      <c r="AA209" s="9" cm="1">
        <f t="array" ref="AA209">IF(OR(AB209:AE209=""),"BLANK",IF(AND(AB209:AE209&lt;999),1,IF(AND(AB209:AE209="NA"),3,2)))</f>
        <v>1</v>
      </c>
      <c r="AB209" s="4">
        <v>31</v>
      </c>
      <c r="AC209" s="4">
        <v>23</v>
      </c>
      <c r="AD209" s="4">
        <v>15</v>
      </c>
      <c r="AE209" s="5">
        <v>69</v>
      </c>
      <c r="AF209" s="9">
        <f t="shared" si="3"/>
        <v>1</v>
      </c>
      <c r="AG209" s="5">
        <v>64</v>
      </c>
      <c r="AH209" s="9" cm="1">
        <f t="array" ref="AH209">IF(OR(AI209:AN209=""),"BLANK",IF(AND(AI209:AN209&lt;99),1,IF(AND(AI209:AN209="NA"),3,2)))</f>
        <v>2</v>
      </c>
      <c r="AI209" s="4">
        <v>51</v>
      </c>
      <c r="AJ209" s="4" t="s">
        <v>7</v>
      </c>
      <c r="AK209" s="21">
        <v>99.65</v>
      </c>
      <c r="AL209" s="21">
        <v>85.39</v>
      </c>
      <c r="AM209" s="21">
        <v>16.600000000000001</v>
      </c>
      <c r="AN209" s="22">
        <v>80.38</v>
      </c>
    </row>
    <row r="210" spans="1:40" x14ac:dyDescent="0.2">
      <c r="A210" s="15">
        <v>1856</v>
      </c>
      <c r="B210" s="4" t="s">
        <v>64</v>
      </c>
      <c r="C210" s="30" t="s">
        <v>23</v>
      </c>
      <c r="D210" s="30">
        <v>5</v>
      </c>
      <c r="E210" s="30">
        <v>0</v>
      </c>
      <c r="F210" s="30" t="s">
        <v>7</v>
      </c>
      <c r="G210" s="30">
        <v>30</v>
      </c>
      <c r="H210" s="33">
        <v>3.7399041752224504</v>
      </c>
      <c r="I210" s="33" t="s">
        <v>7</v>
      </c>
      <c r="J210" s="33" t="s">
        <v>7</v>
      </c>
      <c r="K210" s="33">
        <v>3.7399041752224504</v>
      </c>
      <c r="L210" s="33" t="s">
        <v>7</v>
      </c>
      <c r="M210" s="33" t="s">
        <v>7</v>
      </c>
      <c r="N210" s="33">
        <v>3.761806981519507</v>
      </c>
      <c r="O210" s="33" t="s">
        <v>7</v>
      </c>
      <c r="P210" s="33" t="s">
        <v>7</v>
      </c>
      <c r="Q210" s="33">
        <v>3.890485968514716</v>
      </c>
      <c r="R210" s="33" t="s">
        <v>7</v>
      </c>
      <c r="S210" s="33" t="s">
        <v>7</v>
      </c>
      <c r="T210" s="12">
        <v>4</v>
      </c>
      <c r="U210" s="12">
        <v>16</v>
      </c>
      <c r="V210" s="4" t="s">
        <v>1</v>
      </c>
      <c r="W210" s="4">
        <v>1</v>
      </c>
      <c r="X210" s="4">
        <v>2</v>
      </c>
      <c r="Y210" s="4">
        <v>1</v>
      </c>
      <c r="Z210" s="56">
        <v>3</v>
      </c>
      <c r="AA210" s="9" cm="1">
        <f t="array" ref="AA210">IF(OR(AB210:AE210=""),"BLANK",IF(AND(AB210:AE210&lt;999),1,IF(AND(AB210:AE210="NA"),3,2)))</f>
        <v>1</v>
      </c>
      <c r="AB210" s="4">
        <v>30</v>
      </c>
      <c r="AC210" s="4">
        <v>14</v>
      </c>
      <c r="AD210" s="4">
        <v>8</v>
      </c>
      <c r="AE210" s="5">
        <v>52</v>
      </c>
      <c r="AF210" s="9">
        <f t="shared" si="3"/>
        <v>1</v>
      </c>
      <c r="AG210" s="5">
        <v>48</v>
      </c>
      <c r="AH210" s="9" cm="1">
        <f t="array" ref="AH210">IF(OR(AI210:AN210=""),"BLANK",IF(AND(AI210:AN210&lt;99),1,IF(AND(AI210:AN210="NA"),3,2)))</f>
        <v>2</v>
      </c>
      <c r="AI210" s="4">
        <v>47</v>
      </c>
      <c r="AJ210" s="4" t="s">
        <v>7</v>
      </c>
      <c r="AK210" s="21">
        <v>94.97</v>
      </c>
      <c r="AL210" s="21">
        <v>108.6</v>
      </c>
      <c r="AM210" s="21">
        <v>71.599999999999994</v>
      </c>
      <c r="AN210" s="22">
        <v>104.23</v>
      </c>
    </row>
    <row r="211" spans="1:40" x14ac:dyDescent="0.2">
      <c r="A211" s="15">
        <v>1862</v>
      </c>
      <c r="B211" s="4" t="s">
        <v>57</v>
      </c>
      <c r="C211" s="30" t="s">
        <v>24</v>
      </c>
      <c r="D211" s="30">
        <v>5</v>
      </c>
      <c r="E211" s="30">
        <v>0</v>
      </c>
      <c r="F211" s="30" t="s">
        <v>7</v>
      </c>
      <c r="G211" s="30">
        <v>30</v>
      </c>
      <c r="H211" s="33">
        <v>4.16974674880219</v>
      </c>
      <c r="I211" s="33" t="s">
        <v>7</v>
      </c>
      <c r="J211" s="33" t="s">
        <v>7</v>
      </c>
      <c r="K211" s="33">
        <v>4.1752224503764541</v>
      </c>
      <c r="L211" s="33" t="s">
        <v>7</v>
      </c>
      <c r="M211" s="33" t="s">
        <v>7</v>
      </c>
      <c r="N211" s="33">
        <v>4.1889117043121153</v>
      </c>
      <c r="O211" s="33" t="s">
        <v>7</v>
      </c>
      <c r="P211" s="33" t="s">
        <v>7</v>
      </c>
      <c r="Q211" s="33" t="s">
        <v>7</v>
      </c>
      <c r="R211" s="33" t="s">
        <v>7</v>
      </c>
      <c r="S211" s="33" t="s">
        <v>7</v>
      </c>
      <c r="T211" s="12">
        <v>4</v>
      </c>
      <c r="U211" s="12">
        <v>16</v>
      </c>
      <c r="V211" s="4" t="s">
        <v>1</v>
      </c>
      <c r="W211" s="4">
        <v>1</v>
      </c>
      <c r="X211" s="4">
        <v>2</v>
      </c>
      <c r="Y211" s="4">
        <v>1</v>
      </c>
      <c r="Z211" s="56">
        <v>3</v>
      </c>
      <c r="AA211" s="9" cm="1">
        <f t="array" ref="AA211">IF(OR(AB211:AE211=""),"BLANK",IF(AND(AB211:AE211&lt;999),1,IF(AND(AB211:AE211="NA"),3,2)))</f>
        <v>1</v>
      </c>
      <c r="AB211" s="4">
        <v>42</v>
      </c>
      <c r="AC211" s="4">
        <v>27</v>
      </c>
      <c r="AD211" s="4">
        <v>22</v>
      </c>
      <c r="AE211" s="5">
        <v>91</v>
      </c>
      <c r="AF211" s="9">
        <f t="shared" si="3"/>
        <v>1</v>
      </c>
      <c r="AG211" s="5">
        <v>63</v>
      </c>
      <c r="AH211" s="9" cm="1">
        <f t="array" ref="AH211">IF(OR(AI211:AN211=""),"BLANK",IF(AND(AI211:AN211&lt;99),1,IF(AND(AI211:AN211="NA"),3,2)))</f>
        <v>2</v>
      </c>
      <c r="AI211" s="4">
        <v>50</v>
      </c>
      <c r="AJ211" s="4" t="s">
        <v>7</v>
      </c>
      <c r="AK211" s="21">
        <v>98.16</v>
      </c>
      <c r="AL211" s="21">
        <v>87.92</v>
      </c>
      <c r="AM211" s="21">
        <v>20.9</v>
      </c>
      <c r="AN211" s="22" t="s">
        <v>7</v>
      </c>
    </row>
    <row r="212" spans="1:40" x14ac:dyDescent="0.2">
      <c r="A212" s="15">
        <v>1863</v>
      </c>
      <c r="B212" s="4" t="s">
        <v>67</v>
      </c>
      <c r="C212" s="30" t="s">
        <v>23</v>
      </c>
      <c r="D212" s="30">
        <v>5</v>
      </c>
      <c r="E212" s="30">
        <v>0</v>
      </c>
      <c r="F212" s="30" t="s">
        <v>7</v>
      </c>
      <c r="G212" s="30">
        <v>30</v>
      </c>
      <c r="H212" s="33">
        <v>3.9726214921286789</v>
      </c>
      <c r="I212" s="33">
        <v>4.7200547570157427</v>
      </c>
      <c r="J212" s="33">
        <v>8.6926762491444212</v>
      </c>
      <c r="K212" s="33">
        <v>3.9726214921286789</v>
      </c>
      <c r="L212" s="33">
        <v>4.8240930869267622</v>
      </c>
      <c r="M212" s="33">
        <v>8.7967145790554415</v>
      </c>
      <c r="N212" s="33">
        <v>4.0574948665297743</v>
      </c>
      <c r="O212" s="33">
        <v>4.5393566050650236</v>
      </c>
      <c r="P212" s="33">
        <v>8.5968514715947979</v>
      </c>
      <c r="Q212" s="33">
        <v>3.7782340862422998</v>
      </c>
      <c r="R212" s="33">
        <v>5.5140314852840522</v>
      </c>
      <c r="S212" s="33">
        <v>9.292265571526352</v>
      </c>
      <c r="T212" s="12">
        <v>4</v>
      </c>
      <c r="U212" s="12">
        <v>16</v>
      </c>
      <c r="V212" s="4" t="s">
        <v>1</v>
      </c>
      <c r="W212" s="4">
        <v>1</v>
      </c>
      <c r="X212" s="4">
        <v>2</v>
      </c>
      <c r="Y212" s="4">
        <v>1</v>
      </c>
      <c r="Z212" s="56">
        <v>3</v>
      </c>
      <c r="AA212" s="9" cm="1">
        <f t="array" ref="AA212">IF(OR(AB212:AE212=""),"BLANK",IF(AND(AB212:AE212&lt;999),1,IF(AND(AB212:AE212="NA"),3,2)))</f>
        <v>1</v>
      </c>
      <c r="AB212" s="4">
        <v>19</v>
      </c>
      <c r="AC212" s="4">
        <v>14</v>
      </c>
      <c r="AD212" s="4">
        <v>9</v>
      </c>
      <c r="AE212" s="5">
        <v>42</v>
      </c>
      <c r="AF212" s="9">
        <f t="shared" si="3"/>
        <v>1</v>
      </c>
      <c r="AG212" s="5">
        <v>43</v>
      </c>
      <c r="AH212" s="9" cm="1">
        <f t="array" ref="AH212">IF(OR(AI212:AN212=""),"BLANK",IF(AND(AI212:AN212&lt;99),1,IF(AND(AI212:AN212="NA"),3,2)))</f>
        <v>2</v>
      </c>
      <c r="AI212" s="4">
        <v>36</v>
      </c>
      <c r="AJ212" s="4" t="s">
        <v>7</v>
      </c>
      <c r="AK212" s="23" t="s">
        <v>7</v>
      </c>
      <c r="AL212" s="23" t="s">
        <v>7</v>
      </c>
      <c r="AM212" s="23" t="s">
        <v>7</v>
      </c>
      <c r="AN212" s="24" t="s">
        <v>7</v>
      </c>
    </row>
    <row r="213" spans="1:40" x14ac:dyDescent="0.2">
      <c r="A213" s="15">
        <v>1864</v>
      </c>
      <c r="B213" s="4" t="s">
        <v>63</v>
      </c>
      <c r="C213" s="30" t="s">
        <v>23</v>
      </c>
      <c r="D213" s="30">
        <v>1</v>
      </c>
      <c r="E213" s="30">
        <v>0</v>
      </c>
      <c r="F213" s="30" t="s">
        <v>7</v>
      </c>
      <c r="G213" s="30" t="s">
        <v>7</v>
      </c>
      <c r="H213" s="33">
        <v>3.5783709787816562</v>
      </c>
      <c r="I213" s="33" t="s">
        <v>7</v>
      </c>
      <c r="J213" s="33" t="s">
        <v>7</v>
      </c>
      <c r="K213" s="33">
        <v>3.5592060232717317</v>
      </c>
      <c r="L213" s="33" t="s">
        <v>7</v>
      </c>
      <c r="M213" s="33" t="s">
        <v>7</v>
      </c>
      <c r="N213" s="33">
        <v>3.5783709787816562</v>
      </c>
      <c r="O213" s="33" t="s">
        <v>7</v>
      </c>
      <c r="P213" s="33" t="s">
        <v>7</v>
      </c>
      <c r="Q213" s="33">
        <v>3.2498288843258041</v>
      </c>
      <c r="R213" s="33" t="s">
        <v>7</v>
      </c>
      <c r="S213" s="33" t="s">
        <v>7</v>
      </c>
      <c r="T213" s="12" t="s">
        <v>7</v>
      </c>
      <c r="U213" s="12" t="s">
        <v>7</v>
      </c>
      <c r="V213" s="4" t="s">
        <v>1</v>
      </c>
      <c r="W213" s="4">
        <v>1</v>
      </c>
      <c r="X213" s="4">
        <v>2</v>
      </c>
      <c r="Y213" s="4">
        <v>1</v>
      </c>
      <c r="Z213" s="56">
        <v>3</v>
      </c>
      <c r="AA213" s="9" cm="1">
        <f t="array" ref="AA213">IF(OR(AB213:AE213=""),"BLANK",IF(AND(AB213:AE213&lt;999),1,IF(AND(AB213:AE213="NA"),3,2)))</f>
        <v>3</v>
      </c>
      <c r="AB213" s="4" t="s">
        <v>7</v>
      </c>
      <c r="AC213" s="4" t="s">
        <v>7</v>
      </c>
      <c r="AD213" s="4" t="s">
        <v>7</v>
      </c>
      <c r="AE213" s="5" t="s">
        <v>7</v>
      </c>
      <c r="AF213" s="9">
        <f t="shared" si="3"/>
        <v>3</v>
      </c>
      <c r="AG213" s="5" t="s">
        <v>7</v>
      </c>
      <c r="AH213" s="9" cm="1">
        <f t="array" ref="AH213">IF(OR(AI213:AN213=""),"BLANK",IF(AND(AI213:AN213&lt;99),1,IF(AND(AI213:AN213="NA"),3,2)))</f>
        <v>2</v>
      </c>
      <c r="AI213" s="4">
        <v>66</v>
      </c>
      <c r="AJ213" s="4" t="s">
        <v>7</v>
      </c>
      <c r="AK213" s="21">
        <v>117.8</v>
      </c>
      <c r="AL213" s="21">
        <v>112.33</v>
      </c>
      <c r="AM213" s="21">
        <v>79.400000000000006</v>
      </c>
      <c r="AN213" s="22">
        <v>107.91</v>
      </c>
    </row>
    <row r="214" spans="1:40" x14ac:dyDescent="0.2">
      <c r="A214" s="15">
        <v>1868</v>
      </c>
      <c r="B214" s="4" t="s">
        <v>67</v>
      </c>
      <c r="C214" s="30" t="s">
        <v>23</v>
      </c>
      <c r="D214" s="30">
        <v>5</v>
      </c>
      <c r="E214" s="30">
        <v>0</v>
      </c>
      <c r="F214" s="30" t="s">
        <v>7</v>
      </c>
      <c r="G214" s="30">
        <v>29</v>
      </c>
      <c r="H214" s="33">
        <v>3.7563312799452429</v>
      </c>
      <c r="I214" s="33" t="s">
        <v>7</v>
      </c>
      <c r="J214" s="33" t="s">
        <v>7</v>
      </c>
      <c r="K214" s="33">
        <v>3.7563312799452429</v>
      </c>
      <c r="L214" s="33" t="s">
        <v>7</v>
      </c>
      <c r="M214" s="33" t="s">
        <v>7</v>
      </c>
      <c r="N214" s="33">
        <v>3.761806981519507</v>
      </c>
      <c r="O214" s="33" t="s">
        <v>7</v>
      </c>
      <c r="P214" s="33" t="s">
        <v>7</v>
      </c>
      <c r="Q214" s="33">
        <v>3.14031485284052</v>
      </c>
      <c r="R214" s="33" t="s">
        <v>7</v>
      </c>
      <c r="S214" s="33" t="s">
        <v>7</v>
      </c>
      <c r="T214" s="12">
        <v>2</v>
      </c>
      <c r="U214" s="12">
        <v>12</v>
      </c>
      <c r="V214" s="4" t="s">
        <v>1</v>
      </c>
      <c r="W214" s="4">
        <v>1</v>
      </c>
      <c r="X214" s="4">
        <v>2</v>
      </c>
      <c r="Y214" s="4">
        <v>1</v>
      </c>
      <c r="Z214" s="56">
        <v>3</v>
      </c>
      <c r="AA214" s="9" cm="1">
        <f t="array" ref="AA214">IF(OR(AB214:AE214=""),"BLANK",IF(AND(AB214:AE214&lt;999),1,IF(AND(AB214:AE214="NA"),3,2)))</f>
        <v>1</v>
      </c>
      <c r="AB214" s="4">
        <v>21</v>
      </c>
      <c r="AC214" s="4">
        <v>15</v>
      </c>
      <c r="AD214" s="4">
        <v>11</v>
      </c>
      <c r="AE214" s="5">
        <v>47</v>
      </c>
      <c r="AF214" s="9">
        <f t="shared" si="3"/>
        <v>1</v>
      </c>
      <c r="AG214" s="5">
        <v>34</v>
      </c>
      <c r="AH214" s="9" cm="1">
        <f t="array" ref="AH214">IF(OR(AI214:AN214=""),"BLANK",IF(AND(AI214:AN214&lt;99),1,IF(AND(AI214:AN214="NA"),3,2)))</f>
        <v>3</v>
      </c>
      <c r="AI214" s="4" t="s">
        <v>7</v>
      </c>
      <c r="AJ214" s="4" t="s">
        <v>7</v>
      </c>
      <c r="AK214" s="23" t="s">
        <v>7</v>
      </c>
      <c r="AL214" s="23" t="s">
        <v>7</v>
      </c>
      <c r="AM214" s="23" t="s">
        <v>7</v>
      </c>
      <c r="AN214" s="24" t="s">
        <v>7</v>
      </c>
    </row>
    <row r="215" spans="1:40" x14ac:dyDescent="0.2">
      <c r="A215" s="15">
        <v>1875</v>
      </c>
      <c r="B215" s="4" t="s">
        <v>54</v>
      </c>
      <c r="C215" s="30" t="s">
        <v>23</v>
      </c>
      <c r="D215" s="30">
        <v>5</v>
      </c>
      <c r="E215" s="30">
        <v>0</v>
      </c>
      <c r="F215" s="30" t="s">
        <v>7</v>
      </c>
      <c r="G215" s="30">
        <v>29</v>
      </c>
      <c r="H215" s="33">
        <v>4.1916495550992474</v>
      </c>
      <c r="I215" s="33">
        <v>4.4407939767282683</v>
      </c>
      <c r="J215" s="33">
        <v>8.6324435318275157</v>
      </c>
      <c r="K215" s="33">
        <v>4.1916495550992474</v>
      </c>
      <c r="L215" s="33">
        <v>4.4407939767282683</v>
      </c>
      <c r="M215" s="33">
        <v>8.6324435318275157</v>
      </c>
      <c r="N215" s="33">
        <v>4.216290212183436</v>
      </c>
      <c r="O215" s="33">
        <v>4.0520191649555102</v>
      </c>
      <c r="P215" s="33">
        <v>8.2683093771389462</v>
      </c>
      <c r="Q215" s="33" t="s">
        <v>7</v>
      </c>
      <c r="R215" s="33" t="s">
        <v>7</v>
      </c>
      <c r="S215" s="33" t="s">
        <v>7</v>
      </c>
      <c r="T215" s="12">
        <v>5</v>
      </c>
      <c r="U215" s="12">
        <v>17</v>
      </c>
      <c r="V215" s="4" t="s">
        <v>1</v>
      </c>
      <c r="W215" s="4">
        <v>1</v>
      </c>
      <c r="X215" s="4">
        <v>2</v>
      </c>
      <c r="Y215" s="4">
        <v>1</v>
      </c>
      <c r="Z215" s="56">
        <v>3</v>
      </c>
      <c r="AA215" s="9" cm="1">
        <f t="array" ref="AA215">IF(OR(AB215:AE215=""),"BLANK",IF(AND(AB215:AE215&lt;999),1,IF(AND(AB215:AE215="NA"),3,2)))</f>
        <v>1</v>
      </c>
      <c r="AB215" s="4">
        <v>41</v>
      </c>
      <c r="AC215" s="4">
        <v>23</v>
      </c>
      <c r="AD215" s="4">
        <v>15</v>
      </c>
      <c r="AE215" s="5">
        <v>79</v>
      </c>
      <c r="AF215" s="9">
        <f t="shared" si="3"/>
        <v>1</v>
      </c>
      <c r="AG215" s="5">
        <v>45</v>
      </c>
      <c r="AH215" s="9" cm="1">
        <f t="array" ref="AH215">IF(OR(AI215:AN215=""),"BLANK",IF(AND(AI215:AN215&lt;99),1,IF(AND(AI215:AN215="NA"),3,2)))</f>
        <v>2</v>
      </c>
      <c r="AI215" s="4" t="s">
        <v>7</v>
      </c>
      <c r="AJ215" s="4" t="s">
        <v>7</v>
      </c>
      <c r="AK215" s="21">
        <v>105.28</v>
      </c>
      <c r="AL215" s="21">
        <v>110.68</v>
      </c>
      <c r="AM215" s="21">
        <v>76.099999999999994</v>
      </c>
      <c r="AN215" s="22">
        <v>106.33</v>
      </c>
    </row>
    <row r="216" spans="1:40" x14ac:dyDescent="0.2">
      <c r="A216" s="15">
        <v>1891</v>
      </c>
      <c r="B216" s="4" t="s">
        <v>69</v>
      </c>
      <c r="C216" s="30" t="s">
        <v>23</v>
      </c>
      <c r="D216" s="30">
        <v>5</v>
      </c>
      <c r="E216" s="30">
        <v>0</v>
      </c>
      <c r="F216" s="30" t="s">
        <v>7</v>
      </c>
      <c r="G216" s="30">
        <v>29</v>
      </c>
      <c r="H216" s="33">
        <v>3.5865845311430529</v>
      </c>
      <c r="I216" s="33">
        <v>5.3004791238877482</v>
      </c>
      <c r="J216" s="33">
        <v>8.8870636550308006</v>
      </c>
      <c r="K216" s="33">
        <v>3.5865845311430529</v>
      </c>
      <c r="L216" s="33">
        <v>5.3004791238877482</v>
      </c>
      <c r="M216" s="33">
        <v>8.8870636550308006</v>
      </c>
      <c r="N216" s="33">
        <v>3.7426420260095825</v>
      </c>
      <c r="O216" s="33">
        <v>5.0924024640657084</v>
      </c>
      <c r="P216" s="33">
        <v>8.8350444900752905</v>
      </c>
      <c r="Q216" s="33">
        <v>3.6714579055441479</v>
      </c>
      <c r="R216" s="33">
        <v>5.4428473648186175</v>
      </c>
      <c r="S216" s="33">
        <v>9.1143052703627649</v>
      </c>
      <c r="T216" s="12">
        <v>5</v>
      </c>
      <c r="U216" s="12">
        <v>17</v>
      </c>
      <c r="V216" s="4" t="s">
        <v>1</v>
      </c>
      <c r="W216" s="4">
        <v>1</v>
      </c>
      <c r="X216" s="4">
        <v>2</v>
      </c>
      <c r="Y216" s="4">
        <v>1</v>
      </c>
      <c r="Z216" s="56">
        <v>3</v>
      </c>
      <c r="AA216" s="9" cm="1">
        <f t="array" ref="AA216">IF(OR(AB216:AE216=""),"BLANK",IF(AND(AB216:AE216&lt;999),1,IF(AND(AB216:AE216="NA"),3,2)))</f>
        <v>1</v>
      </c>
      <c r="AB216" s="4">
        <v>21</v>
      </c>
      <c r="AC216" s="4">
        <v>12</v>
      </c>
      <c r="AD216" s="4">
        <v>11</v>
      </c>
      <c r="AE216" s="5">
        <v>44</v>
      </c>
      <c r="AF216" s="9">
        <f t="shared" si="3"/>
        <v>1</v>
      </c>
      <c r="AG216" s="5">
        <v>35</v>
      </c>
      <c r="AH216" s="9" cm="1">
        <f t="array" ref="AH216">IF(OR(AI216:AN216=""),"BLANK",IF(AND(AI216:AN216&lt;99),1,IF(AND(AI216:AN216="NA"),3,2)))</f>
        <v>2</v>
      </c>
      <c r="AI216" s="4">
        <v>46</v>
      </c>
      <c r="AJ216" s="4" t="s">
        <v>7</v>
      </c>
      <c r="AK216" s="23" t="s">
        <v>7</v>
      </c>
      <c r="AL216" s="23" t="s">
        <v>7</v>
      </c>
      <c r="AM216" s="23" t="s">
        <v>7</v>
      </c>
      <c r="AN216" s="24" t="s">
        <v>7</v>
      </c>
    </row>
    <row r="217" spans="1:40" x14ac:dyDescent="0.2">
      <c r="A217" s="15">
        <v>1933</v>
      </c>
      <c r="B217" s="4" t="s">
        <v>67</v>
      </c>
      <c r="C217" s="30" t="s">
        <v>24</v>
      </c>
      <c r="D217" s="30">
        <v>5</v>
      </c>
      <c r="E217" s="30">
        <v>0</v>
      </c>
      <c r="F217" s="30" t="s">
        <v>7</v>
      </c>
      <c r="G217" s="30">
        <v>29</v>
      </c>
      <c r="H217" s="33">
        <v>3.5838466803559208</v>
      </c>
      <c r="I217" s="33" t="s">
        <v>7</v>
      </c>
      <c r="J217" s="33" t="s">
        <v>7</v>
      </c>
      <c r="K217" s="33">
        <v>3.5838466803559208</v>
      </c>
      <c r="L217" s="33" t="s">
        <v>7</v>
      </c>
      <c r="M217" s="33" t="s">
        <v>7</v>
      </c>
      <c r="N217" s="33" t="s">
        <v>7</v>
      </c>
      <c r="O217" s="33" t="s">
        <v>7</v>
      </c>
      <c r="P217" s="33" t="s">
        <v>7</v>
      </c>
      <c r="Q217" s="33" t="s">
        <v>7</v>
      </c>
      <c r="R217" s="33" t="s">
        <v>7</v>
      </c>
      <c r="S217" s="33" t="s">
        <v>7</v>
      </c>
      <c r="T217" s="12">
        <v>7</v>
      </c>
      <c r="U217" s="12">
        <v>21</v>
      </c>
      <c r="V217" s="4" t="s">
        <v>1</v>
      </c>
      <c r="W217" s="4">
        <v>1</v>
      </c>
      <c r="X217" s="4">
        <v>2</v>
      </c>
      <c r="Y217" s="4">
        <v>1</v>
      </c>
      <c r="Z217" s="56">
        <v>3</v>
      </c>
      <c r="AA217" s="9" cm="1">
        <f t="array" ref="AA217">IF(OR(AB217:AE217=""),"BLANK",IF(AND(AB217:AE217&lt;999),1,IF(AND(AB217:AE217="NA"),3,2)))</f>
        <v>1</v>
      </c>
      <c r="AB217" s="4">
        <v>20</v>
      </c>
      <c r="AC217" s="4">
        <v>12</v>
      </c>
      <c r="AD217" s="4">
        <v>8</v>
      </c>
      <c r="AE217" s="5">
        <v>40</v>
      </c>
      <c r="AF217" s="9">
        <f t="shared" si="3"/>
        <v>1</v>
      </c>
      <c r="AG217" s="5">
        <v>19</v>
      </c>
      <c r="AH217" s="9" cm="1">
        <f t="array" ref="AH217">IF(OR(AI217:AN217=""),"BLANK",IF(AND(AI217:AN217&lt;99),1,IF(AND(AI217:AN217="NA"),3,2)))</f>
        <v>2</v>
      </c>
      <c r="AI217" s="4">
        <v>36</v>
      </c>
      <c r="AJ217" s="4" t="s">
        <v>7</v>
      </c>
      <c r="AK217" s="23" t="s">
        <v>7</v>
      </c>
      <c r="AL217" s="23" t="s">
        <v>7</v>
      </c>
      <c r="AM217" s="23" t="s">
        <v>7</v>
      </c>
      <c r="AN217" s="24" t="s">
        <v>7</v>
      </c>
    </row>
    <row r="218" spans="1:40" x14ac:dyDescent="0.2">
      <c r="A218" s="15">
        <v>1978</v>
      </c>
      <c r="B218" s="4" t="s">
        <v>52</v>
      </c>
      <c r="C218" s="30" t="s">
        <v>23</v>
      </c>
      <c r="D218" s="30">
        <v>5</v>
      </c>
      <c r="E218" s="30">
        <v>0</v>
      </c>
      <c r="F218" s="30" t="s">
        <v>7</v>
      </c>
      <c r="G218" s="30">
        <v>30</v>
      </c>
      <c r="H218" s="33">
        <v>3.698836413415469</v>
      </c>
      <c r="I218" s="33" t="s">
        <v>7</v>
      </c>
      <c r="J218" s="33" t="s">
        <v>7</v>
      </c>
      <c r="K218" s="33">
        <v>3.698836413415469</v>
      </c>
      <c r="L218" s="33" t="s">
        <v>7</v>
      </c>
      <c r="M218" s="33" t="s">
        <v>7</v>
      </c>
      <c r="N218" s="33" t="s">
        <v>7</v>
      </c>
      <c r="O218" s="33" t="s">
        <v>7</v>
      </c>
      <c r="P218" s="33" t="s">
        <v>7</v>
      </c>
      <c r="Q218" s="33">
        <v>3.2772073921971252</v>
      </c>
      <c r="R218" s="33" t="s">
        <v>7</v>
      </c>
      <c r="S218" s="33" t="s">
        <v>7</v>
      </c>
      <c r="T218" s="12">
        <v>4</v>
      </c>
      <c r="U218" s="12">
        <v>16</v>
      </c>
      <c r="V218" s="4" t="s">
        <v>1</v>
      </c>
      <c r="W218" s="4">
        <v>1</v>
      </c>
      <c r="X218" s="4">
        <v>2</v>
      </c>
      <c r="Y218" s="4">
        <v>1</v>
      </c>
      <c r="Z218" s="56">
        <v>3</v>
      </c>
      <c r="AA218" s="9" cm="1">
        <f t="array" ref="AA218">IF(OR(AB218:AE218=""),"BLANK",IF(AND(AB218:AE218&lt;999),1,IF(AND(AB218:AE218="NA"),3,2)))</f>
        <v>1</v>
      </c>
      <c r="AB218" s="4">
        <v>25</v>
      </c>
      <c r="AC218" s="4">
        <v>15</v>
      </c>
      <c r="AD218" s="4">
        <v>13</v>
      </c>
      <c r="AE218" s="5">
        <v>53</v>
      </c>
      <c r="AF218" s="9">
        <f t="shared" si="3"/>
        <v>1</v>
      </c>
      <c r="AG218" s="5">
        <v>44</v>
      </c>
      <c r="AH218" s="9" cm="1">
        <f t="array" ref="AH218">IF(OR(AI218:AN218=""),"BLANK",IF(AND(AI218:AN218&lt;99),1,IF(AND(AI218:AN218="NA"),3,2)))</f>
        <v>2</v>
      </c>
      <c r="AI218" s="4">
        <v>38</v>
      </c>
      <c r="AJ218" s="4" t="s">
        <v>7</v>
      </c>
      <c r="AK218" s="21">
        <v>85.34</v>
      </c>
      <c r="AL218" s="21">
        <v>86.37</v>
      </c>
      <c r="AM218" s="21">
        <v>18.100000000000001</v>
      </c>
      <c r="AN218" s="22">
        <v>81.63</v>
      </c>
    </row>
    <row r="219" spans="1:40" x14ac:dyDescent="0.2">
      <c r="A219" s="15">
        <v>1993</v>
      </c>
      <c r="B219" s="4" t="s">
        <v>58</v>
      </c>
      <c r="C219" s="30" t="s">
        <v>23</v>
      </c>
      <c r="D219" s="30">
        <v>5</v>
      </c>
      <c r="E219" s="30">
        <v>0</v>
      </c>
      <c r="F219" s="30" t="s">
        <v>7</v>
      </c>
      <c r="G219" s="30">
        <v>30</v>
      </c>
      <c r="H219" s="33">
        <v>3.5208761122518824</v>
      </c>
      <c r="I219" s="33">
        <v>4.7008898015058183</v>
      </c>
      <c r="J219" s="33">
        <v>8.2217659137577002</v>
      </c>
      <c r="K219" s="33">
        <v>3.5208761122518824</v>
      </c>
      <c r="L219" s="33">
        <v>4.7008898015058183</v>
      </c>
      <c r="M219" s="33">
        <v>8.2217659137577002</v>
      </c>
      <c r="N219" s="33">
        <v>3.6550308008213555</v>
      </c>
      <c r="O219" s="33">
        <v>4.5475701574264207</v>
      </c>
      <c r="P219" s="33">
        <v>8.2026009582477748</v>
      </c>
      <c r="Q219" s="33">
        <v>3.5236139630390144</v>
      </c>
      <c r="R219" s="33">
        <v>5.420944558521561</v>
      </c>
      <c r="S219" s="33">
        <v>8.944558521560575</v>
      </c>
      <c r="T219" s="12">
        <v>3</v>
      </c>
      <c r="U219" s="12">
        <v>14</v>
      </c>
      <c r="V219" s="4" t="s">
        <v>1</v>
      </c>
      <c r="W219" s="4">
        <v>1</v>
      </c>
      <c r="X219" s="4">
        <v>2</v>
      </c>
      <c r="Y219" s="4">
        <v>1</v>
      </c>
      <c r="Z219" s="56">
        <v>3</v>
      </c>
      <c r="AA219" s="9" cm="1">
        <f t="array" ref="AA219">IF(OR(AB219:AE219=""),"BLANK",IF(AND(AB219:AE219&lt;999),1,IF(AND(AB219:AE219="NA"),3,2)))</f>
        <v>1</v>
      </c>
      <c r="AB219" s="4">
        <v>30</v>
      </c>
      <c r="AC219" s="4">
        <v>19</v>
      </c>
      <c r="AD219" s="4">
        <v>14</v>
      </c>
      <c r="AE219" s="5">
        <v>63</v>
      </c>
      <c r="AF219" s="9">
        <f t="shared" si="3"/>
        <v>1</v>
      </c>
      <c r="AG219" s="5">
        <v>51</v>
      </c>
      <c r="AH219" s="9" cm="1">
        <f t="array" ref="AH219">IF(OR(AI219:AN219=""),"BLANK",IF(AND(AI219:AN219&lt;99),1,IF(AND(AI219:AN219="NA"),3,2)))</f>
        <v>2</v>
      </c>
      <c r="AI219" s="4">
        <v>67</v>
      </c>
      <c r="AJ219" s="4" t="s">
        <v>7</v>
      </c>
      <c r="AK219" s="21">
        <v>118.67</v>
      </c>
      <c r="AL219" s="21">
        <v>130.86000000000001</v>
      </c>
      <c r="AM219" s="21">
        <v>98</v>
      </c>
      <c r="AN219" s="22">
        <v>126.95</v>
      </c>
    </row>
    <row r="220" spans="1:40" x14ac:dyDescent="0.2">
      <c r="A220" s="15">
        <v>2012</v>
      </c>
      <c r="B220" s="4" t="s">
        <v>70</v>
      </c>
      <c r="C220" s="30" t="s">
        <v>23</v>
      </c>
      <c r="D220" s="30">
        <v>5</v>
      </c>
      <c r="E220" s="30">
        <v>0</v>
      </c>
      <c r="F220" s="30" t="s">
        <v>7</v>
      </c>
      <c r="G220" s="30">
        <v>28</v>
      </c>
      <c r="H220" s="33">
        <v>3.6960985626283369</v>
      </c>
      <c r="I220" s="33">
        <v>4.9144421629021222</v>
      </c>
      <c r="J220" s="33">
        <v>8.6105407255304591</v>
      </c>
      <c r="K220" s="33" t="s">
        <v>7</v>
      </c>
      <c r="L220" s="33">
        <v>4.9144421629021222</v>
      </c>
      <c r="M220" s="33" t="s">
        <v>7</v>
      </c>
      <c r="N220" s="33">
        <v>4.1040383299110195</v>
      </c>
      <c r="O220" s="33">
        <v>4.2026009582477757</v>
      </c>
      <c r="P220" s="33">
        <v>8.3066392881587952</v>
      </c>
      <c r="Q220" s="33">
        <v>3.6605065023956196</v>
      </c>
      <c r="R220" s="33" t="s">
        <v>7</v>
      </c>
      <c r="S220" s="33" t="s">
        <v>7</v>
      </c>
      <c r="T220" s="12">
        <v>6</v>
      </c>
      <c r="U220" s="12">
        <v>18</v>
      </c>
      <c r="V220" s="4" t="s">
        <v>1</v>
      </c>
      <c r="W220" s="4">
        <v>1</v>
      </c>
      <c r="X220" s="4">
        <v>2</v>
      </c>
      <c r="Y220" s="4">
        <v>1</v>
      </c>
      <c r="Z220" s="56">
        <v>3</v>
      </c>
      <c r="AA220" s="9" cm="1">
        <f t="array" ref="AA220">IF(OR(AB220:AE220=""),"BLANK",IF(AND(AB220:AE220&lt;999),1,IF(AND(AB220:AE220="NA"),3,2)))</f>
        <v>1</v>
      </c>
      <c r="AB220" s="4">
        <v>24</v>
      </c>
      <c r="AC220" s="4">
        <v>10</v>
      </c>
      <c r="AD220" s="4">
        <v>11</v>
      </c>
      <c r="AE220" s="5">
        <v>45</v>
      </c>
      <c r="AF220" s="9">
        <f t="shared" si="3"/>
        <v>1</v>
      </c>
      <c r="AG220" s="5">
        <v>41</v>
      </c>
      <c r="AH220" s="9" cm="1">
        <f t="array" ref="AH220">IF(OR(AI220:AN220=""),"BLANK",IF(AND(AI220:AN220&lt;99),1,IF(AND(AI220:AN220="NA"),3,2)))</f>
        <v>2</v>
      </c>
      <c r="AI220" s="4">
        <v>46</v>
      </c>
      <c r="AJ220" s="4" t="s">
        <v>7</v>
      </c>
      <c r="AK220" s="23" t="s">
        <v>7</v>
      </c>
      <c r="AL220" s="23" t="s">
        <v>7</v>
      </c>
      <c r="AM220" s="23" t="s">
        <v>7</v>
      </c>
      <c r="AN220" s="24" t="s">
        <v>7</v>
      </c>
    </row>
    <row r="221" spans="1:40" x14ac:dyDescent="0.2">
      <c r="A221" s="15">
        <v>2031</v>
      </c>
      <c r="B221" s="4" t="s">
        <v>54</v>
      </c>
      <c r="C221" s="30" t="s">
        <v>23</v>
      </c>
      <c r="D221" s="30">
        <v>5</v>
      </c>
      <c r="E221" s="30">
        <v>0</v>
      </c>
      <c r="F221" s="30" t="s">
        <v>7</v>
      </c>
      <c r="G221" s="30">
        <v>30</v>
      </c>
      <c r="H221" s="33">
        <v>3.8959616700889801</v>
      </c>
      <c r="I221" s="33" t="s">
        <v>7</v>
      </c>
      <c r="J221" s="33" t="s">
        <v>7</v>
      </c>
      <c r="K221" s="33">
        <v>3.8959616700889801</v>
      </c>
      <c r="L221" s="33" t="s">
        <v>7</v>
      </c>
      <c r="M221" s="33" t="s">
        <v>7</v>
      </c>
      <c r="N221" s="33">
        <v>3.9342915811088295</v>
      </c>
      <c r="O221" s="33" t="s">
        <v>7</v>
      </c>
      <c r="P221" s="33" t="s">
        <v>7</v>
      </c>
      <c r="Q221" s="33" t="s">
        <v>7</v>
      </c>
      <c r="R221" s="33" t="s">
        <v>7</v>
      </c>
      <c r="S221" s="33" t="s">
        <v>7</v>
      </c>
      <c r="T221" s="12" t="s">
        <v>7</v>
      </c>
      <c r="U221" s="12" t="s">
        <v>7</v>
      </c>
      <c r="V221" s="4" t="s">
        <v>1</v>
      </c>
      <c r="W221" s="4">
        <v>1</v>
      </c>
      <c r="X221" s="4">
        <v>2</v>
      </c>
      <c r="Y221" s="4">
        <v>1</v>
      </c>
      <c r="Z221" s="56">
        <v>3</v>
      </c>
      <c r="AA221" s="9" cm="1">
        <f t="array" ref="AA221">IF(OR(AB221:AE221=""),"BLANK",IF(AND(AB221:AE221&lt;999),1,IF(AND(AB221:AE221="NA"),3,2)))</f>
        <v>1</v>
      </c>
      <c r="AB221" s="4">
        <v>27</v>
      </c>
      <c r="AC221" s="4">
        <v>17</v>
      </c>
      <c r="AD221" s="4">
        <v>12</v>
      </c>
      <c r="AE221" s="5">
        <v>56</v>
      </c>
      <c r="AF221" s="9">
        <f t="shared" si="3"/>
        <v>1</v>
      </c>
      <c r="AG221" s="5">
        <v>36</v>
      </c>
      <c r="AH221" s="9" cm="1">
        <f t="array" ref="AH221">IF(OR(AI221:AN221=""),"BLANK",IF(AND(AI221:AN221&lt;99),1,IF(AND(AI221:AN221="NA"),3,2)))</f>
        <v>2</v>
      </c>
      <c r="AI221" s="12">
        <v>51</v>
      </c>
      <c r="AJ221" s="4" t="s">
        <v>7</v>
      </c>
      <c r="AK221" s="21">
        <v>99.14</v>
      </c>
      <c r="AL221" s="21">
        <v>98.29</v>
      </c>
      <c r="AM221" s="21">
        <v>45.6</v>
      </c>
      <c r="AN221" s="22">
        <v>93.07</v>
      </c>
    </row>
    <row r="222" spans="1:40" x14ac:dyDescent="0.2">
      <c r="A222" s="15">
        <v>2035</v>
      </c>
      <c r="B222" s="4" t="s">
        <v>64</v>
      </c>
      <c r="C222" s="30" t="s">
        <v>24</v>
      </c>
      <c r="D222" s="30">
        <v>5</v>
      </c>
      <c r="E222" s="30">
        <v>0</v>
      </c>
      <c r="F222" s="30" t="s">
        <v>7</v>
      </c>
      <c r="G222" s="30">
        <v>29</v>
      </c>
      <c r="H222" s="33">
        <v>3.4934976043805612</v>
      </c>
      <c r="I222" s="33">
        <v>4.6187542778918553</v>
      </c>
      <c r="J222" s="33">
        <v>8.1122518822724157</v>
      </c>
      <c r="K222" s="33">
        <v>3.4934976043805612</v>
      </c>
      <c r="L222" s="33">
        <v>4.6187542778918553</v>
      </c>
      <c r="M222" s="33">
        <v>8.1122518822724157</v>
      </c>
      <c r="N222" s="33">
        <v>3.4880219028062971</v>
      </c>
      <c r="O222" s="33" t="s">
        <v>7</v>
      </c>
      <c r="P222" s="33" t="s">
        <v>7</v>
      </c>
      <c r="Q222" s="33" t="s">
        <v>7</v>
      </c>
      <c r="R222" s="33" t="s">
        <v>7</v>
      </c>
      <c r="S222" s="33" t="s">
        <v>7</v>
      </c>
      <c r="T222" s="12">
        <v>6</v>
      </c>
      <c r="U222" s="12">
        <v>18</v>
      </c>
      <c r="V222" s="4" t="s">
        <v>1</v>
      </c>
      <c r="W222" s="4">
        <v>1</v>
      </c>
      <c r="X222" s="4">
        <v>2</v>
      </c>
      <c r="Y222" s="4">
        <v>1</v>
      </c>
      <c r="Z222" s="56">
        <v>3</v>
      </c>
      <c r="AA222" s="9" cm="1">
        <f t="array" ref="AA222">IF(OR(AB222:AE222=""),"BLANK",IF(AND(AB222:AE222&lt;999),1,IF(AND(AB222:AE222="NA"),3,2)))</f>
        <v>1</v>
      </c>
      <c r="AB222" s="4">
        <v>14</v>
      </c>
      <c r="AC222" s="4">
        <v>10</v>
      </c>
      <c r="AD222" s="4">
        <v>9</v>
      </c>
      <c r="AE222" s="5">
        <v>33</v>
      </c>
      <c r="AF222" s="9">
        <f t="shared" si="3"/>
        <v>1</v>
      </c>
      <c r="AG222" s="5">
        <v>18</v>
      </c>
      <c r="AH222" s="9" cm="1">
        <f t="array" ref="AH222">IF(OR(AI222:AN222=""),"BLANK",IF(AND(AI222:AN222&lt;99),1,IF(AND(AI222:AN222="NA"),3,2)))</f>
        <v>2</v>
      </c>
      <c r="AI222" s="4">
        <v>33</v>
      </c>
      <c r="AJ222" s="4" t="s">
        <v>7</v>
      </c>
      <c r="AK222" s="21">
        <v>79.53</v>
      </c>
      <c r="AL222" s="21">
        <v>83.33</v>
      </c>
      <c r="AM222" s="21">
        <v>13.4</v>
      </c>
      <c r="AN222" s="22">
        <v>79.069999999999993</v>
      </c>
    </row>
    <row r="223" spans="1:40" x14ac:dyDescent="0.2">
      <c r="A223" s="15">
        <v>2043</v>
      </c>
      <c r="B223" s="4" t="s">
        <v>64</v>
      </c>
      <c r="C223" s="30" t="s">
        <v>23</v>
      </c>
      <c r="D223" s="30">
        <v>5</v>
      </c>
      <c r="E223" s="30">
        <v>0</v>
      </c>
      <c r="F223" s="30" t="s">
        <v>7</v>
      </c>
      <c r="G223" s="30">
        <v>30</v>
      </c>
      <c r="H223" s="33">
        <v>3.7262149212867897</v>
      </c>
      <c r="I223" s="33">
        <v>4.9774127310061598</v>
      </c>
      <c r="J223" s="33">
        <v>8.7036276522929494</v>
      </c>
      <c r="K223" s="33">
        <v>3.7262149212867897</v>
      </c>
      <c r="L223" s="33">
        <v>5.0130047912388775</v>
      </c>
      <c r="M223" s="33">
        <v>8.7392197125256672</v>
      </c>
      <c r="N223" s="33">
        <v>3.7289527720739222</v>
      </c>
      <c r="O223" s="33">
        <v>4.944558521560575</v>
      </c>
      <c r="P223" s="33">
        <v>8.6735112936344976</v>
      </c>
      <c r="Q223" s="33" t="s">
        <v>7</v>
      </c>
      <c r="R223" s="33" t="s">
        <v>7</v>
      </c>
      <c r="S223" s="33" t="s">
        <v>7</v>
      </c>
      <c r="T223" s="12">
        <v>3</v>
      </c>
      <c r="U223" s="12">
        <v>13</v>
      </c>
      <c r="V223" s="4" t="s">
        <v>1</v>
      </c>
      <c r="W223" s="4">
        <v>1</v>
      </c>
      <c r="X223" s="4">
        <v>2</v>
      </c>
      <c r="Y223" s="4">
        <v>1</v>
      </c>
      <c r="Z223" s="56">
        <v>3</v>
      </c>
      <c r="AA223" s="9" cm="1">
        <f t="array" ref="AA223">IF(OR(AB223:AE223=""),"BLANK",IF(AND(AB223:AE223&lt;999),1,IF(AND(AB223:AE223="NA"),3,2)))</f>
        <v>1</v>
      </c>
      <c r="AB223" s="4">
        <v>17</v>
      </c>
      <c r="AC223" s="4">
        <v>12</v>
      </c>
      <c r="AD223" s="4">
        <v>9</v>
      </c>
      <c r="AE223" s="5">
        <v>38</v>
      </c>
      <c r="AF223" s="9">
        <f t="shared" si="3"/>
        <v>1</v>
      </c>
      <c r="AG223" s="5">
        <v>39</v>
      </c>
      <c r="AH223" s="9" cm="1">
        <f t="array" ref="AH223">IF(OR(AI223:AN223=""),"BLANK",IF(AND(AI223:AN223&lt;99),1,IF(AND(AI223:AN223="NA"),3,2)))</f>
        <v>2</v>
      </c>
      <c r="AI223" s="12">
        <v>42</v>
      </c>
      <c r="AJ223" s="4" t="s">
        <v>7</v>
      </c>
      <c r="AK223" s="21">
        <v>89.64</v>
      </c>
      <c r="AL223" s="21">
        <v>99.38</v>
      </c>
      <c r="AM223" s="21">
        <v>48.4</v>
      </c>
      <c r="AN223" s="22">
        <v>95.05</v>
      </c>
    </row>
    <row r="224" spans="1:40" x14ac:dyDescent="0.2">
      <c r="A224" s="15">
        <v>2053</v>
      </c>
      <c r="B224" s="4" t="s">
        <v>64</v>
      </c>
      <c r="C224" s="30" t="s">
        <v>23</v>
      </c>
      <c r="D224" s="30">
        <v>5</v>
      </c>
      <c r="E224" s="30">
        <v>0</v>
      </c>
      <c r="F224" s="30" t="s">
        <v>7</v>
      </c>
      <c r="G224" s="30">
        <v>29</v>
      </c>
      <c r="H224" s="33">
        <v>3.9589322381930185</v>
      </c>
      <c r="I224" s="33" t="s">
        <v>7</v>
      </c>
      <c r="J224" s="33" t="s">
        <v>7</v>
      </c>
      <c r="K224" s="33">
        <v>3.9589322381930185</v>
      </c>
      <c r="L224" s="33" t="s">
        <v>7</v>
      </c>
      <c r="M224" s="33" t="s">
        <v>7</v>
      </c>
      <c r="N224" s="33" t="s">
        <v>7</v>
      </c>
      <c r="O224" s="33" t="s">
        <v>7</v>
      </c>
      <c r="P224" s="33" t="s">
        <v>7</v>
      </c>
      <c r="Q224" s="33" t="s">
        <v>7</v>
      </c>
      <c r="R224" s="33" t="s">
        <v>7</v>
      </c>
      <c r="S224" s="33" t="s">
        <v>7</v>
      </c>
      <c r="T224" s="12">
        <v>3</v>
      </c>
      <c r="U224" s="12">
        <v>13.5</v>
      </c>
      <c r="V224" s="4" t="s">
        <v>1</v>
      </c>
      <c r="W224" s="4">
        <v>1</v>
      </c>
      <c r="X224" s="4">
        <v>2</v>
      </c>
      <c r="Y224" s="4">
        <v>1</v>
      </c>
      <c r="Z224" s="56">
        <v>3</v>
      </c>
      <c r="AA224" s="9" cm="1">
        <f t="array" ref="AA224">IF(OR(AB224:AE224=""),"BLANK",IF(AND(AB224:AE224&lt;999),1,IF(AND(AB224:AE224="NA"),3,2)))</f>
        <v>1</v>
      </c>
      <c r="AB224" s="4">
        <v>26</v>
      </c>
      <c r="AC224" s="4">
        <v>12</v>
      </c>
      <c r="AD224" s="4">
        <v>10</v>
      </c>
      <c r="AE224" s="5">
        <v>48</v>
      </c>
      <c r="AF224" s="9">
        <f t="shared" si="3"/>
        <v>1</v>
      </c>
      <c r="AG224" s="5">
        <v>39</v>
      </c>
      <c r="AH224" s="9" cm="1">
        <f t="array" ref="AH224">IF(OR(AI224:AN224=""),"BLANK",IF(AND(AI224:AN224&lt;99),1,IF(AND(AI224:AN224="NA"),3,2)))</f>
        <v>2</v>
      </c>
      <c r="AI224" s="12">
        <v>43</v>
      </c>
      <c r="AJ224" s="4" t="s">
        <v>7</v>
      </c>
      <c r="AK224" s="21">
        <v>90.59</v>
      </c>
      <c r="AL224" s="21">
        <v>101.1</v>
      </c>
      <c r="AM224" s="21">
        <v>52.8</v>
      </c>
      <c r="AN224" s="22">
        <v>96.86</v>
      </c>
    </row>
    <row r="225" spans="1:40" x14ac:dyDescent="0.2">
      <c r="A225" s="15">
        <v>2064</v>
      </c>
      <c r="B225" s="4" t="s">
        <v>70</v>
      </c>
      <c r="C225" s="30" t="s">
        <v>23</v>
      </c>
      <c r="D225" s="30">
        <v>5</v>
      </c>
      <c r="E225" s="30">
        <v>0</v>
      </c>
      <c r="F225" s="30" t="s">
        <v>7</v>
      </c>
      <c r="G225" s="30">
        <v>27</v>
      </c>
      <c r="H225" s="33">
        <v>3.8603696098562628</v>
      </c>
      <c r="I225" s="33" t="s">
        <v>7</v>
      </c>
      <c r="J225" s="33" t="s">
        <v>7</v>
      </c>
      <c r="K225" s="33" t="s">
        <v>7</v>
      </c>
      <c r="L225" s="33" t="s">
        <v>7</v>
      </c>
      <c r="M225" s="33" t="s">
        <v>7</v>
      </c>
      <c r="N225" s="33">
        <v>3.8959616700889801</v>
      </c>
      <c r="O225" s="33" t="s">
        <v>7</v>
      </c>
      <c r="P225" s="33" t="s">
        <v>7</v>
      </c>
      <c r="Q225" s="33">
        <v>3.2553045859000687</v>
      </c>
      <c r="R225" s="33" t="s">
        <v>7</v>
      </c>
      <c r="S225" s="33" t="s">
        <v>7</v>
      </c>
      <c r="T225" s="12">
        <v>3</v>
      </c>
      <c r="U225" s="12">
        <v>12</v>
      </c>
      <c r="V225" s="4" t="s">
        <v>1</v>
      </c>
      <c r="W225" s="4">
        <v>1</v>
      </c>
      <c r="X225" s="4">
        <v>2</v>
      </c>
      <c r="Y225" s="4">
        <v>1</v>
      </c>
      <c r="Z225" s="56">
        <v>3</v>
      </c>
      <c r="AA225" s="9" cm="1">
        <f t="array" ref="AA225">IF(OR(AB225:AE225=""),"BLANK",IF(AND(AB225:AE225&lt;999),1,IF(AND(AB225:AE225="NA"),3,2)))</f>
        <v>1</v>
      </c>
      <c r="AB225" s="4">
        <v>19</v>
      </c>
      <c r="AC225" s="4">
        <v>9</v>
      </c>
      <c r="AD225" s="4">
        <v>6</v>
      </c>
      <c r="AE225" s="5">
        <v>34</v>
      </c>
      <c r="AF225" s="9">
        <f t="shared" si="3"/>
        <v>1</v>
      </c>
      <c r="AG225" s="5">
        <v>27</v>
      </c>
      <c r="AH225" s="9" cm="1">
        <f t="array" ref="AH225">IF(OR(AI225:AN225=""),"BLANK",IF(AND(AI225:AN225&lt;99),1,IF(AND(AI225:AN225="NA"),3,2)))</f>
        <v>2</v>
      </c>
      <c r="AI225" s="12">
        <v>40</v>
      </c>
      <c r="AJ225" s="4" t="s">
        <v>7</v>
      </c>
      <c r="AK225" s="23" t="s">
        <v>7</v>
      </c>
      <c r="AL225" s="23" t="s">
        <v>7</v>
      </c>
      <c r="AM225" s="23" t="s">
        <v>7</v>
      </c>
      <c r="AN225" s="24" t="s">
        <v>7</v>
      </c>
    </row>
    <row r="226" spans="1:40" x14ac:dyDescent="0.2">
      <c r="A226" s="15">
        <v>2068</v>
      </c>
      <c r="B226" s="4" t="s">
        <v>64</v>
      </c>
      <c r="C226" s="30" t="s">
        <v>24</v>
      </c>
      <c r="D226" s="30">
        <v>5</v>
      </c>
      <c r="E226" s="30">
        <v>0</v>
      </c>
      <c r="F226" s="30" t="s">
        <v>7</v>
      </c>
      <c r="G226" s="30">
        <v>28</v>
      </c>
      <c r="H226" s="33">
        <v>4.2381930184804926</v>
      </c>
      <c r="I226" s="33">
        <v>4.213552361396304</v>
      </c>
      <c r="J226" s="33">
        <v>8.4517453798767974</v>
      </c>
      <c r="K226" s="33">
        <v>4.2546201232032859</v>
      </c>
      <c r="L226" s="33">
        <v>4.1971252566735116</v>
      </c>
      <c r="M226" s="33">
        <v>8.4517453798767974</v>
      </c>
      <c r="N226" s="33">
        <v>4.1232032854209448</v>
      </c>
      <c r="O226" s="33">
        <v>3.8877481177275839</v>
      </c>
      <c r="P226" s="33">
        <v>8.0109514031485283</v>
      </c>
      <c r="Q226" s="33" t="s">
        <v>7</v>
      </c>
      <c r="R226" s="33" t="s">
        <v>7</v>
      </c>
      <c r="S226" s="33" t="s">
        <v>7</v>
      </c>
      <c r="T226" s="12" t="s">
        <v>7</v>
      </c>
      <c r="U226" s="12" t="s">
        <v>7</v>
      </c>
      <c r="V226" s="4" t="s">
        <v>1</v>
      </c>
      <c r="W226" s="4">
        <v>1</v>
      </c>
      <c r="X226" s="4">
        <v>2</v>
      </c>
      <c r="Y226" s="4">
        <v>1</v>
      </c>
      <c r="Z226" s="56">
        <v>3</v>
      </c>
      <c r="AA226" s="9" cm="1">
        <f t="array" ref="AA226">IF(OR(AB226:AE226=""),"BLANK",IF(AND(AB226:AE226&lt;999),1,IF(AND(AB226:AE226="NA"),3,2)))</f>
        <v>1</v>
      </c>
      <c r="AB226" s="4">
        <v>18</v>
      </c>
      <c r="AC226" s="4">
        <v>10</v>
      </c>
      <c r="AD226" s="4">
        <v>5</v>
      </c>
      <c r="AE226" s="5">
        <v>33</v>
      </c>
      <c r="AF226" s="9">
        <f t="shared" si="3"/>
        <v>1</v>
      </c>
      <c r="AG226" s="5">
        <v>24</v>
      </c>
      <c r="AH226" s="9" cm="1">
        <f t="array" ref="AH226">IF(OR(AI226:AN226=""),"BLANK",IF(AND(AI226:AN226&lt;99),1,IF(AND(AI226:AN226="NA"),3,2)))</f>
        <v>2</v>
      </c>
      <c r="AI226" s="12" t="s">
        <v>7</v>
      </c>
      <c r="AJ226" s="4" t="s">
        <v>7</v>
      </c>
      <c r="AK226" s="21">
        <v>90.59</v>
      </c>
      <c r="AL226" s="21">
        <v>101.1</v>
      </c>
      <c r="AM226" s="21">
        <v>52.8</v>
      </c>
      <c r="AN226" s="22">
        <v>97.51</v>
      </c>
    </row>
    <row r="227" spans="1:40" x14ac:dyDescent="0.2">
      <c r="A227" s="15">
        <v>2085</v>
      </c>
      <c r="B227" s="4" t="s">
        <v>46</v>
      </c>
      <c r="C227" s="30" t="s">
        <v>24</v>
      </c>
      <c r="D227" s="30">
        <v>2</v>
      </c>
      <c r="E227" s="30">
        <v>0</v>
      </c>
      <c r="F227" s="30" t="s">
        <v>7</v>
      </c>
      <c r="G227" s="30">
        <v>30</v>
      </c>
      <c r="H227" s="33">
        <v>3.6878850102669403</v>
      </c>
      <c r="I227" s="33" t="s">
        <v>7</v>
      </c>
      <c r="J227" s="33" t="s">
        <v>7</v>
      </c>
      <c r="K227" s="33">
        <v>3.6878850102669403</v>
      </c>
      <c r="L227" s="33" t="s">
        <v>7</v>
      </c>
      <c r="M227" s="33" t="s">
        <v>7</v>
      </c>
      <c r="N227" s="33">
        <v>3.7262149212867897</v>
      </c>
      <c r="O227" s="33" t="s">
        <v>7</v>
      </c>
      <c r="P227" s="33" t="s">
        <v>7</v>
      </c>
      <c r="Q227" s="33" t="s">
        <v>7</v>
      </c>
      <c r="R227" s="33" t="s">
        <v>7</v>
      </c>
      <c r="S227" s="33" t="s">
        <v>7</v>
      </c>
      <c r="T227" s="12">
        <v>4</v>
      </c>
      <c r="U227" s="12">
        <v>16</v>
      </c>
      <c r="V227" s="4" t="s">
        <v>1</v>
      </c>
      <c r="W227" s="4">
        <v>1</v>
      </c>
      <c r="X227" s="4">
        <v>2</v>
      </c>
      <c r="Y227" s="4">
        <v>1</v>
      </c>
      <c r="Z227" s="56">
        <v>3</v>
      </c>
      <c r="AA227" s="9" cm="1">
        <f t="array" ref="AA227">IF(OR(AB227:AE227=""),"BLANK",IF(AND(AB227:AE227&lt;999),1,IF(AND(AB227:AE227="NA"),3,2)))</f>
        <v>1</v>
      </c>
      <c r="AB227" s="4">
        <v>25</v>
      </c>
      <c r="AC227" s="4">
        <v>13</v>
      </c>
      <c r="AD227" s="4">
        <v>13</v>
      </c>
      <c r="AE227" s="5">
        <v>51</v>
      </c>
      <c r="AF227" s="9">
        <f t="shared" si="3"/>
        <v>1</v>
      </c>
      <c r="AG227" s="5">
        <v>60</v>
      </c>
      <c r="AH227" s="9" cm="1">
        <f t="array" ref="AH227">IF(OR(AI227:AN227=""),"BLANK",IF(AND(AI227:AN227&lt;99),1,IF(AND(AI227:AN227="NA"),3,2)))</f>
        <v>2</v>
      </c>
      <c r="AI227" s="12">
        <v>54</v>
      </c>
      <c r="AJ227" s="4" t="s">
        <v>7</v>
      </c>
      <c r="AK227" s="21">
        <v>102.91</v>
      </c>
      <c r="AL227" s="21">
        <v>103.53</v>
      </c>
      <c r="AM227" s="21">
        <v>59.5</v>
      </c>
      <c r="AN227" s="22">
        <v>106.99</v>
      </c>
    </row>
    <row r="228" spans="1:40" x14ac:dyDescent="0.2">
      <c r="A228" s="15">
        <v>2087</v>
      </c>
      <c r="B228" s="4" t="s">
        <v>64</v>
      </c>
      <c r="C228" s="30" t="s">
        <v>23</v>
      </c>
      <c r="D228" s="30">
        <v>5</v>
      </c>
      <c r="E228" s="30">
        <v>0</v>
      </c>
      <c r="F228" s="30" t="s">
        <v>7</v>
      </c>
      <c r="G228" s="30">
        <v>30</v>
      </c>
      <c r="H228" s="33">
        <v>4</v>
      </c>
      <c r="I228" s="33">
        <v>4.6762491444216288</v>
      </c>
      <c r="J228" s="33">
        <v>8.6762491444216288</v>
      </c>
      <c r="K228" s="33">
        <v>4</v>
      </c>
      <c r="L228" s="33">
        <v>4.7063655030800824</v>
      </c>
      <c r="M228" s="33">
        <v>8.7063655030800824</v>
      </c>
      <c r="N228" s="33" t="s">
        <v>7</v>
      </c>
      <c r="O228" s="33" t="s">
        <v>7</v>
      </c>
      <c r="P228" s="33" t="s">
        <v>7</v>
      </c>
      <c r="Q228" s="33" t="s">
        <v>7</v>
      </c>
      <c r="R228" s="33" t="s">
        <v>7</v>
      </c>
      <c r="S228" s="33" t="s">
        <v>7</v>
      </c>
      <c r="T228" s="12">
        <v>4</v>
      </c>
      <c r="U228" s="12">
        <v>16</v>
      </c>
      <c r="V228" s="4" t="s">
        <v>1</v>
      </c>
      <c r="W228" s="4">
        <v>1</v>
      </c>
      <c r="X228" s="4">
        <v>2</v>
      </c>
      <c r="Y228" s="4">
        <v>1</v>
      </c>
      <c r="Z228" s="56">
        <v>3</v>
      </c>
      <c r="AA228" s="9" cm="1">
        <f t="array" ref="AA228">IF(OR(AB228:AE228=""),"BLANK",IF(AND(AB228:AE228&lt;999),1,IF(AND(AB228:AE228="NA"),3,2)))</f>
        <v>1</v>
      </c>
      <c r="AB228" s="4">
        <v>22</v>
      </c>
      <c r="AC228" s="4">
        <v>15</v>
      </c>
      <c r="AD228" s="4">
        <v>12</v>
      </c>
      <c r="AE228" s="5">
        <v>49</v>
      </c>
      <c r="AF228" s="9">
        <f t="shared" si="3"/>
        <v>1</v>
      </c>
      <c r="AG228" s="5">
        <v>34</v>
      </c>
      <c r="AH228" s="9" cm="1">
        <f t="array" ref="AH228">IF(OR(AI228:AN228=""),"BLANK",IF(AND(AI228:AN228&lt;99),1,IF(AND(AI228:AN228="NA"),3,2)))</f>
        <v>2</v>
      </c>
      <c r="AI228" s="12" t="s">
        <v>7</v>
      </c>
      <c r="AJ228" s="4" t="s">
        <v>7</v>
      </c>
      <c r="AK228" s="21">
        <v>89.64</v>
      </c>
      <c r="AL228" s="21">
        <v>99.38</v>
      </c>
      <c r="AM228" s="21">
        <v>48.4</v>
      </c>
      <c r="AN228" s="22">
        <v>95.05</v>
      </c>
    </row>
    <row r="229" spans="1:40" x14ac:dyDescent="0.2">
      <c r="A229" s="15">
        <v>2093</v>
      </c>
      <c r="B229" s="4" t="s">
        <v>60</v>
      </c>
      <c r="C229" s="30" t="s">
        <v>24</v>
      </c>
      <c r="D229" s="30">
        <v>1</v>
      </c>
      <c r="E229" s="30">
        <v>0</v>
      </c>
      <c r="F229" s="30" t="s">
        <v>7</v>
      </c>
      <c r="G229" s="30">
        <v>30</v>
      </c>
      <c r="H229" s="33">
        <v>4.3805612594113619</v>
      </c>
      <c r="I229" s="33">
        <v>4.470910335386721</v>
      </c>
      <c r="J229" s="33">
        <v>8.8514715947980829</v>
      </c>
      <c r="K229" s="33">
        <v>4.3805612594113619</v>
      </c>
      <c r="L229" s="33">
        <v>4.470910335386721</v>
      </c>
      <c r="M229" s="33">
        <v>8.8514715947980829</v>
      </c>
      <c r="N229" s="33">
        <v>4.26009582477755</v>
      </c>
      <c r="O229" s="33">
        <v>4.470910335386721</v>
      </c>
      <c r="P229" s="33">
        <v>8.7310061601642719</v>
      </c>
      <c r="Q229" s="33" t="s">
        <v>7</v>
      </c>
      <c r="R229" s="33" t="s">
        <v>7</v>
      </c>
      <c r="S229" s="33" t="s">
        <v>7</v>
      </c>
      <c r="T229" s="12">
        <v>6</v>
      </c>
      <c r="U229" s="12">
        <v>18</v>
      </c>
      <c r="V229" s="4" t="s">
        <v>1</v>
      </c>
      <c r="W229" s="4">
        <v>1</v>
      </c>
      <c r="X229" s="4">
        <v>2</v>
      </c>
      <c r="Y229" s="4">
        <v>1</v>
      </c>
      <c r="Z229" s="56">
        <v>3</v>
      </c>
      <c r="AA229" s="9" cm="1">
        <f t="array" ref="AA229">IF(OR(AB229:AE229=""),"BLANK",IF(AND(AB229:AE229&lt;999),1,IF(AND(AB229:AE229="NA"),3,2)))</f>
        <v>1</v>
      </c>
      <c r="AB229" s="4">
        <v>38</v>
      </c>
      <c r="AC229" s="4">
        <v>22</v>
      </c>
      <c r="AD229" s="4">
        <v>11</v>
      </c>
      <c r="AE229" s="5">
        <v>71</v>
      </c>
      <c r="AF229" s="9">
        <f t="shared" si="3"/>
        <v>1</v>
      </c>
      <c r="AG229" s="5">
        <v>74</v>
      </c>
      <c r="AH229" s="9" cm="1">
        <f t="array" ref="AH229">IF(OR(AI229:AN229=""),"BLANK",IF(AND(AI229:AN229&lt;99),1,IF(AND(AI229:AN229="NA"),3,2)))</f>
        <v>2</v>
      </c>
      <c r="AI229" s="12" t="s">
        <v>7</v>
      </c>
      <c r="AJ229" s="4" t="s">
        <v>7</v>
      </c>
      <c r="AK229" s="21">
        <v>128.25</v>
      </c>
      <c r="AL229" s="21">
        <v>126.24</v>
      </c>
      <c r="AM229" s="21">
        <v>96</v>
      </c>
      <c r="AN229" s="22">
        <v>123.17</v>
      </c>
    </row>
    <row r="230" spans="1:40" x14ac:dyDescent="0.2">
      <c r="A230" s="15">
        <v>2095</v>
      </c>
      <c r="B230" s="4" t="s">
        <v>62</v>
      </c>
      <c r="C230" s="30" t="s">
        <v>24</v>
      </c>
      <c r="D230" s="30">
        <v>5</v>
      </c>
      <c r="E230" s="30">
        <v>0</v>
      </c>
      <c r="F230" s="30" t="s">
        <v>7</v>
      </c>
      <c r="G230" s="30">
        <v>29</v>
      </c>
      <c r="H230" s="33">
        <v>4.0054757015742641</v>
      </c>
      <c r="I230" s="33">
        <v>4.3778234086242298</v>
      </c>
      <c r="J230" s="33">
        <v>8.3832991101984948</v>
      </c>
      <c r="K230" s="33">
        <v>4.0054757015742641</v>
      </c>
      <c r="L230" s="33">
        <v>4.3778234086242298</v>
      </c>
      <c r="M230" s="33">
        <v>8.3832991101984948</v>
      </c>
      <c r="N230" s="33">
        <v>4.0191649555099245</v>
      </c>
      <c r="O230" s="33">
        <v>4.0246406570841886</v>
      </c>
      <c r="P230" s="33">
        <v>8.0438056125941131</v>
      </c>
      <c r="Q230" s="33" t="s">
        <v>7</v>
      </c>
      <c r="R230" s="33" t="s">
        <v>7</v>
      </c>
      <c r="S230" s="33" t="s">
        <v>7</v>
      </c>
      <c r="T230" s="12">
        <v>4</v>
      </c>
      <c r="U230" s="12">
        <v>16</v>
      </c>
      <c r="V230" s="4" t="s">
        <v>1</v>
      </c>
      <c r="W230" s="4">
        <v>1</v>
      </c>
      <c r="X230" s="4">
        <v>2</v>
      </c>
      <c r="Y230" s="4">
        <v>1</v>
      </c>
      <c r="Z230" s="56">
        <v>3</v>
      </c>
      <c r="AA230" s="9" cm="1">
        <f t="array" ref="AA230">IF(OR(AB230:AE230=""),"BLANK",IF(AND(AB230:AE230&lt;999),1,IF(AND(AB230:AE230="NA"),3,2)))</f>
        <v>1</v>
      </c>
      <c r="AB230" s="4">
        <v>28</v>
      </c>
      <c r="AC230" s="4">
        <v>14</v>
      </c>
      <c r="AD230" s="4">
        <v>8</v>
      </c>
      <c r="AE230" s="5">
        <v>50</v>
      </c>
      <c r="AF230" s="9">
        <f t="shared" si="3"/>
        <v>1</v>
      </c>
      <c r="AG230" s="5">
        <v>42</v>
      </c>
      <c r="AH230" s="9" cm="1">
        <f t="array" ref="AH230">IF(OR(AI230:AN230=""),"BLANK",IF(AND(AI230:AN230&lt;99),1,IF(AND(AI230:AN230="NA"),3,2)))</f>
        <v>2</v>
      </c>
      <c r="AI230" s="12" t="s">
        <v>7</v>
      </c>
      <c r="AJ230" s="4" t="s">
        <v>7</v>
      </c>
      <c r="AK230" s="21">
        <v>104.06</v>
      </c>
      <c r="AL230" s="21">
        <v>105.47</v>
      </c>
      <c r="AM230" s="21">
        <v>64.099999999999994</v>
      </c>
      <c r="AN230" s="22">
        <v>100.98</v>
      </c>
    </row>
    <row r="231" spans="1:40" x14ac:dyDescent="0.2">
      <c r="A231" s="15">
        <v>2117</v>
      </c>
      <c r="B231" s="4" t="s">
        <v>52</v>
      </c>
      <c r="C231" s="30" t="s">
        <v>23</v>
      </c>
      <c r="D231" s="30">
        <v>5</v>
      </c>
      <c r="E231" s="30">
        <v>0</v>
      </c>
      <c r="F231" s="30" t="s">
        <v>7</v>
      </c>
      <c r="G231" s="30">
        <v>30</v>
      </c>
      <c r="H231" s="33">
        <v>3.6030116358658453</v>
      </c>
      <c r="I231" s="33">
        <v>4.7145790554414786</v>
      </c>
      <c r="J231" s="33">
        <v>8.3175906913073234</v>
      </c>
      <c r="K231" s="33">
        <v>3.6030116358658453</v>
      </c>
      <c r="L231" s="33">
        <v>4.7173169062286107</v>
      </c>
      <c r="M231" s="33">
        <v>8.3203285420944564</v>
      </c>
      <c r="N231" s="33">
        <v>3.5838466803559208</v>
      </c>
      <c r="O231" s="33">
        <v>4.6187542778918553</v>
      </c>
      <c r="P231" s="33">
        <v>8.2026009582477748</v>
      </c>
      <c r="Q231" s="33">
        <v>3.5838466803559208</v>
      </c>
      <c r="R231" s="33">
        <v>5.4537987679671458</v>
      </c>
      <c r="S231" s="33">
        <v>9.037645448323067</v>
      </c>
      <c r="T231" s="12">
        <v>2</v>
      </c>
      <c r="U231" s="12">
        <v>12</v>
      </c>
      <c r="V231" s="4" t="s">
        <v>1</v>
      </c>
      <c r="W231" s="4">
        <v>1</v>
      </c>
      <c r="X231" s="4">
        <v>2</v>
      </c>
      <c r="Y231" s="4">
        <v>1</v>
      </c>
      <c r="Z231" s="56">
        <v>3</v>
      </c>
      <c r="AA231" s="9" cm="1">
        <f t="array" ref="AA231">IF(OR(AB231:AE231=""),"BLANK",IF(AND(AB231:AE231&lt;999),1,IF(AND(AB231:AE231="NA"),3,2)))</f>
        <v>1</v>
      </c>
      <c r="AB231" s="4">
        <v>22</v>
      </c>
      <c r="AC231" s="4">
        <v>16</v>
      </c>
      <c r="AD231" s="4">
        <v>11</v>
      </c>
      <c r="AE231" s="5">
        <v>49</v>
      </c>
      <c r="AF231" s="9">
        <f t="shared" si="3"/>
        <v>1</v>
      </c>
      <c r="AG231" s="5">
        <v>29</v>
      </c>
      <c r="AH231" s="9" cm="1">
        <f t="array" ref="AH231">IF(OR(AI231:AN231=""),"BLANK",IF(AND(AI231:AN231&lt;99),1,IF(AND(AI231:AN231="NA"),3,2)))</f>
        <v>2</v>
      </c>
      <c r="AI231" s="12">
        <v>36</v>
      </c>
      <c r="AJ231" s="4" t="s">
        <v>7</v>
      </c>
      <c r="AK231" s="21">
        <v>83.25</v>
      </c>
      <c r="AL231" s="21">
        <v>83.16</v>
      </c>
      <c r="AM231" s="21">
        <v>13.1</v>
      </c>
      <c r="AN231" s="22">
        <v>78.27</v>
      </c>
    </row>
    <row r="232" spans="1:40" x14ac:dyDescent="0.2">
      <c r="A232" s="15">
        <v>2127</v>
      </c>
      <c r="B232" s="4" t="s">
        <v>66</v>
      </c>
      <c r="C232" s="30" t="s">
        <v>23</v>
      </c>
      <c r="D232" s="30">
        <v>5</v>
      </c>
      <c r="E232" s="30">
        <v>0</v>
      </c>
      <c r="F232" s="30" t="s">
        <v>7</v>
      </c>
      <c r="G232" s="30">
        <v>27</v>
      </c>
      <c r="H232" s="33">
        <v>4.2245037645448322</v>
      </c>
      <c r="I232" s="33" t="s">
        <v>7</v>
      </c>
      <c r="J232" s="33" t="s">
        <v>7</v>
      </c>
      <c r="K232" s="33">
        <v>4.2245037645448322</v>
      </c>
      <c r="L232" s="33" t="s">
        <v>7</v>
      </c>
      <c r="M232" s="33" t="s">
        <v>7</v>
      </c>
      <c r="N232" s="33">
        <v>4.26009582477755</v>
      </c>
      <c r="O232" s="33" t="s">
        <v>7</v>
      </c>
      <c r="P232" s="33" t="s">
        <v>7</v>
      </c>
      <c r="Q232" s="33" t="s">
        <v>7</v>
      </c>
      <c r="R232" s="33" t="s">
        <v>7</v>
      </c>
      <c r="S232" s="33" t="s">
        <v>7</v>
      </c>
      <c r="T232" s="12" t="s">
        <v>7</v>
      </c>
      <c r="U232" s="12" t="s">
        <v>7</v>
      </c>
      <c r="V232" s="4" t="s">
        <v>1</v>
      </c>
      <c r="W232" s="4">
        <v>1</v>
      </c>
      <c r="X232" s="4">
        <v>2</v>
      </c>
      <c r="Y232" s="4">
        <v>1</v>
      </c>
      <c r="Z232" s="56">
        <v>3</v>
      </c>
      <c r="AA232" s="9" cm="1">
        <f t="array" ref="AA232">IF(OR(AB232:AE232=""),"BLANK",IF(AND(AB232:AE232&lt;999),1,IF(AND(AB232:AE232="NA"),3,2)))</f>
        <v>1</v>
      </c>
      <c r="AB232" s="4">
        <v>7</v>
      </c>
      <c r="AC232" s="4">
        <v>5</v>
      </c>
      <c r="AD232" s="4">
        <v>4</v>
      </c>
      <c r="AE232" s="5">
        <v>16</v>
      </c>
      <c r="AF232" s="9">
        <f t="shared" si="3"/>
        <v>1</v>
      </c>
      <c r="AG232" s="5">
        <v>26</v>
      </c>
      <c r="AH232" s="9" cm="1">
        <f t="array" ref="AH232">IF(OR(AI232:AN232=""),"BLANK",IF(AND(AI232:AN232&lt;99),1,IF(AND(AI232:AN232="NA"),3,2)))</f>
        <v>2</v>
      </c>
      <c r="AI232" s="12" t="s">
        <v>7</v>
      </c>
      <c r="AJ232" s="4" t="s">
        <v>7</v>
      </c>
      <c r="AK232" s="23">
        <v>84.34</v>
      </c>
      <c r="AL232" s="23">
        <v>84.75</v>
      </c>
      <c r="AM232" s="23">
        <v>15.4</v>
      </c>
      <c r="AN232" s="24">
        <v>79.84</v>
      </c>
    </row>
    <row r="233" spans="1:40" x14ac:dyDescent="0.2">
      <c r="A233" s="15">
        <v>2133</v>
      </c>
      <c r="B233" s="4" t="s">
        <v>52</v>
      </c>
      <c r="C233" s="30" t="s">
        <v>23</v>
      </c>
      <c r="D233" s="30">
        <v>2</v>
      </c>
      <c r="E233" s="30">
        <v>0</v>
      </c>
      <c r="F233" s="30" t="s">
        <v>7</v>
      </c>
      <c r="G233" s="30">
        <v>26</v>
      </c>
      <c r="H233" s="33">
        <v>4.4325804243668721</v>
      </c>
      <c r="I233" s="33" t="s">
        <v>7</v>
      </c>
      <c r="J233" s="33" t="s">
        <v>7</v>
      </c>
      <c r="K233" s="33" t="s">
        <v>7</v>
      </c>
      <c r="L233" s="33" t="s">
        <v>7</v>
      </c>
      <c r="M233" s="33" t="s">
        <v>7</v>
      </c>
      <c r="N233" s="33">
        <v>4.2491444216290208</v>
      </c>
      <c r="O233" s="33" t="s">
        <v>7</v>
      </c>
      <c r="P233" s="33" t="s">
        <v>7</v>
      </c>
      <c r="Q233" s="33" t="s">
        <v>7</v>
      </c>
      <c r="R233" s="33" t="s">
        <v>7</v>
      </c>
      <c r="S233" s="33" t="s">
        <v>7</v>
      </c>
      <c r="T233" s="12" t="s">
        <v>7</v>
      </c>
      <c r="U233" s="12" t="s">
        <v>7</v>
      </c>
      <c r="V233" s="4" t="s">
        <v>1</v>
      </c>
      <c r="W233" s="4">
        <v>1</v>
      </c>
      <c r="X233" s="4">
        <v>2</v>
      </c>
      <c r="Y233" s="4">
        <v>1</v>
      </c>
      <c r="Z233" s="56">
        <v>3</v>
      </c>
      <c r="AA233" s="9" cm="1">
        <f t="array" ref="AA233">IF(OR(AB233:AE233=""),"BLANK",IF(AND(AB233:AE233&lt;999),1,IF(AND(AB233:AE233="NA"),3,2)))</f>
        <v>1</v>
      </c>
      <c r="AB233" s="4">
        <v>10</v>
      </c>
      <c r="AC233" s="4">
        <v>5</v>
      </c>
      <c r="AD233" s="4">
        <v>5</v>
      </c>
      <c r="AE233" s="5">
        <v>20</v>
      </c>
      <c r="AF233" s="9">
        <f t="shared" si="3"/>
        <v>1</v>
      </c>
      <c r="AG233" s="5">
        <v>23</v>
      </c>
      <c r="AH233" s="9" cm="1">
        <f t="array" ref="AH233">IF(OR(AI233:AN233=""),"BLANK",IF(AND(AI233:AN233&lt;99),1,IF(AND(AI233:AN233="NA"),3,2)))</f>
        <v>3</v>
      </c>
      <c r="AI233" s="12" t="s">
        <v>7</v>
      </c>
      <c r="AJ233" s="4" t="s">
        <v>7</v>
      </c>
      <c r="AK233" s="23" t="s">
        <v>7</v>
      </c>
      <c r="AL233" s="23" t="s">
        <v>7</v>
      </c>
      <c r="AM233" s="23" t="s">
        <v>7</v>
      </c>
      <c r="AN233" s="24" t="s">
        <v>7</v>
      </c>
    </row>
    <row r="234" spans="1:40" x14ac:dyDescent="0.2">
      <c r="A234" s="15">
        <v>2172</v>
      </c>
      <c r="B234" s="4" t="s">
        <v>61</v>
      </c>
      <c r="C234" s="30" t="s">
        <v>23</v>
      </c>
      <c r="D234" s="30">
        <v>5</v>
      </c>
      <c r="E234" s="30">
        <v>1</v>
      </c>
      <c r="F234" s="30" t="s">
        <v>7</v>
      </c>
      <c r="G234" s="30">
        <v>30</v>
      </c>
      <c r="H234" s="33">
        <v>3.9835728952772076</v>
      </c>
      <c r="I234" s="33">
        <v>4.2026009582477757</v>
      </c>
      <c r="J234" s="33">
        <v>8.1861738535249824</v>
      </c>
      <c r="K234" s="33">
        <v>3.9835728952772076</v>
      </c>
      <c r="L234" s="33">
        <v>4.2026009582477757</v>
      </c>
      <c r="M234" s="33">
        <v>8.1861738535249824</v>
      </c>
      <c r="N234" s="33">
        <v>4.046543463381246</v>
      </c>
      <c r="O234" s="33">
        <v>3.7946611909650922</v>
      </c>
      <c r="P234" s="33">
        <v>7.8412046543463383</v>
      </c>
      <c r="Q234" s="33" t="s">
        <v>7</v>
      </c>
      <c r="R234" s="33" t="s">
        <v>7</v>
      </c>
      <c r="S234" s="33" t="s">
        <v>7</v>
      </c>
      <c r="T234" s="12">
        <v>4</v>
      </c>
      <c r="U234" s="12">
        <v>16</v>
      </c>
      <c r="V234" s="4" t="s">
        <v>1</v>
      </c>
      <c r="W234" s="4">
        <v>1</v>
      </c>
      <c r="X234" s="4">
        <v>2</v>
      </c>
      <c r="Y234" s="4">
        <v>1</v>
      </c>
      <c r="Z234" s="56">
        <v>3</v>
      </c>
      <c r="AA234" s="9" cm="1">
        <f t="array" ref="AA234">IF(OR(AB234:AE234=""),"BLANK",IF(AND(AB234:AE234&lt;999),1,IF(AND(AB234:AE234="NA"),3,2)))</f>
        <v>1</v>
      </c>
      <c r="AB234" s="4">
        <v>32</v>
      </c>
      <c r="AC234" s="4">
        <v>18</v>
      </c>
      <c r="AD234" s="4">
        <v>13</v>
      </c>
      <c r="AE234" s="5">
        <v>63</v>
      </c>
      <c r="AF234" s="9">
        <f t="shared" si="3"/>
        <v>1</v>
      </c>
      <c r="AG234" s="5">
        <v>53</v>
      </c>
      <c r="AH234" s="9" cm="1">
        <f t="array" ref="AH234">IF(OR(AI234:AN234=""),"BLANK",IF(AND(AI234:AN234&lt;99),1,IF(AND(AI234:AN234="NA"),3,2)))</f>
        <v>2</v>
      </c>
      <c r="AI234" s="12" t="s">
        <v>7</v>
      </c>
      <c r="AJ234" s="4" t="s">
        <v>7</v>
      </c>
      <c r="AK234" s="21">
        <v>107.8</v>
      </c>
      <c r="AL234" s="21">
        <v>101.71</v>
      </c>
      <c r="AM234" s="21">
        <v>54.4</v>
      </c>
      <c r="AN234" s="22">
        <v>103.11</v>
      </c>
    </row>
    <row r="235" spans="1:40" x14ac:dyDescent="0.2">
      <c r="A235" s="15">
        <v>2206</v>
      </c>
      <c r="B235" s="4" t="s">
        <v>51</v>
      </c>
      <c r="C235" s="30" t="s">
        <v>24</v>
      </c>
      <c r="D235" s="30">
        <v>5</v>
      </c>
      <c r="E235" s="30">
        <v>0</v>
      </c>
      <c r="F235" s="30" t="s">
        <v>7</v>
      </c>
      <c r="G235" s="30">
        <v>30</v>
      </c>
      <c r="H235" s="33">
        <v>4.1204654346338128</v>
      </c>
      <c r="I235" s="33">
        <v>4.5119780971937029</v>
      </c>
      <c r="J235" s="33">
        <v>8.6324435318275157</v>
      </c>
      <c r="K235" s="33">
        <v>4.1779603011635862</v>
      </c>
      <c r="L235" s="33">
        <v>4.4544832306639286</v>
      </c>
      <c r="M235" s="33">
        <v>8.6324435318275157</v>
      </c>
      <c r="N235" s="33">
        <v>3.9890485968514717</v>
      </c>
      <c r="O235" s="33">
        <v>4.4900752908966464</v>
      </c>
      <c r="P235" s="33">
        <v>8.4791238877481181</v>
      </c>
      <c r="Q235" s="33" t="s">
        <v>7</v>
      </c>
      <c r="R235" s="33" t="s">
        <v>7</v>
      </c>
      <c r="S235" s="33" t="s">
        <v>7</v>
      </c>
      <c r="T235" s="12">
        <v>4</v>
      </c>
      <c r="U235" s="12">
        <v>16</v>
      </c>
      <c r="V235" s="4" t="s">
        <v>1</v>
      </c>
      <c r="W235" s="4">
        <v>1</v>
      </c>
      <c r="X235" s="4">
        <v>2</v>
      </c>
      <c r="Y235" s="4">
        <v>1</v>
      </c>
      <c r="Z235" s="56">
        <v>3</v>
      </c>
      <c r="AA235" s="9" cm="1">
        <f t="array" ref="AA235">IF(OR(AB235:AE235=""),"BLANK",IF(AND(AB235:AE235&lt;999),1,IF(AND(AB235:AE235="NA"),3,2)))</f>
        <v>1</v>
      </c>
      <c r="AB235" s="4">
        <v>27</v>
      </c>
      <c r="AC235" s="4">
        <v>14</v>
      </c>
      <c r="AD235" s="4">
        <v>8</v>
      </c>
      <c r="AE235" s="5">
        <v>49</v>
      </c>
      <c r="AF235" s="9">
        <f t="shared" si="3"/>
        <v>1</v>
      </c>
      <c r="AG235" s="5">
        <v>64</v>
      </c>
      <c r="AH235" s="9" cm="1">
        <f t="array" ref="AH235">IF(OR(AI235:AN235=""),"BLANK",IF(AND(AI235:AN235&lt;99),1,IF(AND(AI235:AN235="NA"),3,2)))</f>
        <v>2</v>
      </c>
      <c r="AI235" s="12" t="s">
        <v>7</v>
      </c>
      <c r="AJ235" s="4" t="s">
        <v>7</v>
      </c>
      <c r="AK235" s="21">
        <v>131.63999999999999</v>
      </c>
      <c r="AL235" s="21">
        <v>134.72</v>
      </c>
      <c r="AM235" s="21">
        <v>99</v>
      </c>
      <c r="AN235" s="22">
        <v>131.29</v>
      </c>
    </row>
    <row r="236" spans="1:40" x14ac:dyDescent="0.2">
      <c r="A236" s="15">
        <v>2220</v>
      </c>
      <c r="B236" s="4" t="s">
        <v>57</v>
      </c>
      <c r="C236" s="30" t="s">
        <v>23</v>
      </c>
      <c r="D236" s="30">
        <v>5</v>
      </c>
      <c r="E236" s="30">
        <v>0</v>
      </c>
      <c r="F236" s="30" t="s">
        <v>7</v>
      </c>
      <c r="G236" s="30">
        <v>30</v>
      </c>
      <c r="H236" s="33">
        <v>4.5557837097878169</v>
      </c>
      <c r="I236" s="33" t="s">
        <v>7</v>
      </c>
      <c r="J236" s="33" t="s">
        <v>7</v>
      </c>
      <c r="K236" s="33">
        <v>4.5557837097878169</v>
      </c>
      <c r="L236" s="33" t="s">
        <v>7</v>
      </c>
      <c r="M236" s="33" t="s">
        <v>7</v>
      </c>
      <c r="N236" s="33">
        <v>4.4462696783025324</v>
      </c>
      <c r="O236" s="33" t="s">
        <v>7</v>
      </c>
      <c r="P236" s="33" t="s">
        <v>7</v>
      </c>
      <c r="Q236" s="33" t="s">
        <v>7</v>
      </c>
      <c r="R236" s="33" t="s">
        <v>7</v>
      </c>
      <c r="S236" s="33" t="s">
        <v>7</v>
      </c>
      <c r="T236" s="12">
        <v>7</v>
      </c>
      <c r="U236" s="12">
        <v>21</v>
      </c>
      <c r="V236" s="4" t="s">
        <v>1</v>
      </c>
      <c r="W236" s="4">
        <v>1</v>
      </c>
      <c r="X236" s="4">
        <v>2</v>
      </c>
      <c r="Y236" s="4">
        <v>1</v>
      </c>
      <c r="Z236" s="56">
        <v>3</v>
      </c>
      <c r="AA236" s="9" cm="1">
        <f t="array" ref="AA236">IF(OR(AB236:AE236=""),"BLANK",IF(AND(AB236:AE236&lt;999),1,IF(AND(AB236:AE236="NA"),3,2)))</f>
        <v>1</v>
      </c>
      <c r="AB236" s="4">
        <v>48</v>
      </c>
      <c r="AC236" s="4">
        <v>32</v>
      </c>
      <c r="AD236" s="4">
        <v>21</v>
      </c>
      <c r="AE236" s="5">
        <v>101</v>
      </c>
      <c r="AF236" s="9">
        <f t="shared" si="3"/>
        <v>1</v>
      </c>
      <c r="AG236" s="5">
        <v>88</v>
      </c>
      <c r="AH236" s="9" cm="1">
        <f t="array" ref="AH236">IF(OR(AI236:AN236=""),"BLANK",IF(AND(AI236:AN236&lt;99),1,IF(AND(AI236:AN236="NA"),3,2)))</f>
        <v>2</v>
      </c>
      <c r="AI236" s="12" t="s">
        <v>7</v>
      </c>
      <c r="AJ236" s="4" t="s">
        <v>7</v>
      </c>
      <c r="AK236" s="21">
        <v>140.59</v>
      </c>
      <c r="AL236" s="21">
        <v>142.05000000000001</v>
      </c>
      <c r="AM236" s="21">
        <v>99.7</v>
      </c>
      <c r="AN236" s="22">
        <v>139.19</v>
      </c>
    </row>
    <row r="237" spans="1:40" x14ac:dyDescent="0.2">
      <c r="A237" s="15">
        <v>2248</v>
      </c>
      <c r="B237" s="4" t="s">
        <v>60</v>
      </c>
      <c r="C237" s="30" t="s">
        <v>23</v>
      </c>
      <c r="D237" s="30">
        <v>5</v>
      </c>
      <c r="E237" s="30">
        <v>0</v>
      </c>
      <c r="F237" s="30" t="s">
        <v>7</v>
      </c>
      <c r="G237" s="30">
        <v>30</v>
      </c>
      <c r="H237" s="33">
        <v>4.2327173169062284</v>
      </c>
      <c r="I237" s="33">
        <v>4.0164271047227924</v>
      </c>
      <c r="J237" s="33">
        <v>8.2491444216290208</v>
      </c>
      <c r="K237" s="33">
        <v>4.2327173169062284</v>
      </c>
      <c r="L237" s="33">
        <v>4.2381930184804926</v>
      </c>
      <c r="M237" s="33">
        <v>8.470910335386721</v>
      </c>
      <c r="N237" s="33">
        <v>4.1861738535249833</v>
      </c>
      <c r="O237" s="33">
        <v>3.7782340862422998</v>
      </c>
      <c r="P237" s="33">
        <v>7.9644079397672831</v>
      </c>
      <c r="Q237" s="33" t="s">
        <v>7</v>
      </c>
      <c r="R237" s="33" t="s">
        <v>7</v>
      </c>
      <c r="S237" s="33" t="s">
        <v>7</v>
      </c>
      <c r="T237" s="12">
        <v>7</v>
      </c>
      <c r="U237" s="12">
        <v>21</v>
      </c>
      <c r="V237" s="4" t="s">
        <v>1</v>
      </c>
      <c r="W237" s="4">
        <v>1</v>
      </c>
      <c r="X237" s="4">
        <v>2</v>
      </c>
      <c r="Y237" s="4">
        <v>1</v>
      </c>
      <c r="Z237" s="56">
        <v>3</v>
      </c>
      <c r="AA237" s="9" cm="1">
        <f t="array" ref="AA237">IF(OR(AB237:AE237=""),"BLANK",IF(AND(AB237:AE237&lt;999),1,IF(AND(AB237:AE237="NA"),3,2)))</f>
        <v>1</v>
      </c>
      <c r="AB237" s="4">
        <v>40</v>
      </c>
      <c r="AC237" s="4">
        <v>18</v>
      </c>
      <c r="AD237" s="4">
        <v>12</v>
      </c>
      <c r="AE237" s="5">
        <v>70</v>
      </c>
      <c r="AF237" s="9">
        <f t="shared" si="3"/>
        <v>1</v>
      </c>
      <c r="AG237" s="5">
        <v>72</v>
      </c>
      <c r="AH237" s="9" cm="1">
        <f t="array" ref="AH237">IF(OR(AI237:AN237=""),"BLANK",IF(AND(AI237:AN237&lt;99),1,IF(AND(AI237:AN237="NA"),3,2)))</f>
        <v>2</v>
      </c>
      <c r="AI237" s="12" t="s">
        <v>7</v>
      </c>
      <c r="AJ237" s="4" t="s">
        <v>7</v>
      </c>
      <c r="AK237" s="21">
        <v>112.27</v>
      </c>
      <c r="AL237" s="21">
        <v>104.04</v>
      </c>
      <c r="AM237" s="21">
        <v>60.6</v>
      </c>
      <c r="AN237" s="22">
        <v>99.72</v>
      </c>
    </row>
    <row r="238" spans="1:40" x14ac:dyDescent="0.2">
      <c r="A238" s="15">
        <v>2440</v>
      </c>
      <c r="B238" s="4" t="s">
        <v>47</v>
      </c>
      <c r="C238" s="30" t="s">
        <v>24</v>
      </c>
      <c r="D238" s="30">
        <v>5</v>
      </c>
      <c r="E238" s="30">
        <v>0</v>
      </c>
      <c r="F238" s="30" t="s">
        <v>7</v>
      </c>
      <c r="G238" s="30">
        <v>27</v>
      </c>
      <c r="H238" s="29">
        <v>3.9835728952772076</v>
      </c>
      <c r="I238" s="29">
        <v>4.2874743326488707</v>
      </c>
      <c r="J238" s="29">
        <v>8.2710472279260774</v>
      </c>
      <c r="K238" s="29">
        <v>3.9835728952772076</v>
      </c>
      <c r="L238" s="29">
        <v>4.2874743326488707</v>
      </c>
      <c r="M238" s="29">
        <v>8.2710472279260774</v>
      </c>
      <c r="N238" s="29">
        <v>4.0821355236139629</v>
      </c>
      <c r="O238" s="29">
        <v>4.128678986995209</v>
      </c>
      <c r="P238" s="29">
        <v>8.2108145106091719</v>
      </c>
      <c r="Q238" s="29">
        <v>5.1498973305954827</v>
      </c>
      <c r="R238" s="29">
        <v>3.4715947980835042</v>
      </c>
      <c r="S238" s="29">
        <v>8.6214921286789874</v>
      </c>
      <c r="T238" s="12">
        <v>3</v>
      </c>
      <c r="U238" s="12">
        <v>14</v>
      </c>
      <c r="V238" s="4" t="s">
        <v>1</v>
      </c>
      <c r="W238" s="4">
        <v>1</v>
      </c>
      <c r="X238" s="4">
        <v>2</v>
      </c>
      <c r="Y238" s="4">
        <v>1</v>
      </c>
      <c r="Z238" s="56">
        <v>3</v>
      </c>
      <c r="AA238" s="9" cm="1">
        <f t="array" ref="AA238">IF(OR(AB238:AE238=""),"BLANK",IF(AND(AB238:AE238&lt;999),1,IF(AND(AB238:AE238="NA"),3,2)))</f>
        <v>1</v>
      </c>
      <c r="AB238" s="4">
        <v>34</v>
      </c>
      <c r="AC238" s="4">
        <v>19</v>
      </c>
      <c r="AD238" s="4">
        <v>12</v>
      </c>
      <c r="AE238" s="5">
        <v>65</v>
      </c>
      <c r="AF238" s="9">
        <f t="shared" si="3"/>
        <v>1</v>
      </c>
      <c r="AG238" s="5">
        <v>67</v>
      </c>
      <c r="AH238" s="9" cm="1">
        <f t="array" ref="AH238">IF(OR(AI238:AN238=""),"BLANK",IF(AND(AI238:AN238&lt;99),1,IF(AND(AI238:AN238="NA"),3,2)))</f>
        <v>2</v>
      </c>
      <c r="AI238" s="4">
        <v>6</v>
      </c>
      <c r="AJ238" s="4" t="s">
        <v>7</v>
      </c>
      <c r="AK238" s="23">
        <v>82.37</v>
      </c>
      <c r="AL238" s="23">
        <v>86.76</v>
      </c>
      <c r="AM238" s="23">
        <v>18.899999999999999</v>
      </c>
      <c r="AN238" s="24">
        <v>85.57</v>
      </c>
    </row>
    <row r="239" spans="1:40" x14ac:dyDescent="0.2">
      <c r="A239" s="15">
        <v>2543</v>
      </c>
      <c r="B239" s="4" t="s">
        <v>58</v>
      </c>
      <c r="C239" s="30" t="s">
        <v>23</v>
      </c>
      <c r="D239" s="30">
        <v>5</v>
      </c>
      <c r="E239" s="30">
        <v>0</v>
      </c>
      <c r="F239" s="30" t="s">
        <v>7</v>
      </c>
      <c r="G239" s="30">
        <v>30</v>
      </c>
      <c r="H239" s="33">
        <v>3.8138261464750172</v>
      </c>
      <c r="I239" s="33" t="s">
        <v>7</v>
      </c>
      <c r="J239" s="33" t="s">
        <v>7</v>
      </c>
      <c r="K239" s="33">
        <v>6.6776180698151952</v>
      </c>
      <c r="L239" s="33" t="s">
        <v>7</v>
      </c>
      <c r="M239" s="33" t="s">
        <v>7</v>
      </c>
      <c r="N239" s="33" t="s">
        <v>7</v>
      </c>
      <c r="O239" s="33" t="s">
        <v>7</v>
      </c>
      <c r="P239" s="33" t="s">
        <v>7</v>
      </c>
      <c r="Q239" s="33">
        <v>4.4052019164955514</v>
      </c>
      <c r="R239" s="33" t="s">
        <v>7</v>
      </c>
      <c r="S239" s="33" t="s">
        <v>7</v>
      </c>
      <c r="T239" s="12">
        <v>3</v>
      </c>
      <c r="U239" s="12">
        <v>13.5</v>
      </c>
      <c r="V239" s="4" t="s">
        <v>1</v>
      </c>
      <c r="W239" s="4">
        <v>1</v>
      </c>
      <c r="X239" s="4">
        <v>2</v>
      </c>
      <c r="Y239" s="4">
        <v>1</v>
      </c>
      <c r="Z239" s="56">
        <v>3</v>
      </c>
      <c r="AA239" s="9" cm="1">
        <f t="array" ref="AA239">IF(OR(AB239:AE239=""),"BLANK",IF(AND(AB239:AE239&lt;999),1,IF(AND(AB239:AE239="NA"),3,2)))</f>
        <v>1</v>
      </c>
      <c r="AB239" s="4">
        <v>25</v>
      </c>
      <c r="AC239" s="4">
        <v>13</v>
      </c>
      <c r="AD239" s="4">
        <v>10</v>
      </c>
      <c r="AE239" s="5">
        <v>48</v>
      </c>
      <c r="AF239" s="9">
        <f t="shared" si="3"/>
        <v>1</v>
      </c>
      <c r="AG239" s="5">
        <v>50</v>
      </c>
      <c r="AH239" s="9" cm="1">
        <f t="array" ref="AH239">IF(OR(AI239:AN239=""),"BLANK",IF(AND(AI239:AN239&lt;99),1,IF(AND(AI239:AN239="NA"),3,2)))</f>
        <v>2</v>
      </c>
      <c r="AI239" s="4">
        <v>10</v>
      </c>
      <c r="AJ239" s="4" t="s">
        <v>7</v>
      </c>
      <c r="AK239" s="23">
        <v>90.87</v>
      </c>
      <c r="AL239" s="23">
        <v>96.22</v>
      </c>
      <c r="AM239" s="23">
        <v>40.1</v>
      </c>
      <c r="AN239" s="24">
        <v>90.64</v>
      </c>
    </row>
    <row r="240" spans="1:40" x14ac:dyDescent="0.2">
      <c r="A240" s="15">
        <v>2561</v>
      </c>
      <c r="B240" s="4" t="s">
        <v>62</v>
      </c>
      <c r="C240" s="30" t="s">
        <v>24</v>
      </c>
      <c r="D240" s="30">
        <v>5</v>
      </c>
      <c r="E240" s="30">
        <v>0</v>
      </c>
      <c r="F240" s="30" t="s">
        <v>7</v>
      </c>
      <c r="G240" s="30">
        <v>30</v>
      </c>
      <c r="H240" s="33">
        <v>3.8631074606433948</v>
      </c>
      <c r="I240" s="33">
        <v>4.2929500342231348</v>
      </c>
      <c r="J240" s="33">
        <v>8.1560574948665305</v>
      </c>
      <c r="K240" s="33">
        <v>3.8631074606433948</v>
      </c>
      <c r="L240" s="33">
        <v>4.2929500342231348</v>
      </c>
      <c r="M240" s="33">
        <v>8.1560574948665305</v>
      </c>
      <c r="N240" s="33">
        <v>3.805612594113621</v>
      </c>
      <c r="O240" s="33">
        <v>4.3312799452429847</v>
      </c>
      <c r="P240" s="33">
        <v>8.1368925393566052</v>
      </c>
      <c r="Q240" s="33" t="s">
        <v>7</v>
      </c>
      <c r="R240" s="33" t="s">
        <v>7</v>
      </c>
      <c r="S240" s="33" t="s">
        <v>7</v>
      </c>
      <c r="T240" s="12">
        <v>3</v>
      </c>
      <c r="U240" s="12">
        <v>14</v>
      </c>
      <c r="V240" s="4" t="s">
        <v>1</v>
      </c>
      <c r="W240" s="4">
        <v>1</v>
      </c>
      <c r="X240" s="4">
        <v>2</v>
      </c>
      <c r="Y240" s="4">
        <v>1</v>
      </c>
      <c r="Z240" s="56">
        <v>3</v>
      </c>
      <c r="AA240" s="9" cm="1">
        <f t="array" ref="AA240">IF(OR(AB240:AE240=""),"BLANK",IF(AND(AB240:AE240&lt;999),1,IF(AND(AB240:AE240="NA"),3,2)))</f>
        <v>1</v>
      </c>
      <c r="AB240" s="4">
        <v>32</v>
      </c>
      <c r="AC240" s="4">
        <v>19</v>
      </c>
      <c r="AD240" s="4">
        <v>13</v>
      </c>
      <c r="AE240" s="5">
        <v>64</v>
      </c>
      <c r="AF240" s="9">
        <f t="shared" si="3"/>
        <v>1</v>
      </c>
      <c r="AG240" s="5">
        <v>43</v>
      </c>
      <c r="AH240" s="9" cm="1">
        <f t="array" ref="AH240">IF(OR(AI240:AN240=""),"BLANK",IF(AND(AI240:AN240&lt;99),1,IF(AND(AI240:AN240="NA"),3,2)))</f>
        <v>2</v>
      </c>
      <c r="AI240" s="4">
        <v>13</v>
      </c>
      <c r="AJ240" s="4" t="s">
        <v>7</v>
      </c>
      <c r="AK240" s="23">
        <v>94.1</v>
      </c>
      <c r="AL240" s="23">
        <v>97.5</v>
      </c>
      <c r="AM240" s="23">
        <v>43.3</v>
      </c>
      <c r="AN240" s="24">
        <v>95.36</v>
      </c>
    </row>
    <row r="241" spans="1:40" x14ac:dyDescent="0.2">
      <c r="A241" s="15">
        <v>2743</v>
      </c>
      <c r="B241" s="4" t="s">
        <v>66</v>
      </c>
      <c r="C241" s="30" t="s">
        <v>24</v>
      </c>
      <c r="D241" s="30">
        <v>5</v>
      </c>
      <c r="E241" s="30">
        <v>0</v>
      </c>
      <c r="F241" s="30" t="s">
        <v>7</v>
      </c>
      <c r="G241" s="30">
        <v>27</v>
      </c>
      <c r="H241" s="29">
        <v>3.5865845311430529</v>
      </c>
      <c r="I241" s="29" t="s">
        <v>7</v>
      </c>
      <c r="J241" s="29" t="s">
        <v>7</v>
      </c>
      <c r="K241" s="29">
        <v>3.5263518138261465</v>
      </c>
      <c r="L241" s="29" t="s">
        <v>7</v>
      </c>
      <c r="M241" s="29" t="s">
        <v>7</v>
      </c>
      <c r="N241" s="29">
        <v>3.7563312799452429</v>
      </c>
      <c r="O241" s="29" t="s">
        <v>7</v>
      </c>
      <c r="P241" s="29" t="s">
        <v>7</v>
      </c>
      <c r="Q241" s="29">
        <v>3.9479808350444903</v>
      </c>
      <c r="R241" s="29" t="s">
        <v>7</v>
      </c>
      <c r="S241" s="29" t="s">
        <v>7</v>
      </c>
      <c r="T241" s="12">
        <v>2</v>
      </c>
      <c r="U241" s="12">
        <v>12</v>
      </c>
      <c r="V241" s="4" t="s">
        <v>1</v>
      </c>
      <c r="W241" s="4">
        <v>1</v>
      </c>
      <c r="X241" s="4">
        <v>2</v>
      </c>
      <c r="Y241" s="4">
        <v>1</v>
      </c>
      <c r="Z241" s="56">
        <v>3</v>
      </c>
      <c r="AA241" s="9" cm="1">
        <f t="array" ref="AA241">IF(OR(AB241:AE241=""),"BLANK",IF(AND(AB241:AE241&lt;999),1,IF(AND(AB241:AE241="NA"),3,2)))</f>
        <v>1</v>
      </c>
      <c r="AB241" s="4">
        <v>20</v>
      </c>
      <c r="AC241" s="4">
        <v>12</v>
      </c>
      <c r="AD241" s="4">
        <v>7</v>
      </c>
      <c r="AE241" s="5">
        <v>39</v>
      </c>
      <c r="AF241" s="9">
        <f t="shared" si="3"/>
        <v>1</v>
      </c>
      <c r="AG241" s="5">
        <v>29</v>
      </c>
      <c r="AH241" s="9" cm="1">
        <f t="array" ref="AH241">IF(OR(AI241:AN241=""),"BLANK",IF(AND(AI241:AN241&lt;99),1,IF(AND(AI241:AN241="NA"),3,2)))</f>
        <v>2</v>
      </c>
      <c r="AI241" s="4">
        <v>12</v>
      </c>
      <c r="AJ241" s="4" t="s">
        <v>7</v>
      </c>
      <c r="AK241" s="23">
        <v>94.02</v>
      </c>
      <c r="AL241" s="23">
        <v>104.2</v>
      </c>
      <c r="AM241" s="23">
        <v>61</v>
      </c>
      <c r="AN241" s="24">
        <v>107.66</v>
      </c>
    </row>
    <row r="242" spans="1:40" x14ac:dyDescent="0.2">
      <c r="A242" s="15">
        <v>2748</v>
      </c>
      <c r="B242" s="4" t="s">
        <v>47</v>
      </c>
      <c r="C242" s="30" t="s">
        <v>24</v>
      </c>
      <c r="D242" s="30">
        <v>5</v>
      </c>
      <c r="E242" s="30">
        <v>0</v>
      </c>
      <c r="F242" s="30" t="s">
        <v>7</v>
      </c>
      <c r="G242" s="30">
        <v>29</v>
      </c>
      <c r="H242" s="29">
        <v>3.6194387405886381</v>
      </c>
      <c r="I242" s="29">
        <v>4.3312799452429847</v>
      </c>
      <c r="J242" s="29">
        <v>7.9507186858316219</v>
      </c>
      <c r="K242" s="29">
        <v>3.6194387405886381</v>
      </c>
      <c r="L242" s="29">
        <v>4.3312799452429847</v>
      </c>
      <c r="M242" s="29">
        <v>7.9507186858316219</v>
      </c>
      <c r="N242" s="29">
        <v>5.0650239561943877</v>
      </c>
      <c r="O242" s="29" t="s">
        <v>7</v>
      </c>
      <c r="P242" s="29" t="s">
        <v>7</v>
      </c>
      <c r="Q242" s="29">
        <v>4.8021902806297057</v>
      </c>
      <c r="R242" s="29" t="s">
        <v>7</v>
      </c>
      <c r="S242" s="29" t="s">
        <v>7</v>
      </c>
      <c r="T242" s="12">
        <v>3</v>
      </c>
      <c r="U242" s="12">
        <v>14</v>
      </c>
      <c r="V242" s="4" t="s">
        <v>1</v>
      </c>
      <c r="W242" s="4">
        <v>1</v>
      </c>
      <c r="X242" s="4">
        <v>2</v>
      </c>
      <c r="Y242" s="4">
        <v>1</v>
      </c>
      <c r="Z242" s="56">
        <v>3</v>
      </c>
      <c r="AA242" s="9" cm="1">
        <f t="array" ref="AA242">IF(OR(AB242:AE242=""),"BLANK",IF(AND(AB242:AE242&lt;999),1,IF(AND(AB242:AE242="NA"),3,2)))</f>
        <v>1</v>
      </c>
      <c r="AB242" s="4">
        <v>20</v>
      </c>
      <c r="AC242" s="4">
        <v>11</v>
      </c>
      <c r="AD242" s="4">
        <v>9</v>
      </c>
      <c r="AE242" s="5">
        <v>40</v>
      </c>
      <c r="AF242" s="9">
        <f t="shared" si="3"/>
        <v>1</v>
      </c>
      <c r="AG242" s="5">
        <v>34</v>
      </c>
      <c r="AH242" s="9" cm="1">
        <f t="array" ref="AH242">IF(OR(AI242:AN242=""),"BLANK",IF(AND(AI242:AN242&lt;99),1,IF(AND(AI242:AN242="NA"),3,2)))</f>
        <v>2</v>
      </c>
      <c r="AI242" s="4">
        <v>11</v>
      </c>
      <c r="AJ242" s="4" t="s">
        <v>7</v>
      </c>
      <c r="AK242" s="23">
        <v>93.55</v>
      </c>
      <c r="AL242" s="23">
        <v>103.51</v>
      </c>
      <c r="AM242" s="23">
        <v>59.1</v>
      </c>
      <c r="AN242" s="24">
        <v>102.89</v>
      </c>
    </row>
    <row r="243" spans="1:40" x14ac:dyDescent="0.2">
      <c r="A243" s="15">
        <v>2790</v>
      </c>
      <c r="B243" s="4" t="s">
        <v>58</v>
      </c>
      <c r="C243" s="30" t="s">
        <v>23</v>
      </c>
      <c r="D243" s="30">
        <v>5</v>
      </c>
      <c r="E243" s="30">
        <v>0</v>
      </c>
      <c r="F243" s="30" t="s">
        <v>7</v>
      </c>
      <c r="G243" s="30">
        <v>30</v>
      </c>
      <c r="H243" s="33">
        <v>3.5975359342915811</v>
      </c>
      <c r="I243" s="33">
        <v>4.2518822724161529</v>
      </c>
      <c r="J243" s="33">
        <v>7.8494182067077345</v>
      </c>
      <c r="K243" s="33">
        <v>3.5975359342915811</v>
      </c>
      <c r="L243" s="33">
        <v>4.2518822724161529</v>
      </c>
      <c r="M243" s="33">
        <v>7.8494182067077345</v>
      </c>
      <c r="N243" s="33">
        <v>3.5838466803559208</v>
      </c>
      <c r="O243" s="33">
        <v>4.2080766598220398</v>
      </c>
      <c r="P243" s="33">
        <v>7.7919233401779602</v>
      </c>
      <c r="Q243" s="33" t="s">
        <v>7</v>
      </c>
      <c r="R243" s="33" t="s">
        <v>7</v>
      </c>
      <c r="S243" s="33" t="s">
        <v>7</v>
      </c>
      <c r="T243" s="12">
        <v>3</v>
      </c>
      <c r="U243" s="12">
        <v>14</v>
      </c>
      <c r="V243" s="4" t="s">
        <v>1</v>
      </c>
      <c r="W243" s="4">
        <v>1</v>
      </c>
      <c r="X243" s="4">
        <v>2</v>
      </c>
      <c r="Y243" s="4">
        <v>1</v>
      </c>
      <c r="Z243" s="56">
        <v>3</v>
      </c>
      <c r="AA243" s="9" cm="1">
        <f t="array" ref="AA243">IF(OR(AB243:AE243=""),"BLANK",IF(AND(AB243:AE243&lt;999),1,IF(AND(AB243:AE243="NA"),3,2)))</f>
        <v>1</v>
      </c>
      <c r="AB243" s="4">
        <v>32</v>
      </c>
      <c r="AC243" s="4">
        <v>24</v>
      </c>
      <c r="AD243" s="4">
        <v>16</v>
      </c>
      <c r="AE243" s="5">
        <v>72</v>
      </c>
      <c r="AF243" s="9">
        <f t="shared" si="3"/>
        <v>1</v>
      </c>
      <c r="AG243" s="5">
        <v>63</v>
      </c>
      <c r="AH243" s="9" cm="1">
        <f t="array" ref="AH243">IF(OR(AI243:AN243=""),"BLANK",IF(AND(AI243:AN243&lt;99),1,IF(AND(AI243:AN243="NA"),3,2)))</f>
        <v>2</v>
      </c>
      <c r="AI243" s="4">
        <v>20</v>
      </c>
      <c r="AJ243" s="4" t="s">
        <v>7</v>
      </c>
      <c r="AK243" s="23">
        <v>103.28</v>
      </c>
      <c r="AL243" s="23">
        <v>115.12</v>
      </c>
      <c r="AM243" s="23">
        <v>84.4</v>
      </c>
      <c r="AN243" s="24">
        <v>109.53</v>
      </c>
    </row>
    <row r="244" spans="1:40" x14ac:dyDescent="0.2">
      <c r="A244" s="15">
        <v>2813</v>
      </c>
      <c r="B244" s="4" t="s">
        <v>66</v>
      </c>
      <c r="C244" s="30" t="s">
        <v>23</v>
      </c>
      <c r="D244" s="30">
        <v>5</v>
      </c>
      <c r="E244" s="30">
        <v>0</v>
      </c>
      <c r="F244" s="30" t="s">
        <v>7</v>
      </c>
      <c r="G244" s="30">
        <v>26</v>
      </c>
      <c r="H244" s="29">
        <v>3.5893223819301849</v>
      </c>
      <c r="I244" s="29" t="s">
        <v>7</v>
      </c>
      <c r="J244" s="29" t="s">
        <v>7</v>
      </c>
      <c r="K244" s="29">
        <v>3.5893223819301849</v>
      </c>
      <c r="L244" s="29" t="s">
        <v>7</v>
      </c>
      <c r="M244" s="29" t="s">
        <v>7</v>
      </c>
      <c r="N244" s="29">
        <v>3.6358658453114305</v>
      </c>
      <c r="O244" s="29" t="s">
        <v>7</v>
      </c>
      <c r="P244" s="29" t="s">
        <v>7</v>
      </c>
      <c r="Q244" s="29">
        <v>4.4845995893223822</v>
      </c>
      <c r="R244" s="29" t="s">
        <v>7</v>
      </c>
      <c r="S244" s="29" t="s">
        <v>7</v>
      </c>
      <c r="T244" s="12">
        <v>2</v>
      </c>
      <c r="U244" s="12">
        <v>12</v>
      </c>
      <c r="V244" s="4" t="s">
        <v>1</v>
      </c>
      <c r="W244" s="4">
        <v>1</v>
      </c>
      <c r="X244" s="4">
        <v>2</v>
      </c>
      <c r="Y244" s="4">
        <v>1</v>
      </c>
      <c r="Z244" s="56">
        <v>3</v>
      </c>
      <c r="AA244" s="9" cm="1">
        <f t="array" ref="AA244">IF(OR(AB244:AE244=""),"BLANK",IF(AND(AB244:AE244&lt;999),1,IF(AND(AB244:AE244="NA"),3,2)))</f>
        <v>1</v>
      </c>
      <c r="AB244" s="4">
        <v>24</v>
      </c>
      <c r="AC244" s="4">
        <v>11</v>
      </c>
      <c r="AD244" s="4">
        <v>10</v>
      </c>
      <c r="AE244" s="5">
        <v>45</v>
      </c>
      <c r="AF244" s="9">
        <f t="shared" si="3"/>
        <v>1</v>
      </c>
      <c r="AG244" s="5">
        <v>42</v>
      </c>
      <c r="AH244" s="9" cm="1">
        <f t="array" ref="AH244">IF(OR(AI244:AN244=""),"BLANK",IF(AND(AI244:AN244&lt;99),1,IF(AND(AI244:AN244="NA"),3,2)))</f>
        <v>2</v>
      </c>
      <c r="AI244" s="4">
        <v>12</v>
      </c>
      <c r="AJ244" s="4" t="s">
        <v>7</v>
      </c>
      <c r="AK244" s="23">
        <v>91.52</v>
      </c>
      <c r="AL244" s="23">
        <v>100.4</v>
      </c>
      <c r="AM244" s="23">
        <v>51.2</v>
      </c>
      <c r="AN244" s="24">
        <v>94.72</v>
      </c>
    </row>
    <row r="245" spans="1:40" x14ac:dyDescent="0.2">
      <c r="A245" s="15">
        <v>2819</v>
      </c>
      <c r="B245" s="4" t="s">
        <v>54</v>
      </c>
      <c r="C245" s="30" t="s">
        <v>23</v>
      </c>
      <c r="D245" s="30">
        <v>5</v>
      </c>
      <c r="E245" s="30">
        <v>0</v>
      </c>
      <c r="F245" s="30" t="s">
        <v>7</v>
      </c>
      <c r="G245" s="30">
        <v>26</v>
      </c>
      <c r="H245" s="29">
        <v>4.1971252566735116</v>
      </c>
      <c r="I245" s="29" t="s">
        <v>7</v>
      </c>
      <c r="J245" s="29" t="s">
        <v>7</v>
      </c>
      <c r="K245" s="29">
        <v>4.1916495550992474</v>
      </c>
      <c r="L245" s="29" t="s">
        <v>7</v>
      </c>
      <c r="M245" s="29" t="s">
        <v>7</v>
      </c>
      <c r="N245" s="29">
        <v>4.1642710472279258</v>
      </c>
      <c r="O245" s="29" t="s">
        <v>7</v>
      </c>
      <c r="P245" s="29" t="s">
        <v>7</v>
      </c>
      <c r="Q245" s="29">
        <v>5.1909650924024637</v>
      </c>
      <c r="R245" s="29" t="s">
        <v>7</v>
      </c>
      <c r="S245" s="29" t="s">
        <v>7</v>
      </c>
      <c r="T245" s="12">
        <v>2</v>
      </c>
      <c r="U245" s="12">
        <v>12</v>
      </c>
      <c r="V245" s="4" t="s">
        <v>1</v>
      </c>
      <c r="W245" s="4">
        <v>1</v>
      </c>
      <c r="X245" s="4">
        <v>2</v>
      </c>
      <c r="Y245" s="4">
        <v>1</v>
      </c>
      <c r="Z245" s="56">
        <v>3</v>
      </c>
      <c r="AA245" s="9" cm="1">
        <f t="array" ref="AA245">IF(OR(AB245:AE245=""),"BLANK",IF(AND(AB245:AE245&lt;999),1,IF(AND(AB245:AE245="NA"),3,2)))</f>
        <v>1</v>
      </c>
      <c r="AB245" s="4">
        <v>26</v>
      </c>
      <c r="AC245" s="4">
        <v>13</v>
      </c>
      <c r="AD245" s="4">
        <v>8</v>
      </c>
      <c r="AE245" s="5">
        <v>47</v>
      </c>
      <c r="AF245" s="9">
        <f t="shared" si="3"/>
        <v>1</v>
      </c>
      <c r="AG245" s="5">
        <v>54</v>
      </c>
      <c r="AH245" s="9" cm="1">
        <f t="array" ref="AH245">IF(OR(AI245:AN245=""),"BLANK",IF(AND(AI245:AN245&lt;99),1,IF(AND(AI245:AN245="NA"),3,2)))</f>
        <v>2</v>
      </c>
      <c r="AI245" s="4">
        <v>20</v>
      </c>
      <c r="AJ245" s="4" t="s">
        <v>7</v>
      </c>
      <c r="AK245" s="23">
        <v>105.63</v>
      </c>
      <c r="AL245" s="23">
        <v>118.3</v>
      </c>
      <c r="AM245" s="23">
        <v>88.9</v>
      </c>
      <c r="AN245" s="24">
        <v>117.05</v>
      </c>
    </row>
    <row r="246" spans="1:40" x14ac:dyDescent="0.2">
      <c r="A246" s="15">
        <v>2872</v>
      </c>
      <c r="B246" s="4" t="s">
        <v>59</v>
      </c>
      <c r="C246" s="30" t="s">
        <v>23</v>
      </c>
      <c r="D246" s="30">
        <v>5</v>
      </c>
      <c r="E246" s="30">
        <v>0</v>
      </c>
      <c r="F246" s="30" t="s">
        <v>7</v>
      </c>
      <c r="G246" s="30">
        <v>30</v>
      </c>
      <c r="H246" s="29">
        <v>3.463381245722108</v>
      </c>
      <c r="I246" s="29" t="s">
        <v>7</v>
      </c>
      <c r="J246" s="29" t="s">
        <v>7</v>
      </c>
      <c r="K246" s="29">
        <v>3.4715947980835042</v>
      </c>
      <c r="L246" s="29" t="s">
        <v>7</v>
      </c>
      <c r="M246" s="29" t="s">
        <v>7</v>
      </c>
      <c r="N246" s="29">
        <v>3.7453798767967146</v>
      </c>
      <c r="O246" s="29">
        <v>3.7207392197125255</v>
      </c>
      <c r="P246" s="29">
        <v>7.4661190965092405</v>
      </c>
      <c r="Q246" s="29">
        <v>3.7125256673511293</v>
      </c>
      <c r="R246" s="29" t="s">
        <v>7</v>
      </c>
      <c r="S246" s="29" t="s">
        <v>7</v>
      </c>
      <c r="T246" s="12">
        <v>5</v>
      </c>
      <c r="U246" s="12">
        <v>17</v>
      </c>
      <c r="V246" s="4" t="s">
        <v>1</v>
      </c>
      <c r="W246" s="4">
        <v>1</v>
      </c>
      <c r="X246" s="4">
        <v>2</v>
      </c>
      <c r="Y246" s="4">
        <v>1</v>
      </c>
      <c r="Z246" s="56">
        <v>3</v>
      </c>
      <c r="AA246" s="9" cm="1">
        <f t="array" ref="AA246">IF(OR(AB246:AE246=""),"BLANK",IF(AND(AB246:AE246&lt;999),1,IF(AND(AB246:AE246="NA"),3,2)))</f>
        <v>1</v>
      </c>
      <c r="AB246" s="4">
        <v>37</v>
      </c>
      <c r="AC246" s="4">
        <v>22</v>
      </c>
      <c r="AD246" s="4">
        <v>14</v>
      </c>
      <c r="AE246" s="5">
        <v>73</v>
      </c>
      <c r="AF246" s="9">
        <f t="shared" si="3"/>
        <v>1</v>
      </c>
      <c r="AG246" s="5">
        <v>63</v>
      </c>
      <c r="AH246" s="9" cm="1">
        <f t="array" ref="AH246">IF(OR(AI246:AN246=""),"BLANK",IF(AND(AI246:AN246&lt;99),1,IF(AND(AI246:AN246="NA"),3,2)))</f>
        <v>2</v>
      </c>
      <c r="AI246" s="4">
        <v>12</v>
      </c>
      <c r="AJ246" s="4" t="s">
        <v>7</v>
      </c>
      <c r="AK246" s="23">
        <v>93.23</v>
      </c>
      <c r="AL246" s="23">
        <v>100.24</v>
      </c>
      <c r="AM246" s="23">
        <v>50.8</v>
      </c>
      <c r="AN246" s="24">
        <v>94.76</v>
      </c>
    </row>
    <row r="247" spans="1:40" x14ac:dyDescent="0.2">
      <c r="A247" s="15">
        <v>2885</v>
      </c>
      <c r="B247" s="4" t="s">
        <v>62</v>
      </c>
      <c r="C247" s="30" t="s">
        <v>23</v>
      </c>
      <c r="D247" s="30">
        <v>5</v>
      </c>
      <c r="E247" s="30">
        <v>0</v>
      </c>
      <c r="F247" s="30" t="s">
        <v>7</v>
      </c>
      <c r="G247" s="30">
        <v>30</v>
      </c>
      <c r="H247" s="29">
        <v>3.6577686516084875</v>
      </c>
      <c r="I247" s="29">
        <v>4.4982888432580426</v>
      </c>
      <c r="J247" s="29">
        <v>8.1560574948665305</v>
      </c>
      <c r="K247" s="29">
        <v>3.6577686516084875</v>
      </c>
      <c r="L247" s="29">
        <v>4.5475701574264207</v>
      </c>
      <c r="M247" s="29">
        <v>8.2053388090349078</v>
      </c>
      <c r="N247" s="29">
        <v>3.7371663244353184</v>
      </c>
      <c r="O247" s="29">
        <v>4.3531827515400412</v>
      </c>
      <c r="P247" s="29">
        <v>8.0903490759753591</v>
      </c>
      <c r="Q247" s="29">
        <v>4.6160164271047224</v>
      </c>
      <c r="R247" s="29">
        <v>3.6796714579055441</v>
      </c>
      <c r="S247" s="29">
        <v>8.2956878850102669</v>
      </c>
      <c r="T247" s="12">
        <v>3</v>
      </c>
      <c r="U247" s="12">
        <v>14</v>
      </c>
      <c r="V247" s="4" t="s">
        <v>1</v>
      </c>
      <c r="W247" s="4">
        <v>1</v>
      </c>
      <c r="X247" s="4">
        <v>2</v>
      </c>
      <c r="Y247" s="4">
        <v>1</v>
      </c>
      <c r="Z247" s="56">
        <v>3</v>
      </c>
      <c r="AA247" s="9" cm="1">
        <f t="array" ref="AA247">IF(OR(AB247:AE247=""),"BLANK",IF(AND(AB247:AE247&lt;999),1,IF(AND(AB247:AE247="NA"),3,2)))</f>
        <v>1</v>
      </c>
      <c r="AB247" s="4">
        <v>32</v>
      </c>
      <c r="AC247" s="4">
        <v>19</v>
      </c>
      <c r="AD247" s="4">
        <v>13</v>
      </c>
      <c r="AE247" s="5">
        <v>64</v>
      </c>
      <c r="AF247" s="9">
        <f t="shared" si="3"/>
        <v>1</v>
      </c>
      <c r="AG247" s="5">
        <v>72</v>
      </c>
      <c r="AH247" s="9" cm="1">
        <f t="array" ref="AH247">IF(OR(AI247:AN247=""),"BLANK",IF(AND(AI247:AN247&lt;99),1,IF(AND(AI247:AN247="NA"),3,2)))</f>
        <v>2</v>
      </c>
      <c r="AI247" s="4">
        <v>19</v>
      </c>
      <c r="AJ247" s="4" t="s">
        <v>7</v>
      </c>
      <c r="AK247" s="23">
        <v>106.85</v>
      </c>
      <c r="AL247" s="23">
        <v>114.91</v>
      </c>
      <c r="AM247" s="23">
        <v>83.9</v>
      </c>
      <c r="AN247" s="24">
        <v>107.76</v>
      </c>
    </row>
    <row r="248" spans="1:40" x14ac:dyDescent="0.2">
      <c r="A248" s="15">
        <v>2893</v>
      </c>
      <c r="B248" s="4" t="s">
        <v>47</v>
      </c>
      <c r="C248" s="30" t="s">
        <v>23</v>
      </c>
      <c r="D248" s="30">
        <v>5</v>
      </c>
      <c r="E248" s="30">
        <v>0</v>
      </c>
      <c r="F248" s="30" t="s">
        <v>7</v>
      </c>
      <c r="G248" s="30">
        <v>29</v>
      </c>
      <c r="H248" s="33">
        <v>3.9014373716632442</v>
      </c>
      <c r="I248" s="33" t="s">
        <v>7</v>
      </c>
      <c r="J248" s="33" t="s">
        <v>7</v>
      </c>
      <c r="K248" s="33">
        <v>3.9014373716632442</v>
      </c>
      <c r="L248" s="33" t="s">
        <v>7</v>
      </c>
      <c r="M248" s="33" t="s">
        <v>7</v>
      </c>
      <c r="N248" s="33">
        <v>3.871321013004791</v>
      </c>
      <c r="O248" s="33" t="s">
        <v>7</v>
      </c>
      <c r="P248" s="33" t="s">
        <v>7</v>
      </c>
      <c r="Q248" s="33" t="s">
        <v>7</v>
      </c>
      <c r="R248" s="33" t="s">
        <v>7</v>
      </c>
      <c r="S248" s="33" t="s">
        <v>7</v>
      </c>
      <c r="T248" s="12">
        <v>3</v>
      </c>
      <c r="U248" s="12">
        <v>15</v>
      </c>
      <c r="V248" s="4" t="s">
        <v>1</v>
      </c>
      <c r="W248" s="4">
        <v>1</v>
      </c>
      <c r="X248" s="4">
        <v>2</v>
      </c>
      <c r="Y248" s="4">
        <v>1</v>
      </c>
      <c r="Z248" s="56">
        <v>3</v>
      </c>
      <c r="AA248" s="9" cm="1">
        <f t="array" ref="AA248">IF(OR(AB248:AE248=""),"BLANK",IF(AND(AB248:AE248&lt;999),1,IF(AND(AB248:AE248="NA"),3,2)))</f>
        <v>1</v>
      </c>
      <c r="AB248" s="4">
        <v>30</v>
      </c>
      <c r="AC248" s="4">
        <v>21</v>
      </c>
      <c r="AD248" s="4">
        <v>15</v>
      </c>
      <c r="AE248" s="5">
        <v>66</v>
      </c>
      <c r="AF248" s="9">
        <f t="shared" si="3"/>
        <v>1</v>
      </c>
      <c r="AG248" s="5">
        <v>61</v>
      </c>
      <c r="AH248" s="9" cm="1">
        <f t="array" ref="AH248">IF(OR(AI248:AN248=""),"BLANK",IF(AND(AI248:AN248&lt;99),1,IF(AND(AI248:AN248="NA"),3,2)))</f>
        <v>2</v>
      </c>
      <c r="AI248" s="4">
        <v>8</v>
      </c>
      <c r="AJ248" s="4" t="s">
        <v>7</v>
      </c>
      <c r="AK248" s="23">
        <v>87.1</v>
      </c>
      <c r="AL248" s="23">
        <v>94.41</v>
      </c>
      <c r="AM248" s="23">
        <v>35.6</v>
      </c>
      <c r="AN248" s="24">
        <v>88.6</v>
      </c>
    </row>
    <row r="249" spans="1:40" x14ac:dyDescent="0.2">
      <c r="A249" s="15">
        <v>2909</v>
      </c>
      <c r="B249" s="4" t="s">
        <v>58</v>
      </c>
      <c r="C249" s="30" t="s">
        <v>23</v>
      </c>
      <c r="D249" s="30">
        <v>5</v>
      </c>
      <c r="E249" s="30">
        <v>0</v>
      </c>
      <c r="F249" s="30" t="s">
        <v>7</v>
      </c>
      <c r="G249" s="30">
        <v>30</v>
      </c>
      <c r="H249" s="33">
        <v>3.4496919917864477</v>
      </c>
      <c r="I249" s="33">
        <v>4.0930869267624912</v>
      </c>
      <c r="J249" s="33">
        <v>7.5427789185489393</v>
      </c>
      <c r="K249" s="33">
        <v>3.4496919917864477</v>
      </c>
      <c r="L249" s="33" t="s">
        <v>7</v>
      </c>
      <c r="M249" s="33" t="s">
        <v>7</v>
      </c>
      <c r="N249" s="33">
        <v>3.4414784394250515</v>
      </c>
      <c r="O249" s="33" t="s">
        <v>7</v>
      </c>
      <c r="P249" s="33" t="s">
        <v>7</v>
      </c>
      <c r="Q249" s="33">
        <v>3.8329911019849416</v>
      </c>
      <c r="R249" s="33" t="s">
        <v>7</v>
      </c>
      <c r="S249" s="33" t="s">
        <v>7</v>
      </c>
      <c r="T249" s="12">
        <v>4</v>
      </c>
      <c r="U249" s="12">
        <v>16</v>
      </c>
      <c r="V249" s="4" t="s">
        <v>1</v>
      </c>
      <c r="W249" s="4">
        <v>1</v>
      </c>
      <c r="X249" s="4">
        <v>2</v>
      </c>
      <c r="Y249" s="4">
        <v>1</v>
      </c>
      <c r="Z249" s="56">
        <v>3</v>
      </c>
      <c r="AA249" s="9" cm="1">
        <f t="array" ref="AA249">IF(OR(AB249:AE249=""),"BLANK",IF(AND(AB249:AE249&lt;999),1,IF(AND(AB249:AE249="NA"),3,2)))</f>
        <v>1</v>
      </c>
      <c r="AB249" s="4">
        <v>26</v>
      </c>
      <c r="AC249" s="4">
        <v>13</v>
      </c>
      <c r="AD249" s="4">
        <v>7</v>
      </c>
      <c r="AE249" s="5">
        <v>46</v>
      </c>
      <c r="AF249" s="9">
        <f t="shared" si="3"/>
        <v>1</v>
      </c>
      <c r="AG249" s="5">
        <v>45</v>
      </c>
      <c r="AH249" s="9" cm="1">
        <f t="array" ref="AH249">IF(OR(AI249:AN249=""),"BLANK",IF(AND(AI249:AN249&lt;99),1,IF(AND(AI249:AN249="NA"),3,2)))</f>
        <v>2</v>
      </c>
      <c r="AI249" s="4">
        <v>17</v>
      </c>
      <c r="AJ249" s="4" t="s">
        <v>7</v>
      </c>
      <c r="AK249" s="23">
        <v>97.54</v>
      </c>
      <c r="AL249" s="23">
        <v>105.71</v>
      </c>
      <c r="AM249" s="23">
        <v>64.8</v>
      </c>
      <c r="AN249" s="24">
        <v>100.04</v>
      </c>
    </row>
    <row r="250" spans="1:40" x14ac:dyDescent="0.2">
      <c r="A250" s="15">
        <v>2940</v>
      </c>
      <c r="B250" s="4" t="s">
        <v>58</v>
      </c>
      <c r="C250" s="30" t="s">
        <v>23</v>
      </c>
      <c r="D250" s="30">
        <v>5</v>
      </c>
      <c r="E250" s="30">
        <v>0</v>
      </c>
      <c r="F250" s="30" t="s">
        <v>7</v>
      </c>
      <c r="G250" s="30">
        <v>28</v>
      </c>
      <c r="H250" s="29">
        <v>4.0629705681040384</v>
      </c>
      <c r="I250" s="29">
        <v>3.8740588637919235</v>
      </c>
      <c r="J250" s="29">
        <v>7.9370294318959616</v>
      </c>
      <c r="K250" s="29">
        <v>4.0629705681040384</v>
      </c>
      <c r="L250" s="29">
        <v>3.8740588637919235</v>
      </c>
      <c r="M250" s="29">
        <v>7.9370294318959616</v>
      </c>
      <c r="N250" s="29">
        <v>4.0629705681040384</v>
      </c>
      <c r="O250" s="29">
        <v>3.8384668035592062</v>
      </c>
      <c r="P250" s="29">
        <v>7.9014373716632447</v>
      </c>
      <c r="Q250" s="29">
        <v>4.5201916495550991</v>
      </c>
      <c r="R250" s="29">
        <v>3.5756331279945242</v>
      </c>
      <c r="S250" s="29">
        <v>8.0958247775496233</v>
      </c>
      <c r="T250" s="12">
        <v>3</v>
      </c>
      <c r="U250" s="12">
        <v>14</v>
      </c>
      <c r="V250" s="4" t="s">
        <v>1</v>
      </c>
      <c r="W250" s="4">
        <v>1</v>
      </c>
      <c r="X250" s="4">
        <v>2</v>
      </c>
      <c r="Y250" s="4">
        <v>1</v>
      </c>
      <c r="Z250" s="56">
        <v>3</v>
      </c>
      <c r="AA250" s="9" cm="1">
        <f t="array" ref="AA250">IF(OR(AB250:AE250=""),"BLANK",IF(AND(AB250:AE250&lt;999),1,IF(AND(AB250:AE250="NA"),3,2)))</f>
        <v>1</v>
      </c>
      <c r="AB250" s="4">
        <v>27</v>
      </c>
      <c r="AC250" s="4">
        <v>16</v>
      </c>
      <c r="AD250" s="4">
        <v>10</v>
      </c>
      <c r="AE250" s="5">
        <v>53</v>
      </c>
      <c r="AF250" s="9">
        <f t="shared" si="3"/>
        <v>1</v>
      </c>
      <c r="AG250" s="5">
        <v>53</v>
      </c>
      <c r="AH250" s="9" cm="1">
        <f t="array" ref="AH250">IF(OR(AI250:AN250=""),"BLANK",IF(AND(AI250:AN250&lt;99),1,IF(AND(AI250:AN250="NA"),3,2)))</f>
        <v>2</v>
      </c>
      <c r="AI250" s="4">
        <v>17</v>
      </c>
      <c r="AJ250" s="4" t="s">
        <v>7</v>
      </c>
      <c r="AK250" s="23">
        <v>100.35</v>
      </c>
      <c r="AL250" s="23">
        <v>110.16</v>
      </c>
      <c r="AM250" s="23">
        <v>75.2</v>
      </c>
      <c r="AN250" s="24" t="s">
        <v>7</v>
      </c>
    </row>
    <row r="251" spans="1:40" x14ac:dyDescent="0.2">
      <c r="A251" s="15">
        <v>2976</v>
      </c>
      <c r="B251" s="4" t="s">
        <v>47</v>
      </c>
      <c r="C251" s="30" t="s">
        <v>23</v>
      </c>
      <c r="D251" s="30">
        <v>5</v>
      </c>
      <c r="E251" s="30">
        <v>0</v>
      </c>
      <c r="F251" s="30" t="s">
        <v>7</v>
      </c>
      <c r="G251" s="30">
        <v>28</v>
      </c>
      <c r="H251" s="29">
        <v>3.5154004106776182</v>
      </c>
      <c r="I251" s="29">
        <v>4.3258042436687196</v>
      </c>
      <c r="J251" s="29">
        <v>7.8412046543463383</v>
      </c>
      <c r="K251" s="29">
        <v>3.5154004106776182</v>
      </c>
      <c r="L251" s="29">
        <v>4.3258042436687196</v>
      </c>
      <c r="M251" s="29">
        <v>7.8412046543463383</v>
      </c>
      <c r="N251" s="29">
        <v>3.5071868583162216</v>
      </c>
      <c r="O251" s="29">
        <v>4.6242299794661195</v>
      </c>
      <c r="P251" s="29">
        <v>8.131416837782341</v>
      </c>
      <c r="Q251" s="29">
        <v>3.893223819301848</v>
      </c>
      <c r="R251" s="29">
        <v>3.8439425051334704</v>
      </c>
      <c r="S251" s="29">
        <v>7.7371663244353179</v>
      </c>
      <c r="T251" s="12">
        <v>3</v>
      </c>
      <c r="U251" s="12">
        <v>15</v>
      </c>
      <c r="V251" s="4" t="s">
        <v>1</v>
      </c>
      <c r="W251" s="4">
        <v>1</v>
      </c>
      <c r="X251" s="4">
        <v>2</v>
      </c>
      <c r="Y251" s="4">
        <v>1</v>
      </c>
      <c r="Z251" s="56">
        <v>3</v>
      </c>
      <c r="AA251" s="9" cm="1">
        <f t="array" ref="AA251">IF(OR(AB251:AE251=""),"BLANK",IF(AND(AB251:AE251&lt;999),1,IF(AND(AB251:AE251="NA"),3,2)))</f>
        <v>1</v>
      </c>
      <c r="AB251" s="4">
        <v>25</v>
      </c>
      <c r="AC251" s="4">
        <v>12</v>
      </c>
      <c r="AD251" s="4">
        <v>10</v>
      </c>
      <c r="AE251" s="5">
        <v>47</v>
      </c>
      <c r="AF251" s="9">
        <f t="shared" si="3"/>
        <v>1</v>
      </c>
      <c r="AG251" s="5">
        <v>45</v>
      </c>
      <c r="AH251" s="9" cm="1">
        <f t="array" ref="AH251">IF(OR(AI251:AN251=""),"BLANK",IF(AND(AI251:AN251&lt;99),1,IF(AND(AI251:AN251="NA"),3,2)))</f>
        <v>2</v>
      </c>
      <c r="AI251" s="4">
        <v>13</v>
      </c>
      <c r="AJ251" s="4" t="s">
        <v>7</v>
      </c>
      <c r="AK251" s="23">
        <v>93.31</v>
      </c>
      <c r="AL251" s="23">
        <v>103.21</v>
      </c>
      <c r="AM251" s="23">
        <v>58.3</v>
      </c>
      <c r="AN251" s="24">
        <v>97.65</v>
      </c>
    </row>
    <row r="252" spans="1:40" x14ac:dyDescent="0.2">
      <c r="A252" s="15">
        <v>3005</v>
      </c>
      <c r="B252" s="4" t="s">
        <v>70</v>
      </c>
      <c r="C252" s="30" t="s">
        <v>23</v>
      </c>
      <c r="D252" s="30">
        <v>5</v>
      </c>
      <c r="E252" s="30">
        <v>0</v>
      </c>
      <c r="F252" s="30" t="s">
        <v>7</v>
      </c>
      <c r="G252" s="30">
        <v>29</v>
      </c>
      <c r="H252" s="33">
        <v>3.7015742642026011</v>
      </c>
      <c r="I252" s="33" t="s">
        <v>7</v>
      </c>
      <c r="J252" s="33" t="s">
        <v>7</v>
      </c>
      <c r="K252" s="33">
        <v>3.7015742642026011</v>
      </c>
      <c r="L252" s="33" t="s">
        <v>7</v>
      </c>
      <c r="M252" s="33" t="s">
        <v>7</v>
      </c>
      <c r="N252" s="33">
        <v>3.676933607118412</v>
      </c>
      <c r="O252" s="33" t="s">
        <v>7</v>
      </c>
      <c r="P252" s="33" t="s">
        <v>7</v>
      </c>
      <c r="Q252" s="33">
        <v>4.4626967830253248</v>
      </c>
      <c r="R252" s="33" t="s">
        <v>7</v>
      </c>
      <c r="S252" s="33" t="s">
        <v>7</v>
      </c>
      <c r="T252" s="12">
        <v>1</v>
      </c>
      <c r="U252" s="12">
        <v>11</v>
      </c>
      <c r="V252" s="4" t="s">
        <v>1</v>
      </c>
      <c r="W252" s="4">
        <v>1</v>
      </c>
      <c r="X252" s="4">
        <v>2</v>
      </c>
      <c r="Y252" s="4">
        <v>1</v>
      </c>
      <c r="Z252" s="56">
        <v>3</v>
      </c>
      <c r="AA252" s="9" cm="1">
        <f t="array" ref="AA252">IF(OR(AB252:AE252=""),"BLANK",IF(AND(AB252:AE252&lt;999),1,IF(AND(AB252:AE252="NA"),3,2)))</f>
        <v>1</v>
      </c>
      <c r="AB252" s="4">
        <v>13</v>
      </c>
      <c r="AC252" s="4">
        <v>10</v>
      </c>
      <c r="AD252" s="4">
        <v>8</v>
      </c>
      <c r="AE252" s="5">
        <v>31</v>
      </c>
      <c r="AF252" s="9">
        <f t="shared" si="3"/>
        <v>1</v>
      </c>
      <c r="AG252" s="5">
        <v>22</v>
      </c>
      <c r="AH252" s="9" cm="1">
        <f t="array" ref="AH252">IF(OR(AI252:AN252=""),"BLANK",IF(AND(AI252:AN252&lt;99),1,IF(AND(AI252:AN252="NA"),3,2)))</f>
        <v>2</v>
      </c>
      <c r="AI252" s="4">
        <v>3</v>
      </c>
      <c r="AJ252" s="4" t="s">
        <v>7</v>
      </c>
      <c r="AK252" s="23" t="s">
        <v>7</v>
      </c>
      <c r="AL252" s="23" t="s">
        <v>7</v>
      </c>
      <c r="AM252" s="23" t="s">
        <v>7</v>
      </c>
      <c r="AN252" s="24" t="s">
        <v>7</v>
      </c>
    </row>
    <row r="253" spans="1:40" x14ac:dyDescent="0.2">
      <c r="A253" s="15">
        <v>3025</v>
      </c>
      <c r="B253" s="4" t="s">
        <v>54</v>
      </c>
      <c r="C253" s="30" t="s">
        <v>23</v>
      </c>
      <c r="D253" s="30">
        <v>5</v>
      </c>
      <c r="E253" s="30">
        <v>0</v>
      </c>
      <c r="F253" s="30" t="s">
        <v>7</v>
      </c>
      <c r="G253" s="30">
        <v>29</v>
      </c>
      <c r="H253" s="33">
        <v>3.4305270362765228</v>
      </c>
      <c r="I253" s="33">
        <v>4.0520191649555102</v>
      </c>
      <c r="J253" s="33">
        <v>7.482546201232033</v>
      </c>
      <c r="K253" s="33">
        <v>3.4305270362765228</v>
      </c>
      <c r="L253" s="33">
        <v>4.0547570157426422</v>
      </c>
      <c r="M253" s="33">
        <v>7.485284052019165</v>
      </c>
      <c r="N253" s="33">
        <v>3.460643394934976</v>
      </c>
      <c r="O253" s="33">
        <v>3.9972621492128679</v>
      </c>
      <c r="P253" s="33">
        <v>7.4579055441478443</v>
      </c>
      <c r="Q253" s="33">
        <v>4.1560574948665296</v>
      </c>
      <c r="R253" s="33" t="s">
        <v>7</v>
      </c>
      <c r="S253" s="33" t="s">
        <v>7</v>
      </c>
      <c r="T253" s="12">
        <v>4</v>
      </c>
      <c r="U253" s="12">
        <v>16</v>
      </c>
      <c r="V253" s="4" t="s">
        <v>1</v>
      </c>
      <c r="W253" s="4">
        <v>1</v>
      </c>
      <c r="X253" s="4">
        <v>2</v>
      </c>
      <c r="Y253" s="4">
        <v>1</v>
      </c>
      <c r="Z253" s="56">
        <v>3</v>
      </c>
      <c r="AA253" s="9" cm="1">
        <f t="array" ref="AA253">IF(OR(AB253:AE253=""),"BLANK",IF(AND(AB253:AE253&lt;999),1,IF(AND(AB253:AE253="NA"),3,2)))</f>
        <v>1</v>
      </c>
      <c r="AB253" s="4">
        <v>41</v>
      </c>
      <c r="AC253" s="4">
        <v>23</v>
      </c>
      <c r="AD253" s="4">
        <v>15</v>
      </c>
      <c r="AE253" s="5">
        <v>79</v>
      </c>
      <c r="AF253" s="9">
        <f t="shared" si="3"/>
        <v>1</v>
      </c>
      <c r="AG253" s="5">
        <v>66</v>
      </c>
      <c r="AH253" s="9" cm="1">
        <f t="array" ref="AH253">IF(OR(AI253:AN253=""),"BLANK",IF(AND(AI253:AN253&lt;99),1,IF(AND(AI253:AN253="NA"),3,2)))</f>
        <v>3</v>
      </c>
      <c r="AI253" s="4" t="s">
        <v>7</v>
      </c>
      <c r="AJ253" s="4" t="s">
        <v>7</v>
      </c>
      <c r="AK253" s="23" t="s">
        <v>7</v>
      </c>
      <c r="AL253" s="23" t="s">
        <v>7</v>
      </c>
      <c r="AM253" s="23" t="s">
        <v>7</v>
      </c>
      <c r="AN253" s="24" t="s">
        <v>7</v>
      </c>
    </row>
    <row r="254" spans="1:40" x14ac:dyDescent="0.2">
      <c r="A254" s="15">
        <v>3053</v>
      </c>
      <c r="B254" s="4" t="s">
        <v>59</v>
      </c>
      <c r="C254" s="30" t="s">
        <v>24</v>
      </c>
      <c r="D254" s="30">
        <v>2</v>
      </c>
      <c r="E254" s="30">
        <v>0</v>
      </c>
      <c r="F254" s="30" t="s">
        <v>7</v>
      </c>
      <c r="G254" s="30" t="s">
        <v>7</v>
      </c>
      <c r="H254" s="33">
        <v>5.6290212183435999</v>
      </c>
      <c r="I254" s="33" t="s">
        <v>7</v>
      </c>
      <c r="J254" s="33" t="s">
        <v>7</v>
      </c>
      <c r="K254" s="33">
        <v>5.6344969199178641</v>
      </c>
      <c r="L254" s="33" t="s">
        <v>7</v>
      </c>
      <c r="M254" s="33" t="s">
        <v>7</v>
      </c>
      <c r="N254" s="33">
        <v>5.5797399041752227</v>
      </c>
      <c r="O254" s="33" t="s">
        <v>7</v>
      </c>
      <c r="P254" s="33" t="s">
        <v>7</v>
      </c>
      <c r="Q254" s="33" t="s">
        <v>7</v>
      </c>
      <c r="R254" s="33" t="s">
        <v>7</v>
      </c>
      <c r="S254" s="33" t="s">
        <v>7</v>
      </c>
      <c r="T254" s="12">
        <v>3</v>
      </c>
      <c r="U254" s="12">
        <v>15</v>
      </c>
      <c r="V254" s="4" t="s">
        <v>1</v>
      </c>
      <c r="W254" s="4">
        <v>1</v>
      </c>
      <c r="X254" s="4">
        <v>2</v>
      </c>
      <c r="Y254" s="4">
        <v>1</v>
      </c>
      <c r="Z254" s="56">
        <v>3</v>
      </c>
      <c r="AA254" s="9" cm="1">
        <f t="array" ref="AA254">IF(OR(AB254:AE254=""),"BLANK",IF(AND(AB254:AE254&lt;999),1,IF(AND(AB254:AE254="NA"),3,2)))</f>
        <v>3</v>
      </c>
      <c r="AB254" s="4" t="s">
        <v>7</v>
      </c>
      <c r="AC254" s="4" t="s">
        <v>7</v>
      </c>
      <c r="AD254" s="4" t="s">
        <v>7</v>
      </c>
      <c r="AE254" s="5" t="s">
        <v>7</v>
      </c>
      <c r="AF254" s="9">
        <f t="shared" si="3"/>
        <v>3</v>
      </c>
      <c r="AG254" s="5" t="s">
        <v>7</v>
      </c>
      <c r="AH254" s="9" cm="1">
        <f t="array" ref="AH254">IF(OR(AI254:AN254=""),"BLANK",IF(AND(AI254:AN254&lt;99),1,IF(AND(AI254:AN254="NA"),3,2)))</f>
        <v>3</v>
      </c>
      <c r="AI254" s="4" t="s">
        <v>7</v>
      </c>
      <c r="AJ254" s="4" t="s">
        <v>7</v>
      </c>
      <c r="AK254" s="23" t="s">
        <v>7</v>
      </c>
      <c r="AL254" s="23" t="s">
        <v>7</v>
      </c>
      <c r="AM254" s="23" t="s">
        <v>7</v>
      </c>
      <c r="AN254" s="24" t="s">
        <v>7</v>
      </c>
    </row>
    <row r="255" spans="1:40" x14ac:dyDescent="0.2">
      <c r="A255" s="15">
        <v>3066</v>
      </c>
      <c r="B255" s="4" t="s">
        <v>54</v>
      </c>
      <c r="C255" s="30" t="s">
        <v>23</v>
      </c>
      <c r="D255" s="30">
        <v>5</v>
      </c>
      <c r="E255" s="30">
        <v>0</v>
      </c>
      <c r="F255" s="30" t="s">
        <v>7</v>
      </c>
      <c r="G255" s="30">
        <v>29</v>
      </c>
      <c r="H255" s="33">
        <v>3.5619438740588638</v>
      </c>
      <c r="I255" s="33">
        <v>3.8576317590691307</v>
      </c>
      <c r="J255" s="33">
        <v>7.4195756331279945</v>
      </c>
      <c r="K255" s="33">
        <v>3.5619438740588638</v>
      </c>
      <c r="L255" s="33">
        <v>3.8576317590691307</v>
      </c>
      <c r="M255" s="33">
        <v>7.4195756331279945</v>
      </c>
      <c r="N255" s="33">
        <v>3.5318275154004106</v>
      </c>
      <c r="O255" s="33">
        <v>3.8439425051334704</v>
      </c>
      <c r="P255" s="33">
        <v>7.3757700205338805</v>
      </c>
      <c r="Q255" s="33">
        <v>3.9644079397672827</v>
      </c>
      <c r="R255" s="33" t="s">
        <v>7</v>
      </c>
      <c r="S255" s="33" t="s">
        <v>7</v>
      </c>
      <c r="T255" s="12">
        <v>3</v>
      </c>
      <c r="U255" s="12">
        <v>14</v>
      </c>
      <c r="V255" s="4" t="s">
        <v>1</v>
      </c>
      <c r="W255" s="4">
        <v>1</v>
      </c>
      <c r="X255" s="4">
        <v>2</v>
      </c>
      <c r="Y255" s="4">
        <v>1</v>
      </c>
      <c r="Z255" s="56">
        <v>3</v>
      </c>
      <c r="AA255" s="9" cm="1">
        <f t="array" ref="AA255">IF(OR(AB255:AE255=""),"BLANK",IF(AND(AB255:AE255&lt;999),1,IF(AND(AB255:AE255="NA"),3,2)))</f>
        <v>1</v>
      </c>
      <c r="AB255" s="4">
        <v>34</v>
      </c>
      <c r="AC255" s="4">
        <v>18</v>
      </c>
      <c r="AD255" s="4">
        <v>11</v>
      </c>
      <c r="AE255" s="5">
        <v>63</v>
      </c>
      <c r="AF255" s="9">
        <f t="shared" si="3"/>
        <v>1</v>
      </c>
      <c r="AG255" s="5">
        <v>55</v>
      </c>
      <c r="AH255" s="9" cm="1">
        <f t="array" ref="AH255">IF(OR(AI255:AN255=""),"BLANK",IF(AND(AI255:AN255&lt;99),1,IF(AND(AI255:AN255="NA"),3,2)))</f>
        <v>2</v>
      </c>
      <c r="AI255" s="4">
        <v>14</v>
      </c>
      <c r="AJ255" s="4" t="s">
        <v>7</v>
      </c>
      <c r="AK255" s="23">
        <v>95.73</v>
      </c>
      <c r="AL255" s="23">
        <v>103.89</v>
      </c>
      <c r="AM255" s="23">
        <v>60.3</v>
      </c>
      <c r="AN255" s="24">
        <v>98.77</v>
      </c>
    </row>
    <row r="256" spans="1:40" x14ac:dyDescent="0.2">
      <c r="A256" s="15">
        <v>3102</v>
      </c>
      <c r="B256" s="4" t="s">
        <v>48</v>
      </c>
      <c r="C256" s="30" t="s">
        <v>24</v>
      </c>
      <c r="D256" s="30">
        <v>5</v>
      </c>
      <c r="E256" s="30">
        <v>0</v>
      </c>
      <c r="F256" s="30" t="s">
        <v>7</v>
      </c>
      <c r="G256" s="30">
        <v>27</v>
      </c>
      <c r="H256" s="29">
        <v>3.4715947980835042</v>
      </c>
      <c r="I256" s="29">
        <v>3.9753593429158109</v>
      </c>
      <c r="J256" s="29">
        <v>7.4469541409993152</v>
      </c>
      <c r="K256" s="29">
        <v>3.4688569472963722</v>
      </c>
      <c r="L256" s="29">
        <v>3.9753593429158109</v>
      </c>
      <c r="M256" s="29">
        <v>7.4442162902121831</v>
      </c>
      <c r="N256" s="29">
        <v>3.4360027378507869</v>
      </c>
      <c r="O256" s="29">
        <v>3.9698836413415468</v>
      </c>
      <c r="P256" s="29">
        <v>7.4058863791923342</v>
      </c>
      <c r="Q256" s="29">
        <v>3.8439425051334704</v>
      </c>
      <c r="R256" s="29" t="s">
        <v>7</v>
      </c>
      <c r="S256" s="29" t="s">
        <v>7</v>
      </c>
      <c r="T256" s="12">
        <v>4</v>
      </c>
      <c r="U256" s="12">
        <v>16</v>
      </c>
      <c r="V256" s="4" t="s">
        <v>1</v>
      </c>
      <c r="W256" s="4">
        <v>1</v>
      </c>
      <c r="X256" s="4">
        <v>2</v>
      </c>
      <c r="Y256" s="4">
        <v>1</v>
      </c>
      <c r="Z256" s="56">
        <v>3</v>
      </c>
      <c r="AA256" s="9" cm="1">
        <f t="array" ref="AA256">IF(OR(AB256:AE256=""),"BLANK",IF(AND(AB256:AE256&lt;999),1,IF(AND(AB256:AE256="NA"),3,2)))</f>
        <v>1</v>
      </c>
      <c r="AB256" s="4">
        <v>19</v>
      </c>
      <c r="AC256" s="4">
        <v>11</v>
      </c>
      <c r="AD256" s="4">
        <v>8</v>
      </c>
      <c r="AE256" s="5">
        <v>38</v>
      </c>
      <c r="AF256" s="9">
        <f t="shared" si="3"/>
        <v>1</v>
      </c>
      <c r="AG256" s="5">
        <v>28</v>
      </c>
      <c r="AH256" s="9" cm="1">
        <f t="array" ref="AH256">IF(OR(AI256:AN256=""),"BLANK",IF(AND(AI256:AN256&lt;99),1,IF(AND(AI256:AN256="NA"),3,2)))</f>
        <v>2</v>
      </c>
      <c r="AI256" s="4">
        <v>5</v>
      </c>
      <c r="AJ256" s="4" t="s">
        <v>7</v>
      </c>
      <c r="AK256" s="23">
        <v>78.959999999999994</v>
      </c>
      <c r="AL256" s="23">
        <v>83.57</v>
      </c>
      <c r="AM256" s="23">
        <v>13.6</v>
      </c>
      <c r="AN256" s="24">
        <v>82.52</v>
      </c>
    </row>
    <row r="257" spans="1:40" x14ac:dyDescent="0.2">
      <c r="A257" s="15">
        <v>3126</v>
      </c>
      <c r="B257" s="4" t="s">
        <v>47</v>
      </c>
      <c r="C257" s="30" t="s">
        <v>23</v>
      </c>
      <c r="D257" s="30">
        <v>5</v>
      </c>
      <c r="E257" s="30">
        <v>0</v>
      </c>
      <c r="F257" s="30" t="s">
        <v>7</v>
      </c>
      <c r="G257" s="30">
        <v>30</v>
      </c>
      <c r="H257" s="29">
        <v>3.4770704996577688</v>
      </c>
      <c r="I257" s="29">
        <v>4.3531827515400412</v>
      </c>
      <c r="J257" s="29">
        <v>7.83025325119781</v>
      </c>
      <c r="K257" s="29">
        <v>3.5646817248459959</v>
      </c>
      <c r="L257" s="29">
        <v>4.2464065708418888</v>
      </c>
      <c r="M257" s="29">
        <v>7.8110882956878847</v>
      </c>
      <c r="N257" s="29">
        <v>3.5592060232717317</v>
      </c>
      <c r="O257" s="29">
        <v>4.1916495550992474</v>
      </c>
      <c r="P257" s="29">
        <v>7.7508555783709792</v>
      </c>
      <c r="Q257" s="29">
        <v>3.6550308008213555</v>
      </c>
      <c r="R257" s="29" t="s">
        <v>7</v>
      </c>
      <c r="S257" s="29" t="s">
        <v>7</v>
      </c>
      <c r="T257" s="12">
        <v>3</v>
      </c>
      <c r="U257" s="12">
        <v>15</v>
      </c>
      <c r="V257" s="4" t="s">
        <v>1</v>
      </c>
      <c r="W257" s="4">
        <v>1</v>
      </c>
      <c r="X257" s="4">
        <v>2</v>
      </c>
      <c r="Y257" s="4">
        <v>1</v>
      </c>
      <c r="Z257" s="56">
        <v>3</v>
      </c>
      <c r="AA257" s="9" cm="1">
        <f t="array" ref="AA257">IF(OR(AB257:AE257=""),"BLANK",IF(AND(AB257:AE257&lt;999),1,IF(AND(AB257:AE257="NA"),3,2)))</f>
        <v>1</v>
      </c>
      <c r="AB257" s="4">
        <v>29</v>
      </c>
      <c r="AC257" s="4">
        <v>16</v>
      </c>
      <c r="AD257" s="4">
        <v>10</v>
      </c>
      <c r="AE257" s="5">
        <v>55</v>
      </c>
      <c r="AF257" s="9">
        <f t="shared" si="3"/>
        <v>1</v>
      </c>
      <c r="AG257" s="5">
        <v>34</v>
      </c>
      <c r="AH257" s="9" cm="1">
        <f t="array" ref="AH257">IF(OR(AI257:AN257=""),"BLANK",IF(AND(AI257:AN257&lt;99),1,IF(AND(AI257:AN257="NA"),3,2)))</f>
        <v>2</v>
      </c>
      <c r="AI257" s="4">
        <v>8</v>
      </c>
      <c r="AJ257" s="4" t="s">
        <v>7</v>
      </c>
      <c r="AK257" s="23">
        <v>83.66</v>
      </c>
      <c r="AL257" s="23">
        <v>89.03</v>
      </c>
      <c r="AM257" s="23">
        <v>23.3</v>
      </c>
      <c r="AN257" s="24">
        <v>83.14</v>
      </c>
    </row>
    <row r="258" spans="1:40" x14ac:dyDescent="0.2">
      <c r="A258" s="15">
        <v>3131</v>
      </c>
      <c r="B258" s="4" t="s">
        <v>65</v>
      </c>
      <c r="C258" s="30" t="s">
        <v>23</v>
      </c>
      <c r="D258" s="30">
        <v>5</v>
      </c>
      <c r="E258" s="30">
        <v>0</v>
      </c>
      <c r="F258" s="30" t="s">
        <v>7</v>
      </c>
      <c r="G258" s="30">
        <v>29</v>
      </c>
      <c r="H258" s="29">
        <v>3.5482546201232035</v>
      </c>
      <c r="I258" s="29">
        <v>4.2902121834360027</v>
      </c>
      <c r="J258" s="29">
        <v>7.8384668035592062</v>
      </c>
      <c r="K258" s="29">
        <v>3.5482546201232035</v>
      </c>
      <c r="L258" s="29">
        <v>4.2902121834360027</v>
      </c>
      <c r="M258" s="29">
        <v>7.8384668035592062</v>
      </c>
      <c r="N258" s="29">
        <v>3.5400410677618068</v>
      </c>
      <c r="O258" s="29">
        <v>4.3230663928815876</v>
      </c>
      <c r="P258" s="29">
        <v>7.8631074606433948</v>
      </c>
      <c r="Q258" s="29">
        <v>3.4086242299794662</v>
      </c>
      <c r="R258" s="29">
        <v>4.2546201232032859</v>
      </c>
      <c r="S258" s="29">
        <v>7.6632443531827512</v>
      </c>
      <c r="T258" s="12">
        <v>3</v>
      </c>
      <c r="U258" s="12">
        <v>14.5</v>
      </c>
      <c r="V258" s="4" t="s">
        <v>1</v>
      </c>
      <c r="W258" s="4">
        <v>1</v>
      </c>
      <c r="X258" s="4">
        <v>2</v>
      </c>
      <c r="Y258" s="4">
        <v>1</v>
      </c>
      <c r="Z258" s="56">
        <v>3</v>
      </c>
      <c r="AA258" s="9" cm="1">
        <f t="array" ref="AA258">IF(OR(AB258:AE258=""),"BLANK",IF(AND(AB258:AE258&lt;999),1,IF(AND(AB258:AE258="NA"),3,2)))</f>
        <v>1</v>
      </c>
      <c r="AB258" s="4">
        <v>26</v>
      </c>
      <c r="AC258" s="4">
        <v>15</v>
      </c>
      <c r="AD258" s="4">
        <v>15</v>
      </c>
      <c r="AE258" s="5">
        <v>56</v>
      </c>
      <c r="AF258" s="9">
        <f t="shared" ref="AF258:AF321" si="4">IF(OR(AG258="NA", AG258="xx"), 3,1)</f>
        <v>1</v>
      </c>
      <c r="AG258" s="5">
        <v>45</v>
      </c>
      <c r="AH258" s="9" cm="1">
        <f t="array" ref="AH258">IF(OR(AI258:AN258=""),"BLANK",IF(AND(AI258:AN258&lt;99),1,IF(AND(AI258:AN258="NA"),3,2)))</f>
        <v>2</v>
      </c>
      <c r="AI258" s="4">
        <v>6</v>
      </c>
      <c r="AJ258" s="4" t="s">
        <v>7</v>
      </c>
      <c r="AK258" s="23">
        <v>78.959999999999994</v>
      </c>
      <c r="AL258" s="23">
        <v>91.26</v>
      </c>
      <c r="AM258" s="23">
        <v>28.1</v>
      </c>
      <c r="AN258" s="24">
        <v>86.61</v>
      </c>
    </row>
    <row r="259" spans="1:40" x14ac:dyDescent="0.2">
      <c r="A259" s="15">
        <v>3146</v>
      </c>
      <c r="B259" s="4" t="s">
        <v>66</v>
      </c>
      <c r="C259" s="30" t="s">
        <v>24</v>
      </c>
      <c r="D259" s="30">
        <v>5</v>
      </c>
      <c r="E259" s="30">
        <v>1</v>
      </c>
      <c r="F259" s="30" t="s">
        <v>7</v>
      </c>
      <c r="G259" s="30">
        <v>25</v>
      </c>
      <c r="H259" s="29">
        <v>3.460643394934976</v>
      </c>
      <c r="I259" s="29">
        <v>4.5393566050650236</v>
      </c>
      <c r="J259" s="29">
        <v>8</v>
      </c>
      <c r="K259" s="29">
        <v>3.460643394934976</v>
      </c>
      <c r="L259" s="29">
        <v>4.6543463381245722</v>
      </c>
      <c r="M259" s="29">
        <v>8.1149897330595486</v>
      </c>
      <c r="N259" s="29">
        <v>3.5263518138261465</v>
      </c>
      <c r="O259" s="29">
        <v>4.4791238877481181</v>
      </c>
      <c r="P259" s="29">
        <v>8.0054757015742641</v>
      </c>
      <c r="Q259" s="29">
        <v>3.5455167693360714</v>
      </c>
      <c r="R259" s="29" t="s">
        <v>7</v>
      </c>
      <c r="S259" s="29" t="s">
        <v>7</v>
      </c>
      <c r="T259" s="12">
        <v>3</v>
      </c>
      <c r="U259" s="12">
        <v>13</v>
      </c>
      <c r="V259" s="4" t="s">
        <v>1</v>
      </c>
      <c r="W259" s="4">
        <v>1</v>
      </c>
      <c r="X259" s="4">
        <v>2</v>
      </c>
      <c r="Y259" s="4">
        <v>1</v>
      </c>
      <c r="Z259" s="56">
        <v>3</v>
      </c>
      <c r="AA259" s="9" cm="1">
        <f t="array" ref="AA259">IF(OR(AB259:AE259=""),"BLANK",IF(AND(AB259:AE259&lt;999),1,IF(AND(AB259:AE259="NA"),3,2)))</f>
        <v>1</v>
      </c>
      <c r="AB259" s="4">
        <v>26</v>
      </c>
      <c r="AC259" s="4">
        <v>13</v>
      </c>
      <c r="AD259" s="4">
        <v>12</v>
      </c>
      <c r="AE259" s="5">
        <v>51</v>
      </c>
      <c r="AF259" s="9">
        <f t="shared" si="4"/>
        <v>1</v>
      </c>
      <c r="AG259" s="5">
        <v>42</v>
      </c>
      <c r="AH259" s="9" cm="1">
        <f t="array" ref="AH259">IF(OR(AI259:AN259=""),"BLANK",IF(AND(AI259:AN259&lt;99),1,IF(AND(AI259:AN259="NA"),3,2)))</f>
        <v>2</v>
      </c>
      <c r="AI259" s="4">
        <v>19</v>
      </c>
      <c r="AJ259" s="4" t="s">
        <v>7</v>
      </c>
      <c r="AK259" s="23">
        <v>103.59</v>
      </c>
      <c r="AL259" s="23">
        <v>119.21</v>
      </c>
      <c r="AM259" s="23">
        <v>90</v>
      </c>
      <c r="AN259" s="24">
        <v>118.56</v>
      </c>
    </row>
    <row r="260" spans="1:40" x14ac:dyDescent="0.2">
      <c r="A260" s="15">
        <v>3163</v>
      </c>
      <c r="B260" s="4" t="s">
        <v>46</v>
      </c>
      <c r="C260" s="30" t="s">
        <v>24</v>
      </c>
      <c r="D260" s="30">
        <v>5</v>
      </c>
      <c r="E260" s="30">
        <v>0</v>
      </c>
      <c r="F260" s="30" t="s">
        <v>7</v>
      </c>
      <c r="G260" s="30">
        <v>30</v>
      </c>
      <c r="H260" s="29">
        <v>3.3921971252566734</v>
      </c>
      <c r="I260" s="29">
        <v>4.5010266940451746</v>
      </c>
      <c r="J260" s="29">
        <v>7.8932238193018485</v>
      </c>
      <c r="K260" s="29">
        <v>3.3921971252566734</v>
      </c>
      <c r="L260" s="29">
        <v>4.5010266940451746</v>
      </c>
      <c r="M260" s="29">
        <v>7.8932238193018485</v>
      </c>
      <c r="N260" s="29">
        <v>3.4086242299794662</v>
      </c>
      <c r="O260" s="29" t="s">
        <v>7</v>
      </c>
      <c r="P260" s="29" t="s">
        <v>7</v>
      </c>
      <c r="Q260" s="29">
        <v>3.8302532511978096</v>
      </c>
      <c r="R260" s="29" t="s">
        <v>7</v>
      </c>
      <c r="S260" s="29" t="s">
        <v>7</v>
      </c>
      <c r="T260" s="12">
        <v>4</v>
      </c>
      <c r="U260" s="12">
        <v>16</v>
      </c>
      <c r="V260" s="4" t="s">
        <v>1</v>
      </c>
      <c r="W260" s="4">
        <v>1</v>
      </c>
      <c r="X260" s="4">
        <v>2</v>
      </c>
      <c r="Y260" s="4">
        <v>1</v>
      </c>
      <c r="Z260" s="56">
        <v>3</v>
      </c>
      <c r="AA260" s="9" cm="1">
        <f t="array" ref="AA260">IF(OR(AB260:AE260=""),"BLANK",IF(AND(AB260:AE260&lt;999),1,IF(AND(AB260:AE260="NA"),3,2)))</f>
        <v>1</v>
      </c>
      <c r="AB260" s="4">
        <v>32</v>
      </c>
      <c r="AC260" s="4">
        <v>20</v>
      </c>
      <c r="AD260" s="4">
        <v>17</v>
      </c>
      <c r="AE260" s="5">
        <v>69</v>
      </c>
      <c r="AF260" s="9">
        <f t="shared" si="4"/>
        <v>1</v>
      </c>
      <c r="AG260" s="5">
        <v>60</v>
      </c>
      <c r="AH260" s="9" cm="1">
        <f t="array" ref="AH260">IF(OR(AI260:AN260=""),"BLANK",IF(AND(AI260:AN260&lt;99),1,IF(AND(AI260:AN260="NA"),3,2)))</f>
        <v>2</v>
      </c>
      <c r="AI260" s="4">
        <v>11</v>
      </c>
      <c r="AJ260" s="4" t="s">
        <v>7</v>
      </c>
      <c r="AK260" s="23">
        <v>90.95</v>
      </c>
      <c r="AL260" s="23">
        <v>91.87</v>
      </c>
      <c r="AM260" s="23">
        <v>29.5</v>
      </c>
      <c r="AN260" s="24">
        <v>89.81</v>
      </c>
    </row>
    <row r="261" spans="1:40" x14ac:dyDescent="0.2">
      <c r="A261" s="15">
        <v>3182</v>
      </c>
      <c r="B261" s="4" t="s">
        <v>59</v>
      </c>
      <c r="C261" s="30" t="s">
        <v>24</v>
      </c>
      <c r="D261" s="30">
        <v>5</v>
      </c>
      <c r="E261" s="30">
        <v>0</v>
      </c>
      <c r="F261" s="30" t="s">
        <v>7</v>
      </c>
      <c r="G261" s="30">
        <v>26</v>
      </c>
      <c r="H261" s="33">
        <v>3.5509924709103355</v>
      </c>
      <c r="I261" s="33" t="s">
        <v>7</v>
      </c>
      <c r="J261" s="33" t="s">
        <v>7</v>
      </c>
      <c r="K261" s="33">
        <v>3.5646817248459959</v>
      </c>
      <c r="L261" s="33" t="s">
        <v>7</v>
      </c>
      <c r="M261" s="33" t="s">
        <v>7</v>
      </c>
      <c r="N261" s="33">
        <v>3.5509924709103355</v>
      </c>
      <c r="O261" s="33" t="s">
        <v>7</v>
      </c>
      <c r="P261" s="33" t="s">
        <v>7</v>
      </c>
      <c r="Q261" s="33">
        <v>3.3319644079397674</v>
      </c>
      <c r="R261" s="33" t="s">
        <v>7</v>
      </c>
      <c r="S261" s="33" t="s">
        <v>7</v>
      </c>
      <c r="T261" s="12" t="s">
        <v>7</v>
      </c>
      <c r="U261" s="12" t="s">
        <v>7</v>
      </c>
      <c r="V261" s="4" t="s">
        <v>1</v>
      </c>
      <c r="W261" s="4">
        <v>1</v>
      </c>
      <c r="X261" s="4">
        <v>2</v>
      </c>
      <c r="Y261" s="4">
        <v>1</v>
      </c>
      <c r="Z261" s="56">
        <v>3</v>
      </c>
      <c r="AA261" s="9" cm="1">
        <f t="array" ref="AA261">IF(OR(AB261:AE261=""),"BLANK",IF(AND(AB261:AE261&lt;999),1,IF(AND(AB261:AE261="NA"),3,2)))</f>
        <v>1</v>
      </c>
      <c r="AB261" s="4">
        <v>32</v>
      </c>
      <c r="AC261" s="4">
        <v>21</v>
      </c>
      <c r="AD261" s="4">
        <v>16</v>
      </c>
      <c r="AE261" s="5">
        <v>69</v>
      </c>
      <c r="AF261" s="9">
        <f t="shared" si="4"/>
        <v>1</v>
      </c>
      <c r="AG261" s="5">
        <v>56</v>
      </c>
      <c r="AH261" s="9" cm="1">
        <f t="array" ref="AH261">IF(OR(AI261:AN261=""),"BLANK",IF(AND(AI261:AN261&lt;99),1,IF(AND(AI261:AN261="NA"),3,2)))</f>
        <v>2</v>
      </c>
      <c r="AI261" s="4">
        <v>25</v>
      </c>
      <c r="AJ261" s="4" t="s">
        <v>7</v>
      </c>
      <c r="AK261" s="23">
        <v>113.72</v>
      </c>
      <c r="AL261" s="23">
        <v>133.88</v>
      </c>
      <c r="AM261" s="23">
        <v>98.8</v>
      </c>
      <c r="AN261" s="24">
        <v>132.68</v>
      </c>
    </row>
    <row r="262" spans="1:40" x14ac:dyDescent="0.2">
      <c r="A262" s="15">
        <v>3211</v>
      </c>
      <c r="B262" s="4" t="s">
        <v>64</v>
      </c>
      <c r="C262" s="30" t="s">
        <v>24</v>
      </c>
      <c r="D262" s="30">
        <v>5</v>
      </c>
      <c r="E262" s="30">
        <v>0</v>
      </c>
      <c r="F262" s="30" t="s">
        <v>7</v>
      </c>
      <c r="G262" s="30">
        <v>27</v>
      </c>
      <c r="H262" s="29">
        <v>3.8850102669404518</v>
      </c>
      <c r="I262" s="29">
        <v>3.7535934291581108</v>
      </c>
      <c r="J262" s="29">
        <v>7.6386036960985626</v>
      </c>
      <c r="K262" s="29">
        <v>4.3641341546885695</v>
      </c>
      <c r="L262" s="29">
        <v>3.3100616016427105</v>
      </c>
      <c r="M262" s="29">
        <v>7.6741957563312804</v>
      </c>
      <c r="N262" s="29">
        <v>4.0136892539356603</v>
      </c>
      <c r="O262" s="29">
        <v>3.6358658453114305</v>
      </c>
      <c r="P262" s="29">
        <v>7.6495550992470909</v>
      </c>
      <c r="Q262" s="29">
        <v>4.0958247775496233</v>
      </c>
      <c r="R262" s="29">
        <v>3.808350444900753</v>
      </c>
      <c r="S262" s="29">
        <v>7.9041752224503767</v>
      </c>
      <c r="T262" s="12">
        <v>4</v>
      </c>
      <c r="U262" s="12">
        <v>16</v>
      </c>
      <c r="V262" s="4" t="s">
        <v>1</v>
      </c>
      <c r="W262" s="4">
        <v>1</v>
      </c>
      <c r="X262" s="4">
        <v>2</v>
      </c>
      <c r="Y262" s="4">
        <v>1</v>
      </c>
      <c r="Z262" s="56">
        <v>3</v>
      </c>
      <c r="AA262" s="9" cm="1">
        <f t="array" ref="AA262">IF(OR(AB262:AE262=""),"BLANK",IF(AND(AB262:AE262&lt;999),1,IF(AND(AB262:AE262="NA"),3,2)))</f>
        <v>1</v>
      </c>
      <c r="AB262" s="4">
        <v>12</v>
      </c>
      <c r="AC262" s="4">
        <v>9</v>
      </c>
      <c r="AD262" s="4">
        <v>8</v>
      </c>
      <c r="AE262" s="5">
        <v>29</v>
      </c>
      <c r="AF262" s="9">
        <f t="shared" si="4"/>
        <v>1</v>
      </c>
      <c r="AG262" s="5">
        <v>41</v>
      </c>
      <c r="AH262" s="9" cm="1">
        <f t="array" ref="AH262">IF(OR(AI262:AN262=""),"BLANK",IF(AND(AI262:AN262&lt;99),1,IF(AND(AI262:AN262="NA"),3,2)))</f>
        <v>2</v>
      </c>
      <c r="AI262" s="4">
        <v>12</v>
      </c>
      <c r="AJ262" s="4" t="s">
        <v>7</v>
      </c>
      <c r="AK262" s="23">
        <v>93.23</v>
      </c>
      <c r="AL262" s="23">
        <v>111.27</v>
      </c>
      <c r="AM262" s="23">
        <v>77.3</v>
      </c>
      <c r="AN262" s="24">
        <v>111.71</v>
      </c>
    </row>
    <row r="263" spans="1:40" x14ac:dyDescent="0.2">
      <c r="A263" s="15">
        <v>3242</v>
      </c>
      <c r="B263" s="4" t="s">
        <v>47</v>
      </c>
      <c r="C263" s="30" t="s">
        <v>23</v>
      </c>
      <c r="D263" s="30">
        <v>5</v>
      </c>
      <c r="E263" s="30">
        <v>0</v>
      </c>
      <c r="F263" s="30" t="s">
        <v>7</v>
      </c>
      <c r="G263" s="30">
        <v>27</v>
      </c>
      <c r="H263" s="29">
        <v>3.5044490075290895</v>
      </c>
      <c r="I263" s="29" t="s">
        <v>7</v>
      </c>
      <c r="J263" s="29" t="s">
        <v>7</v>
      </c>
      <c r="K263" s="29">
        <v>3.5044490075290895</v>
      </c>
      <c r="L263" s="29" t="s">
        <v>7</v>
      </c>
      <c r="M263" s="29" t="s">
        <v>7</v>
      </c>
      <c r="N263" s="29">
        <v>3.5181382614647503</v>
      </c>
      <c r="O263" s="29" t="s">
        <v>7</v>
      </c>
      <c r="P263" s="29" t="s">
        <v>7</v>
      </c>
      <c r="Q263" s="29">
        <v>3.4277891854893907</v>
      </c>
      <c r="R263" s="29" t="s">
        <v>7</v>
      </c>
      <c r="S263" s="29" t="s">
        <v>7</v>
      </c>
      <c r="T263" s="12">
        <v>3</v>
      </c>
      <c r="U263" s="12">
        <v>14</v>
      </c>
      <c r="V263" s="4" t="s">
        <v>1</v>
      </c>
      <c r="W263" s="4">
        <v>1</v>
      </c>
      <c r="X263" s="4">
        <v>2</v>
      </c>
      <c r="Y263" s="4">
        <v>1</v>
      </c>
      <c r="Z263" s="56">
        <v>3</v>
      </c>
      <c r="AA263" s="9" cm="1">
        <f t="array" ref="AA263">IF(OR(AB263:AE263=""),"BLANK",IF(AND(AB263:AE263&lt;999),1,IF(AND(AB263:AE263="NA"),3,2)))</f>
        <v>1</v>
      </c>
      <c r="AB263" s="4">
        <v>25</v>
      </c>
      <c r="AC263" s="4">
        <v>15</v>
      </c>
      <c r="AD263" s="4">
        <v>11</v>
      </c>
      <c r="AE263" s="5">
        <v>51</v>
      </c>
      <c r="AF263" s="9">
        <f t="shared" si="4"/>
        <v>1</v>
      </c>
      <c r="AG263" s="5">
        <v>47</v>
      </c>
      <c r="AH263" s="9" cm="1">
        <f t="array" ref="AH263">IF(OR(AI263:AN263=""),"BLANK",IF(AND(AI263:AN263&lt;99),1,IF(AND(AI263:AN263="NA"),3,2)))</f>
        <v>2</v>
      </c>
      <c r="AI263" s="4">
        <v>7</v>
      </c>
      <c r="AJ263" s="4" t="s">
        <v>7</v>
      </c>
      <c r="AK263" s="23">
        <v>82.37</v>
      </c>
      <c r="AL263" s="23">
        <v>86.76</v>
      </c>
      <c r="AM263" s="23">
        <v>18.899999999999999</v>
      </c>
      <c r="AN263" s="24">
        <v>80.62</v>
      </c>
    </row>
    <row r="264" spans="1:40" x14ac:dyDescent="0.2">
      <c r="A264" s="15">
        <v>3306</v>
      </c>
      <c r="B264" s="4" t="s">
        <v>66</v>
      </c>
      <c r="C264" s="30" t="s">
        <v>23</v>
      </c>
      <c r="D264" s="30">
        <v>5</v>
      </c>
      <c r="E264" s="30">
        <v>0</v>
      </c>
      <c r="F264" s="30" t="s">
        <v>7</v>
      </c>
      <c r="G264" s="30">
        <v>30</v>
      </c>
      <c r="H264" s="33">
        <v>3.4524298425735798</v>
      </c>
      <c r="I264" s="33">
        <v>3.4113620807665983</v>
      </c>
      <c r="J264" s="33">
        <v>6.8637919233401776</v>
      </c>
      <c r="K264" s="33">
        <v>3.4524298425735798</v>
      </c>
      <c r="L264" s="33">
        <v>3.4496919917864477</v>
      </c>
      <c r="M264" s="33">
        <v>6.9021218343600275</v>
      </c>
      <c r="N264" s="33">
        <v>3.4332648870636548</v>
      </c>
      <c r="O264" s="33">
        <v>3.4305270362765228</v>
      </c>
      <c r="P264" s="33">
        <v>6.8637919233401776</v>
      </c>
      <c r="Q264" s="33">
        <v>3.3648186173853527</v>
      </c>
      <c r="R264" s="33" t="s">
        <v>7</v>
      </c>
      <c r="S264" s="33" t="s">
        <v>7</v>
      </c>
      <c r="T264" s="12">
        <v>4</v>
      </c>
      <c r="U264" s="12">
        <v>16</v>
      </c>
      <c r="V264" s="4" t="s">
        <v>1</v>
      </c>
      <c r="W264" s="4">
        <v>1</v>
      </c>
      <c r="X264" s="4">
        <v>2</v>
      </c>
      <c r="Y264" s="4">
        <v>1</v>
      </c>
      <c r="Z264" s="56">
        <v>3</v>
      </c>
      <c r="AA264" s="9" cm="1">
        <f t="array" ref="AA264">IF(OR(AB264:AE264=""),"BLANK",IF(AND(AB264:AE264&lt;999),1,IF(AND(AB264:AE264="NA"),3,2)))</f>
        <v>1</v>
      </c>
      <c r="AB264" s="4">
        <v>26</v>
      </c>
      <c r="AC264" s="4">
        <v>18</v>
      </c>
      <c r="AD264" s="4">
        <v>12</v>
      </c>
      <c r="AE264" s="5">
        <v>56</v>
      </c>
      <c r="AF264" s="9">
        <f t="shared" si="4"/>
        <v>1</v>
      </c>
      <c r="AG264" s="5">
        <v>50</v>
      </c>
      <c r="AH264" s="9" cm="1">
        <f t="array" ref="AH264">IF(OR(AI264:AN264=""),"BLANK",IF(AND(AI264:AN264&lt;99),1,IF(AND(AI264:AN264="NA"),3,2)))</f>
        <v>2</v>
      </c>
      <c r="AI264" s="4">
        <v>6</v>
      </c>
      <c r="AJ264" s="4" t="s">
        <v>7</v>
      </c>
      <c r="AK264" s="23">
        <v>83.65</v>
      </c>
      <c r="AL264" s="23">
        <v>89.02</v>
      </c>
      <c r="AM264" s="23">
        <v>23.3</v>
      </c>
      <c r="AN264" s="24">
        <v>83.14</v>
      </c>
    </row>
    <row r="265" spans="1:40" x14ac:dyDescent="0.2">
      <c r="A265" s="15">
        <v>3319</v>
      </c>
      <c r="B265" s="4" t="s">
        <v>66</v>
      </c>
      <c r="C265" s="30" t="s">
        <v>23</v>
      </c>
      <c r="D265" s="30">
        <v>5</v>
      </c>
      <c r="E265" s="30">
        <v>0</v>
      </c>
      <c r="F265" s="30" t="s">
        <v>7</v>
      </c>
      <c r="G265" s="30">
        <v>25</v>
      </c>
      <c r="H265" s="29">
        <v>3.6221765913757702</v>
      </c>
      <c r="I265" s="29">
        <v>4.3285420944558526</v>
      </c>
      <c r="J265" s="29">
        <v>7.9507186858316219</v>
      </c>
      <c r="K265" s="29">
        <v>3.6933607118412048</v>
      </c>
      <c r="L265" s="29">
        <v>4.2792607802874745</v>
      </c>
      <c r="M265" s="29">
        <v>7.9726214921286793</v>
      </c>
      <c r="N265" s="29">
        <v>3.871321013004791</v>
      </c>
      <c r="O265" s="29">
        <v>4.1998631074606436</v>
      </c>
      <c r="P265" s="29">
        <v>8.0711841204654338</v>
      </c>
      <c r="Q265" s="29">
        <v>3.6030116358658453</v>
      </c>
      <c r="R265" s="29" t="s">
        <v>7</v>
      </c>
      <c r="S265" s="29" t="s">
        <v>7</v>
      </c>
      <c r="T265" s="12">
        <v>1</v>
      </c>
      <c r="U265" s="12">
        <v>10</v>
      </c>
      <c r="V265" s="4" t="s">
        <v>1</v>
      </c>
      <c r="W265" s="4">
        <v>1</v>
      </c>
      <c r="X265" s="4">
        <v>2</v>
      </c>
      <c r="Y265" s="4">
        <v>1</v>
      </c>
      <c r="Z265" s="56">
        <v>3</v>
      </c>
      <c r="AA265" s="9" cm="1">
        <f t="array" ref="AA265">IF(OR(AB265:AE265=""),"BLANK",IF(AND(AB265:AE265&lt;999),1,IF(AND(AB265:AE265="NA"),3,2)))</f>
        <v>1</v>
      </c>
      <c r="AB265" s="4">
        <v>21</v>
      </c>
      <c r="AC265" s="4">
        <v>12</v>
      </c>
      <c r="AD265" s="4">
        <v>9</v>
      </c>
      <c r="AE265" s="5">
        <v>42</v>
      </c>
      <c r="AF265" s="9">
        <f t="shared" si="4"/>
        <v>1</v>
      </c>
      <c r="AG265" s="5">
        <v>27</v>
      </c>
      <c r="AH265" s="9" cm="1">
        <f t="array" ref="AH265">IF(OR(AI265:AN265=""),"BLANK",IF(AND(AI265:AN265&lt;99),1,IF(AND(AI265:AN265="NA"),3,2)))</f>
        <v>2</v>
      </c>
      <c r="AI265" s="4">
        <v>8</v>
      </c>
      <c r="AJ265" s="4" t="s">
        <v>7</v>
      </c>
      <c r="AK265" s="23">
        <v>83.66</v>
      </c>
      <c r="AL265" s="23">
        <v>89.03</v>
      </c>
      <c r="AM265" s="23">
        <v>23.3</v>
      </c>
      <c r="AN265" s="24">
        <v>88.42</v>
      </c>
    </row>
    <row r="266" spans="1:40" x14ac:dyDescent="0.2">
      <c r="A266" s="15">
        <v>3328</v>
      </c>
      <c r="B266" s="4" t="s">
        <v>66</v>
      </c>
      <c r="C266" s="30" t="s">
        <v>24</v>
      </c>
      <c r="D266" s="30">
        <v>5</v>
      </c>
      <c r="E266" s="30">
        <v>0</v>
      </c>
      <c r="F266" s="30" t="s">
        <v>7</v>
      </c>
      <c r="G266" s="30">
        <v>28</v>
      </c>
      <c r="H266" s="33">
        <v>3.7015742642026011</v>
      </c>
      <c r="I266" s="33">
        <v>4.5694729637234772</v>
      </c>
      <c r="J266" s="33">
        <v>8.2710472279260774</v>
      </c>
      <c r="K266" s="33">
        <v>3.7015742642026011</v>
      </c>
      <c r="L266" s="33">
        <v>4.5694729637234772</v>
      </c>
      <c r="M266" s="33">
        <v>8.2710472279260774</v>
      </c>
      <c r="N266" s="33">
        <v>4.687200547570157</v>
      </c>
      <c r="O266" s="33">
        <v>3.5044490075290895</v>
      </c>
      <c r="P266" s="33">
        <v>8.1916495550992465</v>
      </c>
      <c r="Q266" s="33" t="s">
        <v>7</v>
      </c>
      <c r="R266" s="33" t="s">
        <v>7</v>
      </c>
      <c r="S266" s="33" t="s">
        <v>7</v>
      </c>
      <c r="T266" s="12">
        <v>3</v>
      </c>
      <c r="U266" s="12">
        <v>13</v>
      </c>
      <c r="V266" s="4" t="s">
        <v>1</v>
      </c>
      <c r="W266" s="4">
        <v>1</v>
      </c>
      <c r="X266" s="4">
        <v>2</v>
      </c>
      <c r="Y266" s="4">
        <v>1</v>
      </c>
      <c r="Z266" s="56">
        <v>3</v>
      </c>
      <c r="AA266" s="9" cm="1">
        <f t="array" ref="AA266">IF(OR(AB266:AE266=""),"BLANK",IF(AND(AB266:AE266&lt;999),1,IF(AND(AB266:AE266="NA"),3,2)))</f>
        <v>1</v>
      </c>
      <c r="AB266" s="4">
        <v>23</v>
      </c>
      <c r="AC266" s="4">
        <v>9</v>
      </c>
      <c r="AD266" s="4">
        <v>8</v>
      </c>
      <c r="AE266" s="5">
        <v>40</v>
      </c>
      <c r="AF266" s="9">
        <f t="shared" si="4"/>
        <v>1</v>
      </c>
      <c r="AG266" s="5">
        <v>35</v>
      </c>
      <c r="AH266" s="9" cm="1">
        <f t="array" ref="AH266">IF(OR(AI266:AN266=""),"BLANK",IF(AND(AI266:AN266&lt;99),1,IF(AND(AI266:AN266="NA"),3,2)))</f>
        <v>2</v>
      </c>
      <c r="AI266" s="4">
        <v>5</v>
      </c>
      <c r="AJ266" s="4" t="s">
        <v>7</v>
      </c>
      <c r="AK266" s="23">
        <v>78.959999999999994</v>
      </c>
      <c r="AL266" s="23">
        <v>83.57</v>
      </c>
      <c r="AM266" s="23">
        <v>13.6</v>
      </c>
      <c r="AN266" s="24">
        <v>82.52</v>
      </c>
    </row>
    <row r="267" spans="1:40" x14ac:dyDescent="0.2">
      <c r="A267" s="15">
        <v>3334</v>
      </c>
      <c r="B267" s="4" t="s">
        <v>48</v>
      </c>
      <c r="C267" s="30" t="s">
        <v>24</v>
      </c>
      <c r="D267" s="30">
        <v>5</v>
      </c>
      <c r="E267" s="30">
        <v>0</v>
      </c>
      <c r="F267" s="30" t="s">
        <v>7</v>
      </c>
      <c r="G267" s="30">
        <v>30</v>
      </c>
      <c r="H267" s="29">
        <v>3.5290896646132786</v>
      </c>
      <c r="I267" s="29">
        <v>4.4681724845995889</v>
      </c>
      <c r="J267" s="29">
        <v>7.9972621492128679</v>
      </c>
      <c r="K267" s="29">
        <v>4.774811772758385</v>
      </c>
      <c r="L267" s="29">
        <v>3.2224503764544834</v>
      </c>
      <c r="M267" s="29">
        <v>7.9972621492128679</v>
      </c>
      <c r="N267" s="29">
        <v>3.5236139630390144</v>
      </c>
      <c r="O267" s="29">
        <v>4.3915126625598901</v>
      </c>
      <c r="P267" s="29">
        <v>7.915126625598905</v>
      </c>
      <c r="Q267" s="29">
        <v>3.3456536618754278</v>
      </c>
      <c r="R267" s="29">
        <v>4.4079397672826834</v>
      </c>
      <c r="S267" s="29">
        <v>7.7535934291581112</v>
      </c>
      <c r="T267" s="12" t="s">
        <v>7</v>
      </c>
      <c r="U267" s="12" t="s">
        <v>7</v>
      </c>
      <c r="V267" s="4" t="s">
        <v>1</v>
      </c>
      <c r="W267" s="4">
        <v>1</v>
      </c>
      <c r="X267" s="4">
        <v>2</v>
      </c>
      <c r="Y267" s="4">
        <v>1</v>
      </c>
      <c r="Z267" s="56">
        <v>3</v>
      </c>
      <c r="AA267" s="9" cm="1">
        <f t="array" ref="AA267">IF(OR(AB267:AE267=""),"BLANK",IF(AND(AB267:AE267&lt;999),1,IF(AND(AB267:AE267="NA"),3,2)))</f>
        <v>1</v>
      </c>
      <c r="AB267" s="4">
        <v>23</v>
      </c>
      <c r="AC267" s="4">
        <v>16</v>
      </c>
      <c r="AD267" s="4">
        <v>11</v>
      </c>
      <c r="AE267" s="5">
        <v>50</v>
      </c>
      <c r="AF267" s="9">
        <f t="shared" si="4"/>
        <v>1</v>
      </c>
      <c r="AG267" s="5">
        <v>42</v>
      </c>
      <c r="AH267" s="9" cm="1">
        <f t="array" ref="AH267">IF(OR(AI267:AN267=""),"BLANK",IF(AND(AI267:AN267&lt;99),1,IF(AND(AI267:AN267="NA"),3,2)))</f>
        <v>2</v>
      </c>
      <c r="AI267" s="4">
        <v>31</v>
      </c>
      <c r="AJ267" s="4" t="s">
        <v>7</v>
      </c>
      <c r="AK267" s="23">
        <v>118.7</v>
      </c>
      <c r="AL267" s="23">
        <v>141.35</v>
      </c>
      <c r="AM267" s="23">
        <v>99.7</v>
      </c>
      <c r="AN267" s="24">
        <v>137.63</v>
      </c>
    </row>
    <row r="268" spans="1:40" x14ac:dyDescent="0.2">
      <c r="A268" s="15">
        <v>3457</v>
      </c>
      <c r="B268" s="4" t="s">
        <v>65</v>
      </c>
      <c r="C268" s="30" t="s">
        <v>23</v>
      </c>
      <c r="D268" s="30">
        <v>5</v>
      </c>
      <c r="E268" s="30">
        <v>0</v>
      </c>
      <c r="F268" s="30" t="s">
        <v>7</v>
      </c>
      <c r="G268" s="30">
        <v>30</v>
      </c>
      <c r="H268" s="29">
        <v>4.0027378507871321</v>
      </c>
      <c r="I268" s="29">
        <v>3.2525667351129361</v>
      </c>
      <c r="J268" s="29">
        <v>7.2553045859000687</v>
      </c>
      <c r="K268" s="29">
        <v>4.0027378507871321</v>
      </c>
      <c r="L268" s="29">
        <v>3.2525667351129361</v>
      </c>
      <c r="M268" s="29">
        <v>7.2553045859000687</v>
      </c>
      <c r="N268" s="29">
        <v>4.043805612594114</v>
      </c>
      <c r="O268" s="29">
        <v>3.247091033538672</v>
      </c>
      <c r="P268" s="29">
        <v>7.2908966461327855</v>
      </c>
      <c r="Q268" s="29">
        <v>3.9863107460643397</v>
      </c>
      <c r="R268" s="29">
        <v>3.4305270362765228</v>
      </c>
      <c r="S268" s="29">
        <v>7.4168377823408624</v>
      </c>
      <c r="T268" s="12">
        <v>2</v>
      </c>
      <c r="U268" s="12">
        <v>12</v>
      </c>
      <c r="V268" s="4" t="s">
        <v>1</v>
      </c>
      <c r="W268" s="4">
        <v>1</v>
      </c>
      <c r="X268" s="4">
        <v>2</v>
      </c>
      <c r="Y268" s="4">
        <v>1</v>
      </c>
      <c r="Z268" s="56">
        <v>3</v>
      </c>
      <c r="AA268" s="9" cm="1">
        <f t="array" ref="AA268">IF(OR(AB268:AE268=""),"BLANK",IF(AND(AB268:AE268&lt;999),1,IF(AND(AB268:AE268="NA"),3,2)))</f>
        <v>1</v>
      </c>
      <c r="AB268" s="4">
        <v>22</v>
      </c>
      <c r="AC268" s="4">
        <v>11</v>
      </c>
      <c r="AD268" s="4">
        <v>11</v>
      </c>
      <c r="AE268" s="5">
        <v>44</v>
      </c>
      <c r="AF268" s="9">
        <f t="shared" si="4"/>
        <v>1</v>
      </c>
      <c r="AG268" s="5">
        <v>48</v>
      </c>
      <c r="AH268" s="9" cm="1">
        <f t="array" ref="AH268">IF(OR(AI268:AN268=""),"BLANK",IF(AND(AI268:AN268&lt;99),1,IF(AND(AI268:AN268="NA"),3,2)))</f>
        <v>2</v>
      </c>
      <c r="AI268" s="4">
        <v>19</v>
      </c>
      <c r="AJ268" s="4" t="s">
        <v>7</v>
      </c>
      <c r="AK268" s="23">
        <v>102.77</v>
      </c>
      <c r="AL268" s="23">
        <v>127.58</v>
      </c>
      <c r="AM268" s="23">
        <v>96.7</v>
      </c>
      <c r="AN268" s="24">
        <v>128.15</v>
      </c>
    </row>
    <row r="269" spans="1:40" x14ac:dyDescent="0.2">
      <c r="A269" s="15">
        <v>3531</v>
      </c>
      <c r="B269" s="4" t="s">
        <v>62</v>
      </c>
      <c r="C269" s="30" t="s">
        <v>23</v>
      </c>
      <c r="D269" s="30">
        <v>2</v>
      </c>
      <c r="E269" s="30">
        <v>0</v>
      </c>
      <c r="F269" s="30" t="s">
        <v>7</v>
      </c>
      <c r="G269" s="30">
        <v>27</v>
      </c>
      <c r="H269" s="29">
        <v>3.5236139630390144</v>
      </c>
      <c r="I269" s="29">
        <v>3.6139630390143735</v>
      </c>
      <c r="J269" s="29">
        <v>7.137577002053388</v>
      </c>
      <c r="K269" s="29">
        <v>3.5236139630390144</v>
      </c>
      <c r="L269" s="29">
        <v>3.6139630390143735</v>
      </c>
      <c r="M269" s="29">
        <v>7.137577002053388</v>
      </c>
      <c r="N269" s="29">
        <v>3.485284052019165</v>
      </c>
      <c r="O269" s="29">
        <v>3.5263518138261465</v>
      </c>
      <c r="P269" s="29">
        <v>7.0116358658453111</v>
      </c>
      <c r="Q269" s="29">
        <v>3.6714579055441479</v>
      </c>
      <c r="R269" s="29">
        <v>3.4140999315537304</v>
      </c>
      <c r="S269" s="29">
        <v>7.0855578370978778</v>
      </c>
      <c r="T269" s="12">
        <v>4</v>
      </c>
      <c r="U269" s="12">
        <v>16</v>
      </c>
      <c r="V269" s="4" t="s">
        <v>1</v>
      </c>
      <c r="W269" s="4">
        <v>1</v>
      </c>
      <c r="X269" s="4">
        <v>2</v>
      </c>
      <c r="Y269" s="4">
        <v>1</v>
      </c>
      <c r="Z269" s="56">
        <v>3</v>
      </c>
      <c r="AA269" s="9" cm="1">
        <f t="array" ref="AA269">IF(OR(AB269:AE269=""),"BLANK",IF(AND(AB269:AE269&lt;999),1,IF(AND(AB269:AE269="NA"),3,2)))</f>
        <v>1</v>
      </c>
      <c r="AB269" s="4">
        <v>39</v>
      </c>
      <c r="AC269" s="4">
        <v>23</v>
      </c>
      <c r="AD269" s="4">
        <v>17</v>
      </c>
      <c r="AE269" s="5">
        <v>79</v>
      </c>
      <c r="AF269" s="9">
        <f t="shared" si="4"/>
        <v>1</v>
      </c>
      <c r="AG269" s="5">
        <v>49</v>
      </c>
      <c r="AH269" s="9" cm="1">
        <f t="array" ref="AH269">IF(OR(AI269:AN269=""),"BLANK",IF(AND(AI269:AN269&lt;99),1,IF(AND(AI269:AN269="NA"),3,2)))</f>
        <v>2</v>
      </c>
      <c r="AI269" s="4">
        <v>9</v>
      </c>
      <c r="AJ269" s="4" t="s">
        <v>7</v>
      </c>
      <c r="AK269" s="23">
        <v>88.06</v>
      </c>
      <c r="AL269" s="23">
        <v>88.22</v>
      </c>
      <c r="AM269" s="23">
        <v>21.5</v>
      </c>
      <c r="AN269" s="24">
        <v>88.6</v>
      </c>
    </row>
    <row r="270" spans="1:40" x14ac:dyDescent="0.2">
      <c r="A270" s="15">
        <v>3535</v>
      </c>
      <c r="B270" s="4" t="s">
        <v>48</v>
      </c>
      <c r="C270" s="30" t="s">
        <v>24</v>
      </c>
      <c r="D270" s="30">
        <v>2</v>
      </c>
      <c r="E270" s="30">
        <v>0</v>
      </c>
      <c r="F270" s="30" t="s">
        <v>7</v>
      </c>
      <c r="G270" s="30">
        <v>29</v>
      </c>
      <c r="H270" s="29">
        <v>3.4989733059548254</v>
      </c>
      <c r="I270" s="29" t="s">
        <v>7</v>
      </c>
      <c r="J270" s="29" t="s">
        <v>7</v>
      </c>
      <c r="K270" s="29">
        <v>3.4989733059548254</v>
      </c>
      <c r="L270" s="29" t="s">
        <v>7</v>
      </c>
      <c r="M270" s="29" t="s">
        <v>7</v>
      </c>
      <c r="N270" s="29">
        <v>3.5208761122518824</v>
      </c>
      <c r="O270" s="29" t="s">
        <v>7</v>
      </c>
      <c r="P270" s="29" t="s">
        <v>7</v>
      </c>
      <c r="Q270" s="29">
        <v>4.0054757015742641</v>
      </c>
      <c r="R270" s="29" t="s">
        <v>7</v>
      </c>
      <c r="S270" s="29" t="s">
        <v>7</v>
      </c>
      <c r="T270" s="12">
        <v>3</v>
      </c>
      <c r="U270" s="12">
        <v>14</v>
      </c>
      <c r="V270" s="4" t="s">
        <v>1</v>
      </c>
      <c r="W270" s="4">
        <v>1</v>
      </c>
      <c r="X270" s="4">
        <v>2</v>
      </c>
      <c r="Y270" s="4">
        <v>1</v>
      </c>
      <c r="Z270" s="56">
        <v>3</v>
      </c>
      <c r="AA270" s="9" cm="1">
        <f t="array" ref="AA270">IF(OR(AB270:AE270=""),"BLANK",IF(AND(AB270:AE270&lt;999),1,IF(AND(AB270:AE270="NA"),3,2)))</f>
        <v>1</v>
      </c>
      <c r="AB270" s="4">
        <v>22</v>
      </c>
      <c r="AC270" s="4">
        <v>13</v>
      </c>
      <c r="AD270" s="4">
        <v>10</v>
      </c>
      <c r="AE270" s="5">
        <v>45</v>
      </c>
      <c r="AF270" s="9">
        <f t="shared" si="4"/>
        <v>1</v>
      </c>
      <c r="AG270" s="5">
        <v>35</v>
      </c>
      <c r="AH270" s="9" cm="1">
        <f t="array" ref="AH270">IF(OR(AI270:AN270=""),"BLANK",IF(AND(AI270:AN270&lt;99),1,IF(AND(AI270:AN270="NA"),3,2)))</f>
        <v>2</v>
      </c>
      <c r="AI270" s="4">
        <v>13</v>
      </c>
      <c r="AJ270" s="4" t="s">
        <v>7</v>
      </c>
      <c r="AK270" s="23">
        <v>93.31</v>
      </c>
      <c r="AL270" s="23">
        <v>100.39</v>
      </c>
      <c r="AM270" s="23">
        <v>51.2</v>
      </c>
      <c r="AN270" s="24">
        <v>99.83</v>
      </c>
    </row>
    <row r="271" spans="1:40" x14ac:dyDescent="0.2">
      <c r="A271" s="15">
        <v>3537</v>
      </c>
      <c r="B271" s="4" t="s">
        <v>59</v>
      </c>
      <c r="C271" s="30" t="s">
        <v>23</v>
      </c>
      <c r="D271" s="30">
        <v>5</v>
      </c>
      <c r="E271" s="30">
        <v>0</v>
      </c>
      <c r="F271" s="30" t="s">
        <v>7</v>
      </c>
      <c r="G271" s="30">
        <v>30</v>
      </c>
      <c r="H271" s="33">
        <v>3.4277891854893907</v>
      </c>
      <c r="I271" s="33">
        <v>4.1587953456536617</v>
      </c>
      <c r="J271" s="33">
        <v>7.5865845311430524</v>
      </c>
      <c r="K271" s="33">
        <v>3.4277891854893907</v>
      </c>
      <c r="L271" s="33">
        <v>4.5037645448323067</v>
      </c>
      <c r="M271" s="33">
        <v>7.9315537303216974</v>
      </c>
      <c r="N271" s="33" t="s">
        <v>7</v>
      </c>
      <c r="O271" s="33" t="s">
        <v>7</v>
      </c>
      <c r="P271" s="33">
        <v>7.5646817248459959</v>
      </c>
      <c r="Q271" s="33" t="s">
        <v>7</v>
      </c>
      <c r="R271" s="33" t="s">
        <v>7</v>
      </c>
      <c r="S271" s="33">
        <v>7.8001368925393564</v>
      </c>
      <c r="T271" s="12">
        <v>3</v>
      </c>
      <c r="U271" s="12">
        <v>15</v>
      </c>
      <c r="V271" s="4" t="s">
        <v>1</v>
      </c>
      <c r="W271" s="4">
        <v>1</v>
      </c>
      <c r="X271" s="4">
        <v>2</v>
      </c>
      <c r="Y271" s="4">
        <v>1</v>
      </c>
      <c r="Z271" s="56">
        <v>3</v>
      </c>
      <c r="AA271" s="9" cm="1">
        <f t="array" ref="AA271">IF(OR(AB271:AE271=""),"BLANK",IF(AND(AB271:AE271&lt;999),1,IF(AND(AB271:AE271="NA"),3,2)))</f>
        <v>1</v>
      </c>
      <c r="AB271" s="4">
        <v>29</v>
      </c>
      <c r="AC271" s="4">
        <v>20</v>
      </c>
      <c r="AD271" s="4">
        <v>11</v>
      </c>
      <c r="AE271" s="5">
        <v>60</v>
      </c>
      <c r="AF271" s="9">
        <f t="shared" si="4"/>
        <v>1</v>
      </c>
      <c r="AG271" s="5">
        <v>52</v>
      </c>
      <c r="AH271" s="9" cm="1">
        <f t="array" ref="AH271">IF(OR(AI271:AN271=""),"BLANK",IF(AND(AI271:AN271&lt;99),1,IF(AND(AI271:AN271="NA"),3,2)))</f>
        <v>2</v>
      </c>
      <c r="AI271" s="4">
        <v>16</v>
      </c>
      <c r="AJ271" s="4" t="s">
        <v>7</v>
      </c>
      <c r="AK271" s="23">
        <v>100.97</v>
      </c>
      <c r="AL271" s="23">
        <v>111.19</v>
      </c>
      <c r="AM271" s="23">
        <v>77.3</v>
      </c>
      <c r="AN271" s="24">
        <v>105.05</v>
      </c>
    </row>
    <row r="272" spans="1:40" x14ac:dyDescent="0.2">
      <c r="A272" s="15">
        <v>3567</v>
      </c>
      <c r="B272" s="4" t="s">
        <v>58</v>
      </c>
      <c r="C272" s="30" t="s">
        <v>24</v>
      </c>
      <c r="D272" s="30">
        <v>5</v>
      </c>
      <c r="E272" s="30">
        <v>0</v>
      </c>
      <c r="F272" s="30" t="s">
        <v>7</v>
      </c>
      <c r="G272" s="30">
        <v>29</v>
      </c>
      <c r="H272" s="29">
        <v>3.5482546201232035</v>
      </c>
      <c r="I272" s="29">
        <v>3.9069130732375084</v>
      </c>
      <c r="J272" s="29">
        <v>7.4551676933607123</v>
      </c>
      <c r="K272" s="29">
        <v>3.5482546201232035</v>
      </c>
      <c r="L272" s="29">
        <v>3.9069130732375084</v>
      </c>
      <c r="M272" s="29">
        <v>7.4551676933607123</v>
      </c>
      <c r="N272" s="29">
        <v>3.5646817248459959</v>
      </c>
      <c r="O272" s="29">
        <v>3.8986995208761122</v>
      </c>
      <c r="P272" s="29">
        <v>7.4633812457221085</v>
      </c>
      <c r="Q272" s="29">
        <v>4.0410677618069819</v>
      </c>
      <c r="R272" s="29">
        <v>3.5455167693360714</v>
      </c>
      <c r="S272" s="29">
        <v>7.5865845311430524</v>
      </c>
      <c r="T272" s="12">
        <v>4</v>
      </c>
      <c r="U272" s="12">
        <v>16</v>
      </c>
      <c r="V272" s="4" t="s">
        <v>1</v>
      </c>
      <c r="W272" s="4">
        <v>1</v>
      </c>
      <c r="X272" s="4">
        <v>2</v>
      </c>
      <c r="Y272" s="4">
        <v>1</v>
      </c>
      <c r="Z272" s="56">
        <v>3</v>
      </c>
      <c r="AA272" s="9" cm="1">
        <f t="array" ref="AA272">IF(OR(AB272:AE272=""),"BLANK",IF(AND(AB272:AE272&lt;999),1,IF(AND(AB272:AE272="NA"),3,2)))</f>
        <v>1</v>
      </c>
      <c r="AB272" s="4">
        <v>30</v>
      </c>
      <c r="AC272" s="4">
        <v>19</v>
      </c>
      <c r="AD272" s="4">
        <v>15</v>
      </c>
      <c r="AE272" s="5">
        <v>64</v>
      </c>
      <c r="AF272" s="9">
        <f t="shared" si="4"/>
        <v>1</v>
      </c>
      <c r="AG272" s="5">
        <v>64</v>
      </c>
      <c r="AH272" s="9" cm="1">
        <f t="array" ref="AH272">IF(OR(AI272:AN272=""),"BLANK",IF(AND(AI272:AN272&lt;99),1,IF(AND(AI272:AN272="NA"),3,2)))</f>
        <v>2</v>
      </c>
      <c r="AI272" s="4">
        <v>15</v>
      </c>
      <c r="AJ272" s="4" t="s">
        <v>7</v>
      </c>
      <c r="AK272" s="23">
        <v>98.57</v>
      </c>
      <c r="AL272" s="23">
        <v>107.43</v>
      </c>
      <c r="AM272" s="23">
        <v>69.2</v>
      </c>
      <c r="AN272" s="24">
        <v>106.86</v>
      </c>
    </row>
    <row r="273" spans="1:40" x14ac:dyDescent="0.2">
      <c r="A273" s="15">
        <v>3571</v>
      </c>
      <c r="B273" s="4" t="s">
        <v>46</v>
      </c>
      <c r="C273" s="30" t="s">
        <v>24</v>
      </c>
      <c r="D273" s="30">
        <v>5</v>
      </c>
      <c r="E273" s="30">
        <v>0</v>
      </c>
      <c r="F273" s="30" t="s">
        <v>7</v>
      </c>
      <c r="G273" s="30">
        <v>30</v>
      </c>
      <c r="H273" s="29">
        <v>3.4962354551676933</v>
      </c>
      <c r="I273" s="29">
        <v>4.0191649555099245</v>
      </c>
      <c r="J273" s="29">
        <v>7.5154004106776178</v>
      </c>
      <c r="K273" s="29">
        <v>3.893223819301848</v>
      </c>
      <c r="L273" s="29">
        <v>3.6221765913757702</v>
      </c>
      <c r="M273" s="29">
        <v>7.5154004106776178</v>
      </c>
      <c r="N273" s="29">
        <v>3.5592060232717317</v>
      </c>
      <c r="O273" s="29">
        <v>3.9123887748117729</v>
      </c>
      <c r="P273" s="29">
        <v>7.4715947980835047</v>
      </c>
      <c r="Q273" s="29">
        <v>3.7973990417522243</v>
      </c>
      <c r="R273" s="29" t="s">
        <v>7</v>
      </c>
      <c r="S273" s="29" t="s">
        <v>7</v>
      </c>
      <c r="T273" s="12">
        <v>4</v>
      </c>
      <c r="U273" s="12">
        <v>16</v>
      </c>
      <c r="V273" s="4" t="s">
        <v>1</v>
      </c>
      <c r="W273" s="4">
        <v>1</v>
      </c>
      <c r="X273" s="4">
        <v>2</v>
      </c>
      <c r="Y273" s="4">
        <v>1</v>
      </c>
      <c r="Z273" s="56">
        <v>3</v>
      </c>
      <c r="AA273" s="9" cm="1">
        <f t="array" ref="AA273">IF(OR(AB273:AE273=""),"BLANK",IF(AND(AB273:AE273&lt;999),1,IF(AND(AB273:AE273="NA"),3,2)))</f>
        <v>1</v>
      </c>
      <c r="AB273" s="4">
        <v>31</v>
      </c>
      <c r="AC273" s="4">
        <v>24</v>
      </c>
      <c r="AD273" s="4">
        <v>14</v>
      </c>
      <c r="AE273" s="5">
        <v>69</v>
      </c>
      <c r="AF273" s="9">
        <f t="shared" si="4"/>
        <v>1</v>
      </c>
      <c r="AG273" s="5">
        <v>69</v>
      </c>
      <c r="AH273" s="9" cm="1">
        <f t="array" ref="AH273">IF(OR(AI273:AN273=""),"BLANK",IF(AND(AI273:AN273&lt;99),1,IF(AND(AI273:AN273="NA"),3,2)))</f>
        <v>2</v>
      </c>
      <c r="AI273" s="4">
        <v>14</v>
      </c>
      <c r="AJ273" s="4" t="s">
        <v>7</v>
      </c>
      <c r="AK273" s="23">
        <v>92.44</v>
      </c>
      <c r="AL273" s="23">
        <v>94.76</v>
      </c>
      <c r="AM273" s="23">
        <v>36.299999999999997</v>
      </c>
      <c r="AN273" s="24">
        <v>92.84</v>
      </c>
    </row>
    <row r="274" spans="1:40" x14ac:dyDescent="0.2">
      <c r="A274" s="15">
        <v>3592</v>
      </c>
      <c r="B274" s="4" t="s">
        <v>62</v>
      </c>
      <c r="C274" s="30" t="s">
        <v>24</v>
      </c>
      <c r="D274" s="30">
        <v>5</v>
      </c>
      <c r="E274" s="30">
        <v>0</v>
      </c>
      <c r="F274" s="30" t="s">
        <v>7</v>
      </c>
      <c r="G274" s="30">
        <v>30</v>
      </c>
      <c r="H274" s="29">
        <v>3.4469541409993156</v>
      </c>
      <c r="I274" s="29">
        <v>4.1095140314852845</v>
      </c>
      <c r="J274" s="29">
        <v>7.5564681724845997</v>
      </c>
      <c r="K274" s="29">
        <v>3.4469541409993156</v>
      </c>
      <c r="L274" s="29">
        <v>4.1095140314852845</v>
      </c>
      <c r="M274" s="29">
        <v>7.5564681724845997</v>
      </c>
      <c r="N274" s="29">
        <v>3.4387405886379194</v>
      </c>
      <c r="O274" s="29">
        <v>4.1615331964407938</v>
      </c>
      <c r="P274" s="29">
        <v>7.6002737850787137</v>
      </c>
      <c r="Q274" s="29">
        <v>4.0657084188911705</v>
      </c>
      <c r="R274" s="29">
        <v>3.6632443531827517</v>
      </c>
      <c r="S274" s="29">
        <v>7.7289527720739217</v>
      </c>
      <c r="T274" s="12">
        <v>3</v>
      </c>
      <c r="U274" s="12">
        <v>14.5</v>
      </c>
      <c r="V274" s="4" t="s">
        <v>1</v>
      </c>
      <c r="W274" s="4">
        <v>1</v>
      </c>
      <c r="X274" s="4">
        <v>2</v>
      </c>
      <c r="Y274" s="4">
        <v>1</v>
      </c>
      <c r="Z274" s="56">
        <v>3</v>
      </c>
      <c r="AA274" s="9" cm="1">
        <f t="array" ref="AA274">IF(OR(AB274:AE274=""),"BLANK",IF(AND(AB274:AE274&lt;999),1,IF(AND(AB274:AE274="NA"),3,2)))</f>
        <v>1</v>
      </c>
      <c r="AB274" s="4">
        <v>44</v>
      </c>
      <c r="AC274" s="4">
        <v>29</v>
      </c>
      <c r="AD274" s="4">
        <v>21</v>
      </c>
      <c r="AE274" s="5">
        <v>94</v>
      </c>
      <c r="AF274" s="9">
        <f t="shared" si="4"/>
        <v>1</v>
      </c>
      <c r="AG274" s="5">
        <v>66</v>
      </c>
      <c r="AH274" s="9" cm="1">
        <f t="array" ref="AH274">IF(OR(AI274:AN274=""),"BLANK",IF(AND(AI274:AN274&lt;99),1,IF(AND(AI274:AN274="NA"),3,2)))</f>
        <v>2</v>
      </c>
      <c r="AI274" s="4">
        <v>30</v>
      </c>
      <c r="AJ274" s="4" t="s">
        <v>7</v>
      </c>
      <c r="AK274" s="23">
        <v>125.07</v>
      </c>
      <c r="AL274" s="23">
        <v>143.34</v>
      </c>
      <c r="AM274" s="23">
        <v>99.8</v>
      </c>
      <c r="AN274" s="24">
        <v>137.87</v>
      </c>
    </row>
    <row r="275" spans="1:40" x14ac:dyDescent="0.2">
      <c r="A275" s="15">
        <v>3608</v>
      </c>
      <c r="B275" s="4" t="s">
        <v>47</v>
      </c>
      <c r="C275" s="30" t="s">
        <v>24</v>
      </c>
      <c r="D275" s="30">
        <v>5</v>
      </c>
      <c r="E275" s="30">
        <v>0</v>
      </c>
      <c r="F275" s="30" t="s">
        <v>7</v>
      </c>
      <c r="G275" s="30">
        <v>29</v>
      </c>
      <c r="H275" s="29">
        <v>3.5071868583162216</v>
      </c>
      <c r="I275" s="29">
        <v>3.9370294318959616</v>
      </c>
      <c r="J275" s="29">
        <v>7.4442162902121831</v>
      </c>
      <c r="K275" s="29">
        <v>3.5071868583162216</v>
      </c>
      <c r="L275" s="29">
        <v>3.9397672826830936</v>
      </c>
      <c r="M275" s="29">
        <v>7.4469541409993152</v>
      </c>
      <c r="N275" s="29">
        <v>3.6194387405886381</v>
      </c>
      <c r="O275" s="29">
        <v>3.8275154004106775</v>
      </c>
      <c r="P275" s="29">
        <v>7.4469541409993152</v>
      </c>
      <c r="Q275" s="29">
        <v>4.0027378507871321</v>
      </c>
      <c r="R275" s="29">
        <v>3.5728952772073921</v>
      </c>
      <c r="S275" s="29">
        <v>7.5756331279945242</v>
      </c>
      <c r="T275" s="12">
        <v>5</v>
      </c>
      <c r="U275" s="12">
        <v>18</v>
      </c>
      <c r="V275" s="4" t="s">
        <v>1</v>
      </c>
      <c r="W275" s="4">
        <v>1</v>
      </c>
      <c r="X275" s="4">
        <v>2</v>
      </c>
      <c r="Y275" s="4">
        <v>1</v>
      </c>
      <c r="Z275" s="56">
        <v>3</v>
      </c>
      <c r="AA275" s="9" cm="1">
        <f t="array" ref="AA275">IF(OR(AB275:AE275=""),"BLANK",IF(AND(AB275:AE275&lt;999),1,IF(AND(AB275:AE275="NA"),3,2)))</f>
        <v>1</v>
      </c>
      <c r="AB275" s="4">
        <v>18</v>
      </c>
      <c r="AC275" s="4">
        <v>12</v>
      </c>
      <c r="AD275" s="4">
        <v>7</v>
      </c>
      <c r="AE275" s="5">
        <v>37</v>
      </c>
      <c r="AF275" s="9">
        <f t="shared" si="4"/>
        <v>1</v>
      </c>
      <c r="AG275" s="5">
        <v>28</v>
      </c>
      <c r="AH275" s="9" cm="1">
        <f t="array" ref="AH275">IF(OR(AI275:AN275=""),"BLANK",IF(AND(AI275:AN275&lt;99),1,IF(AND(AI275:AN275="NA"),3,2)))</f>
        <v>2</v>
      </c>
      <c r="AI275" s="4">
        <v>6</v>
      </c>
      <c r="AJ275" s="4" t="s">
        <v>7</v>
      </c>
      <c r="AK275" s="23">
        <v>83.65</v>
      </c>
      <c r="AL275" s="23">
        <v>89.02</v>
      </c>
      <c r="AM275" s="23">
        <v>23.3</v>
      </c>
      <c r="AN275" s="24">
        <v>88.15</v>
      </c>
    </row>
    <row r="276" spans="1:40" x14ac:dyDescent="0.2">
      <c r="A276" s="15">
        <v>3621</v>
      </c>
      <c r="B276" s="4" t="s">
        <v>58</v>
      </c>
      <c r="C276" s="30" t="s">
        <v>23</v>
      </c>
      <c r="D276" s="30">
        <v>5</v>
      </c>
      <c r="E276" s="30">
        <v>0</v>
      </c>
      <c r="F276" s="30" t="s">
        <v>7</v>
      </c>
      <c r="G276" s="30">
        <v>29</v>
      </c>
      <c r="H276" s="33">
        <v>3.8576317590691307</v>
      </c>
      <c r="I276" s="33" t="s">
        <v>7</v>
      </c>
      <c r="J276" s="33" t="s">
        <v>7</v>
      </c>
      <c r="K276" s="33">
        <v>3.868583162217659</v>
      </c>
      <c r="L276" s="33" t="s">
        <v>7</v>
      </c>
      <c r="M276" s="33" t="s">
        <v>7</v>
      </c>
      <c r="N276" s="33" t="s">
        <v>7</v>
      </c>
      <c r="O276" s="33" t="s">
        <v>7</v>
      </c>
      <c r="P276" s="33" t="s">
        <v>7</v>
      </c>
      <c r="Q276" s="33" t="s">
        <v>7</v>
      </c>
      <c r="R276" s="33" t="s">
        <v>7</v>
      </c>
      <c r="S276" s="33" t="s">
        <v>7</v>
      </c>
      <c r="T276" s="12">
        <v>3</v>
      </c>
      <c r="U276" s="12">
        <v>15</v>
      </c>
      <c r="V276" s="4" t="s">
        <v>1</v>
      </c>
      <c r="W276" s="4">
        <v>1</v>
      </c>
      <c r="X276" s="4">
        <v>2</v>
      </c>
      <c r="Y276" s="4">
        <v>1</v>
      </c>
      <c r="Z276" s="56">
        <v>3</v>
      </c>
      <c r="AA276" s="9" cm="1">
        <f t="array" ref="AA276">IF(OR(AB276:AE276=""),"BLANK",IF(AND(AB276:AE276&lt;999),1,IF(AND(AB276:AE276="NA"),3,2)))</f>
        <v>1</v>
      </c>
      <c r="AB276" s="4">
        <v>25</v>
      </c>
      <c r="AC276" s="4">
        <v>21</v>
      </c>
      <c r="AD276" s="4">
        <v>14</v>
      </c>
      <c r="AE276" s="5">
        <v>60</v>
      </c>
      <c r="AF276" s="9">
        <f t="shared" si="4"/>
        <v>1</v>
      </c>
      <c r="AG276" s="5">
        <v>65</v>
      </c>
      <c r="AH276" s="9" cm="1">
        <f t="array" ref="AH276">IF(OR(AI276:AN276=""),"BLANK",IF(AND(AI276:AN276&lt;99),1,IF(AND(AI276:AN276="NA"),3,2)))</f>
        <v>2</v>
      </c>
      <c r="AI276" s="4">
        <v>22</v>
      </c>
      <c r="AJ276" s="4" t="s">
        <v>7</v>
      </c>
      <c r="AK276" s="23">
        <v>110.7</v>
      </c>
      <c r="AL276" s="23">
        <v>127.54</v>
      </c>
      <c r="AM276" s="23">
        <v>96.7</v>
      </c>
      <c r="AN276" s="24">
        <v>120.78</v>
      </c>
    </row>
    <row r="277" spans="1:40" x14ac:dyDescent="0.2">
      <c r="A277" s="15">
        <v>3639</v>
      </c>
      <c r="B277" s="4" t="s">
        <v>48</v>
      </c>
      <c r="C277" s="30" t="s">
        <v>23</v>
      </c>
      <c r="D277" s="30">
        <v>5</v>
      </c>
      <c r="E277" s="30">
        <v>0</v>
      </c>
      <c r="F277" s="30" t="s">
        <v>7</v>
      </c>
      <c r="G277" s="30">
        <v>30</v>
      </c>
      <c r="H277" s="33">
        <v>3.4469541409993156</v>
      </c>
      <c r="I277" s="33" t="s">
        <v>7</v>
      </c>
      <c r="J277" s="33" t="s">
        <v>7</v>
      </c>
      <c r="K277" s="33">
        <v>3.4469541409993156</v>
      </c>
      <c r="L277" s="33" t="s">
        <v>7</v>
      </c>
      <c r="M277" s="33" t="s">
        <v>7</v>
      </c>
      <c r="N277" s="33">
        <v>3.57015742642026</v>
      </c>
      <c r="O277" s="33" t="s">
        <v>7</v>
      </c>
      <c r="P277" s="33" t="s">
        <v>7</v>
      </c>
      <c r="Q277" s="33">
        <v>4.6214921286789874</v>
      </c>
      <c r="R277" s="33" t="s">
        <v>7</v>
      </c>
      <c r="S277" s="33" t="s">
        <v>7</v>
      </c>
      <c r="T277" s="12">
        <v>5</v>
      </c>
      <c r="U277" s="12">
        <v>17</v>
      </c>
      <c r="V277" s="4" t="s">
        <v>1</v>
      </c>
      <c r="W277" s="4">
        <v>1</v>
      </c>
      <c r="X277" s="4">
        <v>2</v>
      </c>
      <c r="Y277" s="4">
        <v>1</v>
      </c>
      <c r="Z277" s="56">
        <v>3</v>
      </c>
      <c r="AA277" s="9" cm="1">
        <f t="array" ref="AA277">IF(OR(AB277:AE277=""),"BLANK",IF(AND(AB277:AE277&lt;999),1,IF(AND(AB277:AE277="NA"),3,2)))</f>
        <v>1</v>
      </c>
      <c r="AB277" s="4">
        <v>28</v>
      </c>
      <c r="AC277" s="4">
        <v>20</v>
      </c>
      <c r="AD277" s="4">
        <v>13</v>
      </c>
      <c r="AE277" s="5">
        <v>61</v>
      </c>
      <c r="AF277" s="9">
        <f t="shared" si="4"/>
        <v>1</v>
      </c>
      <c r="AG277" s="5">
        <v>57</v>
      </c>
      <c r="AH277" s="9" cm="1">
        <f t="array" ref="AH277">IF(OR(AI277:AN277=""),"BLANK",IF(AND(AI277:AN277&lt;99),1,IF(AND(AI277:AN277="NA"),3,2)))</f>
        <v>2</v>
      </c>
      <c r="AI277" s="4">
        <v>23</v>
      </c>
      <c r="AJ277" s="4" t="s">
        <v>7</v>
      </c>
      <c r="AK277" s="23">
        <v>106.06</v>
      </c>
      <c r="AL277" s="23">
        <v>123.09</v>
      </c>
      <c r="AM277" s="23">
        <v>93.8</v>
      </c>
      <c r="AN277" s="24">
        <v>116.22</v>
      </c>
    </row>
    <row r="278" spans="1:40" x14ac:dyDescent="0.2">
      <c r="A278" s="15">
        <v>3653</v>
      </c>
      <c r="B278" s="4" t="s">
        <v>58</v>
      </c>
      <c r="C278" s="30" t="s">
        <v>23</v>
      </c>
      <c r="D278" s="30">
        <v>5</v>
      </c>
      <c r="E278" s="30">
        <v>0</v>
      </c>
      <c r="F278" s="30" t="s">
        <v>7</v>
      </c>
      <c r="G278" s="30">
        <v>30</v>
      </c>
      <c r="H278" s="29">
        <v>3.4688569472963722</v>
      </c>
      <c r="I278" s="29">
        <v>3.9479808350444903</v>
      </c>
      <c r="J278" s="29">
        <v>7.4168377823408624</v>
      </c>
      <c r="K278" s="29">
        <v>3.482546201232033</v>
      </c>
      <c r="L278" s="29">
        <v>3.9342915811088295</v>
      </c>
      <c r="M278" s="29">
        <v>7.4168377823408624</v>
      </c>
      <c r="N278" s="29">
        <v>3.4360027378507869</v>
      </c>
      <c r="O278" s="29">
        <v>3.9178644763860371</v>
      </c>
      <c r="P278" s="29">
        <v>7.353867214236824</v>
      </c>
      <c r="Q278" s="29">
        <v>3.9315537303216974</v>
      </c>
      <c r="R278" s="29">
        <v>3.5756331279945242</v>
      </c>
      <c r="S278" s="29">
        <v>7.5071868583162216</v>
      </c>
      <c r="T278" s="12">
        <v>3</v>
      </c>
      <c r="U278" s="12">
        <v>14</v>
      </c>
      <c r="V278" s="4" t="s">
        <v>1</v>
      </c>
      <c r="W278" s="4">
        <v>1</v>
      </c>
      <c r="X278" s="4">
        <v>2</v>
      </c>
      <c r="Y278" s="4">
        <v>1</v>
      </c>
      <c r="Z278" s="56">
        <v>3</v>
      </c>
      <c r="AA278" s="9" cm="1">
        <f t="array" ref="AA278">IF(OR(AB278:AE278=""),"BLANK",IF(AND(AB278:AE278&lt;999),1,IF(AND(AB278:AE278="NA"),3,2)))</f>
        <v>1</v>
      </c>
      <c r="AB278" s="4">
        <v>32</v>
      </c>
      <c r="AC278" s="4">
        <v>23</v>
      </c>
      <c r="AD278" s="4">
        <v>15</v>
      </c>
      <c r="AE278" s="5">
        <v>70</v>
      </c>
      <c r="AF278" s="9">
        <f t="shared" si="4"/>
        <v>1</v>
      </c>
      <c r="AG278" s="5">
        <v>59</v>
      </c>
      <c r="AH278" s="9" cm="1">
        <f t="array" ref="AH278">IF(OR(AI278:AN278=""),"BLANK",IF(AND(AI278:AN278&lt;99),1,IF(AND(AI278:AN278="NA"),3,2)))</f>
        <v>2</v>
      </c>
      <c r="AI278" s="4">
        <v>10</v>
      </c>
      <c r="AJ278" s="4" t="s">
        <v>7</v>
      </c>
      <c r="AK278" s="23">
        <v>90.87</v>
      </c>
      <c r="AL278" s="23">
        <v>96.22</v>
      </c>
      <c r="AM278" s="23">
        <v>40.1</v>
      </c>
      <c r="AN278" s="24">
        <v>90.64</v>
      </c>
    </row>
    <row r="279" spans="1:40" x14ac:dyDescent="0.2">
      <c r="A279" s="15">
        <v>3658</v>
      </c>
      <c r="B279" s="4" t="s">
        <v>58</v>
      </c>
      <c r="C279" s="30" t="s">
        <v>24</v>
      </c>
      <c r="D279" s="30">
        <v>5</v>
      </c>
      <c r="E279" s="30">
        <v>0</v>
      </c>
      <c r="F279" s="30" t="s">
        <v>7</v>
      </c>
      <c r="G279" s="30">
        <v>29</v>
      </c>
      <c r="H279" s="29">
        <v>3.5564681724845997</v>
      </c>
      <c r="I279" s="29">
        <v>4.084873374401095</v>
      </c>
      <c r="J279" s="29">
        <v>7.6413415468856947</v>
      </c>
      <c r="K279" s="29">
        <v>4.3121149897330593</v>
      </c>
      <c r="L279" s="29">
        <v>3.3702943189596168</v>
      </c>
      <c r="M279" s="29">
        <v>7.6824093086926766</v>
      </c>
      <c r="N279" s="29">
        <v>3.5017111567419574</v>
      </c>
      <c r="O279" s="29">
        <v>4.0301163586584527</v>
      </c>
      <c r="P279" s="29">
        <v>7.5318275154004111</v>
      </c>
      <c r="Q279" s="29">
        <v>3.9288158795345653</v>
      </c>
      <c r="R279" s="29">
        <v>3.9123887748117729</v>
      </c>
      <c r="S279" s="29">
        <v>7.8412046543463383</v>
      </c>
      <c r="T279" s="12" t="s">
        <v>7</v>
      </c>
      <c r="U279" s="12" t="s">
        <v>7</v>
      </c>
      <c r="V279" s="4" t="s">
        <v>1</v>
      </c>
      <c r="W279" s="4">
        <v>1</v>
      </c>
      <c r="X279" s="4">
        <v>2</v>
      </c>
      <c r="Y279" s="4">
        <v>1</v>
      </c>
      <c r="Z279" s="56">
        <v>3</v>
      </c>
      <c r="AA279" s="9" cm="1">
        <f t="array" ref="AA279">IF(OR(AB279:AE279=""),"BLANK",IF(AND(AB279:AE279&lt;999),1,IF(AND(AB279:AE279="NA"),3,2)))</f>
        <v>1</v>
      </c>
      <c r="AB279" s="4">
        <v>15</v>
      </c>
      <c r="AC279" s="4">
        <v>11</v>
      </c>
      <c r="AD279" s="4">
        <v>8</v>
      </c>
      <c r="AE279" s="5">
        <v>34</v>
      </c>
      <c r="AF279" s="9">
        <f t="shared" si="4"/>
        <v>1</v>
      </c>
      <c r="AG279" s="5">
        <v>37</v>
      </c>
      <c r="AH279" s="9" cm="1">
        <f t="array" ref="AH279">IF(OR(AI279:AN279=""),"BLANK",IF(AND(AI279:AN279&lt;99),1,IF(AND(AI279:AN279="NA"),3,2)))</f>
        <v>2</v>
      </c>
      <c r="AI279" s="4">
        <v>9</v>
      </c>
      <c r="AJ279" s="4" t="s">
        <v>7</v>
      </c>
      <c r="AK279" s="23">
        <v>86.8</v>
      </c>
      <c r="AL279" s="23">
        <v>91.16</v>
      </c>
      <c r="AM279" s="23">
        <v>27.8</v>
      </c>
      <c r="AN279" s="24">
        <v>90.31</v>
      </c>
    </row>
    <row r="280" spans="1:40" x14ac:dyDescent="0.2">
      <c r="A280" s="15">
        <v>3660</v>
      </c>
      <c r="B280" s="4" t="s">
        <v>58</v>
      </c>
      <c r="C280" s="30" t="s">
        <v>23</v>
      </c>
      <c r="D280" s="30">
        <v>5</v>
      </c>
      <c r="E280" s="30">
        <v>0</v>
      </c>
      <c r="F280" s="30" t="s">
        <v>7</v>
      </c>
      <c r="G280" s="30">
        <v>29</v>
      </c>
      <c r="H280" s="29">
        <v>3.4387405886379194</v>
      </c>
      <c r="I280" s="29">
        <v>4.1971252566735116</v>
      </c>
      <c r="J280" s="29">
        <v>7.6358658453114305</v>
      </c>
      <c r="K280" s="29">
        <v>3.4579055441478439</v>
      </c>
      <c r="L280" s="29">
        <v>4.1670088980150579</v>
      </c>
      <c r="M280" s="29">
        <v>7.6249144421629023</v>
      </c>
      <c r="N280" s="29">
        <v>3.4661190965092401</v>
      </c>
      <c r="O280" s="29">
        <v>4.216290212183436</v>
      </c>
      <c r="P280" s="29">
        <v>7.6824093086926766</v>
      </c>
      <c r="Q280" s="29">
        <v>3.485284052019165</v>
      </c>
      <c r="R280" s="29">
        <v>4.1779603011635862</v>
      </c>
      <c r="S280" s="29">
        <v>7.6632443531827512</v>
      </c>
      <c r="T280" s="12">
        <v>4</v>
      </c>
      <c r="U280" s="12">
        <v>16</v>
      </c>
      <c r="V280" s="4" t="s">
        <v>1</v>
      </c>
      <c r="W280" s="4">
        <v>1</v>
      </c>
      <c r="X280" s="4">
        <v>2</v>
      </c>
      <c r="Y280" s="4">
        <v>1</v>
      </c>
      <c r="Z280" s="56">
        <v>3</v>
      </c>
      <c r="AA280" s="9" cm="1">
        <f t="array" ref="AA280">IF(OR(AB280:AE280=""),"BLANK",IF(AND(AB280:AE280&lt;999),1,IF(AND(AB280:AE280="NA"),3,2)))</f>
        <v>1</v>
      </c>
      <c r="AB280" s="4">
        <v>18</v>
      </c>
      <c r="AC280" s="4">
        <v>13</v>
      </c>
      <c r="AD280" s="4">
        <v>9</v>
      </c>
      <c r="AE280" s="5">
        <v>40</v>
      </c>
      <c r="AF280" s="9">
        <f t="shared" si="4"/>
        <v>1</v>
      </c>
      <c r="AG280" s="5">
        <v>32</v>
      </c>
      <c r="AH280" s="9" cm="1">
        <f t="array" ref="AH280">IF(OR(AI280:AN280=""),"BLANK",IF(AND(AI280:AN280&lt;99),1,IF(AND(AI280:AN280="NA"),3,2)))</f>
        <v>2</v>
      </c>
      <c r="AI280" s="4">
        <v>7</v>
      </c>
      <c r="AJ280" s="4" t="s">
        <v>7</v>
      </c>
      <c r="AK280" s="23">
        <v>82.37</v>
      </c>
      <c r="AL280" s="23">
        <v>83.6</v>
      </c>
      <c r="AM280" s="23">
        <v>13.8</v>
      </c>
      <c r="AN280" s="24">
        <v>77.86</v>
      </c>
    </row>
    <row r="281" spans="1:40" x14ac:dyDescent="0.2">
      <c r="A281" s="15">
        <v>3693</v>
      </c>
      <c r="B281" s="4" t="s">
        <v>58</v>
      </c>
      <c r="C281" s="30" t="s">
        <v>23</v>
      </c>
      <c r="D281" s="30">
        <v>5</v>
      </c>
      <c r="E281" s="30">
        <v>0</v>
      </c>
      <c r="F281" s="30" t="s">
        <v>7</v>
      </c>
      <c r="G281" s="30">
        <v>29</v>
      </c>
      <c r="H281" s="29">
        <v>3.4743326488706368</v>
      </c>
      <c r="I281" s="29">
        <v>4.0273785078713207</v>
      </c>
      <c r="J281" s="29">
        <v>7.5017111567419574</v>
      </c>
      <c r="K281" s="29">
        <v>3.4743326488706368</v>
      </c>
      <c r="L281" s="29">
        <v>4.0273785078713207</v>
      </c>
      <c r="M281" s="29">
        <v>7.5017111567419574</v>
      </c>
      <c r="N281" s="29">
        <v>3.4880219028062971</v>
      </c>
      <c r="O281" s="29" t="s">
        <v>7</v>
      </c>
      <c r="P281" s="29" t="s">
        <v>7</v>
      </c>
      <c r="Q281" s="29">
        <v>4.0766598220396988</v>
      </c>
      <c r="R281" s="29" t="s">
        <v>7</v>
      </c>
      <c r="S281" s="29" t="s">
        <v>7</v>
      </c>
      <c r="T281" s="12">
        <v>4</v>
      </c>
      <c r="U281" s="12">
        <v>16</v>
      </c>
      <c r="V281" s="4" t="s">
        <v>1</v>
      </c>
      <c r="W281" s="4">
        <v>1</v>
      </c>
      <c r="X281" s="4">
        <v>2</v>
      </c>
      <c r="Y281" s="4">
        <v>1</v>
      </c>
      <c r="Z281" s="56">
        <v>3</v>
      </c>
      <c r="AA281" s="9" cm="1">
        <f t="array" ref="AA281">IF(OR(AB281:AE281=""),"BLANK",IF(AND(AB281:AE281&lt;999),1,IF(AND(AB281:AE281="NA"),3,2)))</f>
        <v>1</v>
      </c>
      <c r="AB281" s="4">
        <v>14</v>
      </c>
      <c r="AC281" s="4">
        <v>8</v>
      </c>
      <c r="AD281" s="4">
        <v>10</v>
      </c>
      <c r="AE281" s="5">
        <v>32</v>
      </c>
      <c r="AF281" s="9">
        <f t="shared" si="4"/>
        <v>1</v>
      </c>
      <c r="AG281" s="5">
        <v>37</v>
      </c>
      <c r="AH281" s="9" cm="1">
        <f t="array" ref="AH281">IF(OR(AI281:AN281=""),"BLANK",IF(AND(AI281:AN281&lt;99),1,IF(AND(AI281:AN281="NA"),3,2)))</f>
        <v>2</v>
      </c>
      <c r="AI281" s="4">
        <v>15</v>
      </c>
      <c r="AJ281" s="4" t="s">
        <v>7</v>
      </c>
      <c r="AK281" s="23">
        <v>97.46</v>
      </c>
      <c r="AL281" s="23">
        <v>105.55</v>
      </c>
      <c r="AM281" s="23">
        <v>64.400000000000006</v>
      </c>
      <c r="AN281" s="24">
        <v>100</v>
      </c>
    </row>
    <row r="282" spans="1:40" x14ac:dyDescent="0.2">
      <c r="A282" s="15">
        <v>3727</v>
      </c>
      <c r="B282" s="4" t="s">
        <v>58</v>
      </c>
      <c r="C282" s="30" t="s">
        <v>24</v>
      </c>
      <c r="D282" s="30">
        <v>5</v>
      </c>
      <c r="E282" s="30">
        <v>0</v>
      </c>
      <c r="F282" s="30" t="s">
        <v>7</v>
      </c>
      <c r="G282" s="30">
        <v>30</v>
      </c>
      <c r="H282" s="33">
        <v>3.4195756331279945</v>
      </c>
      <c r="I282" s="33" t="s">
        <v>7</v>
      </c>
      <c r="J282" s="33" t="s">
        <v>7</v>
      </c>
      <c r="K282" s="33">
        <v>3.4195756331279945</v>
      </c>
      <c r="L282" s="33" t="s">
        <v>7</v>
      </c>
      <c r="M282" s="33" t="s">
        <v>7</v>
      </c>
      <c r="N282" s="33">
        <v>3.4140999315537304</v>
      </c>
      <c r="O282" s="33" t="s">
        <v>7</v>
      </c>
      <c r="P282" s="33" t="s">
        <v>7</v>
      </c>
      <c r="Q282" s="33">
        <v>4.5968514715947979</v>
      </c>
      <c r="R282" s="33" t="s">
        <v>7</v>
      </c>
      <c r="S282" s="33" t="s">
        <v>7</v>
      </c>
      <c r="T282" s="12">
        <v>3</v>
      </c>
      <c r="U282" s="12">
        <v>15</v>
      </c>
      <c r="V282" s="4" t="s">
        <v>1</v>
      </c>
      <c r="W282" s="4">
        <v>1</v>
      </c>
      <c r="X282" s="4">
        <v>2</v>
      </c>
      <c r="Y282" s="4">
        <v>1</v>
      </c>
      <c r="Z282" s="56">
        <v>3</v>
      </c>
      <c r="AA282" s="9" cm="1">
        <f t="array" ref="AA282">IF(OR(AB282:AE282=""),"BLANK",IF(AND(AB282:AE282&lt;999),1,IF(AND(AB282:AE282="NA"),3,2)))</f>
        <v>1</v>
      </c>
      <c r="AB282" s="4">
        <v>25</v>
      </c>
      <c r="AC282" s="4">
        <v>14</v>
      </c>
      <c r="AD282" s="4">
        <v>10</v>
      </c>
      <c r="AE282" s="5">
        <v>49</v>
      </c>
      <c r="AF282" s="9">
        <f t="shared" si="4"/>
        <v>1</v>
      </c>
      <c r="AG282" s="5">
        <v>37</v>
      </c>
      <c r="AH282" s="9" cm="1">
        <f t="array" ref="AH282">IF(OR(AI282:AN282=""),"BLANK",IF(AND(AI282:AN282&lt;99),1,IF(AND(AI282:AN282="NA"),3,2)))</f>
        <v>2</v>
      </c>
      <c r="AI282" s="4">
        <v>8</v>
      </c>
      <c r="AJ282" s="4" t="s">
        <v>7</v>
      </c>
      <c r="AK282" s="23">
        <v>87.1</v>
      </c>
      <c r="AL282" s="23">
        <v>91.62</v>
      </c>
      <c r="AM282" s="23">
        <v>28.8</v>
      </c>
      <c r="AN282" s="24">
        <v>90.69</v>
      </c>
    </row>
    <row r="283" spans="1:40" x14ac:dyDescent="0.2">
      <c r="A283" s="15">
        <v>3744</v>
      </c>
      <c r="B283" s="4" t="s">
        <v>47</v>
      </c>
      <c r="C283" s="30" t="s">
        <v>24</v>
      </c>
      <c r="D283" s="30">
        <v>5</v>
      </c>
      <c r="E283" s="30">
        <v>0</v>
      </c>
      <c r="F283" s="30" t="s">
        <v>7</v>
      </c>
      <c r="G283" s="30">
        <v>26</v>
      </c>
      <c r="H283" s="29">
        <v>3.9616700889801506</v>
      </c>
      <c r="I283" s="29">
        <v>3.1321013004791238</v>
      </c>
      <c r="J283" s="29">
        <v>7.0937713894592749</v>
      </c>
      <c r="K283" s="29">
        <v>3.9616700889801506</v>
      </c>
      <c r="L283" s="29">
        <v>3.1540041067761808</v>
      </c>
      <c r="M283" s="29">
        <v>7.1156741957563314</v>
      </c>
      <c r="N283" s="29">
        <v>3.9835728952772076</v>
      </c>
      <c r="O283" s="29">
        <v>3.052703627652293</v>
      </c>
      <c r="P283" s="29">
        <v>7.0362765229295006</v>
      </c>
      <c r="Q283" s="29">
        <v>3.9452429842573578</v>
      </c>
      <c r="R283" s="29">
        <v>3.1074606433949348</v>
      </c>
      <c r="S283" s="29">
        <v>7.052703627652293</v>
      </c>
      <c r="T283" s="12">
        <v>3</v>
      </c>
      <c r="U283" s="12">
        <v>15</v>
      </c>
      <c r="V283" s="4" t="s">
        <v>1</v>
      </c>
      <c r="W283" s="4">
        <v>1</v>
      </c>
      <c r="X283" s="4">
        <v>2</v>
      </c>
      <c r="Y283" s="4">
        <v>1</v>
      </c>
      <c r="Z283" s="56">
        <v>3</v>
      </c>
      <c r="AA283" s="9" cm="1">
        <f t="array" ref="AA283">IF(OR(AB283:AE283=""),"BLANK",IF(AND(AB283:AE283&lt;999),1,IF(AND(AB283:AE283="NA"),3,2)))</f>
        <v>1</v>
      </c>
      <c r="AB283" s="4">
        <v>22</v>
      </c>
      <c r="AC283" s="4">
        <v>13</v>
      </c>
      <c r="AD283" s="4">
        <v>5</v>
      </c>
      <c r="AE283" s="5">
        <v>40</v>
      </c>
      <c r="AF283" s="9">
        <f t="shared" si="4"/>
        <v>1</v>
      </c>
      <c r="AG283" s="5">
        <v>40</v>
      </c>
      <c r="AH283" s="9" cm="1">
        <f t="array" ref="AH283">IF(OR(AI283:AN283=""),"BLANK",IF(AND(AI283:AN283&lt;99),1,IF(AND(AI283:AN283="NA"),3,2)))</f>
        <v>2</v>
      </c>
      <c r="AI283" s="4">
        <v>4</v>
      </c>
      <c r="AJ283" s="4" t="s">
        <v>7</v>
      </c>
      <c r="AK283" s="23">
        <v>78.959999999999994</v>
      </c>
      <c r="AL283" s="23">
        <v>83.57</v>
      </c>
      <c r="AM283" s="23">
        <v>13.6</v>
      </c>
      <c r="AN283" s="24">
        <v>82.52</v>
      </c>
    </row>
    <row r="284" spans="1:40" x14ac:dyDescent="0.2">
      <c r="A284" s="15">
        <v>3846</v>
      </c>
      <c r="B284" s="4" t="s">
        <v>52</v>
      </c>
      <c r="C284" s="30" t="s">
        <v>23</v>
      </c>
      <c r="D284" s="30">
        <v>2</v>
      </c>
      <c r="E284" s="30">
        <v>0</v>
      </c>
      <c r="F284" s="30" t="s">
        <v>7</v>
      </c>
      <c r="G284" s="30">
        <v>29</v>
      </c>
      <c r="H284" s="29">
        <v>3.5838466803559208</v>
      </c>
      <c r="I284" s="29" t="s">
        <v>7</v>
      </c>
      <c r="J284" s="29" t="s">
        <v>7</v>
      </c>
      <c r="K284" s="29">
        <v>3.5838466803559208</v>
      </c>
      <c r="L284" s="29" t="s">
        <v>7</v>
      </c>
      <c r="M284" s="29" t="s">
        <v>7</v>
      </c>
      <c r="N284" s="29">
        <v>3.5592060232717317</v>
      </c>
      <c r="O284" s="29" t="s">
        <v>7</v>
      </c>
      <c r="P284" s="29" t="s">
        <v>7</v>
      </c>
      <c r="Q284" s="29">
        <v>3.9425051334702257</v>
      </c>
      <c r="R284" s="29" t="s">
        <v>7</v>
      </c>
      <c r="S284" s="29" t="s">
        <v>7</v>
      </c>
      <c r="T284" s="12">
        <v>4</v>
      </c>
      <c r="U284" s="12">
        <v>16</v>
      </c>
      <c r="V284" s="4" t="s">
        <v>1</v>
      </c>
      <c r="W284" s="4">
        <v>1</v>
      </c>
      <c r="X284" s="4">
        <v>2</v>
      </c>
      <c r="Y284" s="4">
        <v>1</v>
      </c>
      <c r="Z284" s="56">
        <v>3</v>
      </c>
      <c r="AA284" s="9" cm="1">
        <f t="array" ref="AA284">IF(OR(AB284:AE284=""),"BLANK",IF(AND(AB284:AE284&lt;999),1,IF(AND(AB284:AE284="NA"),3,2)))</f>
        <v>1</v>
      </c>
      <c r="AB284" s="4">
        <v>21</v>
      </c>
      <c r="AC284" s="4">
        <v>15</v>
      </c>
      <c r="AD284" s="4">
        <v>10</v>
      </c>
      <c r="AE284" s="5">
        <v>46</v>
      </c>
      <c r="AF284" s="9">
        <f t="shared" si="4"/>
        <v>1</v>
      </c>
      <c r="AG284" s="5">
        <v>20</v>
      </c>
      <c r="AH284" s="9" cm="1">
        <f t="array" ref="AH284">IF(OR(AI284:AN284=""),"BLANK",IF(AND(AI284:AN284&lt;99),1,IF(AND(AI284:AN284="NA"),3,2)))</f>
        <v>2</v>
      </c>
      <c r="AI284" s="4">
        <v>4</v>
      </c>
      <c r="AJ284" s="4" t="s">
        <v>7</v>
      </c>
      <c r="AK284" s="23">
        <v>76.42</v>
      </c>
      <c r="AL284" s="23">
        <v>80.11</v>
      </c>
      <c r="AM284" s="23">
        <v>9.1999999999999993</v>
      </c>
      <c r="AN284" s="24">
        <v>80.88</v>
      </c>
    </row>
    <row r="285" spans="1:40" x14ac:dyDescent="0.2">
      <c r="A285" s="15">
        <v>3863</v>
      </c>
      <c r="B285" s="4" t="s">
        <v>59</v>
      </c>
      <c r="C285" s="30" t="s">
        <v>23</v>
      </c>
      <c r="D285" s="30">
        <v>5</v>
      </c>
      <c r="E285" s="30">
        <v>0</v>
      </c>
      <c r="F285" s="30" t="s">
        <v>7</v>
      </c>
      <c r="G285" s="30">
        <v>29</v>
      </c>
      <c r="H285" s="33">
        <v>3.5592060232717317</v>
      </c>
      <c r="I285" s="33">
        <v>3.8384668035592062</v>
      </c>
      <c r="J285" s="33">
        <v>7.397672826830938</v>
      </c>
      <c r="K285" s="33">
        <v>3.5592060232717317</v>
      </c>
      <c r="L285" s="33">
        <v>3.8384668035592062</v>
      </c>
      <c r="M285" s="33">
        <v>7.397672826830938</v>
      </c>
      <c r="N285" s="33">
        <v>3.6057494866529773</v>
      </c>
      <c r="O285" s="33">
        <v>3.8001368925393568</v>
      </c>
      <c r="P285" s="33">
        <v>7.4058863791923342</v>
      </c>
      <c r="Q285" s="33">
        <v>3.8877481177275839</v>
      </c>
      <c r="R285" s="33">
        <v>3.5263518138261465</v>
      </c>
      <c r="S285" s="33">
        <v>7.4140999315537304</v>
      </c>
      <c r="T285" s="12">
        <v>5</v>
      </c>
      <c r="U285" s="12">
        <v>16</v>
      </c>
      <c r="V285" s="4" t="s">
        <v>1</v>
      </c>
      <c r="W285" s="4">
        <v>1</v>
      </c>
      <c r="X285" s="4">
        <v>2</v>
      </c>
      <c r="Y285" s="4">
        <v>1</v>
      </c>
      <c r="Z285" s="56">
        <v>3</v>
      </c>
      <c r="AA285" s="9" cm="1">
        <f t="array" ref="AA285">IF(OR(AB285:AE285=""),"BLANK",IF(AND(AB285:AE285&lt;999),1,IF(AND(AB285:AE285="NA"),3,2)))</f>
        <v>1</v>
      </c>
      <c r="AB285" s="4">
        <v>29</v>
      </c>
      <c r="AC285" s="4">
        <v>23</v>
      </c>
      <c r="AD285" s="4">
        <v>16</v>
      </c>
      <c r="AE285" s="5">
        <v>68</v>
      </c>
      <c r="AF285" s="9">
        <f t="shared" si="4"/>
        <v>1</v>
      </c>
      <c r="AG285" s="5">
        <v>58</v>
      </c>
      <c r="AH285" s="9" cm="1">
        <f t="array" ref="AH285">IF(OR(AI285:AN285=""),"BLANK",IF(AND(AI285:AN285&lt;99),1,IF(AND(AI285:AN285="NA"),3,2)))</f>
        <v>2</v>
      </c>
      <c r="AI285" s="4">
        <v>11</v>
      </c>
      <c r="AJ285" s="4" t="s">
        <v>7</v>
      </c>
      <c r="AK285" s="23">
        <v>92.36</v>
      </c>
      <c r="AL285" s="23">
        <v>98.85</v>
      </c>
      <c r="AM285" s="23">
        <v>46.8</v>
      </c>
      <c r="AN285" s="24">
        <v>93.41</v>
      </c>
    </row>
    <row r="286" spans="1:40" x14ac:dyDescent="0.2">
      <c r="A286" s="15">
        <v>3898</v>
      </c>
      <c r="B286" s="4" t="s">
        <v>66</v>
      </c>
      <c r="C286" s="30" t="s">
        <v>24</v>
      </c>
      <c r="D286" s="30">
        <v>5</v>
      </c>
      <c r="E286" s="30">
        <v>0</v>
      </c>
      <c r="F286" s="30" t="s">
        <v>7</v>
      </c>
      <c r="G286" s="30">
        <v>26</v>
      </c>
      <c r="H286" s="33">
        <v>4.9719370294318956</v>
      </c>
      <c r="I286" s="33" t="s">
        <v>7</v>
      </c>
      <c r="J286" s="33" t="s">
        <v>7</v>
      </c>
      <c r="K286" s="33">
        <v>4.9719370294318956</v>
      </c>
      <c r="L286" s="33" t="s">
        <v>7</v>
      </c>
      <c r="M286" s="33" t="s">
        <v>7</v>
      </c>
      <c r="N286" s="33">
        <v>4.9281314168377826</v>
      </c>
      <c r="O286" s="33" t="s">
        <v>7</v>
      </c>
      <c r="P286" s="33" t="s">
        <v>7</v>
      </c>
      <c r="Q286" s="33">
        <v>4.862422997946612</v>
      </c>
      <c r="R286" s="33" t="s">
        <v>7</v>
      </c>
      <c r="S286" s="33" t="s">
        <v>7</v>
      </c>
      <c r="T286" s="12" t="s">
        <v>7</v>
      </c>
      <c r="U286" s="12" t="s">
        <v>7</v>
      </c>
      <c r="V286" s="4" t="s">
        <v>1</v>
      </c>
      <c r="W286" s="4">
        <v>1</v>
      </c>
      <c r="X286" s="4">
        <v>2</v>
      </c>
      <c r="Y286" s="4">
        <v>1</v>
      </c>
      <c r="Z286" s="56">
        <v>3</v>
      </c>
      <c r="AA286" s="9" cm="1">
        <f t="array" ref="AA286">IF(OR(AB286:AE286=""),"BLANK",IF(AND(AB286:AE286&lt;999),1,IF(AND(AB286:AE286="NA"),3,2)))</f>
        <v>1</v>
      </c>
      <c r="AB286" s="4">
        <v>29</v>
      </c>
      <c r="AC286" s="4">
        <v>19</v>
      </c>
      <c r="AD286" s="4">
        <v>13</v>
      </c>
      <c r="AE286" s="5">
        <v>61</v>
      </c>
      <c r="AF286" s="9">
        <f t="shared" si="4"/>
        <v>1</v>
      </c>
      <c r="AG286" s="5">
        <v>39</v>
      </c>
      <c r="AH286" s="9" cm="1">
        <f t="array" ref="AH286">IF(OR(AI286:AN286=""),"BLANK",IF(AND(AI286:AN286&lt;99),1,IF(AND(AI286:AN286="NA"),3,2)))</f>
        <v>3</v>
      </c>
      <c r="AI286" s="4" t="s">
        <v>7</v>
      </c>
      <c r="AJ286" s="4" t="s">
        <v>7</v>
      </c>
      <c r="AK286" s="23" t="s">
        <v>7</v>
      </c>
      <c r="AL286" s="23" t="s">
        <v>7</v>
      </c>
      <c r="AM286" s="23" t="s">
        <v>7</v>
      </c>
      <c r="AN286" s="24" t="s">
        <v>7</v>
      </c>
    </row>
    <row r="287" spans="1:40" x14ac:dyDescent="0.2">
      <c r="A287" s="15">
        <v>3899</v>
      </c>
      <c r="B287" s="4" t="s">
        <v>52</v>
      </c>
      <c r="C287" s="30" t="s">
        <v>23</v>
      </c>
      <c r="D287" s="30">
        <v>5</v>
      </c>
      <c r="E287" s="30">
        <v>0</v>
      </c>
      <c r="F287" s="30" t="s">
        <v>7</v>
      </c>
      <c r="G287" s="30">
        <v>28</v>
      </c>
      <c r="H287" s="29">
        <v>3.5263518138261465</v>
      </c>
      <c r="I287" s="29" t="s">
        <v>7</v>
      </c>
      <c r="J287" s="29" t="s">
        <v>7</v>
      </c>
      <c r="K287" s="29">
        <v>3.5263518138261465</v>
      </c>
      <c r="L287" s="29" t="s">
        <v>7</v>
      </c>
      <c r="M287" s="29" t="s">
        <v>7</v>
      </c>
      <c r="N287" s="29">
        <v>3.6002737850787132</v>
      </c>
      <c r="O287" s="29" t="s">
        <v>7</v>
      </c>
      <c r="P287" s="29" t="s">
        <v>7</v>
      </c>
      <c r="Q287" s="29">
        <v>4.5749486652977414</v>
      </c>
      <c r="R287" s="29" t="s">
        <v>7</v>
      </c>
      <c r="S287" s="29" t="s">
        <v>7</v>
      </c>
      <c r="T287" s="12">
        <v>2</v>
      </c>
      <c r="U287" s="12">
        <v>12</v>
      </c>
      <c r="V287" s="4" t="s">
        <v>1</v>
      </c>
      <c r="W287" s="4">
        <v>1</v>
      </c>
      <c r="X287" s="4">
        <v>2</v>
      </c>
      <c r="Y287" s="4">
        <v>1</v>
      </c>
      <c r="Z287" s="56">
        <v>3</v>
      </c>
      <c r="AA287" s="9" cm="1">
        <f t="array" ref="AA287">IF(OR(AB287:AE287=""),"BLANK",IF(AND(AB287:AE287&lt;999),1,IF(AND(AB287:AE287="NA"),3,2)))</f>
        <v>1</v>
      </c>
      <c r="AB287" s="4">
        <v>18</v>
      </c>
      <c r="AC287" s="4">
        <v>13</v>
      </c>
      <c r="AD287" s="4">
        <v>11</v>
      </c>
      <c r="AE287" s="5">
        <v>42</v>
      </c>
      <c r="AF287" s="9">
        <f t="shared" si="4"/>
        <v>1</v>
      </c>
      <c r="AG287" s="5">
        <v>47</v>
      </c>
      <c r="AH287" s="9" cm="1">
        <f t="array" ref="AH287">IF(OR(AI287:AN287=""),"BLANK",IF(AND(AI287:AN287&lt;99),1,IF(AND(AI287:AN287="NA"),3,2)))</f>
        <v>2</v>
      </c>
      <c r="AI287" s="12">
        <v>6</v>
      </c>
      <c r="AJ287" s="12" t="s">
        <v>7</v>
      </c>
      <c r="AK287" s="26">
        <v>83.66</v>
      </c>
      <c r="AL287" s="26">
        <v>89.03</v>
      </c>
      <c r="AM287" s="26">
        <v>23.3</v>
      </c>
      <c r="AN287" s="27">
        <v>86.95</v>
      </c>
    </row>
    <row r="288" spans="1:40" x14ac:dyDescent="0.2">
      <c r="A288" s="15">
        <v>3911</v>
      </c>
      <c r="B288" s="4" t="s">
        <v>46</v>
      </c>
      <c r="C288" s="30" t="s">
        <v>23</v>
      </c>
      <c r="D288" s="30">
        <v>5</v>
      </c>
      <c r="E288" s="30">
        <v>0</v>
      </c>
      <c r="F288" s="30" t="s">
        <v>7</v>
      </c>
      <c r="G288" s="30">
        <v>29</v>
      </c>
      <c r="H288" s="29">
        <v>3.6030116358658453</v>
      </c>
      <c r="I288" s="29">
        <v>3.9014373716632442</v>
      </c>
      <c r="J288" s="29">
        <v>7.5044490075290895</v>
      </c>
      <c r="K288" s="29">
        <v>3.6030116358658453</v>
      </c>
      <c r="L288" s="29">
        <v>3.9014373716632442</v>
      </c>
      <c r="M288" s="29">
        <v>7.5044490075290895</v>
      </c>
      <c r="N288" s="29">
        <v>3.6139630390143735</v>
      </c>
      <c r="O288" s="29">
        <v>3.9206023271731691</v>
      </c>
      <c r="P288" s="29">
        <v>7.5345653661875431</v>
      </c>
      <c r="Q288" s="29">
        <v>3.9616700889801506</v>
      </c>
      <c r="R288" s="29">
        <v>3.7727583846680357</v>
      </c>
      <c r="S288" s="29">
        <v>7.7344284736481859</v>
      </c>
      <c r="T288" s="12">
        <v>4</v>
      </c>
      <c r="U288" s="12">
        <v>16</v>
      </c>
      <c r="V288" s="4" t="s">
        <v>1</v>
      </c>
      <c r="W288" s="4">
        <v>1</v>
      </c>
      <c r="X288" s="4">
        <v>2</v>
      </c>
      <c r="Y288" s="4">
        <v>1</v>
      </c>
      <c r="Z288" s="56">
        <v>3</v>
      </c>
      <c r="AA288" s="9" cm="1">
        <f t="array" ref="AA288">IF(OR(AB288:AE288=""),"BLANK",IF(AND(AB288:AE288&lt;999),1,IF(AND(AB288:AE288="NA"),3,2)))</f>
        <v>1</v>
      </c>
      <c r="AB288" s="4">
        <v>37</v>
      </c>
      <c r="AC288" s="4">
        <v>22</v>
      </c>
      <c r="AD288" s="4">
        <v>14</v>
      </c>
      <c r="AE288" s="5">
        <v>73</v>
      </c>
      <c r="AF288" s="9">
        <f t="shared" si="4"/>
        <v>1</v>
      </c>
      <c r="AG288" s="5">
        <v>58</v>
      </c>
      <c r="AH288" s="9" cm="1">
        <f t="array" ref="AH288">IF(OR(AI288:AN288=""),"BLANK",IF(AND(AI288:AN288&lt;99),1,IF(AND(AI288:AN288="NA"),3,2)))</f>
        <v>2</v>
      </c>
      <c r="AI288" s="12">
        <v>18</v>
      </c>
      <c r="AJ288" s="12" t="s">
        <v>7</v>
      </c>
      <c r="AK288" s="26">
        <v>102.18</v>
      </c>
      <c r="AL288" s="26">
        <v>108.91</v>
      </c>
      <c r="AM288" s="26">
        <v>72.2</v>
      </c>
      <c r="AN288" s="27">
        <v>101.61</v>
      </c>
    </row>
    <row r="289" spans="1:40" x14ac:dyDescent="0.2">
      <c r="A289" s="15">
        <v>3946</v>
      </c>
      <c r="B289" s="4" t="s">
        <v>66</v>
      </c>
      <c r="C289" s="30" t="s">
        <v>23</v>
      </c>
      <c r="D289" s="30">
        <v>5</v>
      </c>
      <c r="E289" s="30">
        <v>0</v>
      </c>
      <c r="F289" s="30" t="s">
        <v>7</v>
      </c>
      <c r="G289" s="30">
        <v>30</v>
      </c>
      <c r="H289" s="29">
        <v>2.4996577686516086</v>
      </c>
      <c r="I289" s="29">
        <v>4.3367556468172488</v>
      </c>
      <c r="J289" s="29">
        <v>6.8364134154688569</v>
      </c>
      <c r="K289" s="29">
        <v>2.4996577686516086</v>
      </c>
      <c r="L289" s="29">
        <v>4.3367556468172488</v>
      </c>
      <c r="M289" s="29">
        <v>6.8364134154688569</v>
      </c>
      <c r="N289" s="29">
        <v>2.5078713210130048</v>
      </c>
      <c r="O289" s="29">
        <v>4.2847364818617386</v>
      </c>
      <c r="P289" s="29">
        <v>6.792607802874743</v>
      </c>
      <c r="Q289" s="29">
        <v>3.2963723477070501</v>
      </c>
      <c r="R289" s="29">
        <v>3.7371663244353184</v>
      </c>
      <c r="S289" s="29">
        <v>7.0335386721423685</v>
      </c>
      <c r="T289" s="12">
        <v>5</v>
      </c>
      <c r="U289" s="12">
        <v>17</v>
      </c>
      <c r="V289" s="4" t="s">
        <v>1</v>
      </c>
      <c r="W289" s="4">
        <v>1</v>
      </c>
      <c r="X289" s="4">
        <v>2</v>
      </c>
      <c r="Y289" s="4">
        <v>1</v>
      </c>
      <c r="Z289" s="56">
        <v>3</v>
      </c>
      <c r="AA289" s="9" cm="1">
        <f t="array" ref="AA289">IF(OR(AB289:AE289=""),"BLANK",IF(AND(AB289:AE289&lt;999),1,IF(AND(AB289:AE289="NA"),3,2)))</f>
        <v>1</v>
      </c>
      <c r="AB289" s="4">
        <v>28</v>
      </c>
      <c r="AC289" s="4">
        <v>19</v>
      </c>
      <c r="AD289" s="4">
        <v>14</v>
      </c>
      <c r="AE289" s="5">
        <v>61</v>
      </c>
      <c r="AF289" s="9">
        <f t="shared" si="4"/>
        <v>1</v>
      </c>
      <c r="AG289" s="5">
        <v>47</v>
      </c>
      <c r="AH289" s="9" cm="1">
        <f t="array" ref="AH289">IF(OR(AI289:AN289=""),"BLANK",IF(AND(AI289:AN289&lt;99),1,IF(AND(AI289:AN289="NA"),3,2)))</f>
        <v>2</v>
      </c>
      <c r="AI289" s="12">
        <v>20</v>
      </c>
      <c r="AJ289" s="12" t="s">
        <v>7</v>
      </c>
      <c r="AK289" s="26">
        <v>106.85</v>
      </c>
      <c r="AL289" s="26">
        <v>124.01</v>
      </c>
      <c r="AM289" s="26">
        <v>94.5</v>
      </c>
      <c r="AN289" s="27">
        <v>117.13</v>
      </c>
    </row>
    <row r="290" spans="1:40" x14ac:dyDescent="0.2">
      <c r="A290" s="15">
        <v>4033</v>
      </c>
      <c r="B290" s="4" t="s">
        <v>59</v>
      </c>
      <c r="C290" s="30" t="s">
        <v>24</v>
      </c>
      <c r="D290" s="30">
        <v>2</v>
      </c>
      <c r="E290" s="30">
        <v>0</v>
      </c>
      <c r="F290" s="30" t="s">
        <v>7</v>
      </c>
      <c r="G290" s="30">
        <v>30</v>
      </c>
      <c r="H290" s="33">
        <v>3.4770704996577688</v>
      </c>
      <c r="I290" s="33" t="s">
        <v>7</v>
      </c>
      <c r="J290" s="33" t="s">
        <v>7</v>
      </c>
      <c r="K290" s="33">
        <v>3.4770704996577688</v>
      </c>
      <c r="L290" s="33" t="s">
        <v>7</v>
      </c>
      <c r="M290" s="33" t="s">
        <v>7</v>
      </c>
      <c r="N290" s="33">
        <v>3.485284052019165</v>
      </c>
      <c r="O290" s="33" t="s">
        <v>7</v>
      </c>
      <c r="P290" s="33" t="s">
        <v>7</v>
      </c>
      <c r="Q290" s="33">
        <v>4.0355920602327169</v>
      </c>
      <c r="R290" s="33" t="s">
        <v>7</v>
      </c>
      <c r="S290" s="33" t="s">
        <v>7</v>
      </c>
      <c r="T290" s="12">
        <v>4</v>
      </c>
      <c r="U290" s="12">
        <v>16</v>
      </c>
      <c r="V290" s="4" t="s">
        <v>1</v>
      </c>
      <c r="W290" s="4">
        <v>1</v>
      </c>
      <c r="X290" s="4">
        <v>2</v>
      </c>
      <c r="Y290" s="4">
        <v>1</v>
      </c>
      <c r="Z290" s="56">
        <v>3</v>
      </c>
      <c r="AA290" s="9" cm="1">
        <f t="array" ref="AA290">IF(OR(AB290:AE290=""),"BLANK",IF(AND(AB290:AE290&lt;999),1,IF(AND(AB290:AE290="NA"),3,2)))</f>
        <v>1</v>
      </c>
      <c r="AB290" s="4">
        <v>30</v>
      </c>
      <c r="AC290" s="4">
        <v>17</v>
      </c>
      <c r="AD290" s="4">
        <v>8</v>
      </c>
      <c r="AE290" s="5">
        <v>55</v>
      </c>
      <c r="AF290" s="9">
        <f t="shared" si="4"/>
        <v>1</v>
      </c>
      <c r="AG290" s="5">
        <v>43</v>
      </c>
      <c r="AH290" s="9" cm="1">
        <f t="array" ref="AH290">IF(OR(AI290:AN290=""),"BLANK",IF(AND(AI290:AN290&lt;99),1,IF(AND(AI290:AN290="NA"),3,2)))</f>
        <v>2</v>
      </c>
      <c r="AI290" s="12">
        <v>9</v>
      </c>
      <c r="AJ290" s="12" t="s">
        <v>7</v>
      </c>
      <c r="AK290" s="26">
        <v>91.48</v>
      </c>
      <c r="AL290" s="26">
        <v>97.59</v>
      </c>
      <c r="AM290" s="26">
        <v>43.6</v>
      </c>
      <c r="AN290" s="27">
        <v>103.71</v>
      </c>
    </row>
    <row r="291" spans="1:40" x14ac:dyDescent="0.2">
      <c r="A291" s="15">
        <v>4104</v>
      </c>
      <c r="B291" s="4" t="s">
        <v>54</v>
      </c>
      <c r="C291" s="30" t="s">
        <v>23</v>
      </c>
      <c r="D291" s="30">
        <v>5</v>
      </c>
      <c r="E291" s="30">
        <v>0</v>
      </c>
      <c r="F291" s="30" t="s">
        <v>7</v>
      </c>
      <c r="G291" s="30">
        <v>29</v>
      </c>
      <c r="H291" s="33">
        <v>3.6605065023956196</v>
      </c>
      <c r="I291" s="33" t="s">
        <v>7</v>
      </c>
      <c r="J291" s="33" t="s">
        <v>7</v>
      </c>
      <c r="K291" s="33">
        <v>3.6605065023956196</v>
      </c>
      <c r="L291" s="33" t="s">
        <v>7</v>
      </c>
      <c r="M291" s="33" t="s">
        <v>7</v>
      </c>
      <c r="N291" s="33">
        <v>3.6659822039698837</v>
      </c>
      <c r="O291" s="33" t="s">
        <v>7</v>
      </c>
      <c r="P291" s="33" t="s">
        <v>7</v>
      </c>
      <c r="Q291" s="33" t="s">
        <v>7</v>
      </c>
      <c r="R291" s="33" t="s">
        <v>7</v>
      </c>
      <c r="S291" s="33" t="s">
        <v>7</v>
      </c>
      <c r="T291" s="12">
        <v>3</v>
      </c>
      <c r="U291" s="12">
        <v>14</v>
      </c>
      <c r="V291" s="4" t="s">
        <v>1</v>
      </c>
      <c r="W291" s="4">
        <v>1</v>
      </c>
      <c r="X291" s="4">
        <v>2</v>
      </c>
      <c r="Y291" s="4">
        <v>1</v>
      </c>
      <c r="Z291" s="56">
        <v>3</v>
      </c>
      <c r="AA291" s="9" cm="1">
        <f t="array" ref="AA291">IF(OR(AB291:AE291=""),"BLANK",IF(AND(AB291:AE291&lt;999),1,IF(AND(AB291:AE291="NA"),3,2)))</f>
        <v>1</v>
      </c>
      <c r="AB291" s="4">
        <v>35</v>
      </c>
      <c r="AC291" s="4">
        <v>23</v>
      </c>
      <c r="AD291" s="4">
        <v>13</v>
      </c>
      <c r="AE291" s="5">
        <v>71</v>
      </c>
      <c r="AF291" s="9">
        <f t="shared" si="4"/>
        <v>1</v>
      </c>
      <c r="AG291" s="5">
        <v>36</v>
      </c>
      <c r="AH291" s="9" cm="1">
        <f t="array" ref="AH291">IF(OR(AI291:AN291=""),"BLANK",IF(AND(AI291:AN291&lt;99),1,IF(AND(AI291:AN291="NA"),3,2)))</f>
        <v>2</v>
      </c>
      <c r="AI291" s="12">
        <v>8</v>
      </c>
      <c r="AJ291" s="12" t="s">
        <v>7</v>
      </c>
      <c r="AK291" s="26">
        <v>86.16</v>
      </c>
      <c r="AL291" s="26">
        <v>84.72</v>
      </c>
      <c r="AM291" s="26">
        <v>15.4</v>
      </c>
      <c r="AN291" s="27">
        <v>77.63</v>
      </c>
    </row>
    <row r="292" spans="1:40" x14ac:dyDescent="0.2">
      <c r="A292" s="15">
        <v>4129</v>
      </c>
      <c r="B292" s="4" t="s">
        <v>54</v>
      </c>
      <c r="C292" s="30" t="s">
        <v>23</v>
      </c>
      <c r="D292" s="30">
        <v>5</v>
      </c>
      <c r="E292" s="30">
        <v>0</v>
      </c>
      <c r="F292" s="30" t="s">
        <v>7</v>
      </c>
      <c r="G292" s="30">
        <v>29</v>
      </c>
      <c r="H292" s="33">
        <v>3.9069130732375084</v>
      </c>
      <c r="I292" s="33" t="s">
        <v>7</v>
      </c>
      <c r="J292" s="33" t="s">
        <v>7</v>
      </c>
      <c r="K292" s="33">
        <v>3.9014373716632442</v>
      </c>
      <c r="L292" s="33" t="s">
        <v>7</v>
      </c>
      <c r="M292" s="33" t="s">
        <v>7</v>
      </c>
      <c r="N292" s="33">
        <v>3.9644079397672827</v>
      </c>
      <c r="O292" s="33" t="s">
        <v>7</v>
      </c>
      <c r="P292" s="33" t="s">
        <v>7</v>
      </c>
      <c r="Q292" s="33" t="s">
        <v>7</v>
      </c>
      <c r="R292" s="33" t="s">
        <v>7</v>
      </c>
      <c r="S292" s="33" t="s">
        <v>7</v>
      </c>
      <c r="T292" s="12">
        <v>3</v>
      </c>
      <c r="U292" s="12">
        <v>14</v>
      </c>
      <c r="V292" s="4" t="s">
        <v>1</v>
      </c>
      <c r="W292" s="4">
        <v>1</v>
      </c>
      <c r="X292" s="4">
        <v>2</v>
      </c>
      <c r="Y292" s="4">
        <v>1</v>
      </c>
      <c r="Z292" s="56">
        <v>3</v>
      </c>
      <c r="AA292" s="9" cm="1">
        <f t="array" ref="AA292">IF(OR(AB292:AE292=""),"BLANK",IF(AND(AB292:AE292&lt;999),1,IF(AND(AB292:AE292="NA"),3,2)))</f>
        <v>1</v>
      </c>
      <c r="AB292" s="4">
        <v>15</v>
      </c>
      <c r="AC292" s="4">
        <v>9</v>
      </c>
      <c r="AD292" s="4">
        <v>8</v>
      </c>
      <c r="AE292" s="5">
        <v>32</v>
      </c>
      <c r="AF292" s="9">
        <f t="shared" si="4"/>
        <v>1</v>
      </c>
      <c r="AG292" s="5">
        <v>37</v>
      </c>
      <c r="AH292" s="9" cm="1">
        <f t="array" ref="AH292">IF(OR(AI292:AN292=""),"BLANK",IF(AND(AI292:AN292&lt;99),1,IF(AND(AI292:AN292="NA"),3,2)))</f>
        <v>2</v>
      </c>
      <c r="AI292" s="12">
        <v>7</v>
      </c>
      <c r="AJ292" s="12" t="s">
        <v>7</v>
      </c>
      <c r="AK292" s="26">
        <v>84.68</v>
      </c>
      <c r="AL292" s="26">
        <v>87.38</v>
      </c>
      <c r="AM292" s="26">
        <v>20</v>
      </c>
      <c r="AN292" s="27">
        <v>81.489999999999995</v>
      </c>
    </row>
    <row r="293" spans="1:40" x14ac:dyDescent="0.2">
      <c r="A293" s="15">
        <v>4169</v>
      </c>
      <c r="B293" s="4" t="s">
        <v>52</v>
      </c>
      <c r="C293" s="30" t="s">
        <v>23</v>
      </c>
      <c r="D293" s="30">
        <v>5</v>
      </c>
      <c r="E293" s="30">
        <v>0</v>
      </c>
      <c r="F293" s="30" t="s">
        <v>7</v>
      </c>
      <c r="G293" s="30">
        <v>28</v>
      </c>
      <c r="H293" s="33">
        <v>3.6906228610540723</v>
      </c>
      <c r="I293" s="33" t="s">
        <v>7</v>
      </c>
      <c r="J293" s="33" t="s">
        <v>7</v>
      </c>
      <c r="K293" s="33">
        <v>4.0027378507871321</v>
      </c>
      <c r="L293" s="33" t="s">
        <v>7</v>
      </c>
      <c r="M293" s="33" t="s">
        <v>7</v>
      </c>
      <c r="N293" s="33">
        <v>3.676933607118412</v>
      </c>
      <c r="O293" s="33" t="s">
        <v>7</v>
      </c>
      <c r="P293" s="33" t="s">
        <v>7</v>
      </c>
      <c r="Q293" s="33" t="s">
        <v>7</v>
      </c>
      <c r="R293" s="33" t="s">
        <v>7</v>
      </c>
      <c r="S293" s="33" t="s">
        <v>7</v>
      </c>
      <c r="T293" s="12" t="s">
        <v>7</v>
      </c>
      <c r="U293" s="12" t="s">
        <v>7</v>
      </c>
      <c r="V293" s="4" t="s">
        <v>1</v>
      </c>
      <c r="W293" s="4">
        <v>1</v>
      </c>
      <c r="X293" s="4">
        <v>2</v>
      </c>
      <c r="Y293" s="4">
        <v>1</v>
      </c>
      <c r="Z293" s="56">
        <v>3</v>
      </c>
      <c r="AA293" s="9" cm="1">
        <f t="array" ref="AA293">IF(OR(AB293:AE293=""),"BLANK",IF(AND(AB293:AE293&lt;999),1,IF(AND(AB293:AE293="NA"),3,2)))</f>
        <v>1</v>
      </c>
      <c r="AB293" s="4">
        <v>19</v>
      </c>
      <c r="AC293" s="4">
        <v>15</v>
      </c>
      <c r="AD293" s="4">
        <v>11</v>
      </c>
      <c r="AE293" s="5">
        <v>45</v>
      </c>
      <c r="AF293" s="9">
        <f t="shared" si="4"/>
        <v>1</v>
      </c>
      <c r="AG293" s="5">
        <v>31</v>
      </c>
      <c r="AH293" s="9" cm="1">
        <f t="array" ref="AH293">IF(OR(AI293:AN293=""),"BLANK",IF(AND(AI293:AN293&lt;99),1,IF(AND(AI293:AN293="NA"),3,2)))</f>
        <v>2</v>
      </c>
      <c r="AI293" s="12">
        <v>12</v>
      </c>
      <c r="AJ293" s="12" t="s">
        <v>7</v>
      </c>
      <c r="AK293" s="26">
        <v>94.02</v>
      </c>
      <c r="AL293" s="26">
        <v>104.2</v>
      </c>
      <c r="AM293" s="26">
        <v>61</v>
      </c>
      <c r="AN293" s="27">
        <v>99.03</v>
      </c>
    </row>
    <row r="294" spans="1:40" x14ac:dyDescent="0.2">
      <c r="A294" s="15">
        <v>4172</v>
      </c>
      <c r="B294" s="4" t="s">
        <v>62</v>
      </c>
      <c r="C294" s="30" t="s">
        <v>24</v>
      </c>
      <c r="D294" s="30">
        <v>5</v>
      </c>
      <c r="E294" s="30">
        <v>0</v>
      </c>
      <c r="F294" s="30" t="s">
        <v>7</v>
      </c>
      <c r="G294" s="30">
        <v>27</v>
      </c>
      <c r="H294" s="29">
        <v>3.5838466803559208</v>
      </c>
      <c r="I294" s="29" t="s">
        <v>7</v>
      </c>
      <c r="J294" s="29" t="s">
        <v>7</v>
      </c>
      <c r="K294" s="29">
        <v>3.5838466803559208</v>
      </c>
      <c r="L294" s="29" t="s">
        <v>7</v>
      </c>
      <c r="M294" s="29" t="s">
        <v>7</v>
      </c>
      <c r="N294" s="29">
        <v>3.6030116358658453</v>
      </c>
      <c r="O294" s="29" t="s">
        <v>7</v>
      </c>
      <c r="P294" s="29" t="s">
        <v>7</v>
      </c>
      <c r="Q294" s="29">
        <v>3.8302532511978096</v>
      </c>
      <c r="R294" s="29" t="s">
        <v>7</v>
      </c>
      <c r="S294" s="29" t="s">
        <v>7</v>
      </c>
      <c r="T294" s="12">
        <v>2</v>
      </c>
      <c r="U294" s="12">
        <v>12</v>
      </c>
      <c r="V294" s="4" t="s">
        <v>1</v>
      </c>
      <c r="W294" s="4">
        <v>1</v>
      </c>
      <c r="X294" s="4">
        <v>2</v>
      </c>
      <c r="Y294" s="4">
        <v>1</v>
      </c>
      <c r="Z294" s="56">
        <v>3</v>
      </c>
      <c r="AA294" s="9" cm="1">
        <f t="array" ref="AA294">IF(OR(AB294:AE294=""),"BLANK",IF(AND(AB294:AE294&lt;999),1,IF(AND(AB294:AE294="NA"),3,2)))</f>
        <v>1</v>
      </c>
      <c r="AB294" s="4">
        <v>24</v>
      </c>
      <c r="AC294" s="4">
        <v>14</v>
      </c>
      <c r="AD294" s="4">
        <v>7</v>
      </c>
      <c r="AE294" s="5">
        <v>45</v>
      </c>
      <c r="AF294" s="9">
        <f t="shared" si="4"/>
        <v>1</v>
      </c>
      <c r="AG294" s="5">
        <v>51</v>
      </c>
      <c r="AH294" s="9" cm="1">
        <f t="array" ref="AH294">IF(OR(AI294:AN294=""),"BLANK",IF(AND(AI294:AN294&lt;99),1,IF(AND(AI294:AN294="NA"),3,2)))</f>
        <v>2</v>
      </c>
      <c r="AI294" s="12">
        <v>8</v>
      </c>
      <c r="AJ294" s="12" t="s">
        <v>7</v>
      </c>
      <c r="AK294" s="26">
        <v>83.66</v>
      </c>
      <c r="AL294" s="26">
        <v>81.86</v>
      </c>
      <c r="AM294" s="26">
        <v>11.3</v>
      </c>
      <c r="AN294" s="27">
        <v>84.51</v>
      </c>
    </row>
    <row r="295" spans="1:40" x14ac:dyDescent="0.2">
      <c r="A295" s="15">
        <v>4196</v>
      </c>
      <c r="B295" s="4" t="s">
        <v>67</v>
      </c>
      <c r="C295" s="30" t="s">
        <v>24</v>
      </c>
      <c r="D295" s="30">
        <v>5</v>
      </c>
      <c r="E295" s="30">
        <v>0</v>
      </c>
      <c r="F295" s="30" t="s">
        <v>7</v>
      </c>
      <c r="G295" s="30">
        <v>29</v>
      </c>
      <c r="H295" s="29">
        <v>3.4579055441478439</v>
      </c>
      <c r="I295" s="29">
        <v>4.0109514031485283</v>
      </c>
      <c r="J295" s="29">
        <v>7.4688569472963726</v>
      </c>
      <c r="K295" s="29">
        <v>3.4579055441478439</v>
      </c>
      <c r="L295" s="29">
        <v>4.0136892539356603</v>
      </c>
      <c r="M295" s="29">
        <v>7.4715947980835047</v>
      </c>
      <c r="N295" s="29">
        <v>3.4168377823408624</v>
      </c>
      <c r="O295" s="29">
        <v>3.5865845311430529</v>
      </c>
      <c r="P295" s="29">
        <v>7.0034223134839149</v>
      </c>
      <c r="Q295" s="29">
        <v>3.5181382614647503</v>
      </c>
      <c r="R295" s="29" t="s">
        <v>7</v>
      </c>
      <c r="S295" s="29" t="s">
        <v>7</v>
      </c>
      <c r="T295" s="12">
        <v>4</v>
      </c>
      <c r="U295" s="12">
        <v>16</v>
      </c>
      <c r="V295" s="4" t="s">
        <v>1</v>
      </c>
      <c r="W295" s="4">
        <v>1</v>
      </c>
      <c r="X295" s="4">
        <v>2</v>
      </c>
      <c r="Y295" s="4">
        <v>1</v>
      </c>
      <c r="Z295" s="56">
        <v>3</v>
      </c>
      <c r="AA295" s="9" cm="1">
        <f t="array" ref="AA295">IF(OR(AB295:AE295=""),"BLANK",IF(AND(AB295:AE295&lt;999),1,IF(AND(AB295:AE295="NA"),3,2)))</f>
        <v>1</v>
      </c>
      <c r="AB295" s="4">
        <v>30</v>
      </c>
      <c r="AC295" s="4">
        <v>16</v>
      </c>
      <c r="AD295" s="4">
        <v>8</v>
      </c>
      <c r="AE295" s="5">
        <v>54</v>
      </c>
      <c r="AF295" s="9">
        <f t="shared" si="4"/>
        <v>1</v>
      </c>
      <c r="AG295" s="5">
        <v>42</v>
      </c>
      <c r="AH295" s="9" cm="1">
        <f t="array" ref="AH295">IF(OR(AI295:AN295=""),"BLANK",IF(AND(AI295:AN295&lt;99),1,IF(AND(AI295:AN295="NA"),3,2)))</f>
        <v>2</v>
      </c>
      <c r="AI295" s="12">
        <v>5</v>
      </c>
      <c r="AJ295" s="12" t="s">
        <v>7</v>
      </c>
      <c r="AK295" s="26" t="s">
        <v>7</v>
      </c>
      <c r="AL295" s="26" t="s">
        <v>7</v>
      </c>
      <c r="AM295" s="26" t="s">
        <v>7</v>
      </c>
      <c r="AN295" s="27" t="s">
        <v>7</v>
      </c>
    </row>
    <row r="296" spans="1:40" x14ac:dyDescent="0.2">
      <c r="A296" s="15">
        <v>4240</v>
      </c>
      <c r="B296" s="4" t="s">
        <v>52</v>
      </c>
      <c r="C296" s="30" t="s">
        <v>24</v>
      </c>
      <c r="D296" s="30">
        <v>5</v>
      </c>
      <c r="E296" s="30">
        <v>0</v>
      </c>
      <c r="F296" s="30" t="s">
        <v>7</v>
      </c>
      <c r="G296" s="30">
        <v>29</v>
      </c>
      <c r="H296" s="33">
        <v>3.5838466803559208</v>
      </c>
      <c r="I296" s="33" t="s">
        <v>7</v>
      </c>
      <c r="J296" s="33" t="s">
        <v>7</v>
      </c>
      <c r="K296" s="33">
        <v>3.5838466803559208</v>
      </c>
      <c r="L296" s="33" t="s">
        <v>7</v>
      </c>
      <c r="M296" s="33" t="s">
        <v>7</v>
      </c>
      <c r="N296" s="33">
        <v>3.7946611909650922</v>
      </c>
      <c r="O296" s="33" t="s">
        <v>7</v>
      </c>
      <c r="P296" s="33" t="s">
        <v>7</v>
      </c>
      <c r="Q296" s="33">
        <v>3.7344284736481863</v>
      </c>
      <c r="R296" s="33" t="s">
        <v>7</v>
      </c>
      <c r="S296" s="33" t="s">
        <v>7</v>
      </c>
      <c r="T296" s="12">
        <v>4</v>
      </c>
      <c r="U296" s="12">
        <v>16</v>
      </c>
      <c r="V296" s="4" t="s">
        <v>1</v>
      </c>
      <c r="W296" s="4">
        <v>1</v>
      </c>
      <c r="X296" s="4">
        <v>2</v>
      </c>
      <c r="Y296" s="4">
        <v>1</v>
      </c>
      <c r="Z296" s="56">
        <v>3</v>
      </c>
      <c r="AA296" s="9" cm="1">
        <f t="array" ref="AA296">IF(OR(AB296:AE296=""),"BLANK",IF(AND(AB296:AE296&lt;999),1,IF(AND(AB296:AE296="NA"),3,2)))</f>
        <v>1</v>
      </c>
      <c r="AB296" s="4">
        <v>23</v>
      </c>
      <c r="AC296" s="4">
        <v>12</v>
      </c>
      <c r="AD296" s="4">
        <v>9</v>
      </c>
      <c r="AE296" s="5">
        <v>44</v>
      </c>
      <c r="AF296" s="9">
        <f t="shared" si="4"/>
        <v>1</v>
      </c>
      <c r="AG296" s="5">
        <v>43</v>
      </c>
      <c r="AH296" s="9" cm="1">
        <f t="array" ref="AH296">IF(OR(AI296:AN296=""),"BLANK",IF(AND(AI296:AN296&lt;99),1,IF(AND(AI296:AN296="NA"),3,2)))</f>
        <v>2</v>
      </c>
      <c r="AI296" s="12">
        <v>9</v>
      </c>
      <c r="AJ296" s="12" t="s">
        <v>7</v>
      </c>
      <c r="AK296" s="26">
        <v>88.06</v>
      </c>
      <c r="AL296" s="26">
        <v>95.98</v>
      </c>
      <c r="AM296" s="26">
        <v>39.4</v>
      </c>
      <c r="AN296" s="27">
        <v>95.04</v>
      </c>
    </row>
    <row r="297" spans="1:40" x14ac:dyDescent="0.2">
      <c r="A297" s="15">
        <v>4265</v>
      </c>
      <c r="B297" s="4" t="s">
        <v>47</v>
      </c>
      <c r="C297" s="30" t="s">
        <v>23</v>
      </c>
      <c r="D297" s="30">
        <v>5</v>
      </c>
      <c r="E297" s="30">
        <v>0</v>
      </c>
      <c r="F297" s="30" t="s">
        <v>7</v>
      </c>
      <c r="G297" s="30">
        <v>29</v>
      </c>
      <c r="H297" s="29">
        <v>3.5126625598904861</v>
      </c>
      <c r="I297" s="29" t="s">
        <v>7</v>
      </c>
      <c r="J297" s="29" t="s">
        <v>7</v>
      </c>
      <c r="K297" s="29">
        <v>3.5126625598904861</v>
      </c>
      <c r="L297" s="29" t="s">
        <v>7</v>
      </c>
      <c r="M297" s="29" t="s">
        <v>7</v>
      </c>
      <c r="N297" s="29">
        <v>3.5017111567419574</v>
      </c>
      <c r="O297" s="29" t="s">
        <v>7</v>
      </c>
      <c r="P297" s="29" t="s">
        <v>7</v>
      </c>
      <c r="Q297" s="29">
        <v>3.6605065023956196</v>
      </c>
      <c r="R297" s="29" t="s">
        <v>7</v>
      </c>
      <c r="S297" s="29" t="s">
        <v>7</v>
      </c>
      <c r="T297" s="12">
        <v>3</v>
      </c>
      <c r="U297" s="12">
        <v>14</v>
      </c>
      <c r="V297" s="4" t="s">
        <v>1</v>
      </c>
      <c r="W297" s="4">
        <v>1</v>
      </c>
      <c r="X297" s="4">
        <v>2</v>
      </c>
      <c r="Y297" s="4">
        <v>1</v>
      </c>
      <c r="Z297" s="56">
        <v>3</v>
      </c>
      <c r="AA297" s="9" cm="1">
        <f t="array" ref="AA297">IF(OR(AB297:AE297=""),"BLANK",IF(AND(AB297:AE297&lt;999),1,IF(AND(AB297:AE297="NA"),3,2)))</f>
        <v>1</v>
      </c>
      <c r="AB297" s="4">
        <v>33</v>
      </c>
      <c r="AC297" s="4">
        <v>20</v>
      </c>
      <c r="AD297" s="4">
        <v>11</v>
      </c>
      <c r="AE297" s="5">
        <v>64</v>
      </c>
      <c r="AF297" s="9">
        <f t="shared" si="4"/>
        <v>1</v>
      </c>
      <c r="AG297" s="5">
        <v>54</v>
      </c>
      <c r="AH297" s="9" cm="1">
        <f t="array" ref="AH297">IF(OR(AI297:AN297=""),"BLANK",IF(AND(AI297:AN297&lt;99),1,IF(AND(AI297:AN297="NA"),3,2)))</f>
        <v>2</v>
      </c>
      <c r="AI297" s="12">
        <v>30</v>
      </c>
      <c r="AJ297" s="12" t="s">
        <v>7</v>
      </c>
      <c r="AK297" s="26">
        <v>125.07</v>
      </c>
      <c r="AL297" s="26">
        <v>153.79</v>
      </c>
      <c r="AM297" s="26">
        <v>99.9</v>
      </c>
      <c r="AN297" s="27">
        <v>146.66999999999999</v>
      </c>
    </row>
    <row r="298" spans="1:40" x14ac:dyDescent="0.2">
      <c r="A298" s="15">
        <v>4288</v>
      </c>
      <c r="B298" s="4" t="s">
        <v>47</v>
      </c>
      <c r="C298" s="30" t="s">
        <v>23</v>
      </c>
      <c r="D298" s="30">
        <v>5</v>
      </c>
      <c r="E298" s="30">
        <v>0</v>
      </c>
      <c r="F298" s="30" t="s">
        <v>7</v>
      </c>
      <c r="G298" s="30">
        <v>29</v>
      </c>
      <c r="H298" s="29">
        <v>3.4715947980835042</v>
      </c>
      <c r="I298" s="29">
        <v>3.6851471594798082</v>
      </c>
      <c r="J298" s="29">
        <v>7.1567419575633124</v>
      </c>
      <c r="K298" s="29">
        <v>3.4715947980835042</v>
      </c>
      <c r="L298" s="29">
        <v>3.7316906228610542</v>
      </c>
      <c r="M298" s="29">
        <v>7.2032854209445585</v>
      </c>
      <c r="N298" s="29">
        <v>3.4880219028062971</v>
      </c>
      <c r="O298" s="29" t="s">
        <v>7</v>
      </c>
      <c r="P298" s="29" t="s">
        <v>7</v>
      </c>
      <c r="Q298" s="29">
        <v>3.6577686516084875</v>
      </c>
      <c r="R298" s="29" t="s">
        <v>7</v>
      </c>
      <c r="S298" s="29" t="s">
        <v>7</v>
      </c>
      <c r="T298" s="12">
        <v>4</v>
      </c>
      <c r="U298" s="12">
        <v>16</v>
      </c>
      <c r="V298" s="4" t="s">
        <v>1</v>
      </c>
      <c r="W298" s="4">
        <v>1</v>
      </c>
      <c r="X298" s="4">
        <v>2</v>
      </c>
      <c r="Y298" s="4">
        <v>1</v>
      </c>
      <c r="Z298" s="56">
        <v>3</v>
      </c>
      <c r="AA298" s="9" cm="1">
        <f t="array" ref="AA298">IF(OR(AB298:AE298=""),"BLANK",IF(AND(AB298:AE298&lt;999),1,IF(AND(AB298:AE298="NA"),3,2)))</f>
        <v>1</v>
      </c>
      <c r="AB298" s="4">
        <v>32</v>
      </c>
      <c r="AC298" s="4">
        <v>19</v>
      </c>
      <c r="AD298" s="4">
        <v>13</v>
      </c>
      <c r="AE298" s="5">
        <v>64</v>
      </c>
      <c r="AF298" s="9">
        <f t="shared" si="4"/>
        <v>1</v>
      </c>
      <c r="AG298" s="5">
        <v>48</v>
      </c>
      <c r="AH298" s="9" cm="1">
        <f t="array" ref="AH298">IF(OR(AI298:AN298=""),"BLANK",IF(AND(AI298:AN298&lt;99),1,IF(AND(AI298:AN298="NA"),3,2)))</f>
        <v>2</v>
      </c>
      <c r="AI298" s="12">
        <v>34</v>
      </c>
      <c r="AJ298" s="12" t="s">
        <v>7</v>
      </c>
      <c r="AK298" s="26">
        <v>135.55000000000001</v>
      </c>
      <c r="AL298" s="26">
        <v>154.02000000000001</v>
      </c>
      <c r="AM298" s="26">
        <v>99.9</v>
      </c>
      <c r="AN298" s="27">
        <v>153.77000000000001</v>
      </c>
    </row>
    <row r="299" spans="1:40" x14ac:dyDescent="0.2">
      <c r="A299" s="15">
        <v>4301</v>
      </c>
      <c r="B299" s="4" t="s">
        <v>47</v>
      </c>
      <c r="C299" s="30" t="s">
        <v>23</v>
      </c>
      <c r="D299" s="30">
        <v>5</v>
      </c>
      <c r="E299" s="30">
        <v>0</v>
      </c>
      <c r="F299" s="30" t="s">
        <v>7</v>
      </c>
      <c r="G299" s="30">
        <v>26</v>
      </c>
      <c r="H299" s="29">
        <v>3.5537303216974676</v>
      </c>
      <c r="I299" s="29" t="s">
        <v>7</v>
      </c>
      <c r="J299" s="29" t="s">
        <v>7</v>
      </c>
      <c r="K299" s="29">
        <v>3.9315537303216974</v>
      </c>
      <c r="L299" s="29" t="s">
        <v>7</v>
      </c>
      <c r="M299" s="29" t="s">
        <v>7</v>
      </c>
      <c r="N299" s="29">
        <v>3.5181382614647503</v>
      </c>
      <c r="O299" s="29" t="s">
        <v>7</v>
      </c>
      <c r="P299" s="29" t="s">
        <v>7</v>
      </c>
      <c r="Q299" s="29">
        <v>3.893223819301848</v>
      </c>
      <c r="R299" s="29" t="s">
        <v>7</v>
      </c>
      <c r="S299" s="29" t="s">
        <v>7</v>
      </c>
      <c r="T299" s="12">
        <v>3</v>
      </c>
      <c r="U299" s="12">
        <v>13</v>
      </c>
      <c r="V299" s="4" t="s">
        <v>1</v>
      </c>
      <c r="W299" s="4">
        <v>1</v>
      </c>
      <c r="X299" s="4">
        <v>2</v>
      </c>
      <c r="Y299" s="4">
        <v>1</v>
      </c>
      <c r="Z299" s="56">
        <v>3</v>
      </c>
      <c r="AA299" s="9" cm="1">
        <f t="array" ref="AA299">IF(OR(AB299:AE299=""),"BLANK",IF(AND(AB299:AE299&lt;999),1,IF(AND(AB299:AE299="NA"),3,2)))</f>
        <v>1</v>
      </c>
      <c r="AB299" s="4">
        <v>24</v>
      </c>
      <c r="AC299" s="4">
        <v>13</v>
      </c>
      <c r="AD299" s="4">
        <v>10</v>
      </c>
      <c r="AE299" s="5">
        <v>47</v>
      </c>
      <c r="AF299" s="9">
        <f t="shared" si="4"/>
        <v>1</v>
      </c>
      <c r="AG299" s="5">
        <v>35</v>
      </c>
      <c r="AH299" s="9" cm="1">
        <f t="array" ref="AH299">IF(OR(AI299:AN299=""),"BLANK",IF(AND(AI299:AN299&lt;99),1,IF(AND(AI299:AN299="NA"),3,2)))</f>
        <v>2</v>
      </c>
      <c r="AI299" s="12">
        <v>7</v>
      </c>
      <c r="AJ299" s="12" t="s">
        <v>7</v>
      </c>
      <c r="AK299" s="26">
        <v>82.37</v>
      </c>
      <c r="AL299" s="26">
        <v>86.76</v>
      </c>
      <c r="AM299" s="26">
        <v>18.899999999999999</v>
      </c>
      <c r="AN299" s="27">
        <v>80.62</v>
      </c>
    </row>
    <row r="300" spans="1:40" x14ac:dyDescent="0.2">
      <c r="A300" s="15">
        <v>4312</v>
      </c>
      <c r="B300" s="4" t="s">
        <v>48</v>
      </c>
      <c r="C300" s="30" t="s">
        <v>23</v>
      </c>
      <c r="D300" s="30">
        <v>5</v>
      </c>
      <c r="E300" s="30">
        <v>0</v>
      </c>
      <c r="F300" s="30" t="s">
        <v>7</v>
      </c>
      <c r="G300" s="30">
        <v>29</v>
      </c>
      <c r="H300" s="29">
        <v>3.7563312799452429</v>
      </c>
      <c r="I300" s="29">
        <v>3.3566050650239561</v>
      </c>
      <c r="J300" s="29">
        <v>7.1129363449691994</v>
      </c>
      <c r="K300" s="29">
        <v>3.7563312799452429</v>
      </c>
      <c r="L300" s="29">
        <v>3.3566050650239561</v>
      </c>
      <c r="M300" s="29">
        <v>7.1129363449691994</v>
      </c>
      <c r="N300" s="29">
        <v>3.9096509240246409</v>
      </c>
      <c r="O300" s="29">
        <v>3.1266255989048597</v>
      </c>
      <c r="P300" s="29">
        <v>7.0362765229295006</v>
      </c>
      <c r="Q300" s="29">
        <v>3.6605065023956196</v>
      </c>
      <c r="R300" s="29">
        <v>3.3702943189596168</v>
      </c>
      <c r="S300" s="29">
        <v>7.0308008213552364</v>
      </c>
      <c r="T300" s="12">
        <v>3</v>
      </c>
      <c r="U300" s="12">
        <v>14</v>
      </c>
      <c r="V300" s="4" t="s">
        <v>1</v>
      </c>
      <c r="W300" s="4">
        <v>1</v>
      </c>
      <c r="X300" s="4">
        <v>2</v>
      </c>
      <c r="Y300" s="4">
        <v>1</v>
      </c>
      <c r="Z300" s="56">
        <v>3</v>
      </c>
      <c r="AA300" s="9" cm="1">
        <f t="array" ref="AA300">IF(OR(AB300:AE300=""),"BLANK",IF(AND(AB300:AE300&lt;999),1,IF(AND(AB300:AE300="NA"),3,2)))</f>
        <v>1</v>
      </c>
      <c r="AB300" s="4">
        <v>24</v>
      </c>
      <c r="AC300" s="4">
        <v>14</v>
      </c>
      <c r="AD300" s="4">
        <v>14</v>
      </c>
      <c r="AE300" s="5">
        <v>52</v>
      </c>
      <c r="AF300" s="9">
        <f t="shared" si="4"/>
        <v>1</v>
      </c>
      <c r="AG300" s="5">
        <v>52</v>
      </c>
      <c r="AH300" s="9" cm="1">
        <f t="array" ref="AH300">IF(OR(AI300:AN300=""),"BLANK",IF(AND(AI300:AN300&lt;99),1,IF(AND(AI300:AN300="NA"),3,2)))</f>
        <v>2</v>
      </c>
      <c r="AI300" s="12">
        <v>10</v>
      </c>
      <c r="AJ300" s="12" t="s">
        <v>7</v>
      </c>
      <c r="AK300" s="26">
        <v>90.87</v>
      </c>
      <c r="AL300" s="26">
        <v>99.02</v>
      </c>
      <c r="AM300" s="26">
        <v>47.2</v>
      </c>
      <c r="AN300" s="27">
        <v>93.41</v>
      </c>
    </row>
    <row r="301" spans="1:40" x14ac:dyDescent="0.2">
      <c r="A301" s="15">
        <v>4315</v>
      </c>
      <c r="B301" s="4" t="s">
        <v>52</v>
      </c>
      <c r="C301" s="30" t="s">
        <v>24</v>
      </c>
      <c r="D301" s="30">
        <v>5</v>
      </c>
      <c r="E301" s="30">
        <v>0</v>
      </c>
      <c r="F301" s="30" t="s">
        <v>7</v>
      </c>
      <c r="G301" s="30">
        <v>30</v>
      </c>
      <c r="H301" s="29">
        <v>2.4695414099931554</v>
      </c>
      <c r="I301" s="29">
        <v>4.3778234086242298</v>
      </c>
      <c r="J301" s="29">
        <v>6.8473648186173852</v>
      </c>
      <c r="K301" s="29">
        <v>2.4695414099931554</v>
      </c>
      <c r="L301" s="29">
        <v>4.3778234086242298</v>
      </c>
      <c r="M301" s="29">
        <v>6.8473648186173852</v>
      </c>
      <c r="N301" s="29">
        <v>2.622861054072553</v>
      </c>
      <c r="O301" s="29">
        <v>4.1889117043121153</v>
      </c>
      <c r="P301" s="29">
        <v>6.8117727583846683</v>
      </c>
      <c r="Q301" s="29">
        <v>2.9295003422313486</v>
      </c>
      <c r="R301" s="29" t="s">
        <v>7</v>
      </c>
      <c r="S301" s="29" t="s">
        <v>7</v>
      </c>
      <c r="T301" s="12">
        <v>4</v>
      </c>
      <c r="U301" s="12">
        <v>16</v>
      </c>
      <c r="V301" s="4" t="s">
        <v>1</v>
      </c>
      <c r="W301" s="4">
        <v>1</v>
      </c>
      <c r="X301" s="4">
        <v>2</v>
      </c>
      <c r="Y301" s="4">
        <v>1</v>
      </c>
      <c r="Z301" s="56">
        <v>3</v>
      </c>
      <c r="AA301" s="9" cm="1">
        <f t="array" ref="AA301">IF(OR(AB301:AE301=""),"BLANK",IF(AND(AB301:AE301&lt;999),1,IF(AND(AB301:AE301="NA"),3,2)))</f>
        <v>1</v>
      </c>
      <c r="AB301" s="4">
        <v>24</v>
      </c>
      <c r="AC301" s="4">
        <v>10</v>
      </c>
      <c r="AD301" s="4">
        <v>5</v>
      </c>
      <c r="AE301" s="5">
        <v>39</v>
      </c>
      <c r="AF301" s="9">
        <f t="shared" si="4"/>
        <v>1</v>
      </c>
      <c r="AG301" s="5">
        <v>43</v>
      </c>
      <c r="AH301" s="9" cm="1">
        <f t="array" ref="AH301">IF(OR(AI301:AN301=""),"BLANK",IF(AND(AI301:AN301&lt;99),1,IF(AND(AI301:AN301="NA"),3,2)))</f>
        <v>2</v>
      </c>
      <c r="AI301" s="12">
        <v>13</v>
      </c>
      <c r="AJ301" s="12" t="s">
        <v>7</v>
      </c>
      <c r="AK301" s="26">
        <v>93.31</v>
      </c>
      <c r="AL301" s="26">
        <v>103.21</v>
      </c>
      <c r="AM301" s="26">
        <v>58.3</v>
      </c>
      <c r="AN301" s="27">
        <v>102.43</v>
      </c>
    </row>
    <row r="302" spans="1:40" x14ac:dyDescent="0.2">
      <c r="A302" s="15">
        <v>4328</v>
      </c>
      <c r="B302" s="4" t="s">
        <v>64</v>
      </c>
      <c r="C302" s="30" t="s">
        <v>24</v>
      </c>
      <c r="D302" s="30">
        <v>5</v>
      </c>
      <c r="E302" s="30">
        <v>0</v>
      </c>
      <c r="F302" s="30" t="s">
        <v>7</v>
      </c>
      <c r="G302" s="30">
        <v>28</v>
      </c>
      <c r="H302" s="29">
        <v>3.5099247091033541</v>
      </c>
      <c r="I302" s="29">
        <v>3.2005475701574264</v>
      </c>
      <c r="J302" s="29">
        <v>6.71047227926078</v>
      </c>
      <c r="K302" s="29">
        <v>3.5099247091033541</v>
      </c>
      <c r="L302" s="29">
        <v>3.2005475701574264</v>
      </c>
      <c r="M302" s="29">
        <v>6.71047227926078</v>
      </c>
      <c r="N302" s="29">
        <v>3.5345653661875427</v>
      </c>
      <c r="O302" s="29">
        <v>3.2525667351129361</v>
      </c>
      <c r="P302" s="29">
        <v>6.7871321013004788</v>
      </c>
      <c r="Q302" s="29">
        <v>3.4223134839151266</v>
      </c>
      <c r="R302" s="29">
        <v>3.3730321697467489</v>
      </c>
      <c r="S302" s="29">
        <v>6.795345653661875</v>
      </c>
      <c r="T302" s="12" t="s">
        <v>7</v>
      </c>
      <c r="U302" s="12" t="s">
        <v>7</v>
      </c>
      <c r="V302" s="4" t="s">
        <v>1</v>
      </c>
      <c r="W302" s="4">
        <v>1</v>
      </c>
      <c r="X302" s="4">
        <v>2</v>
      </c>
      <c r="Y302" s="4">
        <v>1</v>
      </c>
      <c r="Z302" s="56">
        <v>3</v>
      </c>
      <c r="AA302" s="9" cm="1">
        <f t="array" ref="AA302">IF(OR(AB302:AE302=""),"BLANK",IF(AND(AB302:AE302&lt;999),1,IF(AND(AB302:AE302="NA"),3,2)))</f>
        <v>1</v>
      </c>
      <c r="AB302" s="4">
        <v>23</v>
      </c>
      <c r="AC302" s="4">
        <v>16</v>
      </c>
      <c r="AD302" s="4">
        <v>14</v>
      </c>
      <c r="AE302" s="5">
        <v>53</v>
      </c>
      <c r="AF302" s="9">
        <f t="shared" si="4"/>
        <v>1</v>
      </c>
      <c r="AG302" s="5">
        <v>52</v>
      </c>
      <c r="AH302" s="9" cm="1">
        <f t="array" ref="AH302">IF(OR(AI302:AN302=""),"BLANK",IF(AND(AI302:AN302&lt;99),1,IF(AND(AI302:AN302="NA"),3,2)))</f>
        <v>2</v>
      </c>
      <c r="AI302" s="12">
        <v>6</v>
      </c>
      <c r="AJ302" s="12" t="s">
        <v>7</v>
      </c>
      <c r="AK302" s="26">
        <v>78.959999999999994</v>
      </c>
      <c r="AL302" s="26">
        <v>91.26</v>
      </c>
      <c r="AM302" s="26">
        <v>28.1</v>
      </c>
      <c r="AN302" s="27">
        <v>91.61</v>
      </c>
    </row>
    <row r="303" spans="1:40" x14ac:dyDescent="0.2">
      <c r="A303" s="15">
        <v>4394</v>
      </c>
      <c r="B303" s="4" t="s">
        <v>46</v>
      </c>
      <c r="C303" s="30" t="s">
        <v>24</v>
      </c>
      <c r="D303" s="30">
        <v>2</v>
      </c>
      <c r="E303" s="30">
        <v>0</v>
      </c>
      <c r="F303" s="30" t="s">
        <v>7</v>
      </c>
      <c r="G303" s="30">
        <v>28</v>
      </c>
      <c r="H303" s="29">
        <v>3.9589322381930185</v>
      </c>
      <c r="I303" s="29">
        <v>3.1868583162217661</v>
      </c>
      <c r="J303" s="29">
        <v>7.1457905544147842</v>
      </c>
      <c r="K303" s="29">
        <v>3.9479808350444903</v>
      </c>
      <c r="L303" s="29">
        <v>3.184120465434634</v>
      </c>
      <c r="M303" s="29">
        <v>7.1321013004791238</v>
      </c>
      <c r="N303" s="29">
        <v>3.9479808350444903</v>
      </c>
      <c r="O303" s="29">
        <v>3.2224503764544834</v>
      </c>
      <c r="P303" s="29">
        <v>7.1704312114989737</v>
      </c>
      <c r="Q303" s="29">
        <v>3.8850102669404518</v>
      </c>
      <c r="R303" s="29">
        <v>3.2553045859000687</v>
      </c>
      <c r="S303" s="29">
        <v>7.14031485284052</v>
      </c>
      <c r="T303" s="12">
        <v>4</v>
      </c>
      <c r="U303" s="12">
        <v>16</v>
      </c>
      <c r="V303" s="4" t="s">
        <v>1</v>
      </c>
      <c r="W303" s="4">
        <v>1</v>
      </c>
      <c r="X303" s="4">
        <v>2</v>
      </c>
      <c r="Y303" s="4">
        <v>1</v>
      </c>
      <c r="Z303" s="56">
        <v>3</v>
      </c>
      <c r="AA303" s="9" cm="1">
        <f t="array" ref="AA303">IF(OR(AB303:AE303=""),"BLANK",IF(AND(AB303:AE303&lt;999),1,IF(AND(AB303:AE303="NA"),3,2)))</f>
        <v>1</v>
      </c>
      <c r="AB303" s="4">
        <v>29</v>
      </c>
      <c r="AC303" s="4">
        <v>16</v>
      </c>
      <c r="AD303" s="4">
        <v>10</v>
      </c>
      <c r="AE303" s="5">
        <v>55</v>
      </c>
      <c r="AF303" s="9">
        <f t="shared" si="4"/>
        <v>1</v>
      </c>
      <c r="AG303" s="5">
        <v>60</v>
      </c>
      <c r="AH303" s="9" cm="1">
        <f t="array" ref="AH303">IF(OR(AI303:AN303=""),"BLANK",IF(AND(AI303:AN303&lt;99),1,IF(AND(AI303:AN303="NA"),3,2)))</f>
        <v>2</v>
      </c>
      <c r="AI303" s="4">
        <v>15</v>
      </c>
      <c r="AJ303" s="4" t="s">
        <v>7</v>
      </c>
      <c r="AK303" s="23">
        <v>101.48</v>
      </c>
      <c r="AL303" s="23">
        <v>106.64</v>
      </c>
      <c r="AM303" s="23">
        <v>67</v>
      </c>
      <c r="AN303" s="24">
        <v>112.23</v>
      </c>
    </row>
    <row r="304" spans="1:40" x14ac:dyDescent="0.2">
      <c r="A304" s="15">
        <v>4398</v>
      </c>
      <c r="B304" s="4" t="s">
        <v>66</v>
      </c>
      <c r="C304" s="30" t="s">
        <v>24</v>
      </c>
      <c r="D304" s="30">
        <v>5</v>
      </c>
      <c r="E304" s="30">
        <v>0</v>
      </c>
      <c r="F304" s="30" t="s">
        <v>7</v>
      </c>
      <c r="G304" s="30">
        <v>28</v>
      </c>
      <c r="H304" s="33">
        <v>3.4770704996577688</v>
      </c>
      <c r="I304" s="33" t="s">
        <v>7</v>
      </c>
      <c r="J304" s="33" t="s">
        <v>7</v>
      </c>
      <c r="K304" s="33">
        <v>3.4770704996577688</v>
      </c>
      <c r="L304" s="33" t="s">
        <v>7</v>
      </c>
      <c r="M304" s="33" t="s">
        <v>7</v>
      </c>
      <c r="N304" s="33" t="s">
        <v>7</v>
      </c>
      <c r="O304" s="33" t="s">
        <v>7</v>
      </c>
      <c r="P304" s="33" t="s">
        <v>7</v>
      </c>
      <c r="Q304" s="33" t="s">
        <v>7</v>
      </c>
      <c r="R304" s="33" t="s">
        <v>7</v>
      </c>
      <c r="S304" s="33" t="s">
        <v>7</v>
      </c>
      <c r="T304" s="12" t="s">
        <v>7</v>
      </c>
      <c r="U304" s="12" t="s">
        <v>7</v>
      </c>
      <c r="V304" s="4" t="s">
        <v>1</v>
      </c>
      <c r="W304" s="4">
        <v>1</v>
      </c>
      <c r="X304" s="4">
        <v>2</v>
      </c>
      <c r="Y304" s="4">
        <v>1</v>
      </c>
      <c r="Z304" s="56">
        <v>3</v>
      </c>
      <c r="AA304" s="9" cm="1">
        <f t="array" ref="AA304">IF(OR(AB304:AE304=""),"BLANK",IF(AND(AB304:AE304&lt;999),1,IF(AND(AB304:AE304="NA"),3,2)))</f>
        <v>3</v>
      </c>
      <c r="AB304" s="4" t="s">
        <v>7</v>
      </c>
      <c r="AC304" s="4" t="s">
        <v>7</v>
      </c>
      <c r="AD304" s="4" t="s">
        <v>7</v>
      </c>
      <c r="AE304" s="5" t="s">
        <v>7</v>
      </c>
      <c r="AF304" s="9">
        <f t="shared" si="4"/>
        <v>3</v>
      </c>
      <c r="AG304" s="5" t="s">
        <v>7</v>
      </c>
      <c r="AH304" s="9" cm="1">
        <f t="array" ref="AH304">IF(OR(AI304:AN304=""),"BLANK",IF(AND(AI304:AN304&lt;99),1,IF(AND(AI304:AN304="NA"),3,2)))</f>
        <v>2</v>
      </c>
      <c r="AI304" s="4">
        <v>7</v>
      </c>
      <c r="AJ304" s="4" t="s">
        <v>7</v>
      </c>
      <c r="AK304" s="23">
        <v>86.63</v>
      </c>
      <c r="AL304" s="23">
        <v>93.36</v>
      </c>
      <c r="AM304" s="23">
        <v>33</v>
      </c>
      <c r="AN304" s="24">
        <v>92.68</v>
      </c>
    </row>
    <row r="305" spans="1:40" x14ac:dyDescent="0.2">
      <c r="A305" s="15">
        <v>4451</v>
      </c>
      <c r="B305" s="4" t="s">
        <v>46</v>
      </c>
      <c r="C305" s="30" t="s">
        <v>24</v>
      </c>
      <c r="D305" s="30">
        <v>5</v>
      </c>
      <c r="E305" s="30">
        <v>1</v>
      </c>
      <c r="F305" s="30" t="s">
        <v>7</v>
      </c>
      <c r="G305" s="30">
        <v>25</v>
      </c>
      <c r="H305" s="29">
        <v>3.4168377823408624</v>
      </c>
      <c r="I305" s="29">
        <v>3.6030116358658453</v>
      </c>
      <c r="J305" s="29">
        <v>7.0198494182067082</v>
      </c>
      <c r="K305" s="29">
        <v>3.485284052019165</v>
      </c>
      <c r="L305" s="29">
        <v>3.5345653661875427</v>
      </c>
      <c r="M305" s="29">
        <v>7.0198494182067082</v>
      </c>
      <c r="N305" s="29">
        <v>3.4387405886379194</v>
      </c>
      <c r="O305" s="29">
        <v>3.6030116358658453</v>
      </c>
      <c r="P305" s="29">
        <v>7.0417522245037647</v>
      </c>
      <c r="Q305" s="29">
        <v>3.5044490075290895</v>
      </c>
      <c r="R305" s="29">
        <v>3.57015742642026</v>
      </c>
      <c r="S305" s="29">
        <v>7.0746064339493495</v>
      </c>
      <c r="T305" s="12">
        <v>3</v>
      </c>
      <c r="U305" s="12">
        <v>14</v>
      </c>
      <c r="V305" s="4" t="s">
        <v>1</v>
      </c>
      <c r="W305" s="4">
        <v>1</v>
      </c>
      <c r="X305" s="4">
        <v>2</v>
      </c>
      <c r="Y305" s="4">
        <v>1</v>
      </c>
      <c r="Z305" s="56">
        <v>3</v>
      </c>
      <c r="AA305" s="9" cm="1">
        <f t="array" ref="AA305">IF(OR(AB305:AE305=""),"BLANK",IF(AND(AB305:AE305&lt;999),1,IF(AND(AB305:AE305="NA"),3,2)))</f>
        <v>1</v>
      </c>
      <c r="AB305" s="4">
        <v>14</v>
      </c>
      <c r="AC305" s="4">
        <v>8</v>
      </c>
      <c r="AD305" s="4">
        <v>6</v>
      </c>
      <c r="AE305" s="5">
        <v>28</v>
      </c>
      <c r="AF305" s="9">
        <f t="shared" si="4"/>
        <v>1</v>
      </c>
      <c r="AG305" s="5">
        <v>25</v>
      </c>
      <c r="AH305" s="9" cm="1">
        <f t="array" ref="AH305">IF(OR(AI305:AN305=""),"BLANK",IF(AND(AI305:AN305&lt;99),1,IF(AND(AI305:AN305="NA"),3,2)))</f>
        <v>2</v>
      </c>
      <c r="AI305" s="4">
        <v>4</v>
      </c>
      <c r="AJ305" s="4" t="s">
        <v>7</v>
      </c>
      <c r="AK305" s="23">
        <v>76.42</v>
      </c>
      <c r="AL305" s="23">
        <v>72.98</v>
      </c>
      <c r="AM305" s="23">
        <v>3.6</v>
      </c>
      <c r="AN305" s="24">
        <v>72.44</v>
      </c>
    </row>
    <row r="306" spans="1:40" x14ac:dyDescent="0.2">
      <c r="A306" s="15">
        <v>4461</v>
      </c>
      <c r="B306" s="4" t="s">
        <v>58</v>
      </c>
      <c r="C306" s="30" t="s">
        <v>24</v>
      </c>
      <c r="D306" s="30">
        <v>5</v>
      </c>
      <c r="E306" s="30">
        <v>0</v>
      </c>
      <c r="F306" s="30" t="s">
        <v>7</v>
      </c>
      <c r="G306" s="30">
        <v>29</v>
      </c>
      <c r="H306" s="29">
        <v>3.463381245722108</v>
      </c>
      <c r="I306" s="29">
        <v>3.3648186173853527</v>
      </c>
      <c r="J306" s="29">
        <v>6.8281998631074607</v>
      </c>
      <c r="K306" s="29">
        <v>3.463381245722108</v>
      </c>
      <c r="L306" s="29">
        <v>3.3648186173853527</v>
      </c>
      <c r="M306" s="29">
        <v>6.8281998631074607</v>
      </c>
      <c r="N306" s="29">
        <v>3.4387405886379194</v>
      </c>
      <c r="O306" s="29">
        <v>3.4277891854893907</v>
      </c>
      <c r="P306" s="29">
        <v>6.8665297741273097</v>
      </c>
      <c r="Q306" s="29">
        <v>3.3949349760438055</v>
      </c>
      <c r="R306" s="29">
        <v>3.5017111567419574</v>
      </c>
      <c r="S306" s="29">
        <v>6.8966461327857633</v>
      </c>
      <c r="T306" s="12">
        <v>5</v>
      </c>
      <c r="U306" s="12">
        <v>17</v>
      </c>
      <c r="V306" s="4" t="s">
        <v>1</v>
      </c>
      <c r="W306" s="4">
        <v>1</v>
      </c>
      <c r="X306" s="4">
        <v>2</v>
      </c>
      <c r="Y306" s="4">
        <v>1</v>
      </c>
      <c r="Z306" s="56">
        <v>3</v>
      </c>
      <c r="AA306" s="9" cm="1">
        <f t="array" ref="AA306">IF(OR(AB306:AE306=""),"BLANK",IF(AND(AB306:AE306&lt;999),1,IF(AND(AB306:AE306="NA"),3,2)))</f>
        <v>1</v>
      </c>
      <c r="AB306" s="4">
        <v>28</v>
      </c>
      <c r="AC306" s="4">
        <v>16</v>
      </c>
      <c r="AD306" s="4">
        <v>14</v>
      </c>
      <c r="AE306" s="5">
        <v>58</v>
      </c>
      <c r="AF306" s="9">
        <f t="shared" si="4"/>
        <v>1</v>
      </c>
      <c r="AG306" s="5">
        <v>46</v>
      </c>
      <c r="AH306" s="9" cm="1">
        <f t="array" ref="AH306">IF(OR(AI306:AN306=""),"BLANK",IF(AND(AI306:AN306&lt;99),1,IF(AND(AI306:AN306="NA"),3,2)))</f>
        <v>2</v>
      </c>
      <c r="AI306" s="4">
        <v>4</v>
      </c>
      <c r="AJ306" s="4" t="s">
        <v>7</v>
      </c>
      <c r="AK306" s="23">
        <v>76.42</v>
      </c>
      <c r="AL306" s="23">
        <v>77.31</v>
      </c>
      <c r="AM306" s="23">
        <v>6.6</v>
      </c>
      <c r="AN306" s="24">
        <v>75.69</v>
      </c>
    </row>
    <row r="307" spans="1:40" x14ac:dyDescent="0.2">
      <c r="A307" s="15">
        <v>4488</v>
      </c>
      <c r="B307" s="4" t="s">
        <v>66</v>
      </c>
      <c r="C307" s="30" t="s">
        <v>23</v>
      </c>
      <c r="D307" s="30">
        <v>5</v>
      </c>
      <c r="E307" s="30">
        <v>0</v>
      </c>
      <c r="F307" s="30" t="s">
        <v>7</v>
      </c>
      <c r="G307" s="30">
        <v>29</v>
      </c>
      <c r="H307" s="29">
        <v>3.460643394934976</v>
      </c>
      <c r="I307" s="29">
        <v>3.5345653661875427</v>
      </c>
      <c r="J307" s="29">
        <v>6.9952087611225187</v>
      </c>
      <c r="K307" s="29">
        <v>4.6379192334017798</v>
      </c>
      <c r="L307" s="29">
        <v>2.3572895277207393</v>
      </c>
      <c r="M307" s="29">
        <v>6.9952087611225187</v>
      </c>
      <c r="N307" s="29">
        <v>3.6303901437371664</v>
      </c>
      <c r="O307" s="29" t="s">
        <v>7</v>
      </c>
      <c r="P307" s="29" t="s">
        <v>7</v>
      </c>
      <c r="Q307" s="29">
        <v>3.5126625598904861</v>
      </c>
      <c r="R307" s="29" t="s">
        <v>7</v>
      </c>
      <c r="S307" s="29" t="s">
        <v>7</v>
      </c>
      <c r="T307" s="12" t="s">
        <v>7</v>
      </c>
      <c r="U307" s="12" t="s">
        <v>7</v>
      </c>
      <c r="V307" s="4" t="s">
        <v>1</v>
      </c>
      <c r="W307" s="4">
        <v>1</v>
      </c>
      <c r="X307" s="4">
        <v>2</v>
      </c>
      <c r="Y307" s="4">
        <v>1</v>
      </c>
      <c r="Z307" s="56">
        <v>3</v>
      </c>
      <c r="AA307" s="9" cm="1">
        <f t="array" ref="AA307">IF(OR(AB307:AE307=""),"BLANK",IF(AND(AB307:AE307&lt;999),1,IF(AND(AB307:AE307="NA"),3,2)))</f>
        <v>1</v>
      </c>
      <c r="AB307" s="4">
        <v>18</v>
      </c>
      <c r="AC307" s="4">
        <v>11</v>
      </c>
      <c r="AD307" s="4">
        <v>12</v>
      </c>
      <c r="AE307" s="5">
        <v>41</v>
      </c>
      <c r="AF307" s="9">
        <f t="shared" si="4"/>
        <v>1</v>
      </c>
      <c r="AG307" s="5">
        <v>43</v>
      </c>
      <c r="AH307" s="9" cm="1">
        <f t="array" ref="AH307">IF(OR(AI307:AN307=""),"BLANK",IF(AND(AI307:AN307&lt;99),1,IF(AND(AI307:AN307="NA"),3,2)))</f>
        <v>2</v>
      </c>
      <c r="AI307" s="4">
        <v>11</v>
      </c>
      <c r="AJ307" s="4" t="s">
        <v>7</v>
      </c>
      <c r="AK307" s="23">
        <v>88.58</v>
      </c>
      <c r="AL307" s="23">
        <v>96.97</v>
      </c>
      <c r="AM307" s="23">
        <v>42.1</v>
      </c>
      <c r="AN307" s="24">
        <v>91.16</v>
      </c>
    </row>
    <row r="308" spans="1:40" x14ac:dyDescent="0.2">
      <c r="A308" s="15">
        <v>4507</v>
      </c>
      <c r="B308" s="4" t="s">
        <v>52</v>
      </c>
      <c r="C308" s="30" t="s">
        <v>24</v>
      </c>
      <c r="D308" s="30">
        <v>5</v>
      </c>
      <c r="E308" s="30">
        <v>0</v>
      </c>
      <c r="F308" s="30" t="s">
        <v>7</v>
      </c>
      <c r="G308" s="30">
        <v>29</v>
      </c>
      <c r="H308" s="33">
        <v>3.4223134839151266</v>
      </c>
      <c r="I308" s="33" t="s">
        <v>7</v>
      </c>
      <c r="J308" s="33" t="s">
        <v>7</v>
      </c>
      <c r="K308" s="33">
        <v>3.4223134839151266</v>
      </c>
      <c r="L308" s="33" t="s">
        <v>7</v>
      </c>
      <c r="M308" s="33" t="s">
        <v>7</v>
      </c>
      <c r="N308" s="33" t="s">
        <v>7</v>
      </c>
      <c r="O308" s="33" t="s">
        <v>7</v>
      </c>
      <c r="P308" s="33" t="s">
        <v>7</v>
      </c>
      <c r="Q308" s="33">
        <v>3.4496919917864477</v>
      </c>
      <c r="R308" s="33" t="s">
        <v>7</v>
      </c>
      <c r="S308" s="33" t="s">
        <v>7</v>
      </c>
      <c r="T308" s="12">
        <v>4</v>
      </c>
      <c r="U308" s="12">
        <v>16</v>
      </c>
      <c r="V308" s="4" t="s">
        <v>1</v>
      </c>
      <c r="W308" s="4">
        <v>1</v>
      </c>
      <c r="X308" s="4">
        <v>2</v>
      </c>
      <c r="Y308" s="4">
        <v>1</v>
      </c>
      <c r="Z308" s="56">
        <v>3</v>
      </c>
      <c r="AA308" s="9" cm="1">
        <f t="array" ref="AA308">IF(OR(AB308:AE308=""),"BLANK",IF(AND(AB308:AE308&lt;999),1,IF(AND(AB308:AE308="NA"),3,2)))</f>
        <v>1</v>
      </c>
      <c r="AB308" s="4">
        <v>21</v>
      </c>
      <c r="AC308" s="4">
        <v>12</v>
      </c>
      <c r="AD308" s="4">
        <v>10</v>
      </c>
      <c r="AE308" s="5">
        <v>43</v>
      </c>
      <c r="AF308" s="9">
        <f t="shared" si="4"/>
        <v>1</v>
      </c>
      <c r="AG308" s="5">
        <v>43</v>
      </c>
      <c r="AH308" s="9" cm="1">
        <f t="array" ref="AH308">IF(OR(AI308:AN308=""),"BLANK",IF(AND(AI308:AN308&lt;99),1,IF(AND(AI308:AN308="NA"),3,2)))</f>
        <v>2</v>
      </c>
      <c r="AI308" s="4">
        <v>4</v>
      </c>
      <c r="AJ308" s="4" t="s">
        <v>7</v>
      </c>
      <c r="AK308" s="23">
        <v>76.42</v>
      </c>
      <c r="AL308" s="23">
        <v>80.11</v>
      </c>
      <c r="AM308" s="23">
        <v>9.1999999999999993</v>
      </c>
      <c r="AN308" s="24">
        <v>78.5</v>
      </c>
    </row>
    <row r="309" spans="1:40" x14ac:dyDescent="0.2">
      <c r="A309" s="15">
        <v>4540</v>
      </c>
      <c r="B309" s="4" t="s">
        <v>65</v>
      </c>
      <c r="C309" s="30" t="s">
        <v>23</v>
      </c>
      <c r="D309" s="30">
        <v>5</v>
      </c>
      <c r="E309" s="30">
        <v>1</v>
      </c>
      <c r="F309" s="30" t="s">
        <v>7</v>
      </c>
      <c r="G309" s="30">
        <v>29</v>
      </c>
      <c r="H309" s="29">
        <v>3.4442162902121836</v>
      </c>
      <c r="I309" s="29">
        <v>3.5838466803559208</v>
      </c>
      <c r="J309" s="29">
        <v>7.0280629705681044</v>
      </c>
      <c r="K309" s="29">
        <v>3.6659822039698837</v>
      </c>
      <c r="L309" s="29" t="s">
        <v>7</v>
      </c>
      <c r="M309" s="29" t="s">
        <v>7</v>
      </c>
      <c r="N309" s="29">
        <v>3.4113620807665983</v>
      </c>
      <c r="O309" s="29" t="s">
        <v>7</v>
      </c>
      <c r="P309" s="29" t="s">
        <v>7</v>
      </c>
      <c r="Q309" s="29">
        <v>3.5318275154004106</v>
      </c>
      <c r="R309" s="29" t="s">
        <v>7</v>
      </c>
      <c r="S309" s="29" t="s">
        <v>7</v>
      </c>
      <c r="T309" s="12">
        <v>3</v>
      </c>
      <c r="U309" s="12">
        <v>14</v>
      </c>
      <c r="V309" s="4" t="s">
        <v>1</v>
      </c>
      <c r="W309" s="4">
        <v>1</v>
      </c>
      <c r="X309" s="4">
        <v>2</v>
      </c>
      <c r="Y309" s="4">
        <v>1</v>
      </c>
      <c r="Z309" s="56">
        <v>3</v>
      </c>
      <c r="AA309" s="9" cm="1">
        <f t="array" ref="AA309">IF(OR(AB309:AE309=""),"BLANK",IF(AND(AB309:AE309&lt;999),1,IF(AND(AB309:AE309="NA"),3,2)))</f>
        <v>1</v>
      </c>
      <c r="AB309" s="4">
        <v>16</v>
      </c>
      <c r="AC309" s="4">
        <v>6</v>
      </c>
      <c r="AD309" s="4">
        <v>4</v>
      </c>
      <c r="AE309" s="5">
        <v>26</v>
      </c>
      <c r="AF309" s="9">
        <f t="shared" si="4"/>
        <v>1</v>
      </c>
      <c r="AG309" s="5">
        <v>27</v>
      </c>
      <c r="AH309" s="9" cm="1">
        <f t="array" ref="AH309">IF(OR(AI309:AN309=""),"BLANK",IF(AND(AI309:AN309&lt;99),1,IF(AND(AI309:AN309="NA"),3,2)))</f>
        <v>2</v>
      </c>
      <c r="AI309" s="4">
        <v>8</v>
      </c>
      <c r="AJ309" s="4" t="s">
        <v>7</v>
      </c>
      <c r="AK309" s="23">
        <v>87.1</v>
      </c>
      <c r="AL309" s="23">
        <v>101.75</v>
      </c>
      <c r="AM309" s="23">
        <v>54.8</v>
      </c>
      <c r="AN309" s="24">
        <v>100.4</v>
      </c>
    </row>
    <row r="310" spans="1:40" x14ac:dyDescent="0.2">
      <c r="A310" s="15">
        <v>4565</v>
      </c>
      <c r="B310" s="4" t="s">
        <v>67</v>
      </c>
      <c r="C310" s="30" t="s">
        <v>23</v>
      </c>
      <c r="D310" s="30">
        <v>5</v>
      </c>
      <c r="E310" s="30">
        <v>0</v>
      </c>
      <c r="F310" s="30" t="s">
        <v>7</v>
      </c>
      <c r="G310" s="30">
        <v>28</v>
      </c>
      <c r="H310" s="33">
        <v>3.7946611909650922</v>
      </c>
      <c r="I310" s="33" t="s">
        <v>7</v>
      </c>
      <c r="J310" s="33" t="s">
        <v>7</v>
      </c>
      <c r="K310" s="33">
        <v>3.7946611909650922</v>
      </c>
      <c r="L310" s="33" t="s">
        <v>7</v>
      </c>
      <c r="M310" s="33" t="s">
        <v>7</v>
      </c>
      <c r="N310" s="33">
        <v>3.8658453114305269</v>
      </c>
      <c r="O310" s="33" t="s">
        <v>7</v>
      </c>
      <c r="P310" s="33" t="s">
        <v>7</v>
      </c>
      <c r="Q310" s="33">
        <v>3.5811088295687883</v>
      </c>
      <c r="R310" s="33" t="s">
        <v>7</v>
      </c>
      <c r="S310" s="33" t="s">
        <v>7</v>
      </c>
      <c r="T310" s="12">
        <v>3</v>
      </c>
      <c r="U310" s="12">
        <v>15</v>
      </c>
      <c r="V310" s="4" t="s">
        <v>1</v>
      </c>
      <c r="W310" s="4">
        <v>1</v>
      </c>
      <c r="X310" s="4">
        <v>2</v>
      </c>
      <c r="Y310" s="4">
        <v>1</v>
      </c>
      <c r="Z310" s="56">
        <v>3</v>
      </c>
      <c r="AA310" s="9" cm="1">
        <f t="array" ref="AA310">IF(OR(AB310:AE310=""),"BLANK",IF(AND(AB310:AE310&lt;999),1,IF(AND(AB310:AE310="NA"),3,2)))</f>
        <v>1</v>
      </c>
      <c r="AB310" s="4">
        <v>18</v>
      </c>
      <c r="AC310" s="4">
        <v>13</v>
      </c>
      <c r="AD310" s="4">
        <v>10</v>
      </c>
      <c r="AE310" s="5">
        <v>41</v>
      </c>
      <c r="AF310" s="9">
        <f t="shared" si="4"/>
        <v>1</v>
      </c>
      <c r="AG310" s="5">
        <v>36</v>
      </c>
      <c r="AH310" s="9" cm="1">
        <f t="array" ref="AH310">IF(OR(AI310:AN310=""),"BLANK",IF(AND(AI310:AN310&lt;99),1,IF(AND(AI310:AN310="NA"),3,2)))</f>
        <v>2</v>
      </c>
      <c r="AI310" s="4">
        <v>10</v>
      </c>
      <c r="AJ310" s="4" t="s">
        <v>7</v>
      </c>
      <c r="AK310" s="23" t="s">
        <v>7</v>
      </c>
      <c r="AL310" s="23" t="s">
        <v>7</v>
      </c>
      <c r="AM310" s="23" t="s">
        <v>7</v>
      </c>
      <c r="AN310" s="24" t="s">
        <v>7</v>
      </c>
    </row>
    <row r="311" spans="1:40" x14ac:dyDescent="0.2">
      <c r="A311" s="15">
        <v>4581</v>
      </c>
      <c r="B311" s="4" t="s">
        <v>66</v>
      </c>
      <c r="C311" s="30" t="s">
        <v>23</v>
      </c>
      <c r="D311" s="30">
        <v>5</v>
      </c>
      <c r="E311" s="30">
        <v>0</v>
      </c>
      <c r="F311" s="30" t="s">
        <v>7</v>
      </c>
      <c r="G311" s="30">
        <v>30</v>
      </c>
      <c r="H311" s="29">
        <v>3.4715947980835042</v>
      </c>
      <c r="I311" s="29">
        <v>3.4469541409993156</v>
      </c>
      <c r="J311" s="29">
        <v>6.9185489390828199</v>
      </c>
      <c r="K311" s="29">
        <v>3.4579055441478439</v>
      </c>
      <c r="L311" s="29">
        <v>3.5455167693360714</v>
      </c>
      <c r="M311" s="29">
        <v>7.0034223134839149</v>
      </c>
      <c r="N311" s="29">
        <v>3.5154004106776182</v>
      </c>
      <c r="O311" s="29">
        <v>3.1978097193702943</v>
      </c>
      <c r="P311" s="29">
        <v>6.7132101300479121</v>
      </c>
      <c r="Q311" s="29">
        <v>3.4880219028062971</v>
      </c>
      <c r="R311" s="29">
        <v>3.4496919917864477</v>
      </c>
      <c r="S311" s="29">
        <v>6.9377138945927443</v>
      </c>
      <c r="T311" s="12">
        <v>3</v>
      </c>
      <c r="U311" s="12">
        <v>14</v>
      </c>
      <c r="V311" s="4" t="s">
        <v>1</v>
      </c>
      <c r="W311" s="4">
        <v>1</v>
      </c>
      <c r="X311" s="4">
        <v>2</v>
      </c>
      <c r="Y311" s="4">
        <v>1</v>
      </c>
      <c r="Z311" s="56">
        <v>3</v>
      </c>
      <c r="AA311" s="9" cm="1">
        <f t="array" ref="AA311">IF(OR(AB311:AE311=""),"BLANK",IF(AND(AB311:AE311&lt;999),1,IF(AND(AB311:AE311="NA"),3,2)))</f>
        <v>1</v>
      </c>
      <c r="AB311" s="4">
        <v>32</v>
      </c>
      <c r="AC311" s="4">
        <v>20</v>
      </c>
      <c r="AD311" s="4">
        <v>14</v>
      </c>
      <c r="AE311" s="5">
        <v>66</v>
      </c>
      <c r="AF311" s="9">
        <f t="shared" si="4"/>
        <v>1</v>
      </c>
      <c r="AG311" s="5">
        <v>50</v>
      </c>
      <c r="AH311" s="9" cm="1">
        <f t="array" ref="AH311">IF(OR(AI311:AN311=""),"BLANK",IF(AND(AI311:AN311&lt;99),1,IF(AND(AI311:AN311="NA"),3,2)))</f>
        <v>2</v>
      </c>
      <c r="AI311" s="4">
        <v>8</v>
      </c>
      <c r="AJ311" s="4" t="s">
        <v>7</v>
      </c>
      <c r="AK311" s="23">
        <v>87.1</v>
      </c>
      <c r="AL311" s="23">
        <v>94.41</v>
      </c>
      <c r="AM311" s="23">
        <v>35.6</v>
      </c>
      <c r="AN311" s="24">
        <v>88.6</v>
      </c>
    </row>
    <row r="312" spans="1:40" x14ac:dyDescent="0.2">
      <c r="A312" s="15">
        <v>4582</v>
      </c>
      <c r="B312" s="4" t="s">
        <v>65</v>
      </c>
      <c r="C312" s="30" t="s">
        <v>23</v>
      </c>
      <c r="D312" s="30">
        <v>5</v>
      </c>
      <c r="E312" s="30">
        <v>0</v>
      </c>
      <c r="F312" s="30" t="s">
        <v>7</v>
      </c>
      <c r="G312" s="30">
        <v>30</v>
      </c>
      <c r="H312" s="33">
        <v>3.4113620807665983</v>
      </c>
      <c r="I312" s="33">
        <v>3.4195756331279945</v>
      </c>
      <c r="J312" s="33">
        <v>6.8309377138945928</v>
      </c>
      <c r="K312" s="33">
        <v>3.3401779603011637</v>
      </c>
      <c r="L312" s="33">
        <v>3.3894592744695413</v>
      </c>
      <c r="M312" s="33">
        <v>6.7296372347707054</v>
      </c>
      <c r="N312" s="33">
        <v>3.5838466803559208</v>
      </c>
      <c r="O312" s="33">
        <v>3.1950718685831623</v>
      </c>
      <c r="P312" s="33">
        <v>6.7789185489390826</v>
      </c>
      <c r="Q312" s="33">
        <v>3.2388774811772758</v>
      </c>
      <c r="R312" s="33" t="s">
        <v>7</v>
      </c>
      <c r="S312" s="33" t="s">
        <v>7</v>
      </c>
      <c r="T312" s="12">
        <v>4</v>
      </c>
      <c r="U312" s="12">
        <v>16</v>
      </c>
      <c r="V312" s="4" t="s">
        <v>1</v>
      </c>
      <c r="W312" s="4">
        <v>1</v>
      </c>
      <c r="X312" s="4">
        <v>2</v>
      </c>
      <c r="Y312" s="4">
        <v>1</v>
      </c>
      <c r="Z312" s="56">
        <v>3</v>
      </c>
      <c r="AA312" s="9" cm="1">
        <f t="array" ref="AA312">IF(OR(AB312:AE312=""),"BLANK",IF(AND(AB312:AE312&lt;999),1,IF(AND(AB312:AE312="NA"),3,2)))</f>
        <v>1</v>
      </c>
      <c r="AB312" s="4">
        <v>24</v>
      </c>
      <c r="AC312" s="4">
        <v>16</v>
      </c>
      <c r="AD312" s="4">
        <v>12</v>
      </c>
      <c r="AE312" s="5">
        <v>52</v>
      </c>
      <c r="AF312" s="9">
        <f t="shared" si="4"/>
        <v>1</v>
      </c>
      <c r="AG312" s="5">
        <v>41</v>
      </c>
      <c r="AH312" s="9" cm="1">
        <f t="array" ref="AH312">IF(OR(AI312:AN312=""),"BLANK",IF(AND(AI312:AN312&lt;99),1,IF(AND(AI312:AN312="NA"),3,2)))</f>
        <v>2</v>
      </c>
      <c r="AI312" s="4">
        <v>8</v>
      </c>
      <c r="AJ312" s="4" t="s">
        <v>7</v>
      </c>
      <c r="AK312" s="23">
        <v>86.16</v>
      </c>
      <c r="AL312" s="23">
        <v>99.52</v>
      </c>
      <c r="AM312" s="23">
        <v>48.8</v>
      </c>
      <c r="AN312" s="24">
        <v>95.37</v>
      </c>
    </row>
    <row r="313" spans="1:40" x14ac:dyDescent="0.2">
      <c r="A313" s="15">
        <v>4586</v>
      </c>
      <c r="B313" s="4" t="s">
        <v>64</v>
      </c>
      <c r="C313" s="30" t="s">
        <v>24</v>
      </c>
      <c r="D313" s="30">
        <v>5</v>
      </c>
      <c r="E313" s="30">
        <v>0</v>
      </c>
      <c r="F313" s="30" t="s">
        <v>7</v>
      </c>
      <c r="G313" s="30" t="s">
        <v>7</v>
      </c>
      <c r="H313" s="33">
        <v>3.8494182067077345</v>
      </c>
      <c r="I313" s="33" t="s">
        <v>7</v>
      </c>
      <c r="J313" s="33" t="s">
        <v>7</v>
      </c>
      <c r="K313" s="33">
        <v>3.8494182067077345</v>
      </c>
      <c r="L313" s="33" t="s">
        <v>7</v>
      </c>
      <c r="M313" s="33" t="s">
        <v>7</v>
      </c>
      <c r="N313" s="33" t="s">
        <v>7</v>
      </c>
      <c r="O313" s="33" t="s">
        <v>7</v>
      </c>
      <c r="P313" s="33" t="s">
        <v>7</v>
      </c>
      <c r="Q313" s="33" t="s">
        <v>7</v>
      </c>
      <c r="R313" s="33" t="s">
        <v>7</v>
      </c>
      <c r="S313" s="33" t="s">
        <v>7</v>
      </c>
      <c r="T313" s="12">
        <v>4</v>
      </c>
      <c r="U313" s="12">
        <v>16</v>
      </c>
      <c r="V313" s="4" t="s">
        <v>1</v>
      </c>
      <c r="W313" s="4">
        <v>1</v>
      </c>
      <c r="X313" s="4">
        <v>2</v>
      </c>
      <c r="Y313" s="4">
        <v>1</v>
      </c>
      <c r="Z313" s="56">
        <v>3</v>
      </c>
      <c r="AA313" s="9" cm="1">
        <f t="array" ref="AA313">IF(OR(AB313:AE313=""),"BLANK",IF(AND(AB313:AE313&lt;999),1,IF(AND(AB313:AE313="NA"),3,2)))</f>
        <v>3</v>
      </c>
      <c r="AB313" s="4" t="s">
        <v>7</v>
      </c>
      <c r="AC313" s="4" t="s">
        <v>7</v>
      </c>
      <c r="AD313" s="4" t="s">
        <v>7</v>
      </c>
      <c r="AE313" s="5" t="s">
        <v>7</v>
      </c>
      <c r="AF313" s="9">
        <f t="shared" si="4"/>
        <v>3</v>
      </c>
      <c r="AG313" s="5" t="s">
        <v>7</v>
      </c>
      <c r="AH313" s="9" cm="1">
        <f t="array" ref="AH313">IF(OR(AI313:AN313=""),"BLANK",IF(AND(AI313:AN313&lt;99),1,IF(AND(AI313:AN313="NA"),3,2)))</f>
        <v>2</v>
      </c>
      <c r="AI313" s="4">
        <v>7</v>
      </c>
      <c r="AJ313" s="4" t="s">
        <v>7</v>
      </c>
      <c r="AK313" s="23">
        <v>84.68</v>
      </c>
      <c r="AL313" s="23">
        <v>98.15</v>
      </c>
      <c r="AM313" s="23">
        <v>45.2</v>
      </c>
      <c r="AN313" s="24">
        <v>98.43</v>
      </c>
    </row>
    <row r="314" spans="1:40" x14ac:dyDescent="0.2">
      <c r="A314" s="15">
        <v>4607</v>
      </c>
      <c r="B314" s="4" t="s">
        <v>66</v>
      </c>
      <c r="C314" s="30" t="s">
        <v>24</v>
      </c>
      <c r="D314" s="30">
        <v>5</v>
      </c>
      <c r="E314" s="30">
        <v>0</v>
      </c>
      <c r="F314" s="30" t="s">
        <v>7</v>
      </c>
      <c r="G314" s="30">
        <v>27</v>
      </c>
      <c r="H314" s="33">
        <v>4.3148528405201914</v>
      </c>
      <c r="I314" s="33" t="s">
        <v>7</v>
      </c>
      <c r="J314" s="33" t="s">
        <v>7</v>
      </c>
      <c r="K314" s="33">
        <v>4.3148528405201914</v>
      </c>
      <c r="L314" s="33" t="s">
        <v>7</v>
      </c>
      <c r="M314" s="33" t="s">
        <v>7</v>
      </c>
      <c r="N314" s="33">
        <v>4.2737850787132103</v>
      </c>
      <c r="O314" s="33" t="s">
        <v>7</v>
      </c>
      <c r="P314" s="33" t="s">
        <v>7</v>
      </c>
      <c r="Q314" s="33">
        <v>4.2518822724161529</v>
      </c>
      <c r="R314" s="33" t="s">
        <v>7</v>
      </c>
      <c r="S314" s="33" t="s">
        <v>7</v>
      </c>
      <c r="T314" s="12">
        <v>3</v>
      </c>
      <c r="U314" s="12">
        <v>15</v>
      </c>
      <c r="V314" s="4" t="s">
        <v>1</v>
      </c>
      <c r="W314" s="4">
        <v>1</v>
      </c>
      <c r="X314" s="4">
        <v>2</v>
      </c>
      <c r="Y314" s="4">
        <v>1</v>
      </c>
      <c r="Z314" s="56">
        <v>3</v>
      </c>
      <c r="AA314" s="9" cm="1">
        <f t="array" ref="AA314">IF(OR(AB314:AE314=""),"BLANK",IF(AND(AB314:AE314&lt;999),1,IF(AND(AB314:AE314="NA"),3,2)))</f>
        <v>1</v>
      </c>
      <c r="AB314" s="4">
        <v>20</v>
      </c>
      <c r="AC314" s="4">
        <v>13</v>
      </c>
      <c r="AD314" s="4">
        <v>7</v>
      </c>
      <c r="AE314" s="5">
        <v>40</v>
      </c>
      <c r="AF314" s="9">
        <f t="shared" si="4"/>
        <v>1</v>
      </c>
      <c r="AG314" s="5">
        <v>33</v>
      </c>
      <c r="AH314" s="9" cm="1">
        <f t="array" ref="AH314">IF(OR(AI314:AN314=""),"BLANK",IF(AND(AI314:AN314&lt;99),1,IF(AND(AI314:AN314="NA"),3,2)))</f>
        <v>3</v>
      </c>
      <c r="AI314" s="4" t="s">
        <v>7</v>
      </c>
      <c r="AJ314" s="4" t="s">
        <v>7</v>
      </c>
      <c r="AK314" s="23" t="s">
        <v>7</v>
      </c>
      <c r="AL314" s="23" t="s">
        <v>7</v>
      </c>
      <c r="AM314" s="23" t="s">
        <v>7</v>
      </c>
      <c r="AN314" s="24" t="s">
        <v>7</v>
      </c>
    </row>
    <row r="315" spans="1:40" x14ac:dyDescent="0.2">
      <c r="A315" s="15">
        <v>4613</v>
      </c>
      <c r="B315" s="4" t="s">
        <v>65</v>
      </c>
      <c r="C315" s="30" t="s">
        <v>24</v>
      </c>
      <c r="D315" s="30">
        <v>3</v>
      </c>
      <c r="E315" s="30">
        <v>0</v>
      </c>
      <c r="F315" s="30" t="s">
        <v>7</v>
      </c>
      <c r="G315" s="30">
        <v>28</v>
      </c>
      <c r="H315" s="29">
        <v>3.5044490075290895</v>
      </c>
      <c r="I315" s="29" t="s">
        <v>7</v>
      </c>
      <c r="J315" s="29" t="s">
        <v>7</v>
      </c>
      <c r="K315" s="29">
        <v>3.6057494866529773</v>
      </c>
      <c r="L315" s="29" t="s">
        <v>7</v>
      </c>
      <c r="M315" s="29" t="s">
        <v>7</v>
      </c>
      <c r="N315" s="29">
        <v>3.5044490075290895</v>
      </c>
      <c r="O315" s="29" t="s">
        <v>7</v>
      </c>
      <c r="P315" s="29" t="s">
        <v>7</v>
      </c>
      <c r="Q315" s="29">
        <v>3.4880219028062971</v>
      </c>
      <c r="R315" s="29" t="s">
        <v>7</v>
      </c>
      <c r="S315" s="29" t="s">
        <v>7</v>
      </c>
      <c r="T315" s="12" t="s">
        <v>7</v>
      </c>
      <c r="U315" s="12" t="s">
        <v>7</v>
      </c>
      <c r="V315" s="4" t="s">
        <v>1</v>
      </c>
      <c r="W315" s="4">
        <v>1</v>
      </c>
      <c r="X315" s="4">
        <v>2</v>
      </c>
      <c r="Y315" s="4">
        <v>1</v>
      </c>
      <c r="Z315" s="56">
        <v>3</v>
      </c>
      <c r="AA315" s="9" cm="1">
        <f t="array" ref="AA315">IF(OR(AB315:AE315=""),"BLANK",IF(AND(AB315:AE315&lt;999),1,IF(AND(AB315:AE315="NA"),3,2)))</f>
        <v>1</v>
      </c>
      <c r="AB315" s="4">
        <v>29</v>
      </c>
      <c r="AC315" s="4">
        <v>22</v>
      </c>
      <c r="AD315" s="4">
        <v>11</v>
      </c>
      <c r="AE315" s="5">
        <v>62</v>
      </c>
      <c r="AF315" s="9">
        <f t="shared" si="4"/>
        <v>1</v>
      </c>
      <c r="AG315" s="5">
        <v>42</v>
      </c>
      <c r="AH315" s="9" cm="1">
        <f t="array" ref="AH315">IF(OR(AI315:AN315=""),"BLANK",IF(AND(AI315:AN315&lt;99),1,IF(AND(AI315:AN315="NA"),3,2)))</f>
        <v>2</v>
      </c>
      <c r="AI315" s="4">
        <v>14</v>
      </c>
      <c r="AJ315" s="4" t="s">
        <v>7</v>
      </c>
      <c r="AK315" s="23">
        <v>97.65</v>
      </c>
      <c r="AL315" s="23">
        <v>117.39</v>
      </c>
      <c r="AM315" s="23">
        <v>87.7</v>
      </c>
      <c r="AN315" s="24">
        <v>128.37</v>
      </c>
    </row>
    <row r="316" spans="1:40" x14ac:dyDescent="0.2">
      <c r="A316" s="15">
        <v>4615</v>
      </c>
      <c r="B316" s="4" t="s">
        <v>52</v>
      </c>
      <c r="C316" s="30" t="s">
        <v>24</v>
      </c>
      <c r="D316" s="30">
        <v>5</v>
      </c>
      <c r="E316" s="30">
        <v>0</v>
      </c>
      <c r="F316" s="30" t="s">
        <v>7</v>
      </c>
      <c r="G316" s="30">
        <v>28</v>
      </c>
      <c r="H316" s="29">
        <v>3.4469541409993156</v>
      </c>
      <c r="I316" s="29" t="s">
        <v>7</v>
      </c>
      <c r="J316" s="29" t="s">
        <v>7</v>
      </c>
      <c r="K316" s="29">
        <v>3.3730321697467489</v>
      </c>
      <c r="L316" s="29" t="s">
        <v>7</v>
      </c>
      <c r="M316" s="29" t="s">
        <v>7</v>
      </c>
      <c r="N316" s="29">
        <v>3.5345653661875427</v>
      </c>
      <c r="O316" s="29" t="s">
        <v>7</v>
      </c>
      <c r="P316" s="29" t="s">
        <v>7</v>
      </c>
      <c r="Q316" s="29">
        <v>3.6358658453114305</v>
      </c>
      <c r="R316" s="29" t="s">
        <v>7</v>
      </c>
      <c r="S316" s="29" t="s">
        <v>7</v>
      </c>
      <c r="T316" s="12">
        <v>3</v>
      </c>
      <c r="U316" s="12">
        <v>15</v>
      </c>
      <c r="V316" s="4" t="s">
        <v>1</v>
      </c>
      <c r="W316" s="4">
        <v>1</v>
      </c>
      <c r="X316" s="4">
        <v>2</v>
      </c>
      <c r="Y316" s="4">
        <v>1</v>
      </c>
      <c r="Z316" s="56">
        <v>3</v>
      </c>
      <c r="AA316" s="9" cm="1">
        <f t="array" ref="AA316">IF(OR(AB316:AE316=""),"BLANK",IF(AND(AB316:AE316&lt;999),1,IF(AND(AB316:AE316="NA"),3,2)))</f>
        <v>1</v>
      </c>
      <c r="AB316" s="4">
        <v>31</v>
      </c>
      <c r="AC316" s="4">
        <v>18</v>
      </c>
      <c r="AD316" s="4">
        <v>11</v>
      </c>
      <c r="AE316" s="5">
        <v>60</v>
      </c>
      <c r="AF316" s="9">
        <f t="shared" si="4"/>
        <v>1</v>
      </c>
      <c r="AG316" s="5">
        <v>39</v>
      </c>
      <c r="AH316" s="9" cm="1">
        <f t="array" ref="AH316">IF(OR(AI316:AN316=""),"BLANK",IF(AND(AI316:AN316&lt;99),1,IF(AND(AI316:AN316="NA"),3,2)))</f>
        <v>2</v>
      </c>
      <c r="AI316" s="4">
        <v>5</v>
      </c>
      <c r="AJ316" s="4" t="s">
        <v>7</v>
      </c>
      <c r="AK316" s="23">
        <v>76.42</v>
      </c>
      <c r="AL316" s="23">
        <v>80.11</v>
      </c>
      <c r="AM316" s="23">
        <v>9.1999999999999993</v>
      </c>
      <c r="AN316" s="24">
        <v>78.5</v>
      </c>
    </row>
    <row r="317" spans="1:40" x14ac:dyDescent="0.2">
      <c r="A317" s="15">
        <v>4629</v>
      </c>
      <c r="B317" s="4" t="s">
        <v>66</v>
      </c>
      <c r="C317" s="30" t="s">
        <v>23</v>
      </c>
      <c r="D317" s="30">
        <v>5</v>
      </c>
      <c r="E317" s="30">
        <v>0</v>
      </c>
      <c r="F317" s="30" t="s">
        <v>7</v>
      </c>
      <c r="G317" s="30">
        <v>30</v>
      </c>
      <c r="H317" s="33">
        <v>3.4798083504449009</v>
      </c>
      <c r="I317" s="33" t="s">
        <v>7</v>
      </c>
      <c r="J317" s="33" t="s">
        <v>7</v>
      </c>
      <c r="K317" s="33">
        <v>3.4305270362765228</v>
      </c>
      <c r="L317" s="33" t="s">
        <v>7</v>
      </c>
      <c r="M317" s="33" t="s">
        <v>7</v>
      </c>
      <c r="N317" s="33" t="s">
        <v>7</v>
      </c>
      <c r="O317" s="33" t="s">
        <v>7</v>
      </c>
      <c r="P317" s="33" t="s">
        <v>7</v>
      </c>
      <c r="Q317" s="33" t="s">
        <v>7</v>
      </c>
      <c r="R317" s="33" t="s">
        <v>7</v>
      </c>
      <c r="S317" s="33" t="s">
        <v>7</v>
      </c>
      <c r="T317" s="12" t="s">
        <v>7</v>
      </c>
      <c r="U317" s="12" t="s">
        <v>7</v>
      </c>
      <c r="V317" s="4" t="s">
        <v>1</v>
      </c>
      <c r="W317" s="4">
        <v>1</v>
      </c>
      <c r="X317" s="4">
        <v>2</v>
      </c>
      <c r="Y317" s="4">
        <v>1</v>
      </c>
      <c r="Z317" s="56">
        <v>3</v>
      </c>
      <c r="AA317" s="9" cm="1">
        <f t="array" ref="AA317">IF(OR(AB317:AE317=""),"BLANK",IF(AND(AB317:AE317&lt;999),1,IF(AND(AB317:AE317="NA"),3,2)))</f>
        <v>3</v>
      </c>
      <c r="AB317" s="4" t="s">
        <v>7</v>
      </c>
      <c r="AC317" s="4" t="s">
        <v>7</v>
      </c>
      <c r="AD317" s="4" t="s">
        <v>7</v>
      </c>
      <c r="AE317" s="5" t="s">
        <v>7</v>
      </c>
      <c r="AF317" s="9">
        <f t="shared" si="4"/>
        <v>3</v>
      </c>
      <c r="AG317" s="5" t="s">
        <v>7</v>
      </c>
      <c r="AH317" s="9" cm="1">
        <f t="array" ref="AH317">IF(OR(AI317:AN317=""),"BLANK",IF(AND(AI317:AN317&lt;99),1,IF(AND(AI317:AN317="NA"),3,2)))</f>
        <v>2</v>
      </c>
      <c r="AI317" s="4">
        <v>16</v>
      </c>
      <c r="AJ317" s="4" t="s">
        <v>7</v>
      </c>
      <c r="AK317" s="23">
        <v>105.35</v>
      </c>
      <c r="AL317" s="23">
        <v>122.11</v>
      </c>
      <c r="AM317" s="23">
        <v>92.9</v>
      </c>
      <c r="AN317" s="24">
        <v>115.39</v>
      </c>
    </row>
    <row r="318" spans="1:40" x14ac:dyDescent="0.2">
      <c r="A318" s="15">
        <v>4641</v>
      </c>
      <c r="B318" s="4" t="s">
        <v>66</v>
      </c>
      <c r="C318" s="30" t="s">
        <v>23</v>
      </c>
      <c r="D318" s="30">
        <v>5</v>
      </c>
      <c r="E318" s="30">
        <v>0</v>
      </c>
      <c r="F318" s="30" t="s">
        <v>7</v>
      </c>
      <c r="G318" s="30">
        <v>30</v>
      </c>
      <c r="H318" s="29">
        <v>3.4195756331279945</v>
      </c>
      <c r="I318" s="29">
        <v>3.40041067761807</v>
      </c>
      <c r="J318" s="29">
        <v>6.8199863107460645</v>
      </c>
      <c r="K318" s="29">
        <v>3.4469541409993156</v>
      </c>
      <c r="L318" s="29">
        <v>3.4688569472963722</v>
      </c>
      <c r="M318" s="29">
        <v>6.9158110882956878</v>
      </c>
      <c r="N318" s="29">
        <v>3.3921971252566734</v>
      </c>
      <c r="O318" s="29">
        <v>3.378507871321013</v>
      </c>
      <c r="P318" s="29">
        <v>6.7707049965776864</v>
      </c>
      <c r="Q318" s="29">
        <v>3.3292265571526354</v>
      </c>
      <c r="R318" s="29" t="s">
        <v>7</v>
      </c>
      <c r="S318" s="29" t="s">
        <v>7</v>
      </c>
      <c r="T318" s="12">
        <v>3</v>
      </c>
      <c r="U318" s="12">
        <v>14</v>
      </c>
      <c r="V318" s="4" t="s">
        <v>1</v>
      </c>
      <c r="W318" s="4">
        <v>1</v>
      </c>
      <c r="X318" s="4">
        <v>2</v>
      </c>
      <c r="Y318" s="4">
        <v>1</v>
      </c>
      <c r="Z318" s="56">
        <v>3</v>
      </c>
      <c r="AA318" s="9" cm="1">
        <f t="array" ref="AA318">IF(OR(AB318:AE318=""),"BLANK",IF(AND(AB318:AE318&lt;999),1,IF(AND(AB318:AE318="NA"),3,2)))</f>
        <v>1</v>
      </c>
      <c r="AB318" s="4">
        <v>30</v>
      </c>
      <c r="AC318" s="4">
        <v>18</v>
      </c>
      <c r="AD318" s="4">
        <v>12</v>
      </c>
      <c r="AE318" s="5">
        <v>60</v>
      </c>
      <c r="AF318" s="9">
        <f t="shared" si="4"/>
        <v>1</v>
      </c>
      <c r="AG318" s="5">
        <v>46</v>
      </c>
      <c r="AH318" s="9" cm="1">
        <f t="array" ref="AH318">IF(OR(AI318:AN318=""),"BLANK",IF(AND(AI318:AN318&lt;99),1,IF(AND(AI318:AN318="NA"),3,2)))</f>
        <v>2</v>
      </c>
      <c r="AI318" s="4">
        <v>15</v>
      </c>
      <c r="AJ318" s="4" t="s">
        <v>7</v>
      </c>
      <c r="AK318" s="23">
        <v>100.18</v>
      </c>
      <c r="AL318" s="23">
        <v>112.96</v>
      </c>
      <c r="AM318" s="23">
        <v>80.5</v>
      </c>
      <c r="AN318" s="24">
        <v>106.95</v>
      </c>
    </row>
    <row r="319" spans="1:40" x14ac:dyDescent="0.2">
      <c r="A319" s="15">
        <v>4658</v>
      </c>
      <c r="B319" s="4" t="s">
        <v>66</v>
      </c>
      <c r="C319" s="30" t="s">
        <v>23</v>
      </c>
      <c r="D319" s="30">
        <v>5</v>
      </c>
      <c r="E319" s="30">
        <v>0</v>
      </c>
      <c r="F319" s="30" t="s">
        <v>7</v>
      </c>
      <c r="G319" s="30">
        <v>30</v>
      </c>
      <c r="H319" s="29">
        <v>3.7508555783709787</v>
      </c>
      <c r="I319" s="29">
        <v>2.9897330595482545</v>
      </c>
      <c r="J319" s="29">
        <v>6.7405886379192337</v>
      </c>
      <c r="K319" s="29">
        <v>3.786447638603696</v>
      </c>
      <c r="L319" s="29">
        <v>2.9377138945927448</v>
      </c>
      <c r="M319" s="29">
        <v>6.7241615331964404</v>
      </c>
      <c r="N319" s="29">
        <v>3.7180013689253935</v>
      </c>
      <c r="O319" s="29" t="s">
        <v>7</v>
      </c>
      <c r="P319" s="29" t="s">
        <v>7</v>
      </c>
      <c r="Q319" s="29">
        <v>3.6933607118412048</v>
      </c>
      <c r="R319" s="29" t="s">
        <v>7</v>
      </c>
      <c r="S319" s="29" t="s">
        <v>7</v>
      </c>
      <c r="T319" s="12" t="s">
        <v>7</v>
      </c>
      <c r="U319" s="12" t="s">
        <v>7</v>
      </c>
      <c r="V319" s="4" t="s">
        <v>1</v>
      </c>
      <c r="W319" s="4">
        <v>1</v>
      </c>
      <c r="X319" s="4">
        <v>2</v>
      </c>
      <c r="Y319" s="4">
        <v>1</v>
      </c>
      <c r="Z319" s="56">
        <v>3</v>
      </c>
      <c r="AA319" s="9" cm="1">
        <f t="array" ref="AA319">IF(OR(AB319:AE319=""),"BLANK",IF(AND(AB319:AE319&lt;999),1,IF(AND(AB319:AE319="NA"),3,2)))</f>
        <v>1</v>
      </c>
      <c r="AB319" s="4">
        <v>27</v>
      </c>
      <c r="AC319" s="4">
        <v>14</v>
      </c>
      <c r="AD319" s="4">
        <v>8</v>
      </c>
      <c r="AE319" s="5">
        <v>49</v>
      </c>
      <c r="AF319" s="9">
        <f t="shared" si="4"/>
        <v>1</v>
      </c>
      <c r="AG319" s="5">
        <v>42</v>
      </c>
      <c r="AH319" s="9" cm="1">
        <f t="array" ref="AH319">IF(OR(AI319:AN319=""),"BLANK",IF(AND(AI319:AN319&lt;99),1,IF(AND(AI319:AN319="NA"),3,2)))</f>
        <v>2</v>
      </c>
      <c r="AI319" s="4">
        <v>14</v>
      </c>
      <c r="AJ319" s="4" t="s">
        <v>7</v>
      </c>
      <c r="AK319" s="23">
        <v>95.73</v>
      </c>
      <c r="AL319" s="23">
        <v>107.37</v>
      </c>
      <c r="AM319" s="23">
        <v>68.8</v>
      </c>
      <c r="AN319" s="24">
        <v>101.49</v>
      </c>
    </row>
    <row r="320" spans="1:40" x14ac:dyDescent="0.2">
      <c r="A320" s="15">
        <v>4664</v>
      </c>
      <c r="B320" s="4" t="s">
        <v>66</v>
      </c>
      <c r="C320" s="30" t="s">
        <v>24</v>
      </c>
      <c r="D320" s="30">
        <v>5</v>
      </c>
      <c r="E320" s="30">
        <v>0</v>
      </c>
      <c r="F320" s="30" t="s">
        <v>7</v>
      </c>
      <c r="G320" s="30">
        <v>30</v>
      </c>
      <c r="H320" s="29">
        <v>3.9671457905544147</v>
      </c>
      <c r="I320" s="29" t="s">
        <v>7</v>
      </c>
      <c r="J320" s="29" t="s">
        <v>7</v>
      </c>
      <c r="K320" s="29">
        <v>4.1587953456536617</v>
      </c>
      <c r="L320" s="29" t="s">
        <v>7</v>
      </c>
      <c r="M320" s="29" t="s">
        <v>7</v>
      </c>
      <c r="N320" s="29">
        <v>3.9534565366187544</v>
      </c>
      <c r="O320" s="29" t="s">
        <v>7</v>
      </c>
      <c r="P320" s="29" t="s">
        <v>7</v>
      </c>
      <c r="Q320" s="29">
        <v>4.0383299110198498</v>
      </c>
      <c r="R320" s="29" t="s">
        <v>7</v>
      </c>
      <c r="S320" s="29" t="s">
        <v>7</v>
      </c>
      <c r="T320" s="12">
        <v>6</v>
      </c>
      <c r="U320" s="12">
        <v>18</v>
      </c>
      <c r="V320" s="4" t="s">
        <v>1</v>
      </c>
      <c r="W320" s="4">
        <v>1</v>
      </c>
      <c r="X320" s="4">
        <v>2</v>
      </c>
      <c r="Y320" s="4">
        <v>1</v>
      </c>
      <c r="Z320" s="56">
        <v>3</v>
      </c>
      <c r="AA320" s="9" cm="1">
        <f t="array" ref="AA320">IF(OR(AB320:AE320=""),"BLANK",IF(AND(AB320:AE320&lt;999),1,IF(AND(AB320:AE320="NA"),3,2)))</f>
        <v>1</v>
      </c>
      <c r="AB320" s="4">
        <v>14</v>
      </c>
      <c r="AC320" s="4">
        <v>10</v>
      </c>
      <c r="AD320" s="4">
        <v>6</v>
      </c>
      <c r="AE320" s="5">
        <v>30</v>
      </c>
      <c r="AF320" s="9">
        <f t="shared" si="4"/>
        <v>1</v>
      </c>
      <c r="AG320" s="5">
        <v>33</v>
      </c>
      <c r="AH320" s="9" cm="1">
        <f t="array" ref="AH320">IF(OR(AI320:AN320=""),"BLANK",IF(AND(AI320:AN320&lt;99),1,IF(AND(AI320:AN320="NA"),3,2)))</f>
        <v>2</v>
      </c>
      <c r="AI320" s="4">
        <v>7</v>
      </c>
      <c r="AJ320" s="4" t="s">
        <v>7</v>
      </c>
      <c r="AK320" s="23">
        <v>84.68</v>
      </c>
      <c r="AL320" s="23">
        <v>90.55</v>
      </c>
      <c r="AM320" s="23">
        <v>26.4</v>
      </c>
      <c r="AN320" s="24">
        <v>89.65</v>
      </c>
    </row>
    <row r="321" spans="1:40" x14ac:dyDescent="0.2">
      <c r="A321" s="15">
        <v>4679</v>
      </c>
      <c r="B321" s="4" t="s">
        <v>47</v>
      </c>
      <c r="C321" s="30" t="s">
        <v>24</v>
      </c>
      <c r="D321" s="30">
        <v>5</v>
      </c>
      <c r="E321" s="30">
        <v>0</v>
      </c>
      <c r="F321" s="30" t="s">
        <v>7</v>
      </c>
      <c r="G321" s="30">
        <v>29</v>
      </c>
      <c r="H321" s="33">
        <v>3.5427789185489389</v>
      </c>
      <c r="I321" s="33">
        <v>3.2169746748802188</v>
      </c>
      <c r="J321" s="33">
        <v>6.7597535934291582</v>
      </c>
      <c r="K321" s="33">
        <v>3.5427789185489389</v>
      </c>
      <c r="L321" s="33">
        <v>3.2443531827515399</v>
      </c>
      <c r="M321" s="33">
        <v>6.7871321013004788</v>
      </c>
      <c r="N321" s="33">
        <v>3.592060232717317</v>
      </c>
      <c r="O321" s="33">
        <v>3.1321013004791238</v>
      </c>
      <c r="P321" s="33">
        <v>6.7241615331964404</v>
      </c>
      <c r="Q321" s="33">
        <v>3.9096509240246409</v>
      </c>
      <c r="R321" s="33">
        <v>2.9322381930184807</v>
      </c>
      <c r="S321" s="33">
        <v>6.8418891170431211</v>
      </c>
      <c r="T321" s="12" t="s">
        <v>7</v>
      </c>
      <c r="U321" s="12" t="s">
        <v>7</v>
      </c>
      <c r="V321" s="4" t="s">
        <v>1</v>
      </c>
      <c r="W321" s="4">
        <v>1</v>
      </c>
      <c r="X321" s="4">
        <v>2</v>
      </c>
      <c r="Y321" s="4">
        <v>1</v>
      </c>
      <c r="Z321" s="56">
        <v>3</v>
      </c>
      <c r="AA321" s="9" cm="1">
        <f t="array" ref="AA321">IF(OR(AB321:AE321=""),"BLANK",IF(AND(AB321:AE321&lt;999),1,IF(AND(AB321:AE321="NA"),3,2)))</f>
        <v>1</v>
      </c>
      <c r="AB321" s="4">
        <v>25</v>
      </c>
      <c r="AC321" s="4">
        <v>15</v>
      </c>
      <c r="AD321" s="4">
        <v>10</v>
      </c>
      <c r="AE321" s="5">
        <v>50</v>
      </c>
      <c r="AF321" s="9">
        <f t="shared" si="4"/>
        <v>1</v>
      </c>
      <c r="AG321" s="5">
        <v>43</v>
      </c>
      <c r="AH321" s="9" cm="1">
        <f t="array" ref="AH321">IF(OR(AI321:AN321=""),"BLANK",IF(AND(AI321:AN321&lt;99),1,IF(AND(AI321:AN321="NA"),3,2)))</f>
        <v>2</v>
      </c>
      <c r="AI321" s="4">
        <v>6</v>
      </c>
      <c r="AJ321" s="4" t="s">
        <v>7</v>
      </c>
      <c r="AK321" s="23">
        <v>83.65</v>
      </c>
      <c r="AL321" s="23">
        <v>89.02</v>
      </c>
      <c r="AM321" s="23">
        <v>23.3</v>
      </c>
      <c r="AN321" s="24">
        <v>88.15</v>
      </c>
    </row>
    <row r="322" spans="1:40" x14ac:dyDescent="0.2">
      <c r="A322" s="15">
        <v>4682</v>
      </c>
      <c r="B322" s="4" t="s">
        <v>62</v>
      </c>
      <c r="C322" s="30" t="s">
        <v>24</v>
      </c>
      <c r="D322" s="30">
        <v>5</v>
      </c>
      <c r="E322" s="30">
        <v>0</v>
      </c>
      <c r="F322" s="30" t="s">
        <v>7</v>
      </c>
      <c r="G322" s="30">
        <v>28</v>
      </c>
      <c r="H322" s="33">
        <v>3.4962354551676933</v>
      </c>
      <c r="I322" s="33" t="s">
        <v>7</v>
      </c>
      <c r="J322" s="33" t="s">
        <v>7</v>
      </c>
      <c r="K322" s="33">
        <v>3.4770704996577688</v>
      </c>
      <c r="L322" s="33" t="s">
        <v>7</v>
      </c>
      <c r="M322" s="33" t="s">
        <v>7</v>
      </c>
      <c r="N322" s="33">
        <v>3.4058863791923342</v>
      </c>
      <c r="O322" s="33" t="s">
        <v>7</v>
      </c>
      <c r="P322" s="33" t="s">
        <v>7</v>
      </c>
      <c r="Q322" s="33" t="s">
        <v>7</v>
      </c>
      <c r="R322" s="33" t="s">
        <v>7</v>
      </c>
      <c r="S322" s="33" t="s">
        <v>7</v>
      </c>
      <c r="T322" s="12">
        <v>3</v>
      </c>
      <c r="U322" s="12">
        <v>13</v>
      </c>
      <c r="V322" s="4" t="s">
        <v>1</v>
      </c>
      <c r="W322" s="4">
        <v>1</v>
      </c>
      <c r="X322" s="4">
        <v>2</v>
      </c>
      <c r="Y322" s="4">
        <v>1</v>
      </c>
      <c r="Z322" s="56">
        <v>3</v>
      </c>
      <c r="AA322" s="9" cm="1">
        <f t="array" ref="AA322">IF(OR(AB322:AE322=""),"BLANK",IF(AND(AB322:AE322&lt;999),1,IF(AND(AB322:AE322="NA"),3,2)))</f>
        <v>1</v>
      </c>
      <c r="AB322" s="4">
        <v>32</v>
      </c>
      <c r="AC322" s="4">
        <v>18</v>
      </c>
      <c r="AD322" s="4">
        <v>12</v>
      </c>
      <c r="AE322" s="5">
        <v>62</v>
      </c>
      <c r="AF322" s="9">
        <f t="shared" ref="AF322:AF385" si="5">IF(OR(AG322="NA", AG322="xx"), 3,1)</f>
        <v>1</v>
      </c>
      <c r="AG322" s="5">
        <v>43</v>
      </c>
      <c r="AH322" s="9" cm="1">
        <f t="array" ref="AH322">IF(OR(AI322:AN322=""),"BLANK",IF(AND(AI322:AN322&lt;99),1,IF(AND(AI322:AN322="NA"),3,2)))</f>
        <v>2</v>
      </c>
      <c r="AI322" s="4">
        <v>19</v>
      </c>
      <c r="AJ322" s="4" t="s">
        <v>7</v>
      </c>
      <c r="AK322" s="23">
        <v>104.95</v>
      </c>
      <c r="AL322" s="23">
        <v>112.71</v>
      </c>
      <c r="AM322" s="23">
        <v>80.2</v>
      </c>
      <c r="AN322" s="24">
        <v>110.79</v>
      </c>
    </row>
    <row r="323" spans="1:40" x14ac:dyDescent="0.2">
      <c r="A323" s="15">
        <v>4684</v>
      </c>
      <c r="B323" s="4" t="s">
        <v>54</v>
      </c>
      <c r="C323" s="30" t="s">
        <v>24</v>
      </c>
      <c r="D323" s="30">
        <v>5</v>
      </c>
      <c r="E323" s="30">
        <v>0</v>
      </c>
      <c r="F323" s="30" t="s">
        <v>7</v>
      </c>
      <c r="G323" s="30">
        <v>28</v>
      </c>
      <c r="H323" s="29">
        <v>3.4579055441478439</v>
      </c>
      <c r="I323" s="29">
        <v>3.1759069130732374</v>
      </c>
      <c r="J323" s="29">
        <v>6.6338124572210813</v>
      </c>
      <c r="K323" s="29">
        <v>3.4496919917864477</v>
      </c>
      <c r="L323" s="29">
        <v>3.1759069130732374</v>
      </c>
      <c r="M323" s="29">
        <v>6.6255989048596851</v>
      </c>
      <c r="N323" s="29">
        <v>3.3511293634496919</v>
      </c>
      <c r="O323" s="29" t="s">
        <v>7</v>
      </c>
      <c r="P323" s="29" t="s">
        <v>7</v>
      </c>
      <c r="Q323" s="29">
        <v>3.3949349760438055</v>
      </c>
      <c r="R323" s="29" t="s">
        <v>7</v>
      </c>
      <c r="S323" s="29" t="s">
        <v>7</v>
      </c>
      <c r="T323" s="12">
        <v>4</v>
      </c>
      <c r="U323" s="12">
        <v>16</v>
      </c>
      <c r="V323" s="4" t="s">
        <v>1</v>
      </c>
      <c r="W323" s="4">
        <v>1</v>
      </c>
      <c r="X323" s="4">
        <v>2</v>
      </c>
      <c r="Y323" s="4">
        <v>1</v>
      </c>
      <c r="Z323" s="56">
        <v>3</v>
      </c>
      <c r="AA323" s="9" cm="1">
        <f t="array" ref="AA323">IF(OR(AB323:AE323=""),"BLANK",IF(AND(AB323:AE323&lt;999),1,IF(AND(AB323:AE323="NA"),3,2)))</f>
        <v>1</v>
      </c>
      <c r="AB323" s="4">
        <v>31</v>
      </c>
      <c r="AC323" s="4">
        <v>17</v>
      </c>
      <c r="AD323" s="4">
        <v>10</v>
      </c>
      <c r="AE323" s="5">
        <v>58</v>
      </c>
      <c r="AF323" s="9">
        <f t="shared" si="5"/>
        <v>1</v>
      </c>
      <c r="AG323" s="5">
        <v>52</v>
      </c>
      <c r="AH323" s="9" cm="1">
        <f t="array" ref="AH323">IF(OR(AI323:AN323=""),"BLANK",IF(AND(AI323:AN323&lt;99),1,IF(AND(AI323:AN323="NA"),3,2)))</f>
        <v>3</v>
      </c>
      <c r="AI323" s="4" t="s">
        <v>7</v>
      </c>
      <c r="AJ323" s="4" t="s">
        <v>7</v>
      </c>
      <c r="AK323" s="23" t="s">
        <v>7</v>
      </c>
      <c r="AL323" s="23" t="s">
        <v>7</v>
      </c>
      <c r="AM323" s="23" t="s">
        <v>7</v>
      </c>
      <c r="AN323" s="24" t="s">
        <v>7</v>
      </c>
    </row>
    <row r="324" spans="1:40" x14ac:dyDescent="0.2">
      <c r="A324" s="15">
        <v>4691</v>
      </c>
      <c r="B324" s="4" t="s">
        <v>66</v>
      </c>
      <c r="C324" s="30" t="s">
        <v>24</v>
      </c>
      <c r="D324" s="30">
        <v>6</v>
      </c>
      <c r="E324" s="30">
        <v>1</v>
      </c>
      <c r="F324" s="30" t="s">
        <v>7</v>
      </c>
      <c r="G324" s="30">
        <v>25</v>
      </c>
      <c r="H324" s="33">
        <v>4.2108145106091719</v>
      </c>
      <c r="I324" s="33" t="s">
        <v>7</v>
      </c>
      <c r="J324" s="33" t="s">
        <v>7</v>
      </c>
      <c r="K324" s="33">
        <v>4.1971252566735116</v>
      </c>
      <c r="L324" s="33" t="s">
        <v>7</v>
      </c>
      <c r="M324" s="33" t="s">
        <v>7</v>
      </c>
      <c r="N324" s="33">
        <v>4.1368925393566052</v>
      </c>
      <c r="O324" s="33" t="s">
        <v>7</v>
      </c>
      <c r="P324" s="33" t="s">
        <v>7</v>
      </c>
      <c r="Q324" s="33">
        <v>4.1423682409308693</v>
      </c>
      <c r="R324" s="33" t="s">
        <v>7</v>
      </c>
      <c r="S324" s="33" t="s">
        <v>7</v>
      </c>
      <c r="T324" s="12">
        <v>3</v>
      </c>
      <c r="U324" s="12">
        <v>13</v>
      </c>
      <c r="V324" s="4" t="s">
        <v>1</v>
      </c>
      <c r="W324" s="4">
        <v>1</v>
      </c>
      <c r="X324" s="4">
        <v>2</v>
      </c>
      <c r="Y324" s="4">
        <v>1</v>
      </c>
      <c r="Z324" s="56">
        <v>3</v>
      </c>
      <c r="AA324" s="9" cm="1">
        <f t="array" ref="AA324">IF(OR(AB324:AE324=""),"BLANK",IF(AND(AB324:AE324&lt;999),1,IF(AND(AB324:AE324="NA"),3,2)))</f>
        <v>1</v>
      </c>
      <c r="AB324" s="4">
        <v>20</v>
      </c>
      <c r="AC324" s="4">
        <v>9</v>
      </c>
      <c r="AD324" s="4">
        <v>9</v>
      </c>
      <c r="AE324" s="5">
        <v>38</v>
      </c>
      <c r="AF324" s="9">
        <f t="shared" si="5"/>
        <v>1</v>
      </c>
      <c r="AG324" s="5">
        <v>31</v>
      </c>
      <c r="AH324" s="9" cm="1">
        <f t="array" ref="AH324">IF(OR(AI324:AN324=""),"BLANK",IF(AND(AI324:AN324&lt;99),1,IF(AND(AI324:AN324="NA"),3,2)))</f>
        <v>3</v>
      </c>
      <c r="AI324" s="4" t="s">
        <v>7</v>
      </c>
      <c r="AJ324" s="4" t="s">
        <v>7</v>
      </c>
      <c r="AK324" s="23" t="s">
        <v>7</v>
      </c>
      <c r="AL324" s="23" t="s">
        <v>7</v>
      </c>
      <c r="AM324" s="23" t="s">
        <v>7</v>
      </c>
      <c r="AN324" s="24" t="s">
        <v>7</v>
      </c>
    </row>
    <row r="325" spans="1:40" x14ac:dyDescent="0.2">
      <c r="A325" s="15">
        <v>4727</v>
      </c>
      <c r="B325" s="4" t="s">
        <v>48</v>
      </c>
      <c r="C325" s="30" t="s">
        <v>24</v>
      </c>
      <c r="D325" s="30">
        <v>5</v>
      </c>
      <c r="E325" s="30">
        <v>0</v>
      </c>
      <c r="F325" s="30" t="s">
        <v>7</v>
      </c>
      <c r="G325" s="30">
        <v>26</v>
      </c>
      <c r="H325" s="33">
        <v>3.3867214236824092</v>
      </c>
      <c r="I325" s="33" t="s">
        <v>7</v>
      </c>
      <c r="J325" s="33" t="s">
        <v>7</v>
      </c>
      <c r="K325" s="33">
        <v>3.3867214236824092</v>
      </c>
      <c r="L325" s="33" t="s">
        <v>7</v>
      </c>
      <c r="M325" s="33" t="s">
        <v>7</v>
      </c>
      <c r="N325" s="33" t="s">
        <v>7</v>
      </c>
      <c r="O325" s="33" t="s">
        <v>7</v>
      </c>
      <c r="P325" s="33" t="s">
        <v>7</v>
      </c>
      <c r="Q325" s="33" t="s">
        <v>7</v>
      </c>
      <c r="R325" s="33" t="s">
        <v>7</v>
      </c>
      <c r="S325" s="33" t="s">
        <v>7</v>
      </c>
      <c r="T325" s="12">
        <v>6</v>
      </c>
      <c r="U325" s="12">
        <v>18</v>
      </c>
      <c r="V325" s="4" t="s">
        <v>1</v>
      </c>
      <c r="W325" s="4">
        <v>1</v>
      </c>
      <c r="X325" s="4">
        <v>2</v>
      </c>
      <c r="Y325" s="4">
        <v>1</v>
      </c>
      <c r="Z325" s="56">
        <v>3</v>
      </c>
      <c r="AA325" s="9" cm="1">
        <f t="array" ref="AA325">IF(OR(AB325:AE325=""),"BLANK",IF(AND(AB325:AE325&lt;999),1,IF(AND(AB325:AE325="NA"),3,2)))</f>
        <v>1</v>
      </c>
      <c r="AB325" s="4">
        <v>28</v>
      </c>
      <c r="AC325" s="4">
        <v>15</v>
      </c>
      <c r="AD325" s="4">
        <v>11</v>
      </c>
      <c r="AE325" s="5">
        <v>54</v>
      </c>
      <c r="AF325" s="9">
        <f t="shared" si="5"/>
        <v>1</v>
      </c>
      <c r="AG325" s="5">
        <v>41</v>
      </c>
      <c r="AH325" s="9" cm="1">
        <f t="array" ref="AH325">IF(OR(AI325:AN325=""),"BLANK",IF(AND(AI325:AN325&lt;99),1,IF(AND(AI325:AN325="NA"),3,2)))</f>
        <v>2</v>
      </c>
      <c r="AI325" s="4">
        <v>14</v>
      </c>
      <c r="AJ325" s="4" t="s">
        <v>7</v>
      </c>
      <c r="AK325" s="23">
        <v>99.76</v>
      </c>
      <c r="AL325" s="23">
        <v>109.16</v>
      </c>
      <c r="AM325" s="23">
        <v>72.900000000000006</v>
      </c>
      <c r="AN325" s="24">
        <v>108.31</v>
      </c>
    </row>
    <row r="326" spans="1:40" x14ac:dyDescent="0.2">
      <c r="A326" s="15">
        <v>4737</v>
      </c>
      <c r="B326" s="4" t="s">
        <v>62</v>
      </c>
      <c r="C326" s="30" t="s">
        <v>24</v>
      </c>
      <c r="D326" s="30">
        <v>5</v>
      </c>
      <c r="E326" s="30">
        <v>0</v>
      </c>
      <c r="F326" s="30" t="s">
        <v>7</v>
      </c>
      <c r="G326" s="30">
        <v>29</v>
      </c>
      <c r="H326" s="29">
        <v>3.4907597535934292</v>
      </c>
      <c r="I326" s="29" t="s">
        <v>7</v>
      </c>
      <c r="J326" s="29" t="s">
        <v>7</v>
      </c>
      <c r="K326" s="29">
        <v>3.4907597535934292</v>
      </c>
      <c r="L326" s="29" t="s">
        <v>7</v>
      </c>
      <c r="M326" s="29" t="s">
        <v>7</v>
      </c>
      <c r="N326" s="29">
        <v>3.485284052019165</v>
      </c>
      <c r="O326" s="29" t="s">
        <v>7</v>
      </c>
      <c r="P326" s="29" t="s">
        <v>7</v>
      </c>
      <c r="Q326" s="29">
        <v>3.5017111567419574</v>
      </c>
      <c r="R326" s="29" t="s">
        <v>7</v>
      </c>
      <c r="S326" s="29" t="s">
        <v>7</v>
      </c>
      <c r="T326" s="12">
        <v>4</v>
      </c>
      <c r="U326" s="12">
        <v>16</v>
      </c>
      <c r="V326" s="4" t="s">
        <v>1</v>
      </c>
      <c r="W326" s="4">
        <v>1</v>
      </c>
      <c r="X326" s="4">
        <v>2</v>
      </c>
      <c r="Y326" s="4">
        <v>1</v>
      </c>
      <c r="Z326" s="56">
        <v>3</v>
      </c>
      <c r="AA326" s="9" cm="1">
        <f t="array" ref="AA326">IF(OR(AB326:AE326=""),"BLANK",IF(AND(AB326:AE326&lt;999),1,IF(AND(AB326:AE326="NA"),3,2)))</f>
        <v>1</v>
      </c>
      <c r="AB326" s="4">
        <v>28</v>
      </c>
      <c r="AC326" s="4">
        <v>14</v>
      </c>
      <c r="AD326" s="4">
        <v>14</v>
      </c>
      <c r="AE326" s="5">
        <v>56</v>
      </c>
      <c r="AF326" s="9">
        <f t="shared" si="5"/>
        <v>1</v>
      </c>
      <c r="AG326" s="5">
        <v>42</v>
      </c>
      <c r="AH326" s="9" cm="1">
        <f t="array" ref="AH326">IF(OR(AI326:AN326=""),"BLANK",IF(AND(AI326:AN326&lt;99),1,IF(AND(AI326:AN326="NA"),3,2)))</f>
        <v>2</v>
      </c>
      <c r="AI326" s="4">
        <v>8</v>
      </c>
      <c r="AJ326" s="4" t="s">
        <v>7</v>
      </c>
      <c r="AK326" s="23">
        <v>86.16</v>
      </c>
      <c r="AL326" s="23">
        <v>84.72</v>
      </c>
      <c r="AM326" s="23">
        <v>15.4</v>
      </c>
      <c r="AN326" s="24">
        <v>82.52</v>
      </c>
    </row>
    <row r="327" spans="1:40" x14ac:dyDescent="0.2">
      <c r="A327" s="15">
        <v>4743</v>
      </c>
      <c r="B327" s="4" t="s">
        <v>54</v>
      </c>
      <c r="C327" s="30" t="s">
        <v>23</v>
      </c>
      <c r="D327" s="30">
        <v>5</v>
      </c>
      <c r="E327" s="30">
        <v>0</v>
      </c>
      <c r="F327" s="30" t="s">
        <v>7</v>
      </c>
      <c r="G327" s="30">
        <v>29</v>
      </c>
      <c r="H327" s="33">
        <v>3.485284052019165</v>
      </c>
      <c r="I327" s="33" t="s">
        <v>7</v>
      </c>
      <c r="J327" s="33" t="s">
        <v>7</v>
      </c>
      <c r="K327" s="33">
        <v>3.5318275154004106</v>
      </c>
      <c r="L327" s="33" t="s">
        <v>7</v>
      </c>
      <c r="M327" s="33" t="s">
        <v>7</v>
      </c>
      <c r="N327" s="33">
        <v>3.4962354551676933</v>
      </c>
      <c r="O327" s="33" t="s">
        <v>7</v>
      </c>
      <c r="P327" s="33" t="s">
        <v>7</v>
      </c>
      <c r="Q327" s="33">
        <v>3.353867214236824</v>
      </c>
      <c r="R327" s="33" t="s">
        <v>7</v>
      </c>
      <c r="S327" s="33" t="s">
        <v>7</v>
      </c>
      <c r="T327" s="12">
        <v>3</v>
      </c>
      <c r="U327" s="12">
        <v>14</v>
      </c>
      <c r="V327" s="4" t="s">
        <v>1</v>
      </c>
      <c r="W327" s="4">
        <v>1</v>
      </c>
      <c r="X327" s="4">
        <v>2</v>
      </c>
      <c r="Y327" s="4">
        <v>1</v>
      </c>
      <c r="Z327" s="56">
        <v>3</v>
      </c>
      <c r="AA327" s="9" cm="1">
        <f t="array" ref="AA327">IF(OR(AB327:AE327=""),"BLANK",IF(AND(AB327:AE327&lt;999),1,IF(AND(AB327:AE327="NA"),3,2)))</f>
        <v>1</v>
      </c>
      <c r="AB327" s="4">
        <v>27</v>
      </c>
      <c r="AC327" s="4">
        <v>15</v>
      </c>
      <c r="AD327" s="4">
        <v>10</v>
      </c>
      <c r="AE327" s="5">
        <v>52</v>
      </c>
      <c r="AF327" s="9">
        <f t="shared" si="5"/>
        <v>1</v>
      </c>
      <c r="AG327" s="5">
        <v>54</v>
      </c>
      <c r="AH327" s="9" cm="1">
        <f t="array" ref="AH327">IF(OR(AI327:AN327=""),"BLANK",IF(AND(AI327:AN327&lt;99),1,IF(AND(AI327:AN327="NA"),3,2)))</f>
        <v>2</v>
      </c>
      <c r="AI327" s="4">
        <v>19</v>
      </c>
      <c r="AJ327" s="4" t="s">
        <v>7</v>
      </c>
      <c r="AK327" s="23">
        <v>102.77</v>
      </c>
      <c r="AL327" s="23">
        <v>114.31</v>
      </c>
      <c r="AM327" s="23">
        <v>82.9</v>
      </c>
      <c r="AN327" s="24">
        <v>108.71</v>
      </c>
    </row>
    <row r="328" spans="1:40" x14ac:dyDescent="0.2">
      <c r="A328" s="15">
        <v>4749</v>
      </c>
      <c r="B328" s="4" t="s">
        <v>54</v>
      </c>
      <c r="C328" s="30" t="s">
        <v>23</v>
      </c>
      <c r="D328" s="30">
        <v>5</v>
      </c>
      <c r="E328" s="30">
        <v>0</v>
      </c>
      <c r="F328" s="30" t="s">
        <v>7</v>
      </c>
      <c r="G328" s="30">
        <v>30</v>
      </c>
      <c r="H328" s="29">
        <v>3.4579055441478439</v>
      </c>
      <c r="I328" s="29" t="s">
        <v>7</v>
      </c>
      <c r="J328" s="29" t="s">
        <v>7</v>
      </c>
      <c r="K328" s="29">
        <v>3.460643394934976</v>
      </c>
      <c r="L328" s="29" t="s">
        <v>7</v>
      </c>
      <c r="M328" s="29" t="s">
        <v>7</v>
      </c>
      <c r="N328" s="29">
        <v>3.4934976043805612</v>
      </c>
      <c r="O328" s="29" t="s">
        <v>7</v>
      </c>
      <c r="P328" s="29" t="s">
        <v>7</v>
      </c>
      <c r="Q328" s="29">
        <v>3.482546201232033</v>
      </c>
      <c r="R328" s="29" t="s">
        <v>7</v>
      </c>
      <c r="S328" s="29" t="s">
        <v>7</v>
      </c>
      <c r="T328" s="12">
        <v>3</v>
      </c>
      <c r="U328" s="12">
        <v>14</v>
      </c>
      <c r="V328" s="4" t="s">
        <v>1</v>
      </c>
      <c r="W328" s="4">
        <v>1</v>
      </c>
      <c r="X328" s="4">
        <v>2</v>
      </c>
      <c r="Y328" s="4">
        <v>1</v>
      </c>
      <c r="Z328" s="56">
        <v>3</v>
      </c>
      <c r="AA328" s="9" cm="1">
        <f t="array" ref="AA328">IF(OR(AB328:AE328=""),"BLANK",IF(AND(AB328:AE328&lt;999),1,IF(AND(AB328:AE328="NA"),3,2)))</f>
        <v>1</v>
      </c>
      <c r="AB328" s="4">
        <v>29</v>
      </c>
      <c r="AC328" s="4">
        <v>19</v>
      </c>
      <c r="AD328" s="4">
        <v>12</v>
      </c>
      <c r="AE328" s="5">
        <v>60</v>
      </c>
      <c r="AF328" s="9">
        <f t="shared" si="5"/>
        <v>1</v>
      </c>
      <c r="AG328" s="5">
        <v>58</v>
      </c>
      <c r="AH328" s="9" cm="1">
        <f t="array" ref="AH328">IF(OR(AI328:AN328=""),"BLANK",IF(AND(AI328:AN328&lt;99),1,IF(AND(AI328:AN328="NA"),3,2)))</f>
        <v>2</v>
      </c>
      <c r="AI328" s="4">
        <v>6</v>
      </c>
      <c r="AJ328" s="4" t="s">
        <v>7</v>
      </c>
      <c r="AK328" s="23">
        <v>82.37</v>
      </c>
      <c r="AL328" s="23">
        <v>83.6</v>
      </c>
      <c r="AM328" s="23">
        <v>13.8</v>
      </c>
      <c r="AN328" s="24">
        <v>77.86</v>
      </c>
    </row>
    <row r="329" spans="1:40" x14ac:dyDescent="0.2">
      <c r="A329" s="15">
        <v>4769</v>
      </c>
      <c r="B329" s="4" t="s">
        <v>54</v>
      </c>
      <c r="C329" s="30" t="s">
        <v>23</v>
      </c>
      <c r="D329" s="30">
        <v>5</v>
      </c>
      <c r="E329" s="30">
        <v>0</v>
      </c>
      <c r="F329" s="30" t="s">
        <v>7</v>
      </c>
      <c r="G329" s="30">
        <v>30</v>
      </c>
      <c r="H329" s="29">
        <v>3.4661190965092401</v>
      </c>
      <c r="I329" s="29">
        <v>3.2772073921971252</v>
      </c>
      <c r="J329" s="29">
        <v>6.7433264887063658</v>
      </c>
      <c r="K329" s="29">
        <v>3.4661190965092401</v>
      </c>
      <c r="L329" s="29">
        <v>3.2772073921971252</v>
      </c>
      <c r="M329" s="29">
        <v>6.7433264887063658</v>
      </c>
      <c r="N329" s="29">
        <v>3.4414784394250515</v>
      </c>
      <c r="O329" s="29">
        <v>3.1813826146475015</v>
      </c>
      <c r="P329" s="29">
        <v>6.622861054072553</v>
      </c>
      <c r="Q329" s="29">
        <v>3.2388774811772758</v>
      </c>
      <c r="R329" s="29" t="s">
        <v>7</v>
      </c>
      <c r="S329" s="29" t="s">
        <v>7</v>
      </c>
      <c r="T329" s="12">
        <v>3</v>
      </c>
      <c r="U329" s="12">
        <v>14</v>
      </c>
      <c r="V329" s="4" t="s">
        <v>1</v>
      </c>
      <c r="W329" s="4">
        <v>1</v>
      </c>
      <c r="X329" s="4">
        <v>2</v>
      </c>
      <c r="Y329" s="4">
        <v>1</v>
      </c>
      <c r="Z329" s="56">
        <v>3</v>
      </c>
      <c r="AA329" s="9" cm="1">
        <f t="array" ref="AA329">IF(OR(AB329:AE329=""),"BLANK",IF(AND(AB329:AE329&lt;999),1,IF(AND(AB329:AE329="NA"),3,2)))</f>
        <v>1</v>
      </c>
      <c r="AB329" s="4">
        <v>28</v>
      </c>
      <c r="AC329" s="4">
        <v>24</v>
      </c>
      <c r="AD329" s="4">
        <v>15</v>
      </c>
      <c r="AE329" s="5">
        <v>67</v>
      </c>
      <c r="AF329" s="9">
        <f t="shared" si="5"/>
        <v>1</v>
      </c>
      <c r="AG329" s="5">
        <v>49</v>
      </c>
      <c r="AH329" s="9" cm="1">
        <f t="array" ref="AH329">IF(OR(AI329:AN329=""),"BLANK",IF(AND(AI329:AN329&lt;99),1,IF(AND(AI329:AN329="NA"),3,2)))</f>
        <v>2</v>
      </c>
      <c r="AI329" s="4">
        <v>19</v>
      </c>
      <c r="AJ329" s="4" t="s">
        <v>7</v>
      </c>
      <c r="AK329" s="23">
        <v>101.51</v>
      </c>
      <c r="AL329" s="23">
        <v>106.97</v>
      </c>
      <c r="AM329" s="23">
        <v>67.7</v>
      </c>
      <c r="AN329" s="24">
        <v>100.22</v>
      </c>
    </row>
    <row r="330" spans="1:40" x14ac:dyDescent="0.2">
      <c r="A330" s="15">
        <v>4788</v>
      </c>
      <c r="B330" s="4" t="s">
        <v>48</v>
      </c>
      <c r="C330" s="30" t="s">
        <v>23</v>
      </c>
      <c r="D330" s="30">
        <v>5</v>
      </c>
      <c r="E330" s="30">
        <v>1</v>
      </c>
      <c r="F330" s="30" t="s">
        <v>7</v>
      </c>
      <c r="G330" s="30">
        <v>28</v>
      </c>
      <c r="H330" s="33">
        <v>3.6741957563312799</v>
      </c>
      <c r="I330" s="33" t="s">
        <v>7</v>
      </c>
      <c r="J330" s="33" t="s">
        <v>7</v>
      </c>
      <c r="K330" s="33">
        <v>3.6632443531827517</v>
      </c>
      <c r="L330" s="33" t="s">
        <v>7</v>
      </c>
      <c r="M330" s="33" t="s">
        <v>7</v>
      </c>
      <c r="N330" s="33">
        <v>3.4715947980835042</v>
      </c>
      <c r="O330" s="33" t="s">
        <v>7</v>
      </c>
      <c r="P330" s="33" t="s">
        <v>7</v>
      </c>
      <c r="Q330" s="33">
        <v>3.4140999315537304</v>
      </c>
      <c r="R330" s="33" t="s">
        <v>7</v>
      </c>
      <c r="S330" s="33" t="s">
        <v>7</v>
      </c>
      <c r="T330" s="12" t="s">
        <v>7</v>
      </c>
      <c r="U330" s="12" t="s">
        <v>7</v>
      </c>
      <c r="V330" s="4" t="s">
        <v>1</v>
      </c>
      <c r="W330" s="4">
        <v>1</v>
      </c>
      <c r="X330" s="4">
        <v>2</v>
      </c>
      <c r="Y330" s="4">
        <v>1</v>
      </c>
      <c r="Z330" s="56">
        <v>3</v>
      </c>
      <c r="AA330" s="9" cm="1">
        <f t="array" ref="AA330">IF(OR(AB330:AE330=""),"BLANK",IF(AND(AB330:AE330&lt;999),1,IF(AND(AB330:AE330="NA"),3,2)))</f>
        <v>1</v>
      </c>
      <c r="AB330" s="4">
        <v>25</v>
      </c>
      <c r="AC330" s="4">
        <v>15</v>
      </c>
      <c r="AD330" s="4">
        <v>12</v>
      </c>
      <c r="AE330" s="5">
        <v>52</v>
      </c>
      <c r="AF330" s="9">
        <f t="shared" si="5"/>
        <v>1</v>
      </c>
      <c r="AG330" s="5">
        <v>30</v>
      </c>
      <c r="AH330" s="9" cm="1">
        <f t="array" ref="AH330">IF(OR(AI330:AN330=""),"BLANK",IF(AND(AI330:AN330&lt;99),1,IF(AND(AI330:AN330="NA"),3,2)))</f>
        <v>3</v>
      </c>
      <c r="AI330" s="4" t="s">
        <v>7</v>
      </c>
      <c r="AJ330" s="4" t="s">
        <v>7</v>
      </c>
      <c r="AK330" s="23" t="s">
        <v>7</v>
      </c>
      <c r="AL330" s="23" t="s">
        <v>7</v>
      </c>
      <c r="AM330" s="23" t="s">
        <v>7</v>
      </c>
      <c r="AN330" s="24" t="s">
        <v>7</v>
      </c>
    </row>
    <row r="331" spans="1:40" x14ac:dyDescent="0.2">
      <c r="A331" s="15">
        <v>4795</v>
      </c>
      <c r="B331" s="4" t="s">
        <v>54</v>
      </c>
      <c r="C331" s="30" t="s">
        <v>23</v>
      </c>
      <c r="D331" s="30">
        <v>5</v>
      </c>
      <c r="E331" s="30">
        <v>0</v>
      </c>
      <c r="F331" s="30" t="s">
        <v>7</v>
      </c>
      <c r="G331" s="30">
        <v>29</v>
      </c>
      <c r="H331" s="33">
        <v>3.2197125256673513</v>
      </c>
      <c r="I331" s="33">
        <v>3.0800821355236141</v>
      </c>
      <c r="J331" s="33">
        <v>6.2997946611909654</v>
      </c>
      <c r="K331" s="33">
        <v>3.2197125256673513</v>
      </c>
      <c r="L331" s="33">
        <v>3.1129363449691994</v>
      </c>
      <c r="M331" s="33">
        <v>6.3326488706365502</v>
      </c>
      <c r="N331" s="33">
        <v>3.2963723477070501</v>
      </c>
      <c r="O331" s="33">
        <v>2.9514031485284051</v>
      </c>
      <c r="P331" s="33">
        <v>6.2477754962354553</v>
      </c>
      <c r="Q331" s="33">
        <v>3.5263518138261465</v>
      </c>
      <c r="R331" s="33" t="s">
        <v>7</v>
      </c>
      <c r="S331" s="33" t="s">
        <v>7</v>
      </c>
      <c r="T331" s="12" t="s">
        <v>7</v>
      </c>
      <c r="U331" s="12" t="s">
        <v>7</v>
      </c>
      <c r="V331" s="4" t="s">
        <v>1</v>
      </c>
      <c r="W331" s="4">
        <v>1</v>
      </c>
      <c r="X331" s="4">
        <v>2</v>
      </c>
      <c r="Y331" s="4">
        <v>1</v>
      </c>
      <c r="Z331" s="56">
        <v>3</v>
      </c>
      <c r="AA331" s="9" cm="1">
        <f t="array" ref="AA331">IF(OR(AB331:AE331=""),"BLANK",IF(AND(AB331:AE331&lt;999),1,IF(AND(AB331:AE331="NA"),3,2)))</f>
        <v>1</v>
      </c>
      <c r="AB331" s="4">
        <v>24</v>
      </c>
      <c r="AC331" s="4">
        <v>18</v>
      </c>
      <c r="AD331" s="4">
        <v>12</v>
      </c>
      <c r="AE331" s="5">
        <v>54</v>
      </c>
      <c r="AF331" s="9">
        <f t="shared" si="5"/>
        <v>1</v>
      </c>
      <c r="AG331" s="5">
        <v>54</v>
      </c>
      <c r="AH331" s="9" cm="1">
        <f t="array" ref="AH331">IF(OR(AI331:AN331=""),"BLANK",IF(AND(AI331:AN331&lt;99),1,IF(AND(AI331:AN331="NA"),3,2)))</f>
        <v>2</v>
      </c>
      <c r="AI331" s="4">
        <v>11</v>
      </c>
      <c r="AJ331" s="4" t="s">
        <v>7</v>
      </c>
      <c r="AK331" s="23">
        <v>92.36</v>
      </c>
      <c r="AL331" s="23">
        <v>98.85</v>
      </c>
      <c r="AM331" s="23">
        <v>46.8</v>
      </c>
      <c r="AN331" s="24">
        <v>93.41</v>
      </c>
    </row>
    <row r="332" spans="1:40" x14ac:dyDescent="0.2">
      <c r="A332" s="15">
        <v>4800</v>
      </c>
      <c r="B332" s="4" t="s">
        <v>62</v>
      </c>
      <c r="C332" s="30" t="s">
        <v>23</v>
      </c>
      <c r="D332" s="30">
        <v>5</v>
      </c>
      <c r="E332" s="30">
        <v>0</v>
      </c>
      <c r="F332" s="30" t="s">
        <v>7</v>
      </c>
      <c r="G332" s="30" t="s">
        <v>7</v>
      </c>
      <c r="H332" s="33">
        <v>3.5674195756331279</v>
      </c>
      <c r="I332" s="33" t="s">
        <v>7</v>
      </c>
      <c r="J332" s="33" t="s">
        <v>7</v>
      </c>
      <c r="K332" s="33">
        <v>3.5674195756331279</v>
      </c>
      <c r="L332" s="33" t="s">
        <v>7</v>
      </c>
      <c r="M332" s="33" t="s">
        <v>7</v>
      </c>
      <c r="N332" s="33">
        <v>3.4743326488706368</v>
      </c>
      <c r="O332" s="33" t="s">
        <v>7</v>
      </c>
      <c r="P332" s="33" t="s">
        <v>7</v>
      </c>
      <c r="Q332" s="33">
        <v>3.8028747433264889</v>
      </c>
      <c r="R332" s="33" t="s">
        <v>7</v>
      </c>
      <c r="S332" s="33" t="s">
        <v>7</v>
      </c>
      <c r="T332" s="12">
        <v>4</v>
      </c>
      <c r="U332" s="12">
        <v>16</v>
      </c>
      <c r="V332" s="4" t="s">
        <v>1</v>
      </c>
      <c r="W332" s="4">
        <v>1</v>
      </c>
      <c r="X332" s="4">
        <v>2</v>
      </c>
      <c r="Y332" s="4">
        <v>1</v>
      </c>
      <c r="Z332" s="56">
        <v>3</v>
      </c>
      <c r="AA332" s="9" cm="1">
        <f t="array" ref="AA332">IF(OR(AB332:AE332=""),"BLANK",IF(AND(AB332:AE332&lt;999),1,IF(AND(AB332:AE332="NA"),3,2)))</f>
        <v>3</v>
      </c>
      <c r="AB332" s="4" t="s">
        <v>7</v>
      </c>
      <c r="AC332" s="4" t="s">
        <v>7</v>
      </c>
      <c r="AD332" s="4" t="s">
        <v>7</v>
      </c>
      <c r="AE332" s="5" t="s">
        <v>7</v>
      </c>
      <c r="AF332" s="9">
        <f t="shared" si="5"/>
        <v>3</v>
      </c>
      <c r="AG332" s="5" t="s">
        <v>7</v>
      </c>
      <c r="AH332" s="9" cm="1">
        <f t="array" ref="AH332">IF(OR(AI332:AN332=""),"BLANK",IF(AND(AI332:AN332&lt;99),1,IF(AND(AI332:AN332="NA"),3,2)))</f>
        <v>2</v>
      </c>
      <c r="AI332" s="4">
        <v>34</v>
      </c>
      <c r="AJ332" s="4" t="s">
        <v>7</v>
      </c>
      <c r="AK332" s="23">
        <v>135.55000000000001</v>
      </c>
      <c r="AL332" s="23">
        <v>154.02000000000001</v>
      </c>
      <c r="AM332" s="23">
        <v>99.9</v>
      </c>
      <c r="AN332" s="24">
        <v>143.04</v>
      </c>
    </row>
    <row r="333" spans="1:40" x14ac:dyDescent="0.2">
      <c r="A333" s="15">
        <v>4805</v>
      </c>
      <c r="B333" s="4" t="s">
        <v>58</v>
      </c>
      <c r="C333" s="30" t="s">
        <v>23</v>
      </c>
      <c r="D333" s="30">
        <v>5</v>
      </c>
      <c r="E333" s="30">
        <v>0</v>
      </c>
      <c r="F333" s="30" t="s">
        <v>7</v>
      </c>
      <c r="G333" s="30" t="s">
        <v>7</v>
      </c>
      <c r="H333" s="33">
        <v>3.676933607118412</v>
      </c>
      <c r="I333" s="33" t="s">
        <v>7</v>
      </c>
      <c r="J333" s="33" t="s">
        <v>7</v>
      </c>
      <c r="K333" s="33" t="s">
        <v>7</v>
      </c>
      <c r="L333" s="33" t="s">
        <v>7</v>
      </c>
      <c r="M333" s="33" t="s">
        <v>7</v>
      </c>
      <c r="N333" s="33" t="s">
        <v>7</v>
      </c>
      <c r="O333" s="33" t="s">
        <v>7</v>
      </c>
      <c r="P333" s="33" t="s">
        <v>7</v>
      </c>
      <c r="Q333" s="33">
        <v>3.5811088295687883</v>
      </c>
      <c r="R333" s="33" t="s">
        <v>7</v>
      </c>
      <c r="S333" s="33" t="s">
        <v>7</v>
      </c>
      <c r="T333" s="12" t="s">
        <v>7</v>
      </c>
      <c r="U333" s="12" t="s">
        <v>7</v>
      </c>
      <c r="V333" s="4" t="s">
        <v>1</v>
      </c>
      <c r="W333" s="4">
        <v>1</v>
      </c>
      <c r="X333" s="4">
        <v>2</v>
      </c>
      <c r="Y333" s="4">
        <v>1</v>
      </c>
      <c r="Z333" s="56">
        <v>3</v>
      </c>
      <c r="AA333" s="9" cm="1">
        <f t="array" ref="AA333">IF(OR(AB333:AE333=""),"BLANK",IF(AND(AB333:AE333&lt;999),1,IF(AND(AB333:AE333="NA"),3,2)))</f>
        <v>3</v>
      </c>
      <c r="AB333" s="4" t="s">
        <v>7</v>
      </c>
      <c r="AC333" s="4" t="s">
        <v>7</v>
      </c>
      <c r="AD333" s="4" t="s">
        <v>7</v>
      </c>
      <c r="AE333" s="5" t="s">
        <v>7</v>
      </c>
      <c r="AF333" s="9">
        <f t="shared" si="5"/>
        <v>3</v>
      </c>
      <c r="AG333" s="5" t="s">
        <v>7</v>
      </c>
      <c r="AH333" s="9" cm="1">
        <f t="array" ref="AH333">IF(OR(AI333:AN333=""),"BLANK",IF(AND(AI333:AN333&lt;99),1,IF(AND(AI333:AN333="NA"),3,2)))</f>
        <v>3</v>
      </c>
      <c r="AI333" s="4" t="s">
        <v>7</v>
      </c>
      <c r="AJ333" s="4" t="s">
        <v>7</v>
      </c>
      <c r="AK333" s="23" t="s">
        <v>7</v>
      </c>
      <c r="AL333" s="23" t="s">
        <v>7</v>
      </c>
      <c r="AM333" s="23" t="s">
        <v>7</v>
      </c>
      <c r="AN333" s="24" t="s">
        <v>7</v>
      </c>
    </row>
    <row r="334" spans="1:40" x14ac:dyDescent="0.2">
      <c r="A334" s="15">
        <v>4841</v>
      </c>
      <c r="B334" s="4" t="s">
        <v>48</v>
      </c>
      <c r="C334" s="30" t="s">
        <v>23</v>
      </c>
      <c r="D334" s="30">
        <v>5</v>
      </c>
      <c r="E334" s="30">
        <v>0</v>
      </c>
      <c r="F334" s="30" t="s">
        <v>7</v>
      </c>
      <c r="G334" s="30">
        <v>29</v>
      </c>
      <c r="H334" s="33">
        <v>3.5427789185489389</v>
      </c>
      <c r="I334" s="33" t="s">
        <v>7</v>
      </c>
      <c r="J334" s="33" t="s">
        <v>7</v>
      </c>
      <c r="K334" s="33">
        <v>3.5427789185489389</v>
      </c>
      <c r="L334" s="33" t="s">
        <v>7</v>
      </c>
      <c r="M334" s="33" t="s">
        <v>7</v>
      </c>
      <c r="N334" s="33">
        <v>3.5126625598904861</v>
      </c>
      <c r="O334" s="33" t="s">
        <v>7</v>
      </c>
      <c r="P334" s="33" t="s">
        <v>7</v>
      </c>
      <c r="Q334" s="33" t="s">
        <v>7</v>
      </c>
      <c r="R334" s="33" t="s">
        <v>7</v>
      </c>
      <c r="S334" s="33" t="s">
        <v>7</v>
      </c>
      <c r="T334" s="12">
        <v>3</v>
      </c>
      <c r="U334" s="12">
        <v>14</v>
      </c>
      <c r="V334" s="4" t="s">
        <v>1</v>
      </c>
      <c r="W334" s="4">
        <v>1</v>
      </c>
      <c r="X334" s="4">
        <v>2</v>
      </c>
      <c r="Y334" s="4">
        <v>1</v>
      </c>
      <c r="Z334" s="56">
        <v>3</v>
      </c>
      <c r="AA334" s="9" cm="1">
        <f t="array" ref="AA334">IF(OR(AB334:AE334=""),"BLANK",IF(AND(AB334:AE334&lt;999),1,IF(AND(AB334:AE334="NA"),3,2)))</f>
        <v>1</v>
      </c>
      <c r="AB334" s="4">
        <v>26</v>
      </c>
      <c r="AC334" s="4">
        <v>16</v>
      </c>
      <c r="AD334" s="4">
        <v>11</v>
      </c>
      <c r="AE334" s="5">
        <v>53</v>
      </c>
      <c r="AF334" s="9">
        <f t="shared" si="5"/>
        <v>1</v>
      </c>
      <c r="AG334" s="5">
        <v>55</v>
      </c>
      <c r="AH334" s="9" cm="1">
        <f t="array" ref="AH334">IF(OR(AI334:AN334=""),"BLANK",IF(AND(AI334:AN334&lt;99),1,IF(AND(AI334:AN334="NA"),3,2)))</f>
        <v>3</v>
      </c>
      <c r="AI334" s="4" t="s">
        <v>7</v>
      </c>
      <c r="AJ334" s="4" t="s">
        <v>7</v>
      </c>
      <c r="AK334" s="23" t="s">
        <v>7</v>
      </c>
      <c r="AL334" s="23" t="s">
        <v>7</v>
      </c>
      <c r="AM334" s="23" t="s">
        <v>7</v>
      </c>
      <c r="AN334" s="24" t="s">
        <v>7</v>
      </c>
    </row>
    <row r="335" spans="1:40" x14ac:dyDescent="0.2">
      <c r="A335" s="15">
        <v>4847</v>
      </c>
      <c r="B335" s="4" t="s">
        <v>47</v>
      </c>
      <c r="C335" s="30" t="s">
        <v>23</v>
      </c>
      <c r="D335" s="30">
        <v>5</v>
      </c>
      <c r="E335" s="30">
        <v>0</v>
      </c>
      <c r="F335" s="30" t="s">
        <v>7</v>
      </c>
      <c r="G335" s="30">
        <v>29</v>
      </c>
      <c r="H335" s="33">
        <v>3.1649555099247091</v>
      </c>
      <c r="I335" s="33">
        <v>2.9815195071868583</v>
      </c>
      <c r="J335" s="33">
        <v>6.1464750171115679</v>
      </c>
      <c r="K335" s="29">
        <v>3.1676933607118412</v>
      </c>
      <c r="L335" s="29" t="s">
        <v>7</v>
      </c>
      <c r="M335" s="29" t="s">
        <v>7</v>
      </c>
      <c r="N335" s="29">
        <v>3.1813826146475015</v>
      </c>
      <c r="O335" s="29">
        <v>2.967830253251198</v>
      </c>
      <c r="P335" s="29">
        <v>6.1492128678986999</v>
      </c>
      <c r="Q335" s="29">
        <v>2.7980835044490076</v>
      </c>
      <c r="R335" s="29" t="s">
        <v>7</v>
      </c>
      <c r="S335" s="29" t="s">
        <v>7</v>
      </c>
      <c r="T335" s="12">
        <v>6</v>
      </c>
      <c r="U335" s="12">
        <v>18</v>
      </c>
      <c r="V335" s="4" t="s">
        <v>1</v>
      </c>
      <c r="W335" s="4">
        <v>1</v>
      </c>
      <c r="X335" s="4">
        <v>2</v>
      </c>
      <c r="Y335" s="4">
        <v>1</v>
      </c>
      <c r="Z335" s="56">
        <v>3</v>
      </c>
      <c r="AA335" s="9" cm="1">
        <f t="array" ref="AA335">IF(OR(AB335:AE335=""),"BLANK",IF(AND(AB335:AE335&lt;999),1,IF(AND(AB335:AE335="NA"),3,2)))</f>
        <v>1</v>
      </c>
      <c r="AB335" s="4">
        <v>24</v>
      </c>
      <c r="AC335" s="4">
        <v>15</v>
      </c>
      <c r="AD335" s="4">
        <v>12</v>
      </c>
      <c r="AE335" s="5">
        <v>51</v>
      </c>
      <c r="AF335" s="9">
        <f t="shared" si="5"/>
        <v>1</v>
      </c>
      <c r="AG335" s="5">
        <v>33</v>
      </c>
      <c r="AH335" s="9" cm="1">
        <f t="array" ref="AH335">IF(OR(AI335:AN335=""),"BLANK",IF(AND(AI335:AN335&lt;99),1,IF(AND(AI335:AN335="NA"),3,2)))</f>
        <v>2</v>
      </c>
      <c r="AI335" s="4">
        <v>13</v>
      </c>
      <c r="AJ335" s="4" t="s">
        <v>7</v>
      </c>
      <c r="AK335" s="23">
        <v>95.07</v>
      </c>
      <c r="AL335" s="23">
        <v>106.02</v>
      </c>
      <c r="AM335" s="23">
        <v>65.5</v>
      </c>
      <c r="AN335" s="24">
        <v>100.15</v>
      </c>
    </row>
    <row r="336" spans="1:40" x14ac:dyDescent="0.2">
      <c r="A336" s="15">
        <v>4868</v>
      </c>
      <c r="B336" s="4" t="s">
        <v>58</v>
      </c>
      <c r="C336" s="30" t="s">
        <v>23</v>
      </c>
      <c r="D336" s="30">
        <v>5</v>
      </c>
      <c r="E336" s="30">
        <v>0</v>
      </c>
      <c r="F336" s="30" t="s">
        <v>7</v>
      </c>
      <c r="G336" s="30">
        <v>28</v>
      </c>
      <c r="H336" s="29">
        <v>3.1567419575633129</v>
      </c>
      <c r="I336" s="29">
        <v>2.9212867898699519</v>
      </c>
      <c r="J336" s="29">
        <v>6.0780287474332653</v>
      </c>
      <c r="K336" s="29">
        <v>3.159479808350445</v>
      </c>
      <c r="L336" s="29">
        <v>2.9596167008898013</v>
      </c>
      <c r="M336" s="29">
        <v>6.1190965092402463</v>
      </c>
      <c r="N336" s="29">
        <v>3.0855578370978782</v>
      </c>
      <c r="O336" s="29">
        <v>2.97056810403833</v>
      </c>
      <c r="P336" s="29">
        <v>6.0561259411362078</v>
      </c>
      <c r="Q336" s="29">
        <v>2.8336755646817249</v>
      </c>
      <c r="R336" s="29" t="s">
        <v>7</v>
      </c>
      <c r="S336" s="29" t="s">
        <v>7</v>
      </c>
      <c r="T336" s="12">
        <v>3</v>
      </c>
      <c r="U336" s="12">
        <v>14</v>
      </c>
      <c r="V336" s="4" t="s">
        <v>1</v>
      </c>
      <c r="W336" s="4">
        <v>1</v>
      </c>
      <c r="X336" s="4">
        <v>2</v>
      </c>
      <c r="Y336" s="4">
        <v>1</v>
      </c>
      <c r="Z336" s="56">
        <v>3</v>
      </c>
      <c r="AA336" s="9" cm="1">
        <f t="array" ref="AA336">IF(OR(AB336:AE336=""),"BLANK",IF(AND(AB336:AE336&lt;999),1,IF(AND(AB336:AE336="NA"),3,2)))</f>
        <v>1</v>
      </c>
      <c r="AB336" s="4">
        <v>28</v>
      </c>
      <c r="AC336" s="4">
        <v>15</v>
      </c>
      <c r="AD336" s="4">
        <v>13</v>
      </c>
      <c r="AE336" s="5">
        <v>56</v>
      </c>
      <c r="AF336" s="9">
        <f t="shared" si="5"/>
        <v>1</v>
      </c>
      <c r="AG336" s="5">
        <v>60</v>
      </c>
      <c r="AH336" s="9" cm="1">
        <f t="array" ref="AH336">IF(OR(AI336:AN336=""),"BLANK",IF(AND(AI336:AN336&lt;99),1,IF(AND(AI336:AN336="NA"),3,2)))</f>
        <v>2</v>
      </c>
      <c r="AI336" s="4">
        <v>17</v>
      </c>
      <c r="AJ336" s="4" t="s">
        <v>7</v>
      </c>
      <c r="AK336" s="23">
        <v>103.25</v>
      </c>
      <c r="AL336" s="23">
        <v>115.12</v>
      </c>
      <c r="AM336" s="23">
        <v>84.4</v>
      </c>
      <c r="AN336" s="24">
        <v>109.5</v>
      </c>
    </row>
    <row r="337" spans="1:40" x14ac:dyDescent="0.2">
      <c r="A337" s="15">
        <v>4869</v>
      </c>
      <c r="B337" s="4" t="s">
        <v>66</v>
      </c>
      <c r="C337" s="30" t="s">
        <v>24</v>
      </c>
      <c r="D337" s="30">
        <v>5</v>
      </c>
      <c r="E337" s="30">
        <v>0</v>
      </c>
      <c r="F337" s="30" t="s">
        <v>7</v>
      </c>
      <c r="G337" s="30">
        <v>25</v>
      </c>
      <c r="H337" s="29">
        <v>3.2525667351129361</v>
      </c>
      <c r="I337" s="29">
        <v>2.8583162217659139</v>
      </c>
      <c r="J337" s="29">
        <v>6.1108829568788501</v>
      </c>
      <c r="K337" s="29">
        <v>3.2525667351129361</v>
      </c>
      <c r="L337" s="29">
        <v>2.8583162217659139</v>
      </c>
      <c r="M337" s="29">
        <v>6.1108829568788501</v>
      </c>
      <c r="N337" s="29">
        <v>3.2580424366872007</v>
      </c>
      <c r="O337" s="29">
        <v>2.8884325804243667</v>
      </c>
      <c r="P337" s="29">
        <v>6.1464750171115679</v>
      </c>
      <c r="Q337" s="29">
        <v>2.8966461327857633</v>
      </c>
      <c r="R337" s="29" t="s">
        <v>7</v>
      </c>
      <c r="S337" s="29" t="s">
        <v>7</v>
      </c>
      <c r="T337" s="12">
        <v>3</v>
      </c>
      <c r="U337" s="12">
        <v>14</v>
      </c>
      <c r="V337" s="4" t="s">
        <v>1</v>
      </c>
      <c r="W337" s="4">
        <v>1</v>
      </c>
      <c r="X337" s="4">
        <v>2</v>
      </c>
      <c r="Y337" s="4">
        <v>1</v>
      </c>
      <c r="Z337" s="56">
        <v>3</v>
      </c>
      <c r="AA337" s="9" cm="1">
        <f t="array" ref="AA337">IF(OR(AB337:AE337=""),"BLANK",IF(AND(AB337:AE337&lt;999),1,IF(AND(AB337:AE337="NA"),3,2)))</f>
        <v>1</v>
      </c>
      <c r="AB337" s="4">
        <v>20</v>
      </c>
      <c r="AC337" s="4">
        <v>12</v>
      </c>
      <c r="AD337" s="4">
        <v>8</v>
      </c>
      <c r="AE337" s="5">
        <v>40</v>
      </c>
      <c r="AF337" s="9">
        <f t="shared" si="5"/>
        <v>1</v>
      </c>
      <c r="AG337" s="5">
        <v>27</v>
      </c>
      <c r="AH337" s="9" cm="1">
        <f t="array" ref="AH337">IF(OR(AI337:AN337=""),"BLANK",IF(AND(AI337:AN337&lt;99),1,IF(AND(AI337:AN337="NA"),3,2)))</f>
        <v>2</v>
      </c>
      <c r="AI337" s="4">
        <v>10</v>
      </c>
      <c r="AJ337" s="4" t="s">
        <v>7</v>
      </c>
      <c r="AK337" s="23">
        <v>90.87</v>
      </c>
      <c r="AL337" s="23">
        <v>99.02</v>
      </c>
      <c r="AM337" s="23">
        <v>47.2</v>
      </c>
      <c r="AN337" s="24">
        <v>98.22</v>
      </c>
    </row>
    <row r="338" spans="1:40" x14ac:dyDescent="0.2">
      <c r="A338" s="15">
        <v>4876</v>
      </c>
      <c r="B338" s="4" t="s">
        <v>58</v>
      </c>
      <c r="C338" s="30" t="s">
        <v>23</v>
      </c>
      <c r="D338" s="30">
        <v>5</v>
      </c>
      <c r="E338" s="30">
        <v>0</v>
      </c>
      <c r="F338" s="30" t="s">
        <v>7</v>
      </c>
      <c r="G338" s="30">
        <v>28</v>
      </c>
      <c r="H338" s="33">
        <v>3.2826830937713893</v>
      </c>
      <c r="I338" s="33">
        <v>3.0006844626967832</v>
      </c>
      <c r="J338" s="33">
        <v>6.2833675564681721</v>
      </c>
      <c r="K338" s="33">
        <v>3.2826830937713893</v>
      </c>
      <c r="L338" s="33" t="s">
        <v>7</v>
      </c>
      <c r="M338" s="33" t="s">
        <v>7</v>
      </c>
      <c r="N338" s="33">
        <v>3.2936344969199181</v>
      </c>
      <c r="O338" s="33">
        <v>2.9760438056125942</v>
      </c>
      <c r="P338" s="33">
        <v>6.2696783025325118</v>
      </c>
      <c r="Q338" s="33" t="s">
        <v>7</v>
      </c>
      <c r="R338" s="33" t="s">
        <v>7</v>
      </c>
      <c r="S338" s="33">
        <v>5.9958932238193015</v>
      </c>
      <c r="T338" s="12" t="s">
        <v>7</v>
      </c>
      <c r="U338" s="12" t="s">
        <v>7</v>
      </c>
      <c r="V338" s="4" t="s">
        <v>1</v>
      </c>
      <c r="W338" s="4">
        <v>1</v>
      </c>
      <c r="X338" s="4">
        <v>2</v>
      </c>
      <c r="Y338" s="4">
        <v>1</v>
      </c>
      <c r="Z338" s="56">
        <v>3</v>
      </c>
      <c r="AA338" s="9" cm="1">
        <f t="array" ref="AA338">IF(OR(AB338:AE338=""),"BLANK",IF(AND(AB338:AE338&lt;999),1,IF(AND(AB338:AE338="NA"),3,2)))</f>
        <v>1</v>
      </c>
      <c r="AB338" s="4">
        <v>29</v>
      </c>
      <c r="AC338" s="4">
        <v>20</v>
      </c>
      <c r="AD338" s="4">
        <v>14</v>
      </c>
      <c r="AE338" s="5">
        <v>63</v>
      </c>
      <c r="AF338" s="9">
        <f t="shared" si="5"/>
        <v>1</v>
      </c>
      <c r="AG338" s="5">
        <v>57</v>
      </c>
      <c r="AH338" s="9" cm="1">
        <f t="array" ref="AH338">IF(OR(AI338:AN338=""),"BLANK",IF(AND(AI338:AN338&lt;99),1,IF(AND(AI338:AN338="NA"),3,2)))</f>
        <v>3</v>
      </c>
      <c r="AI338" s="4" t="s">
        <v>7</v>
      </c>
      <c r="AJ338" s="4" t="s">
        <v>7</v>
      </c>
      <c r="AK338" s="23" t="s">
        <v>7</v>
      </c>
      <c r="AL338" s="23" t="s">
        <v>7</v>
      </c>
      <c r="AM338" s="23" t="s">
        <v>7</v>
      </c>
      <c r="AN338" s="24" t="s">
        <v>7</v>
      </c>
    </row>
    <row r="339" spans="1:40" x14ac:dyDescent="0.2">
      <c r="A339" s="16">
        <v>21</v>
      </c>
      <c r="B339" s="4" t="s">
        <v>6</v>
      </c>
      <c r="C339" s="36" t="s">
        <v>6</v>
      </c>
      <c r="D339" s="36" t="s">
        <v>6</v>
      </c>
      <c r="E339" s="36" t="s">
        <v>6</v>
      </c>
      <c r="F339" s="30" t="s">
        <v>6</v>
      </c>
      <c r="G339" s="36" t="s">
        <v>6</v>
      </c>
      <c r="H339" s="33" t="s">
        <v>6</v>
      </c>
      <c r="I339" s="33" t="s">
        <v>6</v>
      </c>
      <c r="J339" s="33" t="s">
        <v>6</v>
      </c>
      <c r="K339" s="33" t="s">
        <v>6</v>
      </c>
      <c r="L339" s="33" t="s">
        <v>6</v>
      </c>
      <c r="M339" s="33" t="s">
        <v>6</v>
      </c>
      <c r="N339" s="33" t="s">
        <v>6</v>
      </c>
      <c r="O339" s="33" t="s">
        <v>6</v>
      </c>
      <c r="P339" s="33" t="s">
        <v>6</v>
      </c>
      <c r="Q339" s="33" t="s">
        <v>6</v>
      </c>
      <c r="R339" s="33" t="s">
        <v>6</v>
      </c>
      <c r="S339" s="33" t="s">
        <v>6</v>
      </c>
      <c r="T339" s="33" t="s">
        <v>6</v>
      </c>
      <c r="U339" s="33" t="s">
        <v>6</v>
      </c>
      <c r="V339" s="4" t="s">
        <v>1</v>
      </c>
      <c r="W339" s="4">
        <v>1</v>
      </c>
      <c r="X339" s="4">
        <v>2</v>
      </c>
      <c r="Y339" s="4">
        <v>2</v>
      </c>
      <c r="Z339" s="5">
        <v>3</v>
      </c>
      <c r="AA339" s="4">
        <f t="shared" ref="AA322:AA385" si="6">IF(OR(AE339="NA", AE339="xx"), 3, 1)</f>
        <v>3</v>
      </c>
      <c r="AB339" s="4" t="s">
        <v>6</v>
      </c>
      <c r="AC339" s="4" t="s">
        <v>6</v>
      </c>
      <c r="AD339" s="4" t="s">
        <v>6</v>
      </c>
      <c r="AE339" s="5" t="s">
        <v>6</v>
      </c>
      <c r="AF339" s="9">
        <f t="shared" si="5"/>
        <v>3</v>
      </c>
      <c r="AG339" s="5" t="s">
        <v>6</v>
      </c>
      <c r="AH339" s="9">
        <v>3</v>
      </c>
      <c r="AI339" s="4" t="s">
        <v>6</v>
      </c>
      <c r="AJ339" s="4" t="s">
        <v>6</v>
      </c>
      <c r="AK339" s="23" t="s">
        <v>6</v>
      </c>
      <c r="AL339" s="23" t="s">
        <v>6</v>
      </c>
      <c r="AM339" s="23" t="s">
        <v>6</v>
      </c>
      <c r="AN339" s="24" t="s">
        <v>6</v>
      </c>
    </row>
    <row r="340" spans="1:40" x14ac:dyDescent="0.2">
      <c r="A340" s="15">
        <v>101</v>
      </c>
      <c r="B340" s="4" t="s">
        <v>6</v>
      </c>
      <c r="C340" s="36" t="s">
        <v>6</v>
      </c>
      <c r="D340" s="36" t="s">
        <v>6</v>
      </c>
      <c r="E340" s="36" t="s">
        <v>6</v>
      </c>
      <c r="F340" s="30" t="s">
        <v>6</v>
      </c>
      <c r="G340" s="36" t="s">
        <v>6</v>
      </c>
      <c r="H340" s="33" t="s">
        <v>6</v>
      </c>
      <c r="I340" s="33" t="s">
        <v>6</v>
      </c>
      <c r="J340" s="33" t="s">
        <v>6</v>
      </c>
      <c r="K340" s="33" t="s">
        <v>6</v>
      </c>
      <c r="L340" s="33" t="s">
        <v>6</v>
      </c>
      <c r="M340" s="33" t="s">
        <v>6</v>
      </c>
      <c r="N340" s="33" t="s">
        <v>6</v>
      </c>
      <c r="O340" s="33" t="s">
        <v>6</v>
      </c>
      <c r="P340" s="33" t="s">
        <v>6</v>
      </c>
      <c r="Q340" s="33" t="s">
        <v>6</v>
      </c>
      <c r="R340" s="33" t="s">
        <v>6</v>
      </c>
      <c r="S340" s="33" t="s">
        <v>6</v>
      </c>
      <c r="T340" s="33" t="s">
        <v>6</v>
      </c>
      <c r="U340" s="33" t="s">
        <v>6</v>
      </c>
      <c r="V340" s="4" t="s">
        <v>1</v>
      </c>
      <c r="W340" s="4">
        <v>1</v>
      </c>
      <c r="X340" s="4">
        <v>2</v>
      </c>
      <c r="Y340" s="4">
        <v>2</v>
      </c>
      <c r="Z340" s="5">
        <v>3</v>
      </c>
      <c r="AA340" s="4">
        <f t="shared" si="6"/>
        <v>3</v>
      </c>
      <c r="AB340" s="4" t="s">
        <v>6</v>
      </c>
      <c r="AC340" s="4" t="s">
        <v>6</v>
      </c>
      <c r="AD340" s="4" t="s">
        <v>6</v>
      </c>
      <c r="AE340" s="5" t="s">
        <v>6</v>
      </c>
      <c r="AF340" s="9">
        <f t="shared" si="5"/>
        <v>3</v>
      </c>
      <c r="AG340" s="5" t="s">
        <v>6</v>
      </c>
      <c r="AH340" s="9">
        <v>3</v>
      </c>
      <c r="AI340" s="4" t="s">
        <v>6</v>
      </c>
      <c r="AJ340" s="4" t="s">
        <v>6</v>
      </c>
      <c r="AK340" s="23" t="s">
        <v>6</v>
      </c>
      <c r="AL340" s="23" t="s">
        <v>6</v>
      </c>
      <c r="AM340" s="23" t="s">
        <v>6</v>
      </c>
      <c r="AN340" s="24" t="s">
        <v>6</v>
      </c>
    </row>
    <row r="341" spans="1:40" x14ac:dyDescent="0.2">
      <c r="A341" s="15">
        <v>142</v>
      </c>
      <c r="B341" s="4" t="s">
        <v>6</v>
      </c>
      <c r="C341" s="36" t="s">
        <v>6</v>
      </c>
      <c r="D341" s="36" t="s">
        <v>6</v>
      </c>
      <c r="E341" s="36" t="s">
        <v>6</v>
      </c>
      <c r="F341" s="30" t="s">
        <v>6</v>
      </c>
      <c r="G341" s="36" t="s">
        <v>6</v>
      </c>
      <c r="H341" s="33" t="s">
        <v>6</v>
      </c>
      <c r="I341" s="33" t="s">
        <v>6</v>
      </c>
      <c r="J341" s="33" t="s">
        <v>6</v>
      </c>
      <c r="K341" s="33" t="s">
        <v>6</v>
      </c>
      <c r="L341" s="33" t="s">
        <v>6</v>
      </c>
      <c r="M341" s="33" t="s">
        <v>6</v>
      </c>
      <c r="N341" s="33" t="s">
        <v>6</v>
      </c>
      <c r="O341" s="33" t="s">
        <v>6</v>
      </c>
      <c r="P341" s="33" t="s">
        <v>6</v>
      </c>
      <c r="Q341" s="33" t="s">
        <v>6</v>
      </c>
      <c r="R341" s="33" t="s">
        <v>6</v>
      </c>
      <c r="S341" s="33" t="s">
        <v>6</v>
      </c>
      <c r="T341" s="33" t="s">
        <v>6</v>
      </c>
      <c r="U341" s="33" t="s">
        <v>6</v>
      </c>
      <c r="V341" s="4" t="s">
        <v>1</v>
      </c>
      <c r="W341" s="4">
        <v>1</v>
      </c>
      <c r="X341" s="4">
        <v>2</v>
      </c>
      <c r="Y341" s="4">
        <v>2</v>
      </c>
      <c r="Z341" s="5">
        <v>3</v>
      </c>
      <c r="AA341" s="4">
        <f t="shared" si="6"/>
        <v>3</v>
      </c>
      <c r="AB341" s="4" t="s">
        <v>6</v>
      </c>
      <c r="AC341" s="4" t="s">
        <v>6</v>
      </c>
      <c r="AD341" s="4" t="s">
        <v>6</v>
      </c>
      <c r="AE341" s="5" t="s">
        <v>6</v>
      </c>
      <c r="AF341" s="9">
        <f t="shared" si="5"/>
        <v>3</v>
      </c>
      <c r="AG341" s="5" t="s">
        <v>6</v>
      </c>
      <c r="AH341" s="9">
        <v>3</v>
      </c>
      <c r="AI341" s="4" t="s">
        <v>6</v>
      </c>
      <c r="AJ341" s="4" t="s">
        <v>6</v>
      </c>
      <c r="AK341" s="23" t="s">
        <v>6</v>
      </c>
      <c r="AL341" s="23" t="s">
        <v>6</v>
      </c>
      <c r="AM341" s="23" t="s">
        <v>6</v>
      </c>
      <c r="AN341" s="24" t="s">
        <v>6</v>
      </c>
    </row>
    <row r="342" spans="1:40" x14ac:dyDescent="0.2">
      <c r="A342" s="15">
        <v>153</v>
      </c>
      <c r="B342" s="4" t="s">
        <v>6</v>
      </c>
      <c r="C342" s="36" t="s">
        <v>6</v>
      </c>
      <c r="D342" s="36" t="s">
        <v>6</v>
      </c>
      <c r="E342" s="36" t="s">
        <v>6</v>
      </c>
      <c r="F342" s="30" t="s">
        <v>6</v>
      </c>
      <c r="G342" s="36" t="s">
        <v>6</v>
      </c>
      <c r="H342" s="33" t="s">
        <v>6</v>
      </c>
      <c r="I342" s="33" t="s">
        <v>6</v>
      </c>
      <c r="J342" s="33" t="s">
        <v>6</v>
      </c>
      <c r="K342" s="33" t="s">
        <v>6</v>
      </c>
      <c r="L342" s="33" t="s">
        <v>6</v>
      </c>
      <c r="M342" s="33" t="s">
        <v>6</v>
      </c>
      <c r="N342" s="33" t="s">
        <v>6</v>
      </c>
      <c r="O342" s="33" t="s">
        <v>6</v>
      </c>
      <c r="P342" s="33" t="s">
        <v>6</v>
      </c>
      <c r="Q342" s="33" t="s">
        <v>6</v>
      </c>
      <c r="R342" s="33" t="s">
        <v>6</v>
      </c>
      <c r="S342" s="33" t="s">
        <v>6</v>
      </c>
      <c r="T342" s="33" t="s">
        <v>6</v>
      </c>
      <c r="U342" s="33" t="s">
        <v>6</v>
      </c>
      <c r="V342" s="4" t="s">
        <v>1</v>
      </c>
      <c r="W342" s="4">
        <v>1</v>
      </c>
      <c r="X342" s="4">
        <v>2</v>
      </c>
      <c r="Y342" s="4">
        <v>2</v>
      </c>
      <c r="Z342" s="5">
        <v>3</v>
      </c>
      <c r="AA342" s="4">
        <f t="shared" si="6"/>
        <v>3</v>
      </c>
      <c r="AB342" s="4" t="s">
        <v>6</v>
      </c>
      <c r="AC342" s="4" t="s">
        <v>6</v>
      </c>
      <c r="AD342" s="4" t="s">
        <v>6</v>
      </c>
      <c r="AE342" s="5" t="s">
        <v>6</v>
      </c>
      <c r="AF342" s="9">
        <f t="shared" si="5"/>
        <v>3</v>
      </c>
      <c r="AG342" s="5" t="s">
        <v>6</v>
      </c>
      <c r="AH342" s="9">
        <v>3</v>
      </c>
      <c r="AI342" s="4" t="s">
        <v>6</v>
      </c>
      <c r="AJ342" s="4" t="s">
        <v>6</v>
      </c>
      <c r="AK342" s="23" t="s">
        <v>6</v>
      </c>
      <c r="AL342" s="23" t="s">
        <v>6</v>
      </c>
      <c r="AM342" s="23" t="s">
        <v>6</v>
      </c>
      <c r="AN342" s="24" t="s">
        <v>6</v>
      </c>
    </row>
    <row r="343" spans="1:40" x14ac:dyDescent="0.2">
      <c r="A343" s="15">
        <v>155</v>
      </c>
      <c r="B343" s="4" t="s">
        <v>6</v>
      </c>
      <c r="C343" s="36" t="s">
        <v>6</v>
      </c>
      <c r="D343" s="36" t="s">
        <v>6</v>
      </c>
      <c r="E343" s="36" t="s">
        <v>6</v>
      </c>
      <c r="F343" s="30" t="s">
        <v>6</v>
      </c>
      <c r="G343" s="36" t="s">
        <v>6</v>
      </c>
      <c r="H343" s="33" t="s">
        <v>6</v>
      </c>
      <c r="I343" s="33" t="s">
        <v>6</v>
      </c>
      <c r="J343" s="33" t="s">
        <v>6</v>
      </c>
      <c r="K343" s="33" t="s">
        <v>6</v>
      </c>
      <c r="L343" s="33" t="s">
        <v>6</v>
      </c>
      <c r="M343" s="33" t="s">
        <v>6</v>
      </c>
      <c r="N343" s="33" t="s">
        <v>6</v>
      </c>
      <c r="O343" s="33" t="s">
        <v>6</v>
      </c>
      <c r="P343" s="33" t="s">
        <v>6</v>
      </c>
      <c r="Q343" s="33" t="s">
        <v>6</v>
      </c>
      <c r="R343" s="33" t="s">
        <v>6</v>
      </c>
      <c r="S343" s="33" t="s">
        <v>6</v>
      </c>
      <c r="T343" s="33" t="s">
        <v>6</v>
      </c>
      <c r="U343" s="33" t="s">
        <v>6</v>
      </c>
      <c r="V343" s="4" t="s">
        <v>1</v>
      </c>
      <c r="W343" s="4">
        <v>1</v>
      </c>
      <c r="X343" s="4">
        <v>2</v>
      </c>
      <c r="Y343" s="4">
        <v>2</v>
      </c>
      <c r="Z343" s="5">
        <v>3</v>
      </c>
      <c r="AA343" s="4">
        <f t="shared" si="6"/>
        <v>3</v>
      </c>
      <c r="AB343" s="4" t="s">
        <v>6</v>
      </c>
      <c r="AC343" s="4" t="s">
        <v>6</v>
      </c>
      <c r="AD343" s="4" t="s">
        <v>6</v>
      </c>
      <c r="AE343" s="5" t="s">
        <v>6</v>
      </c>
      <c r="AF343" s="9">
        <f t="shared" si="5"/>
        <v>3</v>
      </c>
      <c r="AG343" s="5" t="s">
        <v>6</v>
      </c>
      <c r="AH343" s="9">
        <v>3</v>
      </c>
      <c r="AI343" s="4" t="s">
        <v>6</v>
      </c>
      <c r="AJ343" s="4" t="s">
        <v>6</v>
      </c>
      <c r="AK343" s="23" t="s">
        <v>6</v>
      </c>
      <c r="AL343" s="23" t="s">
        <v>6</v>
      </c>
      <c r="AM343" s="23" t="s">
        <v>6</v>
      </c>
      <c r="AN343" s="24" t="s">
        <v>6</v>
      </c>
    </row>
    <row r="344" spans="1:40" x14ac:dyDescent="0.2">
      <c r="A344" s="15">
        <v>182</v>
      </c>
      <c r="B344" s="4" t="s">
        <v>6</v>
      </c>
      <c r="C344" s="36" t="s">
        <v>6</v>
      </c>
      <c r="D344" s="36" t="s">
        <v>6</v>
      </c>
      <c r="E344" s="36" t="s">
        <v>6</v>
      </c>
      <c r="F344" s="30" t="s">
        <v>6</v>
      </c>
      <c r="G344" s="36" t="s">
        <v>6</v>
      </c>
      <c r="H344" s="33" t="s">
        <v>6</v>
      </c>
      <c r="I344" s="33" t="s">
        <v>6</v>
      </c>
      <c r="J344" s="33" t="s">
        <v>6</v>
      </c>
      <c r="K344" s="33" t="s">
        <v>6</v>
      </c>
      <c r="L344" s="33" t="s">
        <v>6</v>
      </c>
      <c r="M344" s="33" t="s">
        <v>6</v>
      </c>
      <c r="N344" s="33" t="s">
        <v>6</v>
      </c>
      <c r="O344" s="33" t="s">
        <v>6</v>
      </c>
      <c r="P344" s="33" t="s">
        <v>6</v>
      </c>
      <c r="Q344" s="33" t="s">
        <v>6</v>
      </c>
      <c r="R344" s="33" t="s">
        <v>6</v>
      </c>
      <c r="S344" s="33" t="s">
        <v>6</v>
      </c>
      <c r="T344" s="33" t="s">
        <v>6</v>
      </c>
      <c r="U344" s="33" t="s">
        <v>6</v>
      </c>
      <c r="V344" s="4" t="s">
        <v>1</v>
      </c>
      <c r="W344" s="4">
        <v>1</v>
      </c>
      <c r="X344" s="4">
        <v>2</v>
      </c>
      <c r="Y344" s="4">
        <v>2</v>
      </c>
      <c r="Z344" s="5">
        <v>3</v>
      </c>
      <c r="AA344" s="4">
        <f t="shared" si="6"/>
        <v>3</v>
      </c>
      <c r="AB344" s="4" t="s">
        <v>6</v>
      </c>
      <c r="AC344" s="4" t="s">
        <v>6</v>
      </c>
      <c r="AD344" s="4" t="s">
        <v>6</v>
      </c>
      <c r="AE344" s="5" t="s">
        <v>6</v>
      </c>
      <c r="AF344" s="9">
        <f t="shared" si="5"/>
        <v>3</v>
      </c>
      <c r="AG344" s="5" t="s">
        <v>6</v>
      </c>
      <c r="AH344" s="9">
        <v>3</v>
      </c>
      <c r="AI344" s="4" t="s">
        <v>6</v>
      </c>
      <c r="AJ344" s="4" t="s">
        <v>6</v>
      </c>
      <c r="AK344" s="23" t="s">
        <v>6</v>
      </c>
      <c r="AL344" s="23" t="s">
        <v>6</v>
      </c>
      <c r="AM344" s="23" t="s">
        <v>6</v>
      </c>
      <c r="AN344" s="24" t="s">
        <v>6</v>
      </c>
    </row>
    <row r="345" spans="1:40" x14ac:dyDescent="0.2">
      <c r="A345" s="15">
        <v>215</v>
      </c>
      <c r="B345" s="4" t="s">
        <v>6</v>
      </c>
      <c r="C345" s="36" t="s">
        <v>6</v>
      </c>
      <c r="D345" s="36" t="s">
        <v>6</v>
      </c>
      <c r="E345" s="36" t="s">
        <v>6</v>
      </c>
      <c r="F345" s="30" t="s">
        <v>6</v>
      </c>
      <c r="G345" s="36" t="s">
        <v>6</v>
      </c>
      <c r="H345" s="33" t="s">
        <v>6</v>
      </c>
      <c r="I345" s="33" t="s">
        <v>6</v>
      </c>
      <c r="J345" s="33" t="s">
        <v>6</v>
      </c>
      <c r="K345" s="33" t="s">
        <v>6</v>
      </c>
      <c r="L345" s="33" t="s">
        <v>6</v>
      </c>
      <c r="M345" s="33" t="s">
        <v>6</v>
      </c>
      <c r="N345" s="33" t="s">
        <v>6</v>
      </c>
      <c r="O345" s="33" t="s">
        <v>6</v>
      </c>
      <c r="P345" s="33" t="s">
        <v>6</v>
      </c>
      <c r="Q345" s="33" t="s">
        <v>6</v>
      </c>
      <c r="R345" s="33" t="s">
        <v>6</v>
      </c>
      <c r="S345" s="33" t="s">
        <v>6</v>
      </c>
      <c r="T345" s="33" t="s">
        <v>6</v>
      </c>
      <c r="U345" s="33" t="s">
        <v>6</v>
      </c>
      <c r="V345" s="4" t="s">
        <v>1</v>
      </c>
      <c r="W345" s="4">
        <v>1</v>
      </c>
      <c r="X345" s="4">
        <v>2</v>
      </c>
      <c r="Y345" s="4">
        <v>2</v>
      </c>
      <c r="Z345" s="5">
        <v>3</v>
      </c>
      <c r="AA345" s="4">
        <f t="shared" si="6"/>
        <v>3</v>
      </c>
      <c r="AB345" s="4" t="s">
        <v>6</v>
      </c>
      <c r="AC345" s="4" t="s">
        <v>6</v>
      </c>
      <c r="AD345" s="4" t="s">
        <v>6</v>
      </c>
      <c r="AE345" s="5" t="s">
        <v>6</v>
      </c>
      <c r="AF345" s="9">
        <f t="shared" si="5"/>
        <v>3</v>
      </c>
      <c r="AG345" s="5" t="s">
        <v>6</v>
      </c>
      <c r="AH345" s="9">
        <v>3</v>
      </c>
      <c r="AI345" s="4" t="s">
        <v>6</v>
      </c>
      <c r="AJ345" s="4" t="s">
        <v>6</v>
      </c>
      <c r="AK345" s="23" t="s">
        <v>6</v>
      </c>
      <c r="AL345" s="23" t="s">
        <v>6</v>
      </c>
      <c r="AM345" s="23" t="s">
        <v>6</v>
      </c>
      <c r="AN345" s="24" t="s">
        <v>6</v>
      </c>
    </row>
    <row r="346" spans="1:40" x14ac:dyDescent="0.2">
      <c r="A346" s="15">
        <v>252</v>
      </c>
      <c r="B346" s="4" t="s">
        <v>6</v>
      </c>
      <c r="C346" s="36" t="s">
        <v>6</v>
      </c>
      <c r="D346" s="36" t="s">
        <v>6</v>
      </c>
      <c r="E346" s="36" t="s">
        <v>6</v>
      </c>
      <c r="F346" s="30" t="s">
        <v>6</v>
      </c>
      <c r="G346" s="36" t="s">
        <v>6</v>
      </c>
      <c r="H346" s="33" t="s">
        <v>6</v>
      </c>
      <c r="I346" s="33" t="s">
        <v>6</v>
      </c>
      <c r="J346" s="33" t="s">
        <v>6</v>
      </c>
      <c r="K346" s="33" t="s">
        <v>6</v>
      </c>
      <c r="L346" s="33" t="s">
        <v>6</v>
      </c>
      <c r="M346" s="33" t="s">
        <v>6</v>
      </c>
      <c r="N346" s="33" t="s">
        <v>6</v>
      </c>
      <c r="O346" s="33" t="s">
        <v>6</v>
      </c>
      <c r="P346" s="33" t="s">
        <v>6</v>
      </c>
      <c r="Q346" s="33" t="s">
        <v>6</v>
      </c>
      <c r="R346" s="33" t="s">
        <v>6</v>
      </c>
      <c r="S346" s="33" t="s">
        <v>6</v>
      </c>
      <c r="T346" s="33" t="s">
        <v>6</v>
      </c>
      <c r="U346" s="33" t="s">
        <v>6</v>
      </c>
      <c r="V346" s="4" t="s">
        <v>1</v>
      </c>
      <c r="W346" s="4">
        <v>1</v>
      </c>
      <c r="X346" s="4">
        <v>2</v>
      </c>
      <c r="Y346" s="4">
        <v>2</v>
      </c>
      <c r="Z346" s="5">
        <v>3</v>
      </c>
      <c r="AA346" s="4">
        <f t="shared" si="6"/>
        <v>3</v>
      </c>
      <c r="AB346" s="4" t="s">
        <v>6</v>
      </c>
      <c r="AC346" s="4" t="s">
        <v>6</v>
      </c>
      <c r="AD346" s="4" t="s">
        <v>6</v>
      </c>
      <c r="AE346" s="5" t="s">
        <v>6</v>
      </c>
      <c r="AF346" s="9">
        <f t="shared" si="5"/>
        <v>3</v>
      </c>
      <c r="AG346" s="5" t="s">
        <v>6</v>
      </c>
      <c r="AH346" s="9">
        <v>3</v>
      </c>
      <c r="AI346" s="4" t="s">
        <v>6</v>
      </c>
      <c r="AJ346" s="4" t="s">
        <v>6</v>
      </c>
      <c r="AK346" s="23" t="s">
        <v>6</v>
      </c>
      <c r="AL346" s="23" t="s">
        <v>6</v>
      </c>
      <c r="AM346" s="23" t="s">
        <v>6</v>
      </c>
      <c r="AN346" s="24" t="s">
        <v>6</v>
      </c>
    </row>
    <row r="347" spans="1:40" x14ac:dyDescent="0.2">
      <c r="A347" s="15">
        <v>253</v>
      </c>
      <c r="B347" s="4" t="s">
        <v>6</v>
      </c>
      <c r="C347" s="36" t="s">
        <v>6</v>
      </c>
      <c r="D347" s="36" t="s">
        <v>6</v>
      </c>
      <c r="E347" s="36" t="s">
        <v>6</v>
      </c>
      <c r="F347" s="30" t="s">
        <v>6</v>
      </c>
      <c r="G347" s="36" t="s">
        <v>6</v>
      </c>
      <c r="H347" s="33" t="s">
        <v>6</v>
      </c>
      <c r="I347" s="33" t="s">
        <v>6</v>
      </c>
      <c r="J347" s="33" t="s">
        <v>6</v>
      </c>
      <c r="K347" s="33" t="s">
        <v>6</v>
      </c>
      <c r="L347" s="33" t="s">
        <v>6</v>
      </c>
      <c r="M347" s="33" t="s">
        <v>6</v>
      </c>
      <c r="N347" s="33" t="s">
        <v>6</v>
      </c>
      <c r="O347" s="33" t="s">
        <v>6</v>
      </c>
      <c r="P347" s="33" t="s">
        <v>6</v>
      </c>
      <c r="Q347" s="33" t="s">
        <v>6</v>
      </c>
      <c r="R347" s="33" t="s">
        <v>6</v>
      </c>
      <c r="S347" s="33" t="s">
        <v>6</v>
      </c>
      <c r="T347" s="33" t="s">
        <v>6</v>
      </c>
      <c r="U347" s="33" t="s">
        <v>6</v>
      </c>
      <c r="V347" s="4" t="s">
        <v>1</v>
      </c>
      <c r="W347" s="4">
        <v>1</v>
      </c>
      <c r="X347" s="4">
        <v>2</v>
      </c>
      <c r="Y347" s="4">
        <v>2</v>
      </c>
      <c r="Z347" s="5">
        <v>3</v>
      </c>
      <c r="AA347" s="4">
        <f t="shared" si="6"/>
        <v>3</v>
      </c>
      <c r="AB347" s="4" t="s">
        <v>6</v>
      </c>
      <c r="AC347" s="4" t="s">
        <v>6</v>
      </c>
      <c r="AD347" s="4" t="s">
        <v>6</v>
      </c>
      <c r="AE347" s="5" t="s">
        <v>6</v>
      </c>
      <c r="AF347" s="9">
        <f t="shared" si="5"/>
        <v>3</v>
      </c>
      <c r="AG347" s="5" t="s">
        <v>6</v>
      </c>
      <c r="AH347" s="9">
        <v>3</v>
      </c>
      <c r="AI347" s="4" t="s">
        <v>6</v>
      </c>
      <c r="AJ347" s="4" t="s">
        <v>6</v>
      </c>
      <c r="AK347" s="23" t="s">
        <v>6</v>
      </c>
      <c r="AL347" s="23" t="s">
        <v>6</v>
      </c>
      <c r="AM347" s="23" t="s">
        <v>6</v>
      </c>
      <c r="AN347" s="24" t="s">
        <v>6</v>
      </c>
    </row>
    <row r="348" spans="1:40" x14ac:dyDescent="0.2">
      <c r="A348" s="15">
        <v>269</v>
      </c>
      <c r="B348" s="4" t="s">
        <v>6</v>
      </c>
      <c r="C348" s="36" t="s">
        <v>6</v>
      </c>
      <c r="D348" s="36" t="s">
        <v>6</v>
      </c>
      <c r="E348" s="36" t="s">
        <v>6</v>
      </c>
      <c r="F348" s="30" t="s">
        <v>6</v>
      </c>
      <c r="G348" s="36" t="s">
        <v>6</v>
      </c>
      <c r="H348" s="33" t="s">
        <v>6</v>
      </c>
      <c r="I348" s="33" t="s">
        <v>6</v>
      </c>
      <c r="J348" s="33" t="s">
        <v>6</v>
      </c>
      <c r="K348" s="33" t="s">
        <v>6</v>
      </c>
      <c r="L348" s="33" t="s">
        <v>6</v>
      </c>
      <c r="M348" s="33" t="s">
        <v>6</v>
      </c>
      <c r="N348" s="33" t="s">
        <v>6</v>
      </c>
      <c r="O348" s="33" t="s">
        <v>6</v>
      </c>
      <c r="P348" s="33" t="s">
        <v>6</v>
      </c>
      <c r="Q348" s="33" t="s">
        <v>6</v>
      </c>
      <c r="R348" s="33" t="s">
        <v>6</v>
      </c>
      <c r="S348" s="33" t="s">
        <v>6</v>
      </c>
      <c r="T348" s="33" t="s">
        <v>6</v>
      </c>
      <c r="U348" s="33" t="s">
        <v>6</v>
      </c>
      <c r="V348" s="4" t="s">
        <v>1</v>
      </c>
      <c r="W348" s="4">
        <v>1</v>
      </c>
      <c r="X348" s="4">
        <v>2</v>
      </c>
      <c r="Y348" s="4">
        <v>2</v>
      </c>
      <c r="Z348" s="5">
        <v>3</v>
      </c>
      <c r="AA348" s="4">
        <f t="shared" si="6"/>
        <v>3</v>
      </c>
      <c r="AB348" s="4" t="s">
        <v>6</v>
      </c>
      <c r="AC348" s="4" t="s">
        <v>6</v>
      </c>
      <c r="AD348" s="4" t="s">
        <v>6</v>
      </c>
      <c r="AE348" s="5" t="s">
        <v>6</v>
      </c>
      <c r="AF348" s="9">
        <f t="shared" si="5"/>
        <v>3</v>
      </c>
      <c r="AG348" s="5" t="s">
        <v>6</v>
      </c>
      <c r="AH348" s="9">
        <v>3</v>
      </c>
      <c r="AI348" s="4" t="s">
        <v>6</v>
      </c>
      <c r="AJ348" s="4" t="s">
        <v>6</v>
      </c>
      <c r="AK348" s="23" t="s">
        <v>6</v>
      </c>
      <c r="AL348" s="23" t="s">
        <v>6</v>
      </c>
      <c r="AM348" s="23" t="s">
        <v>6</v>
      </c>
      <c r="AN348" s="24" t="s">
        <v>6</v>
      </c>
    </row>
    <row r="349" spans="1:40" x14ac:dyDescent="0.2">
      <c r="A349" s="15">
        <v>295</v>
      </c>
      <c r="B349" s="4" t="s">
        <v>6</v>
      </c>
      <c r="C349" s="36" t="s">
        <v>6</v>
      </c>
      <c r="D349" s="36" t="s">
        <v>6</v>
      </c>
      <c r="E349" s="36" t="s">
        <v>6</v>
      </c>
      <c r="F349" s="30" t="s">
        <v>6</v>
      </c>
      <c r="G349" s="36" t="s">
        <v>6</v>
      </c>
      <c r="H349" s="33" t="s">
        <v>6</v>
      </c>
      <c r="I349" s="33" t="s">
        <v>6</v>
      </c>
      <c r="J349" s="33" t="s">
        <v>6</v>
      </c>
      <c r="K349" s="33" t="s">
        <v>6</v>
      </c>
      <c r="L349" s="33" t="s">
        <v>6</v>
      </c>
      <c r="M349" s="33" t="s">
        <v>6</v>
      </c>
      <c r="N349" s="33" t="s">
        <v>6</v>
      </c>
      <c r="O349" s="33" t="s">
        <v>6</v>
      </c>
      <c r="P349" s="33" t="s">
        <v>6</v>
      </c>
      <c r="Q349" s="33" t="s">
        <v>6</v>
      </c>
      <c r="R349" s="33" t="s">
        <v>6</v>
      </c>
      <c r="S349" s="33" t="s">
        <v>6</v>
      </c>
      <c r="T349" s="33" t="s">
        <v>6</v>
      </c>
      <c r="U349" s="33" t="s">
        <v>6</v>
      </c>
      <c r="V349" s="4" t="s">
        <v>1</v>
      </c>
      <c r="W349" s="4">
        <v>1</v>
      </c>
      <c r="X349" s="4">
        <v>2</v>
      </c>
      <c r="Y349" s="4">
        <v>2</v>
      </c>
      <c r="Z349" s="5">
        <v>3</v>
      </c>
      <c r="AA349" s="4">
        <f t="shared" si="6"/>
        <v>3</v>
      </c>
      <c r="AB349" s="4" t="s">
        <v>6</v>
      </c>
      <c r="AC349" s="4" t="s">
        <v>6</v>
      </c>
      <c r="AD349" s="4" t="s">
        <v>6</v>
      </c>
      <c r="AE349" s="5" t="s">
        <v>6</v>
      </c>
      <c r="AF349" s="9">
        <f t="shared" si="5"/>
        <v>3</v>
      </c>
      <c r="AG349" s="5" t="s">
        <v>6</v>
      </c>
      <c r="AH349" s="9">
        <v>3</v>
      </c>
      <c r="AI349" s="4" t="s">
        <v>6</v>
      </c>
      <c r="AJ349" s="4" t="s">
        <v>6</v>
      </c>
      <c r="AK349" s="23" t="s">
        <v>6</v>
      </c>
      <c r="AL349" s="23" t="s">
        <v>6</v>
      </c>
      <c r="AM349" s="23" t="s">
        <v>6</v>
      </c>
      <c r="AN349" s="24" t="s">
        <v>6</v>
      </c>
    </row>
    <row r="350" spans="1:40" x14ac:dyDescent="0.2">
      <c r="A350" s="15">
        <v>299</v>
      </c>
      <c r="B350" s="4" t="s">
        <v>6</v>
      </c>
      <c r="C350" s="36" t="s">
        <v>6</v>
      </c>
      <c r="D350" s="36" t="s">
        <v>6</v>
      </c>
      <c r="E350" s="36" t="s">
        <v>6</v>
      </c>
      <c r="F350" s="30" t="s">
        <v>6</v>
      </c>
      <c r="G350" s="36" t="s">
        <v>6</v>
      </c>
      <c r="H350" s="33" t="s">
        <v>6</v>
      </c>
      <c r="I350" s="33" t="s">
        <v>6</v>
      </c>
      <c r="J350" s="33" t="s">
        <v>6</v>
      </c>
      <c r="K350" s="33" t="s">
        <v>6</v>
      </c>
      <c r="L350" s="33" t="s">
        <v>6</v>
      </c>
      <c r="M350" s="33" t="s">
        <v>6</v>
      </c>
      <c r="N350" s="33" t="s">
        <v>6</v>
      </c>
      <c r="O350" s="33" t="s">
        <v>6</v>
      </c>
      <c r="P350" s="33" t="s">
        <v>6</v>
      </c>
      <c r="Q350" s="33" t="s">
        <v>6</v>
      </c>
      <c r="R350" s="33" t="s">
        <v>6</v>
      </c>
      <c r="S350" s="33" t="s">
        <v>6</v>
      </c>
      <c r="T350" s="33" t="s">
        <v>6</v>
      </c>
      <c r="U350" s="33" t="s">
        <v>6</v>
      </c>
      <c r="V350" s="4" t="s">
        <v>1</v>
      </c>
      <c r="W350" s="4">
        <v>1</v>
      </c>
      <c r="X350" s="4">
        <v>2</v>
      </c>
      <c r="Y350" s="4">
        <v>2</v>
      </c>
      <c r="Z350" s="5">
        <v>3</v>
      </c>
      <c r="AA350" s="4">
        <f t="shared" si="6"/>
        <v>3</v>
      </c>
      <c r="AB350" s="4" t="s">
        <v>6</v>
      </c>
      <c r="AC350" s="4" t="s">
        <v>6</v>
      </c>
      <c r="AD350" s="4" t="s">
        <v>6</v>
      </c>
      <c r="AE350" s="5" t="s">
        <v>6</v>
      </c>
      <c r="AF350" s="9">
        <f t="shared" si="5"/>
        <v>3</v>
      </c>
      <c r="AG350" s="5" t="s">
        <v>6</v>
      </c>
      <c r="AH350" s="9">
        <v>3</v>
      </c>
      <c r="AI350" s="4" t="s">
        <v>6</v>
      </c>
      <c r="AJ350" s="4" t="s">
        <v>6</v>
      </c>
      <c r="AK350" s="23" t="s">
        <v>6</v>
      </c>
      <c r="AL350" s="23" t="s">
        <v>6</v>
      </c>
      <c r="AM350" s="23" t="s">
        <v>6</v>
      </c>
      <c r="AN350" s="24" t="s">
        <v>6</v>
      </c>
    </row>
    <row r="351" spans="1:40" x14ac:dyDescent="0.2">
      <c r="A351" s="15">
        <v>381</v>
      </c>
      <c r="B351" s="4" t="s">
        <v>6</v>
      </c>
      <c r="C351" s="36" t="s">
        <v>6</v>
      </c>
      <c r="D351" s="36" t="s">
        <v>6</v>
      </c>
      <c r="E351" s="36" t="s">
        <v>6</v>
      </c>
      <c r="F351" s="30" t="s">
        <v>6</v>
      </c>
      <c r="G351" s="36" t="s">
        <v>6</v>
      </c>
      <c r="H351" s="33" t="s">
        <v>6</v>
      </c>
      <c r="I351" s="33" t="s">
        <v>6</v>
      </c>
      <c r="J351" s="33" t="s">
        <v>6</v>
      </c>
      <c r="K351" s="33" t="s">
        <v>6</v>
      </c>
      <c r="L351" s="33" t="s">
        <v>6</v>
      </c>
      <c r="M351" s="33" t="s">
        <v>6</v>
      </c>
      <c r="N351" s="33" t="s">
        <v>6</v>
      </c>
      <c r="O351" s="33" t="s">
        <v>6</v>
      </c>
      <c r="P351" s="33" t="s">
        <v>6</v>
      </c>
      <c r="Q351" s="33" t="s">
        <v>6</v>
      </c>
      <c r="R351" s="33" t="s">
        <v>6</v>
      </c>
      <c r="S351" s="33" t="s">
        <v>6</v>
      </c>
      <c r="T351" s="33" t="s">
        <v>6</v>
      </c>
      <c r="U351" s="33" t="s">
        <v>6</v>
      </c>
      <c r="V351" s="4" t="s">
        <v>1</v>
      </c>
      <c r="W351" s="4">
        <v>1</v>
      </c>
      <c r="X351" s="4">
        <v>2</v>
      </c>
      <c r="Y351" s="4">
        <v>2</v>
      </c>
      <c r="Z351" s="5">
        <v>3</v>
      </c>
      <c r="AA351" s="4">
        <f t="shared" si="6"/>
        <v>3</v>
      </c>
      <c r="AB351" s="4" t="s">
        <v>6</v>
      </c>
      <c r="AC351" s="4" t="s">
        <v>6</v>
      </c>
      <c r="AD351" s="4" t="s">
        <v>6</v>
      </c>
      <c r="AE351" s="5" t="s">
        <v>6</v>
      </c>
      <c r="AF351" s="9">
        <f t="shared" si="5"/>
        <v>3</v>
      </c>
      <c r="AG351" s="5" t="s">
        <v>6</v>
      </c>
      <c r="AH351" s="9">
        <v>3</v>
      </c>
      <c r="AI351" s="4" t="s">
        <v>6</v>
      </c>
      <c r="AJ351" s="4" t="s">
        <v>6</v>
      </c>
      <c r="AK351" s="23" t="s">
        <v>6</v>
      </c>
      <c r="AL351" s="23" t="s">
        <v>6</v>
      </c>
      <c r="AM351" s="23" t="s">
        <v>6</v>
      </c>
      <c r="AN351" s="24" t="s">
        <v>6</v>
      </c>
    </row>
    <row r="352" spans="1:40" x14ac:dyDescent="0.2">
      <c r="A352" s="15">
        <v>458</v>
      </c>
      <c r="B352" s="4" t="s">
        <v>6</v>
      </c>
      <c r="C352" s="36" t="s">
        <v>6</v>
      </c>
      <c r="D352" s="36" t="s">
        <v>6</v>
      </c>
      <c r="E352" s="36" t="s">
        <v>6</v>
      </c>
      <c r="F352" s="30" t="s">
        <v>6</v>
      </c>
      <c r="G352" s="36" t="s">
        <v>6</v>
      </c>
      <c r="H352" s="33" t="s">
        <v>6</v>
      </c>
      <c r="I352" s="33" t="s">
        <v>6</v>
      </c>
      <c r="J352" s="33" t="s">
        <v>6</v>
      </c>
      <c r="K352" s="33" t="s">
        <v>6</v>
      </c>
      <c r="L352" s="33" t="s">
        <v>6</v>
      </c>
      <c r="M352" s="33" t="s">
        <v>6</v>
      </c>
      <c r="N352" s="33" t="s">
        <v>6</v>
      </c>
      <c r="O352" s="33" t="s">
        <v>6</v>
      </c>
      <c r="P352" s="33" t="s">
        <v>6</v>
      </c>
      <c r="Q352" s="33" t="s">
        <v>6</v>
      </c>
      <c r="R352" s="33" t="s">
        <v>6</v>
      </c>
      <c r="S352" s="33" t="s">
        <v>6</v>
      </c>
      <c r="T352" s="33" t="s">
        <v>6</v>
      </c>
      <c r="U352" s="33" t="s">
        <v>6</v>
      </c>
      <c r="V352" s="4" t="s">
        <v>1</v>
      </c>
      <c r="W352" s="4">
        <v>1</v>
      </c>
      <c r="X352" s="4">
        <v>2</v>
      </c>
      <c r="Y352" s="4">
        <v>2</v>
      </c>
      <c r="Z352" s="5">
        <v>3</v>
      </c>
      <c r="AA352" s="4">
        <f t="shared" si="6"/>
        <v>3</v>
      </c>
      <c r="AB352" s="4" t="s">
        <v>6</v>
      </c>
      <c r="AC352" s="4" t="s">
        <v>6</v>
      </c>
      <c r="AD352" s="4" t="s">
        <v>6</v>
      </c>
      <c r="AE352" s="5" t="s">
        <v>6</v>
      </c>
      <c r="AF352" s="9">
        <f t="shared" si="5"/>
        <v>3</v>
      </c>
      <c r="AG352" s="5" t="s">
        <v>6</v>
      </c>
      <c r="AH352" s="9">
        <v>3</v>
      </c>
      <c r="AI352" s="4" t="s">
        <v>6</v>
      </c>
      <c r="AJ352" s="4" t="s">
        <v>6</v>
      </c>
      <c r="AK352" s="23" t="s">
        <v>6</v>
      </c>
      <c r="AL352" s="23" t="s">
        <v>6</v>
      </c>
      <c r="AM352" s="23" t="s">
        <v>6</v>
      </c>
      <c r="AN352" s="24" t="s">
        <v>6</v>
      </c>
    </row>
    <row r="353" spans="1:40" x14ac:dyDescent="0.2">
      <c r="A353" s="15">
        <v>474</v>
      </c>
      <c r="B353" s="4" t="s">
        <v>6</v>
      </c>
      <c r="C353" s="36" t="s">
        <v>6</v>
      </c>
      <c r="D353" s="36" t="s">
        <v>6</v>
      </c>
      <c r="E353" s="36" t="s">
        <v>6</v>
      </c>
      <c r="F353" s="30" t="s">
        <v>6</v>
      </c>
      <c r="G353" s="36" t="s">
        <v>6</v>
      </c>
      <c r="H353" s="33" t="s">
        <v>6</v>
      </c>
      <c r="I353" s="33" t="s">
        <v>6</v>
      </c>
      <c r="J353" s="33" t="s">
        <v>6</v>
      </c>
      <c r="K353" s="33" t="s">
        <v>6</v>
      </c>
      <c r="L353" s="33" t="s">
        <v>6</v>
      </c>
      <c r="M353" s="33" t="s">
        <v>6</v>
      </c>
      <c r="N353" s="33" t="s">
        <v>6</v>
      </c>
      <c r="O353" s="33" t="s">
        <v>6</v>
      </c>
      <c r="P353" s="33" t="s">
        <v>6</v>
      </c>
      <c r="Q353" s="33" t="s">
        <v>6</v>
      </c>
      <c r="R353" s="33" t="s">
        <v>6</v>
      </c>
      <c r="S353" s="33" t="s">
        <v>6</v>
      </c>
      <c r="T353" s="33" t="s">
        <v>6</v>
      </c>
      <c r="U353" s="33" t="s">
        <v>6</v>
      </c>
      <c r="V353" s="4" t="s">
        <v>1</v>
      </c>
      <c r="W353" s="4">
        <v>1</v>
      </c>
      <c r="X353" s="4">
        <v>2</v>
      </c>
      <c r="Y353" s="4">
        <v>2</v>
      </c>
      <c r="Z353" s="5">
        <v>3</v>
      </c>
      <c r="AA353" s="4">
        <f t="shared" si="6"/>
        <v>3</v>
      </c>
      <c r="AB353" s="4" t="s">
        <v>6</v>
      </c>
      <c r="AC353" s="4" t="s">
        <v>6</v>
      </c>
      <c r="AD353" s="4" t="s">
        <v>6</v>
      </c>
      <c r="AE353" s="5" t="s">
        <v>6</v>
      </c>
      <c r="AF353" s="9">
        <f t="shared" si="5"/>
        <v>3</v>
      </c>
      <c r="AG353" s="5" t="s">
        <v>6</v>
      </c>
      <c r="AH353" s="9">
        <v>3</v>
      </c>
      <c r="AI353" s="4" t="s">
        <v>6</v>
      </c>
      <c r="AJ353" s="4" t="s">
        <v>6</v>
      </c>
      <c r="AK353" s="23" t="s">
        <v>6</v>
      </c>
      <c r="AL353" s="23" t="s">
        <v>6</v>
      </c>
      <c r="AM353" s="23" t="s">
        <v>6</v>
      </c>
      <c r="AN353" s="24" t="s">
        <v>6</v>
      </c>
    </row>
    <row r="354" spans="1:40" x14ac:dyDescent="0.2">
      <c r="A354" s="15">
        <v>476</v>
      </c>
      <c r="B354" s="4" t="s">
        <v>6</v>
      </c>
      <c r="C354" s="36" t="s">
        <v>6</v>
      </c>
      <c r="D354" s="36" t="s">
        <v>6</v>
      </c>
      <c r="E354" s="36" t="s">
        <v>6</v>
      </c>
      <c r="F354" s="30" t="s">
        <v>6</v>
      </c>
      <c r="G354" s="36" t="s">
        <v>6</v>
      </c>
      <c r="H354" s="33" t="s">
        <v>6</v>
      </c>
      <c r="I354" s="33" t="s">
        <v>6</v>
      </c>
      <c r="J354" s="33" t="s">
        <v>6</v>
      </c>
      <c r="K354" s="33" t="s">
        <v>6</v>
      </c>
      <c r="L354" s="33" t="s">
        <v>6</v>
      </c>
      <c r="M354" s="33" t="s">
        <v>6</v>
      </c>
      <c r="N354" s="33" t="s">
        <v>6</v>
      </c>
      <c r="O354" s="33" t="s">
        <v>6</v>
      </c>
      <c r="P354" s="33" t="s">
        <v>6</v>
      </c>
      <c r="Q354" s="33" t="s">
        <v>6</v>
      </c>
      <c r="R354" s="33" t="s">
        <v>6</v>
      </c>
      <c r="S354" s="33" t="s">
        <v>6</v>
      </c>
      <c r="T354" s="33" t="s">
        <v>6</v>
      </c>
      <c r="U354" s="33" t="s">
        <v>6</v>
      </c>
      <c r="V354" s="4" t="s">
        <v>1</v>
      </c>
      <c r="W354" s="4">
        <v>1</v>
      </c>
      <c r="X354" s="4">
        <v>2</v>
      </c>
      <c r="Y354" s="4">
        <v>2</v>
      </c>
      <c r="Z354" s="5">
        <v>3</v>
      </c>
      <c r="AA354" s="4">
        <f t="shared" si="6"/>
        <v>3</v>
      </c>
      <c r="AB354" s="4" t="s">
        <v>6</v>
      </c>
      <c r="AC354" s="4" t="s">
        <v>6</v>
      </c>
      <c r="AD354" s="4" t="s">
        <v>6</v>
      </c>
      <c r="AE354" s="5" t="s">
        <v>6</v>
      </c>
      <c r="AF354" s="9">
        <f t="shared" si="5"/>
        <v>3</v>
      </c>
      <c r="AG354" s="5" t="s">
        <v>6</v>
      </c>
      <c r="AH354" s="9">
        <v>3</v>
      </c>
      <c r="AI354" s="4" t="s">
        <v>6</v>
      </c>
      <c r="AJ354" s="4" t="s">
        <v>6</v>
      </c>
      <c r="AK354" s="23" t="s">
        <v>6</v>
      </c>
      <c r="AL354" s="23" t="s">
        <v>6</v>
      </c>
      <c r="AM354" s="23" t="s">
        <v>6</v>
      </c>
      <c r="AN354" s="24" t="s">
        <v>6</v>
      </c>
    </row>
    <row r="355" spans="1:40" x14ac:dyDescent="0.2">
      <c r="A355" s="15">
        <v>580</v>
      </c>
      <c r="B355" s="4" t="s">
        <v>6</v>
      </c>
      <c r="C355" s="36" t="s">
        <v>6</v>
      </c>
      <c r="D355" s="36" t="s">
        <v>6</v>
      </c>
      <c r="E355" s="36" t="s">
        <v>6</v>
      </c>
      <c r="F355" s="30" t="s">
        <v>6</v>
      </c>
      <c r="G355" s="36" t="s">
        <v>6</v>
      </c>
      <c r="H355" s="33" t="s">
        <v>6</v>
      </c>
      <c r="I355" s="33" t="s">
        <v>6</v>
      </c>
      <c r="J355" s="33" t="s">
        <v>6</v>
      </c>
      <c r="K355" s="33" t="s">
        <v>6</v>
      </c>
      <c r="L355" s="33" t="s">
        <v>6</v>
      </c>
      <c r="M355" s="33" t="s">
        <v>6</v>
      </c>
      <c r="N355" s="33" t="s">
        <v>6</v>
      </c>
      <c r="O355" s="33" t="s">
        <v>6</v>
      </c>
      <c r="P355" s="33" t="s">
        <v>6</v>
      </c>
      <c r="Q355" s="33" t="s">
        <v>6</v>
      </c>
      <c r="R355" s="33" t="s">
        <v>6</v>
      </c>
      <c r="S355" s="33" t="s">
        <v>6</v>
      </c>
      <c r="T355" s="33" t="s">
        <v>6</v>
      </c>
      <c r="U355" s="33" t="s">
        <v>6</v>
      </c>
      <c r="V355" s="4" t="s">
        <v>1</v>
      </c>
      <c r="W355" s="4">
        <v>1</v>
      </c>
      <c r="X355" s="4">
        <v>2</v>
      </c>
      <c r="Y355" s="4">
        <v>2</v>
      </c>
      <c r="Z355" s="5">
        <v>3</v>
      </c>
      <c r="AA355" s="4">
        <f t="shared" si="6"/>
        <v>3</v>
      </c>
      <c r="AB355" s="4" t="s">
        <v>6</v>
      </c>
      <c r="AC355" s="4" t="s">
        <v>6</v>
      </c>
      <c r="AD355" s="4" t="s">
        <v>6</v>
      </c>
      <c r="AE355" s="5" t="s">
        <v>6</v>
      </c>
      <c r="AF355" s="9">
        <f t="shared" si="5"/>
        <v>3</v>
      </c>
      <c r="AG355" s="5" t="s">
        <v>6</v>
      </c>
      <c r="AH355" s="9">
        <v>3</v>
      </c>
      <c r="AI355" s="4" t="s">
        <v>6</v>
      </c>
      <c r="AJ355" s="4" t="s">
        <v>6</v>
      </c>
      <c r="AK355" s="23" t="s">
        <v>6</v>
      </c>
      <c r="AL355" s="23" t="s">
        <v>6</v>
      </c>
      <c r="AM355" s="23" t="s">
        <v>6</v>
      </c>
      <c r="AN355" s="24" t="s">
        <v>6</v>
      </c>
    </row>
    <row r="356" spans="1:40" x14ac:dyDescent="0.2">
      <c r="A356" s="15">
        <v>584</v>
      </c>
      <c r="B356" s="4" t="s">
        <v>6</v>
      </c>
      <c r="C356" s="36" t="s">
        <v>6</v>
      </c>
      <c r="D356" s="36" t="s">
        <v>6</v>
      </c>
      <c r="E356" s="36" t="s">
        <v>6</v>
      </c>
      <c r="F356" s="30" t="s">
        <v>6</v>
      </c>
      <c r="G356" s="36" t="s">
        <v>6</v>
      </c>
      <c r="H356" s="33" t="s">
        <v>6</v>
      </c>
      <c r="I356" s="33" t="s">
        <v>6</v>
      </c>
      <c r="J356" s="33" t="s">
        <v>6</v>
      </c>
      <c r="K356" s="33" t="s">
        <v>6</v>
      </c>
      <c r="L356" s="33" t="s">
        <v>6</v>
      </c>
      <c r="M356" s="33" t="s">
        <v>6</v>
      </c>
      <c r="N356" s="33" t="s">
        <v>6</v>
      </c>
      <c r="O356" s="33" t="s">
        <v>6</v>
      </c>
      <c r="P356" s="33" t="s">
        <v>6</v>
      </c>
      <c r="Q356" s="33" t="s">
        <v>6</v>
      </c>
      <c r="R356" s="33" t="s">
        <v>6</v>
      </c>
      <c r="S356" s="33" t="s">
        <v>6</v>
      </c>
      <c r="T356" s="33" t="s">
        <v>6</v>
      </c>
      <c r="U356" s="33" t="s">
        <v>6</v>
      </c>
      <c r="V356" s="4" t="s">
        <v>1</v>
      </c>
      <c r="W356" s="4">
        <v>1</v>
      </c>
      <c r="X356" s="4">
        <v>2</v>
      </c>
      <c r="Y356" s="4">
        <v>2</v>
      </c>
      <c r="Z356" s="5">
        <v>3</v>
      </c>
      <c r="AA356" s="4">
        <f t="shared" si="6"/>
        <v>3</v>
      </c>
      <c r="AB356" s="4" t="s">
        <v>6</v>
      </c>
      <c r="AC356" s="4" t="s">
        <v>6</v>
      </c>
      <c r="AD356" s="4" t="s">
        <v>6</v>
      </c>
      <c r="AE356" s="5" t="s">
        <v>6</v>
      </c>
      <c r="AF356" s="9">
        <f t="shared" si="5"/>
        <v>3</v>
      </c>
      <c r="AG356" s="5" t="s">
        <v>6</v>
      </c>
      <c r="AH356" s="9">
        <v>3</v>
      </c>
      <c r="AI356" s="4" t="s">
        <v>6</v>
      </c>
      <c r="AJ356" s="4" t="s">
        <v>6</v>
      </c>
      <c r="AK356" s="23" t="s">
        <v>6</v>
      </c>
      <c r="AL356" s="23" t="s">
        <v>6</v>
      </c>
      <c r="AM356" s="23" t="s">
        <v>6</v>
      </c>
      <c r="AN356" s="24" t="s">
        <v>6</v>
      </c>
    </row>
    <row r="357" spans="1:40" x14ac:dyDescent="0.2">
      <c r="A357" s="15">
        <v>599</v>
      </c>
      <c r="B357" s="4" t="s">
        <v>6</v>
      </c>
      <c r="C357" s="36" t="s">
        <v>6</v>
      </c>
      <c r="D357" s="36" t="s">
        <v>6</v>
      </c>
      <c r="E357" s="36" t="s">
        <v>6</v>
      </c>
      <c r="F357" s="30" t="s">
        <v>6</v>
      </c>
      <c r="G357" s="36" t="s">
        <v>6</v>
      </c>
      <c r="H357" s="33" t="s">
        <v>6</v>
      </c>
      <c r="I357" s="33" t="s">
        <v>6</v>
      </c>
      <c r="J357" s="33" t="s">
        <v>6</v>
      </c>
      <c r="K357" s="33" t="s">
        <v>6</v>
      </c>
      <c r="L357" s="33" t="s">
        <v>6</v>
      </c>
      <c r="M357" s="33" t="s">
        <v>6</v>
      </c>
      <c r="N357" s="33" t="s">
        <v>6</v>
      </c>
      <c r="O357" s="33" t="s">
        <v>6</v>
      </c>
      <c r="P357" s="33" t="s">
        <v>6</v>
      </c>
      <c r="Q357" s="33" t="s">
        <v>6</v>
      </c>
      <c r="R357" s="33" t="s">
        <v>6</v>
      </c>
      <c r="S357" s="33" t="s">
        <v>6</v>
      </c>
      <c r="T357" s="33" t="s">
        <v>6</v>
      </c>
      <c r="U357" s="33" t="s">
        <v>6</v>
      </c>
      <c r="V357" s="4" t="s">
        <v>1</v>
      </c>
      <c r="W357" s="4">
        <v>1</v>
      </c>
      <c r="X357" s="4">
        <v>2</v>
      </c>
      <c r="Y357" s="4">
        <v>2</v>
      </c>
      <c r="Z357" s="5">
        <v>3</v>
      </c>
      <c r="AA357" s="4">
        <f t="shared" si="6"/>
        <v>3</v>
      </c>
      <c r="AB357" s="4" t="s">
        <v>6</v>
      </c>
      <c r="AC357" s="4" t="s">
        <v>6</v>
      </c>
      <c r="AD357" s="4" t="s">
        <v>6</v>
      </c>
      <c r="AE357" s="5" t="s">
        <v>6</v>
      </c>
      <c r="AF357" s="9">
        <f t="shared" si="5"/>
        <v>3</v>
      </c>
      <c r="AG357" s="5" t="s">
        <v>6</v>
      </c>
      <c r="AH357" s="9">
        <v>3</v>
      </c>
      <c r="AI357" s="4" t="s">
        <v>6</v>
      </c>
      <c r="AJ357" s="4" t="s">
        <v>6</v>
      </c>
      <c r="AK357" s="23" t="s">
        <v>6</v>
      </c>
      <c r="AL357" s="23" t="s">
        <v>6</v>
      </c>
      <c r="AM357" s="23" t="s">
        <v>6</v>
      </c>
      <c r="AN357" s="24" t="s">
        <v>6</v>
      </c>
    </row>
    <row r="358" spans="1:40" x14ac:dyDescent="0.2">
      <c r="A358" s="15">
        <v>609</v>
      </c>
      <c r="B358" s="4" t="s">
        <v>6</v>
      </c>
      <c r="C358" s="36" t="s">
        <v>6</v>
      </c>
      <c r="D358" s="36" t="s">
        <v>6</v>
      </c>
      <c r="E358" s="36" t="s">
        <v>6</v>
      </c>
      <c r="F358" s="30" t="s">
        <v>6</v>
      </c>
      <c r="G358" s="36" t="s">
        <v>6</v>
      </c>
      <c r="H358" s="33" t="s">
        <v>6</v>
      </c>
      <c r="I358" s="33" t="s">
        <v>6</v>
      </c>
      <c r="J358" s="33" t="s">
        <v>6</v>
      </c>
      <c r="K358" s="33" t="s">
        <v>6</v>
      </c>
      <c r="L358" s="33" t="s">
        <v>6</v>
      </c>
      <c r="M358" s="33" t="s">
        <v>6</v>
      </c>
      <c r="N358" s="33" t="s">
        <v>6</v>
      </c>
      <c r="O358" s="33" t="s">
        <v>6</v>
      </c>
      <c r="P358" s="33" t="s">
        <v>6</v>
      </c>
      <c r="Q358" s="33" t="s">
        <v>6</v>
      </c>
      <c r="R358" s="33" t="s">
        <v>6</v>
      </c>
      <c r="S358" s="33" t="s">
        <v>6</v>
      </c>
      <c r="T358" s="33" t="s">
        <v>6</v>
      </c>
      <c r="U358" s="33" t="s">
        <v>6</v>
      </c>
      <c r="V358" s="4" t="s">
        <v>1</v>
      </c>
      <c r="W358" s="4">
        <v>1</v>
      </c>
      <c r="X358" s="4">
        <v>2</v>
      </c>
      <c r="Y358" s="4">
        <v>2</v>
      </c>
      <c r="Z358" s="5">
        <v>3</v>
      </c>
      <c r="AA358" s="4">
        <f t="shared" si="6"/>
        <v>3</v>
      </c>
      <c r="AB358" s="4" t="s">
        <v>6</v>
      </c>
      <c r="AC358" s="4" t="s">
        <v>6</v>
      </c>
      <c r="AD358" s="4" t="s">
        <v>6</v>
      </c>
      <c r="AE358" s="5" t="s">
        <v>6</v>
      </c>
      <c r="AF358" s="9">
        <f t="shared" si="5"/>
        <v>3</v>
      </c>
      <c r="AG358" s="5" t="s">
        <v>6</v>
      </c>
      <c r="AH358" s="9">
        <v>3</v>
      </c>
      <c r="AI358" s="4" t="s">
        <v>6</v>
      </c>
      <c r="AJ358" s="4" t="s">
        <v>6</v>
      </c>
      <c r="AK358" s="23" t="s">
        <v>6</v>
      </c>
      <c r="AL358" s="23" t="s">
        <v>6</v>
      </c>
      <c r="AM358" s="23" t="s">
        <v>6</v>
      </c>
      <c r="AN358" s="24" t="s">
        <v>6</v>
      </c>
    </row>
    <row r="359" spans="1:40" x14ac:dyDescent="0.2">
      <c r="A359" s="15">
        <v>615</v>
      </c>
      <c r="B359" s="4" t="s">
        <v>6</v>
      </c>
      <c r="C359" s="36" t="s">
        <v>6</v>
      </c>
      <c r="D359" s="36" t="s">
        <v>6</v>
      </c>
      <c r="E359" s="36" t="s">
        <v>6</v>
      </c>
      <c r="F359" s="30" t="s">
        <v>6</v>
      </c>
      <c r="G359" s="36" t="s">
        <v>6</v>
      </c>
      <c r="H359" s="33" t="s">
        <v>6</v>
      </c>
      <c r="I359" s="33" t="s">
        <v>6</v>
      </c>
      <c r="J359" s="33" t="s">
        <v>6</v>
      </c>
      <c r="K359" s="33" t="s">
        <v>6</v>
      </c>
      <c r="L359" s="33" t="s">
        <v>6</v>
      </c>
      <c r="M359" s="33" t="s">
        <v>6</v>
      </c>
      <c r="N359" s="33" t="s">
        <v>6</v>
      </c>
      <c r="O359" s="33" t="s">
        <v>6</v>
      </c>
      <c r="P359" s="33" t="s">
        <v>6</v>
      </c>
      <c r="Q359" s="33" t="s">
        <v>6</v>
      </c>
      <c r="R359" s="33" t="s">
        <v>6</v>
      </c>
      <c r="S359" s="33" t="s">
        <v>6</v>
      </c>
      <c r="T359" s="33" t="s">
        <v>6</v>
      </c>
      <c r="U359" s="33" t="s">
        <v>6</v>
      </c>
      <c r="V359" s="4" t="s">
        <v>1</v>
      </c>
      <c r="W359" s="4">
        <v>1</v>
      </c>
      <c r="X359" s="4">
        <v>2</v>
      </c>
      <c r="Y359" s="4">
        <v>2</v>
      </c>
      <c r="Z359" s="5">
        <v>3</v>
      </c>
      <c r="AA359" s="4">
        <f t="shared" si="6"/>
        <v>3</v>
      </c>
      <c r="AB359" s="4" t="s">
        <v>6</v>
      </c>
      <c r="AC359" s="4" t="s">
        <v>6</v>
      </c>
      <c r="AD359" s="4" t="s">
        <v>6</v>
      </c>
      <c r="AE359" s="5" t="s">
        <v>6</v>
      </c>
      <c r="AF359" s="9">
        <f t="shared" si="5"/>
        <v>3</v>
      </c>
      <c r="AG359" s="5" t="s">
        <v>6</v>
      </c>
      <c r="AH359" s="9">
        <v>3</v>
      </c>
      <c r="AI359" s="4" t="s">
        <v>6</v>
      </c>
      <c r="AJ359" s="4" t="s">
        <v>6</v>
      </c>
      <c r="AK359" s="23" t="s">
        <v>6</v>
      </c>
      <c r="AL359" s="23" t="s">
        <v>6</v>
      </c>
      <c r="AM359" s="23" t="s">
        <v>6</v>
      </c>
      <c r="AN359" s="24" t="s">
        <v>6</v>
      </c>
    </row>
    <row r="360" spans="1:40" x14ac:dyDescent="0.2">
      <c r="A360" s="15">
        <v>616</v>
      </c>
      <c r="B360" s="4" t="s">
        <v>6</v>
      </c>
      <c r="C360" s="36" t="s">
        <v>6</v>
      </c>
      <c r="D360" s="36" t="s">
        <v>6</v>
      </c>
      <c r="E360" s="36" t="s">
        <v>6</v>
      </c>
      <c r="F360" s="30" t="s">
        <v>6</v>
      </c>
      <c r="G360" s="36" t="s">
        <v>6</v>
      </c>
      <c r="H360" s="33" t="s">
        <v>6</v>
      </c>
      <c r="I360" s="33" t="s">
        <v>6</v>
      </c>
      <c r="J360" s="33" t="s">
        <v>6</v>
      </c>
      <c r="K360" s="33" t="s">
        <v>6</v>
      </c>
      <c r="L360" s="33" t="s">
        <v>6</v>
      </c>
      <c r="M360" s="33" t="s">
        <v>6</v>
      </c>
      <c r="N360" s="33" t="s">
        <v>6</v>
      </c>
      <c r="O360" s="33" t="s">
        <v>6</v>
      </c>
      <c r="P360" s="33" t="s">
        <v>6</v>
      </c>
      <c r="Q360" s="33" t="s">
        <v>6</v>
      </c>
      <c r="R360" s="33" t="s">
        <v>6</v>
      </c>
      <c r="S360" s="33" t="s">
        <v>6</v>
      </c>
      <c r="T360" s="33" t="s">
        <v>6</v>
      </c>
      <c r="U360" s="33" t="s">
        <v>6</v>
      </c>
      <c r="V360" s="4" t="s">
        <v>1</v>
      </c>
      <c r="W360" s="4">
        <v>1</v>
      </c>
      <c r="X360" s="4">
        <v>2</v>
      </c>
      <c r="Y360" s="4">
        <v>2</v>
      </c>
      <c r="Z360" s="5">
        <v>3</v>
      </c>
      <c r="AA360" s="4">
        <f t="shared" si="6"/>
        <v>3</v>
      </c>
      <c r="AB360" s="4" t="s">
        <v>6</v>
      </c>
      <c r="AC360" s="4" t="s">
        <v>6</v>
      </c>
      <c r="AD360" s="4" t="s">
        <v>6</v>
      </c>
      <c r="AE360" s="5" t="s">
        <v>6</v>
      </c>
      <c r="AF360" s="9">
        <f t="shared" si="5"/>
        <v>3</v>
      </c>
      <c r="AG360" s="5" t="s">
        <v>6</v>
      </c>
      <c r="AH360" s="9">
        <v>3</v>
      </c>
      <c r="AI360" s="4" t="s">
        <v>6</v>
      </c>
      <c r="AJ360" s="4" t="s">
        <v>6</v>
      </c>
      <c r="AK360" s="23" t="s">
        <v>6</v>
      </c>
      <c r="AL360" s="23" t="s">
        <v>6</v>
      </c>
      <c r="AM360" s="23" t="s">
        <v>6</v>
      </c>
      <c r="AN360" s="24" t="s">
        <v>6</v>
      </c>
    </row>
    <row r="361" spans="1:40" x14ac:dyDescent="0.2">
      <c r="A361" s="15">
        <v>665</v>
      </c>
      <c r="B361" s="4" t="s">
        <v>6</v>
      </c>
      <c r="C361" s="36" t="s">
        <v>6</v>
      </c>
      <c r="D361" s="36" t="s">
        <v>6</v>
      </c>
      <c r="E361" s="36" t="s">
        <v>6</v>
      </c>
      <c r="F361" s="30" t="s">
        <v>6</v>
      </c>
      <c r="G361" s="36" t="s">
        <v>6</v>
      </c>
      <c r="H361" s="33" t="s">
        <v>6</v>
      </c>
      <c r="I361" s="33" t="s">
        <v>6</v>
      </c>
      <c r="J361" s="33" t="s">
        <v>6</v>
      </c>
      <c r="K361" s="33" t="s">
        <v>6</v>
      </c>
      <c r="L361" s="33" t="s">
        <v>6</v>
      </c>
      <c r="M361" s="33" t="s">
        <v>6</v>
      </c>
      <c r="N361" s="33" t="s">
        <v>6</v>
      </c>
      <c r="O361" s="33" t="s">
        <v>6</v>
      </c>
      <c r="P361" s="33" t="s">
        <v>6</v>
      </c>
      <c r="Q361" s="33" t="s">
        <v>6</v>
      </c>
      <c r="R361" s="33" t="s">
        <v>6</v>
      </c>
      <c r="S361" s="33" t="s">
        <v>6</v>
      </c>
      <c r="T361" s="33" t="s">
        <v>6</v>
      </c>
      <c r="U361" s="33" t="s">
        <v>6</v>
      </c>
      <c r="V361" s="4" t="s">
        <v>1</v>
      </c>
      <c r="W361" s="4">
        <v>1</v>
      </c>
      <c r="X361" s="4">
        <v>2</v>
      </c>
      <c r="Y361" s="4">
        <v>2</v>
      </c>
      <c r="Z361" s="5">
        <v>3</v>
      </c>
      <c r="AA361" s="4">
        <f t="shared" si="6"/>
        <v>3</v>
      </c>
      <c r="AB361" s="4" t="s">
        <v>6</v>
      </c>
      <c r="AC361" s="4" t="s">
        <v>6</v>
      </c>
      <c r="AD361" s="4" t="s">
        <v>6</v>
      </c>
      <c r="AE361" s="5" t="s">
        <v>6</v>
      </c>
      <c r="AF361" s="9">
        <f t="shared" si="5"/>
        <v>3</v>
      </c>
      <c r="AG361" s="5" t="s">
        <v>6</v>
      </c>
      <c r="AH361" s="9">
        <v>3</v>
      </c>
      <c r="AI361" s="4" t="s">
        <v>6</v>
      </c>
      <c r="AJ361" s="4" t="s">
        <v>6</v>
      </c>
      <c r="AK361" s="23" t="s">
        <v>6</v>
      </c>
      <c r="AL361" s="23" t="s">
        <v>6</v>
      </c>
      <c r="AM361" s="23" t="s">
        <v>6</v>
      </c>
      <c r="AN361" s="24" t="s">
        <v>6</v>
      </c>
    </row>
    <row r="362" spans="1:40" x14ac:dyDescent="0.2">
      <c r="A362" s="15">
        <v>746</v>
      </c>
      <c r="B362" s="4" t="s">
        <v>6</v>
      </c>
      <c r="C362" s="36" t="s">
        <v>6</v>
      </c>
      <c r="D362" s="36" t="s">
        <v>6</v>
      </c>
      <c r="E362" s="36" t="s">
        <v>6</v>
      </c>
      <c r="F362" s="30" t="s">
        <v>6</v>
      </c>
      <c r="G362" s="36" t="s">
        <v>6</v>
      </c>
      <c r="H362" s="33" t="s">
        <v>6</v>
      </c>
      <c r="I362" s="33" t="s">
        <v>6</v>
      </c>
      <c r="J362" s="33" t="s">
        <v>6</v>
      </c>
      <c r="K362" s="33" t="s">
        <v>6</v>
      </c>
      <c r="L362" s="33" t="s">
        <v>6</v>
      </c>
      <c r="M362" s="33" t="s">
        <v>6</v>
      </c>
      <c r="N362" s="33" t="s">
        <v>6</v>
      </c>
      <c r="O362" s="33" t="s">
        <v>6</v>
      </c>
      <c r="P362" s="33" t="s">
        <v>6</v>
      </c>
      <c r="Q362" s="33" t="s">
        <v>6</v>
      </c>
      <c r="R362" s="33" t="s">
        <v>6</v>
      </c>
      <c r="S362" s="33" t="s">
        <v>6</v>
      </c>
      <c r="T362" s="33" t="s">
        <v>6</v>
      </c>
      <c r="U362" s="33" t="s">
        <v>6</v>
      </c>
      <c r="V362" s="4" t="s">
        <v>1</v>
      </c>
      <c r="W362" s="4">
        <v>1</v>
      </c>
      <c r="X362" s="4">
        <v>2</v>
      </c>
      <c r="Y362" s="4">
        <v>2</v>
      </c>
      <c r="Z362" s="5">
        <v>3</v>
      </c>
      <c r="AA362" s="4">
        <f t="shared" si="6"/>
        <v>3</v>
      </c>
      <c r="AB362" s="4" t="s">
        <v>6</v>
      </c>
      <c r="AC362" s="4" t="s">
        <v>6</v>
      </c>
      <c r="AD362" s="4" t="s">
        <v>6</v>
      </c>
      <c r="AE362" s="5" t="s">
        <v>6</v>
      </c>
      <c r="AF362" s="9">
        <f t="shared" si="5"/>
        <v>3</v>
      </c>
      <c r="AG362" s="5" t="s">
        <v>6</v>
      </c>
      <c r="AH362" s="9">
        <v>3</v>
      </c>
      <c r="AI362" s="4" t="s">
        <v>6</v>
      </c>
      <c r="AJ362" s="4" t="s">
        <v>6</v>
      </c>
      <c r="AK362" s="23" t="s">
        <v>6</v>
      </c>
      <c r="AL362" s="23" t="s">
        <v>6</v>
      </c>
      <c r="AM362" s="23" t="s">
        <v>6</v>
      </c>
      <c r="AN362" s="24" t="s">
        <v>6</v>
      </c>
    </row>
    <row r="363" spans="1:40" x14ac:dyDescent="0.2">
      <c r="A363" s="15">
        <v>760</v>
      </c>
      <c r="B363" s="4" t="s">
        <v>6</v>
      </c>
      <c r="C363" s="36" t="s">
        <v>6</v>
      </c>
      <c r="D363" s="36" t="s">
        <v>6</v>
      </c>
      <c r="E363" s="36" t="s">
        <v>6</v>
      </c>
      <c r="F363" s="30" t="s">
        <v>6</v>
      </c>
      <c r="G363" s="36" t="s">
        <v>6</v>
      </c>
      <c r="H363" s="33" t="s">
        <v>6</v>
      </c>
      <c r="I363" s="33" t="s">
        <v>6</v>
      </c>
      <c r="J363" s="33" t="s">
        <v>6</v>
      </c>
      <c r="K363" s="33" t="s">
        <v>6</v>
      </c>
      <c r="L363" s="33" t="s">
        <v>6</v>
      </c>
      <c r="M363" s="33" t="s">
        <v>6</v>
      </c>
      <c r="N363" s="33" t="s">
        <v>6</v>
      </c>
      <c r="O363" s="33" t="s">
        <v>6</v>
      </c>
      <c r="P363" s="33" t="s">
        <v>6</v>
      </c>
      <c r="Q363" s="33" t="s">
        <v>6</v>
      </c>
      <c r="R363" s="33" t="s">
        <v>6</v>
      </c>
      <c r="S363" s="33" t="s">
        <v>6</v>
      </c>
      <c r="T363" s="33" t="s">
        <v>6</v>
      </c>
      <c r="U363" s="33" t="s">
        <v>6</v>
      </c>
      <c r="V363" s="4" t="s">
        <v>1</v>
      </c>
      <c r="W363" s="4">
        <v>1</v>
      </c>
      <c r="X363" s="4">
        <v>2</v>
      </c>
      <c r="Y363" s="4">
        <v>2</v>
      </c>
      <c r="Z363" s="5">
        <v>3</v>
      </c>
      <c r="AA363" s="4">
        <f t="shared" si="6"/>
        <v>3</v>
      </c>
      <c r="AB363" s="4" t="s">
        <v>6</v>
      </c>
      <c r="AC363" s="4" t="s">
        <v>6</v>
      </c>
      <c r="AD363" s="4" t="s">
        <v>6</v>
      </c>
      <c r="AE363" s="5" t="s">
        <v>6</v>
      </c>
      <c r="AF363" s="9">
        <f t="shared" si="5"/>
        <v>3</v>
      </c>
      <c r="AG363" s="5" t="s">
        <v>6</v>
      </c>
      <c r="AH363" s="9">
        <v>3</v>
      </c>
      <c r="AI363" s="4" t="s">
        <v>6</v>
      </c>
      <c r="AJ363" s="4" t="s">
        <v>6</v>
      </c>
      <c r="AK363" s="23" t="s">
        <v>6</v>
      </c>
      <c r="AL363" s="23" t="s">
        <v>6</v>
      </c>
      <c r="AM363" s="23" t="s">
        <v>6</v>
      </c>
      <c r="AN363" s="24" t="s">
        <v>6</v>
      </c>
    </row>
    <row r="364" spans="1:40" x14ac:dyDescent="0.2">
      <c r="A364" s="15">
        <v>801</v>
      </c>
      <c r="B364" s="4" t="s">
        <v>6</v>
      </c>
      <c r="C364" s="36" t="s">
        <v>6</v>
      </c>
      <c r="D364" s="36" t="s">
        <v>6</v>
      </c>
      <c r="E364" s="36" t="s">
        <v>6</v>
      </c>
      <c r="F364" s="30" t="s">
        <v>6</v>
      </c>
      <c r="G364" s="36" t="s">
        <v>6</v>
      </c>
      <c r="H364" s="33" t="s">
        <v>6</v>
      </c>
      <c r="I364" s="33" t="s">
        <v>6</v>
      </c>
      <c r="J364" s="33" t="s">
        <v>6</v>
      </c>
      <c r="K364" s="33" t="s">
        <v>6</v>
      </c>
      <c r="L364" s="33" t="s">
        <v>6</v>
      </c>
      <c r="M364" s="33" t="s">
        <v>6</v>
      </c>
      <c r="N364" s="33" t="s">
        <v>6</v>
      </c>
      <c r="O364" s="33" t="s">
        <v>6</v>
      </c>
      <c r="P364" s="33" t="s">
        <v>6</v>
      </c>
      <c r="Q364" s="33" t="s">
        <v>6</v>
      </c>
      <c r="R364" s="33" t="s">
        <v>6</v>
      </c>
      <c r="S364" s="33" t="s">
        <v>6</v>
      </c>
      <c r="T364" s="33" t="s">
        <v>6</v>
      </c>
      <c r="U364" s="33" t="s">
        <v>6</v>
      </c>
      <c r="V364" s="4" t="s">
        <v>1</v>
      </c>
      <c r="W364" s="4">
        <v>1</v>
      </c>
      <c r="X364" s="4">
        <v>2</v>
      </c>
      <c r="Y364" s="4">
        <v>2</v>
      </c>
      <c r="Z364" s="5">
        <v>3</v>
      </c>
      <c r="AA364" s="4">
        <f t="shared" si="6"/>
        <v>3</v>
      </c>
      <c r="AB364" s="4" t="s">
        <v>6</v>
      </c>
      <c r="AC364" s="4" t="s">
        <v>6</v>
      </c>
      <c r="AD364" s="4" t="s">
        <v>6</v>
      </c>
      <c r="AE364" s="5" t="s">
        <v>6</v>
      </c>
      <c r="AF364" s="9">
        <f t="shared" si="5"/>
        <v>3</v>
      </c>
      <c r="AG364" s="5" t="s">
        <v>6</v>
      </c>
      <c r="AH364" s="9">
        <v>3</v>
      </c>
      <c r="AI364" s="4" t="s">
        <v>6</v>
      </c>
      <c r="AJ364" s="4" t="s">
        <v>6</v>
      </c>
      <c r="AK364" s="23" t="s">
        <v>6</v>
      </c>
      <c r="AL364" s="23" t="s">
        <v>6</v>
      </c>
      <c r="AM364" s="23" t="s">
        <v>6</v>
      </c>
      <c r="AN364" s="24" t="s">
        <v>6</v>
      </c>
    </row>
    <row r="365" spans="1:40" x14ac:dyDescent="0.2">
      <c r="A365" s="15">
        <v>832</v>
      </c>
      <c r="B365" s="4" t="s">
        <v>6</v>
      </c>
      <c r="C365" s="36" t="s">
        <v>6</v>
      </c>
      <c r="D365" s="36" t="s">
        <v>6</v>
      </c>
      <c r="E365" s="36" t="s">
        <v>6</v>
      </c>
      <c r="F365" s="30" t="s">
        <v>6</v>
      </c>
      <c r="G365" s="36" t="s">
        <v>6</v>
      </c>
      <c r="H365" s="33" t="s">
        <v>6</v>
      </c>
      <c r="I365" s="33" t="s">
        <v>6</v>
      </c>
      <c r="J365" s="33" t="s">
        <v>6</v>
      </c>
      <c r="K365" s="33" t="s">
        <v>6</v>
      </c>
      <c r="L365" s="33" t="s">
        <v>6</v>
      </c>
      <c r="M365" s="33" t="s">
        <v>6</v>
      </c>
      <c r="N365" s="33" t="s">
        <v>6</v>
      </c>
      <c r="O365" s="33" t="s">
        <v>6</v>
      </c>
      <c r="P365" s="33" t="s">
        <v>6</v>
      </c>
      <c r="Q365" s="33" t="s">
        <v>6</v>
      </c>
      <c r="R365" s="33" t="s">
        <v>6</v>
      </c>
      <c r="S365" s="33" t="s">
        <v>6</v>
      </c>
      <c r="T365" s="33" t="s">
        <v>6</v>
      </c>
      <c r="U365" s="33" t="s">
        <v>6</v>
      </c>
      <c r="V365" s="4" t="s">
        <v>1</v>
      </c>
      <c r="W365" s="4">
        <v>1</v>
      </c>
      <c r="X365" s="4">
        <v>2</v>
      </c>
      <c r="Y365" s="4">
        <v>2</v>
      </c>
      <c r="Z365" s="5">
        <v>3</v>
      </c>
      <c r="AA365" s="4">
        <f t="shared" si="6"/>
        <v>3</v>
      </c>
      <c r="AB365" s="4" t="s">
        <v>6</v>
      </c>
      <c r="AC365" s="4" t="s">
        <v>6</v>
      </c>
      <c r="AD365" s="4" t="s">
        <v>6</v>
      </c>
      <c r="AE365" s="5" t="s">
        <v>6</v>
      </c>
      <c r="AF365" s="9">
        <f t="shared" si="5"/>
        <v>3</v>
      </c>
      <c r="AG365" s="5" t="s">
        <v>6</v>
      </c>
      <c r="AH365" s="9">
        <v>3</v>
      </c>
      <c r="AI365" s="4" t="s">
        <v>6</v>
      </c>
      <c r="AJ365" s="4" t="s">
        <v>6</v>
      </c>
      <c r="AK365" s="23" t="s">
        <v>6</v>
      </c>
      <c r="AL365" s="23" t="s">
        <v>6</v>
      </c>
      <c r="AM365" s="23" t="s">
        <v>6</v>
      </c>
      <c r="AN365" s="24" t="s">
        <v>6</v>
      </c>
    </row>
    <row r="366" spans="1:40" x14ac:dyDescent="0.2">
      <c r="A366" s="15">
        <v>836</v>
      </c>
      <c r="B366" s="4" t="s">
        <v>6</v>
      </c>
      <c r="C366" s="36" t="s">
        <v>6</v>
      </c>
      <c r="D366" s="36" t="s">
        <v>6</v>
      </c>
      <c r="E366" s="36" t="s">
        <v>6</v>
      </c>
      <c r="F366" s="30" t="s">
        <v>6</v>
      </c>
      <c r="G366" s="36" t="s">
        <v>6</v>
      </c>
      <c r="H366" s="33" t="s">
        <v>6</v>
      </c>
      <c r="I366" s="33" t="s">
        <v>6</v>
      </c>
      <c r="J366" s="33" t="s">
        <v>6</v>
      </c>
      <c r="K366" s="33" t="s">
        <v>6</v>
      </c>
      <c r="L366" s="33" t="s">
        <v>6</v>
      </c>
      <c r="M366" s="33" t="s">
        <v>6</v>
      </c>
      <c r="N366" s="33" t="s">
        <v>6</v>
      </c>
      <c r="O366" s="33" t="s">
        <v>6</v>
      </c>
      <c r="P366" s="33" t="s">
        <v>6</v>
      </c>
      <c r="Q366" s="33" t="s">
        <v>6</v>
      </c>
      <c r="R366" s="33" t="s">
        <v>6</v>
      </c>
      <c r="S366" s="33" t="s">
        <v>6</v>
      </c>
      <c r="T366" s="33" t="s">
        <v>6</v>
      </c>
      <c r="U366" s="33" t="s">
        <v>6</v>
      </c>
      <c r="V366" s="4" t="s">
        <v>1</v>
      </c>
      <c r="W366" s="4">
        <v>1</v>
      </c>
      <c r="X366" s="4">
        <v>2</v>
      </c>
      <c r="Y366" s="4">
        <v>2</v>
      </c>
      <c r="Z366" s="5">
        <v>3</v>
      </c>
      <c r="AA366" s="4">
        <f t="shared" si="6"/>
        <v>3</v>
      </c>
      <c r="AB366" s="4" t="s">
        <v>6</v>
      </c>
      <c r="AC366" s="4" t="s">
        <v>6</v>
      </c>
      <c r="AD366" s="4" t="s">
        <v>6</v>
      </c>
      <c r="AE366" s="5" t="s">
        <v>6</v>
      </c>
      <c r="AF366" s="9">
        <f t="shared" si="5"/>
        <v>3</v>
      </c>
      <c r="AG366" s="5" t="s">
        <v>6</v>
      </c>
      <c r="AH366" s="9">
        <v>3</v>
      </c>
      <c r="AI366" s="4" t="s">
        <v>6</v>
      </c>
      <c r="AJ366" s="4" t="s">
        <v>6</v>
      </c>
      <c r="AK366" s="23" t="s">
        <v>6</v>
      </c>
      <c r="AL366" s="23" t="s">
        <v>6</v>
      </c>
      <c r="AM366" s="23" t="s">
        <v>6</v>
      </c>
      <c r="AN366" s="24" t="s">
        <v>6</v>
      </c>
    </row>
    <row r="367" spans="1:40" x14ac:dyDescent="0.2">
      <c r="A367" s="15">
        <v>843</v>
      </c>
      <c r="B367" s="4" t="s">
        <v>6</v>
      </c>
      <c r="C367" s="36" t="s">
        <v>6</v>
      </c>
      <c r="D367" s="36" t="s">
        <v>6</v>
      </c>
      <c r="E367" s="36" t="s">
        <v>6</v>
      </c>
      <c r="F367" s="30" t="s">
        <v>6</v>
      </c>
      <c r="G367" s="36" t="s">
        <v>6</v>
      </c>
      <c r="H367" s="33" t="s">
        <v>6</v>
      </c>
      <c r="I367" s="33" t="s">
        <v>6</v>
      </c>
      <c r="J367" s="33" t="s">
        <v>6</v>
      </c>
      <c r="K367" s="33" t="s">
        <v>6</v>
      </c>
      <c r="L367" s="33" t="s">
        <v>6</v>
      </c>
      <c r="M367" s="33" t="s">
        <v>6</v>
      </c>
      <c r="N367" s="33" t="s">
        <v>6</v>
      </c>
      <c r="O367" s="33" t="s">
        <v>6</v>
      </c>
      <c r="P367" s="33" t="s">
        <v>6</v>
      </c>
      <c r="Q367" s="33" t="s">
        <v>6</v>
      </c>
      <c r="R367" s="33" t="s">
        <v>6</v>
      </c>
      <c r="S367" s="33" t="s">
        <v>6</v>
      </c>
      <c r="T367" s="33" t="s">
        <v>6</v>
      </c>
      <c r="U367" s="33" t="s">
        <v>6</v>
      </c>
      <c r="V367" s="4" t="s">
        <v>1</v>
      </c>
      <c r="W367" s="4">
        <v>1</v>
      </c>
      <c r="X367" s="4">
        <v>2</v>
      </c>
      <c r="Y367" s="4">
        <v>2</v>
      </c>
      <c r="Z367" s="5">
        <v>3</v>
      </c>
      <c r="AA367" s="4">
        <f t="shared" si="6"/>
        <v>3</v>
      </c>
      <c r="AB367" s="4" t="s">
        <v>6</v>
      </c>
      <c r="AC367" s="4" t="s">
        <v>6</v>
      </c>
      <c r="AD367" s="4" t="s">
        <v>6</v>
      </c>
      <c r="AE367" s="5" t="s">
        <v>6</v>
      </c>
      <c r="AF367" s="9">
        <f t="shared" si="5"/>
        <v>3</v>
      </c>
      <c r="AG367" s="5" t="s">
        <v>6</v>
      </c>
      <c r="AH367" s="9">
        <v>3</v>
      </c>
      <c r="AI367" s="4" t="s">
        <v>6</v>
      </c>
      <c r="AJ367" s="4" t="s">
        <v>6</v>
      </c>
      <c r="AK367" s="23" t="s">
        <v>6</v>
      </c>
      <c r="AL367" s="23" t="s">
        <v>6</v>
      </c>
      <c r="AM367" s="23" t="s">
        <v>6</v>
      </c>
      <c r="AN367" s="24" t="s">
        <v>6</v>
      </c>
    </row>
    <row r="368" spans="1:40" x14ac:dyDescent="0.2">
      <c r="A368" s="15">
        <v>865</v>
      </c>
      <c r="B368" s="4" t="s">
        <v>6</v>
      </c>
      <c r="C368" s="36" t="s">
        <v>6</v>
      </c>
      <c r="D368" s="36" t="s">
        <v>6</v>
      </c>
      <c r="E368" s="36" t="s">
        <v>6</v>
      </c>
      <c r="F368" s="30" t="s">
        <v>6</v>
      </c>
      <c r="G368" s="36" t="s">
        <v>6</v>
      </c>
      <c r="H368" s="33" t="s">
        <v>6</v>
      </c>
      <c r="I368" s="33" t="s">
        <v>6</v>
      </c>
      <c r="J368" s="33" t="s">
        <v>6</v>
      </c>
      <c r="K368" s="33" t="s">
        <v>6</v>
      </c>
      <c r="L368" s="33" t="s">
        <v>6</v>
      </c>
      <c r="M368" s="33" t="s">
        <v>6</v>
      </c>
      <c r="N368" s="33" t="s">
        <v>6</v>
      </c>
      <c r="O368" s="33" t="s">
        <v>6</v>
      </c>
      <c r="P368" s="33" t="s">
        <v>6</v>
      </c>
      <c r="Q368" s="33" t="s">
        <v>6</v>
      </c>
      <c r="R368" s="33" t="s">
        <v>6</v>
      </c>
      <c r="S368" s="33" t="s">
        <v>6</v>
      </c>
      <c r="T368" s="33" t="s">
        <v>6</v>
      </c>
      <c r="U368" s="33" t="s">
        <v>6</v>
      </c>
      <c r="V368" s="4" t="s">
        <v>1</v>
      </c>
      <c r="W368" s="4">
        <v>1</v>
      </c>
      <c r="X368" s="4">
        <v>2</v>
      </c>
      <c r="Y368" s="4">
        <v>2</v>
      </c>
      <c r="Z368" s="5">
        <v>3</v>
      </c>
      <c r="AA368" s="4">
        <f t="shared" si="6"/>
        <v>3</v>
      </c>
      <c r="AB368" s="4" t="s">
        <v>6</v>
      </c>
      <c r="AC368" s="4" t="s">
        <v>6</v>
      </c>
      <c r="AD368" s="4" t="s">
        <v>6</v>
      </c>
      <c r="AE368" s="5" t="s">
        <v>6</v>
      </c>
      <c r="AF368" s="9">
        <f t="shared" si="5"/>
        <v>3</v>
      </c>
      <c r="AG368" s="5" t="s">
        <v>6</v>
      </c>
      <c r="AH368" s="9">
        <v>3</v>
      </c>
      <c r="AI368" s="4" t="s">
        <v>6</v>
      </c>
      <c r="AJ368" s="4" t="s">
        <v>6</v>
      </c>
      <c r="AK368" s="23" t="s">
        <v>6</v>
      </c>
      <c r="AL368" s="23" t="s">
        <v>6</v>
      </c>
      <c r="AM368" s="23" t="s">
        <v>6</v>
      </c>
      <c r="AN368" s="24" t="s">
        <v>6</v>
      </c>
    </row>
    <row r="369" spans="1:40" x14ac:dyDescent="0.2">
      <c r="A369" s="15">
        <v>941</v>
      </c>
      <c r="B369" s="4" t="s">
        <v>6</v>
      </c>
      <c r="C369" s="36" t="s">
        <v>6</v>
      </c>
      <c r="D369" s="36" t="s">
        <v>6</v>
      </c>
      <c r="E369" s="36" t="s">
        <v>6</v>
      </c>
      <c r="F369" s="30" t="s">
        <v>6</v>
      </c>
      <c r="G369" s="36" t="s">
        <v>6</v>
      </c>
      <c r="H369" s="33" t="s">
        <v>6</v>
      </c>
      <c r="I369" s="33" t="s">
        <v>6</v>
      </c>
      <c r="J369" s="33" t="s">
        <v>6</v>
      </c>
      <c r="K369" s="33" t="s">
        <v>6</v>
      </c>
      <c r="L369" s="33" t="s">
        <v>6</v>
      </c>
      <c r="M369" s="33" t="s">
        <v>6</v>
      </c>
      <c r="N369" s="33" t="s">
        <v>6</v>
      </c>
      <c r="O369" s="33" t="s">
        <v>6</v>
      </c>
      <c r="P369" s="33" t="s">
        <v>6</v>
      </c>
      <c r="Q369" s="33" t="s">
        <v>6</v>
      </c>
      <c r="R369" s="33" t="s">
        <v>6</v>
      </c>
      <c r="S369" s="33" t="s">
        <v>6</v>
      </c>
      <c r="T369" s="33" t="s">
        <v>6</v>
      </c>
      <c r="U369" s="33" t="s">
        <v>6</v>
      </c>
      <c r="V369" s="4" t="s">
        <v>1</v>
      </c>
      <c r="W369" s="4">
        <v>1</v>
      </c>
      <c r="X369" s="4">
        <v>2</v>
      </c>
      <c r="Y369" s="4">
        <v>2</v>
      </c>
      <c r="Z369" s="5">
        <v>3</v>
      </c>
      <c r="AA369" s="4">
        <f t="shared" si="6"/>
        <v>3</v>
      </c>
      <c r="AB369" s="4" t="s">
        <v>6</v>
      </c>
      <c r="AC369" s="4" t="s">
        <v>6</v>
      </c>
      <c r="AD369" s="4" t="s">
        <v>6</v>
      </c>
      <c r="AE369" s="5" t="s">
        <v>6</v>
      </c>
      <c r="AF369" s="9">
        <f t="shared" si="5"/>
        <v>3</v>
      </c>
      <c r="AG369" s="5" t="s">
        <v>6</v>
      </c>
      <c r="AH369" s="9">
        <v>3</v>
      </c>
      <c r="AI369" s="4" t="s">
        <v>6</v>
      </c>
      <c r="AJ369" s="4" t="s">
        <v>6</v>
      </c>
      <c r="AK369" s="23" t="s">
        <v>6</v>
      </c>
      <c r="AL369" s="23" t="s">
        <v>6</v>
      </c>
      <c r="AM369" s="23" t="s">
        <v>6</v>
      </c>
      <c r="AN369" s="24" t="s">
        <v>6</v>
      </c>
    </row>
    <row r="370" spans="1:40" x14ac:dyDescent="0.2">
      <c r="A370" s="15">
        <v>975</v>
      </c>
      <c r="B370" s="4" t="s">
        <v>6</v>
      </c>
      <c r="C370" s="36" t="s">
        <v>6</v>
      </c>
      <c r="D370" s="36" t="s">
        <v>6</v>
      </c>
      <c r="E370" s="36" t="s">
        <v>6</v>
      </c>
      <c r="F370" s="30" t="s">
        <v>6</v>
      </c>
      <c r="G370" s="36" t="s">
        <v>6</v>
      </c>
      <c r="H370" s="33" t="s">
        <v>6</v>
      </c>
      <c r="I370" s="33" t="s">
        <v>6</v>
      </c>
      <c r="J370" s="33" t="s">
        <v>6</v>
      </c>
      <c r="K370" s="33" t="s">
        <v>6</v>
      </c>
      <c r="L370" s="33" t="s">
        <v>6</v>
      </c>
      <c r="M370" s="33" t="s">
        <v>6</v>
      </c>
      <c r="N370" s="33" t="s">
        <v>6</v>
      </c>
      <c r="O370" s="33" t="s">
        <v>6</v>
      </c>
      <c r="P370" s="33" t="s">
        <v>6</v>
      </c>
      <c r="Q370" s="33" t="s">
        <v>6</v>
      </c>
      <c r="R370" s="33" t="s">
        <v>6</v>
      </c>
      <c r="S370" s="33" t="s">
        <v>6</v>
      </c>
      <c r="T370" s="33" t="s">
        <v>6</v>
      </c>
      <c r="U370" s="33" t="s">
        <v>6</v>
      </c>
      <c r="V370" s="4" t="s">
        <v>1</v>
      </c>
      <c r="W370" s="4">
        <v>1</v>
      </c>
      <c r="X370" s="4">
        <v>2</v>
      </c>
      <c r="Y370" s="4">
        <v>2</v>
      </c>
      <c r="Z370" s="5">
        <v>3</v>
      </c>
      <c r="AA370" s="4">
        <f t="shared" si="6"/>
        <v>3</v>
      </c>
      <c r="AB370" s="4" t="s">
        <v>6</v>
      </c>
      <c r="AC370" s="4" t="s">
        <v>6</v>
      </c>
      <c r="AD370" s="4" t="s">
        <v>6</v>
      </c>
      <c r="AE370" s="5" t="s">
        <v>6</v>
      </c>
      <c r="AF370" s="9">
        <f t="shared" si="5"/>
        <v>3</v>
      </c>
      <c r="AG370" s="5" t="s">
        <v>6</v>
      </c>
      <c r="AH370" s="9">
        <v>3</v>
      </c>
      <c r="AI370" s="4" t="s">
        <v>6</v>
      </c>
      <c r="AJ370" s="4" t="s">
        <v>6</v>
      </c>
      <c r="AK370" s="23" t="s">
        <v>6</v>
      </c>
      <c r="AL370" s="23" t="s">
        <v>6</v>
      </c>
      <c r="AM370" s="23" t="s">
        <v>6</v>
      </c>
      <c r="AN370" s="24" t="s">
        <v>6</v>
      </c>
    </row>
    <row r="371" spans="1:40" x14ac:dyDescent="0.2">
      <c r="A371" s="15">
        <v>978</v>
      </c>
      <c r="B371" s="4" t="s">
        <v>6</v>
      </c>
      <c r="C371" s="36" t="s">
        <v>6</v>
      </c>
      <c r="D371" s="36" t="s">
        <v>6</v>
      </c>
      <c r="E371" s="36" t="s">
        <v>6</v>
      </c>
      <c r="F371" s="30" t="s">
        <v>6</v>
      </c>
      <c r="G371" s="36" t="s">
        <v>6</v>
      </c>
      <c r="H371" s="33" t="s">
        <v>6</v>
      </c>
      <c r="I371" s="33" t="s">
        <v>6</v>
      </c>
      <c r="J371" s="33" t="s">
        <v>6</v>
      </c>
      <c r="K371" s="33" t="s">
        <v>6</v>
      </c>
      <c r="L371" s="33" t="s">
        <v>6</v>
      </c>
      <c r="M371" s="33" t="s">
        <v>6</v>
      </c>
      <c r="N371" s="33" t="s">
        <v>6</v>
      </c>
      <c r="O371" s="33" t="s">
        <v>6</v>
      </c>
      <c r="P371" s="33" t="s">
        <v>6</v>
      </c>
      <c r="Q371" s="33" t="s">
        <v>6</v>
      </c>
      <c r="R371" s="33" t="s">
        <v>6</v>
      </c>
      <c r="S371" s="33" t="s">
        <v>6</v>
      </c>
      <c r="T371" s="33" t="s">
        <v>6</v>
      </c>
      <c r="U371" s="33" t="s">
        <v>6</v>
      </c>
      <c r="V371" s="4" t="s">
        <v>1</v>
      </c>
      <c r="W371" s="4">
        <v>1</v>
      </c>
      <c r="X371" s="4">
        <v>2</v>
      </c>
      <c r="Y371" s="4">
        <v>2</v>
      </c>
      <c r="Z371" s="5">
        <v>3</v>
      </c>
      <c r="AA371" s="4">
        <f t="shared" si="6"/>
        <v>3</v>
      </c>
      <c r="AB371" s="4" t="s">
        <v>6</v>
      </c>
      <c r="AC371" s="4" t="s">
        <v>6</v>
      </c>
      <c r="AD371" s="4" t="s">
        <v>6</v>
      </c>
      <c r="AE371" s="5" t="s">
        <v>6</v>
      </c>
      <c r="AF371" s="9">
        <f t="shared" si="5"/>
        <v>3</v>
      </c>
      <c r="AG371" s="5" t="s">
        <v>6</v>
      </c>
      <c r="AH371" s="9">
        <v>3</v>
      </c>
      <c r="AI371" s="4" t="s">
        <v>6</v>
      </c>
      <c r="AJ371" s="4" t="s">
        <v>6</v>
      </c>
      <c r="AK371" s="23" t="s">
        <v>6</v>
      </c>
      <c r="AL371" s="23" t="s">
        <v>6</v>
      </c>
      <c r="AM371" s="23" t="s">
        <v>6</v>
      </c>
      <c r="AN371" s="24" t="s">
        <v>6</v>
      </c>
    </row>
    <row r="372" spans="1:40" x14ac:dyDescent="0.2">
      <c r="A372" s="15">
        <v>980</v>
      </c>
      <c r="B372" s="4" t="s">
        <v>6</v>
      </c>
      <c r="C372" s="36" t="s">
        <v>6</v>
      </c>
      <c r="D372" s="36" t="s">
        <v>6</v>
      </c>
      <c r="E372" s="36" t="s">
        <v>6</v>
      </c>
      <c r="F372" s="30" t="s">
        <v>6</v>
      </c>
      <c r="G372" s="36" t="s">
        <v>6</v>
      </c>
      <c r="H372" s="33" t="s">
        <v>6</v>
      </c>
      <c r="I372" s="33" t="s">
        <v>6</v>
      </c>
      <c r="J372" s="33" t="s">
        <v>6</v>
      </c>
      <c r="K372" s="33" t="s">
        <v>6</v>
      </c>
      <c r="L372" s="33" t="s">
        <v>6</v>
      </c>
      <c r="M372" s="33" t="s">
        <v>6</v>
      </c>
      <c r="N372" s="33" t="s">
        <v>6</v>
      </c>
      <c r="O372" s="33" t="s">
        <v>6</v>
      </c>
      <c r="P372" s="33" t="s">
        <v>6</v>
      </c>
      <c r="Q372" s="33" t="s">
        <v>6</v>
      </c>
      <c r="R372" s="33" t="s">
        <v>6</v>
      </c>
      <c r="S372" s="33" t="s">
        <v>6</v>
      </c>
      <c r="T372" s="33" t="s">
        <v>6</v>
      </c>
      <c r="U372" s="33" t="s">
        <v>6</v>
      </c>
      <c r="V372" s="4" t="s">
        <v>1</v>
      </c>
      <c r="W372" s="4">
        <v>1</v>
      </c>
      <c r="X372" s="4">
        <v>2</v>
      </c>
      <c r="Y372" s="4">
        <v>2</v>
      </c>
      <c r="Z372" s="5">
        <v>3</v>
      </c>
      <c r="AA372" s="4">
        <f t="shared" si="6"/>
        <v>3</v>
      </c>
      <c r="AB372" s="4" t="s">
        <v>6</v>
      </c>
      <c r="AC372" s="4" t="s">
        <v>6</v>
      </c>
      <c r="AD372" s="4" t="s">
        <v>6</v>
      </c>
      <c r="AE372" s="5" t="s">
        <v>6</v>
      </c>
      <c r="AF372" s="9">
        <f t="shared" si="5"/>
        <v>3</v>
      </c>
      <c r="AG372" s="5" t="s">
        <v>6</v>
      </c>
      <c r="AH372" s="9">
        <v>3</v>
      </c>
      <c r="AI372" s="4" t="s">
        <v>6</v>
      </c>
      <c r="AJ372" s="4" t="s">
        <v>6</v>
      </c>
      <c r="AK372" s="23" t="s">
        <v>6</v>
      </c>
      <c r="AL372" s="23" t="s">
        <v>6</v>
      </c>
      <c r="AM372" s="23" t="s">
        <v>6</v>
      </c>
      <c r="AN372" s="24" t="s">
        <v>6</v>
      </c>
    </row>
    <row r="373" spans="1:40" x14ac:dyDescent="0.2">
      <c r="A373" s="15">
        <v>1011</v>
      </c>
      <c r="B373" s="4" t="s">
        <v>6</v>
      </c>
      <c r="C373" s="36" t="s">
        <v>6</v>
      </c>
      <c r="D373" s="36" t="s">
        <v>6</v>
      </c>
      <c r="E373" s="36" t="s">
        <v>6</v>
      </c>
      <c r="F373" s="30" t="s">
        <v>6</v>
      </c>
      <c r="G373" s="36" t="s">
        <v>6</v>
      </c>
      <c r="H373" s="33" t="s">
        <v>6</v>
      </c>
      <c r="I373" s="33" t="s">
        <v>6</v>
      </c>
      <c r="J373" s="33" t="s">
        <v>6</v>
      </c>
      <c r="K373" s="33" t="s">
        <v>6</v>
      </c>
      <c r="L373" s="33" t="s">
        <v>6</v>
      </c>
      <c r="M373" s="33" t="s">
        <v>6</v>
      </c>
      <c r="N373" s="33" t="s">
        <v>6</v>
      </c>
      <c r="O373" s="33" t="s">
        <v>6</v>
      </c>
      <c r="P373" s="33" t="s">
        <v>6</v>
      </c>
      <c r="Q373" s="33" t="s">
        <v>6</v>
      </c>
      <c r="R373" s="33" t="s">
        <v>6</v>
      </c>
      <c r="S373" s="33" t="s">
        <v>6</v>
      </c>
      <c r="T373" s="33" t="s">
        <v>6</v>
      </c>
      <c r="U373" s="33" t="s">
        <v>6</v>
      </c>
      <c r="V373" s="4" t="s">
        <v>1</v>
      </c>
      <c r="W373" s="4">
        <v>1</v>
      </c>
      <c r="X373" s="4">
        <v>2</v>
      </c>
      <c r="Y373" s="4">
        <v>2</v>
      </c>
      <c r="Z373" s="5">
        <v>3</v>
      </c>
      <c r="AA373" s="4">
        <f t="shared" si="6"/>
        <v>3</v>
      </c>
      <c r="AB373" s="4" t="s">
        <v>6</v>
      </c>
      <c r="AC373" s="4" t="s">
        <v>6</v>
      </c>
      <c r="AD373" s="4" t="s">
        <v>6</v>
      </c>
      <c r="AE373" s="5" t="s">
        <v>6</v>
      </c>
      <c r="AF373" s="9">
        <f t="shared" si="5"/>
        <v>3</v>
      </c>
      <c r="AG373" s="5" t="s">
        <v>6</v>
      </c>
      <c r="AH373" s="9">
        <v>3</v>
      </c>
      <c r="AI373" s="4" t="s">
        <v>6</v>
      </c>
      <c r="AJ373" s="4" t="s">
        <v>6</v>
      </c>
      <c r="AK373" s="23" t="s">
        <v>6</v>
      </c>
      <c r="AL373" s="23" t="s">
        <v>6</v>
      </c>
      <c r="AM373" s="23" t="s">
        <v>6</v>
      </c>
      <c r="AN373" s="24" t="s">
        <v>6</v>
      </c>
    </row>
    <row r="374" spans="1:40" x14ac:dyDescent="0.2">
      <c r="A374" s="15">
        <v>1041</v>
      </c>
      <c r="B374" s="4" t="s">
        <v>6</v>
      </c>
      <c r="C374" s="36" t="s">
        <v>6</v>
      </c>
      <c r="D374" s="36" t="s">
        <v>6</v>
      </c>
      <c r="E374" s="36" t="s">
        <v>6</v>
      </c>
      <c r="F374" s="30" t="s">
        <v>6</v>
      </c>
      <c r="G374" s="36" t="s">
        <v>6</v>
      </c>
      <c r="H374" s="33" t="s">
        <v>6</v>
      </c>
      <c r="I374" s="33" t="s">
        <v>6</v>
      </c>
      <c r="J374" s="33" t="s">
        <v>6</v>
      </c>
      <c r="K374" s="33" t="s">
        <v>6</v>
      </c>
      <c r="L374" s="33" t="s">
        <v>6</v>
      </c>
      <c r="M374" s="33" t="s">
        <v>6</v>
      </c>
      <c r="N374" s="33" t="s">
        <v>6</v>
      </c>
      <c r="O374" s="33" t="s">
        <v>6</v>
      </c>
      <c r="P374" s="33" t="s">
        <v>6</v>
      </c>
      <c r="Q374" s="33" t="s">
        <v>6</v>
      </c>
      <c r="R374" s="33" t="s">
        <v>6</v>
      </c>
      <c r="S374" s="33" t="s">
        <v>6</v>
      </c>
      <c r="T374" s="33" t="s">
        <v>6</v>
      </c>
      <c r="U374" s="33" t="s">
        <v>6</v>
      </c>
      <c r="V374" s="4" t="s">
        <v>1</v>
      </c>
      <c r="W374" s="4">
        <v>1</v>
      </c>
      <c r="X374" s="4">
        <v>2</v>
      </c>
      <c r="Y374" s="4">
        <v>2</v>
      </c>
      <c r="Z374" s="5">
        <v>3</v>
      </c>
      <c r="AA374" s="4">
        <f t="shared" si="6"/>
        <v>3</v>
      </c>
      <c r="AB374" s="4" t="s">
        <v>6</v>
      </c>
      <c r="AC374" s="4" t="s">
        <v>6</v>
      </c>
      <c r="AD374" s="4" t="s">
        <v>6</v>
      </c>
      <c r="AE374" s="5" t="s">
        <v>6</v>
      </c>
      <c r="AF374" s="9">
        <f t="shared" si="5"/>
        <v>3</v>
      </c>
      <c r="AG374" s="5" t="s">
        <v>6</v>
      </c>
      <c r="AH374" s="9">
        <v>3</v>
      </c>
      <c r="AI374" s="4" t="s">
        <v>6</v>
      </c>
      <c r="AJ374" s="4" t="s">
        <v>6</v>
      </c>
      <c r="AK374" s="23" t="s">
        <v>6</v>
      </c>
      <c r="AL374" s="23" t="s">
        <v>6</v>
      </c>
      <c r="AM374" s="23" t="s">
        <v>6</v>
      </c>
      <c r="AN374" s="24" t="s">
        <v>6</v>
      </c>
    </row>
    <row r="375" spans="1:40" x14ac:dyDescent="0.2">
      <c r="A375" s="15">
        <v>1043</v>
      </c>
      <c r="B375" s="4" t="s">
        <v>6</v>
      </c>
      <c r="C375" s="36" t="s">
        <v>6</v>
      </c>
      <c r="D375" s="36" t="s">
        <v>6</v>
      </c>
      <c r="E375" s="36" t="s">
        <v>6</v>
      </c>
      <c r="F375" s="30" t="s">
        <v>6</v>
      </c>
      <c r="G375" s="36" t="s">
        <v>6</v>
      </c>
      <c r="H375" s="33" t="s">
        <v>6</v>
      </c>
      <c r="I375" s="33" t="s">
        <v>6</v>
      </c>
      <c r="J375" s="33" t="s">
        <v>6</v>
      </c>
      <c r="K375" s="33" t="s">
        <v>6</v>
      </c>
      <c r="L375" s="33" t="s">
        <v>6</v>
      </c>
      <c r="M375" s="33" t="s">
        <v>6</v>
      </c>
      <c r="N375" s="33" t="s">
        <v>6</v>
      </c>
      <c r="O375" s="33" t="s">
        <v>6</v>
      </c>
      <c r="P375" s="33" t="s">
        <v>6</v>
      </c>
      <c r="Q375" s="33" t="s">
        <v>6</v>
      </c>
      <c r="R375" s="33" t="s">
        <v>6</v>
      </c>
      <c r="S375" s="33" t="s">
        <v>6</v>
      </c>
      <c r="T375" s="33" t="s">
        <v>6</v>
      </c>
      <c r="U375" s="33" t="s">
        <v>6</v>
      </c>
      <c r="V375" s="4" t="s">
        <v>1</v>
      </c>
      <c r="W375" s="4">
        <v>1</v>
      </c>
      <c r="X375" s="4">
        <v>2</v>
      </c>
      <c r="Y375" s="4">
        <v>2</v>
      </c>
      <c r="Z375" s="5">
        <v>3</v>
      </c>
      <c r="AA375" s="4">
        <f t="shared" si="6"/>
        <v>3</v>
      </c>
      <c r="AB375" s="4" t="s">
        <v>6</v>
      </c>
      <c r="AC375" s="4" t="s">
        <v>6</v>
      </c>
      <c r="AD375" s="4" t="s">
        <v>6</v>
      </c>
      <c r="AE375" s="5" t="s">
        <v>6</v>
      </c>
      <c r="AF375" s="9">
        <f t="shared" si="5"/>
        <v>3</v>
      </c>
      <c r="AG375" s="5" t="s">
        <v>6</v>
      </c>
      <c r="AH375" s="9">
        <v>3</v>
      </c>
      <c r="AI375" s="4" t="s">
        <v>6</v>
      </c>
      <c r="AJ375" s="4" t="s">
        <v>6</v>
      </c>
      <c r="AK375" s="23" t="s">
        <v>6</v>
      </c>
      <c r="AL375" s="23" t="s">
        <v>6</v>
      </c>
      <c r="AM375" s="23" t="s">
        <v>6</v>
      </c>
      <c r="AN375" s="24" t="s">
        <v>6</v>
      </c>
    </row>
    <row r="376" spans="1:40" x14ac:dyDescent="0.2">
      <c r="A376" s="15">
        <v>1108</v>
      </c>
      <c r="B376" s="4" t="s">
        <v>6</v>
      </c>
      <c r="C376" s="36" t="s">
        <v>6</v>
      </c>
      <c r="D376" s="36" t="s">
        <v>6</v>
      </c>
      <c r="E376" s="36" t="s">
        <v>6</v>
      </c>
      <c r="F376" s="30" t="s">
        <v>6</v>
      </c>
      <c r="G376" s="36" t="s">
        <v>6</v>
      </c>
      <c r="H376" s="33" t="s">
        <v>6</v>
      </c>
      <c r="I376" s="33" t="s">
        <v>6</v>
      </c>
      <c r="J376" s="33" t="s">
        <v>6</v>
      </c>
      <c r="K376" s="33" t="s">
        <v>6</v>
      </c>
      <c r="L376" s="33" t="s">
        <v>6</v>
      </c>
      <c r="M376" s="33" t="s">
        <v>6</v>
      </c>
      <c r="N376" s="33" t="s">
        <v>6</v>
      </c>
      <c r="O376" s="33" t="s">
        <v>6</v>
      </c>
      <c r="P376" s="33" t="s">
        <v>6</v>
      </c>
      <c r="Q376" s="33" t="s">
        <v>6</v>
      </c>
      <c r="R376" s="33" t="s">
        <v>6</v>
      </c>
      <c r="S376" s="33" t="s">
        <v>6</v>
      </c>
      <c r="T376" s="33" t="s">
        <v>6</v>
      </c>
      <c r="U376" s="33" t="s">
        <v>6</v>
      </c>
      <c r="V376" s="4" t="s">
        <v>1</v>
      </c>
      <c r="W376" s="4">
        <v>1</v>
      </c>
      <c r="X376" s="4">
        <v>2</v>
      </c>
      <c r="Y376" s="4">
        <v>2</v>
      </c>
      <c r="Z376" s="5">
        <v>3</v>
      </c>
      <c r="AA376" s="4">
        <f t="shared" si="6"/>
        <v>3</v>
      </c>
      <c r="AB376" s="4" t="s">
        <v>6</v>
      </c>
      <c r="AC376" s="4" t="s">
        <v>6</v>
      </c>
      <c r="AD376" s="4" t="s">
        <v>6</v>
      </c>
      <c r="AE376" s="5" t="s">
        <v>6</v>
      </c>
      <c r="AF376" s="9">
        <f t="shared" si="5"/>
        <v>3</v>
      </c>
      <c r="AG376" s="5" t="s">
        <v>6</v>
      </c>
      <c r="AH376" s="9">
        <v>3</v>
      </c>
      <c r="AI376" s="4" t="s">
        <v>6</v>
      </c>
      <c r="AJ376" s="4" t="s">
        <v>6</v>
      </c>
      <c r="AK376" s="23" t="s">
        <v>6</v>
      </c>
      <c r="AL376" s="23" t="s">
        <v>6</v>
      </c>
      <c r="AM376" s="23" t="s">
        <v>6</v>
      </c>
      <c r="AN376" s="24" t="s">
        <v>6</v>
      </c>
    </row>
    <row r="377" spans="1:40" x14ac:dyDescent="0.2">
      <c r="A377" s="15">
        <v>1119</v>
      </c>
      <c r="B377" s="4" t="s">
        <v>6</v>
      </c>
      <c r="C377" s="36" t="s">
        <v>6</v>
      </c>
      <c r="D377" s="36" t="s">
        <v>6</v>
      </c>
      <c r="E377" s="36" t="s">
        <v>6</v>
      </c>
      <c r="F377" s="30" t="s">
        <v>6</v>
      </c>
      <c r="G377" s="36" t="s">
        <v>6</v>
      </c>
      <c r="H377" s="33" t="s">
        <v>6</v>
      </c>
      <c r="I377" s="33" t="s">
        <v>6</v>
      </c>
      <c r="J377" s="33" t="s">
        <v>6</v>
      </c>
      <c r="K377" s="33" t="s">
        <v>6</v>
      </c>
      <c r="L377" s="33" t="s">
        <v>6</v>
      </c>
      <c r="M377" s="33" t="s">
        <v>6</v>
      </c>
      <c r="N377" s="33" t="s">
        <v>6</v>
      </c>
      <c r="O377" s="33" t="s">
        <v>6</v>
      </c>
      <c r="P377" s="33" t="s">
        <v>6</v>
      </c>
      <c r="Q377" s="33" t="s">
        <v>6</v>
      </c>
      <c r="R377" s="33" t="s">
        <v>6</v>
      </c>
      <c r="S377" s="33" t="s">
        <v>6</v>
      </c>
      <c r="T377" s="33" t="s">
        <v>6</v>
      </c>
      <c r="U377" s="33" t="s">
        <v>6</v>
      </c>
      <c r="V377" s="4" t="s">
        <v>1</v>
      </c>
      <c r="W377" s="4">
        <v>1</v>
      </c>
      <c r="X377" s="4">
        <v>2</v>
      </c>
      <c r="Y377" s="4">
        <v>2</v>
      </c>
      <c r="Z377" s="5">
        <v>3</v>
      </c>
      <c r="AA377" s="4">
        <f t="shared" si="6"/>
        <v>3</v>
      </c>
      <c r="AB377" s="4" t="s">
        <v>6</v>
      </c>
      <c r="AC377" s="4" t="s">
        <v>6</v>
      </c>
      <c r="AD377" s="4" t="s">
        <v>6</v>
      </c>
      <c r="AE377" s="5" t="s">
        <v>6</v>
      </c>
      <c r="AF377" s="9">
        <f t="shared" si="5"/>
        <v>3</v>
      </c>
      <c r="AG377" s="5" t="s">
        <v>6</v>
      </c>
      <c r="AH377" s="9">
        <v>3</v>
      </c>
      <c r="AI377" s="4" t="s">
        <v>6</v>
      </c>
      <c r="AJ377" s="4" t="s">
        <v>6</v>
      </c>
      <c r="AK377" s="23" t="s">
        <v>6</v>
      </c>
      <c r="AL377" s="23" t="s">
        <v>6</v>
      </c>
      <c r="AM377" s="23" t="s">
        <v>6</v>
      </c>
      <c r="AN377" s="24" t="s">
        <v>6</v>
      </c>
    </row>
    <row r="378" spans="1:40" x14ac:dyDescent="0.2">
      <c r="A378" s="15">
        <v>1123</v>
      </c>
      <c r="B378" s="4" t="s">
        <v>6</v>
      </c>
      <c r="C378" s="36" t="s">
        <v>6</v>
      </c>
      <c r="D378" s="36" t="s">
        <v>6</v>
      </c>
      <c r="E378" s="36" t="s">
        <v>6</v>
      </c>
      <c r="F378" s="30" t="s">
        <v>6</v>
      </c>
      <c r="G378" s="36" t="s">
        <v>6</v>
      </c>
      <c r="H378" s="33" t="s">
        <v>6</v>
      </c>
      <c r="I378" s="33" t="s">
        <v>6</v>
      </c>
      <c r="J378" s="33" t="s">
        <v>6</v>
      </c>
      <c r="K378" s="33" t="s">
        <v>6</v>
      </c>
      <c r="L378" s="33" t="s">
        <v>6</v>
      </c>
      <c r="M378" s="33" t="s">
        <v>6</v>
      </c>
      <c r="N378" s="33" t="s">
        <v>6</v>
      </c>
      <c r="O378" s="33" t="s">
        <v>6</v>
      </c>
      <c r="P378" s="33" t="s">
        <v>6</v>
      </c>
      <c r="Q378" s="33" t="s">
        <v>6</v>
      </c>
      <c r="R378" s="33" t="s">
        <v>6</v>
      </c>
      <c r="S378" s="33" t="s">
        <v>6</v>
      </c>
      <c r="T378" s="33" t="s">
        <v>6</v>
      </c>
      <c r="U378" s="33" t="s">
        <v>6</v>
      </c>
      <c r="V378" s="4" t="s">
        <v>1</v>
      </c>
      <c r="W378" s="4">
        <v>1</v>
      </c>
      <c r="X378" s="4">
        <v>2</v>
      </c>
      <c r="Y378" s="4">
        <v>2</v>
      </c>
      <c r="Z378" s="5">
        <v>3</v>
      </c>
      <c r="AA378" s="4">
        <f t="shared" si="6"/>
        <v>3</v>
      </c>
      <c r="AB378" s="4" t="s">
        <v>6</v>
      </c>
      <c r="AC378" s="4" t="s">
        <v>6</v>
      </c>
      <c r="AD378" s="4" t="s">
        <v>6</v>
      </c>
      <c r="AE378" s="5" t="s">
        <v>6</v>
      </c>
      <c r="AF378" s="9">
        <f t="shared" si="5"/>
        <v>3</v>
      </c>
      <c r="AG378" s="5" t="s">
        <v>6</v>
      </c>
      <c r="AH378" s="9">
        <v>3</v>
      </c>
      <c r="AI378" s="4" t="s">
        <v>6</v>
      </c>
      <c r="AJ378" s="4" t="s">
        <v>6</v>
      </c>
      <c r="AK378" s="23" t="s">
        <v>6</v>
      </c>
      <c r="AL378" s="23" t="s">
        <v>6</v>
      </c>
      <c r="AM378" s="23" t="s">
        <v>6</v>
      </c>
      <c r="AN378" s="24" t="s">
        <v>6</v>
      </c>
    </row>
    <row r="379" spans="1:40" x14ac:dyDescent="0.2">
      <c r="A379" s="15">
        <v>1158</v>
      </c>
      <c r="B379" s="4" t="s">
        <v>6</v>
      </c>
      <c r="C379" s="36" t="s">
        <v>6</v>
      </c>
      <c r="D379" s="36" t="s">
        <v>6</v>
      </c>
      <c r="E379" s="36" t="s">
        <v>6</v>
      </c>
      <c r="F379" s="30" t="s">
        <v>6</v>
      </c>
      <c r="G379" s="36" t="s">
        <v>6</v>
      </c>
      <c r="H379" s="33" t="s">
        <v>6</v>
      </c>
      <c r="I379" s="33" t="s">
        <v>6</v>
      </c>
      <c r="J379" s="33" t="s">
        <v>6</v>
      </c>
      <c r="K379" s="33" t="s">
        <v>6</v>
      </c>
      <c r="L379" s="33" t="s">
        <v>6</v>
      </c>
      <c r="M379" s="33" t="s">
        <v>6</v>
      </c>
      <c r="N379" s="33" t="s">
        <v>6</v>
      </c>
      <c r="O379" s="33" t="s">
        <v>6</v>
      </c>
      <c r="P379" s="33" t="s">
        <v>6</v>
      </c>
      <c r="Q379" s="33" t="s">
        <v>6</v>
      </c>
      <c r="R379" s="33" t="s">
        <v>6</v>
      </c>
      <c r="S379" s="33" t="s">
        <v>6</v>
      </c>
      <c r="T379" s="33" t="s">
        <v>6</v>
      </c>
      <c r="U379" s="33" t="s">
        <v>6</v>
      </c>
      <c r="V379" s="4" t="s">
        <v>1</v>
      </c>
      <c r="W379" s="4">
        <v>1</v>
      </c>
      <c r="X379" s="4">
        <v>2</v>
      </c>
      <c r="Y379" s="4">
        <v>2</v>
      </c>
      <c r="Z379" s="5">
        <v>3</v>
      </c>
      <c r="AA379" s="4">
        <f t="shared" si="6"/>
        <v>3</v>
      </c>
      <c r="AB379" s="4" t="s">
        <v>6</v>
      </c>
      <c r="AC379" s="4" t="s">
        <v>6</v>
      </c>
      <c r="AD379" s="4" t="s">
        <v>6</v>
      </c>
      <c r="AE379" s="5" t="s">
        <v>6</v>
      </c>
      <c r="AF379" s="9">
        <f t="shared" si="5"/>
        <v>3</v>
      </c>
      <c r="AG379" s="5" t="s">
        <v>6</v>
      </c>
      <c r="AH379" s="9">
        <v>3</v>
      </c>
      <c r="AI379" s="4" t="s">
        <v>6</v>
      </c>
      <c r="AJ379" s="4" t="s">
        <v>6</v>
      </c>
      <c r="AK379" s="23" t="s">
        <v>6</v>
      </c>
      <c r="AL379" s="23" t="s">
        <v>6</v>
      </c>
      <c r="AM379" s="23" t="s">
        <v>6</v>
      </c>
      <c r="AN379" s="24" t="s">
        <v>6</v>
      </c>
    </row>
    <row r="380" spans="1:40" x14ac:dyDescent="0.2">
      <c r="A380" s="15">
        <v>1159</v>
      </c>
      <c r="B380" s="4" t="s">
        <v>6</v>
      </c>
      <c r="C380" s="36" t="s">
        <v>6</v>
      </c>
      <c r="D380" s="36" t="s">
        <v>6</v>
      </c>
      <c r="E380" s="36" t="s">
        <v>6</v>
      </c>
      <c r="F380" s="30" t="s">
        <v>6</v>
      </c>
      <c r="G380" s="36" t="s">
        <v>6</v>
      </c>
      <c r="H380" s="33" t="s">
        <v>6</v>
      </c>
      <c r="I380" s="33" t="s">
        <v>6</v>
      </c>
      <c r="J380" s="33" t="s">
        <v>6</v>
      </c>
      <c r="K380" s="33" t="s">
        <v>6</v>
      </c>
      <c r="L380" s="33" t="s">
        <v>6</v>
      </c>
      <c r="M380" s="33" t="s">
        <v>6</v>
      </c>
      <c r="N380" s="33" t="s">
        <v>6</v>
      </c>
      <c r="O380" s="33" t="s">
        <v>6</v>
      </c>
      <c r="P380" s="33" t="s">
        <v>6</v>
      </c>
      <c r="Q380" s="33" t="s">
        <v>6</v>
      </c>
      <c r="R380" s="33" t="s">
        <v>6</v>
      </c>
      <c r="S380" s="33" t="s">
        <v>6</v>
      </c>
      <c r="T380" s="33" t="s">
        <v>6</v>
      </c>
      <c r="U380" s="33" t="s">
        <v>6</v>
      </c>
      <c r="V380" s="4" t="s">
        <v>1</v>
      </c>
      <c r="W380" s="4">
        <v>1</v>
      </c>
      <c r="X380" s="4">
        <v>2</v>
      </c>
      <c r="Y380" s="4">
        <v>2</v>
      </c>
      <c r="Z380" s="5">
        <v>3</v>
      </c>
      <c r="AA380" s="4">
        <f t="shared" si="6"/>
        <v>3</v>
      </c>
      <c r="AB380" s="4" t="s">
        <v>6</v>
      </c>
      <c r="AC380" s="4" t="s">
        <v>6</v>
      </c>
      <c r="AD380" s="4" t="s">
        <v>6</v>
      </c>
      <c r="AE380" s="5" t="s">
        <v>6</v>
      </c>
      <c r="AF380" s="9">
        <f t="shared" si="5"/>
        <v>3</v>
      </c>
      <c r="AG380" s="5" t="s">
        <v>6</v>
      </c>
      <c r="AH380" s="9">
        <v>3</v>
      </c>
      <c r="AI380" s="4" t="s">
        <v>6</v>
      </c>
      <c r="AJ380" s="4" t="s">
        <v>6</v>
      </c>
      <c r="AK380" s="23" t="s">
        <v>6</v>
      </c>
      <c r="AL380" s="23" t="s">
        <v>6</v>
      </c>
      <c r="AM380" s="23" t="s">
        <v>6</v>
      </c>
      <c r="AN380" s="24" t="s">
        <v>6</v>
      </c>
    </row>
    <row r="381" spans="1:40" x14ac:dyDescent="0.2">
      <c r="A381" s="15">
        <v>1165</v>
      </c>
      <c r="B381" s="4" t="s">
        <v>6</v>
      </c>
      <c r="C381" s="36" t="s">
        <v>6</v>
      </c>
      <c r="D381" s="36" t="s">
        <v>6</v>
      </c>
      <c r="E381" s="36" t="s">
        <v>6</v>
      </c>
      <c r="F381" s="30" t="s">
        <v>6</v>
      </c>
      <c r="G381" s="36" t="s">
        <v>6</v>
      </c>
      <c r="H381" s="33" t="s">
        <v>6</v>
      </c>
      <c r="I381" s="33" t="s">
        <v>6</v>
      </c>
      <c r="J381" s="33" t="s">
        <v>6</v>
      </c>
      <c r="K381" s="33" t="s">
        <v>6</v>
      </c>
      <c r="L381" s="33" t="s">
        <v>6</v>
      </c>
      <c r="M381" s="33" t="s">
        <v>6</v>
      </c>
      <c r="N381" s="33" t="s">
        <v>6</v>
      </c>
      <c r="O381" s="33" t="s">
        <v>6</v>
      </c>
      <c r="P381" s="33" t="s">
        <v>6</v>
      </c>
      <c r="Q381" s="33" t="s">
        <v>6</v>
      </c>
      <c r="R381" s="33" t="s">
        <v>6</v>
      </c>
      <c r="S381" s="33" t="s">
        <v>6</v>
      </c>
      <c r="T381" s="33" t="s">
        <v>6</v>
      </c>
      <c r="U381" s="33" t="s">
        <v>6</v>
      </c>
      <c r="V381" s="4" t="s">
        <v>1</v>
      </c>
      <c r="W381" s="4">
        <v>1</v>
      </c>
      <c r="X381" s="4">
        <v>2</v>
      </c>
      <c r="Y381" s="4">
        <v>2</v>
      </c>
      <c r="Z381" s="5">
        <v>3</v>
      </c>
      <c r="AA381" s="4">
        <f t="shared" si="6"/>
        <v>3</v>
      </c>
      <c r="AB381" s="4" t="s">
        <v>6</v>
      </c>
      <c r="AC381" s="4" t="s">
        <v>6</v>
      </c>
      <c r="AD381" s="4" t="s">
        <v>6</v>
      </c>
      <c r="AE381" s="5" t="s">
        <v>6</v>
      </c>
      <c r="AF381" s="9">
        <f t="shared" si="5"/>
        <v>3</v>
      </c>
      <c r="AG381" s="5" t="s">
        <v>6</v>
      </c>
      <c r="AH381" s="9">
        <v>3</v>
      </c>
      <c r="AI381" s="4" t="s">
        <v>6</v>
      </c>
      <c r="AJ381" s="4" t="s">
        <v>6</v>
      </c>
      <c r="AK381" s="23" t="s">
        <v>6</v>
      </c>
      <c r="AL381" s="23" t="s">
        <v>6</v>
      </c>
      <c r="AM381" s="23" t="s">
        <v>6</v>
      </c>
      <c r="AN381" s="24" t="s">
        <v>6</v>
      </c>
    </row>
    <row r="382" spans="1:40" x14ac:dyDescent="0.2">
      <c r="A382" s="15">
        <v>1168</v>
      </c>
      <c r="B382" s="4" t="s">
        <v>6</v>
      </c>
      <c r="C382" s="36" t="s">
        <v>6</v>
      </c>
      <c r="D382" s="36" t="s">
        <v>6</v>
      </c>
      <c r="E382" s="36" t="s">
        <v>6</v>
      </c>
      <c r="F382" s="30" t="s">
        <v>6</v>
      </c>
      <c r="G382" s="36" t="s">
        <v>6</v>
      </c>
      <c r="H382" s="33" t="s">
        <v>6</v>
      </c>
      <c r="I382" s="33" t="s">
        <v>6</v>
      </c>
      <c r="J382" s="33" t="s">
        <v>6</v>
      </c>
      <c r="K382" s="33" t="s">
        <v>6</v>
      </c>
      <c r="L382" s="33" t="s">
        <v>6</v>
      </c>
      <c r="M382" s="33" t="s">
        <v>6</v>
      </c>
      <c r="N382" s="33" t="s">
        <v>6</v>
      </c>
      <c r="O382" s="33" t="s">
        <v>6</v>
      </c>
      <c r="P382" s="33" t="s">
        <v>6</v>
      </c>
      <c r="Q382" s="33" t="s">
        <v>6</v>
      </c>
      <c r="R382" s="33" t="s">
        <v>6</v>
      </c>
      <c r="S382" s="33" t="s">
        <v>6</v>
      </c>
      <c r="T382" s="33" t="s">
        <v>6</v>
      </c>
      <c r="U382" s="33" t="s">
        <v>6</v>
      </c>
      <c r="V382" s="4" t="s">
        <v>1</v>
      </c>
      <c r="W382" s="4">
        <v>1</v>
      </c>
      <c r="X382" s="4">
        <v>2</v>
      </c>
      <c r="Y382" s="4">
        <v>2</v>
      </c>
      <c r="Z382" s="5">
        <v>3</v>
      </c>
      <c r="AA382" s="4">
        <f t="shared" si="6"/>
        <v>3</v>
      </c>
      <c r="AB382" s="4" t="s">
        <v>6</v>
      </c>
      <c r="AC382" s="4" t="s">
        <v>6</v>
      </c>
      <c r="AD382" s="4" t="s">
        <v>6</v>
      </c>
      <c r="AE382" s="5" t="s">
        <v>6</v>
      </c>
      <c r="AF382" s="9">
        <f t="shared" si="5"/>
        <v>3</v>
      </c>
      <c r="AG382" s="5" t="s">
        <v>6</v>
      </c>
      <c r="AH382" s="9">
        <v>3</v>
      </c>
      <c r="AI382" s="4" t="s">
        <v>6</v>
      </c>
      <c r="AJ382" s="4" t="s">
        <v>6</v>
      </c>
      <c r="AK382" s="23" t="s">
        <v>6</v>
      </c>
      <c r="AL382" s="23" t="s">
        <v>6</v>
      </c>
      <c r="AM382" s="23" t="s">
        <v>6</v>
      </c>
      <c r="AN382" s="24" t="s">
        <v>6</v>
      </c>
    </row>
    <row r="383" spans="1:40" x14ac:dyDescent="0.2">
      <c r="A383" s="15">
        <v>1178</v>
      </c>
      <c r="B383" s="4" t="s">
        <v>6</v>
      </c>
      <c r="C383" s="36" t="s">
        <v>6</v>
      </c>
      <c r="D383" s="36" t="s">
        <v>6</v>
      </c>
      <c r="E383" s="36" t="s">
        <v>6</v>
      </c>
      <c r="F383" s="30" t="s">
        <v>6</v>
      </c>
      <c r="G383" s="36" t="s">
        <v>6</v>
      </c>
      <c r="H383" s="33" t="s">
        <v>6</v>
      </c>
      <c r="I383" s="33" t="s">
        <v>6</v>
      </c>
      <c r="J383" s="33" t="s">
        <v>6</v>
      </c>
      <c r="K383" s="33" t="s">
        <v>6</v>
      </c>
      <c r="L383" s="33" t="s">
        <v>6</v>
      </c>
      <c r="M383" s="33" t="s">
        <v>6</v>
      </c>
      <c r="N383" s="33" t="s">
        <v>6</v>
      </c>
      <c r="O383" s="33" t="s">
        <v>6</v>
      </c>
      <c r="P383" s="33" t="s">
        <v>6</v>
      </c>
      <c r="Q383" s="33" t="s">
        <v>6</v>
      </c>
      <c r="R383" s="33" t="s">
        <v>6</v>
      </c>
      <c r="S383" s="33" t="s">
        <v>6</v>
      </c>
      <c r="T383" s="33" t="s">
        <v>6</v>
      </c>
      <c r="U383" s="33" t="s">
        <v>6</v>
      </c>
      <c r="V383" s="4" t="s">
        <v>1</v>
      </c>
      <c r="W383" s="4">
        <v>1</v>
      </c>
      <c r="X383" s="4">
        <v>2</v>
      </c>
      <c r="Y383" s="4">
        <v>2</v>
      </c>
      <c r="Z383" s="5">
        <v>3</v>
      </c>
      <c r="AA383" s="4">
        <f t="shared" si="6"/>
        <v>3</v>
      </c>
      <c r="AB383" s="4" t="s">
        <v>6</v>
      </c>
      <c r="AC383" s="4" t="s">
        <v>6</v>
      </c>
      <c r="AD383" s="4" t="s">
        <v>6</v>
      </c>
      <c r="AE383" s="5" t="s">
        <v>6</v>
      </c>
      <c r="AF383" s="9">
        <f t="shared" si="5"/>
        <v>3</v>
      </c>
      <c r="AG383" s="5" t="s">
        <v>6</v>
      </c>
      <c r="AH383" s="9">
        <v>3</v>
      </c>
      <c r="AI383" s="4" t="s">
        <v>6</v>
      </c>
      <c r="AJ383" s="4" t="s">
        <v>6</v>
      </c>
      <c r="AK383" s="23" t="s">
        <v>6</v>
      </c>
      <c r="AL383" s="23" t="s">
        <v>6</v>
      </c>
      <c r="AM383" s="23" t="s">
        <v>6</v>
      </c>
      <c r="AN383" s="24" t="s">
        <v>6</v>
      </c>
    </row>
    <row r="384" spans="1:40" x14ac:dyDescent="0.2">
      <c r="A384" s="15">
        <v>1195</v>
      </c>
      <c r="B384" s="4" t="s">
        <v>6</v>
      </c>
      <c r="C384" s="36" t="s">
        <v>6</v>
      </c>
      <c r="D384" s="36" t="s">
        <v>6</v>
      </c>
      <c r="E384" s="36" t="s">
        <v>6</v>
      </c>
      <c r="F384" s="30" t="s">
        <v>6</v>
      </c>
      <c r="G384" s="36" t="s">
        <v>6</v>
      </c>
      <c r="H384" s="33" t="s">
        <v>6</v>
      </c>
      <c r="I384" s="33" t="s">
        <v>6</v>
      </c>
      <c r="J384" s="33" t="s">
        <v>6</v>
      </c>
      <c r="K384" s="33" t="s">
        <v>6</v>
      </c>
      <c r="L384" s="33" t="s">
        <v>6</v>
      </c>
      <c r="M384" s="33" t="s">
        <v>6</v>
      </c>
      <c r="N384" s="33" t="s">
        <v>6</v>
      </c>
      <c r="O384" s="33" t="s">
        <v>6</v>
      </c>
      <c r="P384" s="33" t="s">
        <v>6</v>
      </c>
      <c r="Q384" s="33" t="s">
        <v>6</v>
      </c>
      <c r="R384" s="33" t="s">
        <v>6</v>
      </c>
      <c r="S384" s="33" t="s">
        <v>6</v>
      </c>
      <c r="T384" s="33" t="s">
        <v>6</v>
      </c>
      <c r="U384" s="33" t="s">
        <v>6</v>
      </c>
      <c r="V384" s="4" t="s">
        <v>1</v>
      </c>
      <c r="W384" s="4">
        <v>1</v>
      </c>
      <c r="X384" s="4">
        <v>2</v>
      </c>
      <c r="Y384" s="4">
        <v>2</v>
      </c>
      <c r="Z384" s="5">
        <v>3</v>
      </c>
      <c r="AA384" s="4">
        <f t="shared" si="6"/>
        <v>3</v>
      </c>
      <c r="AB384" s="4" t="s">
        <v>6</v>
      </c>
      <c r="AC384" s="4" t="s">
        <v>6</v>
      </c>
      <c r="AD384" s="4" t="s">
        <v>6</v>
      </c>
      <c r="AE384" s="5" t="s">
        <v>6</v>
      </c>
      <c r="AF384" s="9">
        <f t="shared" si="5"/>
        <v>3</v>
      </c>
      <c r="AG384" s="5" t="s">
        <v>6</v>
      </c>
      <c r="AH384" s="9">
        <v>3</v>
      </c>
      <c r="AI384" s="4" t="s">
        <v>6</v>
      </c>
      <c r="AJ384" s="4" t="s">
        <v>6</v>
      </c>
      <c r="AK384" s="23" t="s">
        <v>6</v>
      </c>
      <c r="AL384" s="23" t="s">
        <v>6</v>
      </c>
      <c r="AM384" s="23" t="s">
        <v>6</v>
      </c>
      <c r="AN384" s="24" t="s">
        <v>6</v>
      </c>
    </row>
    <row r="385" spans="1:40" x14ac:dyDescent="0.2">
      <c r="A385" s="15">
        <v>1196</v>
      </c>
      <c r="B385" s="4" t="s">
        <v>6</v>
      </c>
      <c r="C385" s="36" t="s">
        <v>6</v>
      </c>
      <c r="D385" s="36" t="s">
        <v>6</v>
      </c>
      <c r="E385" s="36" t="s">
        <v>6</v>
      </c>
      <c r="F385" s="30" t="s">
        <v>6</v>
      </c>
      <c r="G385" s="36" t="s">
        <v>6</v>
      </c>
      <c r="H385" s="33" t="s">
        <v>6</v>
      </c>
      <c r="I385" s="33" t="s">
        <v>6</v>
      </c>
      <c r="J385" s="33" t="s">
        <v>6</v>
      </c>
      <c r="K385" s="33" t="s">
        <v>6</v>
      </c>
      <c r="L385" s="33" t="s">
        <v>6</v>
      </c>
      <c r="M385" s="33" t="s">
        <v>6</v>
      </c>
      <c r="N385" s="33" t="s">
        <v>6</v>
      </c>
      <c r="O385" s="33" t="s">
        <v>6</v>
      </c>
      <c r="P385" s="33" t="s">
        <v>6</v>
      </c>
      <c r="Q385" s="33" t="s">
        <v>6</v>
      </c>
      <c r="R385" s="33" t="s">
        <v>6</v>
      </c>
      <c r="S385" s="33" t="s">
        <v>6</v>
      </c>
      <c r="T385" s="33" t="s">
        <v>6</v>
      </c>
      <c r="U385" s="33" t="s">
        <v>6</v>
      </c>
      <c r="V385" s="4" t="s">
        <v>1</v>
      </c>
      <c r="W385" s="4">
        <v>1</v>
      </c>
      <c r="X385" s="4">
        <v>2</v>
      </c>
      <c r="Y385" s="4">
        <v>2</v>
      </c>
      <c r="Z385" s="5">
        <v>3</v>
      </c>
      <c r="AA385" s="4">
        <f t="shared" si="6"/>
        <v>3</v>
      </c>
      <c r="AB385" s="4" t="s">
        <v>6</v>
      </c>
      <c r="AC385" s="4" t="s">
        <v>6</v>
      </c>
      <c r="AD385" s="4" t="s">
        <v>6</v>
      </c>
      <c r="AE385" s="5" t="s">
        <v>6</v>
      </c>
      <c r="AF385" s="9">
        <f t="shared" si="5"/>
        <v>3</v>
      </c>
      <c r="AG385" s="5" t="s">
        <v>6</v>
      </c>
      <c r="AH385" s="9">
        <v>3</v>
      </c>
      <c r="AI385" s="4" t="s">
        <v>6</v>
      </c>
      <c r="AJ385" s="4" t="s">
        <v>6</v>
      </c>
      <c r="AK385" s="23" t="s">
        <v>6</v>
      </c>
      <c r="AL385" s="23" t="s">
        <v>6</v>
      </c>
      <c r="AM385" s="23" t="s">
        <v>6</v>
      </c>
      <c r="AN385" s="24" t="s">
        <v>6</v>
      </c>
    </row>
    <row r="386" spans="1:40" x14ac:dyDescent="0.2">
      <c r="A386" s="15">
        <v>1199</v>
      </c>
      <c r="B386" s="4" t="s">
        <v>6</v>
      </c>
      <c r="C386" s="36" t="s">
        <v>6</v>
      </c>
      <c r="D386" s="36" t="s">
        <v>6</v>
      </c>
      <c r="E386" s="36" t="s">
        <v>6</v>
      </c>
      <c r="F386" s="30" t="s">
        <v>6</v>
      </c>
      <c r="G386" s="36" t="s">
        <v>6</v>
      </c>
      <c r="H386" s="33" t="s">
        <v>6</v>
      </c>
      <c r="I386" s="33" t="s">
        <v>6</v>
      </c>
      <c r="J386" s="33" t="s">
        <v>6</v>
      </c>
      <c r="K386" s="33" t="s">
        <v>6</v>
      </c>
      <c r="L386" s="33" t="s">
        <v>6</v>
      </c>
      <c r="M386" s="33" t="s">
        <v>6</v>
      </c>
      <c r="N386" s="33" t="s">
        <v>6</v>
      </c>
      <c r="O386" s="33" t="s">
        <v>6</v>
      </c>
      <c r="P386" s="33" t="s">
        <v>6</v>
      </c>
      <c r="Q386" s="33" t="s">
        <v>6</v>
      </c>
      <c r="R386" s="33" t="s">
        <v>6</v>
      </c>
      <c r="S386" s="33" t="s">
        <v>6</v>
      </c>
      <c r="T386" s="33" t="s">
        <v>6</v>
      </c>
      <c r="U386" s="33" t="s">
        <v>6</v>
      </c>
      <c r="V386" s="4" t="s">
        <v>1</v>
      </c>
      <c r="W386" s="4">
        <v>1</v>
      </c>
      <c r="X386" s="4">
        <v>2</v>
      </c>
      <c r="Y386" s="4">
        <v>2</v>
      </c>
      <c r="Z386" s="5">
        <v>3</v>
      </c>
      <c r="AA386" s="4">
        <f t="shared" ref="AA386:AA449" si="7">IF(OR(AE386="NA", AE386="xx"), 3, 1)</f>
        <v>3</v>
      </c>
      <c r="AB386" s="4" t="s">
        <v>6</v>
      </c>
      <c r="AC386" s="4" t="s">
        <v>6</v>
      </c>
      <c r="AD386" s="4" t="s">
        <v>6</v>
      </c>
      <c r="AE386" s="5" t="s">
        <v>6</v>
      </c>
      <c r="AF386" s="9">
        <f t="shared" ref="AF386:AF449" si="8">IF(OR(AG386="NA", AG386="xx"), 3,1)</f>
        <v>3</v>
      </c>
      <c r="AG386" s="5" t="s">
        <v>6</v>
      </c>
      <c r="AH386" s="9">
        <v>3</v>
      </c>
      <c r="AI386" s="4" t="s">
        <v>6</v>
      </c>
      <c r="AJ386" s="4" t="s">
        <v>6</v>
      </c>
      <c r="AK386" s="23" t="s">
        <v>6</v>
      </c>
      <c r="AL386" s="23" t="s">
        <v>6</v>
      </c>
      <c r="AM386" s="23" t="s">
        <v>6</v>
      </c>
      <c r="AN386" s="24" t="s">
        <v>6</v>
      </c>
    </row>
    <row r="387" spans="1:40" x14ac:dyDescent="0.2">
      <c r="A387" s="15">
        <v>1247</v>
      </c>
      <c r="B387" s="4" t="s">
        <v>6</v>
      </c>
      <c r="C387" s="36" t="s">
        <v>6</v>
      </c>
      <c r="D387" s="36" t="s">
        <v>6</v>
      </c>
      <c r="E387" s="36" t="s">
        <v>6</v>
      </c>
      <c r="F387" s="30" t="s">
        <v>6</v>
      </c>
      <c r="G387" s="36" t="s">
        <v>6</v>
      </c>
      <c r="H387" s="33" t="s">
        <v>6</v>
      </c>
      <c r="I387" s="33" t="s">
        <v>6</v>
      </c>
      <c r="J387" s="33" t="s">
        <v>6</v>
      </c>
      <c r="K387" s="33" t="s">
        <v>6</v>
      </c>
      <c r="L387" s="33" t="s">
        <v>6</v>
      </c>
      <c r="M387" s="33" t="s">
        <v>6</v>
      </c>
      <c r="N387" s="33" t="s">
        <v>6</v>
      </c>
      <c r="O387" s="33" t="s">
        <v>6</v>
      </c>
      <c r="P387" s="33" t="s">
        <v>6</v>
      </c>
      <c r="Q387" s="33" t="s">
        <v>6</v>
      </c>
      <c r="R387" s="33" t="s">
        <v>6</v>
      </c>
      <c r="S387" s="33" t="s">
        <v>6</v>
      </c>
      <c r="T387" s="33" t="s">
        <v>6</v>
      </c>
      <c r="U387" s="33" t="s">
        <v>6</v>
      </c>
      <c r="V387" s="4" t="s">
        <v>1</v>
      </c>
      <c r="W387" s="4">
        <v>1</v>
      </c>
      <c r="X387" s="4">
        <v>2</v>
      </c>
      <c r="Y387" s="4">
        <v>2</v>
      </c>
      <c r="Z387" s="5">
        <v>3</v>
      </c>
      <c r="AA387" s="4">
        <f t="shared" si="7"/>
        <v>3</v>
      </c>
      <c r="AB387" s="4" t="s">
        <v>6</v>
      </c>
      <c r="AC387" s="4" t="s">
        <v>6</v>
      </c>
      <c r="AD387" s="4" t="s">
        <v>6</v>
      </c>
      <c r="AE387" s="5" t="s">
        <v>6</v>
      </c>
      <c r="AF387" s="9">
        <f t="shared" si="8"/>
        <v>3</v>
      </c>
      <c r="AG387" s="5" t="s">
        <v>6</v>
      </c>
      <c r="AH387" s="9">
        <v>3</v>
      </c>
      <c r="AI387" s="4" t="s">
        <v>6</v>
      </c>
      <c r="AJ387" s="4" t="s">
        <v>6</v>
      </c>
      <c r="AK387" s="23" t="s">
        <v>6</v>
      </c>
      <c r="AL387" s="23" t="s">
        <v>6</v>
      </c>
      <c r="AM387" s="23" t="s">
        <v>6</v>
      </c>
      <c r="AN387" s="24" t="s">
        <v>6</v>
      </c>
    </row>
    <row r="388" spans="1:40" x14ac:dyDescent="0.2">
      <c r="A388" s="15">
        <v>1251</v>
      </c>
      <c r="B388" s="4" t="s">
        <v>6</v>
      </c>
      <c r="C388" s="36" t="s">
        <v>6</v>
      </c>
      <c r="D388" s="36" t="s">
        <v>6</v>
      </c>
      <c r="E388" s="36" t="s">
        <v>6</v>
      </c>
      <c r="F388" s="30" t="s">
        <v>6</v>
      </c>
      <c r="G388" s="36" t="s">
        <v>6</v>
      </c>
      <c r="H388" s="33" t="s">
        <v>6</v>
      </c>
      <c r="I388" s="33" t="s">
        <v>6</v>
      </c>
      <c r="J388" s="33" t="s">
        <v>6</v>
      </c>
      <c r="K388" s="33" t="s">
        <v>6</v>
      </c>
      <c r="L388" s="33" t="s">
        <v>6</v>
      </c>
      <c r="M388" s="33" t="s">
        <v>6</v>
      </c>
      <c r="N388" s="33" t="s">
        <v>6</v>
      </c>
      <c r="O388" s="33" t="s">
        <v>6</v>
      </c>
      <c r="P388" s="33" t="s">
        <v>6</v>
      </c>
      <c r="Q388" s="33" t="s">
        <v>6</v>
      </c>
      <c r="R388" s="33" t="s">
        <v>6</v>
      </c>
      <c r="S388" s="33" t="s">
        <v>6</v>
      </c>
      <c r="T388" s="33" t="s">
        <v>6</v>
      </c>
      <c r="U388" s="33" t="s">
        <v>6</v>
      </c>
      <c r="V388" s="4" t="s">
        <v>1</v>
      </c>
      <c r="W388" s="4">
        <v>1</v>
      </c>
      <c r="X388" s="4">
        <v>2</v>
      </c>
      <c r="Y388" s="4">
        <v>2</v>
      </c>
      <c r="Z388" s="5">
        <v>3</v>
      </c>
      <c r="AA388" s="4">
        <f t="shared" si="7"/>
        <v>3</v>
      </c>
      <c r="AB388" s="4" t="s">
        <v>6</v>
      </c>
      <c r="AC388" s="4" t="s">
        <v>6</v>
      </c>
      <c r="AD388" s="4" t="s">
        <v>6</v>
      </c>
      <c r="AE388" s="5" t="s">
        <v>6</v>
      </c>
      <c r="AF388" s="9">
        <f t="shared" si="8"/>
        <v>3</v>
      </c>
      <c r="AG388" s="5" t="s">
        <v>6</v>
      </c>
      <c r="AH388" s="9">
        <v>3</v>
      </c>
      <c r="AI388" s="4" t="s">
        <v>6</v>
      </c>
      <c r="AJ388" s="4" t="s">
        <v>6</v>
      </c>
      <c r="AK388" s="23" t="s">
        <v>6</v>
      </c>
      <c r="AL388" s="23" t="s">
        <v>6</v>
      </c>
      <c r="AM388" s="23" t="s">
        <v>6</v>
      </c>
      <c r="AN388" s="24" t="s">
        <v>6</v>
      </c>
    </row>
    <row r="389" spans="1:40" x14ac:dyDescent="0.2">
      <c r="A389" s="15">
        <v>1309</v>
      </c>
      <c r="B389" s="4" t="s">
        <v>6</v>
      </c>
      <c r="C389" s="36" t="s">
        <v>6</v>
      </c>
      <c r="D389" s="36" t="s">
        <v>6</v>
      </c>
      <c r="E389" s="36" t="s">
        <v>6</v>
      </c>
      <c r="F389" s="30" t="s">
        <v>6</v>
      </c>
      <c r="G389" s="36" t="s">
        <v>6</v>
      </c>
      <c r="H389" s="33" t="s">
        <v>6</v>
      </c>
      <c r="I389" s="33" t="s">
        <v>6</v>
      </c>
      <c r="J389" s="33" t="s">
        <v>6</v>
      </c>
      <c r="K389" s="33" t="s">
        <v>6</v>
      </c>
      <c r="L389" s="33" t="s">
        <v>6</v>
      </c>
      <c r="M389" s="33" t="s">
        <v>6</v>
      </c>
      <c r="N389" s="33" t="s">
        <v>6</v>
      </c>
      <c r="O389" s="33" t="s">
        <v>6</v>
      </c>
      <c r="P389" s="33" t="s">
        <v>6</v>
      </c>
      <c r="Q389" s="33" t="s">
        <v>6</v>
      </c>
      <c r="R389" s="33" t="s">
        <v>6</v>
      </c>
      <c r="S389" s="33" t="s">
        <v>6</v>
      </c>
      <c r="T389" s="33" t="s">
        <v>6</v>
      </c>
      <c r="U389" s="33" t="s">
        <v>6</v>
      </c>
      <c r="V389" s="4" t="s">
        <v>1</v>
      </c>
      <c r="W389" s="4">
        <v>1</v>
      </c>
      <c r="X389" s="4">
        <v>2</v>
      </c>
      <c r="Y389" s="4">
        <v>2</v>
      </c>
      <c r="Z389" s="5">
        <v>3</v>
      </c>
      <c r="AA389" s="4">
        <f t="shared" si="7"/>
        <v>3</v>
      </c>
      <c r="AB389" s="4" t="s">
        <v>6</v>
      </c>
      <c r="AC389" s="4" t="s">
        <v>6</v>
      </c>
      <c r="AD389" s="4" t="s">
        <v>6</v>
      </c>
      <c r="AE389" s="5" t="s">
        <v>6</v>
      </c>
      <c r="AF389" s="9">
        <f t="shared" si="8"/>
        <v>3</v>
      </c>
      <c r="AG389" s="5" t="s">
        <v>6</v>
      </c>
      <c r="AH389" s="9">
        <v>3</v>
      </c>
      <c r="AI389" s="4" t="s">
        <v>6</v>
      </c>
      <c r="AJ389" s="4" t="s">
        <v>6</v>
      </c>
      <c r="AK389" s="23" t="s">
        <v>6</v>
      </c>
      <c r="AL389" s="23" t="s">
        <v>6</v>
      </c>
      <c r="AM389" s="23" t="s">
        <v>6</v>
      </c>
      <c r="AN389" s="24" t="s">
        <v>6</v>
      </c>
    </row>
    <row r="390" spans="1:40" x14ac:dyDescent="0.2">
      <c r="A390" s="15">
        <v>1372</v>
      </c>
      <c r="B390" s="4" t="s">
        <v>6</v>
      </c>
      <c r="C390" s="36" t="s">
        <v>6</v>
      </c>
      <c r="D390" s="36" t="s">
        <v>6</v>
      </c>
      <c r="E390" s="36" t="s">
        <v>6</v>
      </c>
      <c r="F390" s="30" t="s">
        <v>6</v>
      </c>
      <c r="G390" s="36" t="s">
        <v>6</v>
      </c>
      <c r="H390" s="33" t="s">
        <v>6</v>
      </c>
      <c r="I390" s="33" t="s">
        <v>6</v>
      </c>
      <c r="J390" s="33" t="s">
        <v>6</v>
      </c>
      <c r="K390" s="33" t="s">
        <v>6</v>
      </c>
      <c r="L390" s="33" t="s">
        <v>6</v>
      </c>
      <c r="M390" s="33" t="s">
        <v>6</v>
      </c>
      <c r="N390" s="33" t="s">
        <v>6</v>
      </c>
      <c r="O390" s="33" t="s">
        <v>6</v>
      </c>
      <c r="P390" s="33" t="s">
        <v>6</v>
      </c>
      <c r="Q390" s="33" t="s">
        <v>6</v>
      </c>
      <c r="R390" s="33" t="s">
        <v>6</v>
      </c>
      <c r="S390" s="33" t="s">
        <v>6</v>
      </c>
      <c r="T390" s="33" t="s">
        <v>6</v>
      </c>
      <c r="U390" s="33" t="s">
        <v>6</v>
      </c>
      <c r="V390" s="4" t="s">
        <v>1</v>
      </c>
      <c r="W390" s="4">
        <v>1</v>
      </c>
      <c r="X390" s="4">
        <v>2</v>
      </c>
      <c r="Y390" s="4">
        <v>2</v>
      </c>
      <c r="Z390" s="5">
        <v>3</v>
      </c>
      <c r="AA390" s="4">
        <f t="shared" si="7"/>
        <v>3</v>
      </c>
      <c r="AB390" s="4" t="s">
        <v>6</v>
      </c>
      <c r="AC390" s="4" t="s">
        <v>6</v>
      </c>
      <c r="AD390" s="4" t="s">
        <v>6</v>
      </c>
      <c r="AE390" s="5" t="s">
        <v>6</v>
      </c>
      <c r="AF390" s="9">
        <f t="shared" si="8"/>
        <v>3</v>
      </c>
      <c r="AG390" s="5" t="s">
        <v>6</v>
      </c>
      <c r="AH390" s="9">
        <v>3</v>
      </c>
      <c r="AI390" s="4" t="s">
        <v>6</v>
      </c>
      <c r="AJ390" s="4" t="s">
        <v>6</v>
      </c>
      <c r="AK390" s="23" t="s">
        <v>6</v>
      </c>
      <c r="AL390" s="23" t="s">
        <v>6</v>
      </c>
      <c r="AM390" s="23" t="s">
        <v>6</v>
      </c>
      <c r="AN390" s="24" t="s">
        <v>6</v>
      </c>
    </row>
    <row r="391" spans="1:40" x14ac:dyDescent="0.2">
      <c r="A391" s="15">
        <v>1432</v>
      </c>
      <c r="B391" s="4" t="s">
        <v>6</v>
      </c>
      <c r="C391" s="36" t="s">
        <v>6</v>
      </c>
      <c r="D391" s="36" t="s">
        <v>6</v>
      </c>
      <c r="E391" s="36" t="s">
        <v>6</v>
      </c>
      <c r="F391" s="30" t="s">
        <v>6</v>
      </c>
      <c r="G391" s="36" t="s">
        <v>6</v>
      </c>
      <c r="H391" s="33" t="s">
        <v>6</v>
      </c>
      <c r="I391" s="33" t="s">
        <v>6</v>
      </c>
      <c r="J391" s="33" t="s">
        <v>6</v>
      </c>
      <c r="K391" s="33" t="s">
        <v>6</v>
      </c>
      <c r="L391" s="33" t="s">
        <v>6</v>
      </c>
      <c r="M391" s="33" t="s">
        <v>6</v>
      </c>
      <c r="N391" s="33" t="s">
        <v>6</v>
      </c>
      <c r="O391" s="33" t="s">
        <v>6</v>
      </c>
      <c r="P391" s="33" t="s">
        <v>6</v>
      </c>
      <c r="Q391" s="33" t="s">
        <v>6</v>
      </c>
      <c r="R391" s="33" t="s">
        <v>6</v>
      </c>
      <c r="S391" s="33" t="s">
        <v>6</v>
      </c>
      <c r="T391" s="33" t="s">
        <v>6</v>
      </c>
      <c r="U391" s="33" t="s">
        <v>6</v>
      </c>
      <c r="V391" s="4" t="s">
        <v>1</v>
      </c>
      <c r="W391" s="4">
        <v>1</v>
      </c>
      <c r="X391" s="4">
        <v>2</v>
      </c>
      <c r="Y391" s="4">
        <v>2</v>
      </c>
      <c r="Z391" s="5">
        <v>3</v>
      </c>
      <c r="AA391" s="4">
        <f t="shared" si="7"/>
        <v>3</v>
      </c>
      <c r="AB391" s="4" t="s">
        <v>6</v>
      </c>
      <c r="AC391" s="4" t="s">
        <v>6</v>
      </c>
      <c r="AD391" s="4" t="s">
        <v>6</v>
      </c>
      <c r="AE391" s="5" t="s">
        <v>6</v>
      </c>
      <c r="AF391" s="9">
        <f t="shared" si="8"/>
        <v>3</v>
      </c>
      <c r="AG391" s="5" t="s">
        <v>6</v>
      </c>
      <c r="AH391" s="9">
        <v>3</v>
      </c>
      <c r="AI391" s="4" t="s">
        <v>6</v>
      </c>
      <c r="AJ391" s="4" t="s">
        <v>6</v>
      </c>
      <c r="AK391" s="23" t="s">
        <v>6</v>
      </c>
      <c r="AL391" s="23" t="s">
        <v>6</v>
      </c>
      <c r="AM391" s="23" t="s">
        <v>6</v>
      </c>
      <c r="AN391" s="24" t="s">
        <v>6</v>
      </c>
    </row>
    <row r="392" spans="1:40" x14ac:dyDescent="0.2">
      <c r="A392" s="15">
        <v>1457</v>
      </c>
      <c r="B392" s="4" t="s">
        <v>6</v>
      </c>
      <c r="C392" s="36" t="s">
        <v>6</v>
      </c>
      <c r="D392" s="36" t="s">
        <v>6</v>
      </c>
      <c r="E392" s="36" t="s">
        <v>6</v>
      </c>
      <c r="F392" s="30" t="s">
        <v>6</v>
      </c>
      <c r="G392" s="36" t="s">
        <v>6</v>
      </c>
      <c r="H392" s="33" t="s">
        <v>6</v>
      </c>
      <c r="I392" s="33" t="s">
        <v>6</v>
      </c>
      <c r="J392" s="33" t="s">
        <v>6</v>
      </c>
      <c r="K392" s="33" t="s">
        <v>6</v>
      </c>
      <c r="L392" s="33" t="s">
        <v>6</v>
      </c>
      <c r="M392" s="33" t="s">
        <v>6</v>
      </c>
      <c r="N392" s="33" t="s">
        <v>6</v>
      </c>
      <c r="O392" s="33" t="s">
        <v>6</v>
      </c>
      <c r="P392" s="33" t="s">
        <v>6</v>
      </c>
      <c r="Q392" s="33" t="s">
        <v>6</v>
      </c>
      <c r="R392" s="33" t="s">
        <v>6</v>
      </c>
      <c r="S392" s="33" t="s">
        <v>6</v>
      </c>
      <c r="T392" s="33" t="s">
        <v>6</v>
      </c>
      <c r="U392" s="33" t="s">
        <v>6</v>
      </c>
      <c r="V392" s="4" t="s">
        <v>1</v>
      </c>
      <c r="W392" s="4">
        <v>1</v>
      </c>
      <c r="X392" s="4">
        <v>2</v>
      </c>
      <c r="Y392" s="4">
        <v>2</v>
      </c>
      <c r="Z392" s="5">
        <v>3</v>
      </c>
      <c r="AA392" s="4">
        <f t="shared" si="7"/>
        <v>3</v>
      </c>
      <c r="AB392" s="4" t="s">
        <v>6</v>
      </c>
      <c r="AC392" s="4" t="s">
        <v>6</v>
      </c>
      <c r="AD392" s="4" t="s">
        <v>6</v>
      </c>
      <c r="AE392" s="5" t="s">
        <v>6</v>
      </c>
      <c r="AF392" s="9">
        <f t="shared" si="8"/>
        <v>3</v>
      </c>
      <c r="AG392" s="5" t="s">
        <v>6</v>
      </c>
      <c r="AH392" s="9">
        <v>3</v>
      </c>
      <c r="AI392" s="4" t="s">
        <v>6</v>
      </c>
      <c r="AJ392" s="4" t="s">
        <v>6</v>
      </c>
      <c r="AK392" s="23" t="s">
        <v>6</v>
      </c>
      <c r="AL392" s="23" t="s">
        <v>6</v>
      </c>
      <c r="AM392" s="23" t="s">
        <v>6</v>
      </c>
      <c r="AN392" s="24" t="s">
        <v>6</v>
      </c>
    </row>
    <row r="393" spans="1:40" x14ac:dyDescent="0.2">
      <c r="A393" s="15">
        <v>1468</v>
      </c>
      <c r="B393" s="4" t="s">
        <v>6</v>
      </c>
      <c r="C393" s="36" t="s">
        <v>6</v>
      </c>
      <c r="D393" s="36" t="s">
        <v>6</v>
      </c>
      <c r="E393" s="36" t="s">
        <v>6</v>
      </c>
      <c r="F393" s="30" t="s">
        <v>6</v>
      </c>
      <c r="G393" s="36" t="s">
        <v>6</v>
      </c>
      <c r="H393" s="33" t="s">
        <v>6</v>
      </c>
      <c r="I393" s="33" t="s">
        <v>6</v>
      </c>
      <c r="J393" s="33" t="s">
        <v>6</v>
      </c>
      <c r="K393" s="33" t="s">
        <v>6</v>
      </c>
      <c r="L393" s="33" t="s">
        <v>6</v>
      </c>
      <c r="M393" s="33" t="s">
        <v>6</v>
      </c>
      <c r="N393" s="33" t="s">
        <v>6</v>
      </c>
      <c r="O393" s="33" t="s">
        <v>6</v>
      </c>
      <c r="P393" s="33" t="s">
        <v>6</v>
      </c>
      <c r="Q393" s="33" t="s">
        <v>6</v>
      </c>
      <c r="R393" s="33" t="s">
        <v>6</v>
      </c>
      <c r="S393" s="33" t="s">
        <v>6</v>
      </c>
      <c r="T393" s="33" t="s">
        <v>6</v>
      </c>
      <c r="U393" s="33" t="s">
        <v>6</v>
      </c>
      <c r="V393" s="4" t="s">
        <v>1</v>
      </c>
      <c r="W393" s="4">
        <v>1</v>
      </c>
      <c r="X393" s="4">
        <v>2</v>
      </c>
      <c r="Y393" s="4">
        <v>2</v>
      </c>
      <c r="Z393" s="5">
        <v>3</v>
      </c>
      <c r="AA393" s="4">
        <f t="shared" si="7"/>
        <v>3</v>
      </c>
      <c r="AB393" s="4" t="s">
        <v>6</v>
      </c>
      <c r="AC393" s="4" t="s">
        <v>6</v>
      </c>
      <c r="AD393" s="4" t="s">
        <v>6</v>
      </c>
      <c r="AE393" s="5" t="s">
        <v>6</v>
      </c>
      <c r="AF393" s="9">
        <f t="shared" si="8"/>
        <v>3</v>
      </c>
      <c r="AG393" s="5" t="s">
        <v>6</v>
      </c>
      <c r="AH393" s="9">
        <v>3</v>
      </c>
      <c r="AI393" s="4" t="s">
        <v>6</v>
      </c>
      <c r="AJ393" s="4" t="s">
        <v>6</v>
      </c>
      <c r="AK393" s="23" t="s">
        <v>6</v>
      </c>
      <c r="AL393" s="23" t="s">
        <v>6</v>
      </c>
      <c r="AM393" s="23" t="s">
        <v>6</v>
      </c>
      <c r="AN393" s="24" t="s">
        <v>6</v>
      </c>
    </row>
    <row r="394" spans="1:40" x14ac:dyDescent="0.2">
      <c r="A394" s="15">
        <v>1531</v>
      </c>
      <c r="B394" s="4" t="s">
        <v>6</v>
      </c>
      <c r="C394" s="36" t="s">
        <v>6</v>
      </c>
      <c r="D394" s="36" t="s">
        <v>6</v>
      </c>
      <c r="E394" s="36" t="s">
        <v>6</v>
      </c>
      <c r="F394" s="30" t="s">
        <v>6</v>
      </c>
      <c r="G394" s="36" t="s">
        <v>6</v>
      </c>
      <c r="H394" s="33" t="s">
        <v>6</v>
      </c>
      <c r="I394" s="33" t="s">
        <v>6</v>
      </c>
      <c r="J394" s="33" t="s">
        <v>6</v>
      </c>
      <c r="K394" s="33" t="s">
        <v>6</v>
      </c>
      <c r="L394" s="33" t="s">
        <v>6</v>
      </c>
      <c r="M394" s="33" t="s">
        <v>6</v>
      </c>
      <c r="N394" s="33" t="s">
        <v>6</v>
      </c>
      <c r="O394" s="33" t="s">
        <v>6</v>
      </c>
      <c r="P394" s="33" t="s">
        <v>6</v>
      </c>
      <c r="Q394" s="33" t="s">
        <v>6</v>
      </c>
      <c r="R394" s="33" t="s">
        <v>6</v>
      </c>
      <c r="S394" s="33" t="s">
        <v>6</v>
      </c>
      <c r="T394" s="33" t="s">
        <v>6</v>
      </c>
      <c r="U394" s="33" t="s">
        <v>6</v>
      </c>
      <c r="V394" s="4" t="s">
        <v>1</v>
      </c>
      <c r="W394" s="4">
        <v>1</v>
      </c>
      <c r="X394" s="4">
        <v>2</v>
      </c>
      <c r="Y394" s="4">
        <v>2</v>
      </c>
      <c r="Z394" s="5">
        <v>3</v>
      </c>
      <c r="AA394" s="4">
        <f t="shared" si="7"/>
        <v>3</v>
      </c>
      <c r="AB394" s="4" t="s">
        <v>6</v>
      </c>
      <c r="AC394" s="4" t="s">
        <v>6</v>
      </c>
      <c r="AD394" s="4" t="s">
        <v>6</v>
      </c>
      <c r="AE394" s="5" t="s">
        <v>6</v>
      </c>
      <c r="AF394" s="9">
        <f t="shared" si="8"/>
        <v>3</v>
      </c>
      <c r="AG394" s="5" t="s">
        <v>6</v>
      </c>
      <c r="AH394" s="9">
        <v>3</v>
      </c>
      <c r="AI394" s="4" t="s">
        <v>6</v>
      </c>
      <c r="AJ394" s="4" t="s">
        <v>6</v>
      </c>
      <c r="AK394" s="23" t="s">
        <v>6</v>
      </c>
      <c r="AL394" s="23" t="s">
        <v>6</v>
      </c>
      <c r="AM394" s="23" t="s">
        <v>6</v>
      </c>
      <c r="AN394" s="24" t="s">
        <v>6</v>
      </c>
    </row>
    <row r="395" spans="1:40" x14ac:dyDescent="0.2">
      <c r="A395" s="15">
        <v>1665</v>
      </c>
      <c r="B395" s="4" t="s">
        <v>6</v>
      </c>
      <c r="C395" s="36" t="s">
        <v>6</v>
      </c>
      <c r="D395" s="36" t="s">
        <v>6</v>
      </c>
      <c r="E395" s="36" t="s">
        <v>6</v>
      </c>
      <c r="F395" s="30" t="s">
        <v>6</v>
      </c>
      <c r="G395" s="36" t="s">
        <v>6</v>
      </c>
      <c r="H395" s="33" t="s">
        <v>6</v>
      </c>
      <c r="I395" s="33" t="s">
        <v>6</v>
      </c>
      <c r="J395" s="33" t="s">
        <v>6</v>
      </c>
      <c r="K395" s="33" t="s">
        <v>6</v>
      </c>
      <c r="L395" s="33" t="s">
        <v>6</v>
      </c>
      <c r="M395" s="33" t="s">
        <v>6</v>
      </c>
      <c r="N395" s="33" t="s">
        <v>6</v>
      </c>
      <c r="O395" s="33" t="s">
        <v>6</v>
      </c>
      <c r="P395" s="33" t="s">
        <v>6</v>
      </c>
      <c r="Q395" s="33" t="s">
        <v>6</v>
      </c>
      <c r="R395" s="33" t="s">
        <v>6</v>
      </c>
      <c r="S395" s="33" t="s">
        <v>6</v>
      </c>
      <c r="T395" s="33" t="s">
        <v>6</v>
      </c>
      <c r="U395" s="33" t="s">
        <v>6</v>
      </c>
      <c r="V395" s="4" t="s">
        <v>1</v>
      </c>
      <c r="W395" s="4">
        <v>1</v>
      </c>
      <c r="X395" s="4">
        <v>2</v>
      </c>
      <c r="Y395" s="4">
        <v>2</v>
      </c>
      <c r="Z395" s="5">
        <v>3</v>
      </c>
      <c r="AA395" s="4">
        <f t="shared" si="7"/>
        <v>3</v>
      </c>
      <c r="AB395" s="4" t="s">
        <v>6</v>
      </c>
      <c r="AC395" s="4" t="s">
        <v>6</v>
      </c>
      <c r="AD395" s="4" t="s">
        <v>6</v>
      </c>
      <c r="AE395" s="5" t="s">
        <v>6</v>
      </c>
      <c r="AF395" s="9">
        <f t="shared" si="8"/>
        <v>3</v>
      </c>
      <c r="AG395" s="5" t="s">
        <v>6</v>
      </c>
      <c r="AH395" s="9">
        <v>3</v>
      </c>
      <c r="AI395" s="4" t="s">
        <v>6</v>
      </c>
      <c r="AJ395" s="4" t="s">
        <v>6</v>
      </c>
      <c r="AK395" s="23" t="s">
        <v>6</v>
      </c>
      <c r="AL395" s="23" t="s">
        <v>6</v>
      </c>
      <c r="AM395" s="23" t="s">
        <v>6</v>
      </c>
      <c r="AN395" s="24" t="s">
        <v>6</v>
      </c>
    </row>
    <row r="396" spans="1:40" x14ac:dyDescent="0.2">
      <c r="A396" s="15">
        <v>1784</v>
      </c>
      <c r="B396" s="4" t="s">
        <v>6</v>
      </c>
      <c r="C396" s="36" t="s">
        <v>6</v>
      </c>
      <c r="D396" s="36" t="s">
        <v>6</v>
      </c>
      <c r="E396" s="36" t="s">
        <v>6</v>
      </c>
      <c r="F396" s="30" t="s">
        <v>6</v>
      </c>
      <c r="G396" s="36" t="s">
        <v>6</v>
      </c>
      <c r="H396" s="33" t="s">
        <v>6</v>
      </c>
      <c r="I396" s="33" t="s">
        <v>6</v>
      </c>
      <c r="J396" s="33" t="s">
        <v>6</v>
      </c>
      <c r="K396" s="33" t="s">
        <v>6</v>
      </c>
      <c r="L396" s="33" t="s">
        <v>6</v>
      </c>
      <c r="M396" s="33" t="s">
        <v>6</v>
      </c>
      <c r="N396" s="33" t="s">
        <v>6</v>
      </c>
      <c r="O396" s="33" t="s">
        <v>6</v>
      </c>
      <c r="P396" s="33" t="s">
        <v>6</v>
      </c>
      <c r="Q396" s="33" t="s">
        <v>6</v>
      </c>
      <c r="R396" s="33" t="s">
        <v>6</v>
      </c>
      <c r="S396" s="33" t="s">
        <v>6</v>
      </c>
      <c r="T396" s="33" t="s">
        <v>6</v>
      </c>
      <c r="U396" s="33" t="s">
        <v>6</v>
      </c>
      <c r="V396" s="4" t="s">
        <v>1</v>
      </c>
      <c r="W396" s="4">
        <v>1</v>
      </c>
      <c r="X396" s="4">
        <v>2</v>
      </c>
      <c r="Y396" s="4">
        <v>2</v>
      </c>
      <c r="Z396" s="5">
        <v>3</v>
      </c>
      <c r="AA396" s="4">
        <f t="shared" si="7"/>
        <v>3</v>
      </c>
      <c r="AB396" s="4" t="s">
        <v>6</v>
      </c>
      <c r="AC396" s="4" t="s">
        <v>6</v>
      </c>
      <c r="AD396" s="4" t="s">
        <v>6</v>
      </c>
      <c r="AE396" s="5" t="s">
        <v>6</v>
      </c>
      <c r="AF396" s="9">
        <f t="shared" si="8"/>
        <v>3</v>
      </c>
      <c r="AG396" s="5" t="s">
        <v>6</v>
      </c>
      <c r="AH396" s="9">
        <v>3</v>
      </c>
      <c r="AI396" s="4" t="s">
        <v>6</v>
      </c>
      <c r="AJ396" s="4" t="s">
        <v>6</v>
      </c>
      <c r="AK396" s="23" t="s">
        <v>6</v>
      </c>
      <c r="AL396" s="23" t="s">
        <v>6</v>
      </c>
      <c r="AM396" s="23" t="s">
        <v>6</v>
      </c>
      <c r="AN396" s="24" t="s">
        <v>6</v>
      </c>
    </row>
    <row r="397" spans="1:40" x14ac:dyDescent="0.2">
      <c r="A397" s="15">
        <v>1854</v>
      </c>
      <c r="B397" s="4" t="s">
        <v>6</v>
      </c>
      <c r="C397" s="36" t="s">
        <v>6</v>
      </c>
      <c r="D397" s="36" t="s">
        <v>6</v>
      </c>
      <c r="E397" s="36" t="s">
        <v>6</v>
      </c>
      <c r="F397" s="30" t="s">
        <v>6</v>
      </c>
      <c r="G397" s="36" t="s">
        <v>6</v>
      </c>
      <c r="H397" s="33" t="s">
        <v>6</v>
      </c>
      <c r="I397" s="33" t="s">
        <v>6</v>
      </c>
      <c r="J397" s="33" t="s">
        <v>6</v>
      </c>
      <c r="K397" s="33" t="s">
        <v>6</v>
      </c>
      <c r="L397" s="33" t="s">
        <v>6</v>
      </c>
      <c r="M397" s="33" t="s">
        <v>6</v>
      </c>
      <c r="N397" s="33" t="s">
        <v>6</v>
      </c>
      <c r="O397" s="33" t="s">
        <v>6</v>
      </c>
      <c r="P397" s="33" t="s">
        <v>6</v>
      </c>
      <c r="Q397" s="33" t="s">
        <v>6</v>
      </c>
      <c r="R397" s="33" t="s">
        <v>6</v>
      </c>
      <c r="S397" s="33" t="s">
        <v>6</v>
      </c>
      <c r="T397" s="33" t="s">
        <v>6</v>
      </c>
      <c r="U397" s="33" t="s">
        <v>6</v>
      </c>
      <c r="V397" s="4" t="s">
        <v>1</v>
      </c>
      <c r="W397" s="4">
        <v>1</v>
      </c>
      <c r="X397" s="4">
        <v>2</v>
      </c>
      <c r="Y397" s="4">
        <v>2</v>
      </c>
      <c r="Z397" s="5">
        <v>3</v>
      </c>
      <c r="AA397" s="4">
        <f t="shared" si="7"/>
        <v>3</v>
      </c>
      <c r="AB397" s="4" t="s">
        <v>6</v>
      </c>
      <c r="AC397" s="4" t="s">
        <v>6</v>
      </c>
      <c r="AD397" s="4" t="s">
        <v>6</v>
      </c>
      <c r="AE397" s="5" t="s">
        <v>6</v>
      </c>
      <c r="AF397" s="9">
        <f t="shared" si="8"/>
        <v>3</v>
      </c>
      <c r="AG397" s="5" t="s">
        <v>6</v>
      </c>
      <c r="AH397" s="9">
        <v>3</v>
      </c>
      <c r="AI397" s="4" t="s">
        <v>6</v>
      </c>
      <c r="AJ397" s="4" t="s">
        <v>6</v>
      </c>
      <c r="AK397" s="23" t="s">
        <v>6</v>
      </c>
      <c r="AL397" s="23" t="s">
        <v>6</v>
      </c>
      <c r="AM397" s="23" t="s">
        <v>6</v>
      </c>
      <c r="AN397" s="24" t="s">
        <v>6</v>
      </c>
    </row>
    <row r="398" spans="1:40" x14ac:dyDescent="0.2">
      <c r="A398" s="15">
        <v>1860</v>
      </c>
      <c r="B398" s="4" t="s">
        <v>6</v>
      </c>
      <c r="C398" s="36" t="s">
        <v>6</v>
      </c>
      <c r="D398" s="36" t="s">
        <v>6</v>
      </c>
      <c r="E398" s="36" t="s">
        <v>6</v>
      </c>
      <c r="F398" s="30" t="s">
        <v>6</v>
      </c>
      <c r="G398" s="36" t="s">
        <v>6</v>
      </c>
      <c r="H398" s="33" t="s">
        <v>6</v>
      </c>
      <c r="I398" s="33" t="s">
        <v>6</v>
      </c>
      <c r="J398" s="33" t="s">
        <v>6</v>
      </c>
      <c r="K398" s="33" t="s">
        <v>6</v>
      </c>
      <c r="L398" s="33" t="s">
        <v>6</v>
      </c>
      <c r="M398" s="33" t="s">
        <v>6</v>
      </c>
      <c r="N398" s="33" t="s">
        <v>6</v>
      </c>
      <c r="O398" s="33" t="s">
        <v>6</v>
      </c>
      <c r="P398" s="33" t="s">
        <v>6</v>
      </c>
      <c r="Q398" s="33" t="s">
        <v>6</v>
      </c>
      <c r="R398" s="33" t="s">
        <v>6</v>
      </c>
      <c r="S398" s="33" t="s">
        <v>6</v>
      </c>
      <c r="T398" s="33" t="s">
        <v>6</v>
      </c>
      <c r="U398" s="33" t="s">
        <v>6</v>
      </c>
      <c r="V398" s="4" t="s">
        <v>1</v>
      </c>
      <c r="W398" s="4">
        <v>1</v>
      </c>
      <c r="X398" s="4">
        <v>2</v>
      </c>
      <c r="Y398" s="4">
        <v>2</v>
      </c>
      <c r="Z398" s="5">
        <v>3</v>
      </c>
      <c r="AA398" s="4">
        <f t="shared" si="7"/>
        <v>3</v>
      </c>
      <c r="AB398" s="4" t="s">
        <v>6</v>
      </c>
      <c r="AC398" s="4" t="s">
        <v>6</v>
      </c>
      <c r="AD398" s="4" t="s">
        <v>6</v>
      </c>
      <c r="AE398" s="5" t="s">
        <v>6</v>
      </c>
      <c r="AF398" s="9">
        <f t="shared" si="8"/>
        <v>3</v>
      </c>
      <c r="AG398" s="5" t="s">
        <v>6</v>
      </c>
      <c r="AH398" s="9">
        <v>3</v>
      </c>
      <c r="AI398" s="4" t="s">
        <v>6</v>
      </c>
      <c r="AJ398" s="4" t="s">
        <v>6</v>
      </c>
      <c r="AK398" s="23" t="s">
        <v>6</v>
      </c>
      <c r="AL398" s="23" t="s">
        <v>6</v>
      </c>
      <c r="AM398" s="23" t="s">
        <v>6</v>
      </c>
      <c r="AN398" s="24" t="s">
        <v>6</v>
      </c>
    </row>
    <row r="399" spans="1:40" x14ac:dyDescent="0.2">
      <c r="A399" s="15">
        <v>1866</v>
      </c>
      <c r="B399" s="4" t="s">
        <v>6</v>
      </c>
      <c r="C399" s="36" t="s">
        <v>6</v>
      </c>
      <c r="D399" s="36" t="s">
        <v>6</v>
      </c>
      <c r="E399" s="36" t="s">
        <v>6</v>
      </c>
      <c r="F399" s="30" t="s">
        <v>6</v>
      </c>
      <c r="G399" s="36" t="s">
        <v>6</v>
      </c>
      <c r="H399" s="33" t="s">
        <v>6</v>
      </c>
      <c r="I399" s="33" t="s">
        <v>6</v>
      </c>
      <c r="J399" s="33" t="s">
        <v>6</v>
      </c>
      <c r="K399" s="33" t="s">
        <v>6</v>
      </c>
      <c r="L399" s="33" t="s">
        <v>6</v>
      </c>
      <c r="M399" s="33" t="s">
        <v>6</v>
      </c>
      <c r="N399" s="33" t="s">
        <v>6</v>
      </c>
      <c r="O399" s="33" t="s">
        <v>6</v>
      </c>
      <c r="P399" s="33" t="s">
        <v>6</v>
      </c>
      <c r="Q399" s="33" t="s">
        <v>6</v>
      </c>
      <c r="R399" s="33" t="s">
        <v>6</v>
      </c>
      <c r="S399" s="33" t="s">
        <v>6</v>
      </c>
      <c r="T399" s="33" t="s">
        <v>6</v>
      </c>
      <c r="U399" s="33" t="s">
        <v>6</v>
      </c>
      <c r="V399" s="4" t="s">
        <v>1</v>
      </c>
      <c r="W399" s="4">
        <v>1</v>
      </c>
      <c r="X399" s="4">
        <v>2</v>
      </c>
      <c r="Y399" s="4">
        <v>2</v>
      </c>
      <c r="Z399" s="5">
        <v>3</v>
      </c>
      <c r="AA399" s="4">
        <f t="shared" si="7"/>
        <v>3</v>
      </c>
      <c r="AB399" s="4" t="s">
        <v>6</v>
      </c>
      <c r="AC399" s="4" t="s">
        <v>6</v>
      </c>
      <c r="AD399" s="4" t="s">
        <v>6</v>
      </c>
      <c r="AE399" s="5" t="s">
        <v>6</v>
      </c>
      <c r="AF399" s="9">
        <f t="shared" si="8"/>
        <v>3</v>
      </c>
      <c r="AG399" s="5" t="s">
        <v>6</v>
      </c>
      <c r="AH399" s="9">
        <v>3</v>
      </c>
      <c r="AI399" s="4" t="s">
        <v>6</v>
      </c>
      <c r="AJ399" s="4" t="s">
        <v>6</v>
      </c>
      <c r="AK399" s="23" t="s">
        <v>6</v>
      </c>
      <c r="AL399" s="23" t="s">
        <v>6</v>
      </c>
      <c r="AM399" s="23" t="s">
        <v>6</v>
      </c>
      <c r="AN399" s="24" t="s">
        <v>6</v>
      </c>
    </row>
    <row r="400" spans="1:40" x14ac:dyDescent="0.2">
      <c r="A400" s="15">
        <v>1869</v>
      </c>
      <c r="B400" s="4" t="s">
        <v>6</v>
      </c>
      <c r="C400" s="36" t="s">
        <v>6</v>
      </c>
      <c r="D400" s="36" t="s">
        <v>6</v>
      </c>
      <c r="E400" s="36" t="s">
        <v>6</v>
      </c>
      <c r="F400" s="30" t="s">
        <v>6</v>
      </c>
      <c r="G400" s="36" t="s">
        <v>6</v>
      </c>
      <c r="H400" s="33" t="s">
        <v>6</v>
      </c>
      <c r="I400" s="33" t="s">
        <v>6</v>
      </c>
      <c r="J400" s="33" t="s">
        <v>6</v>
      </c>
      <c r="K400" s="33" t="s">
        <v>6</v>
      </c>
      <c r="L400" s="33" t="s">
        <v>6</v>
      </c>
      <c r="M400" s="33" t="s">
        <v>6</v>
      </c>
      <c r="N400" s="33" t="s">
        <v>6</v>
      </c>
      <c r="O400" s="33" t="s">
        <v>6</v>
      </c>
      <c r="P400" s="33" t="s">
        <v>6</v>
      </c>
      <c r="Q400" s="33" t="s">
        <v>6</v>
      </c>
      <c r="R400" s="33" t="s">
        <v>6</v>
      </c>
      <c r="S400" s="33" t="s">
        <v>6</v>
      </c>
      <c r="T400" s="33" t="s">
        <v>6</v>
      </c>
      <c r="U400" s="33" t="s">
        <v>6</v>
      </c>
      <c r="V400" s="4" t="s">
        <v>1</v>
      </c>
      <c r="W400" s="4">
        <v>1</v>
      </c>
      <c r="X400" s="4">
        <v>2</v>
      </c>
      <c r="Y400" s="4">
        <v>2</v>
      </c>
      <c r="Z400" s="5">
        <v>3</v>
      </c>
      <c r="AA400" s="4">
        <f t="shared" si="7"/>
        <v>3</v>
      </c>
      <c r="AB400" s="4" t="s">
        <v>6</v>
      </c>
      <c r="AC400" s="4" t="s">
        <v>6</v>
      </c>
      <c r="AD400" s="4" t="s">
        <v>6</v>
      </c>
      <c r="AE400" s="5" t="s">
        <v>6</v>
      </c>
      <c r="AF400" s="9">
        <f t="shared" si="8"/>
        <v>3</v>
      </c>
      <c r="AG400" s="5" t="s">
        <v>6</v>
      </c>
      <c r="AH400" s="9">
        <v>3</v>
      </c>
      <c r="AI400" s="4" t="s">
        <v>6</v>
      </c>
      <c r="AJ400" s="4" t="s">
        <v>6</v>
      </c>
      <c r="AK400" s="23" t="s">
        <v>6</v>
      </c>
      <c r="AL400" s="23" t="s">
        <v>6</v>
      </c>
      <c r="AM400" s="23" t="s">
        <v>6</v>
      </c>
      <c r="AN400" s="24" t="s">
        <v>6</v>
      </c>
    </row>
    <row r="401" spans="1:40" x14ac:dyDescent="0.2">
      <c r="A401" s="15">
        <v>1874</v>
      </c>
      <c r="B401" s="4" t="s">
        <v>6</v>
      </c>
      <c r="C401" s="36" t="s">
        <v>6</v>
      </c>
      <c r="D401" s="36" t="s">
        <v>6</v>
      </c>
      <c r="E401" s="36" t="s">
        <v>6</v>
      </c>
      <c r="F401" s="30" t="s">
        <v>6</v>
      </c>
      <c r="G401" s="36" t="s">
        <v>6</v>
      </c>
      <c r="H401" s="33" t="s">
        <v>6</v>
      </c>
      <c r="I401" s="33" t="s">
        <v>6</v>
      </c>
      <c r="J401" s="33" t="s">
        <v>6</v>
      </c>
      <c r="K401" s="33" t="s">
        <v>6</v>
      </c>
      <c r="L401" s="33" t="s">
        <v>6</v>
      </c>
      <c r="M401" s="33" t="s">
        <v>6</v>
      </c>
      <c r="N401" s="33" t="s">
        <v>6</v>
      </c>
      <c r="O401" s="33" t="s">
        <v>6</v>
      </c>
      <c r="P401" s="33" t="s">
        <v>6</v>
      </c>
      <c r="Q401" s="33" t="s">
        <v>6</v>
      </c>
      <c r="R401" s="33" t="s">
        <v>6</v>
      </c>
      <c r="S401" s="33" t="s">
        <v>6</v>
      </c>
      <c r="T401" s="33" t="s">
        <v>6</v>
      </c>
      <c r="U401" s="33" t="s">
        <v>6</v>
      </c>
      <c r="V401" s="4" t="s">
        <v>1</v>
      </c>
      <c r="W401" s="4">
        <v>1</v>
      </c>
      <c r="X401" s="4">
        <v>2</v>
      </c>
      <c r="Y401" s="4">
        <v>2</v>
      </c>
      <c r="Z401" s="5">
        <v>3</v>
      </c>
      <c r="AA401" s="4">
        <f t="shared" si="7"/>
        <v>3</v>
      </c>
      <c r="AB401" s="4" t="s">
        <v>6</v>
      </c>
      <c r="AC401" s="4" t="s">
        <v>6</v>
      </c>
      <c r="AD401" s="4" t="s">
        <v>6</v>
      </c>
      <c r="AE401" s="5" t="s">
        <v>6</v>
      </c>
      <c r="AF401" s="9">
        <f t="shared" si="8"/>
        <v>3</v>
      </c>
      <c r="AG401" s="5" t="s">
        <v>6</v>
      </c>
      <c r="AH401" s="9">
        <v>3</v>
      </c>
      <c r="AI401" s="4" t="s">
        <v>6</v>
      </c>
      <c r="AJ401" s="4" t="s">
        <v>6</v>
      </c>
      <c r="AK401" s="23" t="s">
        <v>6</v>
      </c>
      <c r="AL401" s="23" t="s">
        <v>6</v>
      </c>
      <c r="AM401" s="23" t="s">
        <v>6</v>
      </c>
      <c r="AN401" s="24" t="s">
        <v>6</v>
      </c>
    </row>
    <row r="402" spans="1:40" x14ac:dyDescent="0.2">
      <c r="A402" s="15">
        <v>1882</v>
      </c>
      <c r="B402" s="4" t="s">
        <v>6</v>
      </c>
      <c r="C402" s="36" t="s">
        <v>6</v>
      </c>
      <c r="D402" s="36" t="s">
        <v>6</v>
      </c>
      <c r="E402" s="36" t="s">
        <v>6</v>
      </c>
      <c r="F402" s="30" t="s">
        <v>6</v>
      </c>
      <c r="G402" s="36" t="s">
        <v>6</v>
      </c>
      <c r="H402" s="33" t="s">
        <v>6</v>
      </c>
      <c r="I402" s="33" t="s">
        <v>6</v>
      </c>
      <c r="J402" s="33" t="s">
        <v>6</v>
      </c>
      <c r="K402" s="33" t="s">
        <v>6</v>
      </c>
      <c r="L402" s="33" t="s">
        <v>6</v>
      </c>
      <c r="M402" s="33" t="s">
        <v>6</v>
      </c>
      <c r="N402" s="33" t="s">
        <v>6</v>
      </c>
      <c r="O402" s="33" t="s">
        <v>6</v>
      </c>
      <c r="P402" s="33" t="s">
        <v>6</v>
      </c>
      <c r="Q402" s="33" t="s">
        <v>6</v>
      </c>
      <c r="R402" s="33" t="s">
        <v>6</v>
      </c>
      <c r="S402" s="33" t="s">
        <v>6</v>
      </c>
      <c r="T402" s="33" t="s">
        <v>6</v>
      </c>
      <c r="U402" s="33" t="s">
        <v>6</v>
      </c>
      <c r="V402" s="4" t="s">
        <v>1</v>
      </c>
      <c r="W402" s="4">
        <v>1</v>
      </c>
      <c r="X402" s="4">
        <v>2</v>
      </c>
      <c r="Y402" s="4">
        <v>2</v>
      </c>
      <c r="Z402" s="5">
        <v>3</v>
      </c>
      <c r="AA402" s="4">
        <f t="shared" si="7"/>
        <v>3</v>
      </c>
      <c r="AB402" s="4" t="s">
        <v>6</v>
      </c>
      <c r="AC402" s="4" t="s">
        <v>6</v>
      </c>
      <c r="AD402" s="4" t="s">
        <v>6</v>
      </c>
      <c r="AE402" s="5" t="s">
        <v>6</v>
      </c>
      <c r="AF402" s="9">
        <f t="shared" si="8"/>
        <v>3</v>
      </c>
      <c r="AG402" s="5" t="s">
        <v>6</v>
      </c>
      <c r="AH402" s="9">
        <v>3</v>
      </c>
      <c r="AI402" s="4" t="s">
        <v>6</v>
      </c>
      <c r="AJ402" s="4" t="s">
        <v>6</v>
      </c>
      <c r="AK402" s="23" t="s">
        <v>6</v>
      </c>
      <c r="AL402" s="23" t="s">
        <v>6</v>
      </c>
      <c r="AM402" s="23" t="s">
        <v>6</v>
      </c>
      <c r="AN402" s="24" t="s">
        <v>6</v>
      </c>
    </row>
    <row r="403" spans="1:40" x14ac:dyDescent="0.2">
      <c r="A403" s="15">
        <v>1886</v>
      </c>
      <c r="B403" s="4" t="s">
        <v>6</v>
      </c>
      <c r="C403" s="36" t="s">
        <v>6</v>
      </c>
      <c r="D403" s="36" t="s">
        <v>6</v>
      </c>
      <c r="E403" s="36" t="s">
        <v>6</v>
      </c>
      <c r="F403" s="30" t="s">
        <v>6</v>
      </c>
      <c r="G403" s="36" t="s">
        <v>6</v>
      </c>
      <c r="H403" s="33" t="s">
        <v>6</v>
      </c>
      <c r="I403" s="33" t="s">
        <v>6</v>
      </c>
      <c r="J403" s="33" t="s">
        <v>6</v>
      </c>
      <c r="K403" s="33" t="s">
        <v>6</v>
      </c>
      <c r="L403" s="33" t="s">
        <v>6</v>
      </c>
      <c r="M403" s="33" t="s">
        <v>6</v>
      </c>
      <c r="N403" s="33" t="s">
        <v>6</v>
      </c>
      <c r="O403" s="33" t="s">
        <v>6</v>
      </c>
      <c r="P403" s="33" t="s">
        <v>6</v>
      </c>
      <c r="Q403" s="33" t="s">
        <v>6</v>
      </c>
      <c r="R403" s="33" t="s">
        <v>6</v>
      </c>
      <c r="S403" s="33" t="s">
        <v>6</v>
      </c>
      <c r="T403" s="33" t="s">
        <v>6</v>
      </c>
      <c r="U403" s="33" t="s">
        <v>6</v>
      </c>
      <c r="V403" s="4" t="s">
        <v>1</v>
      </c>
      <c r="W403" s="4">
        <v>1</v>
      </c>
      <c r="X403" s="4">
        <v>2</v>
      </c>
      <c r="Y403" s="4">
        <v>2</v>
      </c>
      <c r="Z403" s="5">
        <v>3</v>
      </c>
      <c r="AA403" s="4">
        <f t="shared" si="7"/>
        <v>3</v>
      </c>
      <c r="AB403" s="4" t="s">
        <v>6</v>
      </c>
      <c r="AC403" s="4" t="s">
        <v>6</v>
      </c>
      <c r="AD403" s="4" t="s">
        <v>6</v>
      </c>
      <c r="AE403" s="5" t="s">
        <v>6</v>
      </c>
      <c r="AF403" s="9">
        <f t="shared" si="8"/>
        <v>3</v>
      </c>
      <c r="AG403" s="5" t="s">
        <v>6</v>
      </c>
      <c r="AH403" s="9">
        <v>3</v>
      </c>
      <c r="AI403" s="4" t="s">
        <v>6</v>
      </c>
      <c r="AJ403" s="4" t="s">
        <v>6</v>
      </c>
      <c r="AK403" s="23" t="s">
        <v>6</v>
      </c>
      <c r="AL403" s="23" t="s">
        <v>6</v>
      </c>
      <c r="AM403" s="23" t="s">
        <v>6</v>
      </c>
      <c r="AN403" s="24" t="s">
        <v>6</v>
      </c>
    </row>
    <row r="404" spans="1:40" x14ac:dyDescent="0.2">
      <c r="A404" s="15">
        <v>1915</v>
      </c>
      <c r="B404" s="4" t="s">
        <v>6</v>
      </c>
      <c r="C404" s="36" t="s">
        <v>6</v>
      </c>
      <c r="D404" s="36" t="s">
        <v>6</v>
      </c>
      <c r="E404" s="36" t="s">
        <v>6</v>
      </c>
      <c r="F404" s="30" t="s">
        <v>6</v>
      </c>
      <c r="G404" s="36" t="s">
        <v>6</v>
      </c>
      <c r="H404" s="33" t="s">
        <v>6</v>
      </c>
      <c r="I404" s="33" t="s">
        <v>6</v>
      </c>
      <c r="J404" s="33" t="s">
        <v>6</v>
      </c>
      <c r="K404" s="33" t="s">
        <v>6</v>
      </c>
      <c r="L404" s="33" t="s">
        <v>6</v>
      </c>
      <c r="M404" s="33" t="s">
        <v>6</v>
      </c>
      <c r="N404" s="33" t="s">
        <v>6</v>
      </c>
      <c r="O404" s="33" t="s">
        <v>6</v>
      </c>
      <c r="P404" s="33" t="s">
        <v>6</v>
      </c>
      <c r="Q404" s="33" t="s">
        <v>6</v>
      </c>
      <c r="R404" s="33" t="s">
        <v>6</v>
      </c>
      <c r="S404" s="33" t="s">
        <v>6</v>
      </c>
      <c r="T404" s="33" t="s">
        <v>6</v>
      </c>
      <c r="U404" s="33" t="s">
        <v>6</v>
      </c>
      <c r="V404" s="4" t="s">
        <v>1</v>
      </c>
      <c r="W404" s="4">
        <v>1</v>
      </c>
      <c r="X404" s="4">
        <v>2</v>
      </c>
      <c r="Y404" s="4">
        <v>2</v>
      </c>
      <c r="Z404" s="5">
        <v>3</v>
      </c>
      <c r="AA404" s="4">
        <f t="shared" si="7"/>
        <v>3</v>
      </c>
      <c r="AB404" s="4" t="s">
        <v>6</v>
      </c>
      <c r="AC404" s="4" t="s">
        <v>6</v>
      </c>
      <c r="AD404" s="4" t="s">
        <v>6</v>
      </c>
      <c r="AE404" s="5" t="s">
        <v>6</v>
      </c>
      <c r="AF404" s="9">
        <f t="shared" si="8"/>
        <v>3</v>
      </c>
      <c r="AG404" s="5" t="s">
        <v>6</v>
      </c>
      <c r="AH404" s="9">
        <v>3</v>
      </c>
      <c r="AI404" s="4" t="s">
        <v>6</v>
      </c>
      <c r="AJ404" s="4" t="s">
        <v>6</v>
      </c>
      <c r="AK404" s="23" t="s">
        <v>6</v>
      </c>
      <c r="AL404" s="23" t="s">
        <v>6</v>
      </c>
      <c r="AM404" s="23" t="s">
        <v>6</v>
      </c>
      <c r="AN404" s="24" t="s">
        <v>6</v>
      </c>
    </row>
    <row r="405" spans="1:40" x14ac:dyDescent="0.2">
      <c r="A405" s="15">
        <v>1919</v>
      </c>
      <c r="B405" s="4" t="s">
        <v>6</v>
      </c>
      <c r="C405" s="36" t="s">
        <v>6</v>
      </c>
      <c r="D405" s="36" t="s">
        <v>6</v>
      </c>
      <c r="E405" s="36" t="s">
        <v>6</v>
      </c>
      <c r="F405" s="30" t="s">
        <v>6</v>
      </c>
      <c r="G405" s="36" t="s">
        <v>6</v>
      </c>
      <c r="H405" s="33" t="s">
        <v>6</v>
      </c>
      <c r="I405" s="33" t="s">
        <v>6</v>
      </c>
      <c r="J405" s="33" t="s">
        <v>6</v>
      </c>
      <c r="K405" s="33" t="s">
        <v>6</v>
      </c>
      <c r="L405" s="33" t="s">
        <v>6</v>
      </c>
      <c r="M405" s="33" t="s">
        <v>6</v>
      </c>
      <c r="N405" s="33" t="s">
        <v>6</v>
      </c>
      <c r="O405" s="33" t="s">
        <v>6</v>
      </c>
      <c r="P405" s="33" t="s">
        <v>6</v>
      </c>
      <c r="Q405" s="33" t="s">
        <v>6</v>
      </c>
      <c r="R405" s="33" t="s">
        <v>6</v>
      </c>
      <c r="S405" s="33" t="s">
        <v>6</v>
      </c>
      <c r="T405" s="33" t="s">
        <v>6</v>
      </c>
      <c r="U405" s="33" t="s">
        <v>6</v>
      </c>
      <c r="V405" s="4" t="s">
        <v>1</v>
      </c>
      <c r="W405" s="4">
        <v>1</v>
      </c>
      <c r="X405" s="4">
        <v>2</v>
      </c>
      <c r="Y405" s="4">
        <v>2</v>
      </c>
      <c r="Z405" s="5">
        <v>3</v>
      </c>
      <c r="AA405" s="4">
        <f t="shared" si="7"/>
        <v>3</v>
      </c>
      <c r="AB405" s="4" t="s">
        <v>6</v>
      </c>
      <c r="AC405" s="4" t="s">
        <v>6</v>
      </c>
      <c r="AD405" s="4" t="s">
        <v>6</v>
      </c>
      <c r="AE405" s="5" t="s">
        <v>6</v>
      </c>
      <c r="AF405" s="9">
        <f t="shared" si="8"/>
        <v>3</v>
      </c>
      <c r="AG405" s="5" t="s">
        <v>6</v>
      </c>
      <c r="AH405" s="9">
        <v>3</v>
      </c>
      <c r="AI405" s="4" t="s">
        <v>6</v>
      </c>
      <c r="AJ405" s="4" t="s">
        <v>6</v>
      </c>
      <c r="AK405" s="23" t="s">
        <v>6</v>
      </c>
      <c r="AL405" s="23" t="s">
        <v>6</v>
      </c>
      <c r="AM405" s="23" t="s">
        <v>6</v>
      </c>
      <c r="AN405" s="24" t="s">
        <v>6</v>
      </c>
    </row>
    <row r="406" spans="1:40" x14ac:dyDescent="0.2">
      <c r="A406" s="15">
        <v>1922</v>
      </c>
      <c r="B406" s="4" t="s">
        <v>6</v>
      </c>
      <c r="C406" s="36" t="s">
        <v>6</v>
      </c>
      <c r="D406" s="36" t="s">
        <v>6</v>
      </c>
      <c r="E406" s="36" t="s">
        <v>6</v>
      </c>
      <c r="F406" s="30" t="s">
        <v>6</v>
      </c>
      <c r="G406" s="36" t="s">
        <v>6</v>
      </c>
      <c r="H406" s="33" t="s">
        <v>6</v>
      </c>
      <c r="I406" s="33" t="s">
        <v>6</v>
      </c>
      <c r="J406" s="33" t="s">
        <v>6</v>
      </c>
      <c r="K406" s="33" t="s">
        <v>6</v>
      </c>
      <c r="L406" s="33" t="s">
        <v>6</v>
      </c>
      <c r="M406" s="33" t="s">
        <v>6</v>
      </c>
      <c r="N406" s="33" t="s">
        <v>6</v>
      </c>
      <c r="O406" s="33" t="s">
        <v>6</v>
      </c>
      <c r="P406" s="33" t="s">
        <v>6</v>
      </c>
      <c r="Q406" s="33" t="s">
        <v>6</v>
      </c>
      <c r="R406" s="33" t="s">
        <v>6</v>
      </c>
      <c r="S406" s="33" t="s">
        <v>6</v>
      </c>
      <c r="T406" s="33" t="s">
        <v>6</v>
      </c>
      <c r="U406" s="33" t="s">
        <v>6</v>
      </c>
      <c r="V406" s="4" t="s">
        <v>1</v>
      </c>
      <c r="W406" s="4">
        <v>1</v>
      </c>
      <c r="X406" s="4">
        <v>2</v>
      </c>
      <c r="Y406" s="4">
        <v>2</v>
      </c>
      <c r="Z406" s="5">
        <v>3</v>
      </c>
      <c r="AA406" s="4">
        <f t="shared" si="7"/>
        <v>3</v>
      </c>
      <c r="AB406" s="4" t="s">
        <v>6</v>
      </c>
      <c r="AC406" s="4" t="s">
        <v>6</v>
      </c>
      <c r="AD406" s="4" t="s">
        <v>6</v>
      </c>
      <c r="AE406" s="5" t="s">
        <v>6</v>
      </c>
      <c r="AF406" s="9">
        <f t="shared" si="8"/>
        <v>3</v>
      </c>
      <c r="AG406" s="5" t="s">
        <v>6</v>
      </c>
      <c r="AH406" s="9">
        <v>3</v>
      </c>
      <c r="AI406" s="4" t="s">
        <v>6</v>
      </c>
      <c r="AJ406" s="4" t="s">
        <v>6</v>
      </c>
      <c r="AK406" s="23" t="s">
        <v>6</v>
      </c>
      <c r="AL406" s="23" t="s">
        <v>6</v>
      </c>
      <c r="AM406" s="23" t="s">
        <v>6</v>
      </c>
      <c r="AN406" s="24" t="s">
        <v>6</v>
      </c>
    </row>
    <row r="407" spans="1:40" x14ac:dyDescent="0.2">
      <c r="A407" s="15">
        <v>1926</v>
      </c>
      <c r="B407" s="4" t="s">
        <v>6</v>
      </c>
      <c r="C407" s="36" t="s">
        <v>6</v>
      </c>
      <c r="D407" s="36" t="s">
        <v>6</v>
      </c>
      <c r="E407" s="36" t="s">
        <v>6</v>
      </c>
      <c r="F407" s="30" t="s">
        <v>6</v>
      </c>
      <c r="G407" s="36" t="s">
        <v>6</v>
      </c>
      <c r="H407" s="33" t="s">
        <v>6</v>
      </c>
      <c r="I407" s="33" t="s">
        <v>6</v>
      </c>
      <c r="J407" s="33" t="s">
        <v>6</v>
      </c>
      <c r="K407" s="33" t="s">
        <v>6</v>
      </c>
      <c r="L407" s="33" t="s">
        <v>6</v>
      </c>
      <c r="M407" s="33" t="s">
        <v>6</v>
      </c>
      <c r="N407" s="33" t="s">
        <v>6</v>
      </c>
      <c r="O407" s="33" t="s">
        <v>6</v>
      </c>
      <c r="P407" s="33" t="s">
        <v>6</v>
      </c>
      <c r="Q407" s="33" t="s">
        <v>6</v>
      </c>
      <c r="R407" s="33" t="s">
        <v>6</v>
      </c>
      <c r="S407" s="33" t="s">
        <v>6</v>
      </c>
      <c r="T407" s="33" t="s">
        <v>6</v>
      </c>
      <c r="U407" s="33" t="s">
        <v>6</v>
      </c>
      <c r="V407" s="4" t="s">
        <v>1</v>
      </c>
      <c r="W407" s="4">
        <v>1</v>
      </c>
      <c r="X407" s="4">
        <v>2</v>
      </c>
      <c r="Y407" s="4">
        <v>2</v>
      </c>
      <c r="Z407" s="5">
        <v>3</v>
      </c>
      <c r="AA407" s="4">
        <f t="shared" si="7"/>
        <v>3</v>
      </c>
      <c r="AB407" s="4" t="s">
        <v>6</v>
      </c>
      <c r="AC407" s="4" t="s">
        <v>6</v>
      </c>
      <c r="AD407" s="4" t="s">
        <v>6</v>
      </c>
      <c r="AE407" s="5" t="s">
        <v>6</v>
      </c>
      <c r="AF407" s="9">
        <f t="shared" si="8"/>
        <v>3</v>
      </c>
      <c r="AG407" s="5" t="s">
        <v>6</v>
      </c>
      <c r="AH407" s="9">
        <v>3</v>
      </c>
      <c r="AI407" s="4" t="s">
        <v>6</v>
      </c>
      <c r="AJ407" s="4" t="s">
        <v>6</v>
      </c>
      <c r="AK407" s="23" t="s">
        <v>6</v>
      </c>
      <c r="AL407" s="23" t="s">
        <v>6</v>
      </c>
      <c r="AM407" s="23" t="s">
        <v>6</v>
      </c>
      <c r="AN407" s="24" t="s">
        <v>6</v>
      </c>
    </row>
    <row r="408" spans="1:40" x14ac:dyDescent="0.2">
      <c r="A408" s="15">
        <v>1928</v>
      </c>
      <c r="B408" s="4" t="s">
        <v>6</v>
      </c>
      <c r="C408" s="36" t="s">
        <v>6</v>
      </c>
      <c r="D408" s="36" t="s">
        <v>6</v>
      </c>
      <c r="E408" s="36" t="s">
        <v>6</v>
      </c>
      <c r="F408" s="30" t="s">
        <v>6</v>
      </c>
      <c r="G408" s="36" t="s">
        <v>6</v>
      </c>
      <c r="H408" s="33" t="s">
        <v>6</v>
      </c>
      <c r="I408" s="33" t="s">
        <v>6</v>
      </c>
      <c r="J408" s="33" t="s">
        <v>6</v>
      </c>
      <c r="K408" s="33" t="s">
        <v>6</v>
      </c>
      <c r="L408" s="33" t="s">
        <v>6</v>
      </c>
      <c r="M408" s="33" t="s">
        <v>6</v>
      </c>
      <c r="N408" s="33" t="s">
        <v>6</v>
      </c>
      <c r="O408" s="33" t="s">
        <v>6</v>
      </c>
      <c r="P408" s="33" t="s">
        <v>6</v>
      </c>
      <c r="Q408" s="33" t="s">
        <v>6</v>
      </c>
      <c r="R408" s="33" t="s">
        <v>6</v>
      </c>
      <c r="S408" s="33" t="s">
        <v>6</v>
      </c>
      <c r="T408" s="33" t="s">
        <v>6</v>
      </c>
      <c r="U408" s="33" t="s">
        <v>6</v>
      </c>
      <c r="V408" s="4" t="s">
        <v>1</v>
      </c>
      <c r="W408" s="4">
        <v>1</v>
      </c>
      <c r="X408" s="4">
        <v>2</v>
      </c>
      <c r="Y408" s="4">
        <v>2</v>
      </c>
      <c r="Z408" s="5">
        <v>3</v>
      </c>
      <c r="AA408" s="4">
        <f t="shared" si="7"/>
        <v>3</v>
      </c>
      <c r="AB408" s="4" t="s">
        <v>6</v>
      </c>
      <c r="AC408" s="4" t="s">
        <v>6</v>
      </c>
      <c r="AD408" s="4" t="s">
        <v>6</v>
      </c>
      <c r="AE408" s="5" t="s">
        <v>6</v>
      </c>
      <c r="AF408" s="9">
        <f t="shared" si="8"/>
        <v>3</v>
      </c>
      <c r="AG408" s="5" t="s">
        <v>6</v>
      </c>
      <c r="AH408" s="9">
        <v>3</v>
      </c>
      <c r="AI408" s="4" t="s">
        <v>6</v>
      </c>
      <c r="AJ408" s="4" t="s">
        <v>6</v>
      </c>
      <c r="AK408" s="23" t="s">
        <v>6</v>
      </c>
      <c r="AL408" s="23" t="s">
        <v>6</v>
      </c>
      <c r="AM408" s="23" t="s">
        <v>6</v>
      </c>
      <c r="AN408" s="24" t="s">
        <v>6</v>
      </c>
    </row>
    <row r="409" spans="1:40" x14ac:dyDescent="0.2">
      <c r="A409" s="15">
        <v>2034</v>
      </c>
      <c r="B409" s="4" t="s">
        <v>6</v>
      </c>
      <c r="C409" s="36" t="s">
        <v>6</v>
      </c>
      <c r="D409" s="36" t="s">
        <v>6</v>
      </c>
      <c r="E409" s="36" t="s">
        <v>6</v>
      </c>
      <c r="F409" s="30" t="s">
        <v>6</v>
      </c>
      <c r="G409" s="36" t="s">
        <v>6</v>
      </c>
      <c r="H409" s="33" t="s">
        <v>6</v>
      </c>
      <c r="I409" s="33" t="s">
        <v>6</v>
      </c>
      <c r="J409" s="33" t="s">
        <v>6</v>
      </c>
      <c r="K409" s="33" t="s">
        <v>6</v>
      </c>
      <c r="L409" s="33" t="s">
        <v>6</v>
      </c>
      <c r="M409" s="33" t="s">
        <v>6</v>
      </c>
      <c r="N409" s="33" t="s">
        <v>6</v>
      </c>
      <c r="O409" s="33" t="s">
        <v>6</v>
      </c>
      <c r="P409" s="33" t="s">
        <v>6</v>
      </c>
      <c r="Q409" s="33" t="s">
        <v>6</v>
      </c>
      <c r="R409" s="33" t="s">
        <v>6</v>
      </c>
      <c r="S409" s="33" t="s">
        <v>6</v>
      </c>
      <c r="T409" s="33" t="s">
        <v>6</v>
      </c>
      <c r="U409" s="33" t="s">
        <v>6</v>
      </c>
      <c r="V409" s="4" t="s">
        <v>1</v>
      </c>
      <c r="W409" s="4">
        <v>1</v>
      </c>
      <c r="X409" s="4">
        <v>2</v>
      </c>
      <c r="Y409" s="4">
        <v>2</v>
      </c>
      <c r="Z409" s="5">
        <v>3</v>
      </c>
      <c r="AA409" s="4">
        <f t="shared" si="7"/>
        <v>3</v>
      </c>
      <c r="AB409" s="4" t="s">
        <v>6</v>
      </c>
      <c r="AC409" s="4" t="s">
        <v>6</v>
      </c>
      <c r="AD409" s="4" t="s">
        <v>6</v>
      </c>
      <c r="AE409" s="5" t="s">
        <v>6</v>
      </c>
      <c r="AF409" s="9">
        <f t="shared" si="8"/>
        <v>3</v>
      </c>
      <c r="AG409" s="5" t="s">
        <v>6</v>
      </c>
      <c r="AH409" s="9">
        <v>3</v>
      </c>
      <c r="AI409" s="4" t="s">
        <v>6</v>
      </c>
      <c r="AJ409" s="4" t="s">
        <v>6</v>
      </c>
      <c r="AK409" s="23" t="s">
        <v>6</v>
      </c>
      <c r="AL409" s="23" t="s">
        <v>6</v>
      </c>
      <c r="AM409" s="23" t="s">
        <v>6</v>
      </c>
      <c r="AN409" s="24" t="s">
        <v>6</v>
      </c>
    </row>
    <row r="410" spans="1:40" x14ac:dyDescent="0.2">
      <c r="A410" s="15">
        <v>2044</v>
      </c>
      <c r="B410" s="4" t="s">
        <v>6</v>
      </c>
      <c r="C410" s="36" t="s">
        <v>6</v>
      </c>
      <c r="D410" s="36" t="s">
        <v>6</v>
      </c>
      <c r="E410" s="36" t="s">
        <v>6</v>
      </c>
      <c r="F410" s="30" t="s">
        <v>6</v>
      </c>
      <c r="G410" s="36" t="s">
        <v>6</v>
      </c>
      <c r="H410" s="33" t="s">
        <v>6</v>
      </c>
      <c r="I410" s="33" t="s">
        <v>6</v>
      </c>
      <c r="J410" s="33" t="s">
        <v>6</v>
      </c>
      <c r="K410" s="33" t="s">
        <v>6</v>
      </c>
      <c r="L410" s="33" t="s">
        <v>6</v>
      </c>
      <c r="M410" s="33" t="s">
        <v>6</v>
      </c>
      <c r="N410" s="33" t="s">
        <v>6</v>
      </c>
      <c r="O410" s="33" t="s">
        <v>6</v>
      </c>
      <c r="P410" s="33" t="s">
        <v>6</v>
      </c>
      <c r="Q410" s="33" t="s">
        <v>6</v>
      </c>
      <c r="R410" s="33" t="s">
        <v>6</v>
      </c>
      <c r="S410" s="33" t="s">
        <v>6</v>
      </c>
      <c r="T410" s="33" t="s">
        <v>6</v>
      </c>
      <c r="U410" s="33" t="s">
        <v>6</v>
      </c>
      <c r="V410" s="4" t="s">
        <v>1</v>
      </c>
      <c r="W410" s="4">
        <v>1</v>
      </c>
      <c r="X410" s="4">
        <v>2</v>
      </c>
      <c r="Y410" s="4">
        <v>2</v>
      </c>
      <c r="Z410" s="5">
        <v>3</v>
      </c>
      <c r="AA410" s="4">
        <f t="shared" si="7"/>
        <v>3</v>
      </c>
      <c r="AB410" s="4" t="s">
        <v>6</v>
      </c>
      <c r="AC410" s="4" t="s">
        <v>6</v>
      </c>
      <c r="AD410" s="4" t="s">
        <v>6</v>
      </c>
      <c r="AE410" s="5" t="s">
        <v>6</v>
      </c>
      <c r="AF410" s="9">
        <f t="shared" si="8"/>
        <v>3</v>
      </c>
      <c r="AG410" s="5" t="s">
        <v>6</v>
      </c>
      <c r="AH410" s="9">
        <v>3</v>
      </c>
      <c r="AI410" s="4" t="s">
        <v>6</v>
      </c>
      <c r="AJ410" s="4" t="s">
        <v>6</v>
      </c>
      <c r="AK410" s="23" t="s">
        <v>6</v>
      </c>
      <c r="AL410" s="23" t="s">
        <v>6</v>
      </c>
      <c r="AM410" s="23" t="s">
        <v>6</v>
      </c>
      <c r="AN410" s="24" t="s">
        <v>6</v>
      </c>
    </row>
    <row r="411" spans="1:40" x14ac:dyDescent="0.2">
      <c r="A411" s="15">
        <v>2054</v>
      </c>
      <c r="B411" s="4" t="s">
        <v>6</v>
      </c>
      <c r="C411" s="36" t="s">
        <v>6</v>
      </c>
      <c r="D411" s="36" t="s">
        <v>6</v>
      </c>
      <c r="E411" s="36" t="s">
        <v>6</v>
      </c>
      <c r="F411" s="30" t="s">
        <v>6</v>
      </c>
      <c r="G411" s="36" t="s">
        <v>6</v>
      </c>
      <c r="H411" s="33" t="s">
        <v>6</v>
      </c>
      <c r="I411" s="33" t="s">
        <v>6</v>
      </c>
      <c r="J411" s="33" t="s">
        <v>6</v>
      </c>
      <c r="K411" s="33" t="s">
        <v>6</v>
      </c>
      <c r="L411" s="33" t="s">
        <v>6</v>
      </c>
      <c r="M411" s="33" t="s">
        <v>6</v>
      </c>
      <c r="N411" s="33" t="s">
        <v>6</v>
      </c>
      <c r="O411" s="33" t="s">
        <v>6</v>
      </c>
      <c r="P411" s="33" t="s">
        <v>6</v>
      </c>
      <c r="Q411" s="33" t="s">
        <v>6</v>
      </c>
      <c r="R411" s="33" t="s">
        <v>6</v>
      </c>
      <c r="S411" s="33" t="s">
        <v>6</v>
      </c>
      <c r="T411" s="33" t="s">
        <v>6</v>
      </c>
      <c r="U411" s="33" t="s">
        <v>6</v>
      </c>
      <c r="V411" s="4" t="s">
        <v>1</v>
      </c>
      <c r="W411" s="4">
        <v>1</v>
      </c>
      <c r="X411" s="4">
        <v>2</v>
      </c>
      <c r="Y411" s="4">
        <v>2</v>
      </c>
      <c r="Z411" s="5">
        <v>3</v>
      </c>
      <c r="AA411" s="4">
        <f t="shared" si="7"/>
        <v>3</v>
      </c>
      <c r="AB411" s="4" t="s">
        <v>6</v>
      </c>
      <c r="AC411" s="4" t="s">
        <v>6</v>
      </c>
      <c r="AD411" s="4" t="s">
        <v>6</v>
      </c>
      <c r="AE411" s="5" t="s">
        <v>6</v>
      </c>
      <c r="AF411" s="9">
        <f t="shared" si="8"/>
        <v>3</v>
      </c>
      <c r="AG411" s="5" t="s">
        <v>6</v>
      </c>
      <c r="AH411" s="9">
        <v>3</v>
      </c>
      <c r="AI411" s="4" t="s">
        <v>6</v>
      </c>
      <c r="AJ411" s="4" t="s">
        <v>6</v>
      </c>
      <c r="AK411" s="23" t="s">
        <v>6</v>
      </c>
      <c r="AL411" s="23" t="s">
        <v>6</v>
      </c>
      <c r="AM411" s="23" t="s">
        <v>6</v>
      </c>
      <c r="AN411" s="24" t="s">
        <v>6</v>
      </c>
    </row>
    <row r="412" spans="1:40" x14ac:dyDescent="0.2">
      <c r="A412" s="15">
        <v>2058</v>
      </c>
      <c r="B412" s="4" t="s">
        <v>6</v>
      </c>
      <c r="C412" s="36" t="s">
        <v>6</v>
      </c>
      <c r="D412" s="36" t="s">
        <v>6</v>
      </c>
      <c r="E412" s="36" t="s">
        <v>6</v>
      </c>
      <c r="F412" s="30" t="s">
        <v>6</v>
      </c>
      <c r="G412" s="36" t="s">
        <v>6</v>
      </c>
      <c r="H412" s="33" t="s">
        <v>6</v>
      </c>
      <c r="I412" s="33" t="s">
        <v>6</v>
      </c>
      <c r="J412" s="33" t="s">
        <v>6</v>
      </c>
      <c r="K412" s="33" t="s">
        <v>6</v>
      </c>
      <c r="L412" s="33" t="s">
        <v>6</v>
      </c>
      <c r="M412" s="33" t="s">
        <v>6</v>
      </c>
      <c r="N412" s="33" t="s">
        <v>6</v>
      </c>
      <c r="O412" s="33" t="s">
        <v>6</v>
      </c>
      <c r="P412" s="33" t="s">
        <v>6</v>
      </c>
      <c r="Q412" s="33" t="s">
        <v>6</v>
      </c>
      <c r="R412" s="33" t="s">
        <v>6</v>
      </c>
      <c r="S412" s="33" t="s">
        <v>6</v>
      </c>
      <c r="T412" s="33" t="s">
        <v>6</v>
      </c>
      <c r="U412" s="33" t="s">
        <v>6</v>
      </c>
      <c r="V412" s="4" t="s">
        <v>1</v>
      </c>
      <c r="W412" s="4">
        <v>1</v>
      </c>
      <c r="X412" s="4">
        <v>2</v>
      </c>
      <c r="Y412" s="4">
        <v>2</v>
      </c>
      <c r="Z412" s="5">
        <v>3</v>
      </c>
      <c r="AA412" s="4">
        <f t="shared" si="7"/>
        <v>3</v>
      </c>
      <c r="AB412" s="4" t="s">
        <v>6</v>
      </c>
      <c r="AC412" s="4" t="s">
        <v>6</v>
      </c>
      <c r="AD412" s="4" t="s">
        <v>6</v>
      </c>
      <c r="AE412" s="5" t="s">
        <v>6</v>
      </c>
      <c r="AF412" s="9">
        <f t="shared" si="8"/>
        <v>3</v>
      </c>
      <c r="AG412" s="5" t="s">
        <v>6</v>
      </c>
      <c r="AH412" s="9">
        <v>3</v>
      </c>
      <c r="AI412" s="4" t="s">
        <v>6</v>
      </c>
      <c r="AJ412" s="4" t="s">
        <v>6</v>
      </c>
      <c r="AK412" s="23" t="s">
        <v>6</v>
      </c>
      <c r="AL412" s="23" t="s">
        <v>6</v>
      </c>
      <c r="AM412" s="23" t="s">
        <v>6</v>
      </c>
      <c r="AN412" s="24" t="s">
        <v>6</v>
      </c>
    </row>
    <row r="413" spans="1:40" x14ac:dyDescent="0.2">
      <c r="A413" s="15">
        <v>2062</v>
      </c>
      <c r="B413" s="4" t="s">
        <v>6</v>
      </c>
      <c r="C413" s="36" t="s">
        <v>6</v>
      </c>
      <c r="D413" s="36" t="s">
        <v>6</v>
      </c>
      <c r="E413" s="36" t="s">
        <v>6</v>
      </c>
      <c r="F413" s="30" t="s">
        <v>6</v>
      </c>
      <c r="G413" s="36" t="s">
        <v>6</v>
      </c>
      <c r="H413" s="33" t="s">
        <v>6</v>
      </c>
      <c r="I413" s="33" t="s">
        <v>6</v>
      </c>
      <c r="J413" s="33" t="s">
        <v>6</v>
      </c>
      <c r="K413" s="33" t="s">
        <v>6</v>
      </c>
      <c r="L413" s="33" t="s">
        <v>6</v>
      </c>
      <c r="M413" s="33" t="s">
        <v>6</v>
      </c>
      <c r="N413" s="33" t="s">
        <v>6</v>
      </c>
      <c r="O413" s="33" t="s">
        <v>6</v>
      </c>
      <c r="P413" s="33" t="s">
        <v>6</v>
      </c>
      <c r="Q413" s="33" t="s">
        <v>6</v>
      </c>
      <c r="R413" s="33" t="s">
        <v>6</v>
      </c>
      <c r="S413" s="33" t="s">
        <v>6</v>
      </c>
      <c r="T413" s="33" t="s">
        <v>6</v>
      </c>
      <c r="U413" s="33" t="s">
        <v>6</v>
      </c>
      <c r="V413" s="4" t="s">
        <v>1</v>
      </c>
      <c r="W413" s="4">
        <v>1</v>
      </c>
      <c r="X413" s="4">
        <v>2</v>
      </c>
      <c r="Y413" s="4">
        <v>2</v>
      </c>
      <c r="Z413" s="5">
        <v>3</v>
      </c>
      <c r="AA413" s="4">
        <f t="shared" si="7"/>
        <v>3</v>
      </c>
      <c r="AB413" s="4" t="s">
        <v>6</v>
      </c>
      <c r="AC413" s="4" t="s">
        <v>6</v>
      </c>
      <c r="AD413" s="4" t="s">
        <v>6</v>
      </c>
      <c r="AE413" s="5" t="s">
        <v>6</v>
      </c>
      <c r="AF413" s="9">
        <f t="shared" si="8"/>
        <v>3</v>
      </c>
      <c r="AG413" s="5" t="s">
        <v>6</v>
      </c>
      <c r="AH413" s="9">
        <v>3</v>
      </c>
      <c r="AI413" s="4" t="s">
        <v>6</v>
      </c>
      <c r="AJ413" s="4" t="s">
        <v>6</v>
      </c>
      <c r="AK413" s="23" t="s">
        <v>6</v>
      </c>
      <c r="AL413" s="23" t="s">
        <v>6</v>
      </c>
      <c r="AM413" s="23" t="s">
        <v>6</v>
      </c>
      <c r="AN413" s="24" t="s">
        <v>6</v>
      </c>
    </row>
    <row r="414" spans="1:40" x14ac:dyDescent="0.2">
      <c r="A414" s="15">
        <v>2067</v>
      </c>
      <c r="B414" s="4" t="s">
        <v>6</v>
      </c>
      <c r="C414" s="36" t="s">
        <v>6</v>
      </c>
      <c r="D414" s="36" t="s">
        <v>6</v>
      </c>
      <c r="E414" s="36" t="s">
        <v>6</v>
      </c>
      <c r="F414" s="30" t="s">
        <v>6</v>
      </c>
      <c r="G414" s="36" t="s">
        <v>6</v>
      </c>
      <c r="H414" s="33" t="s">
        <v>6</v>
      </c>
      <c r="I414" s="33" t="s">
        <v>6</v>
      </c>
      <c r="J414" s="33" t="s">
        <v>6</v>
      </c>
      <c r="K414" s="33" t="s">
        <v>6</v>
      </c>
      <c r="L414" s="33" t="s">
        <v>6</v>
      </c>
      <c r="M414" s="33" t="s">
        <v>6</v>
      </c>
      <c r="N414" s="33" t="s">
        <v>6</v>
      </c>
      <c r="O414" s="33" t="s">
        <v>6</v>
      </c>
      <c r="P414" s="33" t="s">
        <v>6</v>
      </c>
      <c r="Q414" s="33" t="s">
        <v>6</v>
      </c>
      <c r="R414" s="33" t="s">
        <v>6</v>
      </c>
      <c r="S414" s="33" t="s">
        <v>6</v>
      </c>
      <c r="T414" s="33" t="s">
        <v>6</v>
      </c>
      <c r="U414" s="33" t="s">
        <v>6</v>
      </c>
      <c r="V414" s="4" t="s">
        <v>1</v>
      </c>
      <c r="W414" s="4">
        <v>1</v>
      </c>
      <c r="X414" s="4">
        <v>2</v>
      </c>
      <c r="Y414" s="4">
        <v>2</v>
      </c>
      <c r="Z414" s="5">
        <v>3</v>
      </c>
      <c r="AA414" s="4">
        <f t="shared" si="7"/>
        <v>3</v>
      </c>
      <c r="AB414" s="4" t="s">
        <v>6</v>
      </c>
      <c r="AC414" s="4" t="s">
        <v>6</v>
      </c>
      <c r="AD414" s="4" t="s">
        <v>6</v>
      </c>
      <c r="AE414" s="5" t="s">
        <v>6</v>
      </c>
      <c r="AF414" s="9">
        <f t="shared" si="8"/>
        <v>3</v>
      </c>
      <c r="AG414" s="5" t="s">
        <v>6</v>
      </c>
      <c r="AH414" s="9">
        <v>3</v>
      </c>
      <c r="AI414" s="4" t="s">
        <v>6</v>
      </c>
      <c r="AJ414" s="4" t="s">
        <v>6</v>
      </c>
      <c r="AK414" s="23" t="s">
        <v>6</v>
      </c>
      <c r="AL414" s="23" t="s">
        <v>6</v>
      </c>
      <c r="AM414" s="23" t="s">
        <v>6</v>
      </c>
      <c r="AN414" s="24" t="s">
        <v>6</v>
      </c>
    </row>
    <row r="415" spans="1:40" x14ac:dyDescent="0.2">
      <c r="A415" s="15">
        <v>2126</v>
      </c>
      <c r="B415" s="4" t="s">
        <v>6</v>
      </c>
      <c r="C415" s="36" t="s">
        <v>6</v>
      </c>
      <c r="D415" s="36" t="s">
        <v>6</v>
      </c>
      <c r="E415" s="36" t="s">
        <v>6</v>
      </c>
      <c r="F415" s="30" t="s">
        <v>6</v>
      </c>
      <c r="G415" s="36" t="s">
        <v>6</v>
      </c>
      <c r="H415" s="33" t="s">
        <v>6</v>
      </c>
      <c r="I415" s="33" t="s">
        <v>6</v>
      </c>
      <c r="J415" s="33" t="s">
        <v>6</v>
      </c>
      <c r="K415" s="33" t="s">
        <v>6</v>
      </c>
      <c r="L415" s="33" t="s">
        <v>6</v>
      </c>
      <c r="M415" s="33" t="s">
        <v>6</v>
      </c>
      <c r="N415" s="33" t="s">
        <v>6</v>
      </c>
      <c r="O415" s="33" t="s">
        <v>6</v>
      </c>
      <c r="P415" s="33" t="s">
        <v>6</v>
      </c>
      <c r="Q415" s="33" t="s">
        <v>6</v>
      </c>
      <c r="R415" s="33" t="s">
        <v>6</v>
      </c>
      <c r="S415" s="33" t="s">
        <v>6</v>
      </c>
      <c r="T415" s="33" t="s">
        <v>6</v>
      </c>
      <c r="U415" s="33" t="s">
        <v>6</v>
      </c>
      <c r="V415" s="4" t="s">
        <v>1</v>
      </c>
      <c r="W415" s="4">
        <v>1</v>
      </c>
      <c r="X415" s="4">
        <v>2</v>
      </c>
      <c r="Y415" s="4">
        <v>2</v>
      </c>
      <c r="Z415" s="5">
        <v>3</v>
      </c>
      <c r="AA415" s="4">
        <f t="shared" si="7"/>
        <v>3</v>
      </c>
      <c r="AB415" s="4" t="s">
        <v>6</v>
      </c>
      <c r="AC415" s="4" t="s">
        <v>6</v>
      </c>
      <c r="AD415" s="4" t="s">
        <v>6</v>
      </c>
      <c r="AE415" s="5" t="s">
        <v>6</v>
      </c>
      <c r="AF415" s="9">
        <f t="shared" si="8"/>
        <v>3</v>
      </c>
      <c r="AG415" s="5" t="s">
        <v>6</v>
      </c>
      <c r="AH415" s="9">
        <v>3</v>
      </c>
      <c r="AI415" s="4" t="s">
        <v>6</v>
      </c>
      <c r="AJ415" s="4" t="s">
        <v>6</v>
      </c>
      <c r="AK415" s="23" t="s">
        <v>6</v>
      </c>
      <c r="AL415" s="23" t="s">
        <v>6</v>
      </c>
      <c r="AM415" s="23" t="s">
        <v>6</v>
      </c>
      <c r="AN415" s="24" t="s">
        <v>6</v>
      </c>
    </row>
    <row r="416" spans="1:40" x14ac:dyDescent="0.2">
      <c r="A416" s="15">
        <v>2152</v>
      </c>
      <c r="B416" s="4" t="s">
        <v>6</v>
      </c>
      <c r="C416" s="36" t="s">
        <v>6</v>
      </c>
      <c r="D416" s="36" t="s">
        <v>6</v>
      </c>
      <c r="E416" s="36" t="s">
        <v>6</v>
      </c>
      <c r="F416" s="30" t="s">
        <v>6</v>
      </c>
      <c r="G416" s="36" t="s">
        <v>6</v>
      </c>
      <c r="H416" s="33" t="s">
        <v>6</v>
      </c>
      <c r="I416" s="33" t="s">
        <v>6</v>
      </c>
      <c r="J416" s="33" t="s">
        <v>6</v>
      </c>
      <c r="K416" s="33" t="s">
        <v>6</v>
      </c>
      <c r="L416" s="33" t="s">
        <v>6</v>
      </c>
      <c r="M416" s="33" t="s">
        <v>6</v>
      </c>
      <c r="N416" s="33" t="s">
        <v>6</v>
      </c>
      <c r="O416" s="33" t="s">
        <v>6</v>
      </c>
      <c r="P416" s="33" t="s">
        <v>6</v>
      </c>
      <c r="Q416" s="33" t="s">
        <v>6</v>
      </c>
      <c r="R416" s="33" t="s">
        <v>6</v>
      </c>
      <c r="S416" s="33" t="s">
        <v>6</v>
      </c>
      <c r="T416" s="33" t="s">
        <v>6</v>
      </c>
      <c r="U416" s="33" t="s">
        <v>6</v>
      </c>
      <c r="V416" s="4" t="s">
        <v>1</v>
      </c>
      <c r="W416" s="4">
        <v>1</v>
      </c>
      <c r="X416" s="4">
        <v>2</v>
      </c>
      <c r="Y416" s="4">
        <v>2</v>
      </c>
      <c r="Z416" s="5">
        <v>3</v>
      </c>
      <c r="AA416" s="4">
        <f t="shared" si="7"/>
        <v>3</v>
      </c>
      <c r="AB416" s="4" t="s">
        <v>6</v>
      </c>
      <c r="AC416" s="4" t="s">
        <v>6</v>
      </c>
      <c r="AD416" s="4" t="s">
        <v>6</v>
      </c>
      <c r="AE416" s="5" t="s">
        <v>6</v>
      </c>
      <c r="AF416" s="9">
        <f t="shared" si="8"/>
        <v>3</v>
      </c>
      <c r="AG416" s="5" t="s">
        <v>6</v>
      </c>
      <c r="AH416" s="9">
        <v>3</v>
      </c>
      <c r="AI416" s="4" t="s">
        <v>6</v>
      </c>
      <c r="AJ416" s="4" t="s">
        <v>6</v>
      </c>
      <c r="AK416" s="23" t="s">
        <v>6</v>
      </c>
      <c r="AL416" s="23" t="s">
        <v>6</v>
      </c>
      <c r="AM416" s="23" t="s">
        <v>6</v>
      </c>
      <c r="AN416" s="24" t="s">
        <v>6</v>
      </c>
    </row>
    <row r="417" spans="1:40" x14ac:dyDescent="0.2">
      <c r="A417" s="15">
        <v>2205</v>
      </c>
      <c r="B417" s="4" t="s">
        <v>6</v>
      </c>
      <c r="C417" s="36" t="s">
        <v>6</v>
      </c>
      <c r="D417" s="36" t="s">
        <v>6</v>
      </c>
      <c r="E417" s="36" t="s">
        <v>6</v>
      </c>
      <c r="F417" s="30" t="s">
        <v>6</v>
      </c>
      <c r="G417" s="36" t="s">
        <v>6</v>
      </c>
      <c r="H417" s="33" t="s">
        <v>6</v>
      </c>
      <c r="I417" s="33" t="s">
        <v>6</v>
      </c>
      <c r="J417" s="33" t="s">
        <v>6</v>
      </c>
      <c r="K417" s="33" t="s">
        <v>6</v>
      </c>
      <c r="L417" s="33" t="s">
        <v>6</v>
      </c>
      <c r="M417" s="33" t="s">
        <v>6</v>
      </c>
      <c r="N417" s="33" t="s">
        <v>6</v>
      </c>
      <c r="O417" s="33" t="s">
        <v>6</v>
      </c>
      <c r="P417" s="33" t="s">
        <v>6</v>
      </c>
      <c r="Q417" s="33" t="s">
        <v>6</v>
      </c>
      <c r="R417" s="33" t="s">
        <v>6</v>
      </c>
      <c r="S417" s="33" t="s">
        <v>6</v>
      </c>
      <c r="T417" s="33" t="s">
        <v>6</v>
      </c>
      <c r="U417" s="33" t="s">
        <v>6</v>
      </c>
      <c r="V417" s="4" t="s">
        <v>1</v>
      </c>
      <c r="W417" s="4">
        <v>1</v>
      </c>
      <c r="X417" s="4">
        <v>2</v>
      </c>
      <c r="Y417" s="4">
        <v>2</v>
      </c>
      <c r="Z417" s="5">
        <v>3</v>
      </c>
      <c r="AA417" s="4">
        <f t="shared" si="7"/>
        <v>3</v>
      </c>
      <c r="AB417" s="4" t="s">
        <v>6</v>
      </c>
      <c r="AC417" s="4" t="s">
        <v>6</v>
      </c>
      <c r="AD417" s="4" t="s">
        <v>6</v>
      </c>
      <c r="AE417" s="5" t="s">
        <v>6</v>
      </c>
      <c r="AF417" s="9">
        <f t="shared" si="8"/>
        <v>3</v>
      </c>
      <c r="AG417" s="5" t="s">
        <v>6</v>
      </c>
      <c r="AH417" s="9">
        <v>3</v>
      </c>
      <c r="AI417" s="4" t="s">
        <v>6</v>
      </c>
      <c r="AJ417" s="4" t="s">
        <v>6</v>
      </c>
      <c r="AK417" s="23" t="s">
        <v>6</v>
      </c>
      <c r="AL417" s="23" t="s">
        <v>6</v>
      </c>
      <c r="AM417" s="23" t="s">
        <v>6</v>
      </c>
      <c r="AN417" s="24" t="s">
        <v>6</v>
      </c>
    </row>
    <row r="418" spans="1:40" x14ac:dyDescent="0.2">
      <c r="A418" s="15">
        <v>2210</v>
      </c>
      <c r="B418" s="4" t="s">
        <v>6</v>
      </c>
      <c r="C418" s="36" t="s">
        <v>6</v>
      </c>
      <c r="D418" s="36" t="s">
        <v>6</v>
      </c>
      <c r="E418" s="36" t="s">
        <v>6</v>
      </c>
      <c r="F418" s="30" t="s">
        <v>6</v>
      </c>
      <c r="G418" s="36" t="s">
        <v>6</v>
      </c>
      <c r="H418" s="33" t="s">
        <v>6</v>
      </c>
      <c r="I418" s="33" t="s">
        <v>6</v>
      </c>
      <c r="J418" s="33" t="s">
        <v>6</v>
      </c>
      <c r="K418" s="33" t="s">
        <v>6</v>
      </c>
      <c r="L418" s="33" t="s">
        <v>6</v>
      </c>
      <c r="M418" s="33" t="s">
        <v>6</v>
      </c>
      <c r="N418" s="33" t="s">
        <v>6</v>
      </c>
      <c r="O418" s="33" t="s">
        <v>6</v>
      </c>
      <c r="P418" s="33" t="s">
        <v>6</v>
      </c>
      <c r="Q418" s="33" t="s">
        <v>6</v>
      </c>
      <c r="R418" s="33" t="s">
        <v>6</v>
      </c>
      <c r="S418" s="33" t="s">
        <v>6</v>
      </c>
      <c r="T418" s="33" t="s">
        <v>6</v>
      </c>
      <c r="U418" s="33" t="s">
        <v>6</v>
      </c>
      <c r="V418" s="4" t="s">
        <v>1</v>
      </c>
      <c r="W418" s="4">
        <v>1</v>
      </c>
      <c r="X418" s="4">
        <v>2</v>
      </c>
      <c r="Y418" s="4">
        <v>2</v>
      </c>
      <c r="Z418" s="5">
        <v>3</v>
      </c>
      <c r="AA418" s="4">
        <f t="shared" si="7"/>
        <v>3</v>
      </c>
      <c r="AB418" s="4" t="s">
        <v>6</v>
      </c>
      <c r="AC418" s="4" t="s">
        <v>6</v>
      </c>
      <c r="AD418" s="4" t="s">
        <v>6</v>
      </c>
      <c r="AE418" s="5" t="s">
        <v>6</v>
      </c>
      <c r="AF418" s="9">
        <f t="shared" si="8"/>
        <v>3</v>
      </c>
      <c r="AG418" s="5" t="s">
        <v>6</v>
      </c>
      <c r="AH418" s="9">
        <v>3</v>
      </c>
      <c r="AI418" s="4" t="s">
        <v>6</v>
      </c>
      <c r="AJ418" s="4" t="s">
        <v>6</v>
      </c>
      <c r="AK418" s="23" t="s">
        <v>6</v>
      </c>
      <c r="AL418" s="23" t="s">
        <v>6</v>
      </c>
      <c r="AM418" s="23" t="s">
        <v>6</v>
      </c>
      <c r="AN418" s="24" t="s">
        <v>6</v>
      </c>
    </row>
    <row r="419" spans="1:40" x14ac:dyDescent="0.2">
      <c r="A419" s="15">
        <v>2213</v>
      </c>
      <c r="B419" s="4" t="s">
        <v>6</v>
      </c>
      <c r="C419" s="36" t="s">
        <v>6</v>
      </c>
      <c r="D419" s="36" t="s">
        <v>6</v>
      </c>
      <c r="E419" s="36" t="s">
        <v>6</v>
      </c>
      <c r="F419" s="30" t="s">
        <v>6</v>
      </c>
      <c r="G419" s="36" t="s">
        <v>6</v>
      </c>
      <c r="H419" s="33" t="s">
        <v>6</v>
      </c>
      <c r="I419" s="33" t="s">
        <v>6</v>
      </c>
      <c r="J419" s="33" t="s">
        <v>6</v>
      </c>
      <c r="K419" s="33" t="s">
        <v>6</v>
      </c>
      <c r="L419" s="33" t="s">
        <v>6</v>
      </c>
      <c r="M419" s="33" t="s">
        <v>6</v>
      </c>
      <c r="N419" s="33" t="s">
        <v>6</v>
      </c>
      <c r="O419" s="33" t="s">
        <v>6</v>
      </c>
      <c r="P419" s="33" t="s">
        <v>6</v>
      </c>
      <c r="Q419" s="33" t="s">
        <v>6</v>
      </c>
      <c r="R419" s="33" t="s">
        <v>6</v>
      </c>
      <c r="S419" s="33" t="s">
        <v>6</v>
      </c>
      <c r="T419" s="33" t="s">
        <v>6</v>
      </c>
      <c r="U419" s="33" t="s">
        <v>6</v>
      </c>
      <c r="V419" s="4" t="s">
        <v>1</v>
      </c>
      <c r="W419" s="4">
        <v>1</v>
      </c>
      <c r="X419" s="4">
        <v>2</v>
      </c>
      <c r="Y419" s="4">
        <v>2</v>
      </c>
      <c r="Z419" s="5">
        <v>3</v>
      </c>
      <c r="AA419" s="4">
        <f t="shared" si="7"/>
        <v>3</v>
      </c>
      <c r="AB419" s="4" t="s">
        <v>6</v>
      </c>
      <c r="AC419" s="4" t="s">
        <v>6</v>
      </c>
      <c r="AD419" s="4" t="s">
        <v>6</v>
      </c>
      <c r="AE419" s="5" t="s">
        <v>6</v>
      </c>
      <c r="AF419" s="9">
        <f t="shared" si="8"/>
        <v>3</v>
      </c>
      <c r="AG419" s="5" t="s">
        <v>6</v>
      </c>
      <c r="AH419" s="9">
        <v>3</v>
      </c>
      <c r="AI419" s="4" t="s">
        <v>6</v>
      </c>
      <c r="AJ419" s="4" t="s">
        <v>6</v>
      </c>
      <c r="AK419" s="23" t="s">
        <v>6</v>
      </c>
      <c r="AL419" s="23" t="s">
        <v>6</v>
      </c>
      <c r="AM419" s="23" t="s">
        <v>6</v>
      </c>
      <c r="AN419" s="24" t="s">
        <v>6</v>
      </c>
    </row>
    <row r="420" spans="1:40" x14ac:dyDescent="0.2">
      <c r="A420" s="15">
        <v>2231</v>
      </c>
      <c r="B420" s="4" t="s">
        <v>6</v>
      </c>
      <c r="C420" s="36" t="s">
        <v>6</v>
      </c>
      <c r="D420" s="36" t="s">
        <v>6</v>
      </c>
      <c r="E420" s="36" t="s">
        <v>6</v>
      </c>
      <c r="F420" s="30" t="s">
        <v>6</v>
      </c>
      <c r="G420" s="36" t="s">
        <v>6</v>
      </c>
      <c r="H420" s="33" t="s">
        <v>6</v>
      </c>
      <c r="I420" s="33" t="s">
        <v>6</v>
      </c>
      <c r="J420" s="33" t="s">
        <v>6</v>
      </c>
      <c r="K420" s="33" t="s">
        <v>6</v>
      </c>
      <c r="L420" s="33" t="s">
        <v>6</v>
      </c>
      <c r="M420" s="33" t="s">
        <v>6</v>
      </c>
      <c r="N420" s="33" t="s">
        <v>6</v>
      </c>
      <c r="O420" s="33" t="s">
        <v>6</v>
      </c>
      <c r="P420" s="33" t="s">
        <v>6</v>
      </c>
      <c r="Q420" s="33" t="s">
        <v>6</v>
      </c>
      <c r="R420" s="33" t="s">
        <v>6</v>
      </c>
      <c r="S420" s="33" t="s">
        <v>6</v>
      </c>
      <c r="T420" s="33" t="s">
        <v>6</v>
      </c>
      <c r="U420" s="33" t="s">
        <v>6</v>
      </c>
      <c r="V420" s="4" t="s">
        <v>1</v>
      </c>
      <c r="W420" s="4">
        <v>1</v>
      </c>
      <c r="X420" s="4">
        <v>2</v>
      </c>
      <c r="Y420" s="4">
        <v>2</v>
      </c>
      <c r="Z420" s="5">
        <v>3</v>
      </c>
      <c r="AA420" s="4">
        <f t="shared" si="7"/>
        <v>3</v>
      </c>
      <c r="AB420" s="4" t="s">
        <v>6</v>
      </c>
      <c r="AC420" s="4" t="s">
        <v>6</v>
      </c>
      <c r="AD420" s="4" t="s">
        <v>6</v>
      </c>
      <c r="AE420" s="5" t="s">
        <v>6</v>
      </c>
      <c r="AF420" s="9">
        <f t="shared" si="8"/>
        <v>3</v>
      </c>
      <c r="AG420" s="5" t="s">
        <v>6</v>
      </c>
      <c r="AH420" s="9">
        <v>3</v>
      </c>
      <c r="AI420" s="4" t="s">
        <v>6</v>
      </c>
      <c r="AJ420" s="4" t="s">
        <v>6</v>
      </c>
      <c r="AK420" s="23" t="s">
        <v>6</v>
      </c>
      <c r="AL420" s="23" t="s">
        <v>6</v>
      </c>
      <c r="AM420" s="23" t="s">
        <v>6</v>
      </c>
      <c r="AN420" s="24" t="s">
        <v>6</v>
      </c>
    </row>
    <row r="421" spans="1:40" x14ac:dyDescent="0.2">
      <c r="A421" s="15">
        <v>2327</v>
      </c>
      <c r="B421" s="4" t="s">
        <v>6</v>
      </c>
      <c r="C421" s="36" t="s">
        <v>6</v>
      </c>
      <c r="D421" s="36" t="s">
        <v>6</v>
      </c>
      <c r="E421" s="36" t="s">
        <v>6</v>
      </c>
      <c r="F421" s="30" t="s">
        <v>6</v>
      </c>
      <c r="G421" s="36" t="s">
        <v>6</v>
      </c>
      <c r="H421" s="33" t="s">
        <v>6</v>
      </c>
      <c r="I421" s="33" t="s">
        <v>6</v>
      </c>
      <c r="J421" s="33" t="s">
        <v>6</v>
      </c>
      <c r="K421" s="33" t="s">
        <v>6</v>
      </c>
      <c r="L421" s="33" t="s">
        <v>6</v>
      </c>
      <c r="M421" s="33" t="s">
        <v>6</v>
      </c>
      <c r="N421" s="33" t="s">
        <v>6</v>
      </c>
      <c r="O421" s="33" t="s">
        <v>6</v>
      </c>
      <c r="P421" s="33" t="s">
        <v>6</v>
      </c>
      <c r="Q421" s="33" t="s">
        <v>6</v>
      </c>
      <c r="R421" s="33" t="s">
        <v>6</v>
      </c>
      <c r="S421" s="33" t="s">
        <v>6</v>
      </c>
      <c r="T421" s="33" t="s">
        <v>6</v>
      </c>
      <c r="U421" s="33" t="s">
        <v>6</v>
      </c>
      <c r="V421" s="4" t="s">
        <v>1</v>
      </c>
      <c r="W421" s="4">
        <v>1</v>
      </c>
      <c r="X421" s="4">
        <v>2</v>
      </c>
      <c r="Y421" s="4">
        <v>2</v>
      </c>
      <c r="Z421" s="5">
        <v>3</v>
      </c>
      <c r="AA421" s="4">
        <f t="shared" si="7"/>
        <v>3</v>
      </c>
      <c r="AB421" s="4" t="s">
        <v>6</v>
      </c>
      <c r="AC421" s="4" t="s">
        <v>6</v>
      </c>
      <c r="AD421" s="4" t="s">
        <v>6</v>
      </c>
      <c r="AE421" s="5" t="s">
        <v>6</v>
      </c>
      <c r="AF421" s="9">
        <f t="shared" si="8"/>
        <v>3</v>
      </c>
      <c r="AG421" s="5" t="s">
        <v>6</v>
      </c>
      <c r="AH421" s="9">
        <v>3</v>
      </c>
      <c r="AI421" s="4" t="s">
        <v>6</v>
      </c>
      <c r="AJ421" s="4" t="s">
        <v>6</v>
      </c>
      <c r="AK421" s="23" t="s">
        <v>6</v>
      </c>
      <c r="AL421" s="23" t="s">
        <v>6</v>
      </c>
      <c r="AM421" s="23" t="s">
        <v>6</v>
      </c>
      <c r="AN421" s="24" t="s">
        <v>6</v>
      </c>
    </row>
    <row r="422" spans="1:40" x14ac:dyDescent="0.2">
      <c r="A422" s="15">
        <v>2740</v>
      </c>
      <c r="B422" s="4" t="s">
        <v>6</v>
      </c>
      <c r="C422" s="36" t="s">
        <v>6</v>
      </c>
      <c r="D422" s="36" t="s">
        <v>6</v>
      </c>
      <c r="E422" s="36" t="s">
        <v>6</v>
      </c>
      <c r="F422" s="30" t="s">
        <v>6</v>
      </c>
      <c r="G422" s="36" t="s">
        <v>6</v>
      </c>
      <c r="H422" s="33" t="s">
        <v>6</v>
      </c>
      <c r="I422" s="33" t="s">
        <v>6</v>
      </c>
      <c r="J422" s="33" t="s">
        <v>6</v>
      </c>
      <c r="K422" s="33" t="s">
        <v>6</v>
      </c>
      <c r="L422" s="33" t="s">
        <v>6</v>
      </c>
      <c r="M422" s="33" t="s">
        <v>6</v>
      </c>
      <c r="N422" s="33" t="s">
        <v>6</v>
      </c>
      <c r="O422" s="33" t="s">
        <v>6</v>
      </c>
      <c r="P422" s="33" t="s">
        <v>6</v>
      </c>
      <c r="Q422" s="33" t="s">
        <v>6</v>
      </c>
      <c r="R422" s="33" t="s">
        <v>6</v>
      </c>
      <c r="S422" s="33" t="s">
        <v>6</v>
      </c>
      <c r="T422" s="33" t="s">
        <v>6</v>
      </c>
      <c r="U422" s="33" t="s">
        <v>6</v>
      </c>
      <c r="V422" s="4" t="s">
        <v>1</v>
      </c>
      <c r="W422" s="4">
        <v>1</v>
      </c>
      <c r="X422" s="4">
        <v>2</v>
      </c>
      <c r="Y422" s="4">
        <v>2</v>
      </c>
      <c r="Z422" s="5">
        <v>3</v>
      </c>
      <c r="AA422" s="4">
        <f t="shared" si="7"/>
        <v>3</v>
      </c>
      <c r="AB422" s="4" t="s">
        <v>6</v>
      </c>
      <c r="AC422" s="4" t="s">
        <v>6</v>
      </c>
      <c r="AD422" s="4" t="s">
        <v>6</v>
      </c>
      <c r="AE422" s="5" t="s">
        <v>6</v>
      </c>
      <c r="AF422" s="9">
        <f t="shared" si="8"/>
        <v>3</v>
      </c>
      <c r="AG422" s="5" t="s">
        <v>6</v>
      </c>
      <c r="AH422" s="9">
        <v>3</v>
      </c>
      <c r="AI422" s="4" t="s">
        <v>6</v>
      </c>
      <c r="AJ422" s="4" t="s">
        <v>6</v>
      </c>
      <c r="AK422" s="23" t="s">
        <v>6</v>
      </c>
      <c r="AL422" s="23" t="s">
        <v>6</v>
      </c>
      <c r="AM422" s="23" t="s">
        <v>6</v>
      </c>
      <c r="AN422" s="24" t="s">
        <v>6</v>
      </c>
    </row>
    <row r="423" spans="1:40" x14ac:dyDescent="0.2">
      <c r="A423" s="15">
        <v>2852</v>
      </c>
      <c r="B423" s="4" t="s">
        <v>6</v>
      </c>
      <c r="C423" s="36" t="s">
        <v>6</v>
      </c>
      <c r="D423" s="36" t="s">
        <v>6</v>
      </c>
      <c r="E423" s="36" t="s">
        <v>6</v>
      </c>
      <c r="F423" s="30" t="s">
        <v>6</v>
      </c>
      <c r="G423" s="36" t="s">
        <v>6</v>
      </c>
      <c r="H423" s="33" t="s">
        <v>6</v>
      </c>
      <c r="I423" s="33" t="s">
        <v>6</v>
      </c>
      <c r="J423" s="33" t="s">
        <v>6</v>
      </c>
      <c r="K423" s="33" t="s">
        <v>6</v>
      </c>
      <c r="L423" s="33" t="s">
        <v>6</v>
      </c>
      <c r="M423" s="33" t="s">
        <v>6</v>
      </c>
      <c r="N423" s="33" t="s">
        <v>6</v>
      </c>
      <c r="O423" s="33" t="s">
        <v>6</v>
      </c>
      <c r="P423" s="33" t="s">
        <v>6</v>
      </c>
      <c r="Q423" s="33" t="s">
        <v>6</v>
      </c>
      <c r="R423" s="33" t="s">
        <v>6</v>
      </c>
      <c r="S423" s="33" t="s">
        <v>6</v>
      </c>
      <c r="T423" s="33" t="s">
        <v>6</v>
      </c>
      <c r="U423" s="33" t="s">
        <v>6</v>
      </c>
      <c r="V423" s="4" t="s">
        <v>1</v>
      </c>
      <c r="W423" s="4">
        <v>1</v>
      </c>
      <c r="X423" s="4">
        <v>2</v>
      </c>
      <c r="Y423" s="4">
        <v>2</v>
      </c>
      <c r="Z423" s="5">
        <v>3</v>
      </c>
      <c r="AA423" s="4">
        <f t="shared" si="7"/>
        <v>3</v>
      </c>
      <c r="AB423" s="4" t="s">
        <v>6</v>
      </c>
      <c r="AC423" s="4" t="s">
        <v>6</v>
      </c>
      <c r="AD423" s="4" t="s">
        <v>6</v>
      </c>
      <c r="AE423" s="5" t="s">
        <v>6</v>
      </c>
      <c r="AF423" s="9">
        <f t="shared" si="8"/>
        <v>3</v>
      </c>
      <c r="AG423" s="5" t="s">
        <v>6</v>
      </c>
      <c r="AH423" s="9">
        <v>3</v>
      </c>
      <c r="AI423" s="4" t="s">
        <v>6</v>
      </c>
      <c r="AJ423" s="4" t="s">
        <v>6</v>
      </c>
      <c r="AK423" s="23" t="s">
        <v>6</v>
      </c>
      <c r="AL423" s="23" t="s">
        <v>6</v>
      </c>
      <c r="AM423" s="23" t="s">
        <v>6</v>
      </c>
      <c r="AN423" s="24" t="s">
        <v>6</v>
      </c>
    </row>
    <row r="424" spans="1:40" x14ac:dyDescent="0.2">
      <c r="A424" s="15">
        <v>2889</v>
      </c>
      <c r="B424" s="4" t="s">
        <v>6</v>
      </c>
      <c r="C424" s="36" t="s">
        <v>6</v>
      </c>
      <c r="D424" s="36" t="s">
        <v>6</v>
      </c>
      <c r="E424" s="36" t="s">
        <v>6</v>
      </c>
      <c r="F424" s="30" t="s">
        <v>6</v>
      </c>
      <c r="G424" s="36" t="s">
        <v>6</v>
      </c>
      <c r="H424" s="33" t="s">
        <v>6</v>
      </c>
      <c r="I424" s="33" t="s">
        <v>6</v>
      </c>
      <c r="J424" s="33" t="s">
        <v>6</v>
      </c>
      <c r="K424" s="33" t="s">
        <v>6</v>
      </c>
      <c r="L424" s="33" t="s">
        <v>6</v>
      </c>
      <c r="M424" s="33" t="s">
        <v>6</v>
      </c>
      <c r="N424" s="33" t="s">
        <v>6</v>
      </c>
      <c r="O424" s="33" t="s">
        <v>6</v>
      </c>
      <c r="P424" s="33" t="s">
        <v>6</v>
      </c>
      <c r="Q424" s="33" t="s">
        <v>6</v>
      </c>
      <c r="R424" s="33" t="s">
        <v>6</v>
      </c>
      <c r="S424" s="33" t="s">
        <v>6</v>
      </c>
      <c r="T424" s="33" t="s">
        <v>6</v>
      </c>
      <c r="U424" s="33" t="s">
        <v>6</v>
      </c>
      <c r="V424" s="4" t="s">
        <v>1</v>
      </c>
      <c r="W424" s="4">
        <v>1</v>
      </c>
      <c r="X424" s="4">
        <v>2</v>
      </c>
      <c r="Y424" s="4">
        <v>2</v>
      </c>
      <c r="Z424" s="5">
        <v>3</v>
      </c>
      <c r="AA424" s="4">
        <f t="shared" si="7"/>
        <v>3</v>
      </c>
      <c r="AB424" s="4" t="s">
        <v>6</v>
      </c>
      <c r="AC424" s="4" t="s">
        <v>6</v>
      </c>
      <c r="AD424" s="4" t="s">
        <v>6</v>
      </c>
      <c r="AE424" s="5" t="s">
        <v>6</v>
      </c>
      <c r="AF424" s="9">
        <f t="shared" si="8"/>
        <v>3</v>
      </c>
      <c r="AG424" s="5" t="s">
        <v>6</v>
      </c>
      <c r="AH424" s="9">
        <v>3</v>
      </c>
      <c r="AI424" s="4" t="s">
        <v>6</v>
      </c>
      <c r="AJ424" s="4" t="s">
        <v>6</v>
      </c>
      <c r="AK424" s="23" t="s">
        <v>6</v>
      </c>
      <c r="AL424" s="23" t="s">
        <v>6</v>
      </c>
      <c r="AM424" s="23" t="s">
        <v>6</v>
      </c>
      <c r="AN424" s="24" t="s">
        <v>6</v>
      </c>
    </row>
    <row r="425" spans="1:40" x14ac:dyDescent="0.2">
      <c r="A425" s="15">
        <v>2939</v>
      </c>
      <c r="B425" s="4" t="s">
        <v>6</v>
      </c>
      <c r="C425" s="36" t="s">
        <v>6</v>
      </c>
      <c r="D425" s="36" t="s">
        <v>6</v>
      </c>
      <c r="E425" s="36" t="s">
        <v>6</v>
      </c>
      <c r="F425" s="30" t="s">
        <v>6</v>
      </c>
      <c r="G425" s="36" t="s">
        <v>6</v>
      </c>
      <c r="H425" s="33" t="s">
        <v>6</v>
      </c>
      <c r="I425" s="33" t="s">
        <v>6</v>
      </c>
      <c r="J425" s="33" t="s">
        <v>6</v>
      </c>
      <c r="K425" s="33" t="s">
        <v>6</v>
      </c>
      <c r="L425" s="33" t="s">
        <v>6</v>
      </c>
      <c r="M425" s="33" t="s">
        <v>6</v>
      </c>
      <c r="N425" s="33" t="s">
        <v>6</v>
      </c>
      <c r="O425" s="33" t="s">
        <v>6</v>
      </c>
      <c r="P425" s="33" t="s">
        <v>6</v>
      </c>
      <c r="Q425" s="33" t="s">
        <v>6</v>
      </c>
      <c r="R425" s="33" t="s">
        <v>6</v>
      </c>
      <c r="S425" s="33" t="s">
        <v>6</v>
      </c>
      <c r="T425" s="33" t="s">
        <v>6</v>
      </c>
      <c r="U425" s="33" t="s">
        <v>6</v>
      </c>
      <c r="V425" s="4" t="s">
        <v>1</v>
      </c>
      <c r="W425" s="4">
        <v>1</v>
      </c>
      <c r="X425" s="4">
        <v>2</v>
      </c>
      <c r="Y425" s="4">
        <v>2</v>
      </c>
      <c r="Z425" s="5">
        <v>3</v>
      </c>
      <c r="AA425" s="4">
        <f t="shared" si="7"/>
        <v>3</v>
      </c>
      <c r="AB425" s="4" t="s">
        <v>6</v>
      </c>
      <c r="AC425" s="4" t="s">
        <v>6</v>
      </c>
      <c r="AD425" s="4" t="s">
        <v>6</v>
      </c>
      <c r="AE425" s="5" t="s">
        <v>6</v>
      </c>
      <c r="AF425" s="9">
        <f t="shared" si="8"/>
        <v>3</v>
      </c>
      <c r="AG425" s="5" t="s">
        <v>6</v>
      </c>
      <c r="AH425" s="9">
        <v>3</v>
      </c>
      <c r="AI425" s="4" t="s">
        <v>6</v>
      </c>
      <c r="AJ425" s="4" t="s">
        <v>6</v>
      </c>
      <c r="AK425" s="23" t="s">
        <v>6</v>
      </c>
      <c r="AL425" s="23" t="s">
        <v>6</v>
      </c>
      <c r="AM425" s="23" t="s">
        <v>6</v>
      </c>
      <c r="AN425" s="24" t="s">
        <v>6</v>
      </c>
    </row>
    <row r="426" spans="1:40" x14ac:dyDescent="0.2">
      <c r="A426" s="15">
        <v>2974</v>
      </c>
      <c r="B426" s="4" t="s">
        <v>6</v>
      </c>
      <c r="C426" s="36" t="s">
        <v>6</v>
      </c>
      <c r="D426" s="36" t="s">
        <v>6</v>
      </c>
      <c r="E426" s="36" t="s">
        <v>6</v>
      </c>
      <c r="F426" s="30" t="s">
        <v>6</v>
      </c>
      <c r="G426" s="36" t="s">
        <v>6</v>
      </c>
      <c r="H426" s="33" t="s">
        <v>6</v>
      </c>
      <c r="I426" s="33" t="s">
        <v>6</v>
      </c>
      <c r="J426" s="33" t="s">
        <v>6</v>
      </c>
      <c r="K426" s="33" t="s">
        <v>6</v>
      </c>
      <c r="L426" s="33" t="s">
        <v>6</v>
      </c>
      <c r="M426" s="33" t="s">
        <v>6</v>
      </c>
      <c r="N426" s="33" t="s">
        <v>6</v>
      </c>
      <c r="O426" s="33" t="s">
        <v>6</v>
      </c>
      <c r="P426" s="33" t="s">
        <v>6</v>
      </c>
      <c r="Q426" s="33" t="s">
        <v>6</v>
      </c>
      <c r="R426" s="33" t="s">
        <v>6</v>
      </c>
      <c r="S426" s="33" t="s">
        <v>6</v>
      </c>
      <c r="T426" s="33" t="s">
        <v>6</v>
      </c>
      <c r="U426" s="33" t="s">
        <v>6</v>
      </c>
      <c r="V426" s="4" t="s">
        <v>1</v>
      </c>
      <c r="W426" s="4">
        <v>1</v>
      </c>
      <c r="X426" s="4">
        <v>2</v>
      </c>
      <c r="Y426" s="4">
        <v>2</v>
      </c>
      <c r="Z426" s="5">
        <v>3</v>
      </c>
      <c r="AA426" s="4">
        <f t="shared" si="7"/>
        <v>3</v>
      </c>
      <c r="AB426" s="4" t="s">
        <v>6</v>
      </c>
      <c r="AC426" s="4" t="s">
        <v>6</v>
      </c>
      <c r="AD426" s="4" t="s">
        <v>6</v>
      </c>
      <c r="AE426" s="5" t="s">
        <v>6</v>
      </c>
      <c r="AF426" s="9">
        <f t="shared" si="8"/>
        <v>3</v>
      </c>
      <c r="AG426" s="5" t="s">
        <v>6</v>
      </c>
      <c r="AH426" s="9">
        <v>3</v>
      </c>
      <c r="AI426" s="4" t="s">
        <v>6</v>
      </c>
      <c r="AJ426" s="4" t="s">
        <v>6</v>
      </c>
      <c r="AK426" s="23" t="s">
        <v>6</v>
      </c>
      <c r="AL426" s="23" t="s">
        <v>6</v>
      </c>
      <c r="AM426" s="23" t="s">
        <v>6</v>
      </c>
      <c r="AN426" s="24" t="s">
        <v>6</v>
      </c>
    </row>
    <row r="427" spans="1:40" x14ac:dyDescent="0.2">
      <c r="A427" s="15">
        <v>3003</v>
      </c>
      <c r="B427" s="4" t="s">
        <v>6</v>
      </c>
      <c r="C427" s="36" t="s">
        <v>6</v>
      </c>
      <c r="D427" s="36" t="s">
        <v>6</v>
      </c>
      <c r="E427" s="36" t="s">
        <v>6</v>
      </c>
      <c r="F427" s="30" t="s">
        <v>6</v>
      </c>
      <c r="G427" s="36" t="s">
        <v>6</v>
      </c>
      <c r="H427" s="33" t="s">
        <v>6</v>
      </c>
      <c r="I427" s="33" t="s">
        <v>6</v>
      </c>
      <c r="J427" s="33" t="s">
        <v>6</v>
      </c>
      <c r="K427" s="33" t="s">
        <v>6</v>
      </c>
      <c r="L427" s="33" t="s">
        <v>6</v>
      </c>
      <c r="M427" s="33" t="s">
        <v>6</v>
      </c>
      <c r="N427" s="33" t="s">
        <v>6</v>
      </c>
      <c r="O427" s="33" t="s">
        <v>6</v>
      </c>
      <c r="P427" s="33" t="s">
        <v>6</v>
      </c>
      <c r="Q427" s="33" t="s">
        <v>6</v>
      </c>
      <c r="R427" s="33" t="s">
        <v>6</v>
      </c>
      <c r="S427" s="33" t="s">
        <v>6</v>
      </c>
      <c r="T427" s="33" t="s">
        <v>6</v>
      </c>
      <c r="U427" s="33" t="s">
        <v>6</v>
      </c>
      <c r="V427" s="4" t="s">
        <v>1</v>
      </c>
      <c r="W427" s="4">
        <v>1</v>
      </c>
      <c r="X427" s="4">
        <v>2</v>
      </c>
      <c r="Y427" s="4">
        <v>2</v>
      </c>
      <c r="Z427" s="5">
        <v>3</v>
      </c>
      <c r="AA427" s="4">
        <f t="shared" si="7"/>
        <v>3</v>
      </c>
      <c r="AB427" s="4" t="s">
        <v>6</v>
      </c>
      <c r="AC427" s="4" t="s">
        <v>6</v>
      </c>
      <c r="AD427" s="4" t="s">
        <v>6</v>
      </c>
      <c r="AE427" s="5" t="s">
        <v>6</v>
      </c>
      <c r="AF427" s="9">
        <f t="shared" si="8"/>
        <v>3</v>
      </c>
      <c r="AG427" s="5" t="s">
        <v>6</v>
      </c>
      <c r="AH427" s="9">
        <v>3</v>
      </c>
      <c r="AI427" s="4" t="s">
        <v>6</v>
      </c>
      <c r="AJ427" s="4" t="s">
        <v>6</v>
      </c>
      <c r="AK427" s="23" t="s">
        <v>6</v>
      </c>
      <c r="AL427" s="23" t="s">
        <v>6</v>
      </c>
      <c r="AM427" s="23" t="s">
        <v>6</v>
      </c>
      <c r="AN427" s="24" t="s">
        <v>6</v>
      </c>
    </row>
    <row r="428" spans="1:40" x14ac:dyDescent="0.2">
      <c r="A428" s="15">
        <v>3006</v>
      </c>
      <c r="B428" s="4" t="s">
        <v>6</v>
      </c>
      <c r="C428" s="36" t="s">
        <v>6</v>
      </c>
      <c r="D428" s="36" t="s">
        <v>6</v>
      </c>
      <c r="E428" s="36" t="s">
        <v>6</v>
      </c>
      <c r="F428" s="30" t="s">
        <v>6</v>
      </c>
      <c r="G428" s="36" t="s">
        <v>6</v>
      </c>
      <c r="H428" s="33" t="s">
        <v>6</v>
      </c>
      <c r="I428" s="33" t="s">
        <v>6</v>
      </c>
      <c r="J428" s="33" t="s">
        <v>6</v>
      </c>
      <c r="K428" s="33" t="s">
        <v>6</v>
      </c>
      <c r="L428" s="33" t="s">
        <v>6</v>
      </c>
      <c r="M428" s="33" t="s">
        <v>6</v>
      </c>
      <c r="N428" s="33" t="s">
        <v>6</v>
      </c>
      <c r="O428" s="33" t="s">
        <v>6</v>
      </c>
      <c r="P428" s="33" t="s">
        <v>6</v>
      </c>
      <c r="Q428" s="33" t="s">
        <v>6</v>
      </c>
      <c r="R428" s="33" t="s">
        <v>6</v>
      </c>
      <c r="S428" s="33" t="s">
        <v>6</v>
      </c>
      <c r="T428" s="33" t="s">
        <v>6</v>
      </c>
      <c r="U428" s="33" t="s">
        <v>6</v>
      </c>
      <c r="V428" s="4" t="s">
        <v>1</v>
      </c>
      <c r="W428" s="4">
        <v>1</v>
      </c>
      <c r="X428" s="4">
        <v>2</v>
      </c>
      <c r="Y428" s="4">
        <v>2</v>
      </c>
      <c r="Z428" s="5">
        <v>3</v>
      </c>
      <c r="AA428" s="4">
        <f t="shared" si="7"/>
        <v>3</v>
      </c>
      <c r="AB428" s="4" t="s">
        <v>6</v>
      </c>
      <c r="AC428" s="4" t="s">
        <v>6</v>
      </c>
      <c r="AD428" s="4" t="s">
        <v>6</v>
      </c>
      <c r="AE428" s="5" t="s">
        <v>6</v>
      </c>
      <c r="AF428" s="9">
        <f t="shared" si="8"/>
        <v>3</v>
      </c>
      <c r="AG428" s="5" t="s">
        <v>6</v>
      </c>
      <c r="AH428" s="9">
        <v>3</v>
      </c>
      <c r="AI428" s="4" t="s">
        <v>6</v>
      </c>
      <c r="AJ428" s="4" t="s">
        <v>6</v>
      </c>
      <c r="AK428" s="23" t="s">
        <v>6</v>
      </c>
      <c r="AL428" s="23" t="s">
        <v>6</v>
      </c>
      <c r="AM428" s="23" t="s">
        <v>6</v>
      </c>
      <c r="AN428" s="24" t="s">
        <v>6</v>
      </c>
    </row>
    <row r="429" spans="1:40" x14ac:dyDescent="0.2">
      <c r="A429" s="15">
        <v>3010</v>
      </c>
      <c r="B429" s="4" t="s">
        <v>6</v>
      </c>
      <c r="C429" s="36" t="s">
        <v>6</v>
      </c>
      <c r="D429" s="36" t="s">
        <v>6</v>
      </c>
      <c r="E429" s="36" t="s">
        <v>6</v>
      </c>
      <c r="F429" s="30" t="s">
        <v>6</v>
      </c>
      <c r="G429" s="36" t="s">
        <v>6</v>
      </c>
      <c r="H429" s="33" t="s">
        <v>6</v>
      </c>
      <c r="I429" s="33" t="s">
        <v>6</v>
      </c>
      <c r="J429" s="33" t="s">
        <v>6</v>
      </c>
      <c r="K429" s="33" t="s">
        <v>6</v>
      </c>
      <c r="L429" s="33" t="s">
        <v>6</v>
      </c>
      <c r="M429" s="33" t="s">
        <v>6</v>
      </c>
      <c r="N429" s="33" t="s">
        <v>6</v>
      </c>
      <c r="O429" s="33" t="s">
        <v>6</v>
      </c>
      <c r="P429" s="33" t="s">
        <v>6</v>
      </c>
      <c r="Q429" s="33" t="s">
        <v>6</v>
      </c>
      <c r="R429" s="33" t="s">
        <v>6</v>
      </c>
      <c r="S429" s="33" t="s">
        <v>6</v>
      </c>
      <c r="T429" s="33" t="s">
        <v>6</v>
      </c>
      <c r="U429" s="33" t="s">
        <v>6</v>
      </c>
      <c r="V429" s="4" t="s">
        <v>1</v>
      </c>
      <c r="W429" s="4">
        <v>1</v>
      </c>
      <c r="X429" s="4">
        <v>2</v>
      </c>
      <c r="Y429" s="4">
        <v>2</v>
      </c>
      <c r="Z429" s="5">
        <v>3</v>
      </c>
      <c r="AA429" s="4">
        <f t="shared" si="7"/>
        <v>3</v>
      </c>
      <c r="AB429" s="4" t="s">
        <v>6</v>
      </c>
      <c r="AC429" s="4" t="s">
        <v>6</v>
      </c>
      <c r="AD429" s="4" t="s">
        <v>6</v>
      </c>
      <c r="AE429" s="5" t="s">
        <v>6</v>
      </c>
      <c r="AF429" s="9">
        <f t="shared" si="8"/>
        <v>3</v>
      </c>
      <c r="AG429" s="5" t="s">
        <v>6</v>
      </c>
      <c r="AH429" s="9">
        <v>3</v>
      </c>
      <c r="AI429" s="4" t="s">
        <v>6</v>
      </c>
      <c r="AJ429" s="4" t="s">
        <v>6</v>
      </c>
      <c r="AK429" s="23" t="s">
        <v>6</v>
      </c>
      <c r="AL429" s="23" t="s">
        <v>6</v>
      </c>
      <c r="AM429" s="23" t="s">
        <v>6</v>
      </c>
      <c r="AN429" s="24" t="s">
        <v>6</v>
      </c>
    </row>
    <row r="430" spans="1:40" x14ac:dyDescent="0.2">
      <c r="A430" s="15">
        <v>3086</v>
      </c>
      <c r="B430" s="4" t="s">
        <v>6</v>
      </c>
      <c r="C430" s="36" t="s">
        <v>6</v>
      </c>
      <c r="D430" s="36" t="s">
        <v>6</v>
      </c>
      <c r="E430" s="36" t="s">
        <v>6</v>
      </c>
      <c r="F430" s="30" t="s">
        <v>6</v>
      </c>
      <c r="G430" s="36" t="s">
        <v>6</v>
      </c>
      <c r="H430" s="33" t="s">
        <v>6</v>
      </c>
      <c r="I430" s="33" t="s">
        <v>6</v>
      </c>
      <c r="J430" s="33" t="s">
        <v>6</v>
      </c>
      <c r="K430" s="33" t="s">
        <v>6</v>
      </c>
      <c r="L430" s="33" t="s">
        <v>6</v>
      </c>
      <c r="M430" s="33" t="s">
        <v>6</v>
      </c>
      <c r="N430" s="33" t="s">
        <v>6</v>
      </c>
      <c r="O430" s="33" t="s">
        <v>6</v>
      </c>
      <c r="P430" s="33" t="s">
        <v>6</v>
      </c>
      <c r="Q430" s="33" t="s">
        <v>6</v>
      </c>
      <c r="R430" s="33" t="s">
        <v>6</v>
      </c>
      <c r="S430" s="33" t="s">
        <v>6</v>
      </c>
      <c r="T430" s="33" t="s">
        <v>6</v>
      </c>
      <c r="U430" s="33" t="s">
        <v>6</v>
      </c>
      <c r="V430" s="4" t="s">
        <v>1</v>
      </c>
      <c r="W430" s="4">
        <v>1</v>
      </c>
      <c r="X430" s="4">
        <v>2</v>
      </c>
      <c r="Y430" s="4">
        <v>2</v>
      </c>
      <c r="Z430" s="5">
        <v>3</v>
      </c>
      <c r="AA430" s="4">
        <f t="shared" si="7"/>
        <v>3</v>
      </c>
      <c r="AB430" s="4" t="s">
        <v>6</v>
      </c>
      <c r="AC430" s="4" t="s">
        <v>6</v>
      </c>
      <c r="AD430" s="4" t="s">
        <v>6</v>
      </c>
      <c r="AE430" s="5" t="s">
        <v>6</v>
      </c>
      <c r="AF430" s="9">
        <f t="shared" si="8"/>
        <v>3</v>
      </c>
      <c r="AG430" s="5" t="s">
        <v>6</v>
      </c>
      <c r="AH430" s="9">
        <v>3</v>
      </c>
      <c r="AI430" s="4" t="s">
        <v>6</v>
      </c>
      <c r="AJ430" s="4" t="s">
        <v>6</v>
      </c>
      <c r="AK430" s="23" t="s">
        <v>6</v>
      </c>
      <c r="AL430" s="23" t="s">
        <v>6</v>
      </c>
      <c r="AM430" s="23" t="s">
        <v>6</v>
      </c>
      <c r="AN430" s="24" t="s">
        <v>6</v>
      </c>
    </row>
    <row r="431" spans="1:40" x14ac:dyDescent="0.2">
      <c r="A431" s="15">
        <v>3108</v>
      </c>
      <c r="B431" s="4" t="s">
        <v>6</v>
      </c>
      <c r="C431" s="36" t="s">
        <v>6</v>
      </c>
      <c r="D431" s="36" t="s">
        <v>6</v>
      </c>
      <c r="E431" s="36" t="s">
        <v>6</v>
      </c>
      <c r="F431" s="30" t="s">
        <v>6</v>
      </c>
      <c r="G431" s="36" t="s">
        <v>6</v>
      </c>
      <c r="H431" s="33" t="s">
        <v>6</v>
      </c>
      <c r="I431" s="33" t="s">
        <v>6</v>
      </c>
      <c r="J431" s="33" t="s">
        <v>6</v>
      </c>
      <c r="K431" s="33" t="s">
        <v>6</v>
      </c>
      <c r="L431" s="33" t="s">
        <v>6</v>
      </c>
      <c r="M431" s="33" t="s">
        <v>6</v>
      </c>
      <c r="N431" s="33" t="s">
        <v>6</v>
      </c>
      <c r="O431" s="33" t="s">
        <v>6</v>
      </c>
      <c r="P431" s="33" t="s">
        <v>6</v>
      </c>
      <c r="Q431" s="33" t="s">
        <v>6</v>
      </c>
      <c r="R431" s="33" t="s">
        <v>6</v>
      </c>
      <c r="S431" s="33" t="s">
        <v>6</v>
      </c>
      <c r="T431" s="33" t="s">
        <v>6</v>
      </c>
      <c r="U431" s="33" t="s">
        <v>6</v>
      </c>
      <c r="V431" s="4" t="s">
        <v>1</v>
      </c>
      <c r="W431" s="4">
        <v>1</v>
      </c>
      <c r="X431" s="4">
        <v>2</v>
      </c>
      <c r="Y431" s="4">
        <v>2</v>
      </c>
      <c r="Z431" s="5">
        <v>3</v>
      </c>
      <c r="AA431" s="4">
        <f t="shared" si="7"/>
        <v>3</v>
      </c>
      <c r="AB431" s="4" t="s">
        <v>6</v>
      </c>
      <c r="AC431" s="4" t="s">
        <v>6</v>
      </c>
      <c r="AD431" s="4" t="s">
        <v>6</v>
      </c>
      <c r="AE431" s="5" t="s">
        <v>6</v>
      </c>
      <c r="AF431" s="9">
        <f t="shared" si="8"/>
        <v>3</v>
      </c>
      <c r="AG431" s="5" t="s">
        <v>6</v>
      </c>
      <c r="AH431" s="9">
        <v>3</v>
      </c>
      <c r="AI431" s="4" t="s">
        <v>6</v>
      </c>
      <c r="AJ431" s="4" t="s">
        <v>6</v>
      </c>
      <c r="AK431" s="23" t="s">
        <v>6</v>
      </c>
      <c r="AL431" s="23" t="s">
        <v>6</v>
      </c>
      <c r="AM431" s="23" t="s">
        <v>6</v>
      </c>
      <c r="AN431" s="24" t="s">
        <v>6</v>
      </c>
    </row>
    <row r="432" spans="1:40" x14ac:dyDescent="0.2">
      <c r="A432" s="15">
        <v>3137</v>
      </c>
      <c r="B432" s="4" t="s">
        <v>6</v>
      </c>
      <c r="C432" s="36" t="s">
        <v>6</v>
      </c>
      <c r="D432" s="36" t="s">
        <v>6</v>
      </c>
      <c r="E432" s="36" t="s">
        <v>6</v>
      </c>
      <c r="F432" s="30" t="s">
        <v>6</v>
      </c>
      <c r="G432" s="36" t="s">
        <v>6</v>
      </c>
      <c r="H432" s="33" t="s">
        <v>6</v>
      </c>
      <c r="I432" s="33" t="s">
        <v>6</v>
      </c>
      <c r="J432" s="33" t="s">
        <v>6</v>
      </c>
      <c r="K432" s="33" t="s">
        <v>6</v>
      </c>
      <c r="L432" s="33" t="s">
        <v>6</v>
      </c>
      <c r="M432" s="33" t="s">
        <v>6</v>
      </c>
      <c r="N432" s="33" t="s">
        <v>6</v>
      </c>
      <c r="O432" s="33" t="s">
        <v>6</v>
      </c>
      <c r="P432" s="33" t="s">
        <v>6</v>
      </c>
      <c r="Q432" s="33" t="s">
        <v>6</v>
      </c>
      <c r="R432" s="33" t="s">
        <v>6</v>
      </c>
      <c r="S432" s="33" t="s">
        <v>6</v>
      </c>
      <c r="T432" s="33" t="s">
        <v>6</v>
      </c>
      <c r="U432" s="33" t="s">
        <v>6</v>
      </c>
      <c r="V432" s="4" t="s">
        <v>1</v>
      </c>
      <c r="W432" s="4">
        <v>1</v>
      </c>
      <c r="X432" s="4">
        <v>2</v>
      </c>
      <c r="Y432" s="4">
        <v>2</v>
      </c>
      <c r="Z432" s="5">
        <v>3</v>
      </c>
      <c r="AA432" s="4">
        <f t="shared" si="7"/>
        <v>3</v>
      </c>
      <c r="AB432" s="4" t="s">
        <v>6</v>
      </c>
      <c r="AC432" s="4" t="s">
        <v>6</v>
      </c>
      <c r="AD432" s="4" t="s">
        <v>6</v>
      </c>
      <c r="AE432" s="5" t="s">
        <v>6</v>
      </c>
      <c r="AF432" s="9">
        <f t="shared" si="8"/>
        <v>3</v>
      </c>
      <c r="AG432" s="5" t="s">
        <v>6</v>
      </c>
      <c r="AH432" s="9">
        <v>3</v>
      </c>
      <c r="AI432" s="4" t="s">
        <v>6</v>
      </c>
      <c r="AJ432" s="4" t="s">
        <v>6</v>
      </c>
      <c r="AK432" s="23" t="s">
        <v>6</v>
      </c>
      <c r="AL432" s="23" t="s">
        <v>6</v>
      </c>
      <c r="AM432" s="23" t="s">
        <v>6</v>
      </c>
      <c r="AN432" s="24" t="s">
        <v>6</v>
      </c>
    </row>
    <row r="433" spans="1:40" x14ac:dyDescent="0.2">
      <c r="A433" s="15">
        <v>3212</v>
      </c>
      <c r="B433" s="4" t="s">
        <v>6</v>
      </c>
      <c r="C433" s="36" t="s">
        <v>6</v>
      </c>
      <c r="D433" s="36" t="s">
        <v>6</v>
      </c>
      <c r="E433" s="36" t="s">
        <v>6</v>
      </c>
      <c r="F433" s="30" t="s">
        <v>6</v>
      </c>
      <c r="G433" s="36" t="s">
        <v>6</v>
      </c>
      <c r="H433" s="33" t="s">
        <v>6</v>
      </c>
      <c r="I433" s="33" t="s">
        <v>6</v>
      </c>
      <c r="J433" s="33" t="s">
        <v>6</v>
      </c>
      <c r="K433" s="33" t="s">
        <v>6</v>
      </c>
      <c r="L433" s="33" t="s">
        <v>6</v>
      </c>
      <c r="M433" s="33" t="s">
        <v>6</v>
      </c>
      <c r="N433" s="33" t="s">
        <v>6</v>
      </c>
      <c r="O433" s="33" t="s">
        <v>6</v>
      </c>
      <c r="P433" s="33" t="s">
        <v>6</v>
      </c>
      <c r="Q433" s="33" t="s">
        <v>6</v>
      </c>
      <c r="R433" s="33" t="s">
        <v>6</v>
      </c>
      <c r="S433" s="33" t="s">
        <v>6</v>
      </c>
      <c r="T433" s="33" t="s">
        <v>6</v>
      </c>
      <c r="U433" s="33" t="s">
        <v>6</v>
      </c>
      <c r="V433" s="4" t="s">
        <v>1</v>
      </c>
      <c r="W433" s="4">
        <v>1</v>
      </c>
      <c r="X433" s="4">
        <v>2</v>
      </c>
      <c r="Y433" s="4">
        <v>2</v>
      </c>
      <c r="Z433" s="5">
        <v>3</v>
      </c>
      <c r="AA433" s="4">
        <f t="shared" si="7"/>
        <v>3</v>
      </c>
      <c r="AB433" s="4" t="s">
        <v>6</v>
      </c>
      <c r="AC433" s="4" t="s">
        <v>6</v>
      </c>
      <c r="AD433" s="4" t="s">
        <v>6</v>
      </c>
      <c r="AE433" s="5" t="s">
        <v>6</v>
      </c>
      <c r="AF433" s="9">
        <f t="shared" si="8"/>
        <v>3</v>
      </c>
      <c r="AG433" s="5" t="s">
        <v>6</v>
      </c>
      <c r="AH433" s="9">
        <v>3</v>
      </c>
      <c r="AI433" s="4" t="s">
        <v>6</v>
      </c>
      <c r="AJ433" s="4" t="s">
        <v>6</v>
      </c>
      <c r="AK433" s="23" t="s">
        <v>6</v>
      </c>
      <c r="AL433" s="23" t="s">
        <v>6</v>
      </c>
      <c r="AM433" s="23" t="s">
        <v>6</v>
      </c>
      <c r="AN433" s="24" t="s">
        <v>6</v>
      </c>
    </row>
    <row r="434" spans="1:40" x14ac:dyDescent="0.2">
      <c r="A434" s="15">
        <v>3331</v>
      </c>
      <c r="B434" s="4" t="s">
        <v>6</v>
      </c>
      <c r="C434" s="36" t="s">
        <v>6</v>
      </c>
      <c r="D434" s="36" t="s">
        <v>6</v>
      </c>
      <c r="E434" s="36" t="s">
        <v>6</v>
      </c>
      <c r="F434" s="30" t="s">
        <v>6</v>
      </c>
      <c r="G434" s="36" t="s">
        <v>6</v>
      </c>
      <c r="H434" s="33" t="s">
        <v>6</v>
      </c>
      <c r="I434" s="33" t="s">
        <v>6</v>
      </c>
      <c r="J434" s="33" t="s">
        <v>6</v>
      </c>
      <c r="K434" s="33" t="s">
        <v>6</v>
      </c>
      <c r="L434" s="33" t="s">
        <v>6</v>
      </c>
      <c r="M434" s="33" t="s">
        <v>6</v>
      </c>
      <c r="N434" s="33" t="s">
        <v>6</v>
      </c>
      <c r="O434" s="33" t="s">
        <v>6</v>
      </c>
      <c r="P434" s="33" t="s">
        <v>6</v>
      </c>
      <c r="Q434" s="33" t="s">
        <v>6</v>
      </c>
      <c r="R434" s="33" t="s">
        <v>6</v>
      </c>
      <c r="S434" s="33" t="s">
        <v>6</v>
      </c>
      <c r="T434" s="33" t="s">
        <v>6</v>
      </c>
      <c r="U434" s="33" t="s">
        <v>6</v>
      </c>
      <c r="V434" s="4" t="s">
        <v>1</v>
      </c>
      <c r="W434" s="4">
        <v>1</v>
      </c>
      <c r="X434" s="4">
        <v>2</v>
      </c>
      <c r="Y434" s="4">
        <v>2</v>
      </c>
      <c r="Z434" s="5">
        <v>3</v>
      </c>
      <c r="AA434" s="4">
        <f t="shared" si="7"/>
        <v>3</v>
      </c>
      <c r="AB434" s="4" t="s">
        <v>6</v>
      </c>
      <c r="AC434" s="4" t="s">
        <v>6</v>
      </c>
      <c r="AD434" s="4" t="s">
        <v>6</v>
      </c>
      <c r="AE434" s="5" t="s">
        <v>6</v>
      </c>
      <c r="AF434" s="9">
        <f t="shared" si="8"/>
        <v>3</v>
      </c>
      <c r="AG434" s="5" t="s">
        <v>6</v>
      </c>
      <c r="AH434" s="9">
        <v>3</v>
      </c>
      <c r="AI434" s="4" t="s">
        <v>6</v>
      </c>
      <c r="AJ434" s="4" t="s">
        <v>6</v>
      </c>
      <c r="AK434" s="23" t="s">
        <v>6</v>
      </c>
      <c r="AL434" s="23" t="s">
        <v>6</v>
      </c>
      <c r="AM434" s="23" t="s">
        <v>6</v>
      </c>
      <c r="AN434" s="24" t="s">
        <v>6</v>
      </c>
    </row>
    <row r="435" spans="1:40" x14ac:dyDescent="0.2">
      <c r="A435" s="15">
        <v>3344</v>
      </c>
      <c r="B435" s="4" t="s">
        <v>6</v>
      </c>
      <c r="C435" s="36" t="s">
        <v>6</v>
      </c>
      <c r="D435" s="36" t="s">
        <v>6</v>
      </c>
      <c r="E435" s="36" t="s">
        <v>6</v>
      </c>
      <c r="F435" s="30" t="s">
        <v>6</v>
      </c>
      <c r="G435" s="36" t="s">
        <v>6</v>
      </c>
      <c r="H435" s="33" t="s">
        <v>6</v>
      </c>
      <c r="I435" s="33" t="s">
        <v>6</v>
      </c>
      <c r="J435" s="33" t="s">
        <v>6</v>
      </c>
      <c r="K435" s="33" t="s">
        <v>6</v>
      </c>
      <c r="L435" s="33" t="s">
        <v>6</v>
      </c>
      <c r="M435" s="33" t="s">
        <v>6</v>
      </c>
      <c r="N435" s="33" t="s">
        <v>6</v>
      </c>
      <c r="O435" s="33" t="s">
        <v>6</v>
      </c>
      <c r="P435" s="33" t="s">
        <v>6</v>
      </c>
      <c r="Q435" s="33" t="s">
        <v>6</v>
      </c>
      <c r="R435" s="33" t="s">
        <v>6</v>
      </c>
      <c r="S435" s="33" t="s">
        <v>6</v>
      </c>
      <c r="T435" s="33" t="s">
        <v>6</v>
      </c>
      <c r="U435" s="33" t="s">
        <v>6</v>
      </c>
      <c r="V435" s="4" t="s">
        <v>1</v>
      </c>
      <c r="W435" s="4">
        <v>1</v>
      </c>
      <c r="X435" s="4">
        <v>2</v>
      </c>
      <c r="Y435" s="4">
        <v>2</v>
      </c>
      <c r="Z435" s="5">
        <v>3</v>
      </c>
      <c r="AA435" s="4">
        <f t="shared" si="7"/>
        <v>3</v>
      </c>
      <c r="AB435" s="4" t="s">
        <v>6</v>
      </c>
      <c r="AC435" s="4" t="s">
        <v>6</v>
      </c>
      <c r="AD435" s="4" t="s">
        <v>6</v>
      </c>
      <c r="AE435" s="5" t="s">
        <v>6</v>
      </c>
      <c r="AF435" s="9">
        <f t="shared" si="8"/>
        <v>3</v>
      </c>
      <c r="AG435" s="5" t="s">
        <v>6</v>
      </c>
      <c r="AH435" s="9">
        <v>3</v>
      </c>
      <c r="AI435" s="4" t="s">
        <v>6</v>
      </c>
      <c r="AJ435" s="4" t="s">
        <v>6</v>
      </c>
      <c r="AK435" s="23" t="s">
        <v>6</v>
      </c>
      <c r="AL435" s="23" t="s">
        <v>6</v>
      </c>
      <c r="AM435" s="23" t="s">
        <v>6</v>
      </c>
      <c r="AN435" s="24" t="s">
        <v>6</v>
      </c>
    </row>
    <row r="436" spans="1:40" x14ac:dyDescent="0.2">
      <c r="A436" s="15">
        <v>3350</v>
      </c>
      <c r="B436" s="4" t="s">
        <v>6</v>
      </c>
      <c r="C436" s="36" t="s">
        <v>6</v>
      </c>
      <c r="D436" s="36" t="s">
        <v>6</v>
      </c>
      <c r="E436" s="36" t="s">
        <v>6</v>
      </c>
      <c r="F436" s="30" t="s">
        <v>6</v>
      </c>
      <c r="G436" s="36" t="s">
        <v>6</v>
      </c>
      <c r="H436" s="33" t="s">
        <v>6</v>
      </c>
      <c r="I436" s="33" t="s">
        <v>6</v>
      </c>
      <c r="J436" s="33" t="s">
        <v>6</v>
      </c>
      <c r="K436" s="33" t="s">
        <v>6</v>
      </c>
      <c r="L436" s="33" t="s">
        <v>6</v>
      </c>
      <c r="M436" s="33" t="s">
        <v>6</v>
      </c>
      <c r="N436" s="33" t="s">
        <v>6</v>
      </c>
      <c r="O436" s="33" t="s">
        <v>6</v>
      </c>
      <c r="P436" s="33" t="s">
        <v>6</v>
      </c>
      <c r="Q436" s="33" t="s">
        <v>6</v>
      </c>
      <c r="R436" s="33" t="s">
        <v>6</v>
      </c>
      <c r="S436" s="33" t="s">
        <v>6</v>
      </c>
      <c r="T436" s="33" t="s">
        <v>6</v>
      </c>
      <c r="U436" s="33" t="s">
        <v>6</v>
      </c>
      <c r="V436" s="4" t="s">
        <v>1</v>
      </c>
      <c r="W436" s="4">
        <v>1</v>
      </c>
      <c r="X436" s="4">
        <v>2</v>
      </c>
      <c r="Y436" s="4">
        <v>2</v>
      </c>
      <c r="Z436" s="5">
        <v>3</v>
      </c>
      <c r="AA436" s="4">
        <f t="shared" si="7"/>
        <v>3</v>
      </c>
      <c r="AB436" s="4" t="s">
        <v>6</v>
      </c>
      <c r="AC436" s="4" t="s">
        <v>6</v>
      </c>
      <c r="AD436" s="4" t="s">
        <v>6</v>
      </c>
      <c r="AE436" s="5" t="s">
        <v>6</v>
      </c>
      <c r="AF436" s="9">
        <f t="shared" si="8"/>
        <v>3</v>
      </c>
      <c r="AG436" s="5" t="s">
        <v>6</v>
      </c>
      <c r="AH436" s="9">
        <v>3</v>
      </c>
      <c r="AI436" s="4" t="s">
        <v>6</v>
      </c>
      <c r="AJ436" s="4" t="s">
        <v>6</v>
      </c>
      <c r="AK436" s="23" t="s">
        <v>6</v>
      </c>
      <c r="AL436" s="23" t="s">
        <v>6</v>
      </c>
      <c r="AM436" s="23" t="s">
        <v>6</v>
      </c>
      <c r="AN436" s="24" t="s">
        <v>6</v>
      </c>
    </row>
    <row r="437" spans="1:40" x14ac:dyDescent="0.2">
      <c r="A437" s="15">
        <v>3377</v>
      </c>
      <c r="B437" s="4" t="s">
        <v>6</v>
      </c>
      <c r="C437" s="36" t="s">
        <v>6</v>
      </c>
      <c r="D437" s="36" t="s">
        <v>6</v>
      </c>
      <c r="E437" s="36" t="s">
        <v>6</v>
      </c>
      <c r="F437" s="30" t="s">
        <v>6</v>
      </c>
      <c r="G437" s="36" t="s">
        <v>6</v>
      </c>
      <c r="H437" s="33" t="s">
        <v>6</v>
      </c>
      <c r="I437" s="33" t="s">
        <v>6</v>
      </c>
      <c r="J437" s="33" t="s">
        <v>6</v>
      </c>
      <c r="K437" s="33" t="s">
        <v>6</v>
      </c>
      <c r="L437" s="33" t="s">
        <v>6</v>
      </c>
      <c r="M437" s="33" t="s">
        <v>6</v>
      </c>
      <c r="N437" s="33" t="s">
        <v>6</v>
      </c>
      <c r="O437" s="33" t="s">
        <v>6</v>
      </c>
      <c r="P437" s="33" t="s">
        <v>6</v>
      </c>
      <c r="Q437" s="33" t="s">
        <v>6</v>
      </c>
      <c r="R437" s="33" t="s">
        <v>6</v>
      </c>
      <c r="S437" s="33" t="s">
        <v>6</v>
      </c>
      <c r="T437" s="33" t="s">
        <v>6</v>
      </c>
      <c r="U437" s="33" t="s">
        <v>6</v>
      </c>
      <c r="V437" s="4" t="s">
        <v>1</v>
      </c>
      <c r="W437" s="4">
        <v>1</v>
      </c>
      <c r="X437" s="4">
        <v>2</v>
      </c>
      <c r="Y437" s="4">
        <v>2</v>
      </c>
      <c r="Z437" s="5">
        <v>3</v>
      </c>
      <c r="AA437" s="4">
        <f t="shared" si="7"/>
        <v>3</v>
      </c>
      <c r="AB437" s="4" t="s">
        <v>6</v>
      </c>
      <c r="AC437" s="4" t="s">
        <v>6</v>
      </c>
      <c r="AD437" s="4" t="s">
        <v>6</v>
      </c>
      <c r="AE437" s="5" t="s">
        <v>6</v>
      </c>
      <c r="AF437" s="9">
        <f t="shared" si="8"/>
        <v>3</v>
      </c>
      <c r="AG437" s="5" t="s">
        <v>6</v>
      </c>
      <c r="AH437" s="9">
        <v>3</v>
      </c>
      <c r="AI437" s="4" t="s">
        <v>6</v>
      </c>
      <c r="AJ437" s="4" t="s">
        <v>6</v>
      </c>
      <c r="AK437" s="23" t="s">
        <v>6</v>
      </c>
      <c r="AL437" s="23" t="s">
        <v>6</v>
      </c>
      <c r="AM437" s="23" t="s">
        <v>6</v>
      </c>
      <c r="AN437" s="24" t="s">
        <v>6</v>
      </c>
    </row>
    <row r="438" spans="1:40" x14ac:dyDescent="0.2">
      <c r="A438" s="15">
        <v>3392</v>
      </c>
      <c r="B438" s="4" t="s">
        <v>6</v>
      </c>
      <c r="C438" s="36" t="s">
        <v>6</v>
      </c>
      <c r="D438" s="36" t="s">
        <v>6</v>
      </c>
      <c r="E438" s="36" t="s">
        <v>6</v>
      </c>
      <c r="F438" s="30" t="s">
        <v>6</v>
      </c>
      <c r="G438" s="36" t="s">
        <v>6</v>
      </c>
      <c r="H438" s="33" t="s">
        <v>6</v>
      </c>
      <c r="I438" s="33" t="s">
        <v>6</v>
      </c>
      <c r="J438" s="33" t="s">
        <v>6</v>
      </c>
      <c r="K438" s="33" t="s">
        <v>6</v>
      </c>
      <c r="L438" s="33" t="s">
        <v>6</v>
      </c>
      <c r="M438" s="33" t="s">
        <v>6</v>
      </c>
      <c r="N438" s="33" t="s">
        <v>6</v>
      </c>
      <c r="O438" s="33" t="s">
        <v>6</v>
      </c>
      <c r="P438" s="33" t="s">
        <v>6</v>
      </c>
      <c r="Q438" s="33" t="s">
        <v>6</v>
      </c>
      <c r="R438" s="33" t="s">
        <v>6</v>
      </c>
      <c r="S438" s="33" t="s">
        <v>6</v>
      </c>
      <c r="T438" s="33" t="s">
        <v>6</v>
      </c>
      <c r="U438" s="33" t="s">
        <v>6</v>
      </c>
      <c r="V438" s="4" t="s">
        <v>1</v>
      </c>
      <c r="W438" s="4">
        <v>1</v>
      </c>
      <c r="X438" s="4">
        <v>2</v>
      </c>
      <c r="Y438" s="4">
        <v>2</v>
      </c>
      <c r="Z438" s="5">
        <v>3</v>
      </c>
      <c r="AA438" s="4">
        <f t="shared" si="7"/>
        <v>3</v>
      </c>
      <c r="AB438" s="4" t="s">
        <v>6</v>
      </c>
      <c r="AC438" s="4" t="s">
        <v>6</v>
      </c>
      <c r="AD438" s="4" t="s">
        <v>6</v>
      </c>
      <c r="AE438" s="5" t="s">
        <v>6</v>
      </c>
      <c r="AF438" s="9">
        <f t="shared" si="8"/>
        <v>3</v>
      </c>
      <c r="AG438" s="5" t="s">
        <v>6</v>
      </c>
      <c r="AH438" s="9">
        <v>3</v>
      </c>
      <c r="AI438" s="4" t="s">
        <v>6</v>
      </c>
      <c r="AJ438" s="4" t="s">
        <v>6</v>
      </c>
      <c r="AK438" s="23" t="s">
        <v>6</v>
      </c>
      <c r="AL438" s="23" t="s">
        <v>6</v>
      </c>
      <c r="AM438" s="23" t="s">
        <v>6</v>
      </c>
      <c r="AN438" s="24" t="s">
        <v>6</v>
      </c>
    </row>
    <row r="439" spans="1:40" x14ac:dyDescent="0.2">
      <c r="A439" s="15">
        <v>3406</v>
      </c>
      <c r="B439" s="4" t="s">
        <v>6</v>
      </c>
      <c r="C439" s="36" t="s">
        <v>6</v>
      </c>
      <c r="D439" s="36" t="s">
        <v>6</v>
      </c>
      <c r="E439" s="36" t="s">
        <v>6</v>
      </c>
      <c r="F439" s="30" t="s">
        <v>6</v>
      </c>
      <c r="G439" s="36" t="s">
        <v>6</v>
      </c>
      <c r="H439" s="33" t="s">
        <v>6</v>
      </c>
      <c r="I439" s="33" t="s">
        <v>6</v>
      </c>
      <c r="J439" s="33" t="s">
        <v>6</v>
      </c>
      <c r="K439" s="33" t="s">
        <v>6</v>
      </c>
      <c r="L439" s="33" t="s">
        <v>6</v>
      </c>
      <c r="M439" s="33" t="s">
        <v>6</v>
      </c>
      <c r="N439" s="33" t="s">
        <v>6</v>
      </c>
      <c r="O439" s="33" t="s">
        <v>6</v>
      </c>
      <c r="P439" s="33" t="s">
        <v>6</v>
      </c>
      <c r="Q439" s="33" t="s">
        <v>6</v>
      </c>
      <c r="R439" s="33" t="s">
        <v>6</v>
      </c>
      <c r="S439" s="33" t="s">
        <v>6</v>
      </c>
      <c r="T439" s="33" t="s">
        <v>6</v>
      </c>
      <c r="U439" s="33" t="s">
        <v>6</v>
      </c>
      <c r="V439" s="4" t="s">
        <v>1</v>
      </c>
      <c r="W439" s="4">
        <v>1</v>
      </c>
      <c r="X439" s="4">
        <v>2</v>
      </c>
      <c r="Y439" s="4">
        <v>2</v>
      </c>
      <c r="Z439" s="5">
        <v>3</v>
      </c>
      <c r="AA439" s="4">
        <f t="shared" si="7"/>
        <v>3</v>
      </c>
      <c r="AB439" s="4" t="s">
        <v>6</v>
      </c>
      <c r="AC439" s="4" t="s">
        <v>6</v>
      </c>
      <c r="AD439" s="4" t="s">
        <v>6</v>
      </c>
      <c r="AE439" s="5" t="s">
        <v>6</v>
      </c>
      <c r="AF439" s="9">
        <f t="shared" si="8"/>
        <v>3</v>
      </c>
      <c r="AG439" s="5" t="s">
        <v>6</v>
      </c>
      <c r="AH439" s="9">
        <v>3</v>
      </c>
      <c r="AI439" s="4" t="s">
        <v>6</v>
      </c>
      <c r="AJ439" s="4" t="s">
        <v>6</v>
      </c>
      <c r="AK439" s="23" t="s">
        <v>6</v>
      </c>
      <c r="AL439" s="23" t="s">
        <v>6</v>
      </c>
      <c r="AM439" s="23" t="s">
        <v>6</v>
      </c>
      <c r="AN439" s="24" t="s">
        <v>6</v>
      </c>
    </row>
    <row r="440" spans="1:40" x14ac:dyDescent="0.2">
      <c r="A440" s="15">
        <v>3446</v>
      </c>
      <c r="B440" s="4" t="s">
        <v>6</v>
      </c>
      <c r="C440" s="36" t="s">
        <v>6</v>
      </c>
      <c r="D440" s="36" t="s">
        <v>6</v>
      </c>
      <c r="E440" s="36" t="s">
        <v>6</v>
      </c>
      <c r="F440" s="30" t="s">
        <v>6</v>
      </c>
      <c r="G440" s="36" t="s">
        <v>6</v>
      </c>
      <c r="H440" s="33" t="s">
        <v>6</v>
      </c>
      <c r="I440" s="33" t="s">
        <v>6</v>
      </c>
      <c r="J440" s="33" t="s">
        <v>6</v>
      </c>
      <c r="K440" s="33" t="s">
        <v>6</v>
      </c>
      <c r="L440" s="33" t="s">
        <v>6</v>
      </c>
      <c r="M440" s="33" t="s">
        <v>6</v>
      </c>
      <c r="N440" s="33" t="s">
        <v>6</v>
      </c>
      <c r="O440" s="33" t="s">
        <v>6</v>
      </c>
      <c r="P440" s="33" t="s">
        <v>6</v>
      </c>
      <c r="Q440" s="33" t="s">
        <v>6</v>
      </c>
      <c r="R440" s="33" t="s">
        <v>6</v>
      </c>
      <c r="S440" s="33" t="s">
        <v>6</v>
      </c>
      <c r="T440" s="33" t="s">
        <v>6</v>
      </c>
      <c r="U440" s="33" t="s">
        <v>6</v>
      </c>
      <c r="V440" s="4" t="s">
        <v>1</v>
      </c>
      <c r="W440" s="4">
        <v>1</v>
      </c>
      <c r="X440" s="4">
        <v>2</v>
      </c>
      <c r="Y440" s="4">
        <v>2</v>
      </c>
      <c r="Z440" s="5">
        <v>3</v>
      </c>
      <c r="AA440" s="4">
        <f t="shared" si="7"/>
        <v>3</v>
      </c>
      <c r="AB440" s="4" t="s">
        <v>6</v>
      </c>
      <c r="AC440" s="4" t="s">
        <v>6</v>
      </c>
      <c r="AD440" s="4" t="s">
        <v>6</v>
      </c>
      <c r="AE440" s="5" t="s">
        <v>6</v>
      </c>
      <c r="AF440" s="9">
        <f t="shared" si="8"/>
        <v>3</v>
      </c>
      <c r="AG440" s="5" t="s">
        <v>6</v>
      </c>
      <c r="AH440" s="9">
        <v>3</v>
      </c>
      <c r="AI440" s="4" t="s">
        <v>6</v>
      </c>
      <c r="AJ440" s="4" t="s">
        <v>6</v>
      </c>
      <c r="AK440" s="23" t="s">
        <v>6</v>
      </c>
      <c r="AL440" s="23" t="s">
        <v>6</v>
      </c>
      <c r="AM440" s="23" t="s">
        <v>6</v>
      </c>
      <c r="AN440" s="24" t="s">
        <v>6</v>
      </c>
    </row>
    <row r="441" spans="1:40" x14ac:dyDescent="0.2">
      <c r="A441" s="15">
        <v>3462</v>
      </c>
      <c r="B441" s="4" t="s">
        <v>6</v>
      </c>
      <c r="C441" s="36" t="s">
        <v>6</v>
      </c>
      <c r="D441" s="36" t="s">
        <v>6</v>
      </c>
      <c r="E441" s="36" t="s">
        <v>6</v>
      </c>
      <c r="F441" s="30" t="s">
        <v>6</v>
      </c>
      <c r="G441" s="36" t="s">
        <v>6</v>
      </c>
      <c r="H441" s="33" t="s">
        <v>6</v>
      </c>
      <c r="I441" s="33" t="s">
        <v>6</v>
      </c>
      <c r="J441" s="33" t="s">
        <v>6</v>
      </c>
      <c r="K441" s="33" t="s">
        <v>6</v>
      </c>
      <c r="L441" s="33" t="s">
        <v>6</v>
      </c>
      <c r="M441" s="33" t="s">
        <v>6</v>
      </c>
      <c r="N441" s="33" t="s">
        <v>6</v>
      </c>
      <c r="O441" s="33" t="s">
        <v>6</v>
      </c>
      <c r="P441" s="33" t="s">
        <v>6</v>
      </c>
      <c r="Q441" s="33" t="s">
        <v>6</v>
      </c>
      <c r="R441" s="33" t="s">
        <v>6</v>
      </c>
      <c r="S441" s="33" t="s">
        <v>6</v>
      </c>
      <c r="T441" s="33" t="s">
        <v>6</v>
      </c>
      <c r="U441" s="33" t="s">
        <v>6</v>
      </c>
      <c r="V441" s="4" t="s">
        <v>1</v>
      </c>
      <c r="W441" s="4">
        <v>1</v>
      </c>
      <c r="X441" s="4">
        <v>2</v>
      </c>
      <c r="Y441" s="4">
        <v>2</v>
      </c>
      <c r="Z441" s="5">
        <v>3</v>
      </c>
      <c r="AA441" s="4">
        <f t="shared" si="7"/>
        <v>3</v>
      </c>
      <c r="AB441" s="4" t="s">
        <v>6</v>
      </c>
      <c r="AC441" s="4" t="s">
        <v>6</v>
      </c>
      <c r="AD441" s="4" t="s">
        <v>6</v>
      </c>
      <c r="AE441" s="5" t="s">
        <v>6</v>
      </c>
      <c r="AF441" s="9">
        <f t="shared" si="8"/>
        <v>3</v>
      </c>
      <c r="AG441" s="5" t="s">
        <v>6</v>
      </c>
      <c r="AH441" s="9">
        <v>3</v>
      </c>
      <c r="AI441" s="4" t="s">
        <v>6</v>
      </c>
      <c r="AJ441" s="4" t="s">
        <v>6</v>
      </c>
      <c r="AK441" s="23" t="s">
        <v>6</v>
      </c>
      <c r="AL441" s="23" t="s">
        <v>6</v>
      </c>
      <c r="AM441" s="23" t="s">
        <v>6</v>
      </c>
      <c r="AN441" s="24" t="s">
        <v>6</v>
      </c>
    </row>
    <row r="442" spans="1:40" x14ac:dyDescent="0.2">
      <c r="A442" s="15">
        <v>3737</v>
      </c>
      <c r="B442" s="4" t="s">
        <v>6</v>
      </c>
      <c r="C442" s="36" t="s">
        <v>6</v>
      </c>
      <c r="D442" s="36" t="s">
        <v>6</v>
      </c>
      <c r="E442" s="36" t="s">
        <v>6</v>
      </c>
      <c r="F442" s="30" t="s">
        <v>6</v>
      </c>
      <c r="G442" s="36" t="s">
        <v>6</v>
      </c>
      <c r="H442" s="33" t="s">
        <v>6</v>
      </c>
      <c r="I442" s="33" t="s">
        <v>6</v>
      </c>
      <c r="J442" s="33" t="s">
        <v>6</v>
      </c>
      <c r="K442" s="33" t="s">
        <v>6</v>
      </c>
      <c r="L442" s="33" t="s">
        <v>6</v>
      </c>
      <c r="M442" s="33" t="s">
        <v>6</v>
      </c>
      <c r="N442" s="33" t="s">
        <v>6</v>
      </c>
      <c r="O442" s="33" t="s">
        <v>6</v>
      </c>
      <c r="P442" s="33" t="s">
        <v>6</v>
      </c>
      <c r="Q442" s="33" t="s">
        <v>6</v>
      </c>
      <c r="R442" s="33" t="s">
        <v>6</v>
      </c>
      <c r="S442" s="33" t="s">
        <v>6</v>
      </c>
      <c r="T442" s="33" t="s">
        <v>6</v>
      </c>
      <c r="U442" s="33" t="s">
        <v>6</v>
      </c>
      <c r="V442" s="4" t="s">
        <v>1</v>
      </c>
      <c r="W442" s="4">
        <v>1</v>
      </c>
      <c r="X442" s="4">
        <v>2</v>
      </c>
      <c r="Y442" s="4">
        <v>2</v>
      </c>
      <c r="Z442" s="5">
        <v>3</v>
      </c>
      <c r="AA442" s="4">
        <f t="shared" si="7"/>
        <v>3</v>
      </c>
      <c r="AB442" s="4" t="s">
        <v>6</v>
      </c>
      <c r="AC442" s="4" t="s">
        <v>6</v>
      </c>
      <c r="AD442" s="4" t="s">
        <v>6</v>
      </c>
      <c r="AE442" s="5" t="s">
        <v>6</v>
      </c>
      <c r="AF442" s="9">
        <f t="shared" si="8"/>
        <v>3</v>
      </c>
      <c r="AG442" s="5" t="s">
        <v>6</v>
      </c>
      <c r="AH442" s="9">
        <v>3</v>
      </c>
      <c r="AI442" s="4" t="s">
        <v>6</v>
      </c>
      <c r="AJ442" s="4" t="s">
        <v>6</v>
      </c>
      <c r="AK442" s="23" t="s">
        <v>6</v>
      </c>
      <c r="AL442" s="23" t="s">
        <v>6</v>
      </c>
      <c r="AM442" s="23" t="s">
        <v>6</v>
      </c>
      <c r="AN442" s="24" t="s">
        <v>6</v>
      </c>
    </row>
    <row r="443" spans="1:40" x14ac:dyDescent="0.2">
      <c r="A443" s="15">
        <v>3799</v>
      </c>
      <c r="B443" s="4" t="s">
        <v>6</v>
      </c>
      <c r="C443" s="36" t="s">
        <v>6</v>
      </c>
      <c r="D443" s="36" t="s">
        <v>6</v>
      </c>
      <c r="E443" s="36" t="s">
        <v>6</v>
      </c>
      <c r="F443" s="30" t="s">
        <v>6</v>
      </c>
      <c r="G443" s="36" t="s">
        <v>6</v>
      </c>
      <c r="H443" s="33" t="s">
        <v>6</v>
      </c>
      <c r="I443" s="33" t="s">
        <v>6</v>
      </c>
      <c r="J443" s="33" t="s">
        <v>6</v>
      </c>
      <c r="K443" s="33" t="s">
        <v>6</v>
      </c>
      <c r="L443" s="33" t="s">
        <v>6</v>
      </c>
      <c r="M443" s="33" t="s">
        <v>6</v>
      </c>
      <c r="N443" s="33" t="s">
        <v>6</v>
      </c>
      <c r="O443" s="33" t="s">
        <v>6</v>
      </c>
      <c r="P443" s="33" t="s">
        <v>6</v>
      </c>
      <c r="Q443" s="33" t="s">
        <v>6</v>
      </c>
      <c r="R443" s="33" t="s">
        <v>6</v>
      </c>
      <c r="S443" s="33" t="s">
        <v>6</v>
      </c>
      <c r="T443" s="33" t="s">
        <v>6</v>
      </c>
      <c r="U443" s="33" t="s">
        <v>6</v>
      </c>
      <c r="V443" s="4" t="s">
        <v>1</v>
      </c>
      <c r="W443" s="4">
        <v>1</v>
      </c>
      <c r="X443" s="4">
        <v>2</v>
      </c>
      <c r="Y443" s="4">
        <v>2</v>
      </c>
      <c r="Z443" s="5">
        <v>3</v>
      </c>
      <c r="AA443" s="4">
        <f t="shared" si="7"/>
        <v>3</v>
      </c>
      <c r="AB443" s="4" t="s">
        <v>6</v>
      </c>
      <c r="AC443" s="4" t="s">
        <v>6</v>
      </c>
      <c r="AD443" s="4" t="s">
        <v>6</v>
      </c>
      <c r="AE443" s="5" t="s">
        <v>6</v>
      </c>
      <c r="AF443" s="9">
        <f t="shared" si="8"/>
        <v>3</v>
      </c>
      <c r="AG443" s="5" t="s">
        <v>6</v>
      </c>
      <c r="AH443" s="9">
        <v>3</v>
      </c>
      <c r="AI443" s="4" t="s">
        <v>6</v>
      </c>
      <c r="AJ443" s="4" t="s">
        <v>6</v>
      </c>
      <c r="AK443" s="23" t="s">
        <v>6</v>
      </c>
      <c r="AL443" s="23" t="s">
        <v>6</v>
      </c>
      <c r="AM443" s="23" t="s">
        <v>6</v>
      </c>
      <c r="AN443" s="24" t="s">
        <v>6</v>
      </c>
    </row>
    <row r="444" spans="1:40" x14ac:dyDescent="0.2">
      <c r="A444" s="15">
        <v>3841</v>
      </c>
      <c r="B444" s="4" t="s">
        <v>6</v>
      </c>
      <c r="C444" s="36" t="s">
        <v>6</v>
      </c>
      <c r="D444" s="36" t="s">
        <v>6</v>
      </c>
      <c r="E444" s="36" t="s">
        <v>6</v>
      </c>
      <c r="F444" s="30" t="s">
        <v>6</v>
      </c>
      <c r="G444" s="36" t="s">
        <v>6</v>
      </c>
      <c r="H444" s="33" t="s">
        <v>6</v>
      </c>
      <c r="I444" s="33" t="s">
        <v>6</v>
      </c>
      <c r="J444" s="33" t="s">
        <v>6</v>
      </c>
      <c r="K444" s="33" t="s">
        <v>6</v>
      </c>
      <c r="L444" s="33" t="s">
        <v>6</v>
      </c>
      <c r="M444" s="33" t="s">
        <v>6</v>
      </c>
      <c r="N444" s="33" t="s">
        <v>6</v>
      </c>
      <c r="O444" s="33" t="s">
        <v>6</v>
      </c>
      <c r="P444" s="33" t="s">
        <v>6</v>
      </c>
      <c r="Q444" s="33" t="s">
        <v>6</v>
      </c>
      <c r="R444" s="33" t="s">
        <v>6</v>
      </c>
      <c r="S444" s="33" t="s">
        <v>6</v>
      </c>
      <c r="T444" s="33" t="s">
        <v>6</v>
      </c>
      <c r="U444" s="33" t="s">
        <v>6</v>
      </c>
      <c r="V444" s="4" t="s">
        <v>1</v>
      </c>
      <c r="W444" s="4">
        <v>1</v>
      </c>
      <c r="X444" s="4">
        <v>2</v>
      </c>
      <c r="Y444" s="4">
        <v>2</v>
      </c>
      <c r="Z444" s="5">
        <v>3</v>
      </c>
      <c r="AA444" s="4">
        <f t="shared" si="7"/>
        <v>3</v>
      </c>
      <c r="AB444" s="4" t="s">
        <v>6</v>
      </c>
      <c r="AC444" s="4" t="s">
        <v>6</v>
      </c>
      <c r="AD444" s="4" t="s">
        <v>6</v>
      </c>
      <c r="AE444" s="5" t="s">
        <v>6</v>
      </c>
      <c r="AF444" s="9">
        <f t="shared" si="8"/>
        <v>3</v>
      </c>
      <c r="AG444" s="5" t="s">
        <v>6</v>
      </c>
      <c r="AH444" s="9">
        <v>3</v>
      </c>
      <c r="AI444" s="4" t="s">
        <v>6</v>
      </c>
      <c r="AJ444" s="4" t="s">
        <v>6</v>
      </c>
      <c r="AK444" s="23" t="s">
        <v>6</v>
      </c>
      <c r="AL444" s="23" t="s">
        <v>6</v>
      </c>
      <c r="AM444" s="23" t="s">
        <v>6</v>
      </c>
      <c r="AN444" s="24" t="s">
        <v>6</v>
      </c>
    </row>
    <row r="445" spans="1:40" x14ac:dyDescent="0.2">
      <c r="A445" s="15">
        <v>3907</v>
      </c>
      <c r="B445" s="4" t="s">
        <v>6</v>
      </c>
      <c r="C445" s="36" t="s">
        <v>6</v>
      </c>
      <c r="D445" s="36" t="s">
        <v>6</v>
      </c>
      <c r="E445" s="36" t="s">
        <v>6</v>
      </c>
      <c r="F445" s="30" t="s">
        <v>6</v>
      </c>
      <c r="G445" s="36" t="s">
        <v>6</v>
      </c>
      <c r="H445" s="33" t="s">
        <v>6</v>
      </c>
      <c r="I445" s="33" t="s">
        <v>6</v>
      </c>
      <c r="J445" s="33" t="s">
        <v>6</v>
      </c>
      <c r="K445" s="33" t="s">
        <v>6</v>
      </c>
      <c r="L445" s="33" t="s">
        <v>6</v>
      </c>
      <c r="M445" s="33" t="s">
        <v>6</v>
      </c>
      <c r="N445" s="33" t="s">
        <v>6</v>
      </c>
      <c r="O445" s="33" t="s">
        <v>6</v>
      </c>
      <c r="P445" s="33" t="s">
        <v>6</v>
      </c>
      <c r="Q445" s="33" t="s">
        <v>6</v>
      </c>
      <c r="R445" s="33" t="s">
        <v>6</v>
      </c>
      <c r="S445" s="33" t="s">
        <v>6</v>
      </c>
      <c r="T445" s="33" t="s">
        <v>6</v>
      </c>
      <c r="U445" s="33" t="s">
        <v>6</v>
      </c>
      <c r="V445" s="4" t="s">
        <v>1</v>
      </c>
      <c r="W445" s="4">
        <v>1</v>
      </c>
      <c r="X445" s="4">
        <v>2</v>
      </c>
      <c r="Y445" s="4">
        <v>2</v>
      </c>
      <c r="Z445" s="5">
        <v>3</v>
      </c>
      <c r="AA445" s="4">
        <f t="shared" si="7"/>
        <v>3</v>
      </c>
      <c r="AB445" s="4" t="s">
        <v>6</v>
      </c>
      <c r="AC445" s="4" t="s">
        <v>6</v>
      </c>
      <c r="AD445" s="4" t="s">
        <v>6</v>
      </c>
      <c r="AE445" s="5" t="s">
        <v>6</v>
      </c>
      <c r="AF445" s="9">
        <f t="shared" si="8"/>
        <v>3</v>
      </c>
      <c r="AG445" s="5" t="s">
        <v>6</v>
      </c>
      <c r="AH445" s="9">
        <v>3</v>
      </c>
      <c r="AI445" s="4" t="s">
        <v>6</v>
      </c>
      <c r="AJ445" s="4" t="s">
        <v>6</v>
      </c>
      <c r="AK445" s="23" t="s">
        <v>6</v>
      </c>
      <c r="AL445" s="23" t="s">
        <v>6</v>
      </c>
      <c r="AM445" s="23" t="s">
        <v>6</v>
      </c>
      <c r="AN445" s="24" t="s">
        <v>6</v>
      </c>
    </row>
    <row r="446" spans="1:40" x14ac:dyDescent="0.2">
      <c r="A446" s="15">
        <v>3983</v>
      </c>
      <c r="B446" s="4" t="s">
        <v>6</v>
      </c>
      <c r="C446" s="36" t="s">
        <v>6</v>
      </c>
      <c r="D446" s="36" t="s">
        <v>6</v>
      </c>
      <c r="E446" s="36" t="s">
        <v>6</v>
      </c>
      <c r="F446" s="30" t="s">
        <v>6</v>
      </c>
      <c r="G446" s="36" t="s">
        <v>6</v>
      </c>
      <c r="H446" s="33" t="s">
        <v>6</v>
      </c>
      <c r="I446" s="33" t="s">
        <v>6</v>
      </c>
      <c r="J446" s="33" t="s">
        <v>6</v>
      </c>
      <c r="K446" s="33" t="s">
        <v>6</v>
      </c>
      <c r="L446" s="33" t="s">
        <v>6</v>
      </c>
      <c r="M446" s="33" t="s">
        <v>6</v>
      </c>
      <c r="N446" s="33" t="s">
        <v>6</v>
      </c>
      <c r="O446" s="33" t="s">
        <v>6</v>
      </c>
      <c r="P446" s="33" t="s">
        <v>6</v>
      </c>
      <c r="Q446" s="33" t="s">
        <v>6</v>
      </c>
      <c r="R446" s="33" t="s">
        <v>6</v>
      </c>
      <c r="S446" s="33" t="s">
        <v>6</v>
      </c>
      <c r="T446" s="33" t="s">
        <v>6</v>
      </c>
      <c r="U446" s="33" t="s">
        <v>6</v>
      </c>
      <c r="V446" s="4" t="s">
        <v>1</v>
      </c>
      <c r="W446" s="4">
        <v>1</v>
      </c>
      <c r="X446" s="4">
        <v>2</v>
      </c>
      <c r="Y446" s="4">
        <v>2</v>
      </c>
      <c r="Z446" s="5">
        <v>3</v>
      </c>
      <c r="AA446" s="4">
        <f t="shared" si="7"/>
        <v>3</v>
      </c>
      <c r="AB446" s="4" t="s">
        <v>6</v>
      </c>
      <c r="AC446" s="4" t="s">
        <v>6</v>
      </c>
      <c r="AD446" s="4" t="s">
        <v>6</v>
      </c>
      <c r="AE446" s="5" t="s">
        <v>6</v>
      </c>
      <c r="AF446" s="9">
        <f t="shared" si="8"/>
        <v>3</v>
      </c>
      <c r="AG446" s="5" t="s">
        <v>6</v>
      </c>
      <c r="AH446" s="9">
        <v>3</v>
      </c>
      <c r="AI446" s="4" t="s">
        <v>6</v>
      </c>
      <c r="AJ446" s="4" t="s">
        <v>6</v>
      </c>
      <c r="AK446" s="23" t="s">
        <v>6</v>
      </c>
      <c r="AL446" s="23" t="s">
        <v>6</v>
      </c>
      <c r="AM446" s="23" t="s">
        <v>6</v>
      </c>
      <c r="AN446" s="24" t="s">
        <v>6</v>
      </c>
    </row>
    <row r="447" spans="1:40" x14ac:dyDescent="0.2">
      <c r="A447" s="15">
        <v>3999</v>
      </c>
      <c r="B447" s="4" t="s">
        <v>6</v>
      </c>
      <c r="C447" s="36" t="s">
        <v>6</v>
      </c>
      <c r="D447" s="36" t="s">
        <v>6</v>
      </c>
      <c r="E447" s="36" t="s">
        <v>6</v>
      </c>
      <c r="F447" s="30" t="s">
        <v>6</v>
      </c>
      <c r="G447" s="36" t="s">
        <v>6</v>
      </c>
      <c r="H447" s="33" t="s">
        <v>6</v>
      </c>
      <c r="I447" s="33" t="s">
        <v>6</v>
      </c>
      <c r="J447" s="33" t="s">
        <v>6</v>
      </c>
      <c r="K447" s="33" t="s">
        <v>6</v>
      </c>
      <c r="L447" s="33" t="s">
        <v>6</v>
      </c>
      <c r="M447" s="33" t="s">
        <v>6</v>
      </c>
      <c r="N447" s="33" t="s">
        <v>6</v>
      </c>
      <c r="O447" s="33" t="s">
        <v>6</v>
      </c>
      <c r="P447" s="33" t="s">
        <v>6</v>
      </c>
      <c r="Q447" s="33" t="s">
        <v>6</v>
      </c>
      <c r="R447" s="33" t="s">
        <v>6</v>
      </c>
      <c r="S447" s="33" t="s">
        <v>6</v>
      </c>
      <c r="T447" s="33" t="s">
        <v>6</v>
      </c>
      <c r="U447" s="33" t="s">
        <v>6</v>
      </c>
      <c r="V447" s="4" t="s">
        <v>1</v>
      </c>
      <c r="W447" s="4">
        <v>1</v>
      </c>
      <c r="X447" s="4">
        <v>2</v>
      </c>
      <c r="Y447" s="4">
        <v>2</v>
      </c>
      <c r="Z447" s="5">
        <v>3</v>
      </c>
      <c r="AA447" s="4">
        <f t="shared" si="7"/>
        <v>3</v>
      </c>
      <c r="AB447" s="4" t="s">
        <v>6</v>
      </c>
      <c r="AC447" s="4" t="s">
        <v>6</v>
      </c>
      <c r="AD447" s="4" t="s">
        <v>6</v>
      </c>
      <c r="AE447" s="5" t="s">
        <v>6</v>
      </c>
      <c r="AF447" s="9">
        <f t="shared" si="8"/>
        <v>3</v>
      </c>
      <c r="AG447" s="5" t="s">
        <v>6</v>
      </c>
      <c r="AH447" s="9">
        <v>3</v>
      </c>
      <c r="AI447" s="4" t="s">
        <v>6</v>
      </c>
      <c r="AJ447" s="4" t="s">
        <v>6</v>
      </c>
      <c r="AK447" s="23" t="s">
        <v>6</v>
      </c>
      <c r="AL447" s="23" t="s">
        <v>6</v>
      </c>
      <c r="AM447" s="23" t="s">
        <v>6</v>
      </c>
      <c r="AN447" s="24" t="s">
        <v>6</v>
      </c>
    </row>
    <row r="448" spans="1:40" x14ac:dyDescent="0.2">
      <c r="A448" s="15">
        <v>4030</v>
      </c>
      <c r="B448" s="4" t="s">
        <v>6</v>
      </c>
      <c r="C448" s="36" t="s">
        <v>6</v>
      </c>
      <c r="D448" s="36" t="s">
        <v>6</v>
      </c>
      <c r="E448" s="36" t="s">
        <v>6</v>
      </c>
      <c r="F448" s="30" t="s">
        <v>6</v>
      </c>
      <c r="G448" s="36" t="s">
        <v>6</v>
      </c>
      <c r="H448" s="33" t="s">
        <v>6</v>
      </c>
      <c r="I448" s="33" t="s">
        <v>6</v>
      </c>
      <c r="J448" s="33" t="s">
        <v>6</v>
      </c>
      <c r="K448" s="33" t="s">
        <v>6</v>
      </c>
      <c r="L448" s="33" t="s">
        <v>6</v>
      </c>
      <c r="M448" s="33" t="s">
        <v>6</v>
      </c>
      <c r="N448" s="33" t="s">
        <v>6</v>
      </c>
      <c r="O448" s="33" t="s">
        <v>6</v>
      </c>
      <c r="P448" s="33" t="s">
        <v>6</v>
      </c>
      <c r="Q448" s="33" t="s">
        <v>6</v>
      </c>
      <c r="R448" s="33" t="s">
        <v>6</v>
      </c>
      <c r="S448" s="33" t="s">
        <v>6</v>
      </c>
      <c r="T448" s="33" t="s">
        <v>6</v>
      </c>
      <c r="U448" s="33" t="s">
        <v>6</v>
      </c>
      <c r="V448" s="4" t="s">
        <v>1</v>
      </c>
      <c r="W448" s="4">
        <v>1</v>
      </c>
      <c r="X448" s="4">
        <v>2</v>
      </c>
      <c r="Y448" s="4">
        <v>2</v>
      </c>
      <c r="Z448" s="5">
        <v>3</v>
      </c>
      <c r="AA448" s="4">
        <f t="shared" si="7"/>
        <v>3</v>
      </c>
      <c r="AB448" s="4" t="s">
        <v>6</v>
      </c>
      <c r="AC448" s="4" t="s">
        <v>6</v>
      </c>
      <c r="AD448" s="4" t="s">
        <v>6</v>
      </c>
      <c r="AE448" s="5" t="s">
        <v>6</v>
      </c>
      <c r="AF448" s="9">
        <f t="shared" si="8"/>
        <v>3</v>
      </c>
      <c r="AG448" s="5" t="s">
        <v>6</v>
      </c>
      <c r="AH448" s="9">
        <v>3</v>
      </c>
      <c r="AI448" s="4" t="s">
        <v>6</v>
      </c>
      <c r="AJ448" s="4" t="s">
        <v>6</v>
      </c>
      <c r="AK448" s="23" t="s">
        <v>6</v>
      </c>
      <c r="AL448" s="23" t="s">
        <v>6</v>
      </c>
      <c r="AM448" s="23" t="s">
        <v>6</v>
      </c>
      <c r="AN448" s="24" t="s">
        <v>6</v>
      </c>
    </row>
    <row r="449" spans="1:40" x14ac:dyDescent="0.2">
      <c r="A449" s="15">
        <v>4165</v>
      </c>
      <c r="B449" s="4" t="s">
        <v>6</v>
      </c>
      <c r="C449" s="36" t="s">
        <v>6</v>
      </c>
      <c r="D449" s="36" t="s">
        <v>6</v>
      </c>
      <c r="E449" s="36" t="s">
        <v>6</v>
      </c>
      <c r="F449" s="30" t="s">
        <v>6</v>
      </c>
      <c r="G449" s="36" t="s">
        <v>6</v>
      </c>
      <c r="H449" s="33" t="s">
        <v>6</v>
      </c>
      <c r="I449" s="33" t="s">
        <v>6</v>
      </c>
      <c r="J449" s="33" t="s">
        <v>6</v>
      </c>
      <c r="K449" s="33" t="s">
        <v>6</v>
      </c>
      <c r="L449" s="33" t="s">
        <v>6</v>
      </c>
      <c r="M449" s="33" t="s">
        <v>6</v>
      </c>
      <c r="N449" s="33" t="s">
        <v>6</v>
      </c>
      <c r="O449" s="33" t="s">
        <v>6</v>
      </c>
      <c r="P449" s="33" t="s">
        <v>6</v>
      </c>
      <c r="Q449" s="33" t="s">
        <v>6</v>
      </c>
      <c r="R449" s="33" t="s">
        <v>6</v>
      </c>
      <c r="S449" s="33" t="s">
        <v>6</v>
      </c>
      <c r="T449" s="33" t="s">
        <v>6</v>
      </c>
      <c r="U449" s="33" t="s">
        <v>6</v>
      </c>
      <c r="V449" s="4" t="s">
        <v>1</v>
      </c>
      <c r="W449" s="4">
        <v>1</v>
      </c>
      <c r="X449" s="4">
        <v>2</v>
      </c>
      <c r="Y449" s="4">
        <v>2</v>
      </c>
      <c r="Z449" s="5">
        <v>3</v>
      </c>
      <c r="AA449" s="4">
        <f t="shared" si="7"/>
        <v>3</v>
      </c>
      <c r="AB449" s="4" t="s">
        <v>6</v>
      </c>
      <c r="AC449" s="4" t="s">
        <v>6</v>
      </c>
      <c r="AD449" s="4" t="s">
        <v>6</v>
      </c>
      <c r="AE449" s="5" t="s">
        <v>6</v>
      </c>
      <c r="AF449" s="9">
        <f t="shared" si="8"/>
        <v>3</v>
      </c>
      <c r="AG449" s="5" t="s">
        <v>6</v>
      </c>
      <c r="AH449" s="9">
        <v>3</v>
      </c>
      <c r="AI449" s="4" t="s">
        <v>6</v>
      </c>
      <c r="AJ449" s="4" t="s">
        <v>6</v>
      </c>
      <c r="AK449" s="23" t="s">
        <v>6</v>
      </c>
      <c r="AL449" s="23" t="s">
        <v>6</v>
      </c>
      <c r="AM449" s="23" t="s">
        <v>6</v>
      </c>
      <c r="AN449" s="24" t="s">
        <v>6</v>
      </c>
    </row>
    <row r="450" spans="1:40" x14ac:dyDescent="0.2">
      <c r="A450" s="15">
        <v>4195</v>
      </c>
      <c r="B450" s="4" t="s">
        <v>6</v>
      </c>
      <c r="C450" s="36" t="s">
        <v>6</v>
      </c>
      <c r="D450" s="36" t="s">
        <v>6</v>
      </c>
      <c r="E450" s="36" t="s">
        <v>6</v>
      </c>
      <c r="F450" s="30" t="s">
        <v>6</v>
      </c>
      <c r="G450" s="36" t="s">
        <v>6</v>
      </c>
      <c r="H450" s="33" t="s">
        <v>6</v>
      </c>
      <c r="I450" s="33" t="s">
        <v>6</v>
      </c>
      <c r="J450" s="33" t="s">
        <v>6</v>
      </c>
      <c r="K450" s="33" t="s">
        <v>6</v>
      </c>
      <c r="L450" s="33" t="s">
        <v>6</v>
      </c>
      <c r="M450" s="33" t="s">
        <v>6</v>
      </c>
      <c r="N450" s="33" t="s">
        <v>6</v>
      </c>
      <c r="O450" s="33" t="s">
        <v>6</v>
      </c>
      <c r="P450" s="33" t="s">
        <v>6</v>
      </c>
      <c r="Q450" s="33" t="s">
        <v>6</v>
      </c>
      <c r="R450" s="33" t="s">
        <v>6</v>
      </c>
      <c r="S450" s="33" t="s">
        <v>6</v>
      </c>
      <c r="T450" s="33" t="s">
        <v>6</v>
      </c>
      <c r="U450" s="33" t="s">
        <v>6</v>
      </c>
      <c r="V450" s="4" t="s">
        <v>1</v>
      </c>
      <c r="W450" s="4">
        <v>1</v>
      </c>
      <c r="X450" s="4">
        <v>2</v>
      </c>
      <c r="Y450" s="4">
        <v>2</v>
      </c>
      <c r="Z450" s="5">
        <v>3</v>
      </c>
      <c r="AA450" s="4">
        <f t="shared" ref="AA450:AA465" si="9">IF(OR(AE450="NA", AE450="xx"), 3, 1)</f>
        <v>3</v>
      </c>
      <c r="AB450" s="4" t="s">
        <v>6</v>
      </c>
      <c r="AC450" s="4" t="s">
        <v>6</v>
      </c>
      <c r="AD450" s="4" t="s">
        <v>6</v>
      </c>
      <c r="AE450" s="5" t="s">
        <v>6</v>
      </c>
      <c r="AF450" s="9">
        <f t="shared" ref="AF450:AF465" si="10">IF(OR(AG450="NA", AG450="xx"), 3,1)</f>
        <v>3</v>
      </c>
      <c r="AG450" s="5" t="s">
        <v>6</v>
      </c>
      <c r="AH450" s="9">
        <v>3</v>
      </c>
      <c r="AI450" s="4" t="s">
        <v>6</v>
      </c>
      <c r="AJ450" s="4" t="s">
        <v>6</v>
      </c>
      <c r="AK450" s="23" t="s">
        <v>6</v>
      </c>
      <c r="AL450" s="23" t="s">
        <v>6</v>
      </c>
      <c r="AM450" s="23" t="s">
        <v>6</v>
      </c>
      <c r="AN450" s="24" t="s">
        <v>6</v>
      </c>
    </row>
    <row r="451" spans="1:40" x14ac:dyDescent="0.2">
      <c r="A451" s="15">
        <v>4245</v>
      </c>
      <c r="B451" s="4" t="s">
        <v>6</v>
      </c>
      <c r="C451" s="36" t="s">
        <v>6</v>
      </c>
      <c r="D451" s="36" t="s">
        <v>6</v>
      </c>
      <c r="E451" s="36" t="s">
        <v>6</v>
      </c>
      <c r="F451" s="30" t="s">
        <v>6</v>
      </c>
      <c r="G451" s="36" t="s">
        <v>6</v>
      </c>
      <c r="H451" s="33" t="s">
        <v>6</v>
      </c>
      <c r="I451" s="33" t="s">
        <v>6</v>
      </c>
      <c r="J451" s="33" t="s">
        <v>6</v>
      </c>
      <c r="K451" s="33" t="s">
        <v>6</v>
      </c>
      <c r="L451" s="33" t="s">
        <v>6</v>
      </c>
      <c r="M451" s="33" t="s">
        <v>6</v>
      </c>
      <c r="N451" s="33" t="s">
        <v>6</v>
      </c>
      <c r="O451" s="33" t="s">
        <v>6</v>
      </c>
      <c r="P451" s="33" t="s">
        <v>6</v>
      </c>
      <c r="Q451" s="33" t="s">
        <v>6</v>
      </c>
      <c r="R451" s="33" t="s">
        <v>6</v>
      </c>
      <c r="S451" s="33" t="s">
        <v>6</v>
      </c>
      <c r="T451" s="33" t="s">
        <v>6</v>
      </c>
      <c r="U451" s="33" t="s">
        <v>6</v>
      </c>
      <c r="V451" s="4" t="s">
        <v>1</v>
      </c>
      <c r="W451" s="4">
        <v>1</v>
      </c>
      <c r="X451" s="4">
        <v>2</v>
      </c>
      <c r="Y451" s="4">
        <v>2</v>
      </c>
      <c r="Z451" s="5">
        <v>3</v>
      </c>
      <c r="AA451" s="4">
        <f t="shared" si="9"/>
        <v>3</v>
      </c>
      <c r="AB451" s="4" t="s">
        <v>6</v>
      </c>
      <c r="AC451" s="4" t="s">
        <v>6</v>
      </c>
      <c r="AD451" s="4" t="s">
        <v>6</v>
      </c>
      <c r="AE451" s="5" t="s">
        <v>6</v>
      </c>
      <c r="AF451" s="9">
        <f t="shared" si="10"/>
        <v>3</v>
      </c>
      <c r="AG451" s="5" t="s">
        <v>6</v>
      </c>
      <c r="AH451" s="9">
        <v>3</v>
      </c>
      <c r="AI451" s="4" t="s">
        <v>6</v>
      </c>
      <c r="AJ451" s="4" t="s">
        <v>6</v>
      </c>
      <c r="AK451" s="23" t="s">
        <v>6</v>
      </c>
      <c r="AL451" s="23" t="s">
        <v>6</v>
      </c>
      <c r="AM451" s="23" t="s">
        <v>6</v>
      </c>
      <c r="AN451" s="24" t="s">
        <v>6</v>
      </c>
    </row>
    <row r="452" spans="1:40" x14ac:dyDescent="0.2">
      <c r="A452" s="15">
        <v>4329</v>
      </c>
      <c r="B452" s="4" t="s">
        <v>6</v>
      </c>
      <c r="C452" s="36" t="s">
        <v>6</v>
      </c>
      <c r="D452" s="36" t="s">
        <v>6</v>
      </c>
      <c r="E452" s="36" t="s">
        <v>6</v>
      </c>
      <c r="F452" s="30" t="s">
        <v>6</v>
      </c>
      <c r="G452" s="36" t="s">
        <v>6</v>
      </c>
      <c r="H452" s="33" t="s">
        <v>6</v>
      </c>
      <c r="I452" s="33" t="s">
        <v>6</v>
      </c>
      <c r="J452" s="33" t="s">
        <v>6</v>
      </c>
      <c r="K452" s="33" t="s">
        <v>6</v>
      </c>
      <c r="L452" s="33" t="s">
        <v>6</v>
      </c>
      <c r="M452" s="33" t="s">
        <v>6</v>
      </c>
      <c r="N452" s="33" t="s">
        <v>6</v>
      </c>
      <c r="O452" s="33" t="s">
        <v>6</v>
      </c>
      <c r="P452" s="33" t="s">
        <v>6</v>
      </c>
      <c r="Q452" s="33" t="s">
        <v>6</v>
      </c>
      <c r="R452" s="33" t="s">
        <v>6</v>
      </c>
      <c r="S452" s="33" t="s">
        <v>6</v>
      </c>
      <c r="T452" s="33" t="s">
        <v>6</v>
      </c>
      <c r="U452" s="33" t="s">
        <v>6</v>
      </c>
      <c r="V452" s="4" t="s">
        <v>1</v>
      </c>
      <c r="W452" s="4">
        <v>1</v>
      </c>
      <c r="X452" s="4">
        <v>2</v>
      </c>
      <c r="Y452" s="4">
        <v>2</v>
      </c>
      <c r="Z452" s="5">
        <v>3</v>
      </c>
      <c r="AA452" s="4">
        <f t="shared" si="9"/>
        <v>3</v>
      </c>
      <c r="AB452" s="4" t="s">
        <v>6</v>
      </c>
      <c r="AC452" s="4" t="s">
        <v>6</v>
      </c>
      <c r="AD452" s="4" t="s">
        <v>6</v>
      </c>
      <c r="AE452" s="5" t="s">
        <v>6</v>
      </c>
      <c r="AF452" s="9">
        <f t="shared" si="10"/>
        <v>3</v>
      </c>
      <c r="AG452" s="5" t="s">
        <v>6</v>
      </c>
      <c r="AH452" s="9">
        <v>3</v>
      </c>
      <c r="AI452" s="4" t="s">
        <v>6</v>
      </c>
      <c r="AJ452" s="4" t="s">
        <v>6</v>
      </c>
      <c r="AK452" s="23" t="s">
        <v>6</v>
      </c>
      <c r="AL452" s="23" t="s">
        <v>6</v>
      </c>
      <c r="AM452" s="23" t="s">
        <v>6</v>
      </c>
      <c r="AN452" s="24" t="s">
        <v>6</v>
      </c>
    </row>
    <row r="453" spans="1:40" x14ac:dyDescent="0.2">
      <c r="A453" s="15">
        <v>4362</v>
      </c>
      <c r="B453" s="4" t="s">
        <v>6</v>
      </c>
      <c r="C453" s="36" t="s">
        <v>6</v>
      </c>
      <c r="D453" s="36" t="s">
        <v>6</v>
      </c>
      <c r="E453" s="36" t="s">
        <v>6</v>
      </c>
      <c r="F453" s="30" t="s">
        <v>6</v>
      </c>
      <c r="G453" s="36" t="s">
        <v>6</v>
      </c>
      <c r="H453" s="33" t="s">
        <v>6</v>
      </c>
      <c r="I453" s="33" t="s">
        <v>6</v>
      </c>
      <c r="J453" s="33" t="s">
        <v>6</v>
      </c>
      <c r="K453" s="33" t="s">
        <v>6</v>
      </c>
      <c r="L453" s="33" t="s">
        <v>6</v>
      </c>
      <c r="M453" s="33" t="s">
        <v>6</v>
      </c>
      <c r="N453" s="33" t="s">
        <v>6</v>
      </c>
      <c r="O453" s="33" t="s">
        <v>6</v>
      </c>
      <c r="P453" s="33" t="s">
        <v>6</v>
      </c>
      <c r="Q453" s="33" t="s">
        <v>6</v>
      </c>
      <c r="R453" s="33" t="s">
        <v>6</v>
      </c>
      <c r="S453" s="33" t="s">
        <v>6</v>
      </c>
      <c r="T453" s="33" t="s">
        <v>6</v>
      </c>
      <c r="U453" s="33" t="s">
        <v>6</v>
      </c>
      <c r="V453" s="4" t="s">
        <v>1</v>
      </c>
      <c r="W453" s="4">
        <v>1</v>
      </c>
      <c r="X453" s="4">
        <v>2</v>
      </c>
      <c r="Y453" s="4">
        <v>2</v>
      </c>
      <c r="Z453" s="5">
        <v>3</v>
      </c>
      <c r="AA453" s="4">
        <f t="shared" si="9"/>
        <v>3</v>
      </c>
      <c r="AB453" s="4" t="s">
        <v>6</v>
      </c>
      <c r="AC453" s="4" t="s">
        <v>6</v>
      </c>
      <c r="AD453" s="4" t="s">
        <v>6</v>
      </c>
      <c r="AE453" s="5" t="s">
        <v>6</v>
      </c>
      <c r="AF453" s="9">
        <f t="shared" si="10"/>
        <v>3</v>
      </c>
      <c r="AG453" s="5" t="s">
        <v>6</v>
      </c>
      <c r="AH453" s="9">
        <v>3</v>
      </c>
      <c r="AI453" s="4" t="s">
        <v>6</v>
      </c>
      <c r="AJ453" s="4" t="s">
        <v>6</v>
      </c>
      <c r="AK453" s="23" t="s">
        <v>6</v>
      </c>
      <c r="AL453" s="23" t="s">
        <v>6</v>
      </c>
      <c r="AM453" s="23" t="s">
        <v>6</v>
      </c>
      <c r="AN453" s="24" t="s">
        <v>6</v>
      </c>
    </row>
    <row r="454" spans="1:40" x14ac:dyDescent="0.2">
      <c r="A454" s="15">
        <v>4467</v>
      </c>
      <c r="B454" s="4" t="s">
        <v>6</v>
      </c>
      <c r="C454" s="36" t="s">
        <v>6</v>
      </c>
      <c r="D454" s="36" t="s">
        <v>6</v>
      </c>
      <c r="E454" s="36" t="s">
        <v>6</v>
      </c>
      <c r="F454" s="30" t="s">
        <v>6</v>
      </c>
      <c r="G454" s="36" t="s">
        <v>6</v>
      </c>
      <c r="H454" s="33" t="s">
        <v>6</v>
      </c>
      <c r="I454" s="33" t="s">
        <v>6</v>
      </c>
      <c r="J454" s="33" t="s">
        <v>6</v>
      </c>
      <c r="K454" s="33" t="s">
        <v>6</v>
      </c>
      <c r="L454" s="33" t="s">
        <v>6</v>
      </c>
      <c r="M454" s="33" t="s">
        <v>6</v>
      </c>
      <c r="N454" s="33" t="s">
        <v>6</v>
      </c>
      <c r="O454" s="33" t="s">
        <v>6</v>
      </c>
      <c r="P454" s="33" t="s">
        <v>6</v>
      </c>
      <c r="Q454" s="33" t="s">
        <v>6</v>
      </c>
      <c r="R454" s="33" t="s">
        <v>6</v>
      </c>
      <c r="S454" s="33" t="s">
        <v>6</v>
      </c>
      <c r="T454" s="33" t="s">
        <v>6</v>
      </c>
      <c r="U454" s="33" t="s">
        <v>6</v>
      </c>
      <c r="V454" s="4" t="s">
        <v>1</v>
      </c>
      <c r="W454" s="4">
        <v>1</v>
      </c>
      <c r="X454" s="4">
        <v>2</v>
      </c>
      <c r="Y454" s="4">
        <v>2</v>
      </c>
      <c r="Z454" s="5">
        <v>3</v>
      </c>
      <c r="AA454" s="4">
        <f t="shared" si="9"/>
        <v>3</v>
      </c>
      <c r="AB454" s="4" t="s">
        <v>6</v>
      </c>
      <c r="AC454" s="4" t="s">
        <v>6</v>
      </c>
      <c r="AD454" s="4" t="s">
        <v>6</v>
      </c>
      <c r="AE454" s="5" t="s">
        <v>6</v>
      </c>
      <c r="AF454" s="9">
        <f t="shared" si="10"/>
        <v>3</v>
      </c>
      <c r="AG454" s="5" t="s">
        <v>6</v>
      </c>
      <c r="AH454" s="9">
        <v>3</v>
      </c>
      <c r="AI454" s="4" t="s">
        <v>6</v>
      </c>
      <c r="AJ454" s="4" t="s">
        <v>6</v>
      </c>
      <c r="AK454" s="23" t="s">
        <v>6</v>
      </c>
      <c r="AL454" s="23" t="s">
        <v>6</v>
      </c>
      <c r="AM454" s="23" t="s">
        <v>6</v>
      </c>
      <c r="AN454" s="24" t="s">
        <v>6</v>
      </c>
    </row>
    <row r="455" spans="1:40" x14ac:dyDescent="0.2">
      <c r="A455" s="15">
        <v>4539</v>
      </c>
      <c r="B455" s="4" t="s">
        <v>6</v>
      </c>
      <c r="C455" s="36" t="s">
        <v>6</v>
      </c>
      <c r="D455" s="36" t="s">
        <v>6</v>
      </c>
      <c r="E455" s="36" t="s">
        <v>6</v>
      </c>
      <c r="F455" s="30" t="s">
        <v>6</v>
      </c>
      <c r="G455" s="36" t="s">
        <v>6</v>
      </c>
      <c r="H455" s="33" t="s">
        <v>6</v>
      </c>
      <c r="I455" s="33" t="s">
        <v>6</v>
      </c>
      <c r="J455" s="33" t="s">
        <v>6</v>
      </c>
      <c r="K455" s="33" t="s">
        <v>6</v>
      </c>
      <c r="L455" s="33" t="s">
        <v>6</v>
      </c>
      <c r="M455" s="33" t="s">
        <v>6</v>
      </c>
      <c r="N455" s="33" t="s">
        <v>6</v>
      </c>
      <c r="O455" s="33" t="s">
        <v>6</v>
      </c>
      <c r="P455" s="33" t="s">
        <v>6</v>
      </c>
      <c r="Q455" s="33" t="s">
        <v>6</v>
      </c>
      <c r="R455" s="33" t="s">
        <v>6</v>
      </c>
      <c r="S455" s="33" t="s">
        <v>6</v>
      </c>
      <c r="T455" s="33" t="s">
        <v>6</v>
      </c>
      <c r="U455" s="33" t="s">
        <v>6</v>
      </c>
      <c r="V455" s="4" t="s">
        <v>1</v>
      </c>
      <c r="W455" s="4">
        <v>1</v>
      </c>
      <c r="X455" s="4">
        <v>2</v>
      </c>
      <c r="Y455" s="4">
        <v>2</v>
      </c>
      <c r="Z455" s="5">
        <v>3</v>
      </c>
      <c r="AA455" s="4">
        <f t="shared" si="9"/>
        <v>3</v>
      </c>
      <c r="AB455" s="4" t="s">
        <v>6</v>
      </c>
      <c r="AC455" s="4" t="s">
        <v>6</v>
      </c>
      <c r="AD455" s="4" t="s">
        <v>6</v>
      </c>
      <c r="AE455" s="5" t="s">
        <v>6</v>
      </c>
      <c r="AF455" s="9">
        <f t="shared" si="10"/>
        <v>3</v>
      </c>
      <c r="AG455" s="5" t="s">
        <v>6</v>
      </c>
      <c r="AH455" s="9">
        <v>3</v>
      </c>
      <c r="AI455" s="4" t="s">
        <v>6</v>
      </c>
      <c r="AJ455" s="4" t="s">
        <v>6</v>
      </c>
      <c r="AK455" s="23" t="s">
        <v>6</v>
      </c>
      <c r="AL455" s="23" t="s">
        <v>6</v>
      </c>
      <c r="AM455" s="23" t="s">
        <v>6</v>
      </c>
      <c r="AN455" s="24" t="s">
        <v>6</v>
      </c>
    </row>
    <row r="456" spans="1:40" x14ac:dyDescent="0.2">
      <c r="A456" s="15">
        <v>4556</v>
      </c>
      <c r="B456" s="4" t="s">
        <v>6</v>
      </c>
      <c r="C456" s="36" t="s">
        <v>6</v>
      </c>
      <c r="D456" s="36" t="s">
        <v>6</v>
      </c>
      <c r="E456" s="36" t="s">
        <v>6</v>
      </c>
      <c r="F456" s="30" t="s">
        <v>6</v>
      </c>
      <c r="G456" s="36" t="s">
        <v>6</v>
      </c>
      <c r="H456" s="33" t="s">
        <v>6</v>
      </c>
      <c r="I456" s="33" t="s">
        <v>6</v>
      </c>
      <c r="J456" s="33" t="s">
        <v>6</v>
      </c>
      <c r="K456" s="33" t="s">
        <v>6</v>
      </c>
      <c r="L456" s="33" t="s">
        <v>6</v>
      </c>
      <c r="M456" s="33" t="s">
        <v>6</v>
      </c>
      <c r="N456" s="33" t="s">
        <v>6</v>
      </c>
      <c r="O456" s="33" t="s">
        <v>6</v>
      </c>
      <c r="P456" s="33" t="s">
        <v>6</v>
      </c>
      <c r="Q456" s="33" t="s">
        <v>6</v>
      </c>
      <c r="R456" s="33" t="s">
        <v>6</v>
      </c>
      <c r="S456" s="33" t="s">
        <v>6</v>
      </c>
      <c r="T456" s="33" t="s">
        <v>6</v>
      </c>
      <c r="U456" s="33" t="s">
        <v>6</v>
      </c>
      <c r="V456" s="4" t="s">
        <v>1</v>
      </c>
      <c r="W456" s="4">
        <v>1</v>
      </c>
      <c r="X456" s="4">
        <v>2</v>
      </c>
      <c r="Y456" s="4">
        <v>2</v>
      </c>
      <c r="Z456" s="5">
        <v>3</v>
      </c>
      <c r="AA456" s="4">
        <f t="shared" si="9"/>
        <v>3</v>
      </c>
      <c r="AB456" s="4" t="s">
        <v>6</v>
      </c>
      <c r="AC456" s="4" t="s">
        <v>6</v>
      </c>
      <c r="AD456" s="4" t="s">
        <v>6</v>
      </c>
      <c r="AE456" s="5" t="s">
        <v>6</v>
      </c>
      <c r="AF456" s="9">
        <f t="shared" si="10"/>
        <v>3</v>
      </c>
      <c r="AG456" s="5" t="s">
        <v>6</v>
      </c>
      <c r="AH456" s="9">
        <v>3</v>
      </c>
      <c r="AI456" s="4" t="s">
        <v>6</v>
      </c>
      <c r="AJ456" s="4" t="s">
        <v>6</v>
      </c>
      <c r="AK456" s="23" t="s">
        <v>6</v>
      </c>
      <c r="AL456" s="23" t="s">
        <v>6</v>
      </c>
      <c r="AM456" s="23" t="s">
        <v>6</v>
      </c>
      <c r="AN456" s="24" t="s">
        <v>6</v>
      </c>
    </row>
    <row r="457" spans="1:40" x14ac:dyDescent="0.2">
      <c r="A457" s="15">
        <v>4575</v>
      </c>
      <c r="B457" s="4" t="s">
        <v>6</v>
      </c>
      <c r="C457" s="36" t="s">
        <v>6</v>
      </c>
      <c r="D457" s="36" t="s">
        <v>6</v>
      </c>
      <c r="E457" s="36" t="s">
        <v>6</v>
      </c>
      <c r="F457" s="30" t="s">
        <v>6</v>
      </c>
      <c r="G457" s="36" t="s">
        <v>6</v>
      </c>
      <c r="H457" s="33" t="s">
        <v>6</v>
      </c>
      <c r="I457" s="33" t="s">
        <v>6</v>
      </c>
      <c r="J457" s="33" t="s">
        <v>6</v>
      </c>
      <c r="K457" s="33" t="s">
        <v>6</v>
      </c>
      <c r="L457" s="33" t="s">
        <v>6</v>
      </c>
      <c r="M457" s="33" t="s">
        <v>6</v>
      </c>
      <c r="N457" s="33" t="s">
        <v>6</v>
      </c>
      <c r="O457" s="33" t="s">
        <v>6</v>
      </c>
      <c r="P457" s="33" t="s">
        <v>6</v>
      </c>
      <c r="Q457" s="33" t="s">
        <v>6</v>
      </c>
      <c r="R457" s="33" t="s">
        <v>6</v>
      </c>
      <c r="S457" s="33" t="s">
        <v>6</v>
      </c>
      <c r="T457" s="33" t="s">
        <v>6</v>
      </c>
      <c r="U457" s="33" t="s">
        <v>6</v>
      </c>
      <c r="V457" s="4" t="s">
        <v>1</v>
      </c>
      <c r="W457" s="4">
        <v>1</v>
      </c>
      <c r="X457" s="4">
        <v>2</v>
      </c>
      <c r="Y457" s="4">
        <v>2</v>
      </c>
      <c r="Z457" s="5">
        <v>3</v>
      </c>
      <c r="AA457" s="4">
        <f t="shared" si="9"/>
        <v>3</v>
      </c>
      <c r="AB457" s="4" t="s">
        <v>6</v>
      </c>
      <c r="AC457" s="4" t="s">
        <v>6</v>
      </c>
      <c r="AD457" s="4" t="s">
        <v>6</v>
      </c>
      <c r="AE457" s="5" t="s">
        <v>6</v>
      </c>
      <c r="AF457" s="9">
        <f t="shared" si="10"/>
        <v>3</v>
      </c>
      <c r="AG457" s="5" t="s">
        <v>6</v>
      </c>
      <c r="AH457" s="9">
        <v>3</v>
      </c>
      <c r="AI457" s="4" t="s">
        <v>6</v>
      </c>
      <c r="AJ457" s="4" t="s">
        <v>6</v>
      </c>
      <c r="AK457" s="23" t="s">
        <v>6</v>
      </c>
      <c r="AL457" s="23" t="s">
        <v>6</v>
      </c>
      <c r="AM457" s="23" t="s">
        <v>6</v>
      </c>
      <c r="AN457" s="24" t="s">
        <v>6</v>
      </c>
    </row>
    <row r="458" spans="1:40" x14ac:dyDescent="0.2">
      <c r="A458" s="15">
        <v>4659</v>
      </c>
      <c r="B458" s="4" t="s">
        <v>6</v>
      </c>
      <c r="C458" s="36" t="s">
        <v>6</v>
      </c>
      <c r="D458" s="36" t="s">
        <v>6</v>
      </c>
      <c r="E458" s="36" t="s">
        <v>6</v>
      </c>
      <c r="F458" s="30" t="s">
        <v>6</v>
      </c>
      <c r="G458" s="36" t="s">
        <v>6</v>
      </c>
      <c r="H458" s="33" t="s">
        <v>6</v>
      </c>
      <c r="I458" s="33" t="s">
        <v>6</v>
      </c>
      <c r="J458" s="33" t="s">
        <v>6</v>
      </c>
      <c r="K458" s="33" t="s">
        <v>6</v>
      </c>
      <c r="L458" s="33" t="s">
        <v>6</v>
      </c>
      <c r="M458" s="33" t="s">
        <v>6</v>
      </c>
      <c r="N458" s="33" t="s">
        <v>6</v>
      </c>
      <c r="O458" s="33" t="s">
        <v>6</v>
      </c>
      <c r="P458" s="33" t="s">
        <v>6</v>
      </c>
      <c r="Q458" s="33" t="s">
        <v>6</v>
      </c>
      <c r="R458" s="33" t="s">
        <v>6</v>
      </c>
      <c r="S458" s="33" t="s">
        <v>6</v>
      </c>
      <c r="T458" s="33" t="s">
        <v>6</v>
      </c>
      <c r="U458" s="33" t="s">
        <v>6</v>
      </c>
      <c r="V458" s="4" t="s">
        <v>1</v>
      </c>
      <c r="W458" s="4">
        <v>1</v>
      </c>
      <c r="X458" s="4">
        <v>2</v>
      </c>
      <c r="Y458" s="4">
        <v>2</v>
      </c>
      <c r="Z458" s="5">
        <v>3</v>
      </c>
      <c r="AA458" s="4">
        <f t="shared" si="9"/>
        <v>3</v>
      </c>
      <c r="AB458" s="4" t="s">
        <v>6</v>
      </c>
      <c r="AC458" s="4" t="s">
        <v>6</v>
      </c>
      <c r="AD458" s="4" t="s">
        <v>6</v>
      </c>
      <c r="AE458" s="5" t="s">
        <v>6</v>
      </c>
      <c r="AF458" s="9">
        <f t="shared" si="10"/>
        <v>3</v>
      </c>
      <c r="AG458" s="5" t="s">
        <v>6</v>
      </c>
      <c r="AH458" s="9">
        <v>3</v>
      </c>
      <c r="AI458" s="4" t="s">
        <v>6</v>
      </c>
      <c r="AJ458" s="4" t="s">
        <v>6</v>
      </c>
      <c r="AK458" s="23" t="s">
        <v>6</v>
      </c>
      <c r="AL458" s="23" t="s">
        <v>6</v>
      </c>
      <c r="AM458" s="23" t="s">
        <v>6</v>
      </c>
      <c r="AN458" s="24" t="s">
        <v>6</v>
      </c>
    </row>
    <row r="459" spans="1:40" x14ac:dyDescent="0.2">
      <c r="A459" s="15">
        <v>4660</v>
      </c>
      <c r="B459" s="4" t="s">
        <v>6</v>
      </c>
      <c r="C459" s="36" t="s">
        <v>6</v>
      </c>
      <c r="D459" s="36" t="s">
        <v>6</v>
      </c>
      <c r="E459" s="36" t="s">
        <v>6</v>
      </c>
      <c r="F459" s="30" t="s">
        <v>6</v>
      </c>
      <c r="G459" s="36" t="s">
        <v>6</v>
      </c>
      <c r="H459" s="33" t="s">
        <v>6</v>
      </c>
      <c r="I459" s="33" t="s">
        <v>6</v>
      </c>
      <c r="J459" s="33" t="s">
        <v>6</v>
      </c>
      <c r="K459" s="33" t="s">
        <v>6</v>
      </c>
      <c r="L459" s="33" t="s">
        <v>6</v>
      </c>
      <c r="M459" s="33" t="s">
        <v>6</v>
      </c>
      <c r="N459" s="33" t="s">
        <v>6</v>
      </c>
      <c r="O459" s="33" t="s">
        <v>6</v>
      </c>
      <c r="P459" s="33" t="s">
        <v>6</v>
      </c>
      <c r="Q459" s="33" t="s">
        <v>6</v>
      </c>
      <c r="R459" s="33" t="s">
        <v>6</v>
      </c>
      <c r="S459" s="33" t="s">
        <v>6</v>
      </c>
      <c r="T459" s="33" t="s">
        <v>6</v>
      </c>
      <c r="U459" s="33" t="s">
        <v>6</v>
      </c>
      <c r="V459" s="4" t="s">
        <v>1</v>
      </c>
      <c r="W459" s="4">
        <v>1</v>
      </c>
      <c r="X459" s="4">
        <v>2</v>
      </c>
      <c r="Y459" s="4">
        <v>2</v>
      </c>
      <c r="Z459" s="5">
        <v>3</v>
      </c>
      <c r="AA459" s="4">
        <f t="shared" si="9"/>
        <v>3</v>
      </c>
      <c r="AB459" s="4" t="s">
        <v>6</v>
      </c>
      <c r="AC459" s="4" t="s">
        <v>6</v>
      </c>
      <c r="AD459" s="4" t="s">
        <v>6</v>
      </c>
      <c r="AE459" s="5" t="s">
        <v>6</v>
      </c>
      <c r="AF459" s="9">
        <f t="shared" si="10"/>
        <v>3</v>
      </c>
      <c r="AG459" s="5" t="s">
        <v>6</v>
      </c>
      <c r="AH459" s="9">
        <v>3</v>
      </c>
      <c r="AI459" s="4" t="s">
        <v>6</v>
      </c>
      <c r="AJ459" s="4" t="s">
        <v>6</v>
      </c>
      <c r="AK459" s="23" t="s">
        <v>6</v>
      </c>
      <c r="AL459" s="23" t="s">
        <v>6</v>
      </c>
      <c r="AM459" s="23" t="s">
        <v>6</v>
      </c>
      <c r="AN459" s="24" t="s">
        <v>6</v>
      </c>
    </row>
    <row r="460" spans="1:40" x14ac:dyDescent="0.2">
      <c r="A460" s="15">
        <v>4722</v>
      </c>
      <c r="B460" s="4" t="s">
        <v>6</v>
      </c>
      <c r="C460" s="36" t="s">
        <v>6</v>
      </c>
      <c r="D460" s="36" t="s">
        <v>6</v>
      </c>
      <c r="E460" s="36" t="s">
        <v>6</v>
      </c>
      <c r="F460" s="30" t="s">
        <v>6</v>
      </c>
      <c r="G460" s="36" t="s">
        <v>6</v>
      </c>
      <c r="H460" s="33" t="s">
        <v>6</v>
      </c>
      <c r="I460" s="33" t="s">
        <v>6</v>
      </c>
      <c r="J460" s="33" t="s">
        <v>6</v>
      </c>
      <c r="K460" s="33" t="s">
        <v>6</v>
      </c>
      <c r="L460" s="33" t="s">
        <v>6</v>
      </c>
      <c r="M460" s="33" t="s">
        <v>6</v>
      </c>
      <c r="N460" s="33" t="s">
        <v>6</v>
      </c>
      <c r="O460" s="33" t="s">
        <v>6</v>
      </c>
      <c r="P460" s="33" t="s">
        <v>6</v>
      </c>
      <c r="Q460" s="33" t="s">
        <v>6</v>
      </c>
      <c r="R460" s="33" t="s">
        <v>6</v>
      </c>
      <c r="S460" s="33" t="s">
        <v>6</v>
      </c>
      <c r="T460" s="33" t="s">
        <v>6</v>
      </c>
      <c r="U460" s="33" t="s">
        <v>6</v>
      </c>
      <c r="V460" s="4" t="s">
        <v>1</v>
      </c>
      <c r="W460" s="4">
        <v>1</v>
      </c>
      <c r="X460" s="4">
        <v>2</v>
      </c>
      <c r="Y460" s="4">
        <v>2</v>
      </c>
      <c r="Z460" s="5">
        <v>3</v>
      </c>
      <c r="AA460" s="4">
        <f t="shared" si="9"/>
        <v>3</v>
      </c>
      <c r="AB460" s="4" t="s">
        <v>6</v>
      </c>
      <c r="AC460" s="4" t="s">
        <v>6</v>
      </c>
      <c r="AD460" s="4" t="s">
        <v>6</v>
      </c>
      <c r="AE460" s="5" t="s">
        <v>6</v>
      </c>
      <c r="AF460" s="9">
        <f t="shared" si="10"/>
        <v>3</v>
      </c>
      <c r="AG460" s="5" t="s">
        <v>6</v>
      </c>
      <c r="AH460" s="9">
        <v>3</v>
      </c>
      <c r="AI460" s="4" t="s">
        <v>6</v>
      </c>
      <c r="AJ460" s="4" t="s">
        <v>6</v>
      </c>
      <c r="AK460" s="23" t="s">
        <v>6</v>
      </c>
      <c r="AL460" s="23" t="s">
        <v>6</v>
      </c>
      <c r="AM460" s="23" t="s">
        <v>6</v>
      </c>
      <c r="AN460" s="24" t="s">
        <v>6</v>
      </c>
    </row>
    <row r="461" spans="1:40" x14ac:dyDescent="0.2">
      <c r="A461" s="15">
        <v>4754</v>
      </c>
      <c r="B461" s="4" t="s">
        <v>6</v>
      </c>
      <c r="C461" s="36" t="s">
        <v>6</v>
      </c>
      <c r="D461" s="36" t="s">
        <v>6</v>
      </c>
      <c r="E461" s="36" t="s">
        <v>6</v>
      </c>
      <c r="F461" s="30" t="s">
        <v>6</v>
      </c>
      <c r="G461" s="36" t="s">
        <v>6</v>
      </c>
      <c r="H461" s="33" t="s">
        <v>6</v>
      </c>
      <c r="I461" s="33" t="s">
        <v>6</v>
      </c>
      <c r="J461" s="33" t="s">
        <v>6</v>
      </c>
      <c r="K461" s="33" t="s">
        <v>6</v>
      </c>
      <c r="L461" s="33" t="s">
        <v>6</v>
      </c>
      <c r="M461" s="33" t="s">
        <v>6</v>
      </c>
      <c r="N461" s="33" t="s">
        <v>6</v>
      </c>
      <c r="O461" s="33" t="s">
        <v>6</v>
      </c>
      <c r="P461" s="33" t="s">
        <v>6</v>
      </c>
      <c r="Q461" s="33" t="s">
        <v>6</v>
      </c>
      <c r="R461" s="33" t="s">
        <v>6</v>
      </c>
      <c r="S461" s="33" t="s">
        <v>6</v>
      </c>
      <c r="T461" s="33" t="s">
        <v>6</v>
      </c>
      <c r="U461" s="33" t="s">
        <v>6</v>
      </c>
      <c r="V461" s="4" t="s">
        <v>1</v>
      </c>
      <c r="W461" s="4">
        <v>1</v>
      </c>
      <c r="X461" s="4">
        <v>2</v>
      </c>
      <c r="Y461" s="4">
        <v>2</v>
      </c>
      <c r="Z461" s="5">
        <v>3</v>
      </c>
      <c r="AA461" s="4">
        <f t="shared" si="9"/>
        <v>3</v>
      </c>
      <c r="AB461" s="4" t="s">
        <v>6</v>
      </c>
      <c r="AC461" s="4" t="s">
        <v>6</v>
      </c>
      <c r="AD461" s="4" t="s">
        <v>6</v>
      </c>
      <c r="AE461" s="5" t="s">
        <v>6</v>
      </c>
      <c r="AF461" s="9">
        <f t="shared" si="10"/>
        <v>3</v>
      </c>
      <c r="AG461" s="5" t="s">
        <v>6</v>
      </c>
      <c r="AH461" s="9">
        <v>3</v>
      </c>
      <c r="AI461" s="4" t="s">
        <v>6</v>
      </c>
      <c r="AJ461" s="4" t="s">
        <v>6</v>
      </c>
      <c r="AK461" s="23" t="s">
        <v>6</v>
      </c>
      <c r="AL461" s="23" t="s">
        <v>6</v>
      </c>
      <c r="AM461" s="23" t="s">
        <v>6</v>
      </c>
      <c r="AN461" s="24" t="s">
        <v>6</v>
      </c>
    </row>
    <row r="462" spans="1:40" x14ac:dyDescent="0.2">
      <c r="A462" s="15">
        <v>4791</v>
      </c>
      <c r="B462" s="4" t="s">
        <v>6</v>
      </c>
      <c r="C462" s="36" t="s">
        <v>6</v>
      </c>
      <c r="D462" s="36" t="s">
        <v>6</v>
      </c>
      <c r="E462" s="36" t="s">
        <v>6</v>
      </c>
      <c r="F462" s="30" t="s">
        <v>6</v>
      </c>
      <c r="G462" s="36" t="s">
        <v>6</v>
      </c>
      <c r="H462" s="33" t="s">
        <v>6</v>
      </c>
      <c r="I462" s="33" t="s">
        <v>6</v>
      </c>
      <c r="J462" s="33" t="s">
        <v>6</v>
      </c>
      <c r="K462" s="33" t="s">
        <v>6</v>
      </c>
      <c r="L462" s="33" t="s">
        <v>6</v>
      </c>
      <c r="M462" s="33" t="s">
        <v>6</v>
      </c>
      <c r="N462" s="33" t="s">
        <v>6</v>
      </c>
      <c r="O462" s="33" t="s">
        <v>6</v>
      </c>
      <c r="P462" s="33" t="s">
        <v>6</v>
      </c>
      <c r="Q462" s="33" t="s">
        <v>6</v>
      </c>
      <c r="R462" s="33" t="s">
        <v>6</v>
      </c>
      <c r="S462" s="33" t="s">
        <v>6</v>
      </c>
      <c r="T462" s="33" t="s">
        <v>6</v>
      </c>
      <c r="U462" s="33" t="s">
        <v>6</v>
      </c>
      <c r="V462" s="4" t="s">
        <v>1</v>
      </c>
      <c r="W462" s="4">
        <v>1</v>
      </c>
      <c r="X462" s="4">
        <v>2</v>
      </c>
      <c r="Y462" s="4">
        <v>2</v>
      </c>
      <c r="Z462" s="5">
        <v>3</v>
      </c>
      <c r="AA462" s="4">
        <f t="shared" si="9"/>
        <v>3</v>
      </c>
      <c r="AB462" s="4" t="s">
        <v>6</v>
      </c>
      <c r="AC462" s="4" t="s">
        <v>6</v>
      </c>
      <c r="AD462" s="4" t="s">
        <v>6</v>
      </c>
      <c r="AE462" s="5" t="s">
        <v>6</v>
      </c>
      <c r="AF462" s="9">
        <f t="shared" si="10"/>
        <v>3</v>
      </c>
      <c r="AG462" s="5" t="s">
        <v>6</v>
      </c>
      <c r="AH462" s="9">
        <v>3</v>
      </c>
      <c r="AI462" s="4" t="s">
        <v>6</v>
      </c>
      <c r="AJ462" s="4" t="s">
        <v>6</v>
      </c>
      <c r="AK462" s="23" t="s">
        <v>6</v>
      </c>
      <c r="AL462" s="23" t="s">
        <v>6</v>
      </c>
      <c r="AM462" s="23" t="s">
        <v>6</v>
      </c>
      <c r="AN462" s="24" t="s">
        <v>6</v>
      </c>
    </row>
    <row r="463" spans="1:40" x14ac:dyDescent="0.2">
      <c r="A463" s="15">
        <v>4794</v>
      </c>
      <c r="B463" s="4" t="s">
        <v>6</v>
      </c>
      <c r="C463" s="36" t="s">
        <v>6</v>
      </c>
      <c r="D463" s="36" t="s">
        <v>6</v>
      </c>
      <c r="E463" s="36" t="s">
        <v>6</v>
      </c>
      <c r="F463" s="30" t="s">
        <v>6</v>
      </c>
      <c r="G463" s="36" t="s">
        <v>6</v>
      </c>
      <c r="H463" s="33" t="s">
        <v>6</v>
      </c>
      <c r="I463" s="33" t="s">
        <v>6</v>
      </c>
      <c r="J463" s="33" t="s">
        <v>6</v>
      </c>
      <c r="K463" s="33" t="s">
        <v>6</v>
      </c>
      <c r="L463" s="33" t="s">
        <v>6</v>
      </c>
      <c r="M463" s="33" t="s">
        <v>6</v>
      </c>
      <c r="N463" s="33" t="s">
        <v>6</v>
      </c>
      <c r="O463" s="33" t="s">
        <v>6</v>
      </c>
      <c r="P463" s="33" t="s">
        <v>6</v>
      </c>
      <c r="Q463" s="33" t="s">
        <v>6</v>
      </c>
      <c r="R463" s="33" t="s">
        <v>6</v>
      </c>
      <c r="S463" s="33" t="s">
        <v>6</v>
      </c>
      <c r="T463" s="33" t="s">
        <v>6</v>
      </c>
      <c r="U463" s="33" t="s">
        <v>6</v>
      </c>
      <c r="V463" s="4" t="s">
        <v>1</v>
      </c>
      <c r="W463" s="4">
        <v>1</v>
      </c>
      <c r="X463" s="4">
        <v>2</v>
      </c>
      <c r="Y463" s="4">
        <v>2</v>
      </c>
      <c r="Z463" s="5">
        <v>3</v>
      </c>
      <c r="AA463" s="4">
        <f t="shared" si="9"/>
        <v>3</v>
      </c>
      <c r="AB463" s="4" t="s">
        <v>6</v>
      </c>
      <c r="AC463" s="4" t="s">
        <v>6</v>
      </c>
      <c r="AD463" s="4" t="s">
        <v>6</v>
      </c>
      <c r="AE463" s="5" t="s">
        <v>6</v>
      </c>
      <c r="AF463" s="9">
        <f t="shared" si="10"/>
        <v>3</v>
      </c>
      <c r="AG463" s="5" t="s">
        <v>6</v>
      </c>
      <c r="AH463" s="9">
        <v>3</v>
      </c>
      <c r="AI463" s="4" t="s">
        <v>6</v>
      </c>
      <c r="AJ463" s="4" t="s">
        <v>6</v>
      </c>
      <c r="AK463" s="23" t="s">
        <v>6</v>
      </c>
      <c r="AL463" s="23" t="s">
        <v>6</v>
      </c>
      <c r="AM463" s="23" t="s">
        <v>6</v>
      </c>
      <c r="AN463" s="24" t="s">
        <v>6</v>
      </c>
    </row>
    <row r="464" spans="1:40" x14ac:dyDescent="0.2">
      <c r="A464" s="15">
        <v>4799</v>
      </c>
      <c r="B464" s="4" t="s">
        <v>6</v>
      </c>
      <c r="C464" s="36" t="s">
        <v>6</v>
      </c>
      <c r="D464" s="36" t="s">
        <v>6</v>
      </c>
      <c r="E464" s="36" t="s">
        <v>6</v>
      </c>
      <c r="F464" s="30" t="s">
        <v>6</v>
      </c>
      <c r="G464" s="36" t="s">
        <v>6</v>
      </c>
      <c r="H464" s="33" t="s">
        <v>6</v>
      </c>
      <c r="I464" s="33" t="s">
        <v>6</v>
      </c>
      <c r="J464" s="33" t="s">
        <v>6</v>
      </c>
      <c r="K464" s="33" t="s">
        <v>6</v>
      </c>
      <c r="L464" s="33" t="s">
        <v>6</v>
      </c>
      <c r="M464" s="33" t="s">
        <v>6</v>
      </c>
      <c r="N464" s="33" t="s">
        <v>6</v>
      </c>
      <c r="O464" s="33" t="s">
        <v>6</v>
      </c>
      <c r="P464" s="33" t="s">
        <v>6</v>
      </c>
      <c r="Q464" s="33" t="s">
        <v>6</v>
      </c>
      <c r="R464" s="33" t="s">
        <v>6</v>
      </c>
      <c r="S464" s="33" t="s">
        <v>6</v>
      </c>
      <c r="T464" s="33" t="s">
        <v>6</v>
      </c>
      <c r="U464" s="33" t="s">
        <v>6</v>
      </c>
      <c r="V464" s="4" t="s">
        <v>1</v>
      </c>
      <c r="W464" s="4">
        <v>1</v>
      </c>
      <c r="X464" s="4">
        <v>2</v>
      </c>
      <c r="Y464" s="4">
        <v>2</v>
      </c>
      <c r="Z464" s="5">
        <v>3</v>
      </c>
      <c r="AA464" s="4">
        <f t="shared" si="9"/>
        <v>3</v>
      </c>
      <c r="AB464" s="4" t="s">
        <v>6</v>
      </c>
      <c r="AC464" s="4" t="s">
        <v>6</v>
      </c>
      <c r="AD464" s="4" t="s">
        <v>6</v>
      </c>
      <c r="AE464" s="5" t="s">
        <v>6</v>
      </c>
      <c r="AF464" s="9">
        <f t="shared" si="10"/>
        <v>3</v>
      </c>
      <c r="AG464" s="5" t="s">
        <v>6</v>
      </c>
      <c r="AH464" s="9">
        <v>3</v>
      </c>
      <c r="AI464" s="4" t="s">
        <v>6</v>
      </c>
      <c r="AJ464" s="4" t="s">
        <v>6</v>
      </c>
      <c r="AK464" s="23" t="s">
        <v>6</v>
      </c>
      <c r="AL464" s="23" t="s">
        <v>6</v>
      </c>
      <c r="AM464" s="23" t="s">
        <v>6</v>
      </c>
      <c r="AN464" s="24" t="s">
        <v>6</v>
      </c>
    </row>
    <row r="465" spans="1:40" s="46" customFormat="1" ht="17" thickBot="1" x14ac:dyDescent="0.25">
      <c r="A465" s="42">
        <v>4828</v>
      </c>
      <c r="B465" s="40" t="s">
        <v>6</v>
      </c>
      <c r="C465" s="41" t="s">
        <v>6</v>
      </c>
      <c r="D465" s="41" t="s">
        <v>6</v>
      </c>
      <c r="E465" s="41" t="s">
        <v>6</v>
      </c>
      <c r="F465" s="49" t="s">
        <v>6</v>
      </c>
      <c r="G465" s="41" t="s">
        <v>6</v>
      </c>
      <c r="H465" s="43" t="s">
        <v>6</v>
      </c>
      <c r="I465" s="43" t="s">
        <v>6</v>
      </c>
      <c r="J465" s="43" t="s">
        <v>6</v>
      </c>
      <c r="K465" s="43" t="s">
        <v>6</v>
      </c>
      <c r="L465" s="43" t="s">
        <v>6</v>
      </c>
      <c r="M465" s="43" t="s">
        <v>6</v>
      </c>
      <c r="N465" s="43" t="s">
        <v>6</v>
      </c>
      <c r="O465" s="43" t="s">
        <v>6</v>
      </c>
      <c r="P465" s="43" t="s">
        <v>6</v>
      </c>
      <c r="Q465" s="43" t="s">
        <v>6</v>
      </c>
      <c r="R465" s="43" t="s">
        <v>6</v>
      </c>
      <c r="S465" s="43" t="s">
        <v>6</v>
      </c>
      <c r="T465" s="43" t="s">
        <v>6</v>
      </c>
      <c r="U465" s="43" t="s">
        <v>6</v>
      </c>
      <c r="V465" s="40" t="s">
        <v>1</v>
      </c>
      <c r="W465" s="40">
        <v>1</v>
      </c>
      <c r="X465" s="40">
        <v>2</v>
      </c>
      <c r="Y465" s="40">
        <v>2</v>
      </c>
      <c r="Z465" s="44">
        <v>3</v>
      </c>
      <c r="AA465" s="40">
        <f t="shared" si="9"/>
        <v>3</v>
      </c>
      <c r="AB465" s="40" t="s">
        <v>6</v>
      </c>
      <c r="AC465" s="40" t="s">
        <v>6</v>
      </c>
      <c r="AD465" s="40" t="s">
        <v>6</v>
      </c>
      <c r="AE465" s="44" t="s">
        <v>6</v>
      </c>
      <c r="AF465" s="45">
        <f t="shared" si="10"/>
        <v>3</v>
      </c>
      <c r="AG465" s="44" t="s">
        <v>6</v>
      </c>
      <c r="AH465" s="45">
        <v>3</v>
      </c>
      <c r="AI465" s="40" t="s">
        <v>6</v>
      </c>
      <c r="AJ465" s="40" t="s">
        <v>6</v>
      </c>
      <c r="AK465" s="47" t="s">
        <v>6</v>
      </c>
      <c r="AL465" s="47" t="s">
        <v>6</v>
      </c>
      <c r="AM465" s="47" t="s">
        <v>6</v>
      </c>
      <c r="AN465" s="48" t="s">
        <v>6</v>
      </c>
    </row>
    <row r="466" spans="1:40" x14ac:dyDescent="0.2"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</row>
    <row r="467" spans="1:40" x14ac:dyDescent="0.2"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</row>
    <row r="468" spans="1:40" x14ac:dyDescent="0.2"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</row>
    <row r="469" spans="1:40" x14ac:dyDescent="0.2"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</row>
    <row r="470" spans="1:40" x14ac:dyDescent="0.2"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</row>
    <row r="471" spans="1:40" x14ac:dyDescent="0.2"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</row>
    <row r="472" spans="1:40" x14ac:dyDescent="0.2"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</row>
    <row r="473" spans="1:40" x14ac:dyDescent="0.2"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</row>
    <row r="474" spans="1:40" x14ac:dyDescent="0.2"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</row>
    <row r="475" spans="1:40" x14ac:dyDescent="0.2"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</row>
    <row r="476" spans="1:40" x14ac:dyDescent="0.2"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</row>
    <row r="477" spans="1:40" x14ac:dyDescent="0.2"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</row>
    <row r="478" spans="1:40" x14ac:dyDescent="0.2"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</row>
    <row r="479" spans="1:40" x14ac:dyDescent="0.2"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</row>
    <row r="480" spans="1:40" x14ac:dyDescent="0.2"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</row>
    <row r="481" spans="3:19" x14ac:dyDescent="0.2"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</row>
    <row r="482" spans="3:19" x14ac:dyDescent="0.2"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</row>
    <row r="483" spans="3:19" x14ac:dyDescent="0.2"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</row>
    <row r="484" spans="3:19" x14ac:dyDescent="0.2"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</row>
    <row r="485" spans="3:19" x14ac:dyDescent="0.2"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</row>
    <row r="486" spans="3:19" x14ac:dyDescent="0.2"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</row>
    <row r="487" spans="3:19" x14ac:dyDescent="0.2"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</row>
    <row r="488" spans="3:19" x14ac:dyDescent="0.2"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</row>
    <row r="489" spans="3:19" x14ac:dyDescent="0.2"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</row>
    <row r="490" spans="3:19" x14ac:dyDescent="0.2"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</row>
    <row r="491" spans="3:19" x14ac:dyDescent="0.2"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</row>
    <row r="492" spans="3:19" x14ac:dyDescent="0.2"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</row>
    <row r="493" spans="3:19" x14ac:dyDescent="0.2"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</row>
    <row r="494" spans="3:19" x14ac:dyDescent="0.2"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</row>
    <row r="495" spans="3:19" x14ac:dyDescent="0.2"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</row>
    <row r="496" spans="3:19" x14ac:dyDescent="0.2"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</row>
    <row r="497" spans="3:19" x14ac:dyDescent="0.2"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</row>
    <row r="498" spans="3:19" x14ac:dyDescent="0.2"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</row>
    <row r="499" spans="3:19" x14ac:dyDescent="0.2"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</row>
    <row r="500" spans="3:19" x14ac:dyDescent="0.2"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</row>
    <row r="501" spans="3:19" x14ac:dyDescent="0.2"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</row>
    <row r="502" spans="3:19" x14ac:dyDescent="0.2"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</row>
    <row r="503" spans="3:19" x14ac:dyDescent="0.2"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</row>
    <row r="504" spans="3:19" x14ac:dyDescent="0.2"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</row>
    <row r="505" spans="3:19" x14ac:dyDescent="0.2"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</row>
    <row r="506" spans="3:19" x14ac:dyDescent="0.2"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</row>
    <row r="507" spans="3:19" x14ac:dyDescent="0.2"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</row>
    <row r="508" spans="3:19" x14ac:dyDescent="0.2"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</row>
    <row r="509" spans="3:19" x14ac:dyDescent="0.2"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</row>
    <row r="510" spans="3:19" x14ac:dyDescent="0.2"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</row>
    <row r="511" spans="3:19" x14ac:dyDescent="0.2"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</row>
    <row r="512" spans="3:19" x14ac:dyDescent="0.2"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</row>
    <row r="513" spans="3:19" x14ac:dyDescent="0.2"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</row>
    <row r="514" spans="3:19" x14ac:dyDescent="0.2"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</row>
    <row r="515" spans="3:19" x14ac:dyDescent="0.2"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</row>
    <row r="516" spans="3:19" x14ac:dyDescent="0.2"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</row>
    <row r="517" spans="3:19" x14ac:dyDescent="0.2"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</row>
    <row r="518" spans="3:19" x14ac:dyDescent="0.2"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</row>
    <row r="519" spans="3:19" x14ac:dyDescent="0.2"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</row>
    <row r="520" spans="3:19" x14ac:dyDescent="0.2"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</row>
    <row r="521" spans="3:19" x14ac:dyDescent="0.2"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</row>
    <row r="522" spans="3:19" x14ac:dyDescent="0.2"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</row>
    <row r="523" spans="3:19" x14ac:dyDescent="0.2"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</row>
    <row r="524" spans="3:19" x14ac:dyDescent="0.2"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</row>
    <row r="525" spans="3:19" x14ac:dyDescent="0.2"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</row>
    <row r="526" spans="3:19" x14ac:dyDescent="0.2"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</row>
    <row r="527" spans="3:19" x14ac:dyDescent="0.2"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</row>
    <row r="528" spans="3:19" x14ac:dyDescent="0.2"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</row>
    <row r="529" spans="3:19" x14ac:dyDescent="0.2"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</row>
    <row r="530" spans="3:19" x14ac:dyDescent="0.2"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</row>
    <row r="531" spans="3:19" x14ac:dyDescent="0.2"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</row>
    <row r="532" spans="3:19" x14ac:dyDescent="0.2"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</row>
    <row r="533" spans="3:19" x14ac:dyDescent="0.2"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</row>
    <row r="534" spans="3:19" x14ac:dyDescent="0.2"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</row>
    <row r="535" spans="3:19" x14ac:dyDescent="0.2"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</row>
    <row r="536" spans="3:19" x14ac:dyDescent="0.2"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</row>
    <row r="537" spans="3:19" x14ac:dyDescent="0.2"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</row>
    <row r="538" spans="3:19" x14ac:dyDescent="0.2"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</row>
    <row r="539" spans="3:19" x14ac:dyDescent="0.2"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</row>
    <row r="540" spans="3:19" x14ac:dyDescent="0.2"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</row>
    <row r="541" spans="3:19" x14ac:dyDescent="0.2"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</row>
    <row r="542" spans="3:19" x14ac:dyDescent="0.2"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</row>
    <row r="543" spans="3:19" x14ac:dyDescent="0.2"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</row>
    <row r="544" spans="3:19" x14ac:dyDescent="0.2"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</row>
    <row r="545" spans="3:19" x14ac:dyDescent="0.2"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</row>
    <row r="546" spans="3:19" x14ac:dyDescent="0.2"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</row>
    <row r="547" spans="3:19" x14ac:dyDescent="0.2"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</row>
    <row r="548" spans="3:19" x14ac:dyDescent="0.2"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</row>
    <row r="549" spans="3:19" x14ac:dyDescent="0.2"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</row>
    <row r="550" spans="3:19" x14ac:dyDescent="0.2"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</row>
    <row r="551" spans="3:19" x14ac:dyDescent="0.2"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</row>
    <row r="552" spans="3:19" x14ac:dyDescent="0.2"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</row>
    <row r="553" spans="3:19" x14ac:dyDescent="0.2"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</row>
    <row r="554" spans="3:19" x14ac:dyDescent="0.2"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</row>
    <row r="555" spans="3:19" x14ac:dyDescent="0.2"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</row>
    <row r="556" spans="3:19" x14ac:dyDescent="0.2"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</row>
    <row r="557" spans="3:19" x14ac:dyDescent="0.2"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</row>
    <row r="558" spans="3:19" x14ac:dyDescent="0.2"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</row>
    <row r="559" spans="3:19" x14ac:dyDescent="0.2"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</row>
    <row r="560" spans="3:19" x14ac:dyDescent="0.2"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</row>
    <row r="561" spans="3:19" x14ac:dyDescent="0.2"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</row>
    <row r="562" spans="3:19" x14ac:dyDescent="0.2"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</row>
    <row r="563" spans="3:19" x14ac:dyDescent="0.2"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</row>
    <row r="564" spans="3:19" x14ac:dyDescent="0.2"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</row>
    <row r="565" spans="3:19" x14ac:dyDescent="0.2"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</row>
    <row r="566" spans="3:19" x14ac:dyDescent="0.2"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</row>
    <row r="567" spans="3:19" x14ac:dyDescent="0.2"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</row>
    <row r="568" spans="3:19" x14ac:dyDescent="0.2"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</row>
    <row r="569" spans="3:19" x14ac:dyDescent="0.2"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</row>
    <row r="570" spans="3:19" x14ac:dyDescent="0.2"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</row>
    <row r="571" spans="3:19" x14ac:dyDescent="0.2"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</row>
    <row r="572" spans="3:19" x14ac:dyDescent="0.2"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</row>
    <row r="573" spans="3:19" x14ac:dyDescent="0.2"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</row>
    <row r="574" spans="3:19" x14ac:dyDescent="0.2"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</row>
    <row r="575" spans="3:19" x14ac:dyDescent="0.2"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</row>
    <row r="576" spans="3:19" x14ac:dyDescent="0.2"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</row>
    <row r="577" spans="3:19" x14ac:dyDescent="0.2"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</row>
    <row r="578" spans="3:19" x14ac:dyDescent="0.2"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</row>
    <row r="579" spans="3:19" x14ac:dyDescent="0.2"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</row>
    <row r="580" spans="3:19" x14ac:dyDescent="0.2"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</row>
    <row r="581" spans="3:19" x14ac:dyDescent="0.2"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</row>
    <row r="582" spans="3:19" x14ac:dyDescent="0.2"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</row>
    <row r="583" spans="3:19" x14ac:dyDescent="0.2"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</row>
    <row r="584" spans="3:19" x14ac:dyDescent="0.2"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</row>
    <row r="585" spans="3:19" x14ac:dyDescent="0.2"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</row>
    <row r="586" spans="3:19" x14ac:dyDescent="0.2"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</row>
    <row r="587" spans="3:19" x14ac:dyDescent="0.2"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</row>
    <row r="588" spans="3:19" x14ac:dyDescent="0.2"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</row>
    <row r="589" spans="3:19" x14ac:dyDescent="0.2"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</row>
    <row r="590" spans="3:19" x14ac:dyDescent="0.2"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</row>
    <row r="591" spans="3:19" x14ac:dyDescent="0.2"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</row>
    <row r="592" spans="3:19" x14ac:dyDescent="0.2"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</row>
    <row r="593" spans="3:19" x14ac:dyDescent="0.2"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</row>
    <row r="594" spans="3:19" x14ac:dyDescent="0.2"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</row>
    <row r="595" spans="3:19" x14ac:dyDescent="0.2"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</row>
    <row r="596" spans="3:19" x14ac:dyDescent="0.2"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</row>
    <row r="597" spans="3:19" x14ac:dyDescent="0.2"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</row>
    <row r="598" spans="3:19" x14ac:dyDescent="0.2"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</row>
    <row r="599" spans="3:19" x14ac:dyDescent="0.2"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</row>
    <row r="600" spans="3:19" x14ac:dyDescent="0.2"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</row>
    <row r="601" spans="3:19" x14ac:dyDescent="0.2"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</row>
    <row r="602" spans="3:19" x14ac:dyDescent="0.2"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</row>
    <row r="603" spans="3:19" x14ac:dyDescent="0.2"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</row>
    <row r="604" spans="3:19" x14ac:dyDescent="0.2"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</row>
    <row r="605" spans="3:19" x14ac:dyDescent="0.2"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</row>
    <row r="606" spans="3:19" x14ac:dyDescent="0.2"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</row>
    <row r="607" spans="3:19" x14ac:dyDescent="0.2"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</row>
    <row r="608" spans="3:19" x14ac:dyDescent="0.2"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</row>
    <row r="609" spans="3:19" x14ac:dyDescent="0.2"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</row>
    <row r="610" spans="3:19" x14ac:dyDescent="0.2"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</row>
    <row r="611" spans="3:19" x14ac:dyDescent="0.2"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</row>
    <row r="612" spans="3:19" x14ac:dyDescent="0.2"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</row>
    <row r="613" spans="3:19" x14ac:dyDescent="0.2"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</row>
    <row r="614" spans="3:19" x14ac:dyDescent="0.2"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</row>
    <row r="615" spans="3:19" x14ac:dyDescent="0.2"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</row>
    <row r="616" spans="3:19" x14ac:dyDescent="0.2"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</row>
    <row r="617" spans="3:19" x14ac:dyDescent="0.2"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</row>
    <row r="618" spans="3:19" x14ac:dyDescent="0.2"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</row>
    <row r="619" spans="3:19" x14ac:dyDescent="0.2"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</row>
    <row r="620" spans="3:19" x14ac:dyDescent="0.2"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</row>
    <row r="621" spans="3:19" x14ac:dyDescent="0.2"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</row>
    <row r="622" spans="3:19" x14ac:dyDescent="0.2"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</row>
    <row r="623" spans="3:19" x14ac:dyDescent="0.2"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</row>
    <row r="624" spans="3:19" x14ac:dyDescent="0.2"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</row>
    <row r="625" spans="3:19" x14ac:dyDescent="0.2"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</row>
    <row r="626" spans="3:19" x14ac:dyDescent="0.2"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</row>
    <row r="627" spans="3:19" x14ac:dyDescent="0.2"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</row>
    <row r="628" spans="3:19" x14ac:dyDescent="0.2"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</row>
    <row r="629" spans="3:19" x14ac:dyDescent="0.2"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</row>
    <row r="630" spans="3:19" x14ac:dyDescent="0.2"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</row>
    <row r="631" spans="3:19" x14ac:dyDescent="0.2"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</row>
    <row r="632" spans="3:19" x14ac:dyDescent="0.2"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</row>
    <row r="633" spans="3:19" x14ac:dyDescent="0.2"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</row>
    <row r="634" spans="3:19" x14ac:dyDescent="0.2"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</row>
    <row r="635" spans="3:19" x14ac:dyDescent="0.2"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</row>
    <row r="636" spans="3:19" x14ac:dyDescent="0.2"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</row>
    <row r="637" spans="3:19" x14ac:dyDescent="0.2"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</row>
    <row r="638" spans="3:19" x14ac:dyDescent="0.2"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</row>
    <row r="639" spans="3:19" x14ac:dyDescent="0.2"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</row>
    <row r="640" spans="3:19" x14ac:dyDescent="0.2"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</row>
    <row r="641" spans="3:19" x14ac:dyDescent="0.2"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</row>
    <row r="642" spans="3:19" x14ac:dyDescent="0.2"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</row>
    <row r="643" spans="3:19" x14ac:dyDescent="0.2"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</row>
    <row r="644" spans="3:19" x14ac:dyDescent="0.2"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</row>
    <row r="645" spans="3:19" x14ac:dyDescent="0.2"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</row>
    <row r="646" spans="3:19" x14ac:dyDescent="0.2"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</row>
    <row r="647" spans="3:19" x14ac:dyDescent="0.2"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</row>
    <row r="648" spans="3:19" x14ac:dyDescent="0.2"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</row>
    <row r="649" spans="3:19" x14ac:dyDescent="0.2"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</row>
    <row r="650" spans="3:19" x14ac:dyDescent="0.2"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</row>
    <row r="651" spans="3:19" x14ac:dyDescent="0.2"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</row>
    <row r="652" spans="3:19" x14ac:dyDescent="0.2"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</row>
    <row r="653" spans="3:19" x14ac:dyDescent="0.2"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</row>
    <row r="654" spans="3:19" x14ac:dyDescent="0.2"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</row>
    <row r="655" spans="3:19" x14ac:dyDescent="0.2"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</row>
    <row r="656" spans="3:19" x14ac:dyDescent="0.2"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</row>
    <row r="657" spans="3:19" x14ac:dyDescent="0.2"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</row>
    <row r="658" spans="3:19" x14ac:dyDescent="0.2"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</row>
    <row r="659" spans="3:19" x14ac:dyDescent="0.2"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</row>
    <row r="660" spans="3:19" x14ac:dyDescent="0.2"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</row>
    <row r="661" spans="3:19" x14ac:dyDescent="0.2"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</row>
    <row r="662" spans="3:19" x14ac:dyDescent="0.2"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</row>
    <row r="663" spans="3:19" x14ac:dyDescent="0.2"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</row>
    <row r="664" spans="3:19" x14ac:dyDescent="0.2"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</row>
    <row r="665" spans="3:19" x14ac:dyDescent="0.2"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</row>
    <row r="666" spans="3:19" x14ac:dyDescent="0.2"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</row>
    <row r="667" spans="3:19" x14ac:dyDescent="0.2"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</row>
    <row r="668" spans="3:19" x14ac:dyDescent="0.2"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</row>
    <row r="669" spans="3:19" x14ac:dyDescent="0.2"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</row>
    <row r="670" spans="3:19" x14ac:dyDescent="0.2"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</row>
    <row r="671" spans="3:19" x14ac:dyDescent="0.2"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</row>
    <row r="672" spans="3:19" x14ac:dyDescent="0.2"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</row>
    <row r="673" spans="3:19" x14ac:dyDescent="0.2"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</row>
    <row r="674" spans="3:19" x14ac:dyDescent="0.2"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</row>
    <row r="675" spans="3:19" x14ac:dyDescent="0.2"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</row>
    <row r="676" spans="3:19" x14ac:dyDescent="0.2"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</row>
    <row r="677" spans="3:19" x14ac:dyDescent="0.2"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</row>
    <row r="678" spans="3:19" x14ac:dyDescent="0.2"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</row>
    <row r="679" spans="3:19" x14ac:dyDescent="0.2"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</row>
    <row r="680" spans="3:19" x14ac:dyDescent="0.2"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</row>
    <row r="681" spans="3:19" x14ac:dyDescent="0.2"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</row>
    <row r="682" spans="3:19" x14ac:dyDescent="0.2"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</row>
    <row r="683" spans="3:19" x14ac:dyDescent="0.2"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</row>
    <row r="684" spans="3:19" x14ac:dyDescent="0.2"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</row>
    <row r="685" spans="3:19" x14ac:dyDescent="0.2"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</row>
    <row r="686" spans="3:19" x14ac:dyDescent="0.2"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</row>
    <row r="687" spans="3:19" x14ac:dyDescent="0.2"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</row>
    <row r="688" spans="3:19" x14ac:dyDescent="0.2"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</row>
    <row r="689" spans="3:19" x14ac:dyDescent="0.2"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</row>
    <row r="690" spans="3:19" x14ac:dyDescent="0.2"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</row>
    <row r="691" spans="3:19" x14ac:dyDescent="0.2"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</row>
    <row r="692" spans="3:19" x14ac:dyDescent="0.2"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</row>
    <row r="693" spans="3:19" x14ac:dyDescent="0.2"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</row>
    <row r="694" spans="3:19" x14ac:dyDescent="0.2"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</row>
    <row r="695" spans="3:19" x14ac:dyDescent="0.2"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</row>
    <row r="696" spans="3:19" x14ac:dyDescent="0.2"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</row>
    <row r="697" spans="3:19" x14ac:dyDescent="0.2"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</row>
    <row r="698" spans="3:19" x14ac:dyDescent="0.2"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</row>
    <row r="699" spans="3:19" x14ac:dyDescent="0.2"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</row>
    <row r="700" spans="3:19" x14ac:dyDescent="0.2"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</row>
    <row r="701" spans="3:19" x14ac:dyDescent="0.2"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</row>
    <row r="702" spans="3:19" x14ac:dyDescent="0.2"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</row>
    <row r="703" spans="3:19" x14ac:dyDescent="0.2"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</row>
    <row r="704" spans="3:19" x14ac:dyDescent="0.2"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</row>
    <row r="705" spans="3:19" x14ac:dyDescent="0.2"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</row>
    <row r="706" spans="3:19" x14ac:dyDescent="0.2"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</row>
    <row r="707" spans="3:19" x14ac:dyDescent="0.2"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</row>
    <row r="708" spans="3:19" x14ac:dyDescent="0.2"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</row>
    <row r="709" spans="3:19" x14ac:dyDescent="0.2"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</row>
    <row r="710" spans="3:19" x14ac:dyDescent="0.2"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</row>
    <row r="711" spans="3:19" x14ac:dyDescent="0.2"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</row>
    <row r="712" spans="3:19" x14ac:dyDescent="0.2"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</row>
    <row r="713" spans="3:19" x14ac:dyDescent="0.2"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</row>
    <row r="714" spans="3:19" x14ac:dyDescent="0.2"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</row>
    <row r="715" spans="3:19" x14ac:dyDescent="0.2"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</row>
    <row r="716" spans="3:19" x14ac:dyDescent="0.2"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</row>
    <row r="717" spans="3:19" x14ac:dyDescent="0.2"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</row>
    <row r="718" spans="3:19" x14ac:dyDescent="0.2"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</row>
    <row r="719" spans="3:19" x14ac:dyDescent="0.2"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</row>
    <row r="720" spans="3:19" x14ac:dyDescent="0.2"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</row>
    <row r="721" spans="3:19" x14ac:dyDescent="0.2"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</row>
    <row r="722" spans="3:19" x14ac:dyDescent="0.2"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</row>
    <row r="723" spans="3:19" x14ac:dyDescent="0.2"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</row>
    <row r="724" spans="3:19" x14ac:dyDescent="0.2"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</row>
    <row r="725" spans="3:19" x14ac:dyDescent="0.2"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</row>
    <row r="726" spans="3:19" x14ac:dyDescent="0.2"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</row>
    <row r="727" spans="3:19" x14ac:dyDescent="0.2"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</row>
    <row r="728" spans="3:19" x14ac:dyDescent="0.2"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</row>
    <row r="729" spans="3:19" x14ac:dyDescent="0.2"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</row>
    <row r="730" spans="3:19" x14ac:dyDescent="0.2"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</row>
    <row r="731" spans="3:19" x14ac:dyDescent="0.2"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</row>
    <row r="732" spans="3:19" x14ac:dyDescent="0.2"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</row>
    <row r="733" spans="3:19" x14ac:dyDescent="0.2"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</row>
    <row r="734" spans="3:19" x14ac:dyDescent="0.2"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</row>
    <row r="735" spans="3:19" x14ac:dyDescent="0.2"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</row>
    <row r="736" spans="3:19" x14ac:dyDescent="0.2"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</row>
    <row r="737" spans="3:19" x14ac:dyDescent="0.2"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</row>
    <row r="738" spans="3:19" x14ac:dyDescent="0.2"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</row>
    <row r="739" spans="3:19" x14ac:dyDescent="0.2"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</row>
    <row r="740" spans="3:19" x14ac:dyDescent="0.2"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</row>
    <row r="741" spans="3:19" x14ac:dyDescent="0.2"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</row>
    <row r="742" spans="3:19" x14ac:dyDescent="0.2"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</row>
    <row r="743" spans="3:19" x14ac:dyDescent="0.2"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</row>
    <row r="744" spans="3:19" x14ac:dyDescent="0.2"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</row>
    <row r="745" spans="3:19" x14ac:dyDescent="0.2"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</row>
    <row r="746" spans="3:19" x14ac:dyDescent="0.2"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</row>
    <row r="747" spans="3:19" x14ac:dyDescent="0.2"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</row>
    <row r="748" spans="3:19" x14ac:dyDescent="0.2"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</row>
    <row r="749" spans="3:19" x14ac:dyDescent="0.2"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</row>
    <row r="750" spans="3:19" x14ac:dyDescent="0.2"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</row>
    <row r="751" spans="3:19" x14ac:dyDescent="0.2"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</row>
    <row r="752" spans="3:19" x14ac:dyDescent="0.2"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</row>
    <row r="753" spans="3:19" x14ac:dyDescent="0.2"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</row>
    <row r="754" spans="3:19" x14ac:dyDescent="0.2"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</row>
    <row r="755" spans="3:19" x14ac:dyDescent="0.2"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</row>
    <row r="756" spans="3:19" x14ac:dyDescent="0.2"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</row>
    <row r="757" spans="3:19" x14ac:dyDescent="0.2"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</row>
    <row r="758" spans="3:19" x14ac:dyDescent="0.2"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</row>
    <row r="759" spans="3:19" x14ac:dyDescent="0.2"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</row>
    <row r="760" spans="3:19" x14ac:dyDescent="0.2"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</row>
    <row r="761" spans="3:19" x14ac:dyDescent="0.2"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</row>
    <row r="762" spans="3:19" x14ac:dyDescent="0.2"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</row>
    <row r="763" spans="3:19" x14ac:dyDescent="0.2"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</row>
    <row r="764" spans="3:19" x14ac:dyDescent="0.2"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</row>
    <row r="765" spans="3:19" x14ac:dyDescent="0.2"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</row>
    <row r="766" spans="3:19" x14ac:dyDescent="0.2"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</row>
    <row r="767" spans="3:19" x14ac:dyDescent="0.2"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</row>
    <row r="768" spans="3:19" x14ac:dyDescent="0.2"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</row>
    <row r="769" spans="3:19" x14ac:dyDescent="0.2"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</row>
    <row r="770" spans="3:19" x14ac:dyDescent="0.2"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</row>
    <row r="771" spans="3:19" x14ac:dyDescent="0.2"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</row>
    <row r="772" spans="3:19" x14ac:dyDescent="0.2"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</row>
    <row r="773" spans="3:19" x14ac:dyDescent="0.2"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</row>
    <row r="774" spans="3:19" x14ac:dyDescent="0.2"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</row>
    <row r="775" spans="3:19" x14ac:dyDescent="0.2"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</row>
    <row r="776" spans="3:19" x14ac:dyDescent="0.2"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</row>
    <row r="777" spans="3:19" x14ac:dyDescent="0.2"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</row>
    <row r="778" spans="3:19" x14ac:dyDescent="0.2"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</row>
    <row r="779" spans="3:19" x14ac:dyDescent="0.2"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</row>
    <row r="780" spans="3:19" x14ac:dyDescent="0.2"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</row>
    <row r="781" spans="3:19" x14ac:dyDescent="0.2"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</row>
    <row r="782" spans="3:19" x14ac:dyDescent="0.2"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</row>
    <row r="783" spans="3:19" x14ac:dyDescent="0.2"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</row>
    <row r="784" spans="3:19" x14ac:dyDescent="0.2"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</row>
    <row r="785" spans="3:19" x14ac:dyDescent="0.2"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</row>
    <row r="786" spans="3:19" x14ac:dyDescent="0.2"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</row>
    <row r="787" spans="3:19" x14ac:dyDescent="0.2"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</row>
    <row r="788" spans="3:19" x14ac:dyDescent="0.2"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</row>
    <row r="789" spans="3:19" x14ac:dyDescent="0.2"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</row>
    <row r="790" spans="3:19" x14ac:dyDescent="0.2"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</row>
    <row r="791" spans="3:19" x14ac:dyDescent="0.2"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</row>
    <row r="792" spans="3:19" x14ac:dyDescent="0.2"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</row>
    <row r="793" spans="3:19" x14ac:dyDescent="0.2"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</row>
    <row r="794" spans="3:19" x14ac:dyDescent="0.2"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</row>
    <row r="795" spans="3:19" x14ac:dyDescent="0.2"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</row>
    <row r="796" spans="3:19" x14ac:dyDescent="0.2"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</row>
    <row r="797" spans="3:19" x14ac:dyDescent="0.2"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</row>
    <row r="798" spans="3:19" x14ac:dyDescent="0.2"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</row>
    <row r="799" spans="3:19" x14ac:dyDescent="0.2"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</row>
    <row r="800" spans="3:19" x14ac:dyDescent="0.2"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</row>
    <row r="801" spans="3:19" x14ac:dyDescent="0.2"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</row>
    <row r="802" spans="3:19" x14ac:dyDescent="0.2"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</row>
    <row r="803" spans="3:19" x14ac:dyDescent="0.2"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</row>
    <row r="804" spans="3:19" x14ac:dyDescent="0.2"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</row>
    <row r="805" spans="3:19" x14ac:dyDescent="0.2"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</row>
    <row r="806" spans="3:19" x14ac:dyDescent="0.2"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</row>
    <row r="807" spans="3:19" x14ac:dyDescent="0.2"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</row>
    <row r="808" spans="3:19" x14ac:dyDescent="0.2"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</row>
    <row r="809" spans="3:19" x14ac:dyDescent="0.2"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</row>
    <row r="810" spans="3:19" x14ac:dyDescent="0.2"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</row>
    <row r="811" spans="3:19" x14ac:dyDescent="0.2"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</row>
    <row r="812" spans="3:19" x14ac:dyDescent="0.2"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</row>
    <row r="813" spans="3:19" x14ac:dyDescent="0.2"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</row>
    <row r="814" spans="3:19" x14ac:dyDescent="0.2"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</row>
    <row r="815" spans="3:19" x14ac:dyDescent="0.2"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</row>
    <row r="816" spans="3:19" x14ac:dyDescent="0.2"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</row>
    <row r="817" spans="3:19" x14ac:dyDescent="0.2"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</row>
    <row r="818" spans="3:19" x14ac:dyDescent="0.2"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</row>
    <row r="819" spans="3:19" x14ac:dyDescent="0.2"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</row>
    <row r="820" spans="3:19" x14ac:dyDescent="0.2"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</row>
    <row r="821" spans="3:19" x14ac:dyDescent="0.2"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</row>
    <row r="822" spans="3:19" x14ac:dyDescent="0.2"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</row>
    <row r="823" spans="3:19" x14ac:dyDescent="0.2"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</row>
    <row r="824" spans="3:19" x14ac:dyDescent="0.2"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</row>
    <row r="825" spans="3:19" x14ac:dyDescent="0.2"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</row>
    <row r="826" spans="3:19" x14ac:dyDescent="0.2"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</row>
    <row r="827" spans="3:19" x14ac:dyDescent="0.2"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</row>
    <row r="828" spans="3:19" x14ac:dyDescent="0.2"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</row>
    <row r="829" spans="3:19" x14ac:dyDescent="0.2"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</row>
    <row r="830" spans="3:19" x14ac:dyDescent="0.2"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</row>
    <row r="831" spans="3:19" x14ac:dyDescent="0.2"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</row>
    <row r="832" spans="3:19" x14ac:dyDescent="0.2"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</row>
    <row r="833" spans="3:19" x14ac:dyDescent="0.2"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</row>
    <row r="834" spans="3:19" x14ac:dyDescent="0.2"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</row>
    <row r="835" spans="3:19" x14ac:dyDescent="0.2"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</row>
    <row r="836" spans="3:19" x14ac:dyDescent="0.2"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</row>
    <row r="837" spans="3:19" x14ac:dyDescent="0.2"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</row>
    <row r="838" spans="3:19" x14ac:dyDescent="0.2"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</row>
    <row r="839" spans="3:19" x14ac:dyDescent="0.2"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</row>
    <row r="840" spans="3:19" x14ac:dyDescent="0.2"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</row>
    <row r="841" spans="3:19" x14ac:dyDescent="0.2"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</row>
    <row r="842" spans="3:19" x14ac:dyDescent="0.2"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</row>
    <row r="843" spans="3:19" x14ac:dyDescent="0.2"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</row>
    <row r="844" spans="3:19" x14ac:dyDescent="0.2"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</row>
    <row r="845" spans="3:19" x14ac:dyDescent="0.2"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</row>
    <row r="846" spans="3:19" x14ac:dyDescent="0.2"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</row>
    <row r="847" spans="3:19" x14ac:dyDescent="0.2"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</row>
    <row r="848" spans="3:19" x14ac:dyDescent="0.2"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</row>
    <row r="849" spans="3:19" x14ac:dyDescent="0.2"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</row>
    <row r="850" spans="3:19" x14ac:dyDescent="0.2"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</row>
    <row r="851" spans="3:19" x14ac:dyDescent="0.2"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</row>
    <row r="852" spans="3:19" x14ac:dyDescent="0.2"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</row>
    <row r="853" spans="3:19" x14ac:dyDescent="0.2"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</row>
    <row r="854" spans="3:19" x14ac:dyDescent="0.2"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</row>
    <row r="855" spans="3:19" x14ac:dyDescent="0.2"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</row>
    <row r="856" spans="3:19" x14ac:dyDescent="0.2"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</row>
    <row r="857" spans="3:19" x14ac:dyDescent="0.2"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</row>
    <row r="858" spans="3:19" x14ac:dyDescent="0.2"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</row>
    <row r="859" spans="3:19" x14ac:dyDescent="0.2"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</row>
    <row r="860" spans="3:19" x14ac:dyDescent="0.2"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</row>
    <row r="861" spans="3:19" x14ac:dyDescent="0.2"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</row>
    <row r="862" spans="3:19" x14ac:dyDescent="0.2"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</row>
    <row r="863" spans="3:19" x14ac:dyDescent="0.2"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</row>
    <row r="864" spans="3:19" x14ac:dyDescent="0.2"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</row>
    <row r="865" spans="6:19" x14ac:dyDescent="0.2"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</row>
    <row r="866" spans="6:19" x14ac:dyDescent="0.2"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</row>
    <row r="867" spans="6:19" x14ac:dyDescent="0.2"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</row>
    <row r="868" spans="6:19" x14ac:dyDescent="0.2"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</row>
    <row r="869" spans="6:19" x14ac:dyDescent="0.2"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</row>
    <row r="870" spans="6:19" x14ac:dyDescent="0.2"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</row>
    <row r="871" spans="6:19" x14ac:dyDescent="0.2"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</row>
    <row r="872" spans="6:19" x14ac:dyDescent="0.2"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</row>
    <row r="873" spans="6:19" x14ac:dyDescent="0.2"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</row>
    <row r="874" spans="6:19" x14ac:dyDescent="0.2"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</row>
    <row r="875" spans="6:19" x14ac:dyDescent="0.2"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</row>
    <row r="876" spans="6:19" x14ac:dyDescent="0.2"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</row>
    <row r="877" spans="6:19" x14ac:dyDescent="0.2"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</row>
    <row r="878" spans="6:19" x14ac:dyDescent="0.2"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</row>
    <row r="879" spans="6:19" x14ac:dyDescent="0.2"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</row>
    <row r="880" spans="6:19" x14ac:dyDescent="0.2"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</row>
    <row r="881" spans="6:19" x14ac:dyDescent="0.2"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</row>
    <row r="882" spans="6:19" x14ac:dyDescent="0.2"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</row>
    <row r="883" spans="6:19" x14ac:dyDescent="0.2"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</row>
    <row r="884" spans="6:19" x14ac:dyDescent="0.2"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</row>
    <row r="885" spans="6:19" x14ac:dyDescent="0.2"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</row>
    <row r="886" spans="6:19" x14ac:dyDescent="0.2"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</row>
    <row r="887" spans="6:19" x14ac:dyDescent="0.2"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</row>
    <row r="888" spans="6:19" x14ac:dyDescent="0.2"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</row>
    <row r="889" spans="6:19" x14ac:dyDescent="0.2"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</row>
    <row r="890" spans="6:19" x14ac:dyDescent="0.2"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</row>
    <row r="891" spans="6:19" x14ac:dyDescent="0.2"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</row>
    <row r="892" spans="6:19" x14ac:dyDescent="0.2"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</row>
    <row r="893" spans="6:19" x14ac:dyDescent="0.2"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</row>
    <row r="894" spans="6:19" x14ac:dyDescent="0.2"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</row>
    <row r="895" spans="6:19" x14ac:dyDescent="0.2"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</row>
    <row r="896" spans="6:19" x14ac:dyDescent="0.2"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</row>
    <row r="897" spans="6:19" x14ac:dyDescent="0.2"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</row>
    <row r="898" spans="6:19" x14ac:dyDescent="0.2"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</row>
    <row r="899" spans="6:19" x14ac:dyDescent="0.2"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</row>
    <row r="900" spans="6:19" x14ac:dyDescent="0.2"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</row>
    <row r="901" spans="6:19" x14ac:dyDescent="0.2"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</row>
    <row r="902" spans="6:19" x14ac:dyDescent="0.2"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</row>
    <row r="903" spans="6:19" x14ac:dyDescent="0.2"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</row>
    <row r="904" spans="6:19" x14ac:dyDescent="0.2"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</row>
    <row r="905" spans="6:19" x14ac:dyDescent="0.2"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</row>
    <row r="906" spans="6:19" x14ac:dyDescent="0.2"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</row>
    <row r="907" spans="6:19" x14ac:dyDescent="0.2"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</row>
    <row r="908" spans="6:19" x14ac:dyDescent="0.2"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</row>
    <row r="909" spans="6:19" x14ac:dyDescent="0.2"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</row>
    <row r="910" spans="6:19" x14ac:dyDescent="0.2"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</row>
    <row r="911" spans="6:19" x14ac:dyDescent="0.2"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</row>
    <row r="912" spans="6:19" x14ac:dyDescent="0.2"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</row>
    <row r="913" spans="6:19" x14ac:dyDescent="0.2"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</row>
    <row r="914" spans="6:19" x14ac:dyDescent="0.2"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</row>
    <row r="915" spans="6:19" x14ac:dyDescent="0.2"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</row>
    <row r="916" spans="6:19" x14ac:dyDescent="0.2"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</row>
    <row r="917" spans="6:19" x14ac:dyDescent="0.2"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</row>
    <row r="918" spans="6:19" x14ac:dyDescent="0.2"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</row>
    <row r="919" spans="6:19" x14ac:dyDescent="0.2"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</row>
    <row r="920" spans="6:19" x14ac:dyDescent="0.2"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</row>
    <row r="921" spans="6:19" x14ac:dyDescent="0.2"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</row>
    <row r="922" spans="6:19" x14ac:dyDescent="0.2"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</row>
    <row r="923" spans="6:19" x14ac:dyDescent="0.2"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</row>
    <row r="924" spans="6:19" x14ac:dyDescent="0.2"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</row>
    <row r="925" spans="6:19" x14ac:dyDescent="0.2"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</row>
    <row r="926" spans="6:19" x14ac:dyDescent="0.2"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</row>
    <row r="927" spans="6:19" x14ac:dyDescent="0.2"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</row>
    <row r="928" spans="6:19" x14ac:dyDescent="0.2"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</row>
    <row r="929" spans="6:19" x14ac:dyDescent="0.2"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</row>
    <row r="930" spans="6:19" x14ac:dyDescent="0.2"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</row>
    <row r="931" spans="6:19" x14ac:dyDescent="0.2"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</row>
    <row r="932" spans="6:19" x14ac:dyDescent="0.2"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</row>
    <row r="933" spans="6:19" x14ac:dyDescent="0.2"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</row>
    <row r="934" spans="6:19" x14ac:dyDescent="0.2"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</row>
    <row r="935" spans="6:19" x14ac:dyDescent="0.2"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</row>
    <row r="936" spans="6:19" x14ac:dyDescent="0.2"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</row>
    <row r="937" spans="6:19" x14ac:dyDescent="0.2"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</row>
    <row r="938" spans="6:19" x14ac:dyDescent="0.2"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</row>
    <row r="939" spans="6:19" x14ac:dyDescent="0.2"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</row>
    <row r="940" spans="6:19" x14ac:dyDescent="0.2"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</row>
    <row r="941" spans="6:19" x14ac:dyDescent="0.2"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</row>
    <row r="942" spans="6:19" x14ac:dyDescent="0.2"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</row>
    <row r="943" spans="6:19" x14ac:dyDescent="0.2"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</row>
    <row r="944" spans="6:19" x14ac:dyDescent="0.2"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</row>
    <row r="945" spans="6:19" x14ac:dyDescent="0.2"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</row>
    <row r="946" spans="6:19" x14ac:dyDescent="0.2"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</row>
    <row r="947" spans="6:19" x14ac:dyDescent="0.2"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</row>
    <row r="948" spans="6:19" x14ac:dyDescent="0.2"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</row>
    <row r="949" spans="6:19" x14ac:dyDescent="0.2"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</row>
    <row r="950" spans="6:19" x14ac:dyDescent="0.2"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</row>
    <row r="951" spans="6:19" x14ac:dyDescent="0.2"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</row>
    <row r="952" spans="6:19" x14ac:dyDescent="0.2"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</row>
    <row r="953" spans="6:19" x14ac:dyDescent="0.2"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</row>
    <row r="954" spans="6:19" x14ac:dyDescent="0.2"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</row>
    <row r="955" spans="6:19" x14ac:dyDescent="0.2"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</row>
    <row r="956" spans="6:19" x14ac:dyDescent="0.2"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</row>
    <row r="957" spans="6:19" x14ac:dyDescent="0.2"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</row>
    <row r="958" spans="6:19" x14ac:dyDescent="0.2"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</row>
    <row r="959" spans="6:19" x14ac:dyDescent="0.2"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</row>
    <row r="960" spans="6:19" x14ac:dyDescent="0.2"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</row>
    <row r="961" spans="6:19" x14ac:dyDescent="0.2"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</row>
    <row r="962" spans="6:19" x14ac:dyDescent="0.2"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</row>
    <row r="963" spans="6:19" x14ac:dyDescent="0.2"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</row>
    <row r="964" spans="6:19" x14ac:dyDescent="0.2"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</row>
    <row r="965" spans="6:19" x14ac:dyDescent="0.2"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</row>
    <row r="966" spans="6:19" x14ac:dyDescent="0.2"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</row>
    <row r="967" spans="6:19" x14ac:dyDescent="0.2"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</row>
    <row r="968" spans="6:19" x14ac:dyDescent="0.2"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</row>
    <row r="969" spans="6:19" x14ac:dyDescent="0.2"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</row>
    <row r="970" spans="6:19" x14ac:dyDescent="0.2"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</row>
    <row r="971" spans="6:19" x14ac:dyDescent="0.2"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</row>
    <row r="972" spans="6:19" x14ac:dyDescent="0.2"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</row>
    <row r="973" spans="6:19" x14ac:dyDescent="0.2"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</row>
    <row r="974" spans="6:19" x14ac:dyDescent="0.2"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</row>
    <row r="975" spans="6:19" x14ac:dyDescent="0.2"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</row>
    <row r="976" spans="6:19" x14ac:dyDescent="0.2"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</row>
    <row r="977" spans="6:19" x14ac:dyDescent="0.2"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</row>
    <row r="978" spans="6:19" x14ac:dyDescent="0.2"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</row>
    <row r="979" spans="6:19" x14ac:dyDescent="0.2"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</row>
    <row r="980" spans="6:19" x14ac:dyDescent="0.2"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</row>
    <row r="981" spans="6:19" x14ac:dyDescent="0.2"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</row>
    <row r="982" spans="6:19" x14ac:dyDescent="0.2"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</row>
    <row r="983" spans="6:19" x14ac:dyDescent="0.2"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</row>
    <row r="984" spans="6:19" x14ac:dyDescent="0.2"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</row>
    <row r="985" spans="6:19" x14ac:dyDescent="0.2"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</row>
    <row r="986" spans="6:19" x14ac:dyDescent="0.2"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</row>
    <row r="987" spans="6:19" x14ac:dyDescent="0.2"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</row>
    <row r="988" spans="6:19" x14ac:dyDescent="0.2"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</row>
    <row r="989" spans="6:19" x14ac:dyDescent="0.2"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</row>
    <row r="990" spans="6:19" x14ac:dyDescent="0.2"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</row>
    <row r="991" spans="6:19" x14ac:dyDescent="0.2">
      <c r="F991" s="36"/>
    </row>
  </sheetData>
  <sortState xmlns:xlrd2="http://schemas.microsoft.com/office/spreadsheetml/2017/richdata2" ref="A2:AN465">
    <sortCondition ref="Y2:Y465"/>
  </sortState>
  <pageMargins left="0.7" right="0.7" top="0.75" bottom="0.75" header="0.3" footer="0.3"/>
  <pageSetup scale="10" orientation="landscape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145A9-0CE6-F841-A056-926893AC37AF}">
  <sheetPr>
    <pageSetUpPr fitToPage="1"/>
  </sheetPr>
  <dimension ref="A1:AN993"/>
  <sheetViews>
    <sheetView tabSelected="1" topLeftCell="U1" zoomScaleNormal="100" workbookViewId="0">
      <pane ySplit="1" topLeftCell="A2" activePane="bottomLeft" state="frozen"/>
      <selection pane="bottomLeft" activeCell="AA1" sqref="AA1"/>
    </sheetView>
  </sheetViews>
  <sheetFormatPr baseColWidth="10" defaultRowHeight="16" x14ac:dyDescent="0.2"/>
  <cols>
    <col min="3" max="3" width="11" style="4"/>
    <col min="4" max="4" width="11.5" style="4" customWidth="1"/>
    <col min="5" max="5" width="12.1640625" style="4" customWidth="1"/>
    <col min="6" max="6" width="15.6640625" style="37" bestFit="1" customWidth="1"/>
    <col min="7" max="7" width="12.83203125" style="4" customWidth="1"/>
    <col min="8" max="10" width="15" style="4" bestFit="1" customWidth="1"/>
    <col min="11" max="13" width="21.1640625" style="4" bestFit="1" customWidth="1"/>
    <col min="14" max="16" width="15.33203125" style="4" bestFit="1" customWidth="1"/>
    <col min="17" max="19" width="19.1640625" style="4" bestFit="1" customWidth="1"/>
    <col min="20" max="20" width="11" style="4"/>
    <col min="21" max="21" width="14.1640625" style="4" bestFit="1" customWidth="1"/>
    <col min="22" max="22" width="17.6640625" style="4" bestFit="1" customWidth="1"/>
    <col min="23" max="23" width="16.6640625" style="4" bestFit="1" customWidth="1"/>
    <col min="24" max="27" width="10.83203125" style="4"/>
    <col min="28" max="30" width="11.83203125" style="4" bestFit="1" customWidth="1"/>
    <col min="31" max="31" width="14.33203125" style="4" bestFit="1" customWidth="1"/>
    <col min="32" max="32" width="10.83203125" style="4" customWidth="1"/>
    <col min="33" max="33" width="13" style="4" bestFit="1" customWidth="1"/>
    <col min="34" max="34" width="10.83203125" style="4"/>
    <col min="35" max="35" width="14.33203125" style="4" bestFit="1" customWidth="1"/>
    <col min="36" max="36" width="15.5" style="4" bestFit="1" customWidth="1"/>
    <col min="37" max="37" width="13" style="4" bestFit="1" customWidth="1"/>
    <col min="38" max="38" width="13.83203125" style="4" bestFit="1" customWidth="1"/>
    <col min="39" max="39" width="17.5" style="4" bestFit="1" customWidth="1"/>
    <col min="40" max="40" width="14.6640625" style="4" bestFit="1" customWidth="1"/>
    <col min="41" max="16384" width="10.83203125" style="13"/>
  </cols>
  <sheetData>
    <row r="1" spans="1:40" ht="17" thickBot="1" x14ac:dyDescent="0.25">
      <c r="A1" s="6" t="s">
        <v>5</v>
      </c>
      <c r="B1" s="31" t="s">
        <v>45</v>
      </c>
      <c r="C1" s="28" t="s">
        <v>25</v>
      </c>
      <c r="D1" s="28" t="s">
        <v>26</v>
      </c>
      <c r="E1" s="28" t="s">
        <v>44</v>
      </c>
      <c r="F1" s="53" t="s">
        <v>28</v>
      </c>
      <c r="G1" s="53" t="s">
        <v>29</v>
      </c>
      <c r="H1" s="31" t="s">
        <v>30</v>
      </c>
      <c r="I1" s="31" t="s">
        <v>31</v>
      </c>
      <c r="J1" s="31" t="s">
        <v>32</v>
      </c>
      <c r="K1" s="31" t="s">
        <v>33</v>
      </c>
      <c r="L1" s="31" t="s">
        <v>34</v>
      </c>
      <c r="M1" s="31" t="s">
        <v>35</v>
      </c>
      <c r="N1" s="31" t="s">
        <v>36</v>
      </c>
      <c r="O1" s="31" t="s">
        <v>37</v>
      </c>
      <c r="P1" s="31" t="s">
        <v>38</v>
      </c>
      <c r="Q1" s="31" t="s">
        <v>39</v>
      </c>
      <c r="R1" s="31" t="s">
        <v>40</v>
      </c>
      <c r="S1" s="31" t="s">
        <v>41</v>
      </c>
      <c r="T1" s="31" t="s">
        <v>42</v>
      </c>
      <c r="U1" s="31" t="s">
        <v>43</v>
      </c>
      <c r="V1" s="1" t="s">
        <v>2</v>
      </c>
      <c r="W1" s="1" t="s">
        <v>3</v>
      </c>
      <c r="X1" s="1" t="s">
        <v>0</v>
      </c>
      <c r="Y1" s="1" t="s">
        <v>8</v>
      </c>
      <c r="Z1" s="3" t="s">
        <v>4</v>
      </c>
      <c r="AA1" s="6" t="s">
        <v>9</v>
      </c>
      <c r="AB1" s="1" t="s">
        <v>12</v>
      </c>
      <c r="AC1" s="1" t="s">
        <v>13</v>
      </c>
      <c r="AD1" s="2" t="s">
        <v>14</v>
      </c>
      <c r="AE1" s="7" t="s">
        <v>15</v>
      </c>
      <c r="AF1" s="6" t="s">
        <v>10</v>
      </c>
      <c r="AG1" s="3" t="s">
        <v>16</v>
      </c>
      <c r="AH1" s="6" t="s">
        <v>11</v>
      </c>
      <c r="AI1" s="1" t="s">
        <v>17</v>
      </c>
      <c r="AJ1" s="1" t="s">
        <v>18</v>
      </c>
      <c r="AK1" s="1" t="s">
        <v>19</v>
      </c>
      <c r="AL1" s="1" t="s">
        <v>20</v>
      </c>
      <c r="AM1" s="2" t="s">
        <v>21</v>
      </c>
      <c r="AN1" s="3" t="s">
        <v>22</v>
      </c>
    </row>
    <row r="2" spans="1:40" x14ac:dyDescent="0.2">
      <c r="A2" s="32">
        <v>12</v>
      </c>
      <c r="B2" s="4" t="s">
        <v>58</v>
      </c>
      <c r="C2" s="30" t="s">
        <v>23</v>
      </c>
      <c r="D2" s="30">
        <v>5</v>
      </c>
      <c r="E2" s="30">
        <v>0</v>
      </c>
      <c r="F2" s="54" t="s">
        <v>6</v>
      </c>
      <c r="G2" s="30">
        <v>30</v>
      </c>
      <c r="H2" s="33">
        <v>4.3750855578370977</v>
      </c>
      <c r="I2" s="33">
        <v>6.2724161533196439</v>
      </c>
      <c r="J2" s="33">
        <v>10.647501711156742</v>
      </c>
      <c r="K2" s="33">
        <v>4.4134154688569476</v>
      </c>
      <c r="L2" s="33">
        <v>6.2340862422997949</v>
      </c>
      <c r="M2" s="33">
        <v>10.647501711156742</v>
      </c>
      <c r="N2" s="33">
        <v>4.3203285420944555</v>
      </c>
      <c r="O2" s="33">
        <v>6.2669404517453797</v>
      </c>
      <c r="P2" s="33">
        <v>10.587268993839835</v>
      </c>
      <c r="Q2" s="33" t="s">
        <v>7</v>
      </c>
      <c r="R2" s="33" t="s">
        <v>7</v>
      </c>
      <c r="S2" s="33" t="s">
        <v>7</v>
      </c>
      <c r="T2" s="4" t="s">
        <v>7</v>
      </c>
      <c r="U2" s="4" t="s">
        <v>7</v>
      </c>
      <c r="V2" s="10" t="s">
        <v>1</v>
      </c>
      <c r="W2" s="10">
        <v>1</v>
      </c>
      <c r="X2" s="10">
        <v>3</v>
      </c>
      <c r="Y2" s="10">
        <v>1</v>
      </c>
      <c r="Z2" s="10">
        <v>3</v>
      </c>
      <c r="AA2" s="9" cm="1">
        <f t="array" ref="AA2">IF(OR(AB2:AE2=""),"BLANK",IF(AND(AB2:AE2&lt;999),1,IF(AND(AB2:AE2="NA"),3,2)))</f>
        <v>1</v>
      </c>
      <c r="AB2" s="10">
        <v>37</v>
      </c>
      <c r="AC2" s="10">
        <v>21</v>
      </c>
      <c r="AD2" s="10">
        <v>13</v>
      </c>
      <c r="AE2" s="11">
        <v>71</v>
      </c>
      <c r="AF2" s="8">
        <f t="shared" ref="AF2:AF65" si="0">IF(OR(AG2="NA", AG2="xx"), 3,1)</f>
        <v>1</v>
      </c>
      <c r="AG2" s="11">
        <v>49</v>
      </c>
      <c r="AH2" s="9" cm="1">
        <f t="array" ref="AH2">IF(OR(AI2:AN2=""),"BLANK",IF(AND(AI2:AN2&lt;999),1,IF(AND(AI2:AN2="NA"),3,2)))</f>
        <v>1</v>
      </c>
      <c r="AI2" s="37">
        <v>42</v>
      </c>
      <c r="AJ2" s="37">
        <v>53</v>
      </c>
      <c r="AK2" s="37">
        <v>97</v>
      </c>
      <c r="AL2" s="37">
        <v>104</v>
      </c>
      <c r="AM2" s="37">
        <v>62</v>
      </c>
      <c r="AN2" s="38">
        <v>54</v>
      </c>
    </row>
    <row r="3" spans="1:40" x14ac:dyDescent="0.2">
      <c r="A3" s="16">
        <v>49</v>
      </c>
      <c r="B3" s="4" t="s">
        <v>52</v>
      </c>
      <c r="C3" s="30" t="s">
        <v>23</v>
      </c>
      <c r="D3" s="30">
        <v>5</v>
      </c>
      <c r="E3" s="30">
        <v>0</v>
      </c>
      <c r="F3" s="54" t="s">
        <v>6</v>
      </c>
      <c r="G3" s="30">
        <v>30</v>
      </c>
      <c r="H3" s="33">
        <v>4.5667351129363452</v>
      </c>
      <c r="I3" s="33">
        <v>5.6153319644079396</v>
      </c>
      <c r="J3" s="33">
        <v>10.182067077344286</v>
      </c>
      <c r="K3" s="33">
        <v>4.8651608487337441</v>
      </c>
      <c r="L3" s="33">
        <v>5.3086926762491444</v>
      </c>
      <c r="M3" s="33">
        <v>10.173853524982889</v>
      </c>
      <c r="N3" s="33">
        <v>4.1779603011635862</v>
      </c>
      <c r="O3" s="33" t="s">
        <v>7</v>
      </c>
      <c r="P3" s="33" t="s">
        <v>7</v>
      </c>
      <c r="Q3" s="33" t="s">
        <v>7</v>
      </c>
      <c r="R3" s="33" t="s">
        <v>7</v>
      </c>
      <c r="S3" s="33" t="s">
        <v>7</v>
      </c>
      <c r="T3" s="4">
        <v>3</v>
      </c>
      <c r="U3" s="4">
        <v>14</v>
      </c>
      <c r="V3" s="4" t="s">
        <v>1</v>
      </c>
      <c r="W3" s="4">
        <v>1</v>
      </c>
      <c r="X3" s="4">
        <v>3</v>
      </c>
      <c r="Y3" s="4">
        <v>1</v>
      </c>
      <c r="Z3" s="56">
        <v>3</v>
      </c>
      <c r="AA3" s="9" cm="1">
        <f t="array" ref="AA3">IF(OR(AB3:AE3=""),"BLANK",IF(AND(AB3:AE3&lt;999),1,IF(AND(AB3:AE3="NA"),3,2)))</f>
        <v>1</v>
      </c>
      <c r="AB3" s="4">
        <v>21</v>
      </c>
      <c r="AC3" s="4">
        <v>16</v>
      </c>
      <c r="AD3" s="4">
        <v>9</v>
      </c>
      <c r="AE3" s="5">
        <v>46</v>
      </c>
      <c r="AF3" s="9">
        <f t="shared" si="0"/>
        <v>1</v>
      </c>
      <c r="AG3" s="5">
        <v>39</v>
      </c>
      <c r="AH3" s="9" cm="1">
        <f t="array" ref="AH3">IF(OR(AI3:AN3=""),"BLANK",IF(AND(AI3:AN3&lt;999),1,IF(AND(AI3:AN3="NA"),3,2)))</f>
        <v>1</v>
      </c>
      <c r="AI3" s="37">
        <v>40</v>
      </c>
      <c r="AJ3" s="37">
        <v>49</v>
      </c>
      <c r="AK3" s="37">
        <v>92</v>
      </c>
      <c r="AL3" s="37">
        <v>106</v>
      </c>
      <c r="AM3" s="37">
        <v>66</v>
      </c>
      <c r="AN3" s="38">
        <v>53</v>
      </c>
    </row>
    <row r="4" spans="1:40" x14ac:dyDescent="0.2">
      <c r="A4" s="16">
        <v>92</v>
      </c>
      <c r="B4" s="4" t="s">
        <v>59</v>
      </c>
      <c r="C4" s="30" t="s">
        <v>24</v>
      </c>
      <c r="D4" s="30">
        <v>5</v>
      </c>
      <c r="E4" s="30">
        <v>0</v>
      </c>
      <c r="F4" s="54" t="s">
        <v>6</v>
      </c>
      <c r="G4" s="30">
        <v>30</v>
      </c>
      <c r="H4" s="33">
        <v>4.3531827515400412</v>
      </c>
      <c r="I4" s="33">
        <v>5.7850787132101305</v>
      </c>
      <c r="J4" s="33">
        <v>10.138261464750171</v>
      </c>
      <c r="K4" s="33">
        <v>4.3778234086242298</v>
      </c>
      <c r="L4" s="33">
        <v>5.7549623545516768</v>
      </c>
      <c r="M4" s="33">
        <v>10.132785763175907</v>
      </c>
      <c r="N4" s="33">
        <v>4.3367556468172488</v>
      </c>
      <c r="O4" s="33">
        <v>5.4866529774127306</v>
      </c>
      <c r="P4" s="33">
        <v>9.8234086242299803</v>
      </c>
      <c r="Q4" s="33" t="s">
        <v>7</v>
      </c>
      <c r="R4" s="33" t="s">
        <v>7</v>
      </c>
      <c r="S4" s="33" t="s">
        <v>7</v>
      </c>
      <c r="T4" s="4" t="s">
        <v>7</v>
      </c>
      <c r="U4" s="4" t="s">
        <v>7</v>
      </c>
      <c r="V4" s="4" t="s">
        <v>1</v>
      </c>
      <c r="W4" s="4">
        <v>1</v>
      </c>
      <c r="X4" s="4">
        <v>3</v>
      </c>
      <c r="Y4" s="4">
        <v>1</v>
      </c>
      <c r="Z4" s="56">
        <v>3</v>
      </c>
      <c r="AA4" s="9" cm="1">
        <f t="array" ref="AA4">IF(OR(AB4:AE4=""),"BLANK",IF(AND(AB4:AE4&lt;999),1,IF(AND(AB4:AE4="NA"),3,2)))</f>
        <v>1</v>
      </c>
      <c r="AB4" s="4">
        <v>36</v>
      </c>
      <c r="AC4" s="4">
        <v>22</v>
      </c>
      <c r="AD4" s="4">
        <v>16</v>
      </c>
      <c r="AE4" s="5">
        <v>74</v>
      </c>
      <c r="AF4" s="9">
        <f t="shared" si="0"/>
        <v>1</v>
      </c>
      <c r="AG4" s="5">
        <v>77</v>
      </c>
      <c r="AH4" s="9" cm="1">
        <f t="array" ref="AH4">IF(OR(AI4:AN4=""),"BLANK",IF(AND(AI4:AN4&lt;999),1,IF(AND(AI4:AN4="NA"),3,2)))</f>
        <v>1</v>
      </c>
      <c r="AI4" s="37">
        <v>60</v>
      </c>
      <c r="AJ4" s="37">
        <v>82</v>
      </c>
      <c r="AK4" s="37">
        <v>134</v>
      </c>
      <c r="AL4" s="37">
        <v>146</v>
      </c>
      <c r="AM4" s="37">
        <v>99</v>
      </c>
      <c r="AN4" s="38">
        <v>81</v>
      </c>
    </row>
    <row r="5" spans="1:40" x14ac:dyDescent="0.2">
      <c r="A5" s="16">
        <v>103</v>
      </c>
      <c r="B5" s="4" t="s">
        <v>50</v>
      </c>
      <c r="C5" s="30" t="s">
        <v>23</v>
      </c>
      <c r="D5" s="30">
        <v>5</v>
      </c>
      <c r="E5" s="30">
        <v>0</v>
      </c>
      <c r="F5" s="54" t="s">
        <v>6</v>
      </c>
      <c r="G5" s="30">
        <v>30</v>
      </c>
      <c r="H5" s="33">
        <v>4.3942505133470222</v>
      </c>
      <c r="I5" s="33">
        <v>5.8617385352498292</v>
      </c>
      <c r="J5" s="33">
        <v>10.255989048596852</v>
      </c>
      <c r="K5" s="33">
        <v>4.4079397672826834</v>
      </c>
      <c r="L5" s="33">
        <v>5.848049281314168</v>
      </c>
      <c r="M5" s="33">
        <v>10.255989048596852</v>
      </c>
      <c r="N5" s="33">
        <v>4.2381930184804926</v>
      </c>
      <c r="O5" s="33">
        <v>5.5989048596851472</v>
      </c>
      <c r="P5" s="33">
        <v>9.8370978781656397</v>
      </c>
      <c r="Q5" s="33" t="s">
        <v>7</v>
      </c>
      <c r="R5" s="33" t="s">
        <v>7</v>
      </c>
      <c r="S5" s="33" t="s">
        <v>7</v>
      </c>
      <c r="T5" s="4">
        <v>6</v>
      </c>
      <c r="U5" s="4">
        <v>18</v>
      </c>
      <c r="V5" s="4" t="s">
        <v>1</v>
      </c>
      <c r="W5" s="4">
        <v>1</v>
      </c>
      <c r="X5" s="4">
        <v>3</v>
      </c>
      <c r="Y5" s="4">
        <v>1</v>
      </c>
      <c r="Z5" s="56">
        <v>3</v>
      </c>
      <c r="AA5" s="9" cm="1">
        <f t="array" ref="AA5">IF(OR(AB5:AE5=""),"BLANK",IF(AND(AB5:AE5&lt;999),1,IF(AND(AB5:AE5="NA"),3,2)))</f>
        <v>1</v>
      </c>
      <c r="AB5" s="4">
        <v>38</v>
      </c>
      <c r="AC5" s="4">
        <v>19</v>
      </c>
      <c r="AD5" s="4">
        <v>12</v>
      </c>
      <c r="AE5" s="5">
        <v>69</v>
      </c>
      <c r="AF5" s="9">
        <f t="shared" si="0"/>
        <v>1</v>
      </c>
      <c r="AG5" s="5">
        <v>59</v>
      </c>
      <c r="AH5" s="9" cm="1">
        <f t="array" ref="AH5">IF(OR(AI5:AN5=""),"BLANK",IF(AND(AI5:AN5&lt;999),1,IF(AND(AI5:AN5="NA"),3,2)))</f>
        <v>1</v>
      </c>
      <c r="AI5" s="37">
        <v>45</v>
      </c>
      <c r="AJ5" s="37">
        <v>58</v>
      </c>
      <c r="AK5" s="37">
        <v>103</v>
      </c>
      <c r="AL5" s="37">
        <v>108</v>
      </c>
      <c r="AM5" s="37">
        <v>69</v>
      </c>
      <c r="AN5" s="38">
        <v>54</v>
      </c>
    </row>
    <row r="6" spans="1:40" x14ac:dyDescent="0.2">
      <c r="A6" s="16">
        <v>138</v>
      </c>
      <c r="B6" s="4" t="s">
        <v>49</v>
      </c>
      <c r="C6" s="30" t="s">
        <v>23</v>
      </c>
      <c r="D6" s="30">
        <v>6</v>
      </c>
      <c r="E6" s="30">
        <v>1</v>
      </c>
      <c r="F6" s="54" t="s">
        <v>6</v>
      </c>
      <c r="G6" s="30">
        <v>30</v>
      </c>
      <c r="H6" s="33">
        <v>4.2080766598220398</v>
      </c>
      <c r="I6" s="33">
        <v>6.1546885694729641</v>
      </c>
      <c r="J6" s="33">
        <v>10.362765229295004</v>
      </c>
      <c r="K6" s="33">
        <v>4.2710472279260783</v>
      </c>
      <c r="L6" s="33">
        <v>6.0725530458590002</v>
      </c>
      <c r="M6" s="33">
        <v>10.343600273785079</v>
      </c>
      <c r="N6" s="33">
        <v>4.128678986995209</v>
      </c>
      <c r="O6" s="33">
        <v>5.8370978781656397</v>
      </c>
      <c r="P6" s="33">
        <v>9.9657768651608496</v>
      </c>
      <c r="Q6" s="33" t="s">
        <v>7</v>
      </c>
      <c r="R6" s="33" t="s">
        <v>7</v>
      </c>
      <c r="S6" s="33" t="s">
        <v>7</v>
      </c>
      <c r="T6" s="4">
        <v>7</v>
      </c>
      <c r="U6" s="4">
        <v>21</v>
      </c>
      <c r="V6" s="4" t="s">
        <v>1</v>
      </c>
      <c r="W6" s="4">
        <v>1</v>
      </c>
      <c r="X6" s="4">
        <v>3</v>
      </c>
      <c r="Y6" s="4">
        <v>1</v>
      </c>
      <c r="Z6" s="56">
        <v>3</v>
      </c>
      <c r="AA6" s="9" cm="1">
        <f t="array" ref="AA6">IF(OR(AB6:AE6=""),"BLANK",IF(AND(AB6:AE6&lt;999),1,IF(AND(AB6:AE6="NA"),3,2)))</f>
        <v>1</v>
      </c>
      <c r="AB6" s="4">
        <v>37</v>
      </c>
      <c r="AC6" s="4">
        <v>20</v>
      </c>
      <c r="AD6" s="4">
        <v>12</v>
      </c>
      <c r="AE6" s="5">
        <v>69</v>
      </c>
      <c r="AF6" s="9">
        <f t="shared" si="0"/>
        <v>1</v>
      </c>
      <c r="AG6" s="5">
        <v>65</v>
      </c>
      <c r="AH6" s="9" cm="1">
        <f t="array" ref="AH6">IF(OR(AI6:AN6=""),"BLANK",IF(AND(AI6:AN6&lt;999),1,IF(AND(AI6:AN6="NA"),3,2)))</f>
        <v>1</v>
      </c>
      <c r="AI6" s="37">
        <v>53</v>
      </c>
      <c r="AJ6" s="37">
        <v>71</v>
      </c>
      <c r="AK6" s="37">
        <v>120</v>
      </c>
      <c r="AL6" s="37">
        <v>119</v>
      </c>
      <c r="AM6" s="37">
        <v>90</v>
      </c>
      <c r="AN6" s="38">
        <v>60</v>
      </c>
    </row>
    <row r="7" spans="1:40" x14ac:dyDescent="0.2">
      <c r="A7" s="16">
        <v>139</v>
      </c>
      <c r="B7" s="4" t="s">
        <v>63</v>
      </c>
      <c r="C7" s="30" t="s">
        <v>23</v>
      </c>
      <c r="D7" s="30">
        <v>5</v>
      </c>
      <c r="E7" s="30">
        <v>0</v>
      </c>
      <c r="F7" s="54" t="s">
        <v>6</v>
      </c>
      <c r="G7" s="30">
        <v>30</v>
      </c>
      <c r="H7" s="33">
        <v>4.5092402464065708</v>
      </c>
      <c r="I7" s="33">
        <v>5.6673511293634498</v>
      </c>
      <c r="J7" s="33">
        <v>10.17659137577002</v>
      </c>
      <c r="K7" s="33">
        <v>4.7392197125256672</v>
      </c>
      <c r="L7" s="33">
        <v>5.5605749486652973</v>
      </c>
      <c r="M7" s="33">
        <v>10.299794661190965</v>
      </c>
      <c r="N7" s="33">
        <v>4.3175906913073234</v>
      </c>
      <c r="O7" s="33">
        <v>5.6673511293634498</v>
      </c>
      <c r="P7" s="33">
        <v>9.9849418206707732</v>
      </c>
      <c r="Q7" s="33" t="s">
        <v>7</v>
      </c>
      <c r="R7" s="33" t="s">
        <v>7</v>
      </c>
      <c r="S7" s="33" t="s">
        <v>7</v>
      </c>
      <c r="T7" s="4" t="s">
        <v>7</v>
      </c>
      <c r="U7" s="4" t="s">
        <v>7</v>
      </c>
      <c r="V7" s="4" t="s">
        <v>1</v>
      </c>
      <c r="W7" s="4">
        <v>1</v>
      </c>
      <c r="X7" s="4">
        <v>3</v>
      </c>
      <c r="Y7" s="4">
        <v>1</v>
      </c>
      <c r="Z7" s="56">
        <v>3</v>
      </c>
      <c r="AA7" s="9" cm="1">
        <f t="array" ref="AA7">IF(OR(AB7:AE7=""),"BLANK",IF(AND(AB7:AE7&lt;999),1,IF(AND(AB7:AE7="NA"),3,2)))</f>
        <v>1</v>
      </c>
      <c r="AB7" s="4">
        <v>31</v>
      </c>
      <c r="AC7" s="4">
        <v>17</v>
      </c>
      <c r="AD7" s="4">
        <v>13</v>
      </c>
      <c r="AE7" s="5">
        <v>61</v>
      </c>
      <c r="AF7" s="9">
        <f t="shared" si="0"/>
        <v>1</v>
      </c>
      <c r="AG7" s="5">
        <v>57</v>
      </c>
      <c r="AH7" s="9" cm="1">
        <f t="array" ref="AH7">IF(OR(AI7:AN7=""),"BLANK",IF(AND(AI7:AN7&lt;999),1,IF(AND(AI7:AN7="NA"),3,2)))</f>
        <v>1</v>
      </c>
      <c r="AI7" s="37">
        <v>47</v>
      </c>
      <c r="AJ7" s="37">
        <v>61</v>
      </c>
      <c r="AK7" s="37">
        <v>107</v>
      </c>
      <c r="AL7" s="37">
        <v>97</v>
      </c>
      <c r="AM7" s="37">
        <v>42</v>
      </c>
      <c r="AN7" s="38">
        <v>51</v>
      </c>
    </row>
    <row r="8" spans="1:40" x14ac:dyDescent="0.2">
      <c r="A8" s="16">
        <v>146</v>
      </c>
      <c r="B8" s="4" t="s">
        <v>55</v>
      </c>
      <c r="C8" s="30" t="s">
        <v>23</v>
      </c>
      <c r="D8" s="30">
        <v>5</v>
      </c>
      <c r="E8" s="30">
        <v>0</v>
      </c>
      <c r="F8" s="54" t="s">
        <v>6</v>
      </c>
      <c r="G8" s="30">
        <v>30</v>
      </c>
      <c r="H8" s="33">
        <v>4.4435318275154003</v>
      </c>
      <c r="I8" s="33">
        <v>5.5687885010266944</v>
      </c>
      <c r="J8" s="33">
        <v>10.012320328542094</v>
      </c>
      <c r="K8" s="33">
        <v>4.4380561259411362</v>
      </c>
      <c r="L8" s="33">
        <v>5.6153319644079396</v>
      </c>
      <c r="M8" s="33">
        <v>10.053388090349076</v>
      </c>
      <c r="N8" s="33">
        <v>4.7008898015058183</v>
      </c>
      <c r="O8" s="33">
        <v>5.28952772073922</v>
      </c>
      <c r="P8" s="33">
        <v>9.9904175222450373</v>
      </c>
      <c r="Q8" s="33" t="s">
        <v>7</v>
      </c>
      <c r="R8" s="33" t="s">
        <v>7</v>
      </c>
      <c r="S8" s="33" t="s">
        <v>7</v>
      </c>
      <c r="T8" s="4" t="s">
        <v>7</v>
      </c>
      <c r="U8" s="4" t="s">
        <v>7</v>
      </c>
      <c r="V8" s="4" t="s">
        <v>1</v>
      </c>
      <c r="W8" s="4">
        <v>1</v>
      </c>
      <c r="X8" s="4">
        <v>3</v>
      </c>
      <c r="Y8" s="4">
        <v>1</v>
      </c>
      <c r="Z8" s="56">
        <v>3</v>
      </c>
      <c r="AA8" s="9" cm="1">
        <f t="array" ref="AA8">IF(OR(AB8:AE8=""),"BLANK",IF(AND(AB8:AE8&lt;999),1,IF(AND(AB8:AE8="NA"),3,2)))</f>
        <v>1</v>
      </c>
      <c r="AB8" s="4">
        <v>32</v>
      </c>
      <c r="AC8" s="4">
        <v>18</v>
      </c>
      <c r="AD8" s="4">
        <v>13</v>
      </c>
      <c r="AE8" s="5">
        <v>63</v>
      </c>
      <c r="AF8" s="9">
        <f t="shared" si="0"/>
        <v>1</v>
      </c>
      <c r="AG8" s="5">
        <v>70</v>
      </c>
      <c r="AH8" s="9" cm="1">
        <f t="array" ref="AH8">IF(OR(AI8:AN8=""),"BLANK",IF(AND(AI8:AN8&lt;999),1,IF(AND(AI8:AN8="NA"),3,2)))</f>
        <v>1</v>
      </c>
      <c r="AI8" s="37">
        <v>59</v>
      </c>
      <c r="AJ8" s="37">
        <v>81</v>
      </c>
      <c r="AK8" s="37">
        <v>132</v>
      </c>
      <c r="AL8" s="37">
        <v>131</v>
      </c>
      <c r="AM8" s="37">
        <v>98</v>
      </c>
      <c r="AN8" s="38">
        <v>69</v>
      </c>
    </row>
    <row r="9" spans="1:40" x14ac:dyDescent="0.2">
      <c r="A9" s="16">
        <v>147</v>
      </c>
      <c r="B9" s="4" t="s">
        <v>54</v>
      </c>
      <c r="C9" s="30" t="s">
        <v>23</v>
      </c>
      <c r="D9" s="30">
        <v>5</v>
      </c>
      <c r="E9" s="30">
        <v>0</v>
      </c>
      <c r="F9" s="54" t="s">
        <v>6</v>
      </c>
      <c r="G9" s="30">
        <v>30</v>
      </c>
      <c r="H9" s="33">
        <v>4.5804243668720055</v>
      </c>
      <c r="I9" s="33">
        <v>5.8453114305270359</v>
      </c>
      <c r="J9" s="33">
        <v>10.425735797399042</v>
      </c>
      <c r="K9" s="33">
        <v>4.5804243668720055</v>
      </c>
      <c r="L9" s="33">
        <v>5.8453114305270359</v>
      </c>
      <c r="M9" s="33">
        <v>10.425735797399042</v>
      </c>
      <c r="N9" s="33">
        <v>4.0821355236139629</v>
      </c>
      <c r="O9" s="33">
        <v>5.6837782340862422</v>
      </c>
      <c r="P9" s="33">
        <v>9.765913757700206</v>
      </c>
      <c r="Q9" s="33" t="s">
        <v>7</v>
      </c>
      <c r="R9" s="33" t="s">
        <v>7</v>
      </c>
      <c r="S9" s="33" t="s">
        <v>7</v>
      </c>
      <c r="T9" s="4" t="s">
        <v>7</v>
      </c>
      <c r="U9" s="4" t="s">
        <v>7</v>
      </c>
      <c r="V9" s="4" t="s">
        <v>1</v>
      </c>
      <c r="W9" s="4">
        <v>1</v>
      </c>
      <c r="X9" s="4">
        <v>3</v>
      </c>
      <c r="Y9" s="4">
        <v>1</v>
      </c>
      <c r="Z9" s="56">
        <v>3</v>
      </c>
      <c r="AA9" s="9" cm="1">
        <f t="array" ref="AA9">IF(OR(AB9:AE9=""),"BLANK",IF(AND(AB9:AE9&lt;999),1,IF(AND(AB9:AE9="NA"),3,2)))</f>
        <v>1</v>
      </c>
      <c r="AB9" s="4">
        <v>41</v>
      </c>
      <c r="AC9" s="4">
        <v>21</v>
      </c>
      <c r="AD9" s="4">
        <v>17</v>
      </c>
      <c r="AE9" s="5">
        <v>79</v>
      </c>
      <c r="AF9" s="9">
        <f t="shared" si="0"/>
        <v>1</v>
      </c>
      <c r="AG9" s="5">
        <v>72</v>
      </c>
      <c r="AH9" s="9" cm="1">
        <f t="array" ref="AH9">IF(OR(AI9:AN9=""),"BLANK",IF(AND(AI9:AN9&lt;999),1,IF(AND(AI9:AN9="NA"),3,2)))</f>
        <v>1</v>
      </c>
      <c r="AI9" s="37">
        <v>44</v>
      </c>
      <c r="AJ9" s="37">
        <v>56</v>
      </c>
      <c r="AK9" s="37">
        <v>101</v>
      </c>
      <c r="AL9" s="37">
        <v>107</v>
      </c>
      <c r="AM9" s="37">
        <v>68</v>
      </c>
      <c r="AN9" s="38">
        <v>56</v>
      </c>
    </row>
    <row r="10" spans="1:40" x14ac:dyDescent="0.2">
      <c r="A10" s="16">
        <v>149</v>
      </c>
      <c r="B10" s="4" t="s">
        <v>52</v>
      </c>
      <c r="C10" s="30" t="s">
        <v>23</v>
      </c>
      <c r="D10" s="30">
        <v>5</v>
      </c>
      <c r="E10" s="30">
        <v>0</v>
      </c>
      <c r="F10" s="54" t="s">
        <v>6</v>
      </c>
      <c r="G10" s="30">
        <v>30</v>
      </c>
      <c r="H10" s="33">
        <v>4.3394934976043809</v>
      </c>
      <c r="I10" s="33">
        <v>5.9000684462696782</v>
      </c>
      <c r="J10" s="33">
        <v>10.239561943874058</v>
      </c>
      <c r="K10" s="33">
        <v>4.4161533196440796</v>
      </c>
      <c r="L10" s="33">
        <v>5.8836413415468858</v>
      </c>
      <c r="M10" s="33">
        <v>10.299794661190965</v>
      </c>
      <c r="N10" s="33">
        <v>4.2190280629705681</v>
      </c>
      <c r="O10" s="33">
        <v>5.5660506502395624</v>
      </c>
      <c r="P10" s="33">
        <v>9.7850787132101296</v>
      </c>
      <c r="Q10" s="33" t="s">
        <v>7</v>
      </c>
      <c r="R10" s="33" t="s">
        <v>7</v>
      </c>
      <c r="S10" s="33" t="s">
        <v>7</v>
      </c>
      <c r="T10" s="4" t="s">
        <v>7</v>
      </c>
      <c r="U10" s="4" t="s">
        <v>7</v>
      </c>
      <c r="V10" s="4" t="s">
        <v>1</v>
      </c>
      <c r="W10" s="4">
        <v>1</v>
      </c>
      <c r="X10" s="4">
        <v>3</v>
      </c>
      <c r="Y10" s="4">
        <v>1</v>
      </c>
      <c r="Z10" s="56">
        <v>3</v>
      </c>
      <c r="AA10" s="9" cm="1">
        <f t="array" ref="AA10">IF(OR(AB10:AE10=""),"BLANK",IF(AND(AB10:AE10&lt;999),1,IF(AND(AB10:AE10="NA"),3,2)))</f>
        <v>1</v>
      </c>
      <c r="AB10" s="4">
        <v>37</v>
      </c>
      <c r="AC10" s="4">
        <v>17</v>
      </c>
      <c r="AD10" s="4">
        <v>11</v>
      </c>
      <c r="AE10" s="5">
        <v>65</v>
      </c>
      <c r="AF10" s="9">
        <f t="shared" si="0"/>
        <v>1</v>
      </c>
      <c r="AG10" s="5">
        <v>50</v>
      </c>
      <c r="AH10" s="9" cm="1">
        <f t="array" ref="AH10">IF(OR(AI10:AN10=""),"BLANK",IF(AND(AI10:AN10&lt;999),1,IF(AND(AI10:AN10="NA"),3,2)))</f>
        <v>1</v>
      </c>
      <c r="AI10" s="37">
        <v>48</v>
      </c>
      <c r="AJ10" s="37">
        <v>62</v>
      </c>
      <c r="AK10" s="37">
        <v>109</v>
      </c>
      <c r="AL10" s="37">
        <v>132</v>
      </c>
      <c r="AM10" s="37">
        <v>98</v>
      </c>
      <c r="AN10" s="38">
        <v>72</v>
      </c>
    </row>
    <row r="11" spans="1:40" x14ac:dyDescent="0.2">
      <c r="A11" s="16">
        <v>169</v>
      </c>
      <c r="B11" s="4" t="s">
        <v>58</v>
      </c>
      <c r="C11" s="30" t="s">
        <v>23</v>
      </c>
      <c r="D11" s="30">
        <v>5</v>
      </c>
      <c r="E11" s="30">
        <v>0</v>
      </c>
      <c r="F11" s="54" t="s">
        <v>6</v>
      </c>
      <c r="G11" s="30">
        <v>30</v>
      </c>
      <c r="H11" s="33">
        <v>4.16974674880219</v>
      </c>
      <c r="I11" s="33">
        <v>5.4921286789869956</v>
      </c>
      <c r="J11" s="33">
        <v>9.6618754277891856</v>
      </c>
      <c r="K11" s="33">
        <v>4.16974674880219</v>
      </c>
      <c r="L11" s="33">
        <v>5.4921286789869956</v>
      </c>
      <c r="M11" s="33">
        <v>9.6618754277891856</v>
      </c>
      <c r="N11" s="33">
        <v>4.043805612594114</v>
      </c>
      <c r="O11" s="33">
        <v>5.2621492128678984</v>
      </c>
      <c r="P11" s="33">
        <v>9.3059548254620115</v>
      </c>
      <c r="Q11" s="33">
        <v>3.353867214236824</v>
      </c>
      <c r="R11" s="33">
        <v>6.2422997946611911</v>
      </c>
      <c r="S11" s="33">
        <v>9.5961670088980142</v>
      </c>
      <c r="T11" s="4">
        <v>4</v>
      </c>
      <c r="U11" s="4">
        <v>16</v>
      </c>
      <c r="V11" s="4" t="s">
        <v>1</v>
      </c>
      <c r="W11" s="4">
        <v>1</v>
      </c>
      <c r="X11" s="4">
        <v>3</v>
      </c>
      <c r="Y11" s="4">
        <v>1</v>
      </c>
      <c r="Z11" s="56">
        <v>3</v>
      </c>
      <c r="AA11" s="9" cm="1">
        <f t="array" ref="AA11">IF(OR(AB11:AE11=""),"BLANK",IF(AND(AB11:AE11&lt;999),1,IF(AND(AB11:AE11="NA"),3,2)))</f>
        <v>1</v>
      </c>
      <c r="AB11" s="4">
        <v>37</v>
      </c>
      <c r="AC11" s="4">
        <v>25</v>
      </c>
      <c r="AD11" s="4">
        <v>15</v>
      </c>
      <c r="AE11" s="4">
        <v>77</v>
      </c>
      <c r="AF11" s="9">
        <f t="shared" si="0"/>
        <v>1</v>
      </c>
      <c r="AG11" s="5">
        <v>67</v>
      </c>
      <c r="AH11" s="9" cm="1">
        <f t="array" ref="AH11">IF(OR(AI11:AN11=""),"BLANK",IF(AND(AI11:AN11&lt;999),1,IF(AND(AI11:AN11="NA"),3,2)))</f>
        <v>1</v>
      </c>
      <c r="AI11" s="37">
        <v>50</v>
      </c>
      <c r="AJ11" s="37">
        <v>66</v>
      </c>
      <c r="AK11" s="37">
        <v>113</v>
      </c>
      <c r="AL11" s="37">
        <v>130</v>
      </c>
      <c r="AM11" s="37">
        <v>98</v>
      </c>
      <c r="AN11" s="38">
        <v>69</v>
      </c>
    </row>
    <row r="12" spans="1:40" x14ac:dyDescent="0.2">
      <c r="A12" s="16">
        <v>174</v>
      </c>
      <c r="B12" s="4" t="s">
        <v>54</v>
      </c>
      <c r="C12" s="30" t="s">
        <v>24</v>
      </c>
      <c r="D12" s="30">
        <v>5</v>
      </c>
      <c r="E12" s="30">
        <v>0</v>
      </c>
      <c r="F12" s="54" t="s">
        <v>6</v>
      </c>
      <c r="G12" s="30">
        <v>29</v>
      </c>
      <c r="H12" s="33">
        <v>4.216290212183436</v>
      </c>
      <c r="I12" s="33">
        <v>5.9575633127994525</v>
      </c>
      <c r="J12" s="33">
        <v>10.173853524982889</v>
      </c>
      <c r="K12" s="33">
        <v>4.2737850787132103</v>
      </c>
      <c r="L12" s="33">
        <v>5.8973305954825461</v>
      </c>
      <c r="M12" s="33">
        <v>10.171115674195756</v>
      </c>
      <c r="N12" s="33">
        <v>4.2245037645448322</v>
      </c>
      <c r="O12" s="33">
        <v>5.6399726214921291</v>
      </c>
      <c r="P12" s="33">
        <v>9.8644763860369604</v>
      </c>
      <c r="Q12" s="33" t="s">
        <v>7</v>
      </c>
      <c r="R12" s="33" t="s">
        <v>7</v>
      </c>
      <c r="S12" s="33" t="s">
        <v>7</v>
      </c>
      <c r="T12" s="4">
        <v>4</v>
      </c>
      <c r="U12" s="4">
        <v>16</v>
      </c>
      <c r="V12" s="4" t="s">
        <v>1</v>
      </c>
      <c r="W12" s="4">
        <v>1</v>
      </c>
      <c r="X12" s="4">
        <v>3</v>
      </c>
      <c r="Y12" s="4">
        <v>1</v>
      </c>
      <c r="Z12" s="56">
        <v>3</v>
      </c>
      <c r="AA12" s="9" cm="1">
        <f t="array" ref="AA12">IF(OR(AB12:AE12=""),"BLANK",IF(AND(AB12:AE12&lt;999),1,IF(AND(AB12:AE12="NA"),3,2)))</f>
        <v>1</v>
      </c>
      <c r="AB12" s="4">
        <v>34</v>
      </c>
      <c r="AC12" s="4">
        <v>25</v>
      </c>
      <c r="AD12" s="4">
        <v>16</v>
      </c>
      <c r="AE12" s="4">
        <v>75</v>
      </c>
      <c r="AF12" s="9">
        <f t="shared" si="0"/>
        <v>1</v>
      </c>
      <c r="AG12" s="5">
        <v>63</v>
      </c>
      <c r="AH12" s="9" cm="1">
        <f t="array" ref="AH12">IF(OR(AI12:AN12=""),"BLANK",IF(AND(AI12:AN12&lt;999),1,IF(AND(AI12:AN12="NA"),3,2)))</f>
        <v>1</v>
      </c>
      <c r="AI12" s="37">
        <v>45</v>
      </c>
      <c r="AJ12" s="37">
        <v>58</v>
      </c>
      <c r="AK12" s="37">
        <v>103</v>
      </c>
      <c r="AL12" s="37">
        <v>113</v>
      </c>
      <c r="AM12" s="37">
        <v>81</v>
      </c>
      <c r="AN12" s="38">
        <v>57</v>
      </c>
    </row>
    <row r="13" spans="1:40" x14ac:dyDescent="0.2">
      <c r="A13" s="16">
        <v>178</v>
      </c>
      <c r="B13" s="4" t="s">
        <v>54</v>
      </c>
      <c r="C13" s="30" t="s">
        <v>24</v>
      </c>
      <c r="D13" s="30">
        <v>5</v>
      </c>
      <c r="E13" s="30">
        <v>0</v>
      </c>
      <c r="F13" s="54" t="s">
        <v>6</v>
      </c>
      <c r="G13" s="30">
        <v>28</v>
      </c>
      <c r="H13" s="33">
        <v>3.5509924709103355</v>
      </c>
      <c r="I13" s="33">
        <v>5.0102669404517455</v>
      </c>
      <c r="J13" s="33">
        <v>8.5612594113620801</v>
      </c>
      <c r="K13" s="33">
        <v>3.5509924709103355</v>
      </c>
      <c r="L13" s="33">
        <v>5.1279945242984262</v>
      </c>
      <c r="M13" s="33">
        <v>8.6789869952087617</v>
      </c>
      <c r="N13" s="33">
        <v>3.5208761122518824</v>
      </c>
      <c r="O13" s="33">
        <v>5.0978781656399725</v>
      </c>
      <c r="P13" s="33">
        <v>8.6187542778918544</v>
      </c>
      <c r="Q13" s="33">
        <v>3.871321013004791</v>
      </c>
      <c r="R13" s="33">
        <v>5.1937029431895958</v>
      </c>
      <c r="S13" s="33">
        <v>9.0650239561943877</v>
      </c>
      <c r="T13" s="4" t="s">
        <v>7</v>
      </c>
      <c r="U13" s="4" t="s">
        <v>7</v>
      </c>
      <c r="V13" s="4" t="s">
        <v>1</v>
      </c>
      <c r="W13" s="4">
        <v>1</v>
      </c>
      <c r="X13" s="4">
        <v>3</v>
      </c>
      <c r="Y13" s="4">
        <v>1</v>
      </c>
      <c r="Z13" s="56">
        <v>3</v>
      </c>
      <c r="AA13" s="9" cm="1">
        <f t="array" ref="AA13">IF(OR(AB13:AE13=""),"BLANK",IF(AND(AB13:AE13&lt;999),1,IF(AND(AB13:AE13="NA"),3,2)))</f>
        <v>1</v>
      </c>
      <c r="AB13" s="4">
        <v>36</v>
      </c>
      <c r="AC13" s="4">
        <v>20</v>
      </c>
      <c r="AD13" s="4">
        <v>12</v>
      </c>
      <c r="AE13" s="4">
        <v>68</v>
      </c>
      <c r="AF13" s="9">
        <f t="shared" si="0"/>
        <v>1</v>
      </c>
      <c r="AG13" s="5">
        <v>46</v>
      </c>
      <c r="AH13" s="9" cm="1">
        <f t="array" ref="AH13">IF(OR(AI13:AN13=""),"BLANK",IF(AND(AI13:AN13&lt;999),1,IF(AND(AI13:AN13="NA"),3,2)))</f>
        <v>1</v>
      </c>
      <c r="AI13" s="37">
        <v>50</v>
      </c>
      <c r="AJ13" s="37">
        <v>66</v>
      </c>
      <c r="AK13" s="37">
        <v>113</v>
      </c>
      <c r="AL13" s="37">
        <v>126</v>
      </c>
      <c r="AM13" s="37">
        <v>96</v>
      </c>
      <c r="AN13" s="38">
        <v>65</v>
      </c>
    </row>
    <row r="14" spans="1:40" x14ac:dyDescent="0.2">
      <c r="A14" s="16">
        <v>183</v>
      </c>
      <c r="B14" s="4" t="s">
        <v>47</v>
      </c>
      <c r="C14" s="30" t="s">
        <v>23</v>
      </c>
      <c r="D14" s="30">
        <v>5</v>
      </c>
      <c r="E14" s="30">
        <v>0</v>
      </c>
      <c r="F14" s="54" t="s">
        <v>6</v>
      </c>
      <c r="G14" s="30">
        <v>29</v>
      </c>
      <c r="H14" s="33">
        <v>4.2053388090349078</v>
      </c>
      <c r="I14" s="33">
        <v>5.8261464750171115</v>
      </c>
      <c r="J14" s="33">
        <v>10.031485284052019</v>
      </c>
      <c r="K14" s="33">
        <v>4.2765229295003424</v>
      </c>
      <c r="L14" s="33">
        <v>5.7549623545516768</v>
      </c>
      <c r="M14" s="33">
        <v>10.031485284052019</v>
      </c>
      <c r="N14" s="33">
        <v>4.1971252566735116</v>
      </c>
      <c r="O14" s="33">
        <v>5.631759069130732</v>
      </c>
      <c r="P14" s="33">
        <v>9.8288843258042444</v>
      </c>
      <c r="Q14" s="33" t="s">
        <v>7</v>
      </c>
      <c r="R14" s="33" t="s">
        <v>7</v>
      </c>
      <c r="S14" s="33" t="s">
        <v>7</v>
      </c>
      <c r="T14" s="4">
        <v>5</v>
      </c>
      <c r="U14" s="4">
        <v>20</v>
      </c>
      <c r="V14" s="4" t="s">
        <v>1</v>
      </c>
      <c r="W14" s="4">
        <v>1</v>
      </c>
      <c r="X14" s="4">
        <v>3</v>
      </c>
      <c r="Y14" s="4">
        <v>1</v>
      </c>
      <c r="Z14" s="56">
        <v>3</v>
      </c>
      <c r="AA14" s="9" cm="1">
        <f t="array" ref="AA14">IF(OR(AB14:AE14=""),"BLANK",IF(AND(AB14:AE14&lt;999),1,IF(AND(AB14:AE14="NA"),3,2)))</f>
        <v>1</v>
      </c>
      <c r="AB14" s="4">
        <v>37</v>
      </c>
      <c r="AC14" s="4">
        <v>17</v>
      </c>
      <c r="AD14" s="4">
        <v>17</v>
      </c>
      <c r="AE14" s="5">
        <v>71</v>
      </c>
      <c r="AF14" s="9">
        <f t="shared" si="0"/>
        <v>1</v>
      </c>
      <c r="AG14" s="5">
        <v>55</v>
      </c>
      <c r="AH14" s="9" cm="1">
        <f t="array" ref="AH14">IF(OR(AI14:AN14=""),"BLANK",IF(AND(AI14:AN14&lt;999),1,IF(AND(AI14:AN14="NA"),3,2)))</f>
        <v>1</v>
      </c>
      <c r="AI14" s="37">
        <v>41</v>
      </c>
      <c r="AJ14" s="37">
        <v>51</v>
      </c>
      <c r="AK14" s="37">
        <v>94</v>
      </c>
      <c r="AL14" s="37">
        <v>108</v>
      </c>
      <c r="AM14" s="37">
        <v>70</v>
      </c>
      <c r="AN14" s="38">
        <v>52</v>
      </c>
    </row>
    <row r="15" spans="1:40" x14ac:dyDescent="0.2">
      <c r="A15" s="16">
        <v>189</v>
      </c>
      <c r="B15" s="4" t="s">
        <v>63</v>
      </c>
      <c r="C15" s="30" t="s">
        <v>23</v>
      </c>
      <c r="D15" s="30">
        <v>5</v>
      </c>
      <c r="E15" s="30">
        <v>0</v>
      </c>
      <c r="F15" s="54" t="s">
        <v>6</v>
      </c>
      <c r="G15" s="30">
        <v>29</v>
      </c>
      <c r="H15" s="33">
        <v>4.0164271047227924</v>
      </c>
      <c r="I15" s="33">
        <v>6.2970568104038334</v>
      </c>
      <c r="J15" s="33">
        <v>10.313483915126625</v>
      </c>
      <c r="K15" s="33">
        <v>4.0164271047227924</v>
      </c>
      <c r="L15" s="33">
        <v>6.2970568104038334</v>
      </c>
      <c r="M15" s="33">
        <v>10.313483915126625</v>
      </c>
      <c r="N15" s="33">
        <v>4.3997262149212863</v>
      </c>
      <c r="O15" s="33">
        <v>5.3935660506502394</v>
      </c>
      <c r="P15" s="33">
        <v>9.7932922655715267</v>
      </c>
      <c r="Q15" s="33" t="s">
        <v>7</v>
      </c>
      <c r="R15" s="33" t="s">
        <v>7</v>
      </c>
      <c r="S15" s="33" t="s">
        <v>7</v>
      </c>
      <c r="T15" s="4">
        <v>4</v>
      </c>
      <c r="U15" s="4">
        <v>16</v>
      </c>
      <c r="V15" s="4" t="s">
        <v>1</v>
      </c>
      <c r="W15" s="4">
        <v>1</v>
      </c>
      <c r="X15" s="4">
        <v>3</v>
      </c>
      <c r="Y15" s="4">
        <v>1</v>
      </c>
      <c r="Z15" s="56">
        <v>3</v>
      </c>
      <c r="AA15" s="9" cm="1">
        <f t="array" ref="AA15">IF(OR(AB15:AE15=""),"BLANK",IF(AND(AB15:AE15&lt;999),1,IF(AND(AB15:AE15="NA"),3,2)))</f>
        <v>1</v>
      </c>
      <c r="AB15" s="4">
        <v>41</v>
      </c>
      <c r="AC15" s="4">
        <v>24</v>
      </c>
      <c r="AD15" s="4">
        <v>14</v>
      </c>
      <c r="AE15" s="5">
        <v>79</v>
      </c>
      <c r="AF15" s="9">
        <f t="shared" si="0"/>
        <v>1</v>
      </c>
      <c r="AG15" s="5">
        <v>63</v>
      </c>
      <c r="AH15" s="9" cm="1">
        <f t="array" ref="AH15">IF(OR(AI15:AN15=""),"BLANK",IF(AND(AI15:AN15&lt;999),1,IF(AND(AI15:AN15="NA"),3,2)))</f>
        <v>1</v>
      </c>
      <c r="AI15" s="37">
        <v>52</v>
      </c>
      <c r="AJ15" s="37">
        <v>69</v>
      </c>
      <c r="AK15" s="37">
        <v>117</v>
      </c>
      <c r="AL15" s="37">
        <v>115</v>
      </c>
      <c r="AM15" s="37">
        <v>84</v>
      </c>
      <c r="AN15" s="38">
        <v>58</v>
      </c>
    </row>
    <row r="16" spans="1:40" x14ac:dyDescent="0.2">
      <c r="A16" s="16">
        <v>192</v>
      </c>
      <c r="B16" s="4" t="s">
        <v>49</v>
      </c>
      <c r="C16" s="30" t="s">
        <v>23</v>
      </c>
      <c r="D16" s="30">
        <v>5</v>
      </c>
      <c r="E16" s="30">
        <v>0</v>
      </c>
      <c r="F16" s="54" t="s">
        <v>6</v>
      </c>
      <c r="G16" s="30">
        <v>30</v>
      </c>
      <c r="H16" s="33">
        <v>4.043805612594114</v>
      </c>
      <c r="I16" s="33">
        <v>5.1909650924024637</v>
      </c>
      <c r="J16" s="33">
        <v>9.2347707049965777</v>
      </c>
      <c r="K16" s="33">
        <v>4.043805612594114</v>
      </c>
      <c r="L16" s="33">
        <v>5.1909650924024637</v>
      </c>
      <c r="M16" s="33">
        <v>9.2347707049965777</v>
      </c>
      <c r="N16" s="33">
        <v>4.046543463381246</v>
      </c>
      <c r="O16" s="33">
        <v>5.1526351813826148</v>
      </c>
      <c r="P16" s="33">
        <v>9.1991786447638599</v>
      </c>
      <c r="Q16" s="33" t="s">
        <v>7</v>
      </c>
      <c r="R16" s="33" t="s">
        <v>7</v>
      </c>
      <c r="S16" s="33" t="s">
        <v>7</v>
      </c>
      <c r="T16" s="4">
        <v>7</v>
      </c>
      <c r="U16" s="4">
        <v>21</v>
      </c>
      <c r="V16" s="4" t="s">
        <v>1</v>
      </c>
      <c r="W16" s="4">
        <v>1</v>
      </c>
      <c r="X16" s="4">
        <v>3</v>
      </c>
      <c r="Y16" s="4">
        <v>1</v>
      </c>
      <c r="Z16" s="56">
        <v>3</v>
      </c>
      <c r="AA16" s="9" cm="1">
        <f t="array" ref="AA16">IF(OR(AB16:AE16=""),"BLANK",IF(AND(AB16:AE16&lt;999),1,IF(AND(AB16:AE16="NA"),3,2)))</f>
        <v>1</v>
      </c>
      <c r="AB16" s="4">
        <v>46</v>
      </c>
      <c r="AC16" s="4">
        <v>29</v>
      </c>
      <c r="AD16" s="4">
        <v>20</v>
      </c>
      <c r="AE16" s="5">
        <v>95</v>
      </c>
      <c r="AF16" s="9">
        <f t="shared" si="0"/>
        <v>1</v>
      </c>
      <c r="AG16" s="5">
        <v>77</v>
      </c>
      <c r="AH16" s="9" cm="1">
        <f t="array" ref="AH16">IF(OR(AI16:AN16=""),"BLANK",IF(AND(AI16:AN16&lt;999),1,IF(AND(AI16:AN16="NA"),3,2)))</f>
        <v>1</v>
      </c>
      <c r="AI16" s="37">
        <v>83</v>
      </c>
      <c r="AJ16" s="37">
        <v>120</v>
      </c>
      <c r="AK16" s="37">
        <v>182</v>
      </c>
      <c r="AL16" s="37">
        <v>146</v>
      </c>
      <c r="AM16" s="37">
        <v>99</v>
      </c>
      <c r="AN16" s="38">
        <v>81</v>
      </c>
    </row>
    <row r="17" spans="1:40" x14ac:dyDescent="0.2">
      <c r="A17" s="16">
        <v>196</v>
      </c>
      <c r="B17" s="4" t="s">
        <v>66</v>
      </c>
      <c r="C17" s="30" t="s">
        <v>24</v>
      </c>
      <c r="D17" s="30">
        <v>5</v>
      </c>
      <c r="E17" s="30">
        <v>0</v>
      </c>
      <c r="F17" s="54" t="s">
        <v>6</v>
      </c>
      <c r="G17" s="30">
        <v>29</v>
      </c>
      <c r="H17" s="33">
        <v>4.2546201232032859</v>
      </c>
      <c r="I17" s="33">
        <v>5.6919917864476384</v>
      </c>
      <c r="J17" s="33">
        <v>9.9466119096509242</v>
      </c>
      <c r="K17" s="33">
        <v>4.2546201232032859</v>
      </c>
      <c r="L17" s="33">
        <v>5.6919917864476384</v>
      </c>
      <c r="M17" s="33">
        <v>9.9466119096509242</v>
      </c>
      <c r="N17" s="33">
        <v>4.3394934976043809</v>
      </c>
      <c r="O17" s="33">
        <v>5.2676249144421625</v>
      </c>
      <c r="P17" s="33">
        <v>9.6071184120465443</v>
      </c>
      <c r="Q17" s="33" t="s">
        <v>7</v>
      </c>
      <c r="R17" s="33" t="s">
        <v>7</v>
      </c>
      <c r="S17" s="33" t="s">
        <v>7</v>
      </c>
      <c r="T17" s="4">
        <v>4</v>
      </c>
      <c r="U17" s="4">
        <v>16</v>
      </c>
      <c r="V17" s="4" t="s">
        <v>1</v>
      </c>
      <c r="W17" s="4">
        <v>1</v>
      </c>
      <c r="X17" s="4">
        <v>3</v>
      </c>
      <c r="Y17" s="4">
        <v>1</v>
      </c>
      <c r="Z17" s="56">
        <v>3</v>
      </c>
      <c r="AA17" s="9" cm="1">
        <f t="array" ref="AA17">IF(OR(AB17:AE17=""),"BLANK",IF(AND(AB17:AE17&lt;999),1,IF(AND(AB17:AE17="NA"),3,2)))</f>
        <v>1</v>
      </c>
      <c r="AB17" s="4">
        <v>13</v>
      </c>
      <c r="AC17" s="4">
        <v>17</v>
      </c>
      <c r="AD17" s="4">
        <v>13</v>
      </c>
      <c r="AE17" s="5">
        <v>43</v>
      </c>
      <c r="AF17" s="9">
        <f t="shared" si="0"/>
        <v>1</v>
      </c>
      <c r="AG17" s="5">
        <v>38</v>
      </c>
      <c r="AH17" s="9" cm="1">
        <f t="array" ref="AH17">IF(OR(AI17:AN17=""),"BLANK",IF(AND(AI17:AN17&lt;999),1,IF(AND(AI17:AN17="NA"),3,2)))</f>
        <v>1</v>
      </c>
      <c r="AI17" s="37">
        <v>34</v>
      </c>
      <c r="AJ17" s="37">
        <v>39</v>
      </c>
      <c r="AK17" s="37">
        <v>80</v>
      </c>
      <c r="AL17" s="37">
        <v>91</v>
      </c>
      <c r="AM17" s="37">
        <v>27</v>
      </c>
      <c r="AN17" s="38">
        <v>42</v>
      </c>
    </row>
    <row r="18" spans="1:40" x14ac:dyDescent="0.2">
      <c r="A18" s="16">
        <v>200</v>
      </c>
      <c r="B18" s="4" t="s">
        <v>59</v>
      </c>
      <c r="C18" s="30" t="s">
        <v>24</v>
      </c>
      <c r="D18" s="30">
        <v>3</v>
      </c>
      <c r="E18" s="30">
        <v>0</v>
      </c>
      <c r="F18" s="54" t="s">
        <v>6</v>
      </c>
      <c r="G18" s="30">
        <v>30</v>
      </c>
      <c r="H18" s="33">
        <v>4.1396303901437372</v>
      </c>
      <c r="I18" s="33">
        <v>6.2258726899383987</v>
      </c>
      <c r="J18" s="33">
        <v>10.365503080082135</v>
      </c>
      <c r="K18" s="33" t="s">
        <v>7</v>
      </c>
      <c r="L18" s="33" t="s">
        <v>7</v>
      </c>
      <c r="M18" s="33">
        <v>10.370978781656399</v>
      </c>
      <c r="N18" s="33">
        <v>4.0219028062970565</v>
      </c>
      <c r="O18" s="33">
        <v>6.2176591375770016</v>
      </c>
      <c r="P18" s="33">
        <v>10.239561943874058</v>
      </c>
      <c r="Q18" s="33" t="s">
        <v>7</v>
      </c>
      <c r="R18" s="33" t="s">
        <v>7</v>
      </c>
      <c r="S18" s="33" t="s">
        <v>7</v>
      </c>
      <c r="T18" s="4">
        <v>3</v>
      </c>
      <c r="U18" s="4">
        <v>13</v>
      </c>
      <c r="V18" s="4" t="s">
        <v>1</v>
      </c>
      <c r="W18" s="4">
        <v>1</v>
      </c>
      <c r="X18" s="4">
        <v>3</v>
      </c>
      <c r="Y18" s="4">
        <v>1</v>
      </c>
      <c r="Z18" s="56">
        <v>3</v>
      </c>
      <c r="AA18" s="9" cm="1">
        <f t="array" ref="AA18">IF(OR(AB18:AE18=""),"BLANK",IF(AND(AB18:AE18&lt;999),1,IF(AND(AB18:AE18="NA"),3,2)))</f>
        <v>1</v>
      </c>
      <c r="AB18" s="4">
        <v>38</v>
      </c>
      <c r="AC18" s="4">
        <v>20</v>
      </c>
      <c r="AD18" s="4">
        <v>13</v>
      </c>
      <c r="AE18" s="5">
        <v>71</v>
      </c>
      <c r="AF18" s="9">
        <f t="shared" si="0"/>
        <v>1</v>
      </c>
      <c r="AG18" s="5">
        <v>46</v>
      </c>
      <c r="AH18" s="9" cm="1">
        <f t="array" ref="AH18">IF(OR(AI18:AN18=""),"BLANK",IF(AND(AI18:AN18&lt;999),1,IF(AND(AI18:AN18="NA"),3,2)))</f>
        <v>1</v>
      </c>
      <c r="AI18" s="37">
        <v>47</v>
      </c>
      <c r="AJ18" s="37">
        <v>61</v>
      </c>
      <c r="AK18" s="37">
        <v>107</v>
      </c>
      <c r="AL18" s="37">
        <v>115</v>
      </c>
      <c r="AM18" s="37">
        <v>84</v>
      </c>
      <c r="AN18" s="38">
        <v>62</v>
      </c>
    </row>
    <row r="19" spans="1:40" x14ac:dyDescent="0.2">
      <c r="A19" s="16">
        <v>208</v>
      </c>
      <c r="B19" s="4" t="s">
        <v>59</v>
      </c>
      <c r="C19" s="30" t="s">
        <v>23</v>
      </c>
      <c r="D19" s="30">
        <v>5</v>
      </c>
      <c r="E19" s="30">
        <v>0</v>
      </c>
      <c r="F19" s="54" t="s">
        <v>6</v>
      </c>
      <c r="G19" s="30">
        <v>30</v>
      </c>
      <c r="H19" s="33">
        <v>3.5400410677618068</v>
      </c>
      <c r="I19" s="33">
        <v>4.9609856262833674</v>
      </c>
      <c r="J19" s="33">
        <v>8.5010266940451746</v>
      </c>
      <c r="K19" s="33">
        <v>3.5400410677618068</v>
      </c>
      <c r="L19" s="33">
        <v>4.9609856262833674</v>
      </c>
      <c r="M19" s="33">
        <v>8.5010266940451746</v>
      </c>
      <c r="N19" s="33">
        <v>3.5290896646132786</v>
      </c>
      <c r="O19" s="33">
        <v>4.8870636550308006</v>
      </c>
      <c r="P19" s="33">
        <v>8.4161533196440796</v>
      </c>
      <c r="Q19" s="33">
        <v>3.7180013689253935</v>
      </c>
      <c r="R19" s="33" t="s">
        <v>7</v>
      </c>
      <c r="S19" s="33" t="s">
        <v>7</v>
      </c>
      <c r="T19" s="4">
        <v>6</v>
      </c>
      <c r="U19" s="4">
        <v>18</v>
      </c>
      <c r="V19" s="4" t="s">
        <v>1</v>
      </c>
      <c r="W19" s="4">
        <v>1</v>
      </c>
      <c r="X19" s="4">
        <v>3</v>
      </c>
      <c r="Y19" s="4">
        <v>1</v>
      </c>
      <c r="Z19" s="56">
        <v>3</v>
      </c>
      <c r="AA19" s="9" cm="1">
        <f t="array" ref="AA19">IF(OR(AB19:AE19=""),"BLANK",IF(AND(AB19:AE19&lt;999),1,IF(AND(AB19:AE19="NA"),3,2)))</f>
        <v>1</v>
      </c>
      <c r="AB19" s="4">
        <v>32</v>
      </c>
      <c r="AC19" s="4">
        <v>21</v>
      </c>
      <c r="AD19" s="4">
        <v>10</v>
      </c>
      <c r="AE19" s="5">
        <v>63</v>
      </c>
      <c r="AF19" s="9">
        <f t="shared" si="0"/>
        <v>1</v>
      </c>
      <c r="AG19" s="5">
        <v>59</v>
      </c>
      <c r="AH19" s="9" cm="1">
        <f t="array" ref="AH19">IF(OR(AI19:AN19=""),"BLANK",IF(AND(AI19:AN19&lt;999),1,IF(AND(AI19:AN19="NA"),3,2)))</f>
        <v>1</v>
      </c>
      <c r="AI19" s="37">
        <v>48</v>
      </c>
      <c r="AJ19" s="37">
        <v>62</v>
      </c>
      <c r="AK19" s="37">
        <v>109</v>
      </c>
      <c r="AL19" s="37">
        <v>121</v>
      </c>
      <c r="AM19" s="37">
        <v>92</v>
      </c>
      <c r="AN19" s="38">
        <v>64</v>
      </c>
    </row>
    <row r="20" spans="1:40" x14ac:dyDescent="0.2">
      <c r="A20" s="16">
        <v>213</v>
      </c>
      <c r="B20" s="4" t="s">
        <v>58</v>
      </c>
      <c r="C20" s="30" t="s">
        <v>23</v>
      </c>
      <c r="D20" s="30">
        <v>5</v>
      </c>
      <c r="E20" s="30">
        <v>0</v>
      </c>
      <c r="F20" s="54" t="s">
        <v>6</v>
      </c>
      <c r="G20" s="30">
        <v>30</v>
      </c>
      <c r="H20" s="33">
        <v>4.1806981519507183</v>
      </c>
      <c r="I20" s="33">
        <v>5.7029431895961666</v>
      </c>
      <c r="J20" s="33">
        <v>9.8836413415468858</v>
      </c>
      <c r="K20" s="33">
        <v>4.1806981519507183</v>
      </c>
      <c r="L20" s="33">
        <v>5.7029431895961666</v>
      </c>
      <c r="M20" s="33">
        <v>9.8836413415468858</v>
      </c>
      <c r="N20" s="33">
        <v>3.9863107460643397</v>
      </c>
      <c r="O20" s="33">
        <v>5.5578370978781653</v>
      </c>
      <c r="P20" s="33">
        <v>9.5441478439425058</v>
      </c>
      <c r="Q20" s="33" t="s">
        <v>7</v>
      </c>
      <c r="R20" s="33" t="s">
        <v>7</v>
      </c>
      <c r="S20" s="33" t="s">
        <v>7</v>
      </c>
      <c r="T20" s="4">
        <v>6</v>
      </c>
      <c r="U20" s="4">
        <v>18</v>
      </c>
      <c r="V20" s="4" t="s">
        <v>1</v>
      </c>
      <c r="W20" s="4">
        <v>1</v>
      </c>
      <c r="X20" s="4">
        <v>3</v>
      </c>
      <c r="Y20" s="4">
        <v>1</v>
      </c>
      <c r="Z20" s="56">
        <v>3</v>
      </c>
      <c r="AA20" s="9" cm="1">
        <f t="array" ref="AA20">IF(OR(AB20:AE20=""),"BLANK",IF(AND(AB20:AE20&lt;999),1,IF(AND(AB20:AE20="NA"),3,2)))</f>
        <v>1</v>
      </c>
      <c r="AB20" s="4">
        <v>29</v>
      </c>
      <c r="AC20" s="4">
        <v>16</v>
      </c>
      <c r="AD20" s="4">
        <v>14</v>
      </c>
      <c r="AE20" s="5">
        <v>59</v>
      </c>
      <c r="AF20" s="9">
        <f t="shared" si="0"/>
        <v>1</v>
      </c>
      <c r="AG20" s="5">
        <v>43</v>
      </c>
      <c r="AH20" s="9" cm="1">
        <f t="array" ref="AH20">IF(OR(AI20:AN20=""),"BLANK",IF(AND(AI20:AN20&lt;999),1,IF(AND(AI20:AN20="NA"),3,2)))</f>
        <v>1</v>
      </c>
      <c r="AI20" s="37">
        <v>34</v>
      </c>
      <c r="AJ20" s="37">
        <v>39</v>
      </c>
      <c r="AK20" s="37">
        <v>80</v>
      </c>
      <c r="AL20" s="37">
        <v>85</v>
      </c>
      <c r="AM20" s="37">
        <v>15</v>
      </c>
      <c r="AN20" s="38">
        <v>37</v>
      </c>
    </row>
    <row r="21" spans="1:40" x14ac:dyDescent="0.2">
      <c r="A21" s="16">
        <v>220</v>
      </c>
      <c r="B21" s="4" t="s">
        <v>66</v>
      </c>
      <c r="C21" s="30" t="s">
        <v>23</v>
      </c>
      <c r="D21" s="30">
        <v>5</v>
      </c>
      <c r="E21" s="30">
        <v>0</v>
      </c>
      <c r="F21" s="54" t="s">
        <v>6</v>
      </c>
      <c r="G21" s="30">
        <v>30</v>
      </c>
      <c r="H21" s="33">
        <v>4.2327173169062284</v>
      </c>
      <c r="I21" s="33">
        <v>5.9657768651608487</v>
      </c>
      <c r="J21" s="33">
        <v>10.198494182067078</v>
      </c>
      <c r="K21" s="33">
        <v>5.7713894592744692</v>
      </c>
      <c r="L21" s="33">
        <v>4.4271047227926079</v>
      </c>
      <c r="M21" s="33">
        <v>10.198494182067078</v>
      </c>
      <c r="N21" s="33">
        <v>4.0219028062970565</v>
      </c>
      <c r="O21" s="33">
        <v>5.7138945927446958</v>
      </c>
      <c r="P21" s="33">
        <v>9.7357973990417523</v>
      </c>
      <c r="Q21" s="33" t="s">
        <v>7</v>
      </c>
      <c r="R21" s="33" t="s">
        <v>7</v>
      </c>
      <c r="S21" s="33" t="s">
        <v>7</v>
      </c>
      <c r="T21" s="4">
        <v>5</v>
      </c>
      <c r="U21" s="4">
        <v>17</v>
      </c>
      <c r="V21" s="4" t="s">
        <v>1</v>
      </c>
      <c r="W21" s="4">
        <v>1</v>
      </c>
      <c r="X21" s="4">
        <v>3</v>
      </c>
      <c r="Y21" s="4">
        <v>1</v>
      </c>
      <c r="Z21" s="56">
        <v>3</v>
      </c>
      <c r="AA21" s="9" cm="1">
        <f t="array" ref="AA21">IF(OR(AB21:AE21=""),"BLANK",IF(AND(AB21:AE21&lt;999),1,IF(AND(AB21:AE21="NA"),3,2)))</f>
        <v>1</v>
      </c>
      <c r="AB21" s="4">
        <v>32</v>
      </c>
      <c r="AC21" s="4">
        <v>19</v>
      </c>
      <c r="AD21" s="4">
        <v>16</v>
      </c>
      <c r="AE21" s="5">
        <v>67</v>
      </c>
      <c r="AF21" s="9">
        <f t="shared" si="0"/>
        <v>1</v>
      </c>
      <c r="AG21" s="5">
        <v>44</v>
      </c>
      <c r="AH21" s="9" cm="1">
        <f t="array" ref="AH21">IF(OR(AI21:AN21=""),"BLANK",IF(AND(AI21:AN21&lt;999),1,IF(AND(AI21:AN21="NA"),3,2)))</f>
        <v>1</v>
      </c>
      <c r="AI21" s="37">
        <v>43</v>
      </c>
      <c r="AJ21" s="37">
        <v>54</v>
      </c>
      <c r="AK21" s="37">
        <v>99</v>
      </c>
      <c r="AL21" s="37">
        <v>117</v>
      </c>
      <c r="AM21" s="37">
        <v>88</v>
      </c>
      <c r="AN21" s="38">
        <v>59</v>
      </c>
    </row>
    <row r="22" spans="1:40" x14ac:dyDescent="0.2">
      <c r="A22" s="16">
        <v>221</v>
      </c>
      <c r="B22" s="4" t="s">
        <v>59</v>
      </c>
      <c r="C22" s="30" t="s">
        <v>24</v>
      </c>
      <c r="D22" s="30">
        <v>5</v>
      </c>
      <c r="E22" s="30">
        <v>0</v>
      </c>
      <c r="F22" s="54" t="s">
        <v>6</v>
      </c>
      <c r="G22" s="30" t="s">
        <v>7</v>
      </c>
      <c r="H22" s="33">
        <v>4.2190280629705681</v>
      </c>
      <c r="I22" s="33">
        <v>6.2067077344284733</v>
      </c>
      <c r="J22" s="33">
        <v>10.425735797399042</v>
      </c>
      <c r="K22" s="33">
        <v>4.1232032854209448</v>
      </c>
      <c r="L22" s="33">
        <v>6.1793292265571527</v>
      </c>
      <c r="M22" s="33">
        <v>10.302532511978097</v>
      </c>
      <c r="N22" s="33" t="s">
        <v>7</v>
      </c>
      <c r="O22" s="33" t="s">
        <v>7</v>
      </c>
      <c r="P22" s="33" t="s">
        <v>7</v>
      </c>
      <c r="Q22" s="33" t="s">
        <v>7</v>
      </c>
      <c r="R22" s="33" t="s">
        <v>7</v>
      </c>
      <c r="S22" s="33" t="s">
        <v>7</v>
      </c>
      <c r="T22" s="4" t="s">
        <v>7</v>
      </c>
      <c r="U22" s="4" t="s">
        <v>7</v>
      </c>
      <c r="V22" s="4" t="s">
        <v>1</v>
      </c>
      <c r="W22" s="4">
        <v>1</v>
      </c>
      <c r="X22" s="4">
        <v>3</v>
      </c>
      <c r="Y22" s="4">
        <v>1</v>
      </c>
      <c r="Z22" s="56">
        <v>3</v>
      </c>
      <c r="AA22" s="9" cm="1">
        <f t="array" ref="AA22">IF(OR(AB22:AE22=""),"BLANK",IF(AND(AB22:AE22&lt;999),1,IF(AND(AB22:AE22="NA"),3,2)))</f>
        <v>3</v>
      </c>
      <c r="AB22" s="4" t="s">
        <v>7</v>
      </c>
      <c r="AC22" s="4" t="s">
        <v>7</v>
      </c>
      <c r="AD22" s="4" t="s">
        <v>7</v>
      </c>
      <c r="AE22" s="5" t="s">
        <v>7</v>
      </c>
      <c r="AF22" s="9">
        <f t="shared" si="0"/>
        <v>3</v>
      </c>
      <c r="AG22" s="5" t="s">
        <v>7</v>
      </c>
      <c r="AH22" s="9" cm="1">
        <f t="array" ref="AH22">IF(OR(AI22:AN22=""),"BLANK",IF(AND(AI22:AN22&lt;999),1,IF(AND(AI22:AN22="NA"),3,2)))</f>
        <v>1</v>
      </c>
      <c r="AI22" s="37">
        <v>47</v>
      </c>
      <c r="AJ22" s="37">
        <v>61</v>
      </c>
      <c r="AK22" s="37">
        <v>107</v>
      </c>
      <c r="AL22" s="37">
        <v>115</v>
      </c>
      <c r="AM22" s="37">
        <v>85</v>
      </c>
      <c r="AN22" s="38">
        <v>62</v>
      </c>
    </row>
    <row r="23" spans="1:40" x14ac:dyDescent="0.2">
      <c r="A23" s="16">
        <v>232</v>
      </c>
      <c r="B23" s="4" t="s">
        <v>67</v>
      </c>
      <c r="C23" s="30" t="s">
        <v>23</v>
      </c>
      <c r="D23" s="30">
        <v>5</v>
      </c>
      <c r="E23" s="30">
        <v>0</v>
      </c>
      <c r="F23" s="54" t="s">
        <v>6</v>
      </c>
      <c r="G23" s="30">
        <v>27</v>
      </c>
      <c r="H23" s="33">
        <v>4.128678986995209</v>
      </c>
      <c r="I23" s="33">
        <v>5.6919917864476384</v>
      </c>
      <c r="J23" s="33">
        <v>9.8206707734428473</v>
      </c>
      <c r="K23" s="33">
        <v>4.128678986995209</v>
      </c>
      <c r="L23" s="33">
        <v>5.7029431895961666</v>
      </c>
      <c r="M23" s="33">
        <v>9.8316221765913756</v>
      </c>
      <c r="N23" s="33">
        <v>4.0246406570841886</v>
      </c>
      <c r="O23" s="33">
        <v>5.3442847364818613</v>
      </c>
      <c r="P23" s="33">
        <v>9.3689253935660499</v>
      </c>
      <c r="Q23" s="33" t="s">
        <v>7</v>
      </c>
      <c r="R23" s="33" t="s">
        <v>7</v>
      </c>
      <c r="S23" s="33" t="s">
        <v>7</v>
      </c>
      <c r="T23" s="4" t="s">
        <v>7</v>
      </c>
      <c r="U23" s="4" t="s">
        <v>7</v>
      </c>
      <c r="V23" s="4" t="s">
        <v>1</v>
      </c>
      <c r="W23" s="4">
        <v>1</v>
      </c>
      <c r="X23" s="4">
        <v>3</v>
      </c>
      <c r="Y23" s="4">
        <v>1</v>
      </c>
      <c r="Z23" s="56">
        <v>3</v>
      </c>
      <c r="AA23" s="9" cm="1">
        <f t="array" ref="AA23">IF(OR(AB23:AE23=""),"BLANK",IF(AND(AB23:AE23&lt;999),1,IF(AND(AB23:AE23="NA"),3,2)))</f>
        <v>1</v>
      </c>
      <c r="AB23" s="4">
        <v>22</v>
      </c>
      <c r="AC23" s="4">
        <v>13</v>
      </c>
      <c r="AD23" s="4">
        <v>9</v>
      </c>
      <c r="AE23" s="5">
        <v>44</v>
      </c>
      <c r="AF23" s="9">
        <f t="shared" si="0"/>
        <v>1</v>
      </c>
      <c r="AG23" s="5">
        <v>40</v>
      </c>
      <c r="AH23" s="9" cm="1">
        <f t="array" ref="AH23">IF(OR(AI23:AN23=""),"BLANK",IF(AND(AI23:AN23&lt;999),1,IF(AND(AI23:AN23="NA"),3,2)))</f>
        <v>2</v>
      </c>
      <c r="AI23" s="37">
        <v>36</v>
      </c>
      <c r="AJ23" s="37">
        <v>43</v>
      </c>
      <c r="AK23" s="37">
        <v>84</v>
      </c>
      <c r="AL23" s="37" t="s">
        <v>7</v>
      </c>
      <c r="AM23" s="37" t="s">
        <v>7</v>
      </c>
      <c r="AN23" s="38" t="s">
        <v>7</v>
      </c>
    </row>
    <row r="24" spans="1:40" x14ac:dyDescent="0.2">
      <c r="A24" s="16">
        <v>236</v>
      </c>
      <c r="B24" s="4" t="s">
        <v>65</v>
      </c>
      <c r="C24" s="30" t="s">
        <v>24</v>
      </c>
      <c r="D24" s="30">
        <v>5</v>
      </c>
      <c r="E24" s="30">
        <v>0</v>
      </c>
      <c r="F24" s="54" t="s">
        <v>6</v>
      </c>
      <c r="G24" s="30">
        <v>30</v>
      </c>
      <c r="H24" s="33">
        <v>4.0985626283367553</v>
      </c>
      <c r="I24" s="33">
        <v>5.9137577002053385</v>
      </c>
      <c r="J24" s="33">
        <v>10.012320328542094</v>
      </c>
      <c r="K24" s="33">
        <v>4.1451060917180014</v>
      </c>
      <c r="L24" s="33">
        <v>5.8590006844626972</v>
      </c>
      <c r="M24" s="33">
        <v>10.004106776180699</v>
      </c>
      <c r="N24" s="33">
        <v>4.0164271047227924</v>
      </c>
      <c r="O24" s="33">
        <v>5.5961670088980151</v>
      </c>
      <c r="P24" s="33">
        <v>9.6125941136208084</v>
      </c>
      <c r="Q24" s="33" t="s">
        <v>7</v>
      </c>
      <c r="R24" s="33" t="s">
        <v>7</v>
      </c>
      <c r="S24" s="33" t="s">
        <v>7</v>
      </c>
      <c r="T24" s="4">
        <v>7</v>
      </c>
      <c r="U24" s="4">
        <v>21</v>
      </c>
      <c r="V24" s="4" t="s">
        <v>1</v>
      </c>
      <c r="W24" s="4">
        <v>1</v>
      </c>
      <c r="X24" s="4">
        <v>3</v>
      </c>
      <c r="Y24" s="4">
        <v>1</v>
      </c>
      <c r="Z24" s="56">
        <v>3</v>
      </c>
      <c r="AA24" s="9" cm="1">
        <f t="array" ref="AA24">IF(OR(AB24:AE24=""),"BLANK",IF(AND(AB24:AE24&lt;999),1,IF(AND(AB24:AE24="NA"),3,2)))</f>
        <v>1</v>
      </c>
      <c r="AB24" s="4">
        <v>28</v>
      </c>
      <c r="AC24" s="4">
        <v>15</v>
      </c>
      <c r="AD24" s="4">
        <v>11</v>
      </c>
      <c r="AE24" s="5">
        <v>54</v>
      </c>
      <c r="AF24" s="9">
        <f t="shared" si="0"/>
        <v>1</v>
      </c>
      <c r="AG24" s="5">
        <v>42</v>
      </c>
      <c r="AH24" s="9" cm="1">
        <f t="array" ref="AH24">IF(OR(AI24:AN24=""),"BLANK",IF(AND(AI24:AN24&lt;999),1,IF(AND(AI24:AN24="NA"),3,2)))</f>
        <v>1</v>
      </c>
      <c r="AI24" s="37">
        <v>45</v>
      </c>
      <c r="AJ24" s="37">
        <v>58</v>
      </c>
      <c r="AK24" s="37">
        <v>103</v>
      </c>
      <c r="AL24" s="37">
        <v>128</v>
      </c>
      <c r="AM24" s="37">
        <v>97</v>
      </c>
      <c r="AN24" s="38">
        <v>69</v>
      </c>
    </row>
    <row r="25" spans="1:40" x14ac:dyDescent="0.2">
      <c r="A25" s="16">
        <v>245</v>
      </c>
      <c r="B25" s="4" t="s">
        <v>66</v>
      </c>
      <c r="C25" s="30" t="s">
        <v>23</v>
      </c>
      <c r="D25" s="30">
        <v>2</v>
      </c>
      <c r="E25" s="30">
        <v>0</v>
      </c>
      <c r="F25" s="54" t="s">
        <v>6</v>
      </c>
      <c r="G25" s="30">
        <v>28</v>
      </c>
      <c r="H25" s="33">
        <v>4.0985626283367553</v>
      </c>
      <c r="I25" s="33">
        <v>5.9712525667351128</v>
      </c>
      <c r="J25" s="33">
        <v>10.069815195071868</v>
      </c>
      <c r="K25" s="33">
        <v>4.1204654346338128</v>
      </c>
      <c r="L25" s="33">
        <v>5.9493497604380563</v>
      </c>
      <c r="M25" s="33">
        <v>10.069815195071868</v>
      </c>
      <c r="N25" s="33">
        <v>4.2792607802874745</v>
      </c>
      <c r="O25" s="33">
        <v>5.7084188911704308</v>
      </c>
      <c r="P25" s="33">
        <v>9.9876796714579061</v>
      </c>
      <c r="Q25" s="33">
        <v>3.1156741957563314</v>
      </c>
      <c r="R25" s="33">
        <v>6.3052703627652296</v>
      </c>
      <c r="S25" s="33">
        <v>9.4209445585215601</v>
      </c>
      <c r="T25" s="4">
        <v>3</v>
      </c>
      <c r="U25" s="4">
        <v>14</v>
      </c>
      <c r="V25" s="4" t="s">
        <v>1</v>
      </c>
      <c r="W25" s="4">
        <v>1</v>
      </c>
      <c r="X25" s="4">
        <v>3</v>
      </c>
      <c r="Y25" s="4">
        <v>1</v>
      </c>
      <c r="Z25" s="56">
        <v>3</v>
      </c>
      <c r="AA25" s="9" cm="1">
        <f t="array" ref="AA25">IF(OR(AB25:AE25=""),"BLANK",IF(AND(AB25:AE25&lt;999),1,IF(AND(AB25:AE25="NA"),3,2)))</f>
        <v>1</v>
      </c>
      <c r="AB25" s="4">
        <v>31</v>
      </c>
      <c r="AC25" s="4">
        <v>19</v>
      </c>
      <c r="AD25" s="4">
        <v>15</v>
      </c>
      <c r="AE25" s="5">
        <v>65</v>
      </c>
      <c r="AF25" s="9">
        <f t="shared" si="0"/>
        <v>1</v>
      </c>
      <c r="AG25" s="5">
        <v>54</v>
      </c>
      <c r="AH25" s="9" cm="1">
        <f t="array" ref="AH25">IF(OR(AI25:AN25=""),"BLANK",IF(AND(AI25:AN25&lt;999),1,IF(AND(AI25:AN25="NA"),3,2)))</f>
        <v>1</v>
      </c>
      <c r="AI25" s="37">
        <v>30</v>
      </c>
      <c r="AJ25" s="37">
        <v>33</v>
      </c>
      <c r="AK25" s="37">
        <v>71</v>
      </c>
      <c r="AL25" s="37">
        <v>76</v>
      </c>
      <c r="AM25" s="37">
        <v>6</v>
      </c>
      <c r="AN25" s="38">
        <v>38</v>
      </c>
    </row>
    <row r="26" spans="1:40" x14ac:dyDescent="0.2">
      <c r="A26" s="16">
        <v>274</v>
      </c>
      <c r="B26" s="4" t="s">
        <v>64</v>
      </c>
      <c r="C26" s="30" t="s">
        <v>24</v>
      </c>
      <c r="D26" s="30">
        <v>5</v>
      </c>
      <c r="E26" s="30">
        <v>0</v>
      </c>
      <c r="F26" s="54" t="s">
        <v>6</v>
      </c>
      <c r="G26" s="30">
        <v>29</v>
      </c>
      <c r="H26" s="33">
        <v>4.043805612594114</v>
      </c>
      <c r="I26" s="33">
        <v>5.415468856947296</v>
      </c>
      <c r="J26" s="33">
        <v>9.4592744695414108</v>
      </c>
      <c r="K26" s="33">
        <v>4.043805612594114</v>
      </c>
      <c r="L26" s="33">
        <v>5.5003422313483918</v>
      </c>
      <c r="M26" s="33">
        <v>9.5441478439425058</v>
      </c>
      <c r="N26" s="33">
        <v>4.0301163586584527</v>
      </c>
      <c r="O26" s="33" t="s">
        <v>7</v>
      </c>
      <c r="P26" s="33" t="s">
        <v>7</v>
      </c>
      <c r="Q26" s="33">
        <v>3.1978097193702943</v>
      </c>
      <c r="R26" s="33" t="s">
        <v>7</v>
      </c>
      <c r="S26" s="33" t="s">
        <v>7</v>
      </c>
      <c r="T26" s="4" t="s">
        <v>7</v>
      </c>
      <c r="U26" s="4" t="s">
        <v>7</v>
      </c>
      <c r="V26" s="4" t="s">
        <v>1</v>
      </c>
      <c r="W26" s="4">
        <v>1</v>
      </c>
      <c r="X26" s="4">
        <v>3</v>
      </c>
      <c r="Y26" s="4">
        <v>1</v>
      </c>
      <c r="Z26" s="56">
        <v>3</v>
      </c>
      <c r="AA26" s="9" cm="1">
        <f t="array" ref="AA26">IF(OR(AB26:AE26=""),"BLANK",IF(AND(AB26:AE26&lt;999),1,IF(AND(AB26:AE26="NA"),3,2)))</f>
        <v>1</v>
      </c>
      <c r="AB26" s="4">
        <v>14</v>
      </c>
      <c r="AC26" s="4">
        <v>9</v>
      </c>
      <c r="AD26" s="4">
        <v>6</v>
      </c>
      <c r="AE26" s="5">
        <v>29</v>
      </c>
      <c r="AF26" s="9">
        <f t="shared" si="0"/>
        <v>1</v>
      </c>
      <c r="AG26" s="5">
        <v>32</v>
      </c>
      <c r="AH26" s="9" cm="1">
        <f t="array" ref="AH26">IF(OR(AI26:AN26=""),"BLANK",IF(AND(AI26:AN26&lt;999),1,IF(AND(AI26:AN26="NA"),3,2)))</f>
        <v>1</v>
      </c>
      <c r="AI26" s="37">
        <v>27</v>
      </c>
      <c r="AJ26" s="37">
        <v>28</v>
      </c>
      <c r="AK26" s="37">
        <v>65</v>
      </c>
      <c r="AL26" s="37">
        <v>75</v>
      </c>
      <c r="AM26" s="37">
        <v>5</v>
      </c>
      <c r="AN26" s="38">
        <v>33</v>
      </c>
    </row>
    <row r="27" spans="1:40" x14ac:dyDescent="0.2">
      <c r="A27" s="16">
        <v>326</v>
      </c>
      <c r="B27" s="4" t="s">
        <v>47</v>
      </c>
      <c r="C27" s="30" t="s">
        <v>23</v>
      </c>
      <c r="D27" s="30">
        <v>5</v>
      </c>
      <c r="E27" s="30">
        <v>0</v>
      </c>
      <c r="F27" s="54" t="s">
        <v>6</v>
      </c>
      <c r="G27" s="30">
        <v>30</v>
      </c>
      <c r="H27" s="33">
        <v>4.4079397672826834</v>
      </c>
      <c r="I27" s="33">
        <v>5.7084188911704308</v>
      </c>
      <c r="J27" s="33">
        <v>10.116358658453114</v>
      </c>
      <c r="K27" s="33">
        <v>4.4079397672826834</v>
      </c>
      <c r="L27" s="33">
        <v>5.7084188911704308</v>
      </c>
      <c r="M27" s="33">
        <v>10.116358658453114</v>
      </c>
      <c r="N27" s="33">
        <v>4.4052019164955514</v>
      </c>
      <c r="O27" s="33">
        <v>5.5003422313483918</v>
      </c>
      <c r="P27" s="33">
        <v>9.9055441478439423</v>
      </c>
      <c r="Q27" s="33">
        <v>3.3483915126625599</v>
      </c>
      <c r="R27" s="33">
        <v>6.3189596167008899</v>
      </c>
      <c r="S27" s="33">
        <v>9.6673511293634498</v>
      </c>
      <c r="T27" s="4" t="s">
        <v>7</v>
      </c>
      <c r="U27" s="4" t="s">
        <v>7</v>
      </c>
      <c r="V27" s="4" t="s">
        <v>1</v>
      </c>
      <c r="W27" s="4">
        <v>1</v>
      </c>
      <c r="X27" s="4">
        <v>3</v>
      </c>
      <c r="Y27" s="4">
        <v>1</v>
      </c>
      <c r="Z27" s="56">
        <v>3</v>
      </c>
      <c r="AA27" s="9" cm="1">
        <f t="array" ref="AA27">IF(OR(AB27:AE27=""),"BLANK",IF(AND(AB27:AE27&lt;999),1,IF(AND(AB27:AE27="NA"),3,2)))</f>
        <v>1</v>
      </c>
      <c r="AB27" s="4">
        <v>23</v>
      </c>
      <c r="AC27" s="4">
        <v>16</v>
      </c>
      <c r="AD27" s="4">
        <v>9</v>
      </c>
      <c r="AE27" s="5">
        <v>48</v>
      </c>
      <c r="AF27" s="9">
        <f t="shared" si="0"/>
        <v>1</v>
      </c>
      <c r="AG27" s="5">
        <v>49</v>
      </c>
      <c r="AH27" s="9" cm="1">
        <f t="array" ref="AH27">IF(OR(AI27:AN27=""),"BLANK",IF(AND(AI27:AN27&lt;999),1,IF(AND(AI27:AN27="NA"),3,2)))</f>
        <v>1</v>
      </c>
      <c r="AI27" s="37">
        <v>42</v>
      </c>
      <c r="AJ27" s="37">
        <v>53</v>
      </c>
      <c r="AK27" s="37">
        <v>97</v>
      </c>
      <c r="AL27" s="37">
        <v>108</v>
      </c>
      <c r="AM27" s="37">
        <v>70</v>
      </c>
      <c r="AN27" s="38">
        <v>53</v>
      </c>
    </row>
    <row r="28" spans="1:40" x14ac:dyDescent="0.2">
      <c r="A28" s="16">
        <v>327</v>
      </c>
      <c r="B28" s="4" t="s">
        <v>50</v>
      </c>
      <c r="C28" s="30" t="s">
        <v>23</v>
      </c>
      <c r="D28" s="30">
        <v>5</v>
      </c>
      <c r="E28" s="30">
        <v>0</v>
      </c>
      <c r="F28" s="54" t="s">
        <v>6</v>
      </c>
      <c r="G28" s="30">
        <v>30</v>
      </c>
      <c r="H28" s="33">
        <v>4.1505817932922655</v>
      </c>
      <c r="I28" s="33">
        <v>5.6344969199178641</v>
      </c>
      <c r="J28" s="33">
        <v>9.7850787132101296</v>
      </c>
      <c r="K28" s="33">
        <v>4.1505817932922655</v>
      </c>
      <c r="L28" s="33" t="s">
        <v>7</v>
      </c>
      <c r="M28" s="33" t="s">
        <v>7</v>
      </c>
      <c r="N28" s="33">
        <v>4.1451060917180014</v>
      </c>
      <c r="O28" s="33">
        <v>5.5961670088980151</v>
      </c>
      <c r="P28" s="33">
        <v>9.7412731006160165</v>
      </c>
      <c r="Q28" s="33" t="s">
        <v>7</v>
      </c>
      <c r="R28" s="33" t="s">
        <v>7</v>
      </c>
      <c r="S28" s="33" t="s">
        <v>7</v>
      </c>
      <c r="T28" s="4">
        <v>4</v>
      </c>
      <c r="U28" s="4">
        <v>16</v>
      </c>
      <c r="V28" s="4" t="s">
        <v>1</v>
      </c>
      <c r="W28" s="4">
        <v>1</v>
      </c>
      <c r="X28" s="4">
        <v>3</v>
      </c>
      <c r="Y28" s="4">
        <v>1</v>
      </c>
      <c r="Z28" s="56">
        <v>3</v>
      </c>
      <c r="AA28" s="9" cm="1">
        <f t="array" ref="AA28">IF(OR(AB28:AE28=""),"BLANK",IF(AND(AB28:AE28&lt;999),1,IF(AND(AB28:AE28="NA"),3,2)))</f>
        <v>1</v>
      </c>
      <c r="AB28" s="4">
        <v>34</v>
      </c>
      <c r="AC28" s="4">
        <v>19</v>
      </c>
      <c r="AD28" s="4">
        <v>19</v>
      </c>
      <c r="AE28" s="5">
        <v>72</v>
      </c>
      <c r="AF28" s="9">
        <f t="shared" si="0"/>
        <v>1</v>
      </c>
      <c r="AG28" s="5">
        <v>59</v>
      </c>
      <c r="AH28" s="9" cm="1">
        <f t="array" ref="AH28">IF(OR(AI28:AN28=""),"BLANK",IF(AND(AI28:AN28&lt;999),1,IF(AND(AI28:AN28="NA"),3,2)))</f>
        <v>1</v>
      </c>
      <c r="AI28" s="37">
        <v>39</v>
      </c>
      <c r="AJ28" s="37">
        <v>48</v>
      </c>
      <c r="AK28" s="37">
        <v>90</v>
      </c>
      <c r="AL28" s="37">
        <v>89</v>
      </c>
      <c r="AM28" s="37">
        <v>23</v>
      </c>
      <c r="AN28" s="38">
        <v>39</v>
      </c>
    </row>
    <row r="29" spans="1:40" x14ac:dyDescent="0.2">
      <c r="A29" s="16">
        <v>335</v>
      </c>
      <c r="B29" s="4" t="s">
        <v>47</v>
      </c>
      <c r="C29" s="30" t="s">
        <v>23</v>
      </c>
      <c r="D29" s="30">
        <v>5</v>
      </c>
      <c r="E29" s="30">
        <v>0</v>
      </c>
      <c r="F29" s="54" t="s">
        <v>6</v>
      </c>
      <c r="G29" s="30">
        <v>28</v>
      </c>
      <c r="H29" s="33">
        <v>4.3969883641341543</v>
      </c>
      <c r="I29" s="33">
        <v>5.2950034223134841</v>
      </c>
      <c r="J29" s="33">
        <v>9.6919917864476393</v>
      </c>
      <c r="K29" s="33">
        <v>4.4380561259411362</v>
      </c>
      <c r="L29" s="33">
        <v>5.2539356605065022</v>
      </c>
      <c r="M29" s="33">
        <v>9.6919917864476393</v>
      </c>
      <c r="N29" s="33">
        <v>4.3641341546885695</v>
      </c>
      <c r="O29" s="33">
        <v>5.2867898699520879</v>
      </c>
      <c r="P29" s="33">
        <v>9.6509240246406574</v>
      </c>
      <c r="Q29" s="33">
        <v>3.0198494182067077</v>
      </c>
      <c r="R29" s="33" t="s">
        <v>7</v>
      </c>
      <c r="S29" s="33" t="s">
        <v>7</v>
      </c>
      <c r="T29" s="4">
        <v>4</v>
      </c>
      <c r="U29" s="4">
        <v>16</v>
      </c>
      <c r="V29" s="4" t="s">
        <v>1</v>
      </c>
      <c r="W29" s="4">
        <v>1</v>
      </c>
      <c r="X29" s="4">
        <v>3</v>
      </c>
      <c r="Y29" s="4">
        <v>1</v>
      </c>
      <c r="Z29" s="56">
        <v>3</v>
      </c>
      <c r="AA29" s="9" cm="1">
        <f t="array" ref="AA29">IF(OR(AB29:AE29=""),"BLANK",IF(AND(AB29:AE29&lt;999),1,IF(AND(AB29:AE29="NA"),3,2)))</f>
        <v>1</v>
      </c>
      <c r="AB29" s="4">
        <v>25</v>
      </c>
      <c r="AC29" s="4">
        <v>16</v>
      </c>
      <c r="AD29" s="4">
        <v>13</v>
      </c>
      <c r="AE29" s="5">
        <v>54</v>
      </c>
      <c r="AF29" s="9">
        <f t="shared" si="0"/>
        <v>1</v>
      </c>
      <c r="AG29" s="5">
        <v>43</v>
      </c>
      <c r="AH29" s="9" cm="1">
        <f t="array" ref="AH29">IF(OR(AI29:AN29=""),"BLANK",IF(AND(AI29:AN29&lt;999),1,IF(AND(AI29:AN29="NA"),3,2)))</f>
        <v>1</v>
      </c>
      <c r="AI29" s="37">
        <v>29</v>
      </c>
      <c r="AJ29" s="37">
        <v>31</v>
      </c>
      <c r="AK29" s="37">
        <v>69</v>
      </c>
      <c r="AL29" s="37">
        <v>74</v>
      </c>
      <c r="AM29" s="37">
        <v>4</v>
      </c>
      <c r="AN29" s="38">
        <v>27</v>
      </c>
    </row>
    <row r="30" spans="1:40" x14ac:dyDescent="0.2">
      <c r="A30" s="16">
        <v>341</v>
      </c>
      <c r="B30" s="4" t="s">
        <v>66</v>
      </c>
      <c r="C30" s="30" t="s">
        <v>24</v>
      </c>
      <c r="D30" s="30">
        <v>5</v>
      </c>
      <c r="E30" s="30">
        <v>0</v>
      </c>
      <c r="F30" s="54" t="s">
        <v>6</v>
      </c>
      <c r="G30" s="30">
        <v>29</v>
      </c>
      <c r="H30" s="33">
        <v>4.1642710472279258</v>
      </c>
      <c r="I30" s="33">
        <v>5.5167693360711842</v>
      </c>
      <c r="J30" s="33">
        <v>9.681040383299111</v>
      </c>
      <c r="K30" s="33">
        <v>4.1587953456536617</v>
      </c>
      <c r="L30" s="33">
        <v>5.5167693360711842</v>
      </c>
      <c r="M30" s="33">
        <v>9.6755646817248468</v>
      </c>
      <c r="N30" s="33">
        <v>4.1806981519507183</v>
      </c>
      <c r="O30" s="33">
        <v>5.4592744695414099</v>
      </c>
      <c r="P30" s="33">
        <v>9.6399726214921291</v>
      </c>
      <c r="Q30" s="33">
        <v>3.2169746748802188</v>
      </c>
      <c r="R30" s="33">
        <v>6.3436002737850785</v>
      </c>
      <c r="S30" s="33">
        <v>9.5605749486652982</v>
      </c>
      <c r="T30" s="4">
        <v>3</v>
      </c>
      <c r="U30" s="4">
        <v>13</v>
      </c>
      <c r="V30" s="4" t="s">
        <v>1</v>
      </c>
      <c r="W30" s="4">
        <v>1</v>
      </c>
      <c r="X30" s="4">
        <v>3</v>
      </c>
      <c r="Y30" s="4">
        <v>1</v>
      </c>
      <c r="Z30" s="56">
        <v>3</v>
      </c>
      <c r="AA30" s="9" cm="1">
        <f t="array" ref="AA30">IF(OR(AB30:AE30=""),"BLANK",IF(AND(AB30:AE30&lt;999),1,IF(AND(AB30:AE30="NA"),3,2)))</f>
        <v>1</v>
      </c>
      <c r="AB30" s="4">
        <v>26</v>
      </c>
      <c r="AC30" s="4">
        <v>14</v>
      </c>
      <c r="AD30" s="4">
        <v>8</v>
      </c>
      <c r="AE30" s="5">
        <v>48</v>
      </c>
      <c r="AF30" s="9">
        <f t="shared" si="0"/>
        <v>1</v>
      </c>
      <c r="AG30" s="5">
        <v>41</v>
      </c>
      <c r="AH30" s="9" cm="1">
        <f t="array" ref="AH30">IF(OR(AI30:AN30=""),"BLANK",IF(AND(AI30:AN30&lt;999),1,IF(AND(AI30:AN30="NA"),3,2)))</f>
        <v>1</v>
      </c>
      <c r="AI30" s="37">
        <v>44</v>
      </c>
      <c r="AJ30" s="37">
        <v>56</v>
      </c>
      <c r="AK30" s="37">
        <v>101</v>
      </c>
      <c r="AL30" s="37">
        <v>118</v>
      </c>
      <c r="AM30" s="37">
        <v>89</v>
      </c>
      <c r="AN30" s="38">
        <v>61</v>
      </c>
    </row>
    <row r="31" spans="1:40" x14ac:dyDescent="0.2">
      <c r="A31" s="16">
        <v>346</v>
      </c>
      <c r="B31" s="4" t="s">
        <v>52</v>
      </c>
      <c r="C31" s="30" t="s">
        <v>23</v>
      </c>
      <c r="D31" s="30">
        <v>5</v>
      </c>
      <c r="E31" s="30">
        <v>0</v>
      </c>
      <c r="F31" s="54" t="s">
        <v>6</v>
      </c>
      <c r="G31" s="30">
        <v>30</v>
      </c>
      <c r="H31" s="33">
        <v>4.2518822724161529</v>
      </c>
      <c r="I31" s="33">
        <v>5.5824777549623548</v>
      </c>
      <c r="J31" s="33">
        <v>9.8343600273785086</v>
      </c>
      <c r="K31" s="33">
        <v>4.26009582477755</v>
      </c>
      <c r="L31" s="33">
        <v>5.5742642026009586</v>
      </c>
      <c r="M31" s="33">
        <v>9.8343600273785086</v>
      </c>
      <c r="N31" s="33">
        <v>4.1861738535249833</v>
      </c>
      <c r="O31" s="33">
        <v>5.2511978097193701</v>
      </c>
      <c r="P31" s="33">
        <v>9.4373716632443525</v>
      </c>
      <c r="Q31" s="33">
        <v>3.2799452429842573</v>
      </c>
      <c r="R31" s="33">
        <v>6.2067077344284733</v>
      </c>
      <c r="S31" s="33">
        <v>9.4866529774127315</v>
      </c>
      <c r="T31" s="4">
        <v>3</v>
      </c>
      <c r="U31" s="4">
        <v>14</v>
      </c>
      <c r="V31" s="4" t="s">
        <v>1</v>
      </c>
      <c r="W31" s="4">
        <v>1</v>
      </c>
      <c r="X31" s="4">
        <v>3</v>
      </c>
      <c r="Y31" s="4">
        <v>1</v>
      </c>
      <c r="Z31" s="56">
        <v>3</v>
      </c>
      <c r="AA31" s="9" cm="1">
        <f t="array" ref="AA31">IF(OR(AB31:AE31=""),"BLANK",IF(AND(AB31:AE31&lt;999),1,IF(AND(AB31:AE31="NA"),3,2)))</f>
        <v>1</v>
      </c>
      <c r="AB31" s="4">
        <v>29</v>
      </c>
      <c r="AC31" s="4">
        <v>17</v>
      </c>
      <c r="AD31" s="4">
        <v>15</v>
      </c>
      <c r="AE31" s="5">
        <v>61</v>
      </c>
      <c r="AF31" s="9">
        <f t="shared" si="0"/>
        <v>1</v>
      </c>
      <c r="AG31" s="5">
        <v>47</v>
      </c>
      <c r="AH31" s="9" cm="1">
        <f t="array" ref="AH31">IF(OR(AI31:AN31=""),"BLANK",IF(AND(AI31:AN31&lt;999),1,IF(AND(AI31:AN31="NA"),3,2)))</f>
        <v>1</v>
      </c>
      <c r="AI31" s="37">
        <v>26</v>
      </c>
      <c r="AJ31" s="37">
        <v>26</v>
      </c>
      <c r="AK31" s="37">
        <v>63</v>
      </c>
      <c r="AL31" s="37">
        <v>64</v>
      </c>
      <c r="AM31" s="37">
        <v>1</v>
      </c>
      <c r="AN31" s="38">
        <v>19</v>
      </c>
    </row>
    <row r="32" spans="1:40" x14ac:dyDescent="0.2">
      <c r="A32" s="16">
        <v>360</v>
      </c>
      <c r="B32" s="4" t="s">
        <v>66</v>
      </c>
      <c r="C32" s="30" t="s">
        <v>24</v>
      </c>
      <c r="D32" s="30">
        <v>5</v>
      </c>
      <c r="E32" s="30">
        <v>0</v>
      </c>
      <c r="F32" s="54" t="s">
        <v>6</v>
      </c>
      <c r="G32" s="30">
        <v>30</v>
      </c>
      <c r="H32" s="33">
        <v>3.808350444900753</v>
      </c>
      <c r="I32" s="33">
        <v>5.4099931553730318</v>
      </c>
      <c r="J32" s="33">
        <v>9.2183436002737853</v>
      </c>
      <c r="K32" s="33">
        <v>3.8329911019849416</v>
      </c>
      <c r="L32" s="33">
        <v>5.4674880219028061</v>
      </c>
      <c r="M32" s="33">
        <v>9.3004791238877473</v>
      </c>
      <c r="N32" s="33">
        <v>3.8439425051334704</v>
      </c>
      <c r="O32" s="33">
        <v>5.160848733744011</v>
      </c>
      <c r="P32" s="33">
        <v>9.0047912388774805</v>
      </c>
      <c r="Q32" s="33">
        <v>3.2936344969199181</v>
      </c>
      <c r="R32" s="33">
        <v>6.1683778234086244</v>
      </c>
      <c r="S32" s="33">
        <v>9.462012320328542</v>
      </c>
      <c r="T32" s="4">
        <v>6</v>
      </c>
      <c r="U32" s="4">
        <v>18</v>
      </c>
      <c r="V32" s="4" t="s">
        <v>1</v>
      </c>
      <c r="W32" s="4">
        <v>1</v>
      </c>
      <c r="X32" s="4">
        <v>3</v>
      </c>
      <c r="Y32" s="4">
        <v>1</v>
      </c>
      <c r="Z32" s="56">
        <v>3</v>
      </c>
      <c r="AA32" s="9" cm="1">
        <f t="array" ref="AA32">IF(OR(AB32:AE32=""),"BLANK",IF(AND(AB32:AE32&lt;999),1,IF(AND(AB32:AE32="NA"),3,2)))</f>
        <v>1</v>
      </c>
      <c r="AB32" s="4">
        <v>28</v>
      </c>
      <c r="AC32" s="4">
        <v>19</v>
      </c>
      <c r="AD32" s="4">
        <v>11</v>
      </c>
      <c r="AE32" s="5">
        <v>58</v>
      </c>
      <c r="AF32" s="9">
        <f t="shared" si="0"/>
        <v>1</v>
      </c>
      <c r="AG32" s="5">
        <v>49</v>
      </c>
      <c r="AH32" s="9" cm="1">
        <f t="array" ref="AH32">IF(OR(AI32:AN32=""),"BLANK",IF(AND(AI32:AN32&lt;999),1,IF(AND(AI32:AN32="NA"),3,2)))</f>
        <v>3</v>
      </c>
      <c r="AI32" s="37" t="s">
        <v>7</v>
      </c>
      <c r="AJ32" s="37" t="s">
        <v>7</v>
      </c>
      <c r="AK32" s="37" t="s">
        <v>7</v>
      </c>
      <c r="AL32" s="37" t="s">
        <v>7</v>
      </c>
      <c r="AM32" s="37" t="s">
        <v>7</v>
      </c>
      <c r="AN32" s="38" t="s">
        <v>7</v>
      </c>
    </row>
    <row r="33" spans="1:40" x14ac:dyDescent="0.2">
      <c r="A33" s="16">
        <v>361</v>
      </c>
      <c r="B33" s="4" t="s">
        <v>47</v>
      </c>
      <c r="C33" s="30" t="s">
        <v>23</v>
      </c>
      <c r="D33" s="30">
        <v>5</v>
      </c>
      <c r="E33" s="30">
        <v>0</v>
      </c>
      <c r="F33" s="54" t="s">
        <v>6</v>
      </c>
      <c r="G33" s="30">
        <v>28</v>
      </c>
      <c r="H33" s="33">
        <v>4.1040383299110195</v>
      </c>
      <c r="I33" s="33">
        <v>5.4948665297741277</v>
      </c>
      <c r="J33" s="33">
        <v>9.5989048596851472</v>
      </c>
      <c r="K33" s="33">
        <v>4.1040383299110195</v>
      </c>
      <c r="L33" s="33">
        <v>5.5030800821355239</v>
      </c>
      <c r="M33" s="33">
        <v>9.6071184120465443</v>
      </c>
      <c r="N33" s="33" t="s">
        <v>7</v>
      </c>
      <c r="O33" s="33" t="s">
        <v>7</v>
      </c>
      <c r="P33" s="33">
        <v>9.3716632443531829</v>
      </c>
      <c r="Q33" s="33" t="s">
        <v>7</v>
      </c>
      <c r="R33" s="33" t="s">
        <v>7</v>
      </c>
      <c r="S33" s="33">
        <v>9.6536618754277885</v>
      </c>
      <c r="T33" s="4">
        <v>3</v>
      </c>
      <c r="U33" s="4">
        <v>13</v>
      </c>
      <c r="V33" s="4" t="s">
        <v>1</v>
      </c>
      <c r="W33" s="4">
        <v>1</v>
      </c>
      <c r="X33" s="4">
        <v>3</v>
      </c>
      <c r="Y33" s="4">
        <v>1</v>
      </c>
      <c r="Z33" s="56">
        <v>3</v>
      </c>
      <c r="AA33" s="9" cm="1">
        <f t="array" ref="AA33">IF(OR(AB33:AE33=""),"BLANK",IF(AND(AB33:AE33&lt;999),1,IF(AND(AB33:AE33="NA"),3,2)))</f>
        <v>1</v>
      </c>
      <c r="AB33" s="4">
        <v>26</v>
      </c>
      <c r="AC33" s="4">
        <v>13</v>
      </c>
      <c r="AD33" s="4">
        <v>13</v>
      </c>
      <c r="AE33" s="5">
        <v>52</v>
      </c>
      <c r="AF33" s="9">
        <f t="shared" si="0"/>
        <v>1</v>
      </c>
      <c r="AG33" s="5">
        <v>40</v>
      </c>
      <c r="AH33" s="9" cm="1">
        <f t="array" ref="AH33">IF(OR(AI33:AN33=""),"BLANK",IF(AND(AI33:AN33&lt;999),1,IF(AND(AI33:AN33="NA"),3,2)))</f>
        <v>1</v>
      </c>
      <c r="AI33" s="37">
        <v>34</v>
      </c>
      <c r="AJ33" s="37">
        <v>39</v>
      </c>
      <c r="AK33" s="37">
        <v>80</v>
      </c>
      <c r="AL33" s="37">
        <v>89</v>
      </c>
      <c r="AM33" s="37">
        <v>23</v>
      </c>
      <c r="AN33" s="38">
        <v>39</v>
      </c>
    </row>
    <row r="34" spans="1:40" x14ac:dyDescent="0.2">
      <c r="A34" s="16">
        <v>378</v>
      </c>
      <c r="B34" s="4" t="s">
        <v>65</v>
      </c>
      <c r="C34" s="30" t="s">
        <v>23</v>
      </c>
      <c r="D34" s="30">
        <v>5</v>
      </c>
      <c r="E34" s="30">
        <v>0</v>
      </c>
      <c r="F34" s="54" t="s">
        <v>6</v>
      </c>
      <c r="G34" s="30">
        <v>27</v>
      </c>
      <c r="H34" s="33">
        <v>4.2518822724161529</v>
      </c>
      <c r="I34" s="33">
        <v>5.5824777549623548</v>
      </c>
      <c r="J34" s="33">
        <v>9.8343600273785086</v>
      </c>
      <c r="K34" s="33">
        <v>4.2518822724161529</v>
      </c>
      <c r="L34" s="33">
        <v>5.5824777549623548</v>
      </c>
      <c r="M34" s="33">
        <v>9.8343600273785086</v>
      </c>
      <c r="N34" s="33">
        <v>4.1861738535249833</v>
      </c>
      <c r="O34" s="33" t="s">
        <v>7</v>
      </c>
      <c r="P34" s="33" t="s">
        <v>7</v>
      </c>
      <c r="Q34" s="33" t="s">
        <v>7</v>
      </c>
      <c r="R34" s="33" t="s">
        <v>7</v>
      </c>
      <c r="S34" s="33" t="s">
        <v>7</v>
      </c>
      <c r="T34" s="4" t="s">
        <v>7</v>
      </c>
      <c r="U34" s="4" t="s">
        <v>7</v>
      </c>
      <c r="V34" s="4" t="s">
        <v>1</v>
      </c>
      <c r="W34" s="4">
        <v>1</v>
      </c>
      <c r="X34" s="4">
        <v>3</v>
      </c>
      <c r="Y34" s="4">
        <v>1</v>
      </c>
      <c r="Z34" s="56">
        <v>3</v>
      </c>
      <c r="AA34" s="9" cm="1">
        <f t="array" ref="AA34">IF(OR(AB34:AE34=""),"BLANK",IF(AND(AB34:AE34&lt;999),1,IF(AND(AB34:AE34="NA"),3,2)))</f>
        <v>1</v>
      </c>
      <c r="AB34" s="4">
        <v>25</v>
      </c>
      <c r="AC34" s="4">
        <v>17</v>
      </c>
      <c r="AD34" s="4">
        <v>11</v>
      </c>
      <c r="AE34" s="5">
        <v>53</v>
      </c>
      <c r="AF34" s="9">
        <f t="shared" si="0"/>
        <v>1</v>
      </c>
      <c r="AG34" s="5">
        <v>41</v>
      </c>
      <c r="AH34" s="9" cm="1">
        <f t="array" ref="AH34">IF(OR(AI34:AN34=""),"BLANK",IF(AND(AI34:AN34&lt;999),1,IF(AND(AI34:AN34="NA"),3,2)))</f>
        <v>1</v>
      </c>
      <c r="AI34" s="37">
        <v>34</v>
      </c>
      <c r="AJ34" s="37">
        <v>39</v>
      </c>
      <c r="AK34" s="37">
        <v>80</v>
      </c>
      <c r="AL34" s="37">
        <v>94</v>
      </c>
      <c r="AM34" s="37">
        <v>36</v>
      </c>
      <c r="AN34" s="38">
        <v>44</v>
      </c>
    </row>
    <row r="35" spans="1:40" x14ac:dyDescent="0.2">
      <c r="A35" s="16">
        <v>383</v>
      </c>
      <c r="B35" s="4" t="s">
        <v>65</v>
      </c>
      <c r="C35" s="30" t="s">
        <v>23</v>
      </c>
      <c r="D35" s="30">
        <v>5</v>
      </c>
      <c r="E35" s="30">
        <v>0</v>
      </c>
      <c r="F35" s="54" t="s">
        <v>6</v>
      </c>
      <c r="G35" s="30">
        <v>30</v>
      </c>
      <c r="H35" s="33">
        <v>3.9452429842573578</v>
      </c>
      <c r="I35" s="33">
        <v>5.5003422313483918</v>
      </c>
      <c r="J35" s="33">
        <v>9.4455852156057496</v>
      </c>
      <c r="K35" s="33">
        <v>3.9452429842573578</v>
      </c>
      <c r="L35" s="33">
        <v>5.5605749486652973</v>
      </c>
      <c r="M35" s="33">
        <v>9.5058179329226551</v>
      </c>
      <c r="N35" s="33">
        <v>3.7700205338809036</v>
      </c>
      <c r="O35" s="33">
        <v>5.2429842573579739</v>
      </c>
      <c r="P35" s="33">
        <v>9.0130047912388775</v>
      </c>
      <c r="Q35" s="33">
        <v>3.2553045859000687</v>
      </c>
      <c r="R35" s="33">
        <v>6.1683778234086244</v>
      </c>
      <c r="S35" s="33">
        <v>9.4236824093086931</v>
      </c>
      <c r="T35" s="4">
        <v>3</v>
      </c>
      <c r="U35" s="4">
        <v>13</v>
      </c>
      <c r="V35" s="4" t="s">
        <v>1</v>
      </c>
      <c r="W35" s="4">
        <v>1</v>
      </c>
      <c r="X35" s="4">
        <v>3</v>
      </c>
      <c r="Y35" s="4">
        <v>1</v>
      </c>
      <c r="Z35" s="56">
        <v>3</v>
      </c>
      <c r="AA35" s="9" cm="1">
        <f t="array" ref="AA35">IF(OR(AB35:AE35=""),"BLANK",IF(AND(AB35:AE35&lt;999),1,IF(AND(AB35:AE35="NA"),3,2)))</f>
        <v>1</v>
      </c>
      <c r="AB35" s="4">
        <v>30</v>
      </c>
      <c r="AC35" s="4">
        <v>17</v>
      </c>
      <c r="AD35" s="4">
        <v>14</v>
      </c>
      <c r="AE35" s="5">
        <v>61</v>
      </c>
      <c r="AF35" s="9">
        <f t="shared" si="0"/>
        <v>1</v>
      </c>
      <c r="AG35" s="5">
        <v>48</v>
      </c>
      <c r="AH35" s="9" cm="1">
        <f t="array" ref="AH35">IF(OR(AI35:AN35=""),"BLANK",IF(AND(AI35:AN35&lt;999),1,IF(AND(AI35:AN35="NA"),3,2)))</f>
        <v>1</v>
      </c>
      <c r="AI35" s="37">
        <v>52</v>
      </c>
      <c r="AJ35" s="37">
        <v>69</v>
      </c>
      <c r="AK35" s="37">
        <v>117</v>
      </c>
      <c r="AL35" s="37">
        <v>149</v>
      </c>
      <c r="AM35" s="37">
        <v>99</v>
      </c>
      <c r="AN35" s="38">
        <v>86</v>
      </c>
    </row>
    <row r="36" spans="1:40" x14ac:dyDescent="0.2">
      <c r="A36" s="16">
        <v>458</v>
      </c>
      <c r="B36" s="4" t="s">
        <v>63</v>
      </c>
      <c r="C36" s="30" t="s">
        <v>23</v>
      </c>
      <c r="D36" s="30">
        <v>5</v>
      </c>
      <c r="E36" s="30">
        <v>0</v>
      </c>
      <c r="F36" s="54" t="s">
        <v>6</v>
      </c>
      <c r="G36" s="30">
        <v>30</v>
      </c>
      <c r="H36" s="33" t="s">
        <v>7</v>
      </c>
      <c r="I36" s="33" t="s">
        <v>7</v>
      </c>
      <c r="J36" s="33">
        <v>10.190280629705681</v>
      </c>
      <c r="K36" s="33" t="s">
        <v>7</v>
      </c>
      <c r="L36" s="33" t="s">
        <v>7</v>
      </c>
      <c r="M36" s="33">
        <v>10.190280629705681</v>
      </c>
      <c r="N36" s="33" t="s">
        <v>7</v>
      </c>
      <c r="O36" s="33" t="s">
        <v>7</v>
      </c>
      <c r="P36" s="33" t="s">
        <v>7</v>
      </c>
      <c r="Q36" s="33" t="s">
        <v>7</v>
      </c>
      <c r="R36" s="33" t="s">
        <v>7</v>
      </c>
      <c r="S36" s="33" t="s">
        <v>7</v>
      </c>
      <c r="T36" s="4">
        <v>4</v>
      </c>
      <c r="U36" s="4">
        <v>16</v>
      </c>
      <c r="V36" s="4" t="s">
        <v>1</v>
      </c>
      <c r="W36" s="4">
        <v>1</v>
      </c>
      <c r="X36" s="4">
        <v>3</v>
      </c>
      <c r="Y36" s="4">
        <v>1</v>
      </c>
      <c r="Z36" s="56">
        <v>3</v>
      </c>
      <c r="AA36" s="9" cm="1">
        <f t="array" ref="AA36">IF(OR(AB36:AE36=""),"BLANK",IF(AND(AB36:AE36&lt;999),1,IF(AND(AB36:AE36="NA"),3,2)))</f>
        <v>1</v>
      </c>
      <c r="AB36" s="4">
        <v>32</v>
      </c>
      <c r="AC36" s="4">
        <v>22</v>
      </c>
      <c r="AD36" s="4">
        <v>16</v>
      </c>
      <c r="AE36" s="5">
        <v>70</v>
      </c>
      <c r="AF36" s="9">
        <f t="shared" si="0"/>
        <v>1</v>
      </c>
      <c r="AG36" s="5">
        <v>60</v>
      </c>
      <c r="AH36" s="9" cm="1">
        <f t="array" ref="AH36">IF(OR(AI36:AN36=""),"BLANK",IF(AND(AI36:AN36&lt;999),1,IF(AND(AI36:AN36="NA"),3,2)))</f>
        <v>1</v>
      </c>
      <c r="AI36" s="37">
        <v>55</v>
      </c>
      <c r="AJ36" s="37">
        <v>74</v>
      </c>
      <c r="AK36" s="37">
        <v>124</v>
      </c>
      <c r="AL36" s="37">
        <v>121</v>
      </c>
      <c r="AM36" s="37">
        <v>92</v>
      </c>
      <c r="AN36" s="38">
        <v>73</v>
      </c>
    </row>
    <row r="37" spans="1:40" x14ac:dyDescent="0.2">
      <c r="A37" s="16">
        <v>465</v>
      </c>
      <c r="B37" s="4" t="s">
        <v>54</v>
      </c>
      <c r="C37" s="30" t="s">
        <v>23</v>
      </c>
      <c r="D37" s="30">
        <v>5</v>
      </c>
      <c r="E37" s="30">
        <v>0</v>
      </c>
      <c r="F37" s="54" t="s">
        <v>6</v>
      </c>
      <c r="G37" s="30">
        <v>30</v>
      </c>
      <c r="H37" s="33">
        <v>4.1806981519507183</v>
      </c>
      <c r="I37" s="33">
        <v>5.3278576317590689</v>
      </c>
      <c r="J37" s="33">
        <v>9.508555783709788</v>
      </c>
      <c r="K37" s="33">
        <v>4.1806981519507183</v>
      </c>
      <c r="L37" s="33">
        <v>5.3388090349075972</v>
      </c>
      <c r="M37" s="33">
        <v>9.5195071868583163</v>
      </c>
      <c r="N37" s="33">
        <v>4.0246406570841886</v>
      </c>
      <c r="O37" s="33">
        <v>5.0978781656399725</v>
      </c>
      <c r="P37" s="33">
        <v>9.122518822724162</v>
      </c>
      <c r="Q37" s="33">
        <v>3.3264887063655029</v>
      </c>
      <c r="R37" s="33">
        <v>6.3025325119780975</v>
      </c>
      <c r="S37" s="33">
        <v>9.6290212183436008</v>
      </c>
      <c r="T37" s="4">
        <v>6</v>
      </c>
      <c r="U37" s="4">
        <v>18</v>
      </c>
      <c r="V37" s="4" t="s">
        <v>1</v>
      </c>
      <c r="W37" s="4">
        <v>1</v>
      </c>
      <c r="X37" s="4">
        <v>3</v>
      </c>
      <c r="Y37" s="4">
        <v>1</v>
      </c>
      <c r="Z37" s="56">
        <v>3</v>
      </c>
      <c r="AA37" s="9" cm="1">
        <f t="array" ref="AA37">IF(OR(AB37:AE37=""),"BLANK",IF(AND(AB37:AE37&lt;999),1,IF(AND(AB37:AE37="NA"),3,2)))</f>
        <v>1</v>
      </c>
      <c r="AB37" s="4">
        <v>29</v>
      </c>
      <c r="AC37" s="4">
        <v>20</v>
      </c>
      <c r="AD37" s="4">
        <v>13</v>
      </c>
      <c r="AE37" s="5">
        <v>62</v>
      </c>
      <c r="AF37" s="9">
        <f t="shared" si="0"/>
        <v>1</v>
      </c>
      <c r="AG37" s="5">
        <v>39</v>
      </c>
      <c r="AH37" s="9" cm="1">
        <f t="array" ref="AH37">IF(OR(AI37:AN37=""),"BLANK",IF(AND(AI37:AN37&lt;999),1,IF(AND(AI37:AN37="NA"),3,2)))</f>
        <v>1</v>
      </c>
      <c r="AI37" s="37">
        <v>39</v>
      </c>
      <c r="AJ37" s="37">
        <v>48</v>
      </c>
      <c r="AK37" s="37">
        <v>90</v>
      </c>
      <c r="AL37" s="37">
        <v>94</v>
      </c>
      <c r="AM37" s="37">
        <v>35</v>
      </c>
      <c r="AN37" s="38">
        <v>44</v>
      </c>
    </row>
    <row r="38" spans="1:40" x14ac:dyDescent="0.2">
      <c r="A38" s="16">
        <v>466</v>
      </c>
      <c r="B38" s="4" t="s">
        <v>63</v>
      </c>
      <c r="C38" s="30" t="s">
        <v>23</v>
      </c>
      <c r="D38" s="30">
        <v>5</v>
      </c>
      <c r="E38" s="30">
        <v>0</v>
      </c>
      <c r="F38" s="54" t="s">
        <v>6</v>
      </c>
      <c r="G38" s="30">
        <v>30</v>
      </c>
      <c r="H38" s="33">
        <v>4.3723477070499657</v>
      </c>
      <c r="I38" s="33">
        <v>5.2703627652292946</v>
      </c>
      <c r="J38" s="33">
        <v>9.6427104722792603</v>
      </c>
      <c r="K38" s="33">
        <v>4.3641341546885695</v>
      </c>
      <c r="L38" s="33">
        <v>5.2703627652292946</v>
      </c>
      <c r="M38" s="33">
        <v>9.6344969199178649</v>
      </c>
      <c r="N38" s="33">
        <v>4.3312799452429847</v>
      </c>
      <c r="O38" s="33">
        <v>5.2676249144421625</v>
      </c>
      <c r="P38" s="33">
        <v>9.5989048596851472</v>
      </c>
      <c r="Q38" s="33" t="s">
        <v>7</v>
      </c>
      <c r="R38" s="33" t="s">
        <v>7</v>
      </c>
      <c r="S38" s="33" t="s">
        <v>7</v>
      </c>
      <c r="T38" s="4">
        <v>7</v>
      </c>
      <c r="U38" s="4">
        <v>21</v>
      </c>
      <c r="V38" s="4" t="s">
        <v>1</v>
      </c>
      <c r="W38" s="4">
        <v>1</v>
      </c>
      <c r="X38" s="4">
        <v>3</v>
      </c>
      <c r="Y38" s="4">
        <v>1</v>
      </c>
      <c r="Z38" s="56">
        <v>3</v>
      </c>
      <c r="AA38" s="9" cm="1">
        <f t="array" ref="AA38">IF(OR(AB38:AE38=""),"BLANK",IF(AND(AB38:AE38&lt;999),1,IF(AND(AB38:AE38="NA"),3,2)))</f>
        <v>1</v>
      </c>
      <c r="AB38" s="4">
        <v>41</v>
      </c>
      <c r="AC38" s="4">
        <v>17</v>
      </c>
      <c r="AD38" s="4">
        <v>14</v>
      </c>
      <c r="AE38" s="5">
        <v>72</v>
      </c>
      <c r="AF38" s="9">
        <f t="shared" si="0"/>
        <v>1</v>
      </c>
      <c r="AG38" s="5">
        <v>74</v>
      </c>
      <c r="AH38" s="9" cm="1">
        <f t="array" ref="AH38">IF(OR(AI38:AN38=""),"BLANK",IF(AND(AI38:AN38&lt;999),1,IF(AND(AI38:AN38="NA"),3,2)))</f>
        <v>1</v>
      </c>
      <c r="AI38" s="37">
        <v>58</v>
      </c>
      <c r="AJ38" s="37">
        <v>79</v>
      </c>
      <c r="AK38" s="37">
        <v>130</v>
      </c>
      <c r="AL38" s="37">
        <v>131</v>
      </c>
      <c r="AM38" s="37">
        <v>98</v>
      </c>
      <c r="AN38" s="38">
        <v>73</v>
      </c>
    </row>
    <row r="39" spans="1:40" x14ac:dyDescent="0.2">
      <c r="A39" s="16">
        <v>470</v>
      </c>
      <c r="B39" s="4" t="s">
        <v>63</v>
      </c>
      <c r="C39" s="30" t="s">
        <v>23</v>
      </c>
      <c r="D39" s="30">
        <v>5</v>
      </c>
      <c r="E39" s="30">
        <v>0</v>
      </c>
      <c r="F39" s="54" t="s">
        <v>6</v>
      </c>
      <c r="G39" s="30">
        <v>27</v>
      </c>
      <c r="H39" s="33">
        <v>4.0492813141683781</v>
      </c>
      <c r="I39" s="33">
        <v>6.1273100616016425</v>
      </c>
      <c r="J39" s="33">
        <v>10.17659137577002</v>
      </c>
      <c r="K39" s="33">
        <v>4.1642710472279258</v>
      </c>
      <c r="L39" s="33">
        <v>6.0123203285420947</v>
      </c>
      <c r="M39" s="33">
        <v>10.17659137577002</v>
      </c>
      <c r="N39" s="33" t="s">
        <v>7</v>
      </c>
      <c r="O39" s="33" t="s">
        <v>7</v>
      </c>
      <c r="P39" s="33">
        <v>10.061601642710473</v>
      </c>
      <c r="Q39" s="33" t="s">
        <v>7</v>
      </c>
      <c r="R39" s="33" t="s">
        <v>7</v>
      </c>
      <c r="S39" s="33" t="s">
        <v>7</v>
      </c>
      <c r="T39" s="4">
        <v>6</v>
      </c>
      <c r="U39" s="34">
        <v>18</v>
      </c>
      <c r="V39" s="4" t="s">
        <v>1</v>
      </c>
      <c r="W39" s="4">
        <v>1</v>
      </c>
      <c r="X39" s="4">
        <v>3</v>
      </c>
      <c r="Y39" s="4">
        <v>1</v>
      </c>
      <c r="Z39" s="56">
        <v>3</v>
      </c>
      <c r="AA39" s="9" cm="1">
        <f t="array" ref="AA39">IF(OR(AB39:AE39=""),"BLANK",IF(AND(AB39:AE39&lt;999),1,IF(AND(AB39:AE39="NA"),3,2)))</f>
        <v>1</v>
      </c>
      <c r="AB39" s="4">
        <v>43</v>
      </c>
      <c r="AC39" s="4">
        <v>21</v>
      </c>
      <c r="AD39" s="4">
        <v>19</v>
      </c>
      <c r="AE39" s="5">
        <v>83</v>
      </c>
      <c r="AF39" s="9">
        <f t="shared" si="0"/>
        <v>1</v>
      </c>
      <c r="AG39" s="5">
        <v>82</v>
      </c>
      <c r="AH39" s="9" cm="1">
        <f t="array" ref="AH39">IF(OR(AI39:AN39=""),"BLANK",IF(AND(AI39:AN39&lt;999),1,IF(AND(AI39:AN39="NA"),3,2)))</f>
        <v>1</v>
      </c>
      <c r="AI39" s="37">
        <v>53</v>
      </c>
      <c r="AJ39" s="37">
        <v>71</v>
      </c>
      <c r="AK39" s="37">
        <v>120</v>
      </c>
      <c r="AL39" s="37">
        <v>115</v>
      </c>
      <c r="AM39" s="37">
        <v>84</v>
      </c>
      <c r="AN39" s="38">
        <v>59</v>
      </c>
    </row>
    <row r="40" spans="1:40" x14ac:dyDescent="0.2">
      <c r="A40" s="16">
        <v>492</v>
      </c>
      <c r="B40" s="4" t="s">
        <v>65</v>
      </c>
      <c r="C40" s="30" t="s">
        <v>23</v>
      </c>
      <c r="D40" s="30">
        <v>5</v>
      </c>
      <c r="E40" s="30">
        <v>0</v>
      </c>
      <c r="F40" s="54" t="s">
        <v>6</v>
      </c>
      <c r="G40" s="30">
        <v>29</v>
      </c>
      <c r="H40" s="33">
        <v>4.0246406570841886</v>
      </c>
      <c r="I40" s="33">
        <v>6.1765913757700206</v>
      </c>
      <c r="J40" s="33">
        <v>10.201232032854209</v>
      </c>
      <c r="K40" s="33">
        <v>4.0246406570841886</v>
      </c>
      <c r="L40" s="33">
        <v>6.1765913757700206</v>
      </c>
      <c r="M40" s="33">
        <v>10.201232032854209</v>
      </c>
      <c r="N40" s="33">
        <v>4.043805612594114</v>
      </c>
      <c r="O40" s="33" t="s">
        <v>7</v>
      </c>
      <c r="P40" s="33" t="s">
        <v>7</v>
      </c>
      <c r="Q40" s="33" t="s">
        <v>7</v>
      </c>
      <c r="R40" s="33" t="s">
        <v>7</v>
      </c>
      <c r="S40" s="33" t="s">
        <v>7</v>
      </c>
      <c r="T40" s="4" t="s">
        <v>7</v>
      </c>
      <c r="U40" s="4" t="s">
        <v>7</v>
      </c>
      <c r="V40" s="4" t="s">
        <v>1</v>
      </c>
      <c r="W40" s="4">
        <v>1</v>
      </c>
      <c r="X40" s="4">
        <v>3</v>
      </c>
      <c r="Y40" s="4">
        <v>1</v>
      </c>
      <c r="Z40" s="56">
        <v>3</v>
      </c>
      <c r="AA40" s="9" cm="1">
        <f t="array" ref="AA40">IF(OR(AB40:AE40=""),"BLANK",IF(AND(AB40:AE40&lt;999),1,IF(AND(AB40:AE40="NA"),3,2)))</f>
        <v>3</v>
      </c>
      <c r="AB40" s="4" t="s">
        <v>7</v>
      </c>
      <c r="AC40" s="4" t="s">
        <v>7</v>
      </c>
      <c r="AD40" s="4" t="s">
        <v>7</v>
      </c>
      <c r="AE40" s="5" t="s">
        <v>7</v>
      </c>
      <c r="AF40" s="9">
        <f t="shared" si="0"/>
        <v>3</v>
      </c>
      <c r="AG40" s="5" t="s">
        <v>7</v>
      </c>
      <c r="AH40" s="9" cm="1">
        <f t="array" ref="AH40">IF(OR(AI40:AN40=""),"BLANK",IF(AND(AI40:AN40&lt;999),1,IF(AND(AI40:AN40="NA"),3,2)))</f>
        <v>1</v>
      </c>
      <c r="AI40" s="37">
        <v>49</v>
      </c>
      <c r="AJ40" s="37">
        <v>64</v>
      </c>
      <c r="AK40" s="37">
        <v>111</v>
      </c>
      <c r="AL40" s="37">
        <v>135</v>
      </c>
      <c r="AM40" s="37">
        <v>99</v>
      </c>
      <c r="AN40" s="38">
        <v>74</v>
      </c>
    </row>
    <row r="41" spans="1:40" x14ac:dyDescent="0.2">
      <c r="A41" s="16">
        <v>503</v>
      </c>
      <c r="B41" s="4" t="s">
        <v>52</v>
      </c>
      <c r="C41" s="30" t="s">
        <v>23</v>
      </c>
      <c r="D41" s="30">
        <v>5</v>
      </c>
      <c r="E41" s="30">
        <v>0</v>
      </c>
      <c r="F41" s="54" t="s">
        <v>6</v>
      </c>
      <c r="G41" s="30">
        <v>30</v>
      </c>
      <c r="H41" s="33">
        <v>4.2573579739904179</v>
      </c>
      <c r="I41" s="33">
        <v>6.0670773442847361</v>
      </c>
      <c r="J41" s="33">
        <v>10.324435318275153</v>
      </c>
      <c r="K41" s="33">
        <v>4.2628336755646821</v>
      </c>
      <c r="L41" s="33">
        <v>6.061601642710472</v>
      </c>
      <c r="M41" s="33">
        <v>10.324435318275153</v>
      </c>
      <c r="N41" s="33">
        <v>4.0766598220396988</v>
      </c>
      <c r="O41" s="33">
        <v>6.0479123887748116</v>
      </c>
      <c r="P41" s="33">
        <v>10.124572210814511</v>
      </c>
      <c r="Q41" s="33" t="s">
        <v>7</v>
      </c>
      <c r="R41" s="33" t="s">
        <v>7</v>
      </c>
      <c r="S41" s="33" t="s">
        <v>7</v>
      </c>
      <c r="T41" s="4">
        <v>3</v>
      </c>
      <c r="U41" s="4">
        <v>14</v>
      </c>
      <c r="V41" s="4" t="s">
        <v>1</v>
      </c>
      <c r="W41" s="4">
        <v>1</v>
      </c>
      <c r="X41" s="4">
        <v>3</v>
      </c>
      <c r="Y41" s="4">
        <v>1</v>
      </c>
      <c r="Z41" s="56">
        <v>3</v>
      </c>
      <c r="AA41" s="9" cm="1">
        <f t="array" ref="AA41">IF(OR(AB41:AE41=""),"BLANK",IF(AND(AB41:AE41&lt;999),1,IF(AND(AB41:AE41="NA"),3,2)))</f>
        <v>1</v>
      </c>
      <c r="AB41" s="4">
        <v>32</v>
      </c>
      <c r="AC41" s="4">
        <v>21</v>
      </c>
      <c r="AD41" s="4">
        <v>17</v>
      </c>
      <c r="AE41" s="5">
        <v>70</v>
      </c>
      <c r="AF41" s="9">
        <f t="shared" si="0"/>
        <v>1</v>
      </c>
      <c r="AG41" s="5">
        <v>51</v>
      </c>
      <c r="AH41" s="9" cm="1">
        <f t="array" ref="AH41">IF(OR(AI41:AN41=""),"BLANK",IF(AND(AI41:AN41&lt;999),1,IF(AND(AI41:AN41="NA"),3,2)))</f>
        <v>1</v>
      </c>
      <c r="AI41" s="37">
        <v>45</v>
      </c>
      <c r="AJ41" s="37">
        <v>58</v>
      </c>
      <c r="AK41" s="37">
        <v>103</v>
      </c>
      <c r="AL41" s="37">
        <v>126</v>
      </c>
      <c r="AM41" s="37">
        <v>96</v>
      </c>
      <c r="AN41" s="38">
        <v>67</v>
      </c>
    </row>
    <row r="42" spans="1:40" x14ac:dyDescent="0.2">
      <c r="A42" s="16">
        <v>509</v>
      </c>
      <c r="B42" s="4" t="s">
        <v>48</v>
      </c>
      <c r="C42" s="30" t="s">
        <v>23</v>
      </c>
      <c r="D42" s="30">
        <v>5</v>
      </c>
      <c r="E42" s="30">
        <v>1</v>
      </c>
      <c r="F42" s="54" t="s">
        <v>6</v>
      </c>
      <c r="G42" s="30">
        <v>29</v>
      </c>
      <c r="H42" s="33">
        <v>4.0109514031485283</v>
      </c>
      <c r="I42" s="33">
        <v>6.0041067761806985</v>
      </c>
      <c r="J42" s="33">
        <v>10.015058179329227</v>
      </c>
      <c r="K42" s="33">
        <v>4.0109514031485283</v>
      </c>
      <c r="L42" s="33">
        <v>6.0041067761806985</v>
      </c>
      <c r="M42" s="33">
        <v>10.015058179329227</v>
      </c>
      <c r="N42" s="33">
        <v>3.9863107460643397</v>
      </c>
      <c r="O42" s="33">
        <v>5.7275838466803561</v>
      </c>
      <c r="P42" s="33">
        <v>9.7138945927446958</v>
      </c>
      <c r="Q42" s="33" t="s">
        <v>7</v>
      </c>
      <c r="R42" s="33" t="s">
        <v>7</v>
      </c>
      <c r="S42" s="33" t="s">
        <v>7</v>
      </c>
      <c r="T42" s="4">
        <v>4</v>
      </c>
      <c r="U42" s="4">
        <v>16</v>
      </c>
      <c r="V42" s="4" t="s">
        <v>1</v>
      </c>
      <c r="W42" s="4">
        <v>1</v>
      </c>
      <c r="X42" s="4">
        <v>3</v>
      </c>
      <c r="Y42" s="4">
        <v>1</v>
      </c>
      <c r="Z42" s="56">
        <v>3</v>
      </c>
      <c r="AA42" s="9" cm="1">
        <f t="array" ref="AA42">IF(OR(AB42:AE42=""),"BLANK",IF(AND(AB42:AE42&lt;999),1,IF(AND(AB42:AE42="NA"),3,2)))</f>
        <v>1</v>
      </c>
      <c r="AB42" s="4">
        <v>38</v>
      </c>
      <c r="AC42" s="4">
        <v>23</v>
      </c>
      <c r="AD42" s="4">
        <v>15</v>
      </c>
      <c r="AE42" s="5">
        <v>76</v>
      </c>
      <c r="AF42" s="9">
        <f t="shared" si="0"/>
        <v>1</v>
      </c>
      <c r="AG42" s="5">
        <v>56</v>
      </c>
      <c r="AH42" s="9" cm="1">
        <f t="array" ref="AH42">IF(OR(AI42:AN42=""),"BLANK",IF(AND(AI42:AN42&lt;999),1,IF(AND(AI42:AN42="NA"),3,2)))</f>
        <v>1</v>
      </c>
      <c r="AI42" s="37">
        <v>48</v>
      </c>
      <c r="AJ42" s="37">
        <v>62</v>
      </c>
      <c r="AK42" s="37">
        <v>109</v>
      </c>
      <c r="AL42" s="37">
        <v>127</v>
      </c>
      <c r="AM42" s="37">
        <v>96</v>
      </c>
      <c r="AN42" s="38">
        <v>67</v>
      </c>
    </row>
    <row r="43" spans="1:40" x14ac:dyDescent="0.2">
      <c r="A43" s="16">
        <v>557</v>
      </c>
      <c r="B43" s="4" t="s">
        <v>48</v>
      </c>
      <c r="C43" s="30" t="s">
        <v>23</v>
      </c>
      <c r="D43" s="30">
        <v>5</v>
      </c>
      <c r="E43" s="30">
        <v>0</v>
      </c>
      <c r="F43" s="54" t="s">
        <v>6</v>
      </c>
      <c r="G43" s="30">
        <v>30</v>
      </c>
      <c r="H43" s="33">
        <v>4.1122518822724166</v>
      </c>
      <c r="I43" s="33">
        <v>5.675564681724846</v>
      </c>
      <c r="J43" s="33">
        <v>9.7878165639972625</v>
      </c>
      <c r="K43" s="33">
        <v>4.2491444216290208</v>
      </c>
      <c r="L43" s="33">
        <v>5.7878165639972625</v>
      </c>
      <c r="M43" s="33">
        <v>10.036960985626283</v>
      </c>
      <c r="N43" s="33">
        <v>4.1451060917180014</v>
      </c>
      <c r="O43" s="33">
        <v>5.5961670088980151</v>
      </c>
      <c r="P43" s="33">
        <v>9.7412731006160165</v>
      </c>
      <c r="Q43" s="33">
        <v>3.2553045859000687</v>
      </c>
      <c r="R43" s="33">
        <v>6.4750171115674195</v>
      </c>
      <c r="S43" s="33">
        <v>9.7303216974674882</v>
      </c>
      <c r="T43" s="4">
        <v>4</v>
      </c>
      <c r="U43" s="4">
        <v>16</v>
      </c>
      <c r="V43" s="4" t="s">
        <v>1</v>
      </c>
      <c r="W43" s="4">
        <v>1</v>
      </c>
      <c r="X43" s="4">
        <v>3</v>
      </c>
      <c r="Y43" s="4">
        <v>1</v>
      </c>
      <c r="Z43" s="56">
        <v>3</v>
      </c>
      <c r="AA43" s="9" cm="1">
        <f t="array" ref="AA43">IF(OR(AB43:AE43=""),"BLANK",IF(AND(AB43:AE43&lt;999),1,IF(AND(AB43:AE43="NA"),3,2)))</f>
        <v>1</v>
      </c>
      <c r="AB43" s="4">
        <v>29</v>
      </c>
      <c r="AC43" s="4">
        <v>19</v>
      </c>
      <c r="AD43" s="4">
        <v>15</v>
      </c>
      <c r="AE43" s="5">
        <v>63</v>
      </c>
      <c r="AF43" s="9">
        <f t="shared" si="0"/>
        <v>1</v>
      </c>
      <c r="AG43" s="5">
        <v>49</v>
      </c>
      <c r="AH43" s="9" cm="1">
        <f t="array" ref="AH43">IF(OR(AI43:AN43=""),"BLANK",IF(AND(AI43:AN43&lt;999),1,IF(AND(AI43:AN43="NA"),3,2)))</f>
        <v>1</v>
      </c>
      <c r="AI43" s="37">
        <v>29</v>
      </c>
      <c r="AJ43" s="37">
        <v>31</v>
      </c>
      <c r="AK43" s="37">
        <v>69</v>
      </c>
      <c r="AL43" s="37">
        <v>74</v>
      </c>
      <c r="AM43" s="37">
        <v>4</v>
      </c>
      <c r="AN43" s="38">
        <v>27</v>
      </c>
    </row>
    <row r="44" spans="1:40" x14ac:dyDescent="0.2">
      <c r="A44" s="16">
        <v>562</v>
      </c>
      <c r="B44" s="4" t="s">
        <v>64</v>
      </c>
      <c r="C44" s="30" t="s">
        <v>24</v>
      </c>
      <c r="D44" s="30">
        <v>5</v>
      </c>
      <c r="E44" s="30">
        <v>0</v>
      </c>
      <c r="F44" s="54" t="s">
        <v>6</v>
      </c>
      <c r="G44" s="30">
        <v>28</v>
      </c>
      <c r="H44" s="33">
        <v>4.2546201232032859</v>
      </c>
      <c r="I44" s="33">
        <v>5.4839151266255985</v>
      </c>
      <c r="J44" s="33">
        <v>9.7385352498288835</v>
      </c>
      <c r="K44" s="33">
        <v>4.6214921286789874</v>
      </c>
      <c r="L44" s="33">
        <v>5.117043121149897</v>
      </c>
      <c r="M44" s="33">
        <v>9.7385352498288835</v>
      </c>
      <c r="N44" s="33">
        <v>3.9206023271731691</v>
      </c>
      <c r="O44" s="33">
        <v>5.1800136892539355</v>
      </c>
      <c r="P44" s="33">
        <v>9.1006160164271055</v>
      </c>
      <c r="Q44" s="33">
        <v>3.1950718685831623</v>
      </c>
      <c r="R44" s="33">
        <v>6.1108829568788501</v>
      </c>
      <c r="S44" s="33">
        <v>9.3059548254620115</v>
      </c>
      <c r="T44" s="4" t="s">
        <v>7</v>
      </c>
      <c r="U44" s="4" t="s">
        <v>7</v>
      </c>
      <c r="V44" s="4" t="s">
        <v>1</v>
      </c>
      <c r="W44" s="4">
        <v>1</v>
      </c>
      <c r="X44" s="4">
        <v>3</v>
      </c>
      <c r="Y44" s="4">
        <v>1</v>
      </c>
      <c r="Z44" s="56">
        <v>3</v>
      </c>
      <c r="AA44" s="9" cm="1">
        <f t="array" ref="AA44">IF(OR(AB44:AE44=""),"BLANK",IF(AND(AB44:AE44&lt;999),1,IF(AND(AB44:AE44="NA"),3,2)))</f>
        <v>1</v>
      </c>
      <c r="AB44" s="4">
        <v>22</v>
      </c>
      <c r="AC44" s="4">
        <v>11</v>
      </c>
      <c r="AD44" s="4">
        <v>7</v>
      </c>
      <c r="AE44" s="5">
        <v>40</v>
      </c>
      <c r="AF44" s="9">
        <f t="shared" si="0"/>
        <v>1</v>
      </c>
      <c r="AG44" s="5">
        <v>27</v>
      </c>
      <c r="AH44" s="9" cm="1">
        <f t="array" ref="AH44">IF(OR(AI44:AN44=""),"BLANK",IF(AND(AI44:AN44&lt;999),1,IF(AND(AI44:AN44="NA"),3,2)))</f>
        <v>1</v>
      </c>
      <c r="AI44" s="37">
        <v>22</v>
      </c>
      <c r="AJ44" s="37">
        <v>22</v>
      </c>
      <c r="AK44" s="37">
        <v>58</v>
      </c>
      <c r="AL44" s="37">
        <v>60</v>
      </c>
      <c r="AM44" s="37">
        <v>1</v>
      </c>
      <c r="AN44" s="38">
        <v>25</v>
      </c>
    </row>
    <row r="45" spans="1:40" x14ac:dyDescent="0.2">
      <c r="A45" s="16">
        <v>575</v>
      </c>
      <c r="B45" s="4" t="s">
        <v>59</v>
      </c>
      <c r="C45" s="30" t="s">
        <v>23</v>
      </c>
      <c r="D45" s="30">
        <v>5</v>
      </c>
      <c r="E45" s="30">
        <v>0</v>
      </c>
      <c r="F45" s="54" t="s">
        <v>6</v>
      </c>
      <c r="G45" s="30">
        <v>30</v>
      </c>
      <c r="H45" s="33">
        <v>3.8576317590691307</v>
      </c>
      <c r="I45" s="33">
        <v>5.2703627652292946</v>
      </c>
      <c r="J45" s="33">
        <v>9.1279945242984262</v>
      </c>
      <c r="K45" s="33">
        <v>3.8576317590691307</v>
      </c>
      <c r="L45" s="33">
        <v>5.2703627652292946</v>
      </c>
      <c r="M45" s="33">
        <v>9.1279945242984262</v>
      </c>
      <c r="N45" s="33">
        <v>3.8576317590691307</v>
      </c>
      <c r="O45" s="33">
        <v>5.0239561943874058</v>
      </c>
      <c r="P45" s="33">
        <v>8.8815879534565365</v>
      </c>
      <c r="Q45" s="33" t="s">
        <v>7</v>
      </c>
      <c r="R45" s="33" t="s">
        <v>7</v>
      </c>
      <c r="S45" s="33" t="s">
        <v>7</v>
      </c>
      <c r="T45" s="4" t="s">
        <v>7</v>
      </c>
      <c r="U45" s="4" t="s">
        <v>7</v>
      </c>
      <c r="V45" s="4" t="s">
        <v>1</v>
      </c>
      <c r="W45" s="4">
        <v>1</v>
      </c>
      <c r="X45" s="4">
        <v>3</v>
      </c>
      <c r="Y45" s="4">
        <v>1</v>
      </c>
      <c r="Z45" s="56">
        <v>3</v>
      </c>
      <c r="AA45" s="9" cm="1">
        <f t="array" ref="AA45">IF(OR(AB45:AE45=""),"BLANK",IF(AND(AB45:AE45&lt;999),1,IF(AND(AB45:AE45="NA"),3,2)))</f>
        <v>1</v>
      </c>
      <c r="AB45" s="4">
        <v>27</v>
      </c>
      <c r="AC45" s="4">
        <v>15</v>
      </c>
      <c r="AD45" s="4">
        <v>10</v>
      </c>
      <c r="AE45" s="5">
        <v>52</v>
      </c>
      <c r="AF45" s="9">
        <f t="shared" si="0"/>
        <v>1</v>
      </c>
      <c r="AG45" s="5">
        <v>58</v>
      </c>
      <c r="AH45" s="9" cm="1">
        <f t="array" ref="AH45">IF(OR(AI45:AN45=""),"BLANK",IF(AND(AI45:AN45&lt;999),1,IF(AND(AI45:AN45="NA"),3,2)))</f>
        <v>1</v>
      </c>
      <c r="AI45" s="37">
        <v>36</v>
      </c>
      <c r="AJ45" s="37">
        <v>43</v>
      </c>
      <c r="AK45" s="37">
        <v>84</v>
      </c>
      <c r="AL45" s="37">
        <v>89</v>
      </c>
      <c r="AM45" s="37">
        <v>24</v>
      </c>
      <c r="AN45" s="38">
        <v>39</v>
      </c>
    </row>
    <row r="46" spans="1:40" x14ac:dyDescent="0.2">
      <c r="A46" s="16">
        <v>591</v>
      </c>
      <c r="B46" s="4" t="s">
        <v>54</v>
      </c>
      <c r="C46" s="30" t="s">
        <v>23</v>
      </c>
      <c r="D46" s="30">
        <v>5</v>
      </c>
      <c r="E46" s="30">
        <v>0</v>
      </c>
      <c r="F46" s="54" t="s">
        <v>6</v>
      </c>
      <c r="G46" s="30">
        <v>30</v>
      </c>
      <c r="H46" s="33">
        <v>4.5913757700205338</v>
      </c>
      <c r="I46" s="33">
        <v>5.2347707049965777</v>
      </c>
      <c r="J46" s="33">
        <v>9.8261464750171115</v>
      </c>
      <c r="K46" s="33" t="s">
        <v>7</v>
      </c>
      <c r="L46" s="33" t="s">
        <v>7</v>
      </c>
      <c r="M46" s="33">
        <v>9.9520876112251884</v>
      </c>
      <c r="N46" s="33">
        <v>4.3832991101984939</v>
      </c>
      <c r="O46" s="33">
        <v>5.1718001368925393</v>
      </c>
      <c r="P46" s="33">
        <v>9.5550992470910341</v>
      </c>
      <c r="Q46" s="33">
        <v>3.7919233401779602</v>
      </c>
      <c r="R46" s="33">
        <v>5.0814510609171801</v>
      </c>
      <c r="S46" s="33">
        <v>8.8733744010951412</v>
      </c>
      <c r="T46" s="4" t="s">
        <v>7</v>
      </c>
      <c r="U46" s="4" t="s">
        <v>7</v>
      </c>
      <c r="V46" s="4" t="s">
        <v>1</v>
      </c>
      <c r="W46" s="4">
        <v>1</v>
      </c>
      <c r="X46" s="4">
        <v>3</v>
      </c>
      <c r="Y46" s="4">
        <v>1</v>
      </c>
      <c r="Z46" s="56">
        <v>3</v>
      </c>
      <c r="AA46" s="9" cm="1">
        <f t="array" ref="AA46">IF(OR(AB46:AE46=""),"BLANK",IF(AND(AB46:AE46&lt;999),1,IF(AND(AB46:AE46="NA"),3,2)))</f>
        <v>1</v>
      </c>
      <c r="AB46" s="4">
        <v>40</v>
      </c>
      <c r="AC46" s="4">
        <v>25</v>
      </c>
      <c r="AD46" s="4">
        <v>18</v>
      </c>
      <c r="AE46" s="5">
        <v>83</v>
      </c>
      <c r="AF46" s="9">
        <f t="shared" si="0"/>
        <v>1</v>
      </c>
      <c r="AG46" s="5">
        <v>65</v>
      </c>
      <c r="AH46" s="9" cm="1">
        <f t="array" ref="AH46">IF(OR(AI46:AN46=""),"BLANK",IF(AND(AI46:AN46&lt;999),1,IF(AND(AI46:AN46="NA"),3,2)))</f>
        <v>1</v>
      </c>
      <c r="AI46" s="37">
        <v>56</v>
      </c>
      <c r="AJ46" s="37">
        <v>76</v>
      </c>
      <c r="AK46" s="37">
        <v>126</v>
      </c>
      <c r="AL46" s="37">
        <v>146</v>
      </c>
      <c r="AM46" s="37">
        <v>99</v>
      </c>
      <c r="AN46" s="38">
        <v>81</v>
      </c>
    </row>
    <row r="47" spans="1:40" x14ac:dyDescent="0.2">
      <c r="A47" s="16">
        <v>595</v>
      </c>
      <c r="B47" s="4" t="s">
        <v>48</v>
      </c>
      <c r="C47" s="30" t="s">
        <v>23</v>
      </c>
      <c r="D47" s="30">
        <v>5</v>
      </c>
      <c r="E47" s="30">
        <v>0</v>
      </c>
      <c r="F47" s="54" t="s">
        <v>6</v>
      </c>
      <c r="G47" s="30">
        <v>29</v>
      </c>
      <c r="H47" s="33">
        <v>4.0602327173169064</v>
      </c>
      <c r="I47" s="33">
        <v>5.5222450376454484</v>
      </c>
      <c r="J47" s="33">
        <v>9.5824777549623548</v>
      </c>
      <c r="K47" s="33">
        <v>4.0602327173169064</v>
      </c>
      <c r="L47" s="33">
        <v>5.5222450376454484</v>
      </c>
      <c r="M47" s="33">
        <v>9.5824777549623548</v>
      </c>
      <c r="N47" s="33">
        <v>4.0246406570841886</v>
      </c>
      <c r="O47" s="33">
        <v>5.1279945242984262</v>
      </c>
      <c r="P47" s="33">
        <v>9.1526351813826139</v>
      </c>
      <c r="Q47" s="33" t="s">
        <v>7</v>
      </c>
      <c r="R47" s="33" t="s">
        <v>7</v>
      </c>
      <c r="S47" s="33" t="s">
        <v>7</v>
      </c>
      <c r="T47" s="4">
        <v>6</v>
      </c>
      <c r="U47" s="4">
        <v>18</v>
      </c>
      <c r="V47" s="4" t="s">
        <v>1</v>
      </c>
      <c r="W47" s="4">
        <v>1</v>
      </c>
      <c r="X47" s="4">
        <v>3</v>
      </c>
      <c r="Y47" s="4">
        <v>1</v>
      </c>
      <c r="Z47" s="56">
        <v>3</v>
      </c>
      <c r="AA47" s="9" cm="1">
        <f t="array" ref="AA47">IF(OR(AB47:AE47=""),"BLANK",IF(AND(AB47:AE47&lt;999),1,IF(AND(AB47:AE47="NA"),3,2)))</f>
        <v>1</v>
      </c>
      <c r="AB47" s="4">
        <v>21</v>
      </c>
      <c r="AC47" s="4">
        <v>22</v>
      </c>
      <c r="AD47" s="4">
        <v>15</v>
      </c>
      <c r="AE47" s="5">
        <v>58</v>
      </c>
      <c r="AF47" s="9">
        <f t="shared" si="0"/>
        <v>1</v>
      </c>
      <c r="AG47" s="5">
        <v>58</v>
      </c>
      <c r="AH47" s="9" cm="1">
        <f t="array" ref="AH47">IF(OR(AI47:AN47=""),"BLANK",IF(AND(AI47:AN47&lt;999),1,IF(AND(AI47:AN47="NA"),3,2)))</f>
        <v>1</v>
      </c>
      <c r="AI47" s="37">
        <v>36</v>
      </c>
      <c r="AJ47" s="37">
        <v>43</v>
      </c>
      <c r="AK47" s="37">
        <v>84</v>
      </c>
      <c r="AL47" s="37">
        <v>93</v>
      </c>
      <c r="AM47" s="37">
        <v>32</v>
      </c>
      <c r="AN47" s="38">
        <v>43</v>
      </c>
    </row>
    <row r="48" spans="1:40" x14ac:dyDescent="0.2">
      <c r="A48" s="16">
        <v>604</v>
      </c>
      <c r="B48" s="4" t="s">
        <v>64</v>
      </c>
      <c r="C48" s="30" t="s">
        <v>24</v>
      </c>
      <c r="D48" s="30">
        <v>5</v>
      </c>
      <c r="E48" s="30">
        <v>0</v>
      </c>
      <c r="F48" s="54" t="s">
        <v>6</v>
      </c>
      <c r="G48" s="30">
        <v>30</v>
      </c>
      <c r="H48" s="33">
        <v>4.0109514031485283</v>
      </c>
      <c r="I48" s="33">
        <v>5.3552361396303905</v>
      </c>
      <c r="J48" s="33">
        <v>9.3661875427789187</v>
      </c>
      <c r="K48" s="33">
        <v>4.0109514031485283</v>
      </c>
      <c r="L48" s="33">
        <v>5.3552361396303905</v>
      </c>
      <c r="M48" s="33">
        <v>9.3661875427789187</v>
      </c>
      <c r="N48" s="33">
        <v>4.0273785078713207</v>
      </c>
      <c r="O48" s="33">
        <v>5.248459958932238</v>
      </c>
      <c r="P48" s="33">
        <v>9.2758384668035596</v>
      </c>
      <c r="Q48" s="33">
        <v>3.3483915126625599</v>
      </c>
      <c r="R48" s="33">
        <v>6.020533880903491</v>
      </c>
      <c r="S48" s="33">
        <v>9.3689253935660499</v>
      </c>
      <c r="T48" s="4">
        <v>4</v>
      </c>
      <c r="U48" s="4">
        <v>16</v>
      </c>
      <c r="V48" s="4" t="s">
        <v>1</v>
      </c>
      <c r="W48" s="4">
        <v>1</v>
      </c>
      <c r="X48" s="4">
        <v>3</v>
      </c>
      <c r="Y48" s="4">
        <v>1</v>
      </c>
      <c r="Z48" s="56">
        <v>3</v>
      </c>
      <c r="AA48" s="9" cm="1">
        <f t="array" ref="AA48">IF(OR(AB48:AE48=""),"BLANK",IF(AND(AB48:AE48&lt;999),1,IF(AND(AB48:AE48="NA"),3,2)))</f>
        <v>1</v>
      </c>
      <c r="AB48" s="4">
        <v>13</v>
      </c>
      <c r="AC48" s="4">
        <v>4</v>
      </c>
      <c r="AD48" s="4">
        <v>3</v>
      </c>
      <c r="AE48" s="5">
        <v>20</v>
      </c>
      <c r="AF48" s="9">
        <f t="shared" si="0"/>
        <v>1</v>
      </c>
      <c r="AG48" s="5">
        <v>35</v>
      </c>
      <c r="AH48" s="9" cm="1">
        <f t="array" ref="AH48">IF(OR(AI48:AN48=""),"BLANK",IF(AND(AI48:AN48&lt;999),1,IF(AND(AI48:AN48="NA"),3,2)))</f>
        <v>1</v>
      </c>
      <c r="AI48" s="37">
        <v>39</v>
      </c>
      <c r="AJ48" s="37">
        <v>48</v>
      </c>
      <c r="AK48" s="37">
        <v>90</v>
      </c>
      <c r="AL48" s="37">
        <v>110</v>
      </c>
      <c r="AM48" s="37">
        <v>75</v>
      </c>
      <c r="AN48" s="38">
        <v>54</v>
      </c>
    </row>
    <row r="49" spans="1:40" x14ac:dyDescent="0.2">
      <c r="A49" s="16">
        <v>611</v>
      </c>
      <c r="B49" s="4" t="s">
        <v>59</v>
      </c>
      <c r="C49" s="30" t="s">
        <v>23</v>
      </c>
      <c r="D49" s="30">
        <v>5</v>
      </c>
      <c r="E49" s="30">
        <v>0</v>
      </c>
      <c r="F49" s="54" t="s">
        <v>6</v>
      </c>
      <c r="G49" s="30">
        <v>30</v>
      </c>
      <c r="H49" s="33">
        <v>4.0191649555099245</v>
      </c>
      <c r="I49" s="33">
        <v>5.7494866529774127</v>
      </c>
      <c r="J49" s="33">
        <v>9.7686516084873372</v>
      </c>
      <c r="K49" s="33">
        <v>4.0246406570841886</v>
      </c>
      <c r="L49" s="33">
        <v>5.7412731006160165</v>
      </c>
      <c r="M49" s="33">
        <v>9.765913757700206</v>
      </c>
      <c r="N49" s="33">
        <v>4.0109514031485283</v>
      </c>
      <c r="O49" s="33">
        <v>5.3634496919917867</v>
      </c>
      <c r="P49" s="33">
        <v>9.3744010951403141</v>
      </c>
      <c r="Q49" s="33" t="s">
        <v>7</v>
      </c>
      <c r="R49" s="33" t="s">
        <v>7</v>
      </c>
      <c r="S49" s="33" t="s">
        <v>7</v>
      </c>
      <c r="T49" s="4">
        <v>5</v>
      </c>
      <c r="U49" s="4">
        <v>16</v>
      </c>
      <c r="V49" s="4" t="s">
        <v>1</v>
      </c>
      <c r="W49" s="4">
        <v>1</v>
      </c>
      <c r="X49" s="4">
        <v>3</v>
      </c>
      <c r="Y49" s="4">
        <v>1</v>
      </c>
      <c r="Z49" s="56">
        <v>3</v>
      </c>
      <c r="AA49" s="9" cm="1">
        <f t="array" ref="AA49">IF(OR(AB49:AE49=""),"BLANK",IF(AND(AB49:AE49&lt;999),1,IF(AND(AB49:AE49="NA"),3,2)))</f>
        <v>1</v>
      </c>
      <c r="AB49" s="4">
        <v>32</v>
      </c>
      <c r="AC49" s="4">
        <v>18</v>
      </c>
      <c r="AD49" s="4">
        <v>12</v>
      </c>
      <c r="AE49" s="5">
        <v>62</v>
      </c>
      <c r="AF49" s="9">
        <f t="shared" si="0"/>
        <v>1</v>
      </c>
      <c r="AG49" s="5">
        <v>67</v>
      </c>
      <c r="AH49" s="9" cm="1">
        <f t="array" ref="AH49">IF(OR(AI49:AN49=""),"BLANK",IF(AND(AI49:AN49&lt;999),1,IF(AND(AI49:AN49="NA"),3,2)))</f>
        <v>1</v>
      </c>
      <c r="AI49" s="37">
        <v>45</v>
      </c>
      <c r="AJ49" s="37">
        <v>58</v>
      </c>
      <c r="AK49" s="37">
        <v>103</v>
      </c>
      <c r="AL49" s="37">
        <v>115</v>
      </c>
      <c r="AM49" s="37">
        <v>85</v>
      </c>
      <c r="AN49" s="38">
        <v>58</v>
      </c>
    </row>
    <row r="50" spans="1:40" x14ac:dyDescent="0.2">
      <c r="A50" s="16">
        <v>634</v>
      </c>
      <c r="B50" s="4" t="s">
        <v>63</v>
      </c>
      <c r="C50" s="30" t="s">
        <v>24</v>
      </c>
      <c r="D50" s="30">
        <v>1</v>
      </c>
      <c r="E50" s="30">
        <v>0</v>
      </c>
      <c r="F50" s="54" t="s">
        <v>6</v>
      </c>
      <c r="G50" s="30">
        <v>30</v>
      </c>
      <c r="H50" s="33">
        <v>4.2956878850102669</v>
      </c>
      <c r="I50" s="33">
        <v>5.1362080766598224</v>
      </c>
      <c r="J50" s="33">
        <v>9.4318959616700884</v>
      </c>
      <c r="K50" s="33">
        <v>4.3750855578370977</v>
      </c>
      <c r="L50" s="33">
        <v>5.2840520191649558</v>
      </c>
      <c r="M50" s="33">
        <v>9.6591375770020527</v>
      </c>
      <c r="N50" s="33">
        <v>4.3723477070499657</v>
      </c>
      <c r="O50" s="33">
        <v>4.6735112936344967</v>
      </c>
      <c r="P50" s="33">
        <v>9.0458590006844624</v>
      </c>
      <c r="Q50" s="33" t="s">
        <v>7</v>
      </c>
      <c r="R50" s="33" t="s">
        <v>7</v>
      </c>
      <c r="S50" s="33" t="s">
        <v>7</v>
      </c>
      <c r="T50" s="4" t="s">
        <v>7</v>
      </c>
      <c r="U50" s="4" t="s">
        <v>7</v>
      </c>
      <c r="V50" s="4" t="s">
        <v>1</v>
      </c>
      <c r="W50" s="4">
        <v>1</v>
      </c>
      <c r="X50" s="4">
        <v>3</v>
      </c>
      <c r="Y50" s="4">
        <v>1</v>
      </c>
      <c r="Z50" s="56">
        <v>3</v>
      </c>
      <c r="AA50" s="9" cm="1">
        <f t="array" ref="AA50">IF(OR(AB50:AE50=""),"BLANK",IF(AND(AB50:AE50&lt;999),1,IF(AND(AB50:AE50="NA"),3,2)))</f>
        <v>1</v>
      </c>
      <c r="AB50" s="4">
        <v>34</v>
      </c>
      <c r="AC50" s="4">
        <v>23</v>
      </c>
      <c r="AD50" s="4">
        <v>15</v>
      </c>
      <c r="AE50" s="5">
        <v>72</v>
      </c>
      <c r="AF50" s="9">
        <f t="shared" si="0"/>
        <v>1</v>
      </c>
      <c r="AG50" s="5">
        <v>39</v>
      </c>
      <c r="AH50" s="9" cm="1">
        <f t="array" ref="AH50">IF(OR(AI50:AN50=""),"BLANK",IF(AND(AI50:AN50&lt;999),1,IF(AND(AI50:AN50="NA"),3,2)))</f>
        <v>1</v>
      </c>
      <c r="AI50" s="37">
        <v>54</v>
      </c>
      <c r="AJ50" s="37">
        <v>72</v>
      </c>
      <c r="AK50" s="37">
        <v>122</v>
      </c>
      <c r="AL50" s="37">
        <v>114</v>
      </c>
      <c r="AM50" s="37">
        <v>82</v>
      </c>
      <c r="AN50" s="38">
        <v>57</v>
      </c>
    </row>
    <row r="51" spans="1:40" x14ac:dyDescent="0.2">
      <c r="A51" s="16">
        <v>674</v>
      </c>
      <c r="B51" s="4" t="s">
        <v>47</v>
      </c>
      <c r="C51" s="30" t="s">
        <v>24</v>
      </c>
      <c r="D51" s="30">
        <v>6</v>
      </c>
      <c r="E51" s="30">
        <v>0</v>
      </c>
      <c r="F51" s="54" t="s">
        <v>6</v>
      </c>
      <c r="G51" s="30">
        <v>29</v>
      </c>
      <c r="H51" s="33">
        <v>3.9644079397672827</v>
      </c>
      <c r="I51" s="33">
        <v>4.7529089664613275</v>
      </c>
      <c r="J51" s="33">
        <v>8.7173169062286107</v>
      </c>
      <c r="K51" s="33">
        <v>3.9644079397672827</v>
      </c>
      <c r="L51" s="33">
        <v>4.7529089664613275</v>
      </c>
      <c r="M51" s="33">
        <v>8.7173169062286107</v>
      </c>
      <c r="N51" s="33">
        <v>3.9753593429158109</v>
      </c>
      <c r="O51" s="33">
        <v>4.4599589322381927</v>
      </c>
      <c r="P51" s="33">
        <v>8.4353182751540032</v>
      </c>
      <c r="Q51" s="33" t="s">
        <v>7</v>
      </c>
      <c r="R51" s="33" t="s">
        <v>7</v>
      </c>
      <c r="S51" s="33" t="s">
        <v>7</v>
      </c>
      <c r="T51" s="4">
        <v>6</v>
      </c>
      <c r="U51" s="4">
        <v>18</v>
      </c>
      <c r="V51" s="4" t="s">
        <v>1</v>
      </c>
      <c r="W51" s="4">
        <v>1</v>
      </c>
      <c r="X51" s="4">
        <v>3</v>
      </c>
      <c r="Y51" s="4">
        <v>1</v>
      </c>
      <c r="Z51" s="56">
        <v>3</v>
      </c>
      <c r="AA51" s="9" cm="1">
        <f t="array" ref="AA51">IF(OR(AB51:AE51=""),"BLANK",IF(AND(AB51:AE51&lt;999),1,IF(AND(AB51:AE51="NA"),3,2)))</f>
        <v>1</v>
      </c>
      <c r="AB51" s="4">
        <v>22</v>
      </c>
      <c r="AC51" s="4">
        <v>11</v>
      </c>
      <c r="AD51" s="4">
        <v>11</v>
      </c>
      <c r="AE51" s="5">
        <v>44</v>
      </c>
      <c r="AF51" s="9">
        <f t="shared" si="0"/>
        <v>1</v>
      </c>
      <c r="AG51" s="5">
        <v>41</v>
      </c>
      <c r="AH51" s="9" cm="1">
        <f t="array" ref="AH51">IF(OR(AI51:AN51=""),"BLANK",IF(AND(AI51:AN51&lt;999),1,IF(AND(AI51:AN51="NA"),3,2)))</f>
        <v>1</v>
      </c>
      <c r="AI51" s="37">
        <v>25</v>
      </c>
      <c r="AJ51" s="37">
        <v>25</v>
      </c>
      <c r="AK51" s="37">
        <v>62</v>
      </c>
      <c r="AL51" s="37">
        <v>62</v>
      </c>
      <c r="AM51" s="37">
        <v>1</v>
      </c>
      <c r="AN51" s="38">
        <v>22</v>
      </c>
    </row>
    <row r="52" spans="1:40" x14ac:dyDescent="0.2">
      <c r="A52" s="16">
        <v>680</v>
      </c>
      <c r="B52" s="4" t="s">
        <v>47</v>
      </c>
      <c r="C52" s="30" t="s">
        <v>24</v>
      </c>
      <c r="D52" s="30">
        <v>5</v>
      </c>
      <c r="E52" s="30">
        <v>0</v>
      </c>
      <c r="F52" s="54" t="s">
        <v>6</v>
      </c>
      <c r="G52" s="30">
        <v>30</v>
      </c>
      <c r="H52" s="33">
        <v>3.8220396988364134</v>
      </c>
      <c r="I52" s="33">
        <v>5.1663244353182751</v>
      </c>
      <c r="J52" s="33">
        <v>8.988364134154688</v>
      </c>
      <c r="K52" s="33">
        <v>3.893223819301848</v>
      </c>
      <c r="L52" s="33">
        <v>5.0951403148528405</v>
      </c>
      <c r="M52" s="33">
        <v>8.988364134154688</v>
      </c>
      <c r="N52" s="33">
        <v>3.7809719370294319</v>
      </c>
      <c r="O52" s="33">
        <v>5.1526351813826148</v>
      </c>
      <c r="P52" s="33">
        <v>8.9336071184120467</v>
      </c>
      <c r="Q52" s="33">
        <v>3.4743326488706368</v>
      </c>
      <c r="R52" s="33">
        <v>5.9192334017796027</v>
      </c>
      <c r="S52" s="33">
        <v>9.3935660506502394</v>
      </c>
      <c r="T52" s="4" t="s">
        <v>7</v>
      </c>
      <c r="U52" s="4" t="s">
        <v>7</v>
      </c>
      <c r="V52" s="4" t="s">
        <v>1</v>
      </c>
      <c r="W52" s="4">
        <v>1</v>
      </c>
      <c r="X52" s="4">
        <v>3</v>
      </c>
      <c r="Y52" s="4">
        <v>1</v>
      </c>
      <c r="Z52" s="56">
        <v>3</v>
      </c>
      <c r="AA52" s="9" cm="1">
        <f t="array" ref="AA52">IF(OR(AB52:AE52=""),"BLANK",IF(AND(AB52:AE52&lt;999),1,IF(AND(AB52:AE52="NA"),3,2)))</f>
        <v>1</v>
      </c>
      <c r="AB52" s="4">
        <v>28</v>
      </c>
      <c r="AC52" s="4">
        <v>13</v>
      </c>
      <c r="AD52" s="4">
        <v>9</v>
      </c>
      <c r="AE52" s="5">
        <v>50</v>
      </c>
      <c r="AF52" s="9">
        <f t="shared" si="0"/>
        <v>1</v>
      </c>
      <c r="AG52" s="5">
        <v>48</v>
      </c>
      <c r="AH52" s="9" cm="1">
        <f t="array" ref="AH52">IF(OR(AI52:AN52=""),"BLANK",IF(AND(AI52:AN52&lt;999),1,IF(AND(AI52:AN52="NA"),3,2)))</f>
        <v>1</v>
      </c>
      <c r="AI52" s="37">
        <v>34</v>
      </c>
      <c r="AJ52" s="37">
        <v>39</v>
      </c>
      <c r="AK52" s="37">
        <v>80</v>
      </c>
      <c r="AL52" s="37">
        <v>89</v>
      </c>
      <c r="AM52" s="37">
        <v>23</v>
      </c>
      <c r="AN52" s="38">
        <v>41</v>
      </c>
    </row>
    <row r="53" spans="1:40" x14ac:dyDescent="0.2">
      <c r="A53" s="16">
        <v>684</v>
      </c>
      <c r="B53" s="4" t="s">
        <v>65</v>
      </c>
      <c r="C53" s="30" t="s">
        <v>23</v>
      </c>
      <c r="D53" s="30">
        <v>4</v>
      </c>
      <c r="E53" s="30">
        <v>0</v>
      </c>
      <c r="F53" s="54" t="s">
        <v>6</v>
      </c>
      <c r="G53" s="30">
        <v>26</v>
      </c>
      <c r="H53" s="33">
        <v>4.1971252566735116</v>
      </c>
      <c r="I53" s="33">
        <v>5.0841889117043122</v>
      </c>
      <c r="J53" s="33">
        <v>9.2813141683778237</v>
      </c>
      <c r="K53" s="33" t="s">
        <v>7</v>
      </c>
      <c r="L53" s="33">
        <v>5.3415468856947292</v>
      </c>
      <c r="M53" s="33" t="s">
        <v>7</v>
      </c>
      <c r="N53" s="33">
        <v>4.1204654346338128</v>
      </c>
      <c r="O53" s="33">
        <v>4.8377823408624234</v>
      </c>
      <c r="P53" s="33">
        <v>8.9582477754962362</v>
      </c>
      <c r="Q53" s="33">
        <v>3.2963723477070501</v>
      </c>
      <c r="R53" s="33" t="s">
        <v>7</v>
      </c>
      <c r="S53" s="33" t="s">
        <v>7</v>
      </c>
      <c r="T53" s="4" t="s">
        <v>7</v>
      </c>
      <c r="U53" s="4" t="s">
        <v>7</v>
      </c>
      <c r="V53" s="4" t="s">
        <v>1</v>
      </c>
      <c r="W53" s="4">
        <v>1</v>
      </c>
      <c r="X53" s="4">
        <v>3</v>
      </c>
      <c r="Y53" s="4">
        <v>1</v>
      </c>
      <c r="Z53" s="56">
        <v>3</v>
      </c>
      <c r="AA53" s="9" cm="1">
        <f t="array" ref="AA53">IF(OR(AB53:AE53=""),"BLANK",IF(AND(AB53:AE53&lt;999),1,IF(AND(AB53:AE53="NA"),3,2)))</f>
        <v>1</v>
      </c>
      <c r="AB53" s="4">
        <v>25</v>
      </c>
      <c r="AC53" s="4">
        <v>13</v>
      </c>
      <c r="AD53" s="4">
        <v>10</v>
      </c>
      <c r="AE53" s="5">
        <v>48</v>
      </c>
      <c r="AF53" s="9">
        <f t="shared" si="0"/>
        <v>1</v>
      </c>
      <c r="AG53" s="5">
        <v>27</v>
      </c>
      <c r="AH53" s="9" cm="1">
        <f t="array" ref="AH53">IF(OR(AI53:AN53=""),"BLANK",IF(AND(AI53:AN53&lt;999),1,IF(AND(AI53:AN53="NA"),3,2)))</f>
        <v>1</v>
      </c>
      <c r="AI53" s="37">
        <v>16</v>
      </c>
      <c r="AJ53" s="37">
        <v>16</v>
      </c>
      <c r="AK53" s="37">
        <v>50</v>
      </c>
      <c r="AL53" s="37">
        <v>52</v>
      </c>
      <c r="AM53" s="37">
        <v>1</v>
      </c>
      <c r="AN53" s="38">
        <v>16</v>
      </c>
    </row>
    <row r="54" spans="1:40" x14ac:dyDescent="0.2">
      <c r="A54" s="16">
        <v>688</v>
      </c>
      <c r="B54" s="4" t="s">
        <v>66</v>
      </c>
      <c r="C54" s="30" t="s">
        <v>24</v>
      </c>
      <c r="D54" s="30">
        <v>5</v>
      </c>
      <c r="E54" s="30">
        <v>0</v>
      </c>
      <c r="F54" s="54" t="s">
        <v>6</v>
      </c>
      <c r="G54" s="30">
        <v>30</v>
      </c>
      <c r="H54" s="33">
        <v>3.9096509240246409</v>
      </c>
      <c r="I54" s="33">
        <v>5.4811772758384665</v>
      </c>
      <c r="J54" s="33">
        <v>9.3908281998631082</v>
      </c>
      <c r="K54" s="33">
        <v>3.9288158795345653</v>
      </c>
      <c r="L54" s="33">
        <v>5.4565366187542779</v>
      </c>
      <c r="M54" s="33">
        <v>9.3853524982888441</v>
      </c>
      <c r="N54" s="33">
        <v>3.9288158795345653</v>
      </c>
      <c r="O54" s="33">
        <v>5.6208076659822037</v>
      </c>
      <c r="P54" s="33">
        <v>9.54962354551677</v>
      </c>
      <c r="Q54" s="33">
        <v>3.3566050650239561</v>
      </c>
      <c r="R54" s="33">
        <v>5.8726899383983575</v>
      </c>
      <c r="S54" s="33">
        <v>9.2292950034223136</v>
      </c>
      <c r="T54" s="4">
        <v>7</v>
      </c>
      <c r="U54" s="4">
        <v>21</v>
      </c>
      <c r="V54" s="4" t="s">
        <v>1</v>
      </c>
      <c r="W54" s="4">
        <v>1</v>
      </c>
      <c r="X54" s="4">
        <v>3</v>
      </c>
      <c r="Y54" s="4">
        <v>1</v>
      </c>
      <c r="Z54" s="56">
        <v>3</v>
      </c>
      <c r="AA54" s="9" cm="1">
        <f t="array" ref="AA54">IF(OR(AB54:AE54=""),"BLANK",IF(AND(AB54:AE54&lt;999),1,IF(AND(AB54:AE54="NA"),3,2)))</f>
        <v>1</v>
      </c>
      <c r="AB54" s="4">
        <v>27</v>
      </c>
      <c r="AC54" s="4">
        <v>11</v>
      </c>
      <c r="AD54" s="4">
        <v>12</v>
      </c>
      <c r="AE54" s="5">
        <v>50</v>
      </c>
      <c r="AF54" s="9">
        <f t="shared" si="0"/>
        <v>1</v>
      </c>
      <c r="AG54" s="5">
        <v>49</v>
      </c>
      <c r="AH54" s="9" cm="1">
        <f t="array" ref="AH54">IF(OR(AI54:AN54=""),"BLANK",IF(AND(AI54:AN54&lt;999),1,IF(AND(AI54:AN54="NA"),3,2)))</f>
        <v>1</v>
      </c>
      <c r="AI54" s="37">
        <v>37</v>
      </c>
      <c r="AJ54" s="37">
        <v>44</v>
      </c>
      <c r="AK54" s="37">
        <v>86</v>
      </c>
      <c r="AL54" s="37">
        <v>97</v>
      </c>
      <c r="AM54" s="37">
        <v>43</v>
      </c>
      <c r="AN54" s="38">
        <v>50</v>
      </c>
    </row>
    <row r="55" spans="1:40" x14ac:dyDescent="0.2">
      <c r="A55" s="16">
        <v>695</v>
      </c>
      <c r="B55" s="4" t="s">
        <v>52</v>
      </c>
      <c r="C55" s="30" t="s">
        <v>23</v>
      </c>
      <c r="D55" s="30">
        <v>5</v>
      </c>
      <c r="E55" s="30">
        <v>0</v>
      </c>
      <c r="F55" s="54" t="s">
        <v>6</v>
      </c>
      <c r="G55" s="30">
        <v>29</v>
      </c>
      <c r="H55" s="33">
        <v>4.0109514031485283</v>
      </c>
      <c r="I55" s="33">
        <v>5.7303216974674882</v>
      </c>
      <c r="J55" s="33">
        <v>9.7412731006160165</v>
      </c>
      <c r="K55" s="33">
        <v>4.0109514031485283</v>
      </c>
      <c r="L55" s="33">
        <v>5.7303216974674882</v>
      </c>
      <c r="M55" s="33">
        <v>9.7412731006160165</v>
      </c>
      <c r="N55" s="33">
        <v>4.0602327173169064</v>
      </c>
      <c r="O55" s="33">
        <v>5.5030800821355239</v>
      </c>
      <c r="P55" s="33">
        <v>9.5633127994524294</v>
      </c>
      <c r="Q55" s="33" t="s">
        <v>7</v>
      </c>
      <c r="R55" s="33" t="s">
        <v>7</v>
      </c>
      <c r="S55" s="33" t="s">
        <v>7</v>
      </c>
      <c r="T55" s="4">
        <v>4</v>
      </c>
      <c r="U55" s="4">
        <v>16</v>
      </c>
      <c r="V55" s="4" t="s">
        <v>1</v>
      </c>
      <c r="W55" s="4">
        <v>1</v>
      </c>
      <c r="X55" s="4">
        <v>3</v>
      </c>
      <c r="Y55" s="4">
        <v>1</v>
      </c>
      <c r="Z55" s="56">
        <v>3</v>
      </c>
      <c r="AA55" s="9" cm="1">
        <f t="array" ref="AA55">IF(OR(AB55:AE55=""),"BLANK",IF(AND(AB55:AE55&lt;999),1,IF(AND(AB55:AE55="NA"),3,2)))</f>
        <v>1</v>
      </c>
      <c r="AB55" s="4">
        <v>32</v>
      </c>
      <c r="AC55" s="4">
        <v>25</v>
      </c>
      <c r="AD55" s="4">
        <v>19</v>
      </c>
      <c r="AE55" s="5">
        <v>76</v>
      </c>
      <c r="AF55" s="9">
        <f t="shared" si="0"/>
        <v>1</v>
      </c>
      <c r="AG55" s="5">
        <v>58</v>
      </c>
      <c r="AH55" s="9" cm="1">
        <f t="array" ref="AH55">IF(OR(AI55:AN55=""),"BLANK",IF(AND(AI55:AN55&lt;999),1,IF(AND(AI55:AN55="NA"),3,2)))</f>
        <v>1</v>
      </c>
      <c r="AI55" s="37">
        <v>42</v>
      </c>
      <c r="AJ55" s="37">
        <v>53</v>
      </c>
      <c r="AK55" s="37">
        <v>97</v>
      </c>
      <c r="AL55" s="37">
        <v>113</v>
      </c>
      <c r="AM55" s="37">
        <v>80</v>
      </c>
      <c r="AN55" s="38">
        <v>56</v>
      </c>
    </row>
    <row r="56" spans="1:40" x14ac:dyDescent="0.2">
      <c r="A56" s="16">
        <v>719</v>
      </c>
      <c r="B56" s="4" t="s">
        <v>47</v>
      </c>
      <c r="C56" s="30" t="s">
        <v>23</v>
      </c>
      <c r="D56" s="30">
        <v>5</v>
      </c>
      <c r="E56" s="30">
        <v>1</v>
      </c>
      <c r="F56" s="54" t="s">
        <v>6</v>
      </c>
      <c r="G56" s="30">
        <v>30</v>
      </c>
      <c r="H56" s="33">
        <v>4.0328542094455848</v>
      </c>
      <c r="I56" s="33">
        <v>5.5496235455167691</v>
      </c>
      <c r="J56" s="33">
        <v>9.5824777549623548</v>
      </c>
      <c r="K56" s="33">
        <v>4.0657084188911705</v>
      </c>
      <c r="L56" s="33">
        <v>5.5195071868583163</v>
      </c>
      <c r="M56" s="33">
        <v>9.5852156057494859</v>
      </c>
      <c r="N56" s="33">
        <v>3.978097193702943</v>
      </c>
      <c r="O56" s="33">
        <v>5.1745379876796713</v>
      </c>
      <c r="P56" s="33">
        <v>9.1526351813826139</v>
      </c>
      <c r="Q56" s="33">
        <v>3.3730321697467489</v>
      </c>
      <c r="R56" s="33">
        <v>6.1902806297056809</v>
      </c>
      <c r="S56" s="33">
        <v>9.5633127994524294</v>
      </c>
      <c r="T56" s="4">
        <v>6</v>
      </c>
      <c r="U56" s="4">
        <v>18</v>
      </c>
      <c r="V56" s="4" t="s">
        <v>1</v>
      </c>
      <c r="W56" s="4">
        <v>1</v>
      </c>
      <c r="X56" s="4">
        <v>3</v>
      </c>
      <c r="Y56" s="4">
        <v>1</v>
      </c>
      <c r="Z56" s="56">
        <v>3</v>
      </c>
      <c r="AA56" s="9" cm="1">
        <f t="array" ref="AA56">IF(OR(AB56:AE56=""),"BLANK",IF(AND(AB56:AE56&lt;999),1,IF(AND(AB56:AE56="NA"),3,2)))</f>
        <v>1</v>
      </c>
      <c r="AB56" s="4">
        <v>31</v>
      </c>
      <c r="AC56" s="4">
        <v>23</v>
      </c>
      <c r="AD56" s="4">
        <v>13</v>
      </c>
      <c r="AE56" s="5">
        <v>67</v>
      </c>
      <c r="AF56" s="9">
        <f t="shared" si="0"/>
        <v>1</v>
      </c>
      <c r="AG56" s="5">
        <v>55</v>
      </c>
      <c r="AH56" s="9" cm="1">
        <f t="array" ref="AH56">IF(OR(AI56:AN56=""),"BLANK",IF(AND(AI56:AN56&lt;999),1,IF(AND(AI56:AN56="NA"),3,2)))</f>
        <v>1</v>
      </c>
      <c r="AI56" s="37">
        <v>37</v>
      </c>
      <c r="AJ56" s="37">
        <v>44</v>
      </c>
      <c r="AK56" s="37">
        <v>86</v>
      </c>
      <c r="AL56" s="37">
        <v>95</v>
      </c>
      <c r="AM56" s="37">
        <v>37</v>
      </c>
      <c r="AN56" s="38">
        <v>40</v>
      </c>
    </row>
    <row r="57" spans="1:40" x14ac:dyDescent="0.2">
      <c r="A57" s="16">
        <v>741</v>
      </c>
      <c r="B57" s="4" t="s">
        <v>57</v>
      </c>
      <c r="C57" s="30" t="s">
        <v>23</v>
      </c>
      <c r="D57" s="30">
        <v>2</v>
      </c>
      <c r="E57" s="30">
        <v>0</v>
      </c>
      <c r="F57" s="54" t="s">
        <v>6</v>
      </c>
      <c r="G57" s="30">
        <v>29</v>
      </c>
      <c r="H57" s="33">
        <v>4.0383299110198498</v>
      </c>
      <c r="I57" s="33">
        <v>5.4236824093086931</v>
      </c>
      <c r="J57" s="33">
        <v>9.462012320328542</v>
      </c>
      <c r="K57" s="33">
        <v>4.0383299110198498</v>
      </c>
      <c r="L57" s="33">
        <v>5.4757015742642023</v>
      </c>
      <c r="M57" s="33">
        <v>9.5140314852840522</v>
      </c>
      <c r="N57" s="33">
        <v>4.0191649555099245</v>
      </c>
      <c r="O57" s="33">
        <v>5.1553730321697468</v>
      </c>
      <c r="P57" s="33">
        <v>9.1745379876796722</v>
      </c>
      <c r="Q57" s="33" t="s">
        <v>7</v>
      </c>
      <c r="R57" s="33" t="s">
        <v>7</v>
      </c>
      <c r="S57" s="33" t="s">
        <v>7</v>
      </c>
      <c r="T57" s="4">
        <v>6</v>
      </c>
      <c r="U57" s="4">
        <v>18</v>
      </c>
      <c r="V57" s="4" t="s">
        <v>1</v>
      </c>
      <c r="W57" s="4">
        <v>1</v>
      </c>
      <c r="X57" s="4">
        <v>3</v>
      </c>
      <c r="Y57" s="4">
        <v>1</v>
      </c>
      <c r="Z57" s="56">
        <v>3</v>
      </c>
      <c r="AA57" s="9" cm="1">
        <f t="array" ref="AA57">IF(OR(AB57:AE57=""),"BLANK",IF(AND(AB57:AE57&lt;999),1,IF(AND(AB57:AE57="NA"),3,2)))</f>
        <v>1</v>
      </c>
      <c r="AB57" s="4">
        <v>32</v>
      </c>
      <c r="AC57" s="4">
        <v>19</v>
      </c>
      <c r="AD57" s="4">
        <v>14</v>
      </c>
      <c r="AE57" s="5">
        <v>65</v>
      </c>
      <c r="AF57" s="9">
        <f t="shared" si="0"/>
        <v>1</v>
      </c>
      <c r="AG57" s="5">
        <v>49</v>
      </c>
      <c r="AH57" s="9" cm="1">
        <f t="array" ref="AH57">IF(OR(AI57:AN57=""),"BLANK",IF(AND(AI57:AN57&lt;999),1,IF(AND(AI57:AN57="NA"),3,2)))</f>
        <v>1</v>
      </c>
      <c r="AI57" s="37">
        <v>57</v>
      </c>
      <c r="AJ57" s="37">
        <v>77</v>
      </c>
      <c r="AK57" s="37">
        <v>128</v>
      </c>
      <c r="AL57" s="37">
        <v>132</v>
      </c>
      <c r="AM57" s="37">
        <v>98</v>
      </c>
      <c r="AN57" s="38">
        <v>83</v>
      </c>
    </row>
    <row r="58" spans="1:40" x14ac:dyDescent="0.2">
      <c r="A58" s="16">
        <v>746</v>
      </c>
      <c r="B58" s="4" t="s">
        <v>50</v>
      </c>
      <c r="C58" s="30" t="s">
        <v>23</v>
      </c>
      <c r="D58" s="30">
        <v>5</v>
      </c>
      <c r="E58" s="30">
        <v>0</v>
      </c>
      <c r="F58" s="54" t="s">
        <v>6</v>
      </c>
      <c r="G58" s="30">
        <v>29</v>
      </c>
      <c r="H58" s="33" t="s">
        <v>7</v>
      </c>
      <c r="I58" s="33" t="s">
        <v>7</v>
      </c>
      <c r="J58" s="33">
        <v>9.7056810403832987</v>
      </c>
      <c r="K58" s="33" t="s">
        <v>7</v>
      </c>
      <c r="L58" s="33" t="s">
        <v>7</v>
      </c>
      <c r="M58" s="33">
        <v>9.7056810403832987</v>
      </c>
      <c r="N58" s="33" t="s">
        <v>7</v>
      </c>
      <c r="O58" s="33" t="s">
        <v>7</v>
      </c>
      <c r="P58" s="33">
        <v>9.4401095140314855</v>
      </c>
      <c r="Q58" s="33" t="s">
        <v>7</v>
      </c>
      <c r="R58" s="33" t="s">
        <v>7</v>
      </c>
      <c r="S58" s="33" t="s">
        <v>7</v>
      </c>
      <c r="T58" s="4" t="s">
        <v>7</v>
      </c>
      <c r="U58" s="4" t="s">
        <v>7</v>
      </c>
      <c r="V58" s="4" t="s">
        <v>1</v>
      </c>
      <c r="W58" s="4">
        <v>1</v>
      </c>
      <c r="X58" s="4">
        <v>3</v>
      </c>
      <c r="Y58" s="4">
        <v>1</v>
      </c>
      <c r="Z58" s="56">
        <v>3</v>
      </c>
      <c r="AA58" s="9" cm="1">
        <f t="array" ref="AA58">IF(OR(AB58:AE58=""),"BLANK",IF(AND(AB58:AE58&lt;999),1,IF(AND(AB58:AE58="NA"),3,2)))</f>
        <v>1</v>
      </c>
      <c r="AB58" s="4">
        <v>28</v>
      </c>
      <c r="AC58" s="4">
        <v>14</v>
      </c>
      <c r="AD58" s="4">
        <v>13</v>
      </c>
      <c r="AE58" s="5">
        <v>55</v>
      </c>
      <c r="AF58" s="9">
        <f t="shared" si="0"/>
        <v>1</v>
      </c>
      <c r="AG58" s="5">
        <v>53</v>
      </c>
      <c r="AH58" s="9" cm="1">
        <f t="array" ref="AH58">IF(OR(AI58:AN58=""),"BLANK",IF(AND(AI58:AN58&lt;999),1,IF(AND(AI58:AN58="NA"),3,2)))</f>
        <v>1</v>
      </c>
      <c r="AI58" s="37">
        <v>41</v>
      </c>
      <c r="AJ58" s="37">
        <v>51</v>
      </c>
      <c r="AK58" s="37">
        <v>94</v>
      </c>
      <c r="AL58" s="37">
        <v>96</v>
      </c>
      <c r="AM58" s="37">
        <v>39</v>
      </c>
      <c r="AN58" s="38">
        <v>45</v>
      </c>
    </row>
    <row r="59" spans="1:40" x14ac:dyDescent="0.2">
      <c r="A59" s="16">
        <v>772</v>
      </c>
      <c r="B59" s="4" t="s">
        <v>65</v>
      </c>
      <c r="C59" s="30" t="s">
        <v>24</v>
      </c>
      <c r="D59" s="30">
        <v>5</v>
      </c>
      <c r="E59" s="30">
        <v>0</v>
      </c>
      <c r="F59" s="54" t="s">
        <v>6</v>
      </c>
      <c r="G59" s="30">
        <v>29</v>
      </c>
      <c r="H59" s="33">
        <v>4.0273785078713207</v>
      </c>
      <c r="I59" s="33">
        <v>5.7303216974674882</v>
      </c>
      <c r="J59" s="33">
        <v>9.7577002053388089</v>
      </c>
      <c r="K59" s="33">
        <v>4.0246406570841886</v>
      </c>
      <c r="L59" s="33">
        <v>5.7275838466803561</v>
      </c>
      <c r="M59" s="33">
        <v>9.7522245037645447</v>
      </c>
      <c r="N59" s="33">
        <v>4.0766598220396988</v>
      </c>
      <c r="O59" s="33">
        <v>5.5222450376454484</v>
      </c>
      <c r="P59" s="33">
        <v>9.5989048596851472</v>
      </c>
      <c r="Q59" s="33">
        <v>3.7399041752224504</v>
      </c>
      <c r="R59" s="33">
        <v>6.0260095824777551</v>
      </c>
      <c r="S59" s="33">
        <v>9.765913757700206</v>
      </c>
      <c r="T59" s="4">
        <v>5</v>
      </c>
      <c r="U59" s="4">
        <v>17</v>
      </c>
      <c r="V59" s="4" t="s">
        <v>1</v>
      </c>
      <c r="W59" s="4">
        <v>1</v>
      </c>
      <c r="X59" s="4">
        <v>3</v>
      </c>
      <c r="Y59" s="4">
        <v>1</v>
      </c>
      <c r="Z59" s="56">
        <v>3</v>
      </c>
      <c r="AA59" s="9" cm="1">
        <f t="array" ref="AA59">IF(OR(AB59:AE59=""),"BLANK",IF(AND(AB59:AE59&lt;999),1,IF(AND(AB59:AE59="NA"),3,2)))</f>
        <v>1</v>
      </c>
      <c r="AB59" s="4">
        <v>29</v>
      </c>
      <c r="AC59" s="4">
        <v>15</v>
      </c>
      <c r="AD59" s="4">
        <v>12</v>
      </c>
      <c r="AE59" s="5">
        <v>56</v>
      </c>
      <c r="AF59" s="9">
        <f t="shared" si="0"/>
        <v>1</v>
      </c>
      <c r="AG59" s="5">
        <v>35</v>
      </c>
      <c r="AH59" s="9" cm="1">
        <f t="array" ref="AH59">IF(OR(AI59:AN59=""),"BLANK",IF(AND(AI59:AN59&lt;999),1,IF(AND(AI59:AN59="NA"),3,2)))</f>
        <v>1</v>
      </c>
      <c r="AI59" s="37">
        <v>39</v>
      </c>
      <c r="AJ59" s="37">
        <v>48</v>
      </c>
      <c r="AK59" s="37">
        <v>90</v>
      </c>
      <c r="AL59" s="37">
        <v>107</v>
      </c>
      <c r="AM59" s="37">
        <v>68</v>
      </c>
      <c r="AN59" s="38">
        <v>52</v>
      </c>
    </row>
    <row r="60" spans="1:40" x14ac:dyDescent="0.2">
      <c r="A60" s="16">
        <v>779</v>
      </c>
      <c r="B60" s="4" t="s">
        <v>62</v>
      </c>
      <c r="C60" s="30" t="s">
        <v>23</v>
      </c>
      <c r="D60" s="30">
        <v>5</v>
      </c>
      <c r="E60" s="30">
        <v>0</v>
      </c>
      <c r="F60" s="54" t="s">
        <v>6</v>
      </c>
      <c r="G60" s="30">
        <v>30</v>
      </c>
      <c r="H60" s="33">
        <v>4.1149897330595486</v>
      </c>
      <c r="I60" s="33">
        <v>5.5770020533880906</v>
      </c>
      <c r="J60" s="33">
        <v>9.6919917864476393</v>
      </c>
      <c r="K60" s="33">
        <v>4.1149897330595486</v>
      </c>
      <c r="L60" s="33">
        <v>5.7878165639972625</v>
      </c>
      <c r="M60" s="33">
        <v>9.9028062970568111</v>
      </c>
      <c r="N60" s="33">
        <v>4.0766598220396988</v>
      </c>
      <c r="O60" s="33">
        <v>5.1909650924024637</v>
      </c>
      <c r="P60" s="33">
        <v>9.2676249144421625</v>
      </c>
      <c r="Q60" s="33">
        <v>3.2114989733059547</v>
      </c>
      <c r="R60" s="33">
        <v>6.1574264202600961</v>
      </c>
      <c r="S60" s="33">
        <v>9.3689253935660499</v>
      </c>
      <c r="T60" s="4" t="s">
        <v>7</v>
      </c>
      <c r="U60" s="4" t="s">
        <v>7</v>
      </c>
      <c r="V60" s="4" t="s">
        <v>1</v>
      </c>
      <c r="W60" s="4">
        <v>1</v>
      </c>
      <c r="X60" s="4">
        <v>3</v>
      </c>
      <c r="Y60" s="4">
        <v>1</v>
      </c>
      <c r="Z60" s="56">
        <v>3</v>
      </c>
      <c r="AA60" s="9" cm="1">
        <f t="array" ref="AA60">IF(OR(AB60:AE60=""),"BLANK",IF(AND(AB60:AE60&lt;999),1,IF(AND(AB60:AE60="NA"),3,2)))</f>
        <v>1</v>
      </c>
      <c r="AB60" s="4">
        <v>32</v>
      </c>
      <c r="AC60" s="4">
        <v>20</v>
      </c>
      <c r="AD60" s="4">
        <v>15</v>
      </c>
      <c r="AE60" s="5">
        <v>67</v>
      </c>
      <c r="AF60" s="9">
        <f t="shared" si="0"/>
        <v>1</v>
      </c>
      <c r="AG60" s="5">
        <v>53</v>
      </c>
      <c r="AH60" s="9" cm="1">
        <f t="array" ref="AH60">IF(OR(AI60:AN60=""),"BLANK",IF(AND(AI60:AN60&lt;999),1,IF(AND(AI60:AN60="NA"),3,2)))</f>
        <v>1</v>
      </c>
      <c r="AI60" s="37">
        <v>43</v>
      </c>
      <c r="AJ60" s="37">
        <v>54</v>
      </c>
      <c r="AK60" s="37">
        <v>99</v>
      </c>
      <c r="AL60" s="37">
        <v>104</v>
      </c>
      <c r="AM60" s="37">
        <v>62</v>
      </c>
      <c r="AN60" s="38">
        <v>51</v>
      </c>
    </row>
    <row r="61" spans="1:40" x14ac:dyDescent="0.2">
      <c r="A61" s="16">
        <v>784</v>
      </c>
      <c r="B61" s="4" t="s">
        <v>54</v>
      </c>
      <c r="C61" s="30" t="s">
        <v>23</v>
      </c>
      <c r="D61" s="30">
        <v>5</v>
      </c>
      <c r="E61" s="30">
        <v>0</v>
      </c>
      <c r="F61" s="54" t="s">
        <v>6</v>
      </c>
      <c r="G61" s="30">
        <v>30</v>
      </c>
      <c r="H61" s="33">
        <v>4.0383299110198498</v>
      </c>
      <c r="I61" s="33">
        <v>5.4428473648186175</v>
      </c>
      <c r="J61" s="33">
        <v>9.4811772758384674</v>
      </c>
      <c r="K61" s="33">
        <v>4.0383299110198498</v>
      </c>
      <c r="L61" s="33">
        <v>5.4483230663928817</v>
      </c>
      <c r="M61" s="33">
        <v>9.4866529774127315</v>
      </c>
      <c r="N61" s="33">
        <v>4.043805612594114</v>
      </c>
      <c r="O61" s="33">
        <v>5.0349075975359341</v>
      </c>
      <c r="P61" s="33">
        <v>9.0787132101300472</v>
      </c>
      <c r="Q61" s="33">
        <v>3.2032854209445585</v>
      </c>
      <c r="R61" s="33" t="s">
        <v>7</v>
      </c>
      <c r="S61" s="33" t="s">
        <v>7</v>
      </c>
      <c r="T61" s="4">
        <v>4</v>
      </c>
      <c r="U61" s="4">
        <v>16</v>
      </c>
      <c r="V61" s="4" t="s">
        <v>1</v>
      </c>
      <c r="W61" s="4">
        <v>1</v>
      </c>
      <c r="X61" s="4">
        <v>3</v>
      </c>
      <c r="Y61" s="4">
        <v>1</v>
      </c>
      <c r="Z61" s="56">
        <v>3</v>
      </c>
      <c r="AA61" s="9" cm="1">
        <f t="array" ref="AA61">IF(OR(AB61:AE61=""),"BLANK",IF(AND(AB61:AE61&lt;999),1,IF(AND(AB61:AE61="NA"),3,2)))</f>
        <v>1</v>
      </c>
      <c r="AB61" s="4">
        <v>33</v>
      </c>
      <c r="AC61" s="4">
        <v>20</v>
      </c>
      <c r="AD61" s="4">
        <v>12</v>
      </c>
      <c r="AE61" s="5">
        <v>65</v>
      </c>
      <c r="AF61" s="9">
        <f t="shared" si="0"/>
        <v>1</v>
      </c>
      <c r="AG61" s="5">
        <v>56</v>
      </c>
      <c r="AH61" s="9" cm="1">
        <f t="array" ref="AH61">IF(OR(AI61:AN61=""),"BLANK",IF(AND(AI61:AN61&lt;999),1,IF(AND(AI61:AN61="NA"),3,2)))</f>
        <v>1</v>
      </c>
      <c r="AI61" s="37">
        <v>44</v>
      </c>
      <c r="AJ61" s="37">
        <v>56</v>
      </c>
      <c r="AK61" s="37">
        <v>101</v>
      </c>
      <c r="AL61" s="37">
        <v>107</v>
      </c>
      <c r="AM61" s="37">
        <v>68</v>
      </c>
      <c r="AN61" s="38">
        <v>52</v>
      </c>
    </row>
    <row r="62" spans="1:40" x14ac:dyDescent="0.2">
      <c r="A62" s="16">
        <v>799</v>
      </c>
      <c r="B62" s="4" t="s">
        <v>47</v>
      </c>
      <c r="C62" s="30" t="s">
        <v>23</v>
      </c>
      <c r="D62" s="30">
        <v>5</v>
      </c>
      <c r="E62" s="30">
        <v>0</v>
      </c>
      <c r="F62" s="54" t="s">
        <v>6</v>
      </c>
      <c r="G62" s="30">
        <v>30</v>
      </c>
      <c r="H62" s="33">
        <v>4.0930869267624912</v>
      </c>
      <c r="I62" s="33">
        <v>5.6016427104722792</v>
      </c>
      <c r="J62" s="33">
        <v>9.6947296372347704</v>
      </c>
      <c r="K62" s="33">
        <v>4.0930869267624912</v>
      </c>
      <c r="L62" s="33">
        <v>5.6016427104722792</v>
      </c>
      <c r="M62" s="33">
        <v>9.6947296372347704</v>
      </c>
      <c r="N62" s="33">
        <v>4.0574948665297743</v>
      </c>
      <c r="O62" s="33">
        <v>5.4428473648186175</v>
      </c>
      <c r="P62" s="33">
        <v>9.500342231348391</v>
      </c>
      <c r="Q62" s="33" t="s">
        <v>7</v>
      </c>
      <c r="R62" s="33" t="s">
        <v>7</v>
      </c>
      <c r="S62" s="33" t="s">
        <v>7</v>
      </c>
      <c r="T62" s="4">
        <v>6</v>
      </c>
      <c r="U62" s="4">
        <v>18</v>
      </c>
      <c r="V62" s="4" t="s">
        <v>1</v>
      </c>
      <c r="W62" s="4">
        <v>1</v>
      </c>
      <c r="X62" s="4">
        <v>3</v>
      </c>
      <c r="Y62" s="4">
        <v>1</v>
      </c>
      <c r="Z62" s="56">
        <v>3</v>
      </c>
      <c r="AA62" s="9" cm="1">
        <f t="array" ref="AA62">IF(OR(AB62:AE62=""),"BLANK",IF(AND(AB62:AE62&lt;999),1,IF(AND(AB62:AE62="NA"),3,2)))</f>
        <v>1</v>
      </c>
      <c r="AB62" s="4">
        <v>25</v>
      </c>
      <c r="AC62" s="4">
        <v>18</v>
      </c>
      <c r="AD62" s="4">
        <v>13</v>
      </c>
      <c r="AE62" s="5">
        <v>56</v>
      </c>
      <c r="AF62" s="9">
        <f t="shared" si="0"/>
        <v>1</v>
      </c>
      <c r="AG62" s="5">
        <v>54</v>
      </c>
      <c r="AH62" s="9" cm="1">
        <f t="array" ref="AH62">IF(OR(AI62:AN62=""),"BLANK",IF(AND(AI62:AN62&lt;999),1,IF(AND(AI62:AN62="NA"),3,2)))</f>
        <v>1</v>
      </c>
      <c r="AI62" s="37">
        <v>26</v>
      </c>
      <c r="AJ62" s="37">
        <v>26</v>
      </c>
      <c r="AK62" s="37">
        <v>63</v>
      </c>
      <c r="AL62" s="37">
        <v>61</v>
      </c>
      <c r="AM62" s="37">
        <v>1</v>
      </c>
      <c r="AN62" s="38">
        <v>19</v>
      </c>
    </row>
    <row r="63" spans="1:40" x14ac:dyDescent="0.2">
      <c r="A63" s="16">
        <v>812</v>
      </c>
      <c r="B63" s="4" t="s">
        <v>58</v>
      </c>
      <c r="C63" s="30" t="s">
        <v>23</v>
      </c>
      <c r="D63" s="30">
        <v>5</v>
      </c>
      <c r="E63" s="30">
        <v>0</v>
      </c>
      <c r="F63" s="54" t="s">
        <v>6</v>
      </c>
      <c r="G63" s="30">
        <v>29</v>
      </c>
      <c r="H63" s="33">
        <v>4.0054757015742641</v>
      </c>
      <c r="I63" s="33">
        <v>5.4784394250513344</v>
      </c>
      <c r="J63" s="33">
        <v>9.4839151266255985</v>
      </c>
      <c r="K63" s="33">
        <v>4.0027378507871321</v>
      </c>
      <c r="L63" s="33">
        <v>5.4784394250513344</v>
      </c>
      <c r="M63" s="33">
        <v>9.4811772758384674</v>
      </c>
      <c r="N63" s="33">
        <v>4.0246406570841886</v>
      </c>
      <c r="O63" s="33">
        <v>5.0595482546201236</v>
      </c>
      <c r="P63" s="33">
        <v>9.0841889117043113</v>
      </c>
      <c r="Q63" s="33">
        <v>3.2251882272416155</v>
      </c>
      <c r="R63" s="33">
        <v>6.1601642710472282</v>
      </c>
      <c r="S63" s="33">
        <v>9.3853524982888441</v>
      </c>
      <c r="T63" s="4">
        <v>4</v>
      </c>
      <c r="U63" s="4">
        <v>16</v>
      </c>
      <c r="V63" s="4" t="s">
        <v>1</v>
      </c>
      <c r="W63" s="4">
        <v>1</v>
      </c>
      <c r="X63" s="4">
        <v>3</v>
      </c>
      <c r="Y63" s="4">
        <v>1</v>
      </c>
      <c r="Z63" s="56">
        <v>3</v>
      </c>
      <c r="AA63" s="9" cm="1">
        <f t="array" ref="AA63">IF(OR(AB63:AE63=""),"BLANK",IF(AND(AB63:AE63&lt;999),1,IF(AND(AB63:AE63="NA"),3,2)))</f>
        <v>1</v>
      </c>
      <c r="AB63" s="4">
        <v>28</v>
      </c>
      <c r="AC63" s="4">
        <v>19</v>
      </c>
      <c r="AD63" s="4">
        <v>12</v>
      </c>
      <c r="AE63" s="5">
        <v>59</v>
      </c>
      <c r="AF63" s="9">
        <f t="shared" si="0"/>
        <v>1</v>
      </c>
      <c r="AG63" s="5">
        <v>53</v>
      </c>
      <c r="AH63" s="9" cm="1">
        <f t="array" ref="AH63">IF(OR(AI63:AN63=""),"BLANK",IF(AND(AI63:AN63&lt;999),1,IF(AND(AI63:AN63="NA"),3,2)))</f>
        <v>1</v>
      </c>
      <c r="AI63" s="37">
        <v>47</v>
      </c>
      <c r="AJ63" s="37">
        <v>61</v>
      </c>
      <c r="AK63" s="37">
        <v>107</v>
      </c>
      <c r="AL63" s="37">
        <v>118</v>
      </c>
      <c r="AM63" s="37">
        <v>88</v>
      </c>
      <c r="AN63" s="38">
        <v>65</v>
      </c>
    </row>
    <row r="64" spans="1:40" x14ac:dyDescent="0.2">
      <c r="A64" s="16">
        <v>815</v>
      </c>
      <c r="B64" s="4" t="s">
        <v>61</v>
      </c>
      <c r="C64" s="30" t="s">
        <v>23</v>
      </c>
      <c r="D64" s="30">
        <v>5</v>
      </c>
      <c r="E64" s="30">
        <v>0</v>
      </c>
      <c r="F64" s="54" t="s">
        <v>6</v>
      </c>
      <c r="G64" s="30">
        <v>30</v>
      </c>
      <c r="H64" s="33">
        <v>4.3997262149212863</v>
      </c>
      <c r="I64" s="33">
        <v>4.9883641341546889</v>
      </c>
      <c r="J64" s="33">
        <v>9.3880903490759753</v>
      </c>
      <c r="K64" s="33">
        <v>4.4654346338124569</v>
      </c>
      <c r="L64" s="33">
        <v>5.1471594798083506</v>
      </c>
      <c r="M64" s="33">
        <v>9.6125941136208084</v>
      </c>
      <c r="N64" s="33">
        <v>4.4517453798767965</v>
      </c>
      <c r="O64" s="33">
        <v>4.5749486652977414</v>
      </c>
      <c r="P64" s="33">
        <v>9.0266940451745388</v>
      </c>
      <c r="Q64" s="33">
        <v>3.6413415468856947</v>
      </c>
      <c r="R64" s="33" t="s">
        <v>7</v>
      </c>
      <c r="S64" s="33" t="s">
        <v>7</v>
      </c>
      <c r="T64" s="4">
        <v>4</v>
      </c>
      <c r="U64" s="4">
        <v>16</v>
      </c>
      <c r="V64" s="4" t="s">
        <v>1</v>
      </c>
      <c r="W64" s="4">
        <v>1</v>
      </c>
      <c r="X64" s="4">
        <v>3</v>
      </c>
      <c r="Y64" s="4">
        <v>1</v>
      </c>
      <c r="Z64" s="56">
        <v>3</v>
      </c>
      <c r="AA64" s="9" cm="1">
        <f t="array" ref="AA64">IF(OR(AB64:AE64=""),"BLANK",IF(AND(AB64:AE64&lt;999),1,IF(AND(AB64:AE64="NA"),3,2)))</f>
        <v>1</v>
      </c>
      <c r="AB64" s="4">
        <v>31</v>
      </c>
      <c r="AC64" s="4">
        <v>20</v>
      </c>
      <c r="AD64" s="4">
        <v>16</v>
      </c>
      <c r="AE64" s="5">
        <v>67</v>
      </c>
      <c r="AF64" s="9">
        <f t="shared" si="0"/>
        <v>1</v>
      </c>
      <c r="AG64" s="5">
        <v>69</v>
      </c>
      <c r="AH64" s="9" cm="1">
        <f t="array" ref="AH64">IF(OR(AI64:AN64=""),"BLANK",IF(AND(AI64:AN64&lt;999),1,IF(AND(AI64:AN64="NA"),3,2)))</f>
        <v>1</v>
      </c>
      <c r="AI64" s="37">
        <v>46</v>
      </c>
      <c r="AJ64" s="37">
        <v>59</v>
      </c>
      <c r="AK64" s="37">
        <v>105</v>
      </c>
      <c r="AL64" s="37">
        <v>106</v>
      </c>
      <c r="AM64" s="37">
        <v>66</v>
      </c>
      <c r="AN64" s="38">
        <v>52</v>
      </c>
    </row>
    <row r="65" spans="1:40" x14ac:dyDescent="0.2">
      <c r="A65" s="16">
        <v>817</v>
      </c>
      <c r="B65" s="4" t="s">
        <v>46</v>
      </c>
      <c r="C65" s="30" t="s">
        <v>23</v>
      </c>
      <c r="D65" s="30">
        <v>4</v>
      </c>
      <c r="E65" s="30">
        <v>0</v>
      </c>
      <c r="F65" s="54" t="s">
        <v>6</v>
      </c>
      <c r="G65" s="30">
        <v>30</v>
      </c>
      <c r="H65" s="33">
        <v>4.4407939767282683</v>
      </c>
      <c r="I65" s="33">
        <v>5.5715263518138265</v>
      </c>
      <c r="J65" s="33">
        <v>10.012320328542094</v>
      </c>
      <c r="K65" s="33">
        <v>4.4407939767282683</v>
      </c>
      <c r="L65" s="33">
        <v>5.5715263518138265</v>
      </c>
      <c r="M65" s="33">
        <v>10.012320328542094</v>
      </c>
      <c r="N65" s="33">
        <v>4.3997262149212863</v>
      </c>
      <c r="O65" s="33">
        <v>5.5715263518138265</v>
      </c>
      <c r="P65" s="33">
        <v>9.9712525667351137</v>
      </c>
      <c r="Q65" s="33" t="s">
        <v>7</v>
      </c>
      <c r="R65" s="33" t="s">
        <v>7</v>
      </c>
      <c r="S65" s="33" t="s">
        <v>7</v>
      </c>
      <c r="T65" s="4" t="s">
        <v>7</v>
      </c>
      <c r="U65" s="4" t="s">
        <v>7</v>
      </c>
      <c r="V65" s="4" t="s">
        <v>1</v>
      </c>
      <c r="W65" s="4">
        <v>1</v>
      </c>
      <c r="X65" s="4">
        <v>3</v>
      </c>
      <c r="Y65" s="4">
        <v>1</v>
      </c>
      <c r="Z65" s="56">
        <v>3</v>
      </c>
      <c r="AA65" s="9" cm="1">
        <f t="array" ref="AA65">IF(OR(AB65:AE65=""),"BLANK",IF(AND(AB65:AE65&lt;999),1,IF(AND(AB65:AE65="NA"),3,2)))</f>
        <v>1</v>
      </c>
      <c r="AB65" s="4">
        <v>36</v>
      </c>
      <c r="AC65" s="4">
        <v>26</v>
      </c>
      <c r="AD65" s="4">
        <v>19</v>
      </c>
      <c r="AE65" s="5">
        <v>81</v>
      </c>
      <c r="AF65" s="9">
        <f t="shared" si="0"/>
        <v>1</v>
      </c>
      <c r="AG65" s="5">
        <v>62</v>
      </c>
      <c r="AH65" s="9" cm="1">
        <f t="array" ref="AH65">IF(OR(AI65:AN65=""),"BLANK",IF(AND(AI65:AN65&lt;999),1,IF(AND(AI65:AN65="NA"),3,2)))</f>
        <v>1</v>
      </c>
      <c r="AI65" s="37">
        <v>45</v>
      </c>
      <c r="AJ65" s="37">
        <v>58</v>
      </c>
      <c r="AK65" s="37">
        <v>103</v>
      </c>
      <c r="AL65" s="37">
        <v>109</v>
      </c>
      <c r="AM65" s="37">
        <v>74</v>
      </c>
      <c r="AN65" s="38">
        <v>58</v>
      </c>
    </row>
    <row r="66" spans="1:40" x14ac:dyDescent="0.2">
      <c r="A66" s="16">
        <v>823</v>
      </c>
      <c r="B66" s="4" t="s">
        <v>67</v>
      </c>
      <c r="C66" s="30" t="s">
        <v>23</v>
      </c>
      <c r="D66" s="30">
        <v>5</v>
      </c>
      <c r="E66" s="30">
        <v>0</v>
      </c>
      <c r="F66" s="54" t="s">
        <v>6</v>
      </c>
      <c r="G66" s="30">
        <v>28</v>
      </c>
      <c r="H66" s="33">
        <v>4.084873374401095</v>
      </c>
      <c r="I66" s="33">
        <v>5.5222450376454484</v>
      </c>
      <c r="J66" s="33">
        <v>9.6071184120465443</v>
      </c>
      <c r="K66" s="33">
        <v>4.1040383299110195</v>
      </c>
      <c r="L66" s="33">
        <v>5.631759069130732</v>
      </c>
      <c r="M66" s="33">
        <v>9.7357973990417523</v>
      </c>
      <c r="N66" s="33">
        <v>3.9753593429158109</v>
      </c>
      <c r="O66" s="33">
        <v>5.0924024640657084</v>
      </c>
      <c r="P66" s="33">
        <v>9.0677618069815189</v>
      </c>
      <c r="Q66" s="33">
        <v>3.1950718685831623</v>
      </c>
      <c r="R66" s="33" t="s">
        <v>7</v>
      </c>
      <c r="S66" s="33" t="s">
        <v>7</v>
      </c>
      <c r="T66" s="4" t="s">
        <v>7</v>
      </c>
      <c r="U66" s="4" t="s">
        <v>7</v>
      </c>
      <c r="V66" s="4" t="s">
        <v>1</v>
      </c>
      <c r="W66" s="4">
        <v>1</v>
      </c>
      <c r="X66" s="4">
        <v>3</v>
      </c>
      <c r="Y66" s="4">
        <v>1</v>
      </c>
      <c r="Z66" s="56">
        <v>3</v>
      </c>
      <c r="AA66" s="9" cm="1">
        <f t="array" ref="AA66">IF(OR(AB66:AE66=""),"BLANK",IF(AND(AB66:AE66&lt;999),1,IF(AND(AB66:AE66="NA"),3,2)))</f>
        <v>1</v>
      </c>
      <c r="AB66" s="4">
        <v>20</v>
      </c>
      <c r="AC66" s="4">
        <v>13</v>
      </c>
      <c r="AD66" s="4">
        <v>10</v>
      </c>
      <c r="AE66" s="5">
        <v>43</v>
      </c>
      <c r="AF66" s="9">
        <f t="shared" ref="AF66:AF129" si="1">IF(OR(AG66="NA", AG66="xx"), 3,1)</f>
        <v>1</v>
      </c>
      <c r="AG66" s="5">
        <v>37</v>
      </c>
      <c r="AH66" s="9" cm="1">
        <f t="array" ref="AH66">IF(OR(AI66:AN66=""),"BLANK",IF(AND(AI66:AN66&lt;999),1,IF(AND(AI66:AN66="NA"),3,2)))</f>
        <v>2</v>
      </c>
      <c r="AI66" s="37">
        <v>42</v>
      </c>
      <c r="AJ66" s="37">
        <v>53</v>
      </c>
      <c r="AK66" s="37">
        <v>97</v>
      </c>
      <c r="AL66" s="37" t="s">
        <v>7</v>
      </c>
      <c r="AM66" s="37" t="s">
        <v>7</v>
      </c>
      <c r="AN66" s="38" t="s">
        <v>7</v>
      </c>
    </row>
    <row r="67" spans="1:40" x14ac:dyDescent="0.2">
      <c r="A67" s="16">
        <v>829</v>
      </c>
      <c r="B67" s="4" t="s">
        <v>54</v>
      </c>
      <c r="C67" s="30" t="s">
        <v>24</v>
      </c>
      <c r="D67" s="30">
        <v>5</v>
      </c>
      <c r="E67" s="30">
        <v>0</v>
      </c>
      <c r="F67" s="54" t="s">
        <v>6</v>
      </c>
      <c r="G67" s="30">
        <v>30</v>
      </c>
      <c r="H67" s="33">
        <v>4.131416837782341</v>
      </c>
      <c r="I67" s="33">
        <v>5.4045174537987677</v>
      </c>
      <c r="J67" s="33">
        <v>9.5359342915811087</v>
      </c>
      <c r="K67" s="33">
        <v>4.131416837782341</v>
      </c>
      <c r="L67" s="33">
        <v>5.6646132785763177</v>
      </c>
      <c r="M67" s="33">
        <v>9.7960301163586578</v>
      </c>
      <c r="N67" s="33">
        <v>4.1341546885694731</v>
      </c>
      <c r="O67" s="33">
        <v>5.248459958932238</v>
      </c>
      <c r="P67" s="33">
        <v>9.3826146475017111</v>
      </c>
      <c r="Q67" s="33">
        <v>3.2580424366872007</v>
      </c>
      <c r="R67" s="33">
        <v>6.2039698836413413</v>
      </c>
      <c r="S67" s="33">
        <v>9.462012320328542</v>
      </c>
      <c r="T67" s="4">
        <v>4</v>
      </c>
      <c r="U67" s="4">
        <v>16</v>
      </c>
      <c r="V67" s="4" t="s">
        <v>1</v>
      </c>
      <c r="W67" s="4">
        <v>1</v>
      </c>
      <c r="X67" s="4">
        <v>3</v>
      </c>
      <c r="Y67" s="4">
        <v>1</v>
      </c>
      <c r="Z67" s="56">
        <v>3</v>
      </c>
      <c r="AA67" s="9" cm="1">
        <f t="array" ref="AA67">IF(OR(AB67:AE67=""),"BLANK",IF(AND(AB67:AE67&lt;999),1,IF(AND(AB67:AE67="NA"),3,2)))</f>
        <v>1</v>
      </c>
      <c r="AB67" s="4">
        <v>21</v>
      </c>
      <c r="AC67" s="4">
        <v>15</v>
      </c>
      <c r="AD67" s="4">
        <v>12</v>
      </c>
      <c r="AE67" s="5">
        <v>48</v>
      </c>
      <c r="AF67" s="9">
        <f t="shared" si="1"/>
        <v>1</v>
      </c>
      <c r="AG67" s="5">
        <v>41</v>
      </c>
      <c r="AH67" s="9" cm="1">
        <f t="array" ref="AH67">IF(OR(AI67:AN67=""),"BLANK",IF(AND(AI67:AN67&lt;999),1,IF(AND(AI67:AN67="NA"),3,2)))</f>
        <v>1</v>
      </c>
      <c r="AI67" s="37">
        <v>40</v>
      </c>
      <c r="AJ67" s="37">
        <v>49</v>
      </c>
      <c r="AK67" s="37">
        <v>92</v>
      </c>
      <c r="AL67" s="37">
        <v>94</v>
      </c>
      <c r="AM67" s="37">
        <v>33</v>
      </c>
      <c r="AN67" s="38">
        <v>44</v>
      </c>
    </row>
    <row r="68" spans="1:40" x14ac:dyDescent="0.2">
      <c r="A68" s="16">
        <v>831</v>
      </c>
      <c r="B68" s="4" t="s">
        <v>48</v>
      </c>
      <c r="C68" s="30" t="s">
        <v>23</v>
      </c>
      <c r="D68" s="30">
        <v>5</v>
      </c>
      <c r="E68" s="30">
        <v>0</v>
      </c>
      <c r="F68" s="54" t="s">
        <v>6</v>
      </c>
      <c r="G68" s="30">
        <v>30</v>
      </c>
      <c r="H68" s="33">
        <v>4.0082135523613962</v>
      </c>
      <c r="I68" s="33">
        <v>5.4236824093086931</v>
      </c>
      <c r="J68" s="33">
        <v>9.4318959616700884</v>
      </c>
      <c r="K68" s="33">
        <v>4.0082135523613962</v>
      </c>
      <c r="L68" s="33">
        <v>5.4236824093086931</v>
      </c>
      <c r="M68" s="33">
        <v>9.4318959616700884</v>
      </c>
      <c r="N68" s="33">
        <v>4.0273785078713207</v>
      </c>
      <c r="O68" s="33">
        <v>5.0978781656399725</v>
      </c>
      <c r="P68" s="33">
        <v>9.1252566735112932</v>
      </c>
      <c r="Q68" s="33">
        <v>3.2388774811772758</v>
      </c>
      <c r="R68" s="33">
        <v>6.2669404517453797</v>
      </c>
      <c r="S68" s="33">
        <v>9.5058179329226551</v>
      </c>
      <c r="T68" s="4">
        <v>3</v>
      </c>
      <c r="U68" s="4">
        <v>14</v>
      </c>
      <c r="V68" s="4" t="s">
        <v>1</v>
      </c>
      <c r="W68" s="4">
        <v>1</v>
      </c>
      <c r="X68" s="4">
        <v>3</v>
      </c>
      <c r="Y68" s="4">
        <v>1</v>
      </c>
      <c r="Z68" s="56">
        <v>3</v>
      </c>
      <c r="AA68" s="9" cm="1">
        <f t="array" ref="AA68">IF(OR(AB68:AE68=""),"BLANK",IF(AND(AB68:AE68&lt;999),1,IF(AND(AB68:AE68="NA"),3,2)))</f>
        <v>1</v>
      </c>
      <c r="AB68" s="4">
        <v>30</v>
      </c>
      <c r="AC68" s="4">
        <v>16</v>
      </c>
      <c r="AD68" s="4">
        <v>12</v>
      </c>
      <c r="AE68" s="5">
        <v>58</v>
      </c>
      <c r="AF68" s="9">
        <f t="shared" si="1"/>
        <v>1</v>
      </c>
      <c r="AG68" s="5">
        <v>65</v>
      </c>
      <c r="AH68" s="9" cm="1">
        <f t="array" ref="AH68">IF(OR(AI68:AN68=""),"BLANK",IF(AND(AI68:AN68&lt;999),1,IF(AND(AI68:AN68="NA"),3,2)))</f>
        <v>1</v>
      </c>
      <c r="AI68" s="37">
        <v>43</v>
      </c>
      <c r="AJ68" s="37">
        <v>54</v>
      </c>
      <c r="AK68" s="37">
        <v>99</v>
      </c>
      <c r="AL68" s="37">
        <v>113</v>
      </c>
      <c r="AM68" s="37">
        <v>81</v>
      </c>
      <c r="AN68" s="38">
        <v>57</v>
      </c>
    </row>
    <row r="69" spans="1:40" x14ac:dyDescent="0.2">
      <c r="A69" s="16">
        <v>833</v>
      </c>
      <c r="B69" s="4" t="s">
        <v>65</v>
      </c>
      <c r="C69" s="30" t="s">
        <v>23</v>
      </c>
      <c r="D69" s="30">
        <v>5</v>
      </c>
      <c r="E69" s="30">
        <v>0</v>
      </c>
      <c r="F69" s="54" t="s">
        <v>6</v>
      </c>
      <c r="G69" s="30">
        <v>26</v>
      </c>
      <c r="H69" s="33">
        <v>4.0027378507871321</v>
      </c>
      <c r="I69" s="33">
        <v>5.6153319644079396</v>
      </c>
      <c r="J69" s="33">
        <v>9.6180698151950725</v>
      </c>
      <c r="K69" s="33">
        <v>4.0219028062970565</v>
      </c>
      <c r="L69" s="33">
        <v>5.5961670088980151</v>
      </c>
      <c r="M69" s="33">
        <v>9.6180698151950725</v>
      </c>
      <c r="N69" s="33">
        <v>4.0219028062970565</v>
      </c>
      <c r="O69" s="33">
        <v>5.5222450376454484</v>
      </c>
      <c r="P69" s="33">
        <v>9.5441478439425058</v>
      </c>
      <c r="Q69" s="33">
        <v>3.2361396303901437</v>
      </c>
      <c r="R69" s="33">
        <v>6.0698151950718682</v>
      </c>
      <c r="S69" s="33">
        <v>9.3059548254620115</v>
      </c>
      <c r="T69" s="4">
        <v>3</v>
      </c>
      <c r="U69" s="4">
        <v>12</v>
      </c>
      <c r="V69" s="4" t="s">
        <v>1</v>
      </c>
      <c r="W69" s="4">
        <v>1</v>
      </c>
      <c r="X69" s="4">
        <v>3</v>
      </c>
      <c r="Y69" s="4">
        <v>1</v>
      </c>
      <c r="Z69" s="56">
        <v>3</v>
      </c>
      <c r="AA69" s="9" cm="1">
        <f t="array" ref="AA69">IF(OR(AB69:AE69=""),"BLANK",IF(AND(AB69:AE69&lt;999),1,IF(AND(AB69:AE69="NA"),3,2)))</f>
        <v>1</v>
      </c>
      <c r="AB69" s="4">
        <v>27</v>
      </c>
      <c r="AC69" s="4">
        <v>18</v>
      </c>
      <c r="AD69" s="4">
        <v>13</v>
      </c>
      <c r="AE69" s="5">
        <v>58</v>
      </c>
      <c r="AF69" s="9">
        <f t="shared" si="1"/>
        <v>1</v>
      </c>
      <c r="AG69" s="5">
        <v>35</v>
      </c>
      <c r="AH69" s="9" cm="1">
        <f t="array" ref="AH69">IF(OR(AI69:AN69=""),"BLANK",IF(AND(AI69:AN69&lt;999),1,IF(AND(AI69:AN69="NA"),3,2)))</f>
        <v>1</v>
      </c>
      <c r="AI69" s="37">
        <v>44</v>
      </c>
      <c r="AJ69" s="37">
        <v>56</v>
      </c>
      <c r="AK69" s="37">
        <v>101</v>
      </c>
      <c r="AL69" s="37">
        <v>121</v>
      </c>
      <c r="AM69" s="37">
        <v>92</v>
      </c>
      <c r="AN69" s="38">
        <v>63</v>
      </c>
    </row>
    <row r="70" spans="1:40" x14ac:dyDescent="0.2">
      <c r="A70" s="16">
        <v>835</v>
      </c>
      <c r="B70" s="4" t="s">
        <v>51</v>
      </c>
      <c r="C70" s="30" t="s">
        <v>23</v>
      </c>
      <c r="D70" s="30">
        <v>5</v>
      </c>
      <c r="E70" s="30">
        <v>0</v>
      </c>
      <c r="F70" s="54" t="s">
        <v>6</v>
      </c>
      <c r="G70" s="30">
        <v>26</v>
      </c>
      <c r="H70" s="33">
        <v>4.561259411362081</v>
      </c>
      <c r="I70" s="33">
        <v>4.2984257357973989</v>
      </c>
      <c r="J70" s="33">
        <v>8.85968514715948</v>
      </c>
      <c r="K70" s="33">
        <v>4.6187542778918553</v>
      </c>
      <c r="L70" s="33">
        <v>4.2409308692676246</v>
      </c>
      <c r="M70" s="33">
        <v>8.85968514715948</v>
      </c>
      <c r="N70" s="33">
        <v>4.4845995893223822</v>
      </c>
      <c r="O70" s="33">
        <v>4.0492813141683781</v>
      </c>
      <c r="P70" s="33">
        <v>8.5338809034907595</v>
      </c>
      <c r="Q70" s="33" t="s">
        <v>7</v>
      </c>
      <c r="R70" s="33" t="s">
        <v>7</v>
      </c>
      <c r="S70" s="33" t="s">
        <v>7</v>
      </c>
      <c r="T70" s="4">
        <v>4</v>
      </c>
      <c r="U70" s="4">
        <v>16</v>
      </c>
      <c r="V70" s="4" t="s">
        <v>1</v>
      </c>
      <c r="W70" s="4">
        <v>1</v>
      </c>
      <c r="X70" s="4">
        <v>3</v>
      </c>
      <c r="Y70" s="4">
        <v>1</v>
      </c>
      <c r="Z70" s="56">
        <v>3</v>
      </c>
      <c r="AA70" s="9" cm="1">
        <f t="array" ref="AA70">IF(OR(AB70:AE70=""),"BLANK",IF(AND(AB70:AE70&lt;999),1,IF(AND(AB70:AE70="NA"),3,2)))</f>
        <v>1</v>
      </c>
      <c r="AB70" s="4">
        <v>29</v>
      </c>
      <c r="AC70" s="4">
        <v>20</v>
      </c>
      <c r="AD70" s="4">
        <v>16</v>
      </c>
      <c r="AE70" s="5">
        <v>65</v>
      </c>
      <c r="AF70" s="9">
        <f t="shared" si="1"/>
        <v>1</v>
      </c>
      <c r="AG70" s="5">
        <v>65</v>
      </c>
      <c r="AH70" s="9" cm="1">
        <f t="array" ref="AH70">IF(OR(AI70:AN70=""),"BLANK",IF(AND(AI70:AN70&lt;999),1,IF(AND(AI70:AN70="NA"),3,2)))</f>
        <v>1</v>
      </c>
      <c r="AI70" s="37">
        <v>58</v>
      </c>
      <c r="AJ70" s="37">
        <v>79</v>
      </c>
      <c r="AK70" s="37">
        <v>130</v>
      </c>
      <c r="AL70" s="37">
        <v>140</v>
      </c>
      <c r="AM70" s="37">
        <v>99</v>
      </c>
      <c r="AN70" s="38">
        <v>77</v>
      </c>
    </row>
    <row r="71" spans="1:40" x14ac:dyDescent="0.2">
      <c r="A71" s="16">
        <v>841</v>
      </c>
      <c r="B71" s="4" t="s">
        <v>54</v>
      </c>
      <c r="C71" s="30" t="s">
        <v>23</v>
      </c>
      <c r="D71" s="30">
        <v>5</v>
      </c>
      <c r="E71" s="30">
        <v>0</v>
      </c>
      <c r="F71" s="54" t="s">
        <v>6</v>
      </c>
      <c r="G71" s="30">
        <v>29</v>
      </c>
      <c r="H71" s="33">
        <v>3.9972621492128679</v>
      </c>
      <c r="I71" s="33">
        <v>5.5687885010266944</v>
      </c>
      <c r="J71" s="33">
        <v>9.5660506502395624</v>
      </c>
      <c r="K71" s="33">
        <v>3.9972621492128679</v>
      </c>
      <c r="L71" s="33">
        <v>5.5687885010266944</v>
      </c>
      <c r="M71" s="33">
        <v>9.5660506502395624</v>
      </c>
      <c r="N71" s="33">
        <v>4</v>
      </c>
      <c r="O71" s="33">
        <v>5.1964407939767279</v>
      </c>
      <c r="P71" s="33">
        <v>9.1964407939767288</v>
      </c>
      <c r="Q71" s="33" t="s">
        <v>7</v>
      </c>
      <c r="R71" s="33" t="s">
        <v>7</v>
      </c>
      <c r="S71" s="33" t="s">
        <v>7</v>
      </c>
      <c r="T71" s="4">
        <v>7</v>
      </c>
      <c r="U71" s="4">
        <v>21</v>
      </c>
      <c r="V71" s="4" t="s">
        <v>1</v>
      </c>
      <c r="W71" s="4">
        <v>1</v>
      </c>
      <c r="X71" s="4">
        <v>3</v>
      </c>
      <c r="Y71" s="4">
        <v>1</v>
      </c>
      <c r="Z71" s="56">
        <v>3</v>
      </c>
      <c r="AA71" s="9" cm="1">
        <f t="array" ref="AA71">IF(OR(AB71:AE71=""),"BLANK",IF(AND(AB71:AE71&lt;999),1,IF(AND(AB71:AE71="NA"),3,2)))</f>
        <v>1</v>
      </c>
      <c r="AB71" s="4">
        <v>43</v>
      </c>
      <c r="AC71" s="4">
        <v>26</v>
      </c>
      <c r="AD71" s="4">
        <v>16</v>
      </c>
      <c r="AE71" s="5">
        <v>85</v>
      </c>
      <c r="AF71" s="9">
        <f t="shared" si="1"/>
        <v>1</v>
      </c>
      <c r="AG71" s="5">
        <v>75</v>
      </c>
      <c r="AH71" s="9" cm="1">
        <f t="array" ref="AH71">IF(OR(AI71:AN71=""),"BLANK",IF(AND(AI71:AN71&lt;999),1,IF(AND(AI71:AN71="NA"),3,2)))</f>
        <v>1</v>
      </c>
      <c r="AI71" s="37">
        <v>50</v>
      </c>
      <c r="AJ71" s="37">
        <v>66</v>
      </c>
      <c r="AK71" s="37">
        <v>113</v>
      </c>
      <c r="AL71" s="37">
        <v>126</v>
      </c>
      <c r="AM71" s="37">
        <v>96</v>
      </c>
      <c r="AN71" s="38">
        <v>70</v>
      </c>
    </row>
    <row r="72" spans="1:40" x14ac:dyDescent="0.2">
      <c r="A72" s="16">
        <v>849</v>
      </c>
      <c r="B72" s="4" t="s">
        <v>57</v>
      </c>
      <c r="C72" s="30" t="s">
        <v>24</v>
      </c>
      <c r="D72" s="30">
        <v>5</v>
      </c>
      <c r="E72" s="30">
        <v>0</v>
      </c>
      <c r="F72" s="54" t="s">
        <v>6</v>
      </c>
      <c r="G72" s="30">
        <v>30</v>
      </c>
      <c r="H72" s="33">
        <v>4.1587953456536617</v>
      </c>
      <c r="I72" s="33">
        <v>5.7577002053388089</v>
      </c>
      <c r="J72" s="33">
        <v>9.9164955509924706</v>
      </c>
      <c r="K72" s="33">
        <v>4.2354551676933605</v>
      </c>
      <c r="L72" s="33">
        <v>5.7002053388090346</v>
      </c>
      <c r="M72" s="33">
        <v>9.935660506502396</v>
      </c>
      <c r="N72" s="33">
        <v>4.476386036960986</v>
      </c>
      <c r="O72" s="33">
        <v>5.4318959616700893</v>
      </c>
      <c r="P72" s="33">
        <v>9.9082819986310753</v>
      </c>
      <c r="Q72" s="33" t="s">
        <v>7</v>
      </c>
      <c r="R72" s="33" t="s">
        <v>7</v>
      </c>
      <c r="S72" s="33" t="s">
        <v>7</v>
      </c>
      <c r="T72" s="4" t="s">
        <v>7</v>
      </c>
      <c r="U72" s="4" t="s">
        <v>7</v>
      </c>
      <c r="V72" s="4" t="s">
        <v>1</v>
      </c>
      <c r="W72" s="4">
        <v>1</v>
      </c>
      <c r="X72" s="4">
        <v>3</v>
      </c>
      <c r="Y72" s="4">
        <v>1</v>
      </c>
      <c r="Z72" s="56">
        <v>3</v>
      </c>
      <c r="AA72" s="9" cm="1">
        <f t="array" ref="AA72">IF(OR(AB72:AE72=""),"BLANK",IF(AND(AB72:AE72&lt;999),1,IF(AND(AB72:AE72="NA"),3,2)))</f>
        <v>1</v>
      </c>
      <c r="AB72" s="4">
        <v>36</v>
      </c>
      <c r="AC72" s="4">
        <v>19</v>
      </c>
      <c r="AD72" s="4">
        <v>12</v>
      </c>
      <c r="AE72" s="5">
        <v>67</v>
      </c>
      <c r="AF72" s="9">
        <f t="shared" si="1"/>
        <v>1</v>
      </c>
      <c r="AG72" s="5">
        <v>62</v>
      </c>
      <c r="AH72" s="9" cm="1">
        <f t="array" ref="AH72">IF(OR(AI72:AN72=""),"BLANK",IF(AND(AI72:AN72&lt;999),1,IF(AND(AI72:AN72="NA"),3,2)))</f>
        <v>3</v>
      </c>
      <c r="AI72" s="37" t="s">
        <v>7</v>
      </c>
      <c r="AJ72" s="37" t="s">
        <v>7</v>
      </c>
      <c r="AK72" s="37" t="s">
        <v>7</v>
      </c>
      <c r="AL72" s="37" t="s">
        <v>7</v>
      </c>
      <c r="AM72" s="37" t="s">
        <v>7</v>
      </c>
      <c r="AN72" s="38" t="s">
        <v>7</v>
      </c>
    </row>
    <row r="73" spans="1:40" x14ac:dyDescent="0.2">
      <c r="A73" s="16">
        <v>860</v>
      </c>
      <c r="B73" s="4" t="s">
        <v>69</v>
      </c>
      <c r="C73" s="30" t="s">
        <v>23</v>
      </c>
      <c r="D73" s="30">
        <v>5</v>
      </c>
      <c r="E73" s="30">
        <v>0</v>
      </c>
      <c r="F73" s="54" t="s">
        <v>6</v>
      </c>
      <c r="G73" s="30">
        <v>30</v>
      </c>
      <c r="H73" s="33">
        <v>3.9863107460643397</v>
      </c>
      <c r="I73" s="33">
        <v>5.5249828884325805</v>
      </c>
      <c r="J73" s="33">
        <v>9.5112936344969192</v>
      </c>
      <c r="K73" s="33">
        <v>3.9863107460643397</v>
      </c>
      <c r="L73" s="33">
        <v>5.5824777549623548</v>
      </c>
      <c r="M73" s="33">
        <v>9.5687885010266935</v>
      </c>
      <c r="N73" s="33">
        <v>3.9698836413415468</v>
      </c>
      <c r="O73" s="33">
        <v>5.2731006160164275</v>
      </c>
      <c r="P73" s="33">
        <v>9.2429842573579748</v>
      </c>
      <c r="Q73" s="33">
        <v>3.184120465434634</v>
      </c>
      <c r="R73" s="33" t="s">
        <v>7</v>
      </c>
      <c r="S73" s="33" t="s">
        <v>7</v>
      </c>
      <c r="T73" s="4" t="s">
        <v>7</v>
      </c>
      <c r="U73" s="4" t="s">
        <v>7</v>
      </c>
      <c r="V73" s="4" t="s">
        <v>1</v>
      </c>
      <c r="W73" s="4">
        <v>1</v>
      </c>
      <c r="X73" s="4">
        <v>3</v>
      </c>
      <c r="Y73" s="4">
        <v>1</v>
      </c>
      <c r="Z73" s="56">
        <v>3</v>
      </c>
      <c r="AA73" s="9" cm="1">
        <f t="array" ref="AA73">IF(OR(AB73:AE73=""),"BLANK",IF(AND(AB73:AE73&lt;999),1,IF(AND(AB73:AE73="NA"),3,2)))</f>
        <v>1</v>
      </c>
      <c r="AB73" s="4">
        <v>23</v>
      </c>
      <c r="AC73" s="4">
        <v>14</v>
      </c>
      <c r="AD73" s="4">
        <v>11</v>
      </c>
      <c r="AE73" s="5">
        <v>48</v>
      </c>
      <c r="AF73" s="9">
        <f t="shared" si="1"/>
        <v>1</v>
      </c>
      <c r="AG73" s="5">
        <v>37</v>
      </c>
      <c r="AH73" s="9" cm="1">
        <f t="array" ref="AH73">IF(OR(AI73:AN73=""),"BLANK",IF(AND(AI73:AN73&lt;999),1,IF(AND(AI73:AN73="NA"),3,2)))</f>
        <v>2</v>
      </c>
      <c r="AI73" s="37">
        <v>35</v>
      </c>
      <c r="AJ73" s="37">
        <v>41</v>
      </c>
      <c r="AK73" s="37">
        <v>82</v>
      </c>
      <c r="AL73" s="37" t="s">
        <v>7</v>
      </c>
      <c r="AM73" s="37" t="s">
        <v>7</v>
      </c>
      <c r="AN73" s="38" t="s">
        <v>7</v>
      </c>
    </row>
    <row r="74" spans="1:40" x14ac:dyDescent="0.2">
      <c r="A74" s="16">
        <v>872</v>
      </c>
      <c r="B74" s="4" t="s">
        <v>48</v>
      </c>
      <c r="C74" s="30" t="s">
        <v>23</v>
      </c>
      <c r="D74" s="30">
        <v>5</v>
      </c>
      <c r="E74" s="30">
        <v>0</v>
      </c>
      <c r="F74" s="54" t="s">
        <v>6</v>
      </c>
      <c r="G74" s="30">
        <v>30</v>
      </c>
      <c r="H74" s="33">
        <v>3.9589322381930185</v>
      </c>
      <c r="I74" s="33">
        <v>5.4428473648186175</v>
      </c>
      <c r="J74" s="33">
        <v>9.4017796030116365</v>
      </c>
      <c r="K74" s="33">
        <v>3.9589322381930185</v>
      </c>
      <c r="L74" s="33">
        <v>5.4428473648186175</v>
      </c>
      <c r="M74" s="33">
        <v>9.4017796030116365</v>
      </c>
      <c r="N74" s="33">
        <v>3.9972621492128679</v>
      </c>
      <c r="O74" s="33">
        <v>5.0814510609171801</v>
      </c>
      <c r="P74" s="33">
        <v>9.0787132101300472</v>
      </c>
      <c r="Q74" s="33">
        <v>3.353867214236824</v>
      </c>
      <c r="R74" s="33" t="s">
        <v>7</v>
      </c>
      <c r="S74" s="33" t="s">
        <v>7</v>
      </c>
      <c r="T74" s="4">
        <v>6</v>
      </c>
      <c r="U74" s="4">
        <v>18</v>
      </c>
      <c r="V74" s="4" t="s">
        <v>1</v>
      </c>
      <c r="W74" s="4">
        <v>1</v>
      </c>
      <c r="X74" s="4">
        <v>3</v>
      </c>
      <c r="Y74" s="4">
        <v>1</v>
      </c>
      <c r="Z74" s="56">
        <v>3</v>
      </c>
      <c r="AA74" s="9" cm="1">
        <f t="array" ref="AA74">IF(OR(AB74:AE74=""),"BLANK",IF(AND(AB74:AE74&lt;999),1,IF(AND(AB74:AE74="NA"),3,2)))</f>
        <v>1</v>
      </c>
      <c r="AB74" s="4">
        <v>34</v>
      </c>
      <c r="AC74" s="4">
        <v>18</v>
      </c>
      <c r="AD74" s="4">
        <v>15</v>
      </c>
      <c r="AE74" s="5">
        <v>67</v>
      </c>
      <c r="AF74" s="9">
        <f t="shared" si="1"/>
        <v>1</v>
      </c>
      <c r="AG74" s="5">
        <v>54</v>
      </c>
      <c r="AH74" s="9" cm="1">
        <f t="array" ref="AH74">IF(OR(AI74:AN74=""),"BLANK",IF(AND(AI74:AN74&lt;999),1,IF(AND(AI74:AN74="NA"),3,2)))</f>
        <v>1</v>
      </c>
      <c r="AI74" s="37">
        <v>45</v>
      </c>
      <c r="AJ74" s="37">
        <v>58</v>
      </c>
      <c r="AK74" s="37">
        <v>103</v>
      </c>
      <c r="AL74" s="37">
        <v>120</v>
      </c>
      <c r="AM74" s="37">
        <v>91</v>
      </c>
      <c r="AN74" s="38">
        <v>62</v>
      </c>
    </row>
    <row r="75" spans="1:40" x14ac:dyDescent="0.2">
      <c r="A75" s="16">
        <v>884</v>
      </c>
      <c r="B75" s="4" t="s">
        <v>63</v>
      </c>
      <c r="C75" s="30" t="s">
        <v>23</v>
      </c>
      <c r="D75" s="30">
        <v>5</v>
      </c>
      <c r="E75" s="30">
        <v>0</v>
      </c>
      <c r="F75" s="54" t="s">
        <v>6</v>
      </c>
      <c r="G75" s="30">
        <v>30</v>
      </c>
      <c r="H75" s="33">
        <v>4.046543463381246</v>
      </c>
      <c r="I75" s="33">
        <v>5.722108145106092</v>
      </c>
      <c r="J75" s="33">
        <v>9.7686516084873372</v>
      </c>
      <c r="K75" s="33">
        <v>4.0657084188911705</v>
      </c>
      <c r="L75" s="33">
        <v>5.7029431895961666</v>
      </c>
      <c r="M75" s="33">
        <v>9.7686516084873372</v>
      </c>
      <c r="N75" s="33">
        <v>4.0246406570841886</v>
      </c>
      <c r="O75" s="33">
        <v>5.7029431895961666</v>
      </c>
      <c r="P75" s="33">
        <v>9.7275838466803553</v>
      </c>
      <c r="Q75" s="33" t="s">
        <v>7</v>
      </c>
      <c r="R75" s="33" t="s">
        <v>7</v>
      </c>
      <c r="S75" s="33" t="s">
        <v>7</v>
      </c>
      <c r="T75" s="4" t="s">
        <v>7</v>
      </c>
      <c r="U75" s="4" t="s">
        <v>7</v>
      </c>
      <c r="V75" s="4" t="s">
        <v>1</v>
      </c>
      <c r="W75" s="4">
        <v>1</v>
      </c>
      <c r="X75" s="4">
        <v>3</v>
      </c>
      <c r="Y75" s="4">
        <v>1</v>
      </c>
      <c r="Z75" s="56">
        <v>3</v>
      </c>
      <c r="AA75" s="9" cm="1">
        <f t="array" ref="AA75">IF(OR(AB75:AE75=""),"BLANK",IF(AND(AB75:AE75&lt;999),1,IF(AND(AB75:AE75="NA"),3,2)))</f>
        <v>1</v>
      </c>
      <c r="AB75" s="4">
        <v>49</v>
      </c>
      <c r="AC75" s="4">
        <v>27</v>
      </c>
      <c r="AD75" s="4">
        <v>15</v>
      </c>
      <c r="AE75" s="5">
        <v>91</v>
      </c>
      <c r="AF75" s="9">
        <f t="shared" si="1"/>
        <v>1</v>
      </c>
      <c r="AG75" s="5">
        <v>79</v>
      </c>
      <c r="AH75" s="9" cm="1">
        <f t="array" ref="AH75">IF(OR(AI75:AN75=""),"BLANK",IF(AND(AI75:AN75&lt;999),1,IF(AND(AI75:AN75="NA"),3,2)))</f>
        <v>1</v>
      </c>
      <c r="AI75" s="37">
        <v>50</v>
      </c>
      <c r="AJ75" s="37">
        <v>66</v>
      </c>
      <c r="AK75" s="37">
        <v>113</v>
      </c>
      <c r="AL75" s="37">
        <v>109</v>
      </c>
      <c r="AM75" s="37">
        <v>73</v>
      </c>
      <c r="AN75" s="38">
        <v>54</v>
      </c>
    </row>
    <row r="76" spans="1:40" x14ac:dyDescent="0.2">
      <c r="A76" s="16">
        <v>886</v>
      </c>
      <c r="B76" s="4" t="s">
        <v>54</v>
      </c>
      <c r="C76" s="30" t="s">
        <v>23</v>
      </c>
      <c r="D76" s="30">
        <v>5</v>
      </c>
      <c r="E76" s="30">
        <v>0</v>
      </c>
      <c r="F76" s="54" t="s">
        <v>6</v>
      </c>
      <c r="G76" s="30">
        <v>28</v>
      </c>
      <c r="H76" s="33">
        <v>3.978097193702943</v>
      </c>
      <c r="I76" s="33">
        <v>5.763175906913073</v>
      </c>
      <c r="J76" s="33">
        <v>9.7412731006160165</v>
      </c>
      <c r="K76" s="33">
        <v>3.978097193702943</v>
      </c>
      <c r="L76" s="33">
        <v>5.763175906913073</v>
      </c>
      <c r="M76" s="33">
        <v>9.7412731006160165</v>
      </c>
      <c r="N76" s="33" t="s">
        <v>7</v>
      </c>
      <c r="O76" s="33" t="s">
        <v>7</v>
      </c>
      <c r="P76" s="33" t="s">
        <v>7</v>
      </c>
      <c r="Q76" s="33" t="s">
        <v>7</v>
      </c>
      <c r="R76" s="33" t="s">
        <v>7</v>
      </c>
      <c r="S76" s="33" t="s">
        <v>7</v>
      </c>
      <c r="T76" s="4">
        <v>4</v>
      </c>
      <c r="U76" s="4">
        <v>16</v>
      </c>
      <c r="V76" s="4" t="s">
        <v>1</v>
      </c>
      <c r="W76" s="4">
        <v>1</v>
      </c>
      <c r="X76" s="4">
        <v>3</v>
      </c>
      <c r="Y76" s="4">
        <v>1</v>
      </c>
      <c r="Z76" s="56">
        <v>3</v>
      </c>
      <c r="AA76" s="9" cm="1">
        <f t="array" ref="AA76">IF(OR(AB76:AE76=""),"BLANK",IF(AND(AB76:AE76&lt;999),1,IF(AND(AB76:AE76="NA"),3,2)))</f>
        <v>1</v>
      </c>
      <c r="AB76" s="4">
        <v>31</v>
      </c>
      <c r="AC76" s="4">
        <v>18</v>
      </c>
      <c r="AD76" s="4">
        <v>14</v>
      </c>
      <c r="AE76" s="5">
        <v>63</v>
      </c>
      <c r="AF76" s="9">
        <f t="shared" si="1"/>
        <v>1</v>
      </c>
      <c r="AG76" s="5">
        <v>45</v>
      </c>
      <c r="AH76" s="9" cm="1">
        <f t="array" ref="AH76">IF(OR(AI76:AN76=""),"BLANK",IF(AND(AI76:AN76&lt;999),1,IF(AND(AI76:AN76="NA"),3,2)))</f>
        <v>1</v>
      </c>
      <c r="AI76" s="37">
        <v>47</v>
      </c>
      <c r="AJ76" s="37">
        <v>61</v>
      </c>
      <c r="AK76" s="37">
        <v>107</v>
      </c>
      <c r="AL76" s="37">
        <v>113</v>
      </c>
      <c r="AM76" s="37">
        <v>80</v>
      </c>
      <c r="AN76" s="38">
        <v>61</v>
      </c>
    </row>
    <row r="77" spans="1:40" x14ac:dyDescent="0.2">
      <c r="A77" s="16">
        <v>889</v>
      </c>
      <c r="B77" s="4" t="s">
        <v>50</v>
      </c>
      <c r="C77" s="30" t="s">
        <v>23</v>
      </c>
      <c r="D77" s="30">
        <v>5</v>
      </c>
      <c r="E77" s="30">
        <v>0</v>
      </c>
      <c r="F77" s="54" t="s">
        <v>6</v>
      </c>
      <c r="G77" s="30">
        <v>30</v>
      </c>
      <c r="H77" s="33">
        <v>4.0657084188911705</v>
      </c>
      <c r="I77" s="33">
        <v>5.1937029431895958</v>
      </c>
      <c r="J77" s="33">
        <v>9.2594113620807672</v>
      </c>
      <c r="K77" s="33">
        <v>4.0657084188911705</v>
      </c>
      <c r="L77" s="33">
        <v>5.1937029431895958</v>
      </c>
      <c r="M77" s="33">
        <v>9.2594113620807672</v>
      </c>
      <c r="N77" s="33">
        <v>4.0547570157426422</v>
      </c>
      <c r="O77" s="33">
        <v>4.8733744010951403</v>
      </c>
      <c r="P77" s="33">
        <v>8.9281314168377826</v>
      </c>
      <c r="Q77" s="33" t="s">
        <v>7</v>
      </c>
      <c r="R77" s="33" t="s">
        <v>7</v>
      </c>
      <c r="S77" s="33" t="s">
        <v>7</v>
      </c>
      <c r="T77" s="4">
        <v>4</v>
      </c>
      <c r="U77" s="4">
        <v>16</v>
      </c>
      <c r="V77" s="4" t="s">
        <v>1</v>
      </c>
      <c r="W77" s="4">
        <v>1</v>
      </c>
      <c r="X77" s="4">
        <v>3</v>
      </c>
      <c r="Y77" s="4">
        <v>1</v>
      </c>
      <c r="Z77" s="56">
        <v>3</v>
      </c>
      <c r="AA77" s="9" cm="1">
        <f t="array" ref="AA77">IF(OR(AB77:AE77=""),"BLANK",IF(AND(AB77:AE77&lt;999),1,IF(AND(AB77:AE77="NA"),3,2)))</f>
        <v>1</v>
      </c>
      <c r="AB77" s="4">
        <v>21</v>
      </c>
      <c r="AC77" s="4">
        <v>19</v>
      </c>
      <c r="AD77" s="4">
        <v>16</v>
      </c>
      <c r="AE77" s="5">
        <v>56</v>
      </c>
      <c r="AF77" s="9">
        <f t="shared" si="1"/>
        <v>1</v>
      </c>
      <c r="AG77" s="5">
        <v>52</v>
      </c>
      <c r="AH77" s="9" cm="1">
        <f t="array" ref="AH77">IF(OR(AI77:AN77=""),"BLANK",IF(AND(AI77:AN77&lt;999),1,IF(AND(AI77:AN77="NA"),3,2)))</f>
        <v>1</v>
      </c>
      <c r="AI77" s="37">
        <v>39</v>
      </c>
      <c r="AJ77" s="37">
        <v>48</v>
      </c>
      <c r="AK77" s="37">
        <v>90</v>
      </c>
      <c r="AL77" s="37">
        <v>88</v>
      </c>
      <c r="AM77" s="37">
        <v>22</v>
      </c>
      <c r="AN77" s="38">
        <v>38</v>
      </c>
    </row>
    <row r="78" spans="1:40" x14ac:dyDescent="0.2">
      <c r="A78" s="16">
        <v>891</v>
      </c>
      <c r="B78" s="4" t="s">
        <v>60</v>
      </c>
      <c r="C78" s="30" t="s">
        <v>24</v>
      </c>
      <c r="D78" s="30">
        <v>5</v>
      </c>
      <c r="E78" s="30">
        <v>0</v>
      </c>
      <c r="F78" s="54" t="s">
        <v>6</v>
      </c>
      <c r="G78" s="30">
        <v>30</v>
      </c>
      <c r="H78" s="33">
        <v>4.213552361396304</v>
      </c>
      <c r="I78" s="33">
        <v>5.678302532511978</v>
      </c>
      <c r="J78" s="33">
        <v>9.8918548939082829</v>
      </c>
      <c r="K78" s="33" t="s">
        <v>7</v>
      </c>
      <c r="L78" s="33">
        <v>5.6919917864476384</v>
      </c>
      <c r="M78" s="33" t="s">
        <v>7</v>
      </c>
      <c r="N78" s="33">
        <v>4.2327173169062284</v>
      </c>
      <c r="O78" s="33">
        <v>5.6399726214921291</v>
      </c>
      <c r="P78" s="33">
        <v>9.8726899383983575</v>
      </c>
      <c r="Q78" s="33" t="s">
        <v>7</v>
      </c>
      <c r="R78" s="33" t="s">
        <v>7</v>
      </c>
      <c r="S78" s="33" t="s">
        <v>7</v>
      </c>
      <c r="T78" s="4" t="s">
        <v>7</v>
      </c>
      <c r="U78" s="4" t="s">
        <v>7</v>
      </c>
      <c r="V78" s="4" t="s">
        <v>1</v>
      </c>
      <c r="W78" s="4">
        <v>1</v>
      </c>
      <c r="X78" s="4">
        <v>3</v>
      </c>
      <c r="Y78" s="4">
        <v>1</v>
      </c>
      <c r="Z78" s="56">
        <v>3</v>
      </c>
      <c r="AA78" s="9" cm="1">
        <f t="array" ref="AA78">IF(OR(AB78:AE78=""),"BLANK",IF(AND(AB78:AE78&lt;999),1,IF(AND(AB78:AE78="NA"),3,2)))</f>
        <v>1</v>
      </c>
      <c r="AB78" s="4">
        <v>43</v>
      </c>
      <c r="AC78" s="4">
        <v>19</v>
      </c>
      <c r="AD78" s="4">
        <v>16</v>
      </c>
      <c r="AE78" s="5">
        <v>78</v>
      </c>
      <c r="AF78" s="9">
        <f t="shared" si="1"/>
        <v>1</v>
      </c>
      <c r="AG78" s="5">
        <v>56</v>
      </c>
      <c r="AH78" s="9" cm="1">
        <f t="array" ref="AH78">IF(OR(AI78:AN78=""),"BLANK",IF(AND(AI78:AN78&lt;999),1,IF(AND(AI78:AN78="NA"),3,2)))</f>
        <v>1</v>
      </c>
      <c r="AI78" s="37">
        <v>58</v>
      </c>
      <c r="AJ78" s="37">
        <v>79</v>
      </c>
      <c r="AK78" s="37">
        <v>130</v>
      </c>
      <c r="AL78" s="37">
        <v>133</v>
      </c>
      <c r="AM78" s="37">
        <v>99</v>
      </c>
      <c r="AN78" s="38">
        <v>72</v>
      </c>
    </row>
    <row r="79" spans="1:40" x14ac:dyDescent="0.2">
      <c r="A79" s="16">
        <v>898</v>
      </c>
      <c r="B79" s="4" t="s">
        <v>54</v>
      </c>
      <c r="C79" s="30" t="s">
        <v>23</v>
      </c>
      <c r="D79" s="30">
        <v>5</v>
      </c>
      <c r="E79" s="30">
        <v>0</v>
      </c>
      <c r="F79" s="54" t="s">
        <v>6</v>
      </c>
      <c r="G79" s="30">
        <v>30</v>
      </c>
      <c r="H79" s="33">
        <v>3.9835728952772076</v>
      </c>
      <c r="I79" s="33">
        <v>5.5770020533880906</v>
      </c>
      <c r="J79" s="33">
        <v>9.5605749486652982</v>
      </c>
      <c r="K79" s="33">
        <v>3.9835728952772076</v>
      </c>
      <c r="L79" s="33">
        <v>5.6618754277891856</v>
      </c>
      <c r="M79" s="33">
        <v>9.6454483230663932</v>
      </c>
      <c r="N79" s="33">
        <v>4.0410677618069819</v>
      </c>
      <c r="O79" s="33">
        <v>5.292265571526352</v>
      </c>
      <c r="P79" s="33">
        <v>9.3333333333333339</v>
      </c>
      <c r="Q79" s="33">
        <v>3.3374401095140316</v>
      </c>
      <c r="R79" s="33" t="s">
        <v>7</v>
      </c>
      <c r="S79" s="33" t="s">
        <v>7</v>
      </c>
      <c r="T79" s="4">
        <v>4</v>
      </c>
      <c r="U79" s="4">
        <v>16</v>
      </c>
      <c r="V79" s="4" t="s">
        <v>1</v>
      </c>
      <c r="W79" s="4">
        <v>1</v>
      </c>
      <c r="X79" s="4">
        <v>3</v>
      </c>
      <c r="Y79" s="4">
        <v>1</v>
      </c>
      <c r="Z79" s="56">
        <v>3</v>
      </c>
      <c r="AA79" s="9" cm="1">
        <f t="array" ref="AA79">IF(OR(AB79:AE79=""),"BLANK",IF(AND(AB79:AE79&lt;999),1,IF(AND(AB79:AE79="NA"),3,2)))</f>
        <v>1</v>
      </c>
      <c r="AB79" s="4">
        <v>40</v>
      </c>
      <c r="AC79" s="4">
        <v>23</v>
      </c>
      <c r="AD79" s="4">
        <v>16</v>
      </c>
      <c r="AE79" s="5">
        <v>79</v>
      </c>
      <c r="AF79" s="9">
        <f t="shared" si="1"/>
        <v>1</v>
      </c>
      <c r="AG79" s="5">
        <v>69</v>
      </c>
      <c r="AH79" s="9" cm="1">
        <f t="array" ref="AH79">IF(OR(AI79:AN79=""),"BLANK",IF(AND(AI79:AN79&lt;999),1,IF(AND(AI79:AN79="NA"),3,2)))</f>
        <v>1</v>
      </c>
      <c r="AI79" s="37">
        <v>48</v>
      </c>
      <c r="AJ79" s="37">
        <v>62</v>
      </c>
      <c r="AK79" s="37">
        <v>109</v>
      </c>
      <c r="AL79" s="37">
        <v>104</v>
      </c>
      <c r="AM79" s="37">
        <v>61</v>
      </c>
      <c r="AN79" s="38">
        <v>51</v>
      </c>
    </row>
    <row r="80" spans="1:40" x14ac:dyDescent="0.2">
      <c r="A80" s="16">
        <v>927</v>
      </c>
      <c r="B80" s="4" t="s">
        <v>61</v>
      </c>
      <c r="C80" s="30" t="s">
        <v>23</v>
      </c>
      <c r="D80" s="30">
        <v>5</v>
      </c>
      <c r="E80" s="30">
        <v>0</v>
      </c>
      <c r="F80" s="54" t="s">
        <v>6</v>
      </c>
      <c r="G80" s="30">
        <v>30</v>
      </c>
      <c r="H80" s="33">
        <v>4.1232032854209448</v>
      </c>
      <c r="I80" s="33">
        <v>5.3661875427789187</v>
      </c>
      <c r="J80" s="33">
        <v>9.4893908281998627</v>
      </c>
      <c r="K80" s="33">
        <v>4.1232032854209448</v>
      </c>
      <c r="L80" s="33">
        <v>5.3661875427789187</v>
      </c>
      <c r="M80" s="33">
        <v>9.4893908281998627</v>
      </c>
      <c r="N80" s="33">
        <v>4.1204654346338128</v>
      </c>
      <c r="O80" s="33">
        <v>4.9774127310061598</v>
      </c>
      <c r="P80" s="33">
        <v>9.0978781656399725</v>
      </c>
      <c r="Q80" s="33" t="s">
        <v>7</v>
      </c>
      <c r="R80" s="33" t="s">
        <v>7</v>
      </c>
      <c r="S80" s="33" t="s">
        <v>7</v>
      </c>
      <c r="T80" s="4">
        <v>4</v>
      </c>
      <c r="U80" s="4">
        <v>16</v>
      </c>
      <c r="V80" s="4" t="s">
        <v>1</v>
      </c>
      <c r="W80" s="4">
        <v>1</v>
      </c>
      <c r="X80" s="4">
        <v>3</v>
      </c>
      <c r="Y80" s="4">
        <v>1</v>
      </c>
      <c r="Z80" s="56">
        <v>3</v>
      </c>
      <c r="AA80" s="9" cm="1">
        <f t="array" ref="AA80">IF(OR(AB80:AE80=""),"BLANK",IF(AND(AB80:AE80&lt;999),1,IF(AND(AB80:AE80="NA"),3,2)))</f>
        <v>1</v>
      </c>
      <c r="AB80" s="4">
        <v>29</v>
      </c>
      <c r="AC80" s="4">
        <v>18</v>
      </c>
      <c r="AD80" s="4">
        <v>13</v>
      </c>
      <c r="AE80" s="5">
        <v>60</v>
      </c>
      <c r="AF80" s="9">
        <f t="shared" si="1"/>
        <v>1</v>
      </c>
      <c r="AG80" s="5">
        <v>71</v>
      </c>
      <c r="AH80" s="9" cm="1">
        <f t="array" ref="AH80">IF(OR(AI80:AN80=""),"BLANK",IF(AND(AI80:AN80&lt;999),1,IF(AND(AI80:AN80="NA"),3,2)))</f>
        <v>1</v>
      </c>
      <c r="AI80" s="37">
        <v>55</v>
      </c>
      <c r="AJ80" s="37">
        <v>74</v>
      </c>
      <c r="AK80" s="37">
        <v>124</v>
      </c>
      <c r="AL80" s="37">
        <v>130</v>
      </c>
      <c r="AM80" s="37">
        <v>98</v>
      </c>
      <c r="AN80" s="38">
        <v>69</v>
      </c>
    </row>
    <row r="81" spans="1:40" x14ac:dyDescent="0.2">
      <c r="A81" s="16">
        <v>934</v>
      </c>
      <c r="B81" s="4" t="s">
        <v>59</v>
      </c>
      <c r="C81" s="30" t="s">
        <v>23</v>
      </c>
      <c r="D81" s="30">
        <v>5</v>
      </c>
      <c r="E81" s="30">
        <v>0</v>
      </c>
      <c r="F81" s="54" t="s">
        <v>6</v>
      </c>
      <c r="G81" s="30">
        <v>30</v>
      </c>
      <c r="H81" s="33">
        <v>4.0273785078713207</v>
      </c>
      <c r="I81" s="33">
        <v>5.5195071868583163</v>
      </c>
      <c r="J81" s="33">
        <v>9.546885694729637</v>
      </c>
      <c r="K81" s="33">
        <v>4.0273785078713207</v>
      </c>
      <c r="L81" s="33">
        <v>5.5195071868583163</v>
      </c>
      <c r="M81" s="33">
        <v>9.546885694729637</v>
      </c>
      <c r="N81" s="33">
        <v>3.9726214921286789</v>
      </c>
      <c r="O81" s="33">
        <v>5.1964407939767279</v>
      </c>
      <c r="P81" s="33">
        <v>9.1690622861054081</v>
      </c>
      <c r="Q81" s="33">
        <v>3.2881587953456535</v>
      </c>
      <c r="R81" s="33">
        <v>6.4010951403148528</v>
      </c>
      <c r="S81" s="33">
        <v>9.6892539356605063</v>
      </c>
      <c r="T81" s="4">
        <v>3</v>
      </c>
      <c r="U81" s="4">
        <v>13</v>
      </c>
      <c r="V81" s="4" t="s">
        <v>1</v>
      </c>
      <c r="W81" s="4">
        <v>1</v>
      </c>
      <c r="X81" s="4">
        <v>3</v>
      </c>
      <c r="Y81" s="4">
        <v>1</v>
      </c>
      <c r="Z81" s="56">
        <v>3</v>
      </c>
      <c r="AA81" s="9" cm="1">
        <f t="array" ref="AA81">IF(OR(AB81:AE81=""),"BLANK",IF(AND(AB81:AE81&lt;999),1,IF(AND(AB81:AE81="NA"),3,2)))</f>
        <v>1</v>
      </c>
      <c r="AB81" s="4">
        <v>32</v>
      </c>
      <c r="AC81" s="4">
        <v>22</v>
      </c>
      <c r="AD81" s="4">
        <v>14</v>
      </c>
      <c r="AE81" s="5">
        <v>68</v>
      </c>
      <c r="AF81" s="9">
        <f t="shared" si="1"/>
        <v>1</v>
      </c>
      <c r="AG81" s="5">
        <v>62</v>
      </c>
      <c r="AH81" s="9" cm="1">
        <f t="array" ref="AH81">IF(OR(AI81:AN81=""),"BLANK",IF(AND(AI81:AN81&lt;999),1,IF(AND(AI81:AN81="NA"),3,2)))</f>
        <v>1</v>
      </c>
      <c r="AI81" s="37">
        <v>56</v>
      </c>
      <c r="AJ81" s="37">
        <v>76</v>
      </c>
      <c r="AK81" s="37">
        <v>126</v>
      </c>
      <c r="AL81" s="37">
        <v>146</v>
      </c>
      <c r="AM81" s="37">
        <v>99</v>
      </c>
      <c r="AN81" s="38">
        <v>81</v>
      </c>
    </row>
    <row r="82" spans="1:40" x14ac:dyDescent="0.2">
      <c r="A82" s="16">
        <v>940</v>
      </c>
      <c r="B82" s="4" t="s">
        <v>58</v>
      </c>
      <c r="C82" s="30" t="s">
        <v>23</v>
      </c>
      <c r="D82" s="30">
        <v>5</v>
      </c>
      <c r="E82" s="30">
        <v>0</v>
      </c>
      <c r="F82" s="54" t="s">
        <v>6</v>
      </c>
      <c r="G82" s="30">
        <v>29</v>
      </c>
      <c r="H82" s="33">
        <v>4.0629705681040384</v>
      </c>
      <c r="I82" s="33">
        <v>5.3497604380561263</v>
      </c>
      <c r="J82" s="33">
        <v>9.4127310061601648</v>
      </c>
      <c r="K82" s="33">
        <v>4.0629705681040384</v>
      </c>
      <c r="L82" s="33">
        <v>5.3935660506502394</v>
      </c>
      <c r="M82" s="33">
        <v>9.4565366187542779</v>
      </c>
      <c r="N82" s="33">
        <v>4.0246406570841886</v>
      </c>
      <c r="O82" s="33">
        <v>5.075975359342916</v>
      </c>
      <c r="P82" s="33">
        <v>9.1006160164271055</v>
      </c>
      <c r="Q82" s="33">
        <v>3.57015742642026</v>
      </c>
      <c r="R82" s="33">
        <v>6.0862422997946615</v>
      </c>
      <c r="S82" s="33">
        <v>9.6563997262149215</v>
      </c>
      <c r="T82" s="4" t="s">
        <v>7</v>
      </c>
      <c r="U82" s="4" t="s">
        <v>7</v>
      </c>
      <c r="V82" s="4" t="s">
        <v>1</v>
      </c>
      <c r="W82" s="4">
        <v>1</v>
      </c>
      <c r="X82" s="4">
        <v>3</v>
      </c>
      <c r="Y82" s="4">
        <v>1</v>
      </c>
      <c r="Z82" s="56">
        <v>3</v>
      </c>
      <c r="AA82" s="9" cm="1">
        <f t="array" ref="AA82">IF(OR(AB82:AE82=""),"BLANK",IF(AND(AB82:AE82&lt;999),1,IF(AND(AB82:AE82="NA"),3,2)))</f>
        <v>1</v>
      </c>
      <c r="AB82" s="4">
        <v>37</v>
      </c>
      <c r="AC82" s="4">
        <v>16</v>
      </c>
      <c r="AD82" s="4">
        <v>13</v>
      </c>
      <c r="AE82" s="5">
        <v>66</v>
      </c>
      <c r="AF82" s="9">
        <f t="shared" si="1"/>
        <v>1</v>
      </c>
      <c r="AG82" s="5">
        <v>35</v>
      </c>
      <c r="AH82" s="9" cm="1">
        <f t="array" ref="AH82">IF(OR(AI82:AN82=""),"BLANK",IF(AND(AI82:AN82&lt;999),1,IF(AND(AI82:AN82="NA"),3,2)))</f>
        <v>1</v>
      </c>
      <c r="AI82" s="37">
        <v>42</v>
      </c>
      <c r="AJ82" s="37">
        <v>53</v>
      </c>
      <c r="AK82" s="37">
        <v>97</v>
      </c>
      <c r="AL82" s="37">
        <v>104</v>
      </c>
      <c r="AM82" s="37">
        <v>62</v>
      </c>
      <c r="AN82" s="38">
        <v>51</v>
      </c>
    </row>
    <row r="83" spans="1:40" x14ac:dyDescent="0.2">
      <c r="A83" s="16">
        <v>941</v>
      </c>
      <c r="B83" s="4" t="s">
        <v>7</v>
      </c>
      <c r="C83" s="30" t="s">
        <v>23</v>
      </c>
      <c r="D83" s="30">
        <v>5</v>
      </c>
      <c r="E83" s="30">
        <v>0</v>
      </c>
      <c r="F83" s="54" t="s">
        <v>6</v>
      </c>
      <c r="G83" s="30">
        <v>30</v>
      </c>
      <c r="H83" s="33" t="s">
        <v>7</v>
      </c>
      <c r="I83" s="33" t="s">
        <v>7</v>
      </c>
      <c r="J83" s="33">
        <v>9.8945927446954141</v>
      </c>
      <c r="K83" s="33" t="s">
        <v>7</v>
      </c>
      <c r="L83" s="33" t="s">
        <v>7</v>
      </c>
      <c r="M83" s="33">
        <v>9.9657768651608496</v>
      </c>
      <c r="N83" s="33" t="s">
        <v>7</v>
      </c>
      <c r="O83" s="33" t="s">
        <v>7</v>
      </c>
      <c r="P83" s="33">
        <v>9.7549623545516777</v>
      </c>
      <c r="Q83" s="33" t="s">
        <v>7</v>
      </c>
      <c r="R83" s="33" t="s">
        <v>7</v>
      </c>
      <c r="S83" s="33" t="s">
        <v>7</v>
      </c>
      <c r="T83" s="4" t="s">
        <v>7</v>
      </c>
      <c r="U83" s="4" t="s">
        <v>7</v>
      </c>
      <c r="V83" s="4" t="s">
        <v>1</v>
      </c>
      <c r="W83" s="4">
        <v>1</v>
      </c>
      <c r="X83" s="4">
        <v>3</v>
      </c>
      <c r="Y83" s="4">
        <v>1</v>
      </c>
      <c r="Z83" s="56">
        <v>3</v>
      </c>
      <c r="AA83" s="9" cm="1">
        <f t="array" ref="AA83">IF(OR(AB83:AE83=""),"BLANK",IF(AND(AB83:AE83&lt;999),1,IF(AND(AB83:AE83="NA"),3,2)))</f>
        <v>1</v>
      </c>
      <c r="AB83" s="4">
        <v>45</v>
      </c>
      <c r="AC83" s="4">
        <v>28</v>
      </c>
      <c r="AD83" s="4">
        <v>16</v>
      </c>
      <c r="AE83" s="5">
        <v>89</v>
      </c>
      <c r="AF83" s="9">
        <f t="shared" si="1"/>
        <v>1</v>
      </c>
      <c r="AG83" s="5">
        <v>77</v>
      </c>
      <c r="AH83" s="9" cm="1">
        <f t="array" ref="AH83">IF(OR(AI83:AN83=""),"BLANK",IF(AND(AI83:AN83&lt;999),1,IF(AND(AI83:AN83="NA"),3,2)))</f>
        <v>1</v>
      </c>
      <c r="AI83" s="37">
        <v>53</v>
      </c>
      <c r="AJ83" s="37">
        <v>71</v>
      </c>
      <c r="AK83" s="37">
        <v>120</v>
      </c>
      <c r="AL83" s="37">
        <v>136</v>
      </c>
      <c r="AM83" s="37">
        <v>99</v>
      </c>
      <c r="AN83" s="38">
        <v>74</v>
      </c>
    </row>
    <row r="84" spans="1:40" x14ac:dyDescent="0.2">
      <c r="A84" s="16">
        <v>946</v>
      </c>
      <c r="B84" s="4" t="s">
        <v>62</v>
      </c>
      <c r="C84" s="30" t="s">
        <v>24</v>
      </c>
      <c r="D84" s="30">
        <v>5</v>
      </c>
      <c r="E84" s="30">
        <v>0</v>
      </c>
      <c r="F84" s="54" t="s">
        <v>6</v>
      </c>
      <c r="G84" s="30">
        <v>30</v>
      </c>
      <c r="H84" s="33">
        <v>4.0301163586584527</v>
      </c>
      <c r="I84" s="33">
        <v>5.3059548254620124</v>
      </c>
      <c r="J84" s="33">
        <v>9.3360711841204651</v>
      </c>
      <c r="K84" s="33">
        <v>4.0301163586584527</v>
      </c>
      <c r="L84" s="33">
        <v>5.3059548254620124</v>
      </c>
      <c r="M84" s="33">
        <v>9.3360711841204651</v>
      </c>
      <c r="N84" s="33">
        <v>4.0082135523613962</v>
      </c>
      <c r="O84" s="33">
        <v>5.2703627652292946</v>
      </c>
      <c r="P84" s="33">
        <v>9.2785763175906908</v>
      </c>
      <c r="Q84" s="33" t="s">
        <v>7</v>
      </c>
      <c r="R84" s="33" t="s">
        <v>7</v>
      </c>
      <c r="S84" s="33" t="s">
        <v>7</v>
      </c>
      <c r="T84" s="4">
        <v>3</v>
      </c>
      <c r="U84" s="4">
        <v>14</v>
      </c>
      <c r="V84" s="4" t="s">
        <v>1</v>
      </c>
      <c r="W84" s="4">
        <v>1</v>
      </c>
      <c r="X84" s="4">
        <v>3</v>
      </c>
      <c r="Y84" s="4">
        <v>1</v>
      </c>
      <c r="Z84" s="56">
        <v>3</v>
      </c>
      <c r="AA84" s="9" cm="1">
        <f t="array" ref="AA84">IF(OR(AB84:AE84=""),"BLANK",IF(AND(AB84:AE84&lt;999),1,IF(AND(AB84:AE84="NA"),3,2)))</f>
        <v>1</v>
      </c>
      <c r="AB84" s="4">
        <v>32</v>
      </c>
      <c r="AC84" s="4">
        <v>23</v>
      </c>
      <c r="AD84" s="4">
        <v>14</v>
      </c>
      <c r="AE84" s="5">
        <v>69</v>
      </c>
      <c r="AF84" s="9">
        <f t="shared" si="1"/>
        <v>1</v>
      </c>
      <c r="AG84" s="5">
        <v>59</v>
      </c>
      <c r="AH84" s="9" cm="1">
        <f t="array" ref="AH84">IF(OR(AI84:AN84=""),"BLANK",IF(AND(AI84:AN84&lt;999),1,IF(AND(AI84:AN84="NA"),3,2)))</f>
        <v>1</v>
      </c>
      <c r="AI84" s="37">
        <v>38</v>
      </c>
      <c r="AJ84" s="37">
        <v>46</v>
      </c>
      <c r="AK84" s="37">
        <v>88</v>
      </c>
      <c r="AL84" s="37">
        <v>86</v>
      </c>
      <c r="AM84" s="37">
        <v>18</v>
      </c>
      <c r="AN84" s="38">
        <v>41</v>
      </c>
    </row>
    <row r="85" spans="1:40" x14ac:dyDescent="0.2">
      <c r="A85" s="39">
        <v>975</v>
      </c>
      <c r="B85" s="4" t="s">
        <v>49</v>
      </c>
      <c r="C85" s="30" t="s">
        <v>23</v>
      </c>
      <c r="D85" s="30">
        <v>3</v>
      </c>
      <c r="E85" s="30">
        <v>1</v>
      </c>
      <c r="F85" s="54" t="s">
        <v>6</v>
      </c>
      <c r="G85" s="30" t="s">
        <v>7</v>
      </c>
      <c r="H85" s="33" t="s">
        <v>7</v>
      </c>
      <c r="I85" s="33" t="s">
        <v>7</v>
      </c>
      <c r="J85" s="33">
        <v>9.6865160848733751</v>
      </c>
      <c r="K85" s="33" t="s">
        <v>7</v>
      </c>
      <c r="L85" s="33" t="s">
        <v>7</v>
      </c>
      <c r="M85" s="33" t="s">
        <v>7</v>
      </c>
      <c r="N85" s="33" t="s">
        <v>7</v>
      </c>
      <c r="O85" s="33" t="s">
        <v>7</v>
      </c>
      <c r="P85" s="33">
        <v>9.5989048596851472</v>
      </c>
      <c r="Q85" s="33" t="s">
        <v>7</v>
      </c>
      <c r="R85" s="33" t="s">
        <v>7</v>
      </c>
      <c r="S85" s="33" t="s">
        <v>7</v>
      </c>
      <c r="T85" s="4" t="s">
        <v>7</v>
      </c>
      <c r="U85" s="4" t="s">
        <v>7</v>
      </c>
      <c r="V85" s="4" t="s">
        <v>1</v>
      </c>
      <c r="W85" s="4">
        <v>1</v>
      </c>
      <c r="X85" s="4">
        <v>3</v>
      </c>
      <c r="Y85" s="4">
        <v>1</v>
      </c>
      <c r="Z85" s="56">
        <v>3</v>
      </c>
      <c r="AA85" s="9" cm="1">
        <f t="array" ref="AA85">IF(OR(AB85:AE85=""),"BLANK",IF(AND(AB85:AE85&lt;999),1,IF(AND(AB85:AE85="NA"),3,2)))</f>
        <v>3</v>
      </c>
      <c r="AB85" s="4" t="s">
        <v>7</v>
      </c>
      <c r="AC85" s="4" t="s">
        <v>7</v>
      </c>
      <c r="AD85" s="4" t="s">
        <v>7</v>
      </c>
      <c r="AE85" s="5" t="s">
        <v>7</v>
      </c>
      <c r="AF85" s="9">
        <f t="shared" si="1"/>
        <v>3</v>
      </c>
      <c r="AG85" s="5" t="s">
        <v>7</v>
      </c>
      <c r="AH85" s="9" cm="1">
        <f t="array" ref="AH85">IF(OR(AI85:AN85=""),"BLANK",IF(AND(AI85:AN85&lt;999),1,IF(AND(AI85:AN85="NA"),3,2)))</f>
        <v>3</v>
      </c>
      <c r="AI85" s="37" t="s">
        <v>7</v>
      </c>
      <c r="AJ85" s="37" t="s">
        <v>7</v>
      </c>
      <c r="AK85" s="37" t="s">
        <v>7</v>
      </c>
      <c r="AL85" s="37" t="s">
        <v>7</v>
      </c>
      <c r="AM85" s="37" t="s">
        <v>7</v>
      </c>
      <c r="AN85" s="38" t="s">
        <v>7</v>
      </c>
    </row>
    <row r="86" spans="1:40" x14ac:dyDescent="0.2">
      <c r="A86" s="16">
        <v>976</v>
      </c>
      <c r="B86" s="4" t="s">
        <v>62</v>
      </c>
      <c r="C86" s="30" t="s">
        <v>23</v>
      </c>
      <c r="D86" s="30">
        <v>5</v>
      </c>
      <c r="E86" s="30">
        <v>0</v>
      </c>
      <c r="F86" s="54" t="s">
        <v>6</v>
      </c>
      <c r="G86" s="30">
        <v>25</v>
      </c>
      <c r="H86" s="33">
        <v>3.9698836413415468</v>
      </c>
      <c r="I86" s="33">
        <v>5.4948665297741277</v>
      </c>
      <c r="J86" s="33">
        <v>9.464750171115675</v>
      </c>
      <c r="K86" s="33">
        <v>3.9698836413415468</v>
      </c>
      <c r="L86" s="33">
        <v>5.4948665297741277</v>
      </c>
      <c r="M86" s="33">
        <v>9.464750171115675</v>
      </c>
      <c r="N86" s="33">
        <v>4.0301163586584527</v>
      </c>
      <c r="O86" s="33">
        <v>5.0020533880903493</v>
      </c>
      <c r="P86" s="33">
        <v>9.0321697467488029</v>
      </c>
      <c r="Q86" s="33">
        <v>3.3675564681724848</v>
      </c>
      <c r="R86" s="33">
        <v>5.9274469541409998</v>
      </c>
      <c r="S86" s="33">
        <v>9.2950034223134832</v>
      </c>
      <c r="T86" s="4">
        <v>3</v>
      </c>
      <c r="U86" s="4">
        <v>14</v>
      </c>
      <c r="V86" s="4" t="s">
        <v>1</v>
      </c>
      <c r="W86" s="4">
        <v>1</v>
      </c>
      <c r="X86" s="4">
        <v>3</v>
      </c>
      <c r="Y86" s="4">
        <v>1</v>
      </c>
      <c r="Z86" s="56">
        <v>3</v>
      </c>
      <c r="AA86" s="9" cm="1">
        <f t="array" ref="AA86">IF(OR(AB86:AE86=""),"BLANK",IF(AND(AB86:AE86&lt;999),1,IF(AND(AB86:AE86="NA"),3,2)))</f>
        <v>1</v>
      </c>
      <c r="AB86" s="4">
        <v>30</v>
      </c>
      <c r="AC86" s="4">
        <v>18</v>
      </c>
      <c r="AD86" s="4">
        <v>13</v>
      </c>
      <c r="AE86" s="5">
        <v>61</v>
      </c>
      <c r="AF86" s="9">
        <f t="shared" si="1"/>
        <v>1</v>
      </c>
      <c r="AG86" s="5">
        <v>63</v>
      </c>
      <c r="AH86" s="9" cm="1">
        <f t="array" ref="AH86">IF(OR(AI86:AN86=""),"BLANK",IF(AND(AI86:AN86&lt;999),1,IF(AND(AI86:AN86="NA"),3,2)))</f>
        <v>1</v>
      </c>
      <c r="AI86" s="37">
        <v>51</v>
      </c>
      <c r="AJ86" s="37">
        <v>67</v>
      </c>
      <c r="AK86" s="37">
        <v>115</v>
      </c>
      <c r="AL86" s="37">
        <v>124</v>
      </c>
      <c r="AM86" s="37">
        <v>95</v>
      </c>
      <c r="AN86" s="38">
        <v>67</v>
      </c>
    </row>
    <row r="87" spans="1:40" x14ac:dyDescent="0.2">
      <c r="A87" s="16">
        <v>988</v>
      </c>
      <c r="B87" s="4" t="s">
        <v>63</v>
      </c>
      <c r="C87" s="30" t="s">
        <v>23</v>
      </c>
      <c r="D87" s="30">
        <v>5</v>
      </c>
      <c r="E87" s="30">
        <v>0</v>
      </c>
      <c r="F87" s="54" t="s">
        <v>6</v>
      </c>
      <c r="G87" s="30">
        <v>30</v>
      </c>
      <c r="H87" s="33">
        <v>4.1067761806981515</v>
      </c>
      <c r="I87" s="33">
        <v>5.6399726214921291</v>
      </c>
      <c r="J87" s="33">
        <v>9.7467488021902806</v>
      </c>
      <c r="K87" s="33">
        <v>4.1067761806981515</v>
      </c>
      <c r="L87" s="33">
        <v>5.6399726214921291</v>
      </c>
      <c r="M87" s="33">
        <v>9.7467488021902806</v>
      </c>
      <c r="N87" s="33">
        <v>3.9288158795345653</v>
      </c>
      <c r="O87" s="33">
        <v>5.637234770704997</v>
      </c>
      <c r="P87" s="33">
        <v>9.5660506502395624</v>
      </c>
      <c r="Q87" s="33" t="s">
        <v>7</v>
      </c>
      <c r="R87" s="33" t="s">
        <v>7</v>
      </c>
      <c r="S87" s="33" t="s">
        <v>7</v>
      </c>
      <c r="T87" s="4" t="s">
        <v>7</v>
      </c>
      <c r="U87" s="4" t="s">
        <v>7</v>
      </c>
      <c r="V87" s="4" t="s">
        <v>1</v>
      </c>
      <c r="W87" s="4">
        <v>1</v>
      </c>
      <c r="X87" s="4">
        <v>3</v>
      </c>
      <c r="Y87" s="4">
        <v>1</v>
      </c>
      <c r="Z87" s="56">
        <v>3</v>
      </c>
      <c r="AA87" s="9" cm="1">
        <f t="array" ref="AA87">IF(OR(AB87:AE87=""),"BLANK",IF(AND(AB87:AE87&lt;999),1,IF(AND(AB87:AE87="NA"),3,2)))</f>
        <v>1</v>
      </c>
      <c r="AB87" s="4">
        <v>32</v>
      </c>
      <c r="AC87" s="4">
        <v>18</v>
      </c>
      <c r="AD87" s="4">
        <v>10</v>
      </c>
      <c r="AE87" s="5">
        <v>60</v>
      </c>
      <c r="AF87" s="9">
        <f t="shared" si="1"/>
        <v>1</v>
      </c>
      <c r="AG87" s="5">
        <v>67</v>
      </c>
      <c r="AH87" s="9" cm="1">
        <f t="array" ref="AH87">IF(OR(AI87:AN87=""),"BLANK",IF(AND(AI87:AN87&lt;999),1,IF(AND(AI87:AN87="NA"),3,2)))</f>
        <v>1</v>
      </c>
      <c r="AI87" s="37">
        <v>61</v>
      </c>
      <c r="AJ87" s="37">
        <v>84</v>
      </c>
      <c r="AK87" s="37">
        <v>136</v>
      </c>
      <c r="AL87" s="37">
        <v>138</v>
      </c>
      <c r="AM87" s="37">
        <v>99</v>
      </c>
      <c r="AN87" s="38">
        <v>78</v>
      </c>
    </row>
    <row r="88" spans="1:40" x14ac:dyDescent="0.2">
      <c r="A88" s="16">
        <v>989</v>
      </c>
      <c r="B88" s="4" t="s">
        <v>60</v>
      </c>
      <c r="C88" s="30" t="s">
        <v>24</v>
      </c>
      <c r="D88" s="30">
        <v>5</v>
      </c>
      <c r="E88" s="30">
        <v>0</v>
      </c>
      <c r="F88" s="54" t="s">
        <v>6</v>
      </c>
      <c r="G88" s="30">
        <v>30</v>
      </c>
      <c r="H88" s="33">
        <v>4.1067761806981515</v>
      </c>
      <c r="I88" s="33">
        <v>5.6399726214921291</v>
      </c>
      <c r="J88" s="33">
        <v>9.7467488021902806</v>
      </c>
      <c r="K88" s="33">
        <v>4.1067761806981515</v>
      </c>
      <c r="L88" s="33">
        <v>5.6399726214921291</v>
      </c>
      <c r="M88" s="33">
        <v>9.7467488021902806</v>
      </c>
      <c r="N88" s="33">
        <v>3.9425051334702257</v>
      </c>
      <c r="O88" s="33">
        <v>5.6344969199178641</v>
      </c>
      <c r="P88" s="33">
        <v>9.5770020533880906</v>
      </c>
      <c r="Q88" s="33" t="s">
        <v>7</v>
      </c>
      <c r="R88" s="33" t="s">
        <v>7</v>
      </c>
      <c r="S88" s="33" t="s">
        <v>7</v>
      </c>
      <c r="T88" s="4">
        <v>4</v>
      </c>
      <c r="U88" s="4">
        <v>16</v>
      </c>
      <c r="V88" s="4" t="s">
        <v>1</v>
      </c>
      <c r="W88" s="4">
        <v>1</v>
      </c>
      <c r="X88" s="4">
        <v>3</v>
      </c>
      <c r="Y88" s="4">
        <v>1</v>
      </c>
      <c r="Z88" s="56">
        <v>3</v>
      </c>
      <c r="AA88" s="9" cm="1">
        <f t="array" ref="AA88">IF(OR(AB88:AE88=""),"BLANK",IF(AND(AB88:AE88&lt;999),1,IF(AND(AB88:AE88="NA"),3,2)))</f>
        <v>1</v>
      </c>
      <c r="AB88" s="4">
        <v>39</v>
      </c>
      <c r="AC88" s="4">
        <v>23</v>
      </c>
      <c r="AD88" s="4">
        <v>16</v>
      </c>
      <c r="AE88" s="5">
        <v>78</v>
      </c>
      <c r="AF88" s="9">
        <f t="shared" si="1"/>
        <v>1</v>
      </c>
      <c r="AG88" s="5">
        <v>68</v>
      </c>
      <c r="AH88" s="9" cm="1">
        <f t="array" ref="AH88">IF(OR(AI88:AN88=""),"BLANK",IF(AND(AI88:AN88&lt;999),1,IF(AND(AI88:AN88="NA"),3,2)))</f>
        <v>1</v>
      </c>
      <c r="AI88" s="37">
        <v>48</v>
      </c>
      <c r="AJ88" s="37">
        <v>62</v>
      </c>
      <c r="AK88" s="37">
        <v>109</v>
      </c>
      <c r="AL88" s="37">
        <v>104</v>
      </c>
      <c r="AM88" s="37">
        <v>61</v>
      </c>
      <c r="AN88" s="38">
        <v>51</v>
      </c>
    </row>
    <row r="89" spans="1:40" x14ac:dyDescent="0.2">
      <c r="A89" s="16">
        <v>1003</v>
      </c>
      <c r="B89" s="4" t="s">
        <v>59</v>
      </c>
      <c r="C89" s="30" t="s">
        <v>24</v>
      </c>
      <c r="D89" s="30">
        <v>5</v>
      </c>
      <c r="E89" s="30">
        <v>0</v>
      </c>
      <c r="F89" s="54" t="s">
        <v>6</v>
      </c>
      <c r="G89" s="30">
        <v>28</v>
      </c>
      <c r="H89" s="33">
        <v>3.9342915811088295</v>
      </c>
      <c r="I89" s="33">
        <v>5.2731006160164275</v>
      </c>
      <c r="J89" s="33">
        <v>9.207392197125257</v>
      </c>
      <c r="K89" s="33">
        <v>3.9342915811088295</v>
      </c>
      <c r="L89" s="33">
        <v>5.2731006160164275</v>
      </c>
      <c r="M89" s="33">
        <v>9.207392197125257</v>
      </c>
      <c r="N89" s="33">
        <v>3.9206023271731691</v>
      </c>
      <c r="O89" s="33">
        <v>5.0020533880903493</v>
      </c>
      <c r="P89" s="33">
        <v>8.9226557152635184</v>
      </c>
      <c r="Q89" s="33">
        <v>3.2772073921971252</v>
      </c>
      <c r="R89" s="33">
        <v>6.362765229295003</v>
      </c>
      <c r="S89" s="33">
        <v>9.6399726214921291</v>
      </c>
      <c r="T89" s="4" t="s">
        <v>7</v>
      </c>
      <c r="U89" s="4" t="s">
        <v>7</v>
      </c>
      <c r="V89" s="4" t="s">
        <v>1</v>
      </c>
      <c r="W89" s="4">
        <v>1</v>
      </c>
      <c r="X89" s="4">
        <v>3</v>
      </c>
      <c r="Y89" s="4">
        <v>1</v>
      </c>
      <c r="Z89" s="56">
        <v>3</v>
      </c>
      <c r="AA89" s="9" cm="1">
        <f t="array" ref="AA89">IF(OR(AB89:AE89=""),"BLANK",IF(AND(AB89:AE89&lt;999),1,IF(AND(AB89:AE89="NA"),3,2)))</f>
        <v>1</v>
      </c>
      <c r="AB89" s="4">
        <v>29</v>
      </c>
      <c r="AC89" s="4">
        <v>15</v>
      </c>
      <c r="AD89" s="4">
        <v>12</v>
      </c>
      <c r="AE89" s="5">
        <v>56</v>
      </c>
      <c r="AF89" s="9">
        <f t="shared" si="1"/>
        <v>1</v>
      </c>
      <c r="AG89" s="5">
        <v>39</v>
      </c>
      <c r="AH89" s="9" cm="1">
        <f t="array" ref="AH89">IF(OR(AI89:AN89=""),"BLANK",IF(AND(AI89:AN89&lt;999),1,IF(AND(AI89:AN89="NA"),3,2)))</f>
        <v>1</v>
      </c>
      <c r="AI89" s="37">
        <v>34</v>
      </c>
      <c r="AJ89" s="37">
        <v>39</v>
      </c>
      <c r="AK89" s="37">
        <v>80</v>
      </c>
      <c r="AL89" s="37">
        <v>83</v>
      </c>
      <c r="AM89" s="37">
        <v>13</v>
      </c>
      <c r="AN89" s="38">
        <v>38</v>
      </c>
    </row>
    <row r="90" spans="1:40" x14ac:dyDescent="0.2">
      <c r="A90" s="16">
        <v>1007</v>
      </c>
      <c r="B90" s="4" t="s">
        <v>65</v>
      </c>
      <c r="C90" s="30" t="s">
        <v>24</v>
      </c>
      <c r="D90" s="30">
        <v>5</v>
      </c>
      <c r="E90" s="30">
        <v>0</v>
      </c>
      <c r="F90" s="54" t="s">
        <v>6</v>
      </c>
      <c r="G90" s="30">
        <v>28</v>
      </c>
      <c r="H90" s="33">
        <v>4.0821355236139629</v>
      </c>
      <c r="I90" s="33">
        <v>5.0650239561943877</v>
      </c>
      <c r="J90" s="33">
        <v>9.1471594798083498</v>
      </c>
      <c r="K90" s="33">
        <v>4.1013004791238874</v>
      </c>
      <c r="L90" s="33">
        <v>5.0485968514715944</v>
      </c>
      <c r="M90" s="33">
        <v>9.1498973305954827</v>
      </c>
      <c r="N90" s="33">
        <v>4.0273785078713207</v>
      </c>
      <c r="O90" s="33">
        <v>4.9993155373032172</v>
      </c>
      <c r="P90" s="33">
        <v>9.0266940451745388</v>
      </c>
      <c r="Q90" s="33">
        <v>3.482546201232033</v>
      </c>
      <c r="R90" s="33">
        <v>5.7960301163586587</v>
      </c>
      <c r="S90" s="33">
        <v>9.2785763175906908</v>
      </c>
      <c r="T90" s="4">
        <v>6</v>
      </c>
      <c r="U90" s="4">
        <v>18</v>
      </c>
      <c r="V90" s="4" t="s">
        <v>1</v>
      </c>
      <c r="W90" s="4">
        <v>1</v>
      </c>
      <c r="X90" s="4">
        <v>3</v>
      </c>
      <c r="Y90" s="4">
        <v>1</v>
      </c>
      <c r="Z90" s="56">
        <v>3</v>
      </c>
      <c r="AA90" s="9" cm="1">
        <f t="array" ref="AA90">IF(OR(AB90:AE90=""),"BLANK",IF(AND(AB90:AE90&lt;999),1,IF(AND(AB90:AE90="NA"),3,2)))</f>
        <v>1</v>
      </c>
      <c r="AB90" s="4">
        <v>23</v>
      </c>
      <c r="AC90" s="4">
        <v>13</v>
      </c>
      <c r="AD90" s="4">
        <v>10</v>
      </c>
      <c r="AE90" s="5">
        <v>46</v>
      </c>
      <c r="AF90" s="9">
        <f t="shared" si="1"/>
        <v>1</v>
      </c>
      <c r="AG90" s="5">
        <v>33</v>
      </c>
      <c r="AH90" s="9" cm="1">
        <f t="array" ref="AH90">IF(OR(AI90:AN90=""),"BLANK",IF(AND(AI90:AN90&lt;999),1,IF(AND(AI90:AN90="NA"),3,2)))</f>
        <v>1</v>
      </c>
      <c r="AI90" s="37">
        <v>37</v>
      </c>
      <c r="AJ90" s="37">
        <v>44</v>
      </c>
      <c r="AK90" s="37">
        <v>86</v>
      </c>
      <c r="AL90" s="37">
        <v>101</v>
      </c>
      <c r="AM90" s="37">
        <v>54</v>
      </c>
      <c r="AN90" s="38">
        <v>50</v>
      </c>
    </row>
    <row r="91" spans="1:40" x14ac:dyDescent="0.2">
      <c r="A91" s="16">
        <v>1013</v>
      </c>
      <c r="B91" s="4" t="s">
        <v>55</v>
      </c>
      <c r="C91" s="30" t="s">
        <v>23</v>
      </c>
      <c r="D91" s="30">
        <v>5</v>
      </c>
      <c r="E91" s="30">
        <v>0</v>
      </c>
      <c r="F91" s="54" t="s">
        <v>6</v>
      </c>
      <c r="G91" s="30">
        <v>30</v>
      </c>
      <c r="H91" s="33">
        <v>4.0219028062970565</v>
      </c>
      <c r="I91" s="33">
        <v>5.0841889117043122</v>
      </c>
      <c r="J91" s="33">
        <v>9.1060917180013696</v>
      </c>
      <c r="K91" s="33">
        <v>4.0219028062970565</v>
      </c>
      <c r="L91" s="33">
        <v>5.0841889117043122</v>
      </c>
      <c r="M91" s="33">
        <v>9.1060917180013696</v>
      </c>
      <c r="N91" s="33">
        <v>4.0574948665297743</v>
      </c>
      <c r="O91" s="33">
        <v>4.7912388774811774</v>
      </c>
      <c r="P91" s="33">
        <v>8.8487337440109517</v>
      </c>
      <c r="Q91" s="33" t="s">
        <v>7</v>
      </c>
      <c r="R91" s="33" t="s">
        <v>7</v>
      </c>
      <c r="S91" s="33" t="s">
        <v>7</v>
      </c>
      <c r="T91" s="4">
        <v>6</v>
      </c>
      <c r="U91" s="4">
        <v>18</v>
      </c>
      <c r="V91" s="4" t="s">
        <v>1</v>
      </c>
      <c r="W91" s="4">
        <v>1</v>
      </c>
      <c r="X91" s="4">
        <v>3</v>
      </c>
      <c r="Y91" s="4">
        <v>1</v>
      </c>
      <c r="Z91" s="56">
        <v>3</v>
      </c>
      <c r="AA91" s="9" cm="1">
        <f t="array" ref="AA91">IF(OR(AB91:AE91=""),"BLANK",IF(AND(AB91:AE91&lt;999),1,IF(AND(AB91:AE91="NA"),3,2)))</f>
        <v>1</v>
      </c>
      <c r="AB91" s="4">
        <v>35</v>
      </c>
      <c r="AC91" s="4">
        <v>23</v>
      </c>
      <c r="AD91" s="4">
        <v>16</v>
      </c>
      <c r="AE91" s="5">
        <v>74</v>
      </c>
      <c r="AF91" s="9">
        <f t="shared" si="1"/>
        <v>1</v>
      </c>
      <c r="AG91" s="5">
        <v>80</v>
      </c>
      <c r="AH91" s="9" cm="1">
        <f t="array" ref="AH91">IF(OR(AI91:AN91=""),"BLANK",IF(AND(AI91:AN91&lt;999),1,IF(AND(AI91:AN91="NA"),3,2)))</f>
        <v>1</v>
      </c>
      <c r="AI91" s="37">
        <v>48</v>
      </c>
      <c r="AJ91" s="37">
        <v>62</v>
      </c>
      <c r="AK91" s="37">
        <v>109</v>
      </c>
      <c r="AL91" s="37">
        <v>101</v>
      </c>
      <c r="AM91" s="37">
        <v>53</v>
      </c>
      <c r="AN91" s="38">
        <v>49</v>
      </c>
    </row>
    <row r="92" spans="1:40" x14ac:dyDescent="0.2">
      <c r="A92" s="16">
        <v>1022</v>
      </c>
      <c r="B92" s="4" t="s">
        <v>49</v>
      </c>
      <c r="C92" s="30" t="s">
        <v>23</v>
      </c>
      <c r="D92" s="30">
        <v>5</v>
      </c>
      <c r="E92" s="30">
        <v>0</v>
      </c>
      <c r="F92" s="54" t="s">
        <v>6</v>
      </c>
      <c r="G92" s="30">
        <v>30</v>
      </c>
      <c r="H92" s="33">
        <v>4</v>
      </c>
      <c r="I92" s="33">
        <v>5.4893908281998627</v>
      </c>
      <c r="J92" s="33">
        <v>9.4893908281998627</v>
      </c>
      <c r="K92" s="33">
        <v>4</v>
      </c>
      <c r="L92" s="33">
        <v>5.4893908281998627</v>
      </c>
      <c r="M92" s="33">
        <v>9.4893908281998627</v>
      </c>
      <c r="N92" s="33">
        <v>3.9616700889801506</v>
      </c>
      <c r="O92" s="33">
        <v>5.5030800821355239</v>
      </c>
      <c r="P92" s="33">
        <v>9.464750171115675</v>
      </c>
      <c r="Q92" s="33" t="s">
        <v>7</v>
      </c>
      <c r="R92" s="33" t="s">
        <v>7</v>
      </c>
      <c r="S92" s="33" t="s">
        <v>7</v>
      </c>
      <c r="T92" s="4">
        <v>4</v>
      </c>
      <c r="U92" s="4">
        <v>16</v>
      </c>
      <c r="V92" s="4" t="s">
        <v>1</v>
      </c>
      <c r="W92" s="4">
        <v>1</v>
      </c>
      <c r="X92" s="4">
        <v>3</v>
      </c>
      <c r="Y92" s="4">
        <v>1</v>
      </c>
      <c r="Z92" s="56">
        <v>3</v>
      </c>
      <c r="AA92" s="9" cm="1">
        <f t="array" ref="AA92">IF(OR(AB92:AE92=""),"BLANK",IF(AND(AB92:AE92&lt;999),1,IF(AND(AB92:AE92="NA"),3,2)))</f>
        <v>1</v>
      </c>
      <c r="AB92" s="4">
        <v>48</v>
      </c>
      <c r="AC92" s="4">
        <v>26</v>
      </c>
      <c r="AD92" s="4">
        <v>17</v>
      </c>
      <c r="AE92" s="5">
        <v>91</v>
      </c>
      <c r="AF92" s="9">
        <f t="shared" si="1"/>
        <v>1</v>
      </c>
      <c r="AG92" s="5">
        <v>77</v>
      </c>
      <c r="AH92" s="9" cm="1">
        <f t="array" ref="AH92">IF(OR(AI92:AN92=""),"BLANK",IF(AND(AI92:AN92&lt;999),1,IF(AND(AI92:AN92="NA"),3,2)))</f>
        <v>1</v>
      </c>
      <c r="AI92" s="37">
        <v>60</v>
      </c>
      <c r="AJ92" s="37">
        <v>82</v>
      </c>
      <c r="AK92" s="37">
        <v>134</v>
      </c>
      <c r="AL92" s="37">
        <v>142</v>
      </c>
      <c r="AM92" s="37">
        <v>99</v>
      </c>
      <c r="AN92" s="38">
        <v>78</v>
      </c>
    </row>
    <row r="93" spans="1:40" x14ac:dyDescent="0.2">
      <c r="A93" s="16">
        <v>1023</v>
      </c>
      <c r="B93" s="4" t="s">
        <v>69</v>
      </c>
      <c r="C93" s="30" t="s">
        <v>23</v>
      </c>
      <c r="D93" s="30">
        <v>5</v>
      </c>
      <c r="E93" s="30">
        <v>0</v>
      </c>
      <c r="F93" s="54" t="s">
        <v>6</v>
      </c>
      <c r="G93" s="30">
        <v>29</v>
      </c>
      <c r="H93" s="33">
        <v>3.9616700889801506</v>
      </c>
      <c r="I93" s="33">
        <v>5.3497604380561263</v>
      </c>
      <c r="J93" s="33">
        <v>9.3114305270362774</v>
      </c>
      <c r="K93" s="33">
        <v>3.9479808350444903</v>
      </c>
      <c r="L93" s="33">
        <v>5.3497604380561263</v>
      </c>
      <c r="M93" s="33">
        <v>9.2977412731006162</v>
      </c>
      <c r="N93" s="33">
        <v>3.9863107460643397</v>
      </c>
      <c r="O93" s="33">
        <v>5.3634496919917867</v>
      </c>
      <c r="P93" s="33">
        <v>9.3497604380561263</v>
      </c>
      <c r="Q93" s="33">
        <v>3.4086242299794662</v>
      </c>
      <c r="R93" s="33">
        <v>6.023271731690623</v>
      </c>
      <c r="S93" s="33">
        <v>9.4318959616700884</v>
      </c>
      <c r="T93" s="4" t="s">
        <v>7</v>
      </c>
      <c r="U93" s="4" t="s">
        <v>7</v>
      </c>
      <c r="V93" s="4" t="s">
        <v>1</v>
      </c>
      <c r="W93" s="4">
        <v>1</v>
      </c>
      <c r="X93" s="4">
        <v>3</v>
      </c>
      <c r="Y93" s="4">
        <v>1</v>
      </c>
      <c r="Z93" s="56">
        <v>3</v>
      </c>
      <c r="AA93" s="9" cm="1">
        <f t="array" ref="AA93">IF(OR(AB93:AE93=""),"BLANK",IF(AND(AB93:AE93&lt;999),1,IF(AND(AB93:AE93="NA"),3,2)))</f>
        <v>1</v>
      </c>
      <c r="AB93" s="4">
        <v>23</v>
      </c>
      <c r="AC93" s="4">
        <v>16</v>
      </c>
      <c r="AD93" s="4">
        <v>12</v>
      </c>
      <c r="AE93" s="5">
        <v>51</v>
      </c>
      <c r="AF93" s="9">
        <f t="shared" si="1"/>
        <v>1</v>
      </c>
      <c r="AG93" s="5">
        <v>33</v>
      </c>
      <c r="AH93" s="9" cm="1">
        <f t="array" ref="AH93">IF(OR(AI93:AN93=""),"BLANK",IF(AND(AI93:AN93&lt;999),1,IF(AND(AI93:AN93="NA"),3,2)))</f>
        <v>2</v>
      </c>
      <c r="AI93" s="37">
        <v>32</v>
      </c>
      <c r="AJ93" s="37">
        <v>36</v>
      </c>
      <c r="AK93" s="37">
        <v>76</v>
      </c>
      <c r="AL93" s="37" t="s">
        <v>7</v>
      </c>
      <c r="AM93" s="37" t="s">
        <v>7</v>
      </c>
      <c r="AN93" s="38" t="s">
        <v>7</v>
      </c>
    </row>
    <row r="94" spans="1:40" x14ac:dyDescent="0.2">
      <c r="A94" s="16">
        <v>1031</v>
      </c>
      <c r="B94" s="4" t="s">
        <v>62</v>
      </c>
      <c r="C94" s="30" t="s">
        <v>23</v>
      </c>
      <c r="D94" s="30">
        <v>6</v>
      </c>
      <c r="E94" s="30">
        <v>1</v>
      </c>
      <c r="F94" s="54" t="s">
        <v>6</v>
      </c>
      <c r="G94" s="30">
        <v>30</v>
      </c>
      <c r="H94" s="33">
        <v>4.1067761806981515</v>
      </c>
      <c r="I94" s="33">
        <v>5.5195071868583163</v>
      </c>
      <c r="J94" s="33">
        <v>9.6262833675564679</v>
      </c>
      <c r="K94" s="33">
        <v>4.1067761806981515</v>
      </c>
      <c r="L94" s="33">
        <v>5.5195071868583163</v>
      </c>
      <c r="M94" s="33">
        <v>9.6262833675564679</v>
      </c>
      <c r="N94" s="33">
        <v>4.043805612594114</v>
      </c>
      <c r="O94" s="33">
        <v>5.0212183436002737</v>
      </c>
      <c r="P94" s="33">
        <v>9.0650239561943877</v>
      </c>
      <c r="Q94" s="33" t="s">
        <v>7</v>
      </c>
      <c r="R94" s="33" t="s">
        <v>7</v>
      </c>
      <c r="S94" s="33" t="s">
        <v>7</v>
      </c>
      <c r="T94" s="4" t="s">
        <v>7</v>
      </c>
      <c r="U94" s="4" t="s">
        <v>7</v>
      </c>
      <c r="V94" s="4" t="s">
        <v>1</v>
      </c>
      <c r="W94" s="4">
        <v>1</v>
      </c>
      <c r="X94" s="4">
        <v>3</v>
      </c>
      <c r="Y94" s="4">
        <v>1</v>
      </c>
      <c r="Z94" s="56">
        <v>3</v>
      </c>
      <c r="AA94" s="9" cm="1">
        <f t="array" ref="AA94">IF(OR(AB94:AE94=""),"BLANK",IF(AND(AB94:AE94&lt;999),1,IF(AND(AB94:AE94="NA"),3,2)))</f>
        <v>1</v>
      </c>
      <c r="AB94" s="4">
        <v>33</v>
      </c>
      <c r="AC94" s="4">
        <v>15</v>
      </c>
      <c r="AD94" s="4">
        <v>14</v>
      </c>
      <c r="AE94" s="5">
        <v>62</v>
      </c>
      <c r="AF94" s="9">
        <f t="shared" si="1"/>
        <v>1</v>
      </c>
      <c r="AG94" s="5">
        <v>52</v>
      </c>
      <c r="AH94" s="9" cm="1">
        <f t="array" ref="AH94">IF(OR(AI94:AN94=""),"BLANK",IF(AND(AI94:AN94&lt;999),1,IF(AND(AI94:AN94="NA"),3,2)))</f>
        <v>1</v>
      </c>
      <c r="AI94" s="37">
        <v>37</v>
      </c>
      <c r="AJ94" s="37">
        <v>44</v>
      </c>
      <c r="AK94" s="37">
        <v>86</v>
      </c>
      <c r="AL94" s="37">
        <v>86</v>
      </c>
      <c r="AM94" s="37">
        <v>17</v>
      </c>
      <c r="AN94" s="38">
        <v>35</v>
      </c>
    </row>
    <row r="95" spans="1:40" x14ac:dyDescent="0.2">
      <c r="A95" s="16">
        <v>1045</v>
      </c>
      <c r="B95" s="4" t="s">
        <v>69</v>
      </c>
      <c r="C95" s="30" t="s">
        <v>23</v>
      </c>
      <c r="D95" s="30">
        <v>5</v>
      </c>
      <c r="E95" s="30">
        <v>0</v>
      </c>
      <c r="F95" s="54" t="s">
        <v>6</v>
      </c>
      <c r="G95" s="30">
        <v>30</v>
      </c>
      <c r="H95" s="33">
        <v>4.3723477070499657</v>
      </c>
      <c r="I95" s="33">
        <v>5.0787132101300481</v>
      </c>
      <c r="J95" s="33">
        <v>9.4510609171800137</v>
      </c>
      <c r="K95" s="33">
        <v>4.3723477070499657</v>
      </c>
      <c r="L95" s="33">
        <v>5.0787132101300481</v>
      </c>
      <c r="M95" s="33">
        <v>9.4510609171800137</v>
      </c>
      <c r="N95" s="33" t="s">
        <v>7</v>
      </c>
      <c r="O95" s="33" t="s">
        <v>7</v>
      </c>
      <c r="P95" s="33" t="s">
        <v>7</v>
      </c>
      <c r="Q95" s="33">
        <v>3.3127994524298425</v>
      </c>
      <c r="R95" s="33" t="s">
        <v>7</v>
      </c>
      <c r="S95" s="33" t="s">
        <v>7</v>
      </c>
      <c r="T95" s="4">
        <v>6</v>
      </c>
      <c r="U95" s="4">
        <v>18</v>
      </c>
      <c r="V95" s="4" t="s">
        <v>1</v>
      </c>
      <c r="W95" s="4">
        <v>1</v>
      </c>
      <c r="X95" s="4">
        <v>3</v>
      </c>
      <c r="Y95" s="4">
        <v>1</v>
      </c>
      <c r="Z95" s="56">
        <v>3</v>
      </c>
      <c r="AA95" s="9" cm="1">
        <f t="array" ref="AA95">IF(OR(AB95:AE95=""),"BLANK",IF(AND(AB95:AE95&lt;999),1,IF(AND(AB95:AE95="NA"),3,2)))</f>
        <v>1</v>
      </c>
      <c r="AB95" s="4">
        <v>27</v>
      </c>
      <c r="AC95" s="4">
        <v>20</v>
      </c>
      <c r="AD95" s="4">
        <v>16</v>
      </c>
      <c r="AE95" s="5">
        <v>63</v>
      </c>
      <c r="AF95" s="9">
        <f t="shared" si="1"/>
        <v>1</v>
      </c>
      <c r="AG95" s="5">
        <v>32</v>
      </c>
      <c r="AH95" s="9" cm="1">
        <f t="array" ref="AH95">IF(OR(AI95:AN95=""),"BLANK",IF(AND(AI95:AN95&lt;999),1,IF(AND(AI95:AN95="NA"),3,2)))</f>
        <v>2</v>
      </c>
      <c r="AI95" s="37">
        <v>34</v>
      </c>
      <c r="AJ95" s="37">
        <v>39</v>
      </c>
      <c r="AK95" s="37">
        <v>80</v>
      </c>
      <c r="AL95" s="37" t="s">
        <v>7</v>
      </c>
      <c r="AM95" s="37" t="s">
        <v>7</v>
      </c>
      <c r="AN95" s="38" t="s">
        <v>7</v>
      </c>
    </row>
    <row r="96" spans="1:40" x14ac:dyDescent="0.2">
      <c r="A96" s="16">
        <v>1054</v>
      </c>
      <c r="B96" s="4" t="s">
        <v>52</v>
      </c>
      <c r="C96" s="30" t="s">
        <v>23</v>
      </c>
      <c r="D96" s="30">
        <v>5</v>
      </c>
      <c r="E96" s="30">
        <v>0</v>
      </c>
      <c r="F96" s="54" t="s">
        <v>6</v>
      </c>
      <c r="G96" s="30">
        <v>29</v>
      </c>
      <c r="H96" s="33">
        <v>3.871321013004791</v>
      </c>
      <c r="I96" s="33">
        <v>5.3360711841204651</v>
      </c>
      <c r="J96" s="33">
        <v>9.207392197125257</v>
      </c>
      <c r="K96" s="33">
        <v>3.8795345653661877</v>
      </c>
      <c r="L96" s="33">
        <v>5.3278576317590689</v>
      </c>
      <c r="M96" s="33">
        <v>9.207392197125257</v>
      </c>
      <c r="N96" s="33">
        <v>3.9178644763860371</v>
      </c>
      <c r="O96" s="33" t="s">
        <v>7</v>
      </c>
      <c r="P96" s="33" t="s">
        <v>7</v>
      </c>
      <c r="Q96" s="33">
        <v>3.2197125256673513</v>
      </c>
      <c r="R96" s="33" t="s">
        <v>7</v>
      </c>
      <c r="S96" s="33" t="s">
        <v>7</v>
      </c>
      <c r="T96" s="4" t="s">
        <v>7</v>
      </c>
      <c r="U96" s="4" t="s">
        <v>7</v>
      </c>
      <c r="V96" s="4" t="s">
        <v>1</v>
      </c>
      <c r="W96" s="4">
        <v>1</v>
      </c>
      <c r="X96" s="4">
        <v>3</v>
      </c>
      <c r="Y96" s="4">
        <v>1</v>
      </c>
      <c r="Z96" s="56">
        <v>3</v>
      </c>
      <c r="AA96" s="9" cm="1">
        <f t="array" ref="AA96">IF(OR(AB96:AE96=""),"BLANK",IF(AND(AB96:AE96&lt;999),1,IF(AND(AB96:AE96="NA"),3,2)))</f>
        <v>1</v>
      </c>
      <c r="AB96" s="4">
        <v>35</v>
      </c>
      <c r="AC96" s="4">
        <v>22</v>
      </c>
      <c r="AD96" s="4">
        <v>13</v>
      </c>
      <c r="AE96" s="5">
        <v>70</v>
      </c>
      <c r="AF96" s="9">
        <f t="shared" si="1"/>
        <v>1</v>
      </c>
      <c r="AG96" s="5">
        <v>35</v>
      </c>
      <c r="AH96" s="9" cm="1">
        <f t="array" ref="AH96">IF(OR(AI96:AN96=""),"BLANK",IF(AND(AI96:AN96&lt;999),1,IF(AND(AI96:AN96="NA"),3,2)))</f>
        <v>1</v>
      </c>
      <c r="AI96" s="37">
        <v>22</v>
      </c>
      <c r="AJ96" s="37">
        <v>22</v>
      </c>
      <c r="AK96" s="37">
        <v>58</v>
      </c>
      <c r="AL96" s="37">
        <v>58</v>
      </c>
      <c r="AM96" s="37">
        <v>1</v>
      </c>
      <c r="AN96" s="38">
        <v>19</v>
      </c>
    </row>
    <row r="97" spans="1:40" x14ac:dyDescent="0.2">
      <c r="A97" s="16">
        <v>1058</v>
      </c>
      <c r="B97" s="4" t="s">
        <v>57</v>
      </c>
      <c r="C97" s="30" t="s">
        <v>23</v>
      </c>
      <c r="D97" s="30">
        <v>5</v>
      </c>
      <c r="E97" s="30">
        <v>0</v>
      </c>
      <c r="F97" s="54" t="s">
        <v>6</v>
      </c>
      <c r="G97" s="30">
        <v>28</v>
      </c>
      <c r="H97" s="33">
        <v>3.9945242984257359</v>
      </c>
      <c r="I97" s="33">
        <v>5.5633127994524294</v>
      </c>
      <c r="J97" s="33">
        <v>9.5578370978781653</v>
      </c>
      <c r="K97" s="33">
        <v>3.9945242984257359</v>
      </c>
      <c r="L97" s="33">
        <v>5.5633127994524294</v>
      </c>
      <c r="M97" s="33">
        <v>9.5578370978781653</v>
      </c>
      <c r="N97" s="33" t="s">
        <v>7</v>
      </c>
      <c r="O97" s="33" t="s">
        <v>7</v>
      </c>
      <c r="P97" s="33">
        <v>9.5742642026009577</v>
      </c>
      <c r="Q97" s="33" t="s">
        <v>7</v>
      </c>
      <c r="R97" s="33" t="s">
        <v>7</v>
      </c>
      <c r="S97" s="33" t="s">
        <v>7</v>
      </c>
      <c r="T97" s="4">
        <v>4</v>
      </c>
      <c r="U97" s="4">
        <v>16</v>
      </c>
      <c r="V97" s="4" t="s">
        <v>1</v>
      </c>
      <c r="W97" s="4">
        <v>1</v>
      </c>
      <c r="X97" s="4">
        <v>3</v>
      </c>
      <c r="Y97" s="4">
        <v>1</v>
      </c>
      <c r="Z97" s="56">
        <v>3</v>
      </c>
      <c r="AA97" s="9" cm="1">
        <f t="array" ref="AA97">IF(OR(AB97:AE97=""),"BLANK",IF(AND(AB97:AE97&lt;999),1,IF(AND(AB97:AE97="NA"),3,2)))</f>
        <v>1</v>
      </c>
      <c r="AB97" s="4">
        <v>33</v>
      </c>
      <c r="AC97" s="4">
        <v>20</v>
      </c>
      <c r="AD97" s="4">
        <v>9</v>
      </c>
      <c r="AE97" s="5">
        <v>62</v>
      </c>
      <c r="AF97" s="9">
        <f t="shared" si="1"/>
        <v>1</v>
      </c>
      <c r="AG97" s="5">
        <v>57</v>
      </c>
      <c r="AH97" s="9" cm="1">
        <f t="array" ref="AH97">IF(OR(AI97:AN97=""),"BLANK",IF(AND(AI97:AN97&lt;999),1,IF(AND(AI97:AN97="NA"),3,2)))</f>
        <v>1</v>
      </c>
      <c r="AI97" s="37">
        <v>47</v>
      </c>
      <c r="AJ97" s="37">
        <v>61</v>
      </c>
      <c r="AK97" s="37">
        <v>107</v>
      </c>
      <c r="AL97" s="37">
        <v>102</v>
      </c>
      <c r="AM97" s="37">
        <v>56</v>
      </c>
      <c r="AN97" s="38">
        <v>53</v>
      </c>
    </row>
    <row r="98" spans="1:40" x14ac:dyDescent="0.2">
      <c r="A98" s="16">
        <v>1084</v>
      </c>
      <c r="B98" s="4" t="s">
        <v>65</v>
      </c>
      <c r="C98" s="30" t="s">
        <v>23</v>
      </c>
      <c r="D98" s="30">
        <v>5</v>
      </c>
      <c r="E98" s="30">
        <v>0</v>
      </c>
      <c r="F98" s="54" t="s">
        <v>6</v>
      </c>
      <c r="G98" s="30">
        <v>29</v>
      </c>
      <c r="H98" s="33">
        <v>3.9507186858316223</v>
      </c>
      <c r="I98" s="33">
        <v>5.4976043805612598</v>
      </c>
      <c r="J98" s="33">
        <v>9.4483230663928808</v>
      </c>
      <c r="K98" s="33">
        <v>3.9479808350444903</v>
      </c>
      <c r="L98" s="33">
        <v>5.4976043805612598</v>
      </c>
      <c r="M98" s="33">
        <v>9.4455852156057496</v>
      </c>
      <c r="N98" s="33" t="s">
        <v>7</v>
      </c>
      <c r="O98" s="33" t="s">
        <v>7</v>
      </c>
      <c r="P98" s="33" t="s">
        <v>7</v>
      </c>
      <c r="Q98" s="33">
        <v>3.2908966461327855</v>
      </c>
      <c r="R98" s="33" t="s">
        <v>7</v>
      </c>
      <c r="S98" s="33" t="s">
        <v>7</v>
      </c>
      <c r="T98" s="4">
        <v>5</v>
      </c>
      <c r="U98" s="4">
        <v>17</v>
      </c>
      <c r="V98" s="4" t="s">
        <v>1</v>
      </c>
      <c r="W98" s="4">
        <v>1</v>
      </c>
      <c r="X98" s="4">
        <v>3</v>
      </c>
      <c r="Y98" s="4">
        <v>1</v>
      </c>
      <c r="Z98" s="56">
        <v>3</v>
      </c>
      <c r="AA98" s="9" cm="1">
        <f t="array" ref="AA98">IF(OR(AB98:AE98=""),"BLANK",IF(AND(AB98:AE98&lt;999),1,IF(AND(AB98:AE98="NA"),3,2)))</f>
        <v>1</v>
      </c>
      <c r="AB98" s="4">
        <v>24</v>
      </c>
      <c r="AC98" s="4">
        <v>15</v>
      </c>
      <c r="AD98" s="4">
        <v>10</v>
      </c>
      <c r="AE98" s="5">
        <v>49</v>
      </c>
      <c r="AF98" s="9">
        <f t="shared" si="1"/>
        <v>1</v>
      </c>
      <c r="AG98" s="5">
        <v>45</v>
      </c>
      <c r="AH98" s="9" cm="1">
        <f t="array" ref="AH98">IF(OR(AI98:AN98=""),"BLANK",IF(AND(AI98:AN98&lt;999),1,IF(AND(AI98:AN98="NA"),3,2)))</f>
        <v>1</v>
      </c>
      <c r="AI98" s="37">
        <v>31</v>
      </c>
      <c r="AJ98" s="37">
        <v>34</v>
      </c>
      <c r="AK98" s="37">
        <v>74</v>
      </c>
      <c r="AL98" s="37">
        <v>86</v>
      </c>
      <c r="AM98" s="37">
        <v>18</v>
      </c>
      <c r="AN98" s="38">
        <v>36</v>
      </c>
    </row>
    <row r="99" spans="1:40" x14ac:dyDescent="0.2">
      <c r="A99" s="16">
        <v>1093</v>
      </c>
      <c r="B99" s="4" t="s">
        <v>66</v>
      </c>
      <c r="C99" s="30" t="s">
        <v>24</v>
      </c>
      <c r="D99" s="30">
        <v>5</v>
      </c>
      <c r="E99" s="30">
        <v>0</v>
      </c>
      <c r="F99" s="54" t="s">
        <v>6</v>
      </c>
      <c r="G99" s="30">
        <v>28</v>
      </c>
      <c r="H99" s="33">
        <v>3.698836413415469</v>
      </c>
      <c r="I99" s="33">
        <v>5.3853524982888432</v>
      </c>
      <c r="J99" s="33">
        <v>9.0841889117043113</v>
      </c>
      <c r="K99" s="33">
        <v>3.698836413415469</v>
      </c>
      <c r="L99" s="33">
        <v>5.4072553045858998</v>
      </c>
      <c r="M99" s="33">
        <v>9.1060917180013696</v>
      </c>
      <c r="N99" s="33">
        <v>3.698836413415469</v>
      </c>
      <c r="O99" s="33">
        <v>5.0787132101300481</v>
      </c>
      <c r="P99" s="33">
        <v>8.7775496235455162</v>
      </c>
      <c r="Q99" s="33" t="s">
        <v>7</v>
      </c>
      <c r="R99" s="33" t="s">
        <v>7</v>
      </c>
      <c r="S99" s="33" t="s">
        <v>7</v>
      </c>
      <c r="T99" s="4">
        <v>6</v>
      </c>
      <c r="U99" s="4">
        <v>18</v>
      </c>
      <c r="V99" s="4" t="s">
        <v>1</v>
      </c>
      <c r="W99" s="4">
        <v>1</v>
      </c>
      <c r="X99" s="4">
        <v>3</v>
      </c>
      <c r="Y99" s="4">
        <v>1</v>
      </c>
      <c r="Z99" s="56">
        <v>3</v>
      </c>
      <c r="AA99" s="9" cm="1">
        <f t="array" ref="AA99">IF(OR(AB99:AE99=""),"BLANK",IF(AND(AB99:AE99&lt;999),1,IF(AND(AB99:AE99="NA"),3,2)))</f>
        <v>1</v>
      </c>
      <c r="AB99" s="4">
        <v>25</v>
      </c>
      <c r="AC99" s="4">
        <v>16</v>
      </c>
      <c r="AD99" s="4">
        <v>11</v>
      </c>
      <c r="AE99" s="5">
        <v>52</v>
      </c>
      <c r="AF99" s="9">
        <f t="shared" si="1"/>
        <v>1</v>
      </c>
      <c r="AG99" s="5">
        <v>40</v>
      </c>
      <c r="AH99" s="9" cm="1">
        <f t="array" ref="AH99">IF(OR(AI99:AN99=""),"BLANK",IF(AND(AI99:AN99&lt;999),1,IF(AND(AI99:AN99="NA"),3,2)))</f>
        <v>1</v>
      </c>
      <c r="AI99" s="37">
        <v>36</v>
      </c>
      <c r="AJ99" s="37">
        <v>43</v>
      </c>
      <c r="AK99" s="37">
        <v>84</v>
      </c>
      <c r="AL99" s="37">
        <v>97</v>
      </c>
      <c r="AM99" s="37">
        <v>42</v>
      </c>
      <c r="AN99" s="38">
        <v>47</v>
      </c>
    </row>
    <row r="100" spans="1:40" x14ac:dyDescent="0.2">
      <c r="A100" s="16">
        <v>1119</v>
      </c>
      <c r="B100" s="4" t="s">
        <v>63</v>
      </c>
      <c r="C100" s="30" t="s">
        <v>24</v>
      </c>
      <c r="D100" s="30">
        <v>1</v>
      </c>
      <c r="E100" s="30">
        <v>0</v>
      </c>
      <c r="F100" s="54" t="s">
        <v>6</v>
      </c>
      <c r="G100" s="30">
        <v>30</v>
      </c>
      <c r="H100" s="33" t="s">
        <v>7</v>
      </c>
      <c r="I100" s="33" t="s">
        <v>7</v>
      </c>
      <c r="J100" s="33">
        <v>9.6755646817248468</v>
      </c>
      <c r="K100" s="33" t="s">
        <v>7</v>
      </c>
      <c r="L100" s="33" t="s">
        <v>7</v>
      </c>
      <c r="M100" s="33">
        <v>9.6755646817248468</v>
      </c>
      <c r="N100" s="33" t="s">
        <v>7</v>
      </c>
      <c r="O100" s="33" t="s">
        <v>7</v>
      </c>
      <c r="P100" s="33">
        <v>9.6016427104722801</v>
      </c>
      <c r="Q100" s="33" t="s">
        <v>7</v>
      </c>
      <c r="R100" s="33" t="s">
        <v>7</v>
      </c>
      <c r="S100" s="33" t="s">
        <v>7</v>
      </c>
      <c r="T100" s="4" t="s">
        <v>7</v>
      </c>
      <c r="U100" s="4" t="s">
        <v>7</v>
      </c>
      <c r="V100" s="4" t="s">
        <v>1</v>
      </c>
      <c r="W100" s="4">
        <v>1</v>
      </c>
      <c r="X100" s="4">
        <v>3</v>
      </c>
      <c r="Y100" s="4">
        <v>1</v>
      </c>
      <c r="Z100" s="56">
        <v>3</v>
      </c>
      <c r="AA100" s="9" cm="1">
        <f t="array" ref="AA100">IF(OR(AB100:AE100=""),"BLANK",IF(AND(AB100:AE100&lt;999),1,IF(AND(AB100:AE100="NA"),3,2)))</f>
        <v>1</v>
      </c>
      <c r="AB100" s="4">
        <v>38</v>
      </c>
      <c r="AC100" s="4">
        <v>23</v>
      </c>
      <c r="AD100" s="4">
        <v>18</v>
      </c>
      <c r="AE100" s="5">
        <v>79</v>
      </c>
      <c r="AF100" s="9">
        <f t="shared" si="1"/>
        <v>1</v>
      </c>
      <c r="AG100" s="5">
        <v>73</v>
      </c>
      <c r="AH100" s="9" cm="1">
        <f t="array" ref="AH100">IF(OR(AI100:AN100=""),"BLANK",IF(AND(AI100:AN100&lt;999),1,IF(AND(AI100:AN100="NA"),3,2)))</f>
        <v>1</v>
      </c>
      <c r="AI100" s="37">
        <v>49</v>
      </c>
      <c r="AJ100" s="37">
        <v>64</v>
      </c>
      <c r="AK100" s="37">
        <v>111</v>
      </c>
      <c r="AL100" s="37">
        <v>102</v>
      </c>
      <c r="AM100" s="37">
        <v>56</v>
      </c>
      <c r="AN100" s="38">
        <v>53</v>
      </c>
    </row>
    <row r="101" spans="1:40" x14ac:dyDescent="0.2">
      <c r="A101" s="16">
        <v>1139</v>
      </c>
      <c r="B101" s="4" t="s">
        <v>65</v>
      </c>
      <c r="C101" s="30" t="s">
        <v>23</v>
      </c>
      <c r="D101" s="30">
        <v>5</v>
      </c>
      <c r="E101" s="30">
        <v>0</v>
      </c>
      <c r="F101" s="54" t="s">
        <v>6</v>
      </c>
      <c r="G101" s="30">
        <v>30</v>
      </c>
      <c r="H101" s="33">
        <v>3.8439425051334704</v>
      </c>
      <c r="I101" s="33">
        <v>5.1635865845311431</v>
      </c>
      <c r="J101" s="33">
        <v>9.0075290896646134</v>
      </c>
      <c r="K101" s="33">
        <v>3.786447638603696</v>
      </c>
      <c r="L101" s="33">
        <v>5.1635865845311431</v>
      </c>
      <c r="M101" s="33">
        <v>8.9500342231348391</v>
      </c>
      <c r="N101" s="33">
        <v>3.8138261464750172</v>
      </c>
      <c r="O101" s="33">
        <v>5.0896646132785763</v>
      </c>
      <c r="P101" s="33">
        <v>8.9034907597535931</v>
      </c>
      <c r="Q101" s="33">
        <v>3.3483915126625599</v>
      </c>
      <c r="R101" s="33">
        <v>6.0807665982203973</v>
      </c>
      <c r="S101" s="33">
        <v>9.4291581108829572</v>
      </c>
      <c r="T101" s="4">
        <v>4</v>
      </c>
      <c r="U101" s="4">
        <v>16</v>
      </c>
      <c r="V101" s="4" t="s">
        <v>1</v>
      </c>
      <c r="W101" s="4">
        <v>1</v>
      </c>
      <c r="X101" s="4">
        <v>3</v>
      </c>
      <c r="Y101" s="4">
        <v>1</v>
      </c>
      <c r="Z101" s="56">
        <v>3</v>
      </c>
      <c r="AA101" s="9" cm="1">
        <f t="array" ref="AA101">IF(OR(AB101:AE101=""),"BLANK",IF(AND(AB101:AE101&lt;999),1,IF(AND(AB101:AE101="NA"),3,2)))</f>
        <v>1</v>
      </c>
      <c r="AB101" s="4">
        <v>40</v>
      </c>
      <c r="AC101" s="4">
        <v>27</v>
      </c>
      <c r="AD101" s="4">
        <v>18</v>
      </c>
      <c r="AE101" s="5">
        <v>85</v>
      </c>
      <c r="AF101" s="9">
        <f t="shared" si="1"/>
        <v>1</v>
      </c>
      <c r="AG101" s="5">
        <v>55</v>
      </c>
      <c r="AH101" s="9" cm="1">
        <f t="array" ref="AH101">IF(OR(AI101:AN101=""),"BLANK",IF(AND(AI101:AN101&lt;999),1,IF(AND(AI101:AN101="NA"),3,2)))</f>
        <v>1</v>
      </c>
      <c r="AI101" s="37">
        <v>45</v>
      </c>
      <c r="AJ101" s="37">
        <v>58</v>
      </c>
      <c r="AK101" s="37">
        <v>103</v>
      </c>
      <c r="AL101" s="37">
        <v>130</v>
      </c>
      <c r="AM101" s="37">
        <v>98</v>
      </c>
      <c r="AN101" s="38">
        <v>68</v>
      </c>
    </row>
    <row r="102" spans="1:40" x14ac:dyDescent="0.2">
      <c r="A102" s="16">
        <v>1141</v>
      </c>
      <c r="B102" s="4" t="s">
        <v>65</v>
      </c>
      <c r="C102" s="30" t="s">
        <v>24</v>
      </c>
      <c r="D102" s="30">
        <v>5</v>
      </c>
      <c r="E102" s="30">
        <v>0</v>
      </c>
      <c r="F102" s="54" t="s">
        <v>6</v>
      </c>
      <c r="G102" s="30">
        <v>30</v>
      </c>
      <c r="H102" s="33">
        <v>3.8795345653661877</v>
      </c>
      <c r="I102" s="33">
        <v>5.3552361396303905</v>
      </c>
      <c r="J102" s="33">
        <v>9.2347707049965777</v>
      </c>
      <c r="K102" s="33">
        <v>3.8795345653661877</v>
      </c>
      <c r="L102" s="33">
        <v>5.3579739904175225</v>
      </c>
      <c r="M102" s="33">
        <v>9.2375085557837107</v>
      </c>
      <c r="N102" s="33">
        <v>3.8658453114305269</v>
      </c>
      <c r="O102" s="33">
        <v>5.3114305270362765</v>
      </c>
      <c r="P102" s="33">
        <v>9.1772758384668034</v>
      </c>
      <c r="Q102" s="33">
        <v>3.2772073921971252</v>
      </c>
      <c r="R102" s="33">
        <v>6.0698151950718682</v>
      </c>
      <c r="S102" s="33">
        <v>9.3470225872689934</v>
      </c>
      <c r="T102" s="4">
        <v>6</v>
      </c>
      <c r="U102" s="4">
        <v>18</v>
      </c>
      <c r="V102" s="4" t="s">
        <v>1</v>
      </c>
      <c r="W102" s="4">
        <v>1</v>
      </c>
      <c r="X102" s="4">
        <v>3</v>
      </c>
      <c r="Y102" s="4">
        <v>1</v>
      </c>
      <c r="Z102" s="56">
        <v>3</v>
      </c>
      <c r="AA102" s="9" cm="1">
        <f t="array" ref="AA102">IF(OR(AB102:AE102=""),"BLANK",IF(AND(AB102:AE102&lt;999),1,IF(AND(AB102:AE102="NA"),3,2)))</f>
        <v>1</v>
      </c>
      <c r="AB102" s="4">
        <v>32</v>
      </c>
      <c r="AC102" s="4">
        <v>16</v>
      </c>
      <c r="AD102" s="4">
        <v>13</v>
      </c>
      <c r="AE102" s="5">
        <v>61</v>
      </c>
      <c r="AF102" s="9">
        <f t="shared" si="1"/>
        <v>1</v>
      </c>
      <c r="AG102" s="5">
        <v>51</v>
      </c>
      <c r="AH102" s="9" cm="1">
        <f t="array" ref="AH102">IF(OR(AI102:AN102=""),"BLANK",IF(AND(AI102:AN102&lt;999),1,IF(AND(AI102:AN102="NA"),3,2)))</f>
        <v>1</v>
      </c>
      <c r="AI102" s="37">
        <v>28</v>
      </c>
      <c r="AJ102" s="37">
        <v>29</v>
      </c>
      <c r="AK102" s="37">
        <v>67</v>
      </c>
      <c r="AL102" s="37">
        <v>72</v>
      </c>
      <c r="AM102" s="37">
        <v>3</v>
      </c>
      <c r="AN102" s="38">
        <v>37</v>
      </c>
    </row>
    <row r="103" spans="1:40" x14ac:dyDescent="0.2">
      <c r="A103" s="16">
        <v>1146</v>
      </c>
      <c r="B103" s="4" t="s">
        <v>63</v>
      </c>
      <c r="C103" s="30" t="s">
        <v>23</v>
      </c>
      <c r="D103" s="30">
        <v>3</v>
      </c>
      <c r="E103" s="30">
        <v>1</v>
      </c>
      <c r="F103" s="54" t="s">
        <v>6</v>
      </c>
      <c r="G103" s="30">
        <v>29</v>
      </c>
      <c r="H103" s="33">
        <v>4.131416837782341</v>
      </c>
      <c r="I103" s="33">
        <v>5.4784394250513344</v>
      </c>
      <c r="J103" s="33">
        <v>9.6098562628336754</v>
      </c>
      <c r="K103" s="33">
        <v>4.128678986995209</v>
      </c>
      <c r="L103" s="33">
        <v>5.4811772758384665</v>
      </c>
      <c r="M103" s="33">
        <v>9.6098562628336754</v>
      </c>
      <c r="N103" s="33">
        <v>4.0191649555099245</v>
      </c>
      <c r="O103" s="33">
        <v>5.4757015742642023</v>
      </c>
      <c r="P103" s="33">
        <v>9.4948665297741268</v>
      </c>
      <c r="Q103" s="33" t="s">
        <v>7</v>
      </c>
      <c r="R103" s="33" t="s">
        <v>7</v>
      </c>
      <c r="S103" s="33" t="s">
        <v>7</v>
      </c>
      <c r="T103" s="4" t="s">
        <v>7</v>
      </c>
      <c r="U103" s="4" t="s">
        <v>7</v>
      </c>
      <c r="V103" s="4" t="s">
        <v>1</v>
      </c>
      <c r="W103" s="4">
        <v>1</v>
      </c>
      <c r="X103" s="4">
        <v>3</v>
      </c>
      <c r="Y103" s="4">
        <v>1</v>
      </c>
      <c r="Z103" s="56">
        <v>3</v>
      </c>
      <c r="AA103" s="9" cm="1">
        <f t="array" ref="AA103">IF(OR(AB103:AE103=""),"BLANK",IF(AND(AB103:AE103&lt;999),1,IF(AND(AB103:AE103="NA"),3,2)))</f>
        <v>1</v>
      </c>
      <c r="AB103" s="4">
        <v>48</v>
      </c>
      <c r="AC103" s="4">
        <v>27</v>
      </c>
      <c r="AD103" s="4">
        <v>16</v>
      </c>
      <c r="AE103" s="5">
        <v>91</v>
      </c>
      <c r="AF103" s="9">
        <f t="shared" si="1"/>
        <v>1</v>
      </c>
      <c r="AG103" s="5">
        <v>67</v>
      </c>
      <c r="AH103" s="9" cm="1">
        <f t="array" ref="AH103">IF(OR(AI103:AN103=""),"BLANK",IF(AND(AI103:AN103&lt;999),1,IF(AND(AI103:AN103="NA"),3,2)))</f>
        <v>1</v>
      </c>
      <c r="AI103" s="37">
        <v>57</v>
      </c>
      <c r="AJ103" s="37">
        <v>77</v>
      </c>
      <c r="AK103" s="37">
        <v>128</v>
      </c>
      <c r="AL103" s="37">
        <v>124</v>
      </c>
      <c r="AM103" s="37">
        <v>95</v>
      </c>
      <c r="AN103" s="38">
        <v>65</v>
      </c>
    </row>
    <row r="104" spans="1:40" x14ac:dyDescent="0.2">
      <c r="A104" s="16">
        <v>1149</v>
      </c>
      <c r="B104" s="4" t="s">
        <v>51</v>
      </c>
      <c r="C104" s="30" t="s">
        <v>24</v>
      </c>
      <c r="D104" s="30">
        <v>5</v>
      </c>
      <c r="E104" s="30">
        <v>0</v>
      </c>
      <c r="F104" s="54" t="s">
        <v>6</v>
      </c>
      <c r="G104" s="30">
        <v>30</v>
      </c>
      <c r="H104" s="33">
        <v>3.9123887748117729</v>
      </c>
      <c r="I104" s="33">
        <v>5.3689253935660508</v>
      </c>
      <c r="J104" s="33">
        <v>9.2813141683778237</v>
      </c>
      <c r="K104" s="33">
        <v>3.9288158795345653</v>
      </c>
      <c r="L104" s="33">
        <v>5.3524982888432584</v>
      </c>
      <c r="M104" s="33">
        <v>9.2813141683778237</v>
      </c>
      <c r="N104" s="33">
        <v>3.9397672826830936</v>
      </c>
      <c r="O104" s="33">
        <v>5.1389459274469544</v>
      </c>
      <c r="P104" s="33">
        <v>9.0787132101300472</v>
      </c>
      <c r="Q104" s="33" t="s">
        <v>7</v>
      </c>
      <c r="R104" s="33" t="s">
        <v>7</v>
      </c>
      <c r="S104" s="33" t="s">
        <v>7</v>
      </c>
      <c r="T104" s="4">
        <v>6</v>
      </c>
      <c r="U104" s="4">
        <v>18</v>
      </c>
      <c r="V104" s="4" t="s">
        <v>1</v>
      </c>
      <c r="W104" s="4">
        <v>1</v>
      </c>
      <c r="X104" s="4">
        <v>3</v>
      </c>
      <c r="Y104" s="4">
        <v>1</v>
      </c>
      <c r="Z104" s="56">
        <v>3</v>
      </c>
      <c r="AA104" s="9" cm="1">
        <f t="array" ref="AA104">IF(OR(AB104:AE104=""),"BLANK",IF(AND(AB104:AE104&lt;999),1,IF(AND(AB104:AE104="NA"),3,2)))</f>
        <v>1</v>
      </c>
      <c r="AB104" s="4">
        <v>41</v>
      </c>
      <c r="AC104" s="4">
        <v>25</v>
      </c>
      <c r="AD104" s="4">
        <v>15</v>
      </c>
      <c r="AE104" s="5">
        <v>81</v>
      </c>
      <c r="AF104" s="9">
        <f t="shared" si="1"/>
        <v>1</v>
      </c>
      <c r="AG104" s="5">
        <v>72</v>
      </c>
      <c r="AH104" s="9" cm="1">
        <f t="array" ref="AH104">IF(OR(AI104:AN104=""),"BLANK",IF(AND(AI104:AN104&lt;999),1,IF(AND(AI104:AN104="NA"),3,2)))</f>
        <v>1</v>
      </c>
      <c r="AI104" s="37">
        <v>55</v>
      </c>
      <c r="AJ104" s="37">
        <v>74</v>
      </c>
      <c r="AK104" s="37">
        <v>124</v>
      </c>
      <c r="AL104" s="37">
        <v>129</v>
      </c>
      <c r="AM104" s="37">
        <v>97</v>
      </c>
      <c r="AN104" s="38">
        <v>67</v>
      </c>
    </row>
    <row r="105" spans="1:40" x14ac:dyDescent="0.2">
      <c r="A105" s="16">
        <v>1153</v>
      </c>
      <c r="B105" s="4" t="s">
        <v>59</v>
      </c>
      <c r="C105" s="30" t="s">
        <v>24</v>
      </c>
      <c r="D105" s="30">
        <v>5</v>
      </c>
      <c r="E105" s="30">
        <v>0</v>
      </c>
      <c r="F105" s="54" t="s">
        <v>6</v>
      </c>
      <c r="G105" s="30">
        <v>30</v>
      </c>
      <c r="H105" s="33">
        <v>3.8439425051334704</v>
      </c>
      <c r="I105" s="33">
        <v>5.3059548254620124</v>
      </c>
      <c r="J105" s="33">
        <v>9.1498973305954827</v>
      </c>
      <c r="K105" s="33">
        <v>3.8439425051334704</v>
      </c>
      <c r="L105" s="33">
        <v>5.3059548254620124</v>
      </c>
      <c r="M105" s="33">
        <v>9.1498973305954827</v>
      </c>
      <c r="N105" s="33">
        <v>3.9726214921286789</v>
      </c>
      <c r="O105" s="33">
        <v>5.0266940451745379</v>
      </c>
      <c r="P105" s="33">
        <v>8.9993155373032163</v>
      </c>
      <c r="Q105" s="33">
        <v>3.3100616016427105</v>
      </c>
      <c r="R105" s="33">
        <v>6.1409993155373028</v>
      </c>
      <c r="S105" s="33">
        <v>9.4510609171800137</v>
      </c>
      <c r="T105" s="4">
        <v>3</v>
      </c>
      <c r="U105" s="4">
        <v>13</v>
      </c>
      <c r="V105" s="4" t="s">
        <v>1</v>
      </c>
      <c r="W105" s="4">
        <v>1</v>
      </c>
      <c r="X105" s="4">
        <v>3</v>
      </c>
      <c r="Y105" s="4">
        <v>1</v>
      </c>
      <c r="Z105" s="56">
        <v>3</v>
      </c>
      <c r="AA105" s="9" cm="1">
        <f t="array" ref="AA105">IF(OR(AB105:AE105=""),"BLANK",IF(AND(AB105:AE105&lt;999),1,IF(AND(AB105:AE105="NA"),3,2)))</f>
        <v>1</v>
      </c>
      <c r="AB105" s="4">
        <v>21</v>
      </c>
      <c r="AC105" s="4">
        <v>14</v>
      </c>
      <c r="AD105" s="4">
        <v>9</v>
      </c>
      <c r="AE105" s="5">
        <v>44</v>
      </c>
      <c r="AF105" s="9">
        <f t="shared" si="1"/>
        <v>1</v>
      </c>
      <c r="AG105" s="5">
        <v>49</v>
      </c>
      <c r="AH105" s="9" cm="1">
        <f t="array" ref="AH105">IF(OR(AI105:AN105=""),"BLANK",IF(AND(AI105:AN105&lt;999),1,IF(AND(AI105:AN105="NA"),3,2)))</f>
        <v>1</v>
      </c>
      <c r="AI105" s="37">
        <v>48</v>
      </c>
      <c r="AJ105" s="37">
        <v>62</v>
      </c>
      <c r="AK105" s="37">
        <v>109</v>
      </c>
      <c r="AL105" s="37">
        <v>123</v>
      </c>
      <c r="AM105" s="37">
        <v>93</v>
      </c>
      <c r="AN105" s="38">
        <v>64</v>
      </c>
    </row>
    <row r="106" spans="1:40" x14ac:dyDescent="0.2">
      <c r="A106" s="16">
        <v>1157</v>
      </c>
      <c r="B106" s="4" t="s">
        <v>49</v>
      </c>
      <c r="C106" s="30" t="s">
        <v>23</v>
      </c>
      <c r="D106" s="30">
        <v>5</v>
      </c>
      <c r="E106" s="30">
        <v>0</v>
      </c>
      <c r="F106" s="54" t="s">
        <v>6</v>
      </c>
      <c r="G106" s="30">
        <v>30</v>
      </c>
      <c r="H106" s="33">
        <v>4.1177275838466807</v>
      </c>
      <c r="I106" s="33">
        <v>5.5359342915811087</v>
      </c>
      <c r="J106" s="33">
        <v>9.6536618754277885</v>
      </c>
      <c r="K106" s="33">
        <v>4.1177275838466807</v>
      </c>
      <c r="L106" s="33">
        <v>5.5359342915811087</v>
      </c>
      <c r="M106" s="33">
        <v>9.6536618754277885</v>
      </c>
      <c r="N106" s="33" t="s">
        <v>7</v>
      </c>
      <c r="O106" s="33" t="s">
        <v>7</v>
      </c>
      <c r="P106" s="33">
        <v>9.4976043805612598</v>
      </c>
      <c r="Q106" s="33" t="s">
        <v>7</v>
      </c>
      <c r="R106" s="33" t="s">
        <v>7</v>
      </c>
      <c r="S106" s="33" t="s">
        <v>7</v>
      </c>
      <c r="T106" s="4">
        <v>6</v>
      </c>
      <c r="U106" s="4">
        <v>18</v>
      </c>
      <c r="V106" s="4" t="s">
        <v>1</v>
      </c>
      <c r="W106" s="4">
        <v>1</v>
      </c>
      <c r="X106" s="4">
        <v>3</v>
      </c>
      <c r="Y106" s="4">
        <v>1</v>
      </c>
      <c r="Z106" s="56">
        <v>3</v>
      </c>
      <c r="AA106" s="9" cm="1">
        <f t="array" ref="AA106">IF(OR(AB106:AE106=""),"BLANK",IF(AND(AB106:AE106&lt;999),1,IF(AND(AB106:AE106="NA"),3,2)))</f>
        <v>1</v>
      </c>
      <c r="AB106" s="4">
        <v>41</v>
      </c>
      <c r="AC106" s="4">
        <v>34</v>
      </c>
      <c r="AD106" s="4">
        <v>21</v>
      </c>
      <c r="AE106" s="5">
        <v>96</v>
      </c>
      <c r="AF106" s="9">
        <f t="shared" si="1"/>
        <v>1</v>
      </c>
      <c r="AG106" s="5">
        <v>81</v>
      </c>
      <c r="AH106" s="9" cm="1">
        <f t="array" ref="AH106">IF(OR(AI106:AN106=""),"BLANK",IF(AND(AI106:AN106&lt;999),1,IF(AND(AI106:AN106="NA"),3,2)))</f>
        <v>1</v>
      </c>
      <c r="AI106" s="37">
        <v>53</v>
      </c>
      <c r="AJ106" s="37">
        <v>71</v>
      </c>
      <c r="AK106" s="37">
        <v>120</v>
      </c>
      <c r="AL106" s="37">
        <v>118</v>
      </c>
      <c r="AM106" s="37">
        <v>88</v>
      </c>
      <c r="AN106" s="38">
        <v>61</v>
      </c>
    </row>
    <row r="107" spans="1:40" x14ac:dyDescent="0.2">
      <c r="A107" s="16">
        <v>1172</v>
      </c>
      <c r="B107" s="4" t="s">
        <v>60</v>
      </c>
      <c r="C107" s="30" t="s">
        <v>24</v>
      </c>
      <c r="D107" s="30">
        <v>5</v>
      </c>
      <c r="E107" s="30">
        <v>0</v>
      </c>
      <c r="F107" s="54" t="s">
        <v>6</v>
      </c>
      <c r="G107" s="30">
        <v>29</v>
      </c>
      <c r="H107" s="33">
        <v>3.9589322381930185</v>
      </c>
      <c r="I107" s="33">
        <v>5.6919917864476384</v>
      </c>
      <c r="J107" s="33">
        <v>9.6509240246406574</v>
      </c>
      <c r="K107" s="33">
        <v>3.9589322381930185</v>
      </c>
      <c r="L107" s="33">
        <v>5.6919917864476384</v>
      </c>
      <c r="M107" s="33">
        <v>9.6509240246406574</v>
      </c>
      <c r="N107" s="33">
        <v>3.8959616700889801</v>
      </c>
      <c r="O107" s="33">
        <v>5.6673511293634498</v>
      </c>
      <c r="P107" s="33">
        <v>9.5633127994524294</v>
      </c>
      <c r="Q107" s="33" t="s">
        <v>7</v>
      </c>
      <c r="R107" s="33" t="s">
        <v>7</v>
      </c>
      <c r="S107" s="33" t="s">
        <v>7</v>
      </c>
      <c r="T107" s="4" t="s">
        <v>7</v>
      </c>
      <c r="U107" s="4" t="s">
        <v>7</v>
      </c>
      <c r="V107" s="4" t="s">
        <v>1</v>
      </c>
      <c r="W107" s="4">
        <v>1</v>
      </c>
      <c r="X107" s="4">
        <v>3</v>
      </c>
      <c r="Y107" s="4">
        <v>1</v>
      </c>
      <c r="Z107" s="56">
        <v>3</v>
      </c>
      <c r="AA107" s="9" cm="1">
        <f t="array" ref="AA107">IF(OR(AB107:AE107=""),"BLANK",IF(AND(AB107:AE107&lt;999),1,IF(AND(AB107:AE107="NA"),3,2)))</f>
        <v>1</v>
      </c>
      <c r="AB107" s="4">
        <v>43</v>
      </c>
      <c r="AC107" s="4">
        <v>28</v>
      </c>
      <c r="AD107" s="4">
        <v>21</v>
      </c>
      <c r="AE107" s="5">
        <v>92</v>
      </c>
      <c r="AF107" s="9">
        <f t="shared" si="1"/>
        <v>1</v>
      </c>
      <c r="AG107" s="5">
        <v>69</v>
      </c>
      <c r="AH107" s="9" cm="1">
        <f t="array" ref="AH107">IF(OR(AI107:AN107=""),"BLANK",IF(AND(AI107:AN107&lt;999),1,IF(AND(AI107:AN107="NA"),3,2)))</f>
        <v>3</v>
      </c>
      <c r="AI107" s="37" t="s">
        <v>7</v>
      </c>
      <c r="AJ107" s="37" t="s">
        <v>7</v>
      </c>
      <c r="AK107" s="37" t="s">
        <v>7</v>
      </c>
      <c r="AL107" s="37" t="s">
        <v>7</v>
      </c>
      <c r="AM107" s="37" t="s">
        <v>7</v>
      </c>
      <c r="AN107" s="38" t="s">
        <v>7</v>
      </c>
    </row>
    <row r="108" spans="1:40" x14ac:dyDescent="0.2">
      <c r="A108" s="16">
        <v>1175</v>
      </c>
      <c r="B108" s="4" t="s">
        <v>50</v>
      </c>
      <c r="C108" s="30" t="s">
        <v>24</v>
      </c>
      <c r="D108" s="30">
        <v>1</v>
      </c>
      <c r="E108" s="30">
        <v>0</v>
      </c>
      <c r="F108" s="54" t="s">
        <v>6</v>
      </c>
      <c r="G108" s="30">
        <v>28</v>
      </c>
      <c r="H108" s="33">
        <v>3.9096509240246409</v>
      </c>
      <c r="I108" s="33">
        <v>5.2648870636550305</v>
      </c>
      <c r="J108" s="33">
        <v>9.1745379876796722</v>
      </c>
      <c r="K108" s="33">
        <v>3.9096509240246409</v>
      </c>
      <c r="L108" s="33">
        <v>5.5879534565366189</v>
      </c>
      <c r="M108" s="33">
        <v>9.4976043805612598</v>
      </c>
      <c r="N108" s="33" t="s">
        <v>7</v>
      </c>
      <c r="O108" s="33" t="s">
        <v>7</v>
      </c>
      <c r="P108" s="33">
        <v>9.073237508555783</v>
      </c>
      <c r="Q108" s="33">
        <v>3.1676933607118412</v>
      </c>
      <c r="R108" s="33">
        <v>6.2094455852156054</v>
      </c>
      <c r="S108" s="33">
        <v>9.377138945927447</v>
      </c>
      <c r="T108" s="4" t="s">
        <v>7</v>
      </c>
      <c r="U108" s="4" t="s">
        <v>7</v>
      </c>
      <c r="V108" s="4" t="s">
        <v>1</v>
      </c>
      <c r="W108" s="4">
        <v>1</v>
      </c>
      <c r="X108" s="4">
        <v>3</v>
      </c>
      <c r="Y108" s="4">
        <v>1</v>
      </c>
      <c r="Z108" s="56">
        <v>3</v>
      </c>
      <c r="AA108" s="9" cm="1">
        <f t="array" ref="AA108">IF(OR(AB108:AE108=""),"BLANK",IF(AND(AB108:AE108&lt;999),1,IF(AND(AB108:AE108="NA"),3,2)))</f>
        <v>1</v>
      </c>
      <c r="AB108" s="4">
        <v>35</v>
      </c>
      <c r="AC108" s="4">
        <v>19</v>
      </c>
      <c r="AD108" s="4">
        <v>12</v>
      </c>
      <c r="AE108" s="5">
        <v>66</v>
      </c>
      <c r="AF108" s="9">
        <f t="shared" si="1"/>
        <v>1</v>
      </c>
      <c r="AG108" s="5">
        <v>67</v>
      </c>
      <c r="AH108" s="9" cm="1">
        <f t="array" ref="AH108">IF(OR(AI108:AN108=""),"BLANK",IF(AND(AI108:AN108&lt;999),1,IF(AND(AI108:AN108="NA"),3,2)))</f>
        <v>1</v>
      </c>
      <c r="AI108" s="37">
        <v>36</v>
      </c>
      <c r="AJ108" s="37">
        <v>43</v>
      </c>
      <c r="AK108" s="37">
        <v>84</v>
      </c>
      <c r="AL108" s="37">
        <v>83</v>
      </c>
      <c r="AM108" s="37">
        <v>13</v>
      </c>
      <c r="AN108" s="38">
        <v>34</v>
      </c>
    </row>
    <row r="109" spans="1:40" x14ac:dyDescent="0.2">
      <c r="A109" s="16">
        <v>1183</v>
      </c>
      <c r="B109" s="4" t="s">
        <v>55</v>
      </c>
      <c r="C109" s="30" t="s">
        <v>24</v>
      </c>
      <c r="D109" s="30">
        <v>5</v>
      </c>
      <c r="E109" s="30">
        <v>0</v>
      </c>
      <c r="F109" s="54" t="s">
        <v>6</v>
      </c>
      <c r="G109" s="30">
        <v>29</v>
      </c>
      <c r="H109" s="33">
        <v>3.8412046543463383</v>
      </c>
      <c r="I109" s="33">
        <v>5.6536618754277894</v>
      </c>
      <c r="J109" s="33">
        <v>9.4948665297741268</v>
      </c>
      <c r="K109" s="33">
        <v>3.8412046543463383</v>
      </c>
      <c r="L109" s="33">
        <v>5.6536618754277894</v>
      </c>
      <c r="M109" s="33">
        <v>9.4948665297741268</v>
      </c>
      <c r="N109" s="33" t="s">
        <v>7</v>
      </c>
      <c r="O109" s="33" t="s">
        <v>7</v>
      </c>
      <c r="P109" s="33">
        <v>9.4811772758384674</v>
      </c>
      <c r="Q109" s="33" t="s">
        <v>7</v>
      </c>
      <c r="R109" s="33" t="s">
        <v>7</v>
      </c>
      <c r="S109" s="33" t="s">
        <v>7</v>
      </c>
      <c r="T109" s="4">
        <v>6</v>
      </c>
      <c r="U109" s="4">
        <v>18</v>
      </c>
      <c r="V109" s="4" t="s">
        <v>1</v>
      </c>
      <c r="W109" s="4">
        <v>1</v>
      </c>
      <c r="X109" s="4">
        <v>3</v>
      </c>
      <c r="Y109" s="4">
        <v>1</v>
      </c>
      <c r="Z109" s="56">
        <v>3</v>
      </c>
      <c r="AA109" s="9" cm="1">
        <f t="array" ref="AA109">IF(OR(AB109:AE109=""),"BLANK",IF(AND(AB109:AE109&lt;999),1,IF(AND(AB109:AE109="NA"),3,2)))</f>
        <v>1</v>
      </c>
      <c r="AB109" s="4">
        <v>38</v>
      </c>
      <c r="AC109" s="4">
        <v>21</v>
      </c>
      <c r="AD109" s="4">
        <v>16</v>
      </c>
      <c r="AE109" s="5">
        <v>75</v>
      </c>
      <c r="AF109" s="9">
        <f t="shared" si="1"/>
        <v>1</v>
      </c>
      <c r="AG109" s="5">
        <v>72</v>
      </c>
      <c r="AH109" s="9" cm="1">
        <f t="array" ref="AH109">IF(OR(AI109:AN109=""),"BLANK",IF(AND(AI109:AN109&lt;999),1,IF(AND(AI109:AN109="NA"),3,2)))</f>
        <v>1</v>
      </c>
      <c r="AI109" s="37">
        <v>48</v>
      </c>
      <c r="AJ109" s="37">
        <v>62</v>
      </c>
      <c r="AK109" s="37">
        <v>109</v>
      </c>
      <c r="AL109" s="37">
        <v>102</v>
      </c>
      <c r="AM109" s="37">
        <v>55</v>
      </c>
      <c r="AN109" s="38">
        <v>51</v>
      </c>
    </row>
    <row r="110" spans="1:40" x14ac:dyDescent="0.2">
      <c r="A110" s="16">
        <v>1200</v>
      </c>
      <c r="B110" s="4" t="s">
        <v>65</v>
      </c>
      <c r="C110" s="30" t="s">
        <v>23</v>
      </c>
      <c r="D110" s="30">
        <v>5</v>
      </c>
      <c r="E110" s="30">
        <v>1</v>
      </c>
      <c r="F110" s="54" t="s">
        <v>6</v>
      </c>
      <c r="G110" s="30">
        <v>28</v>
      </c>
      <c r="H110" s="33">
        <v>3.8740588637919235</v>
      </c>
      <c r="I110" s="33">
        <v>5.4236824093086931</v>
      </c>
      <c r="J110" s="33">
        <v>9.2977412731006162</v>
      </c>
      <c r="K110" s="33">
        <v>3.8740588637919235</v>
      </c>
      <c r="L110" s="33">
        <v>5.4236824093086931</v>
      </c>
      <c r="M110" s="33">
        <v>9.2977412731006162</v>
      </c>
      <c r="N110" s="33">
        <v>3.9644079397672827</v>
      </c>
      <c r="O110" s="33" t="s">
        <v>7</v>
      </c>
      <c r="P110" s="33" t="s">
        <v>7</v>
      </c>
      <c r="Q110" s="33">
        <v>3.3456536618754278</v>
      </c>
      <c r="R110" s="33" t="s">
        <v>7</v>
      </c>
      <c r="S110" s="33" t="s">
        <v>7</v>
      </c>
      <c r="T110" s="4">
        <v>3</v>
      </c>
      <c r="U110" s="4">
        <v>13</v>
      </c>
      <c r="V110" s="4" t="s">
        <v>1</v>
      </c>
      <c r="W110" s="4">
        <v>1</v>
      </c>
      <c r="X110" s="4">
        <v>3</v>
      </c>
      <c r="Y110" s="4">
        <v>1</v>
      </c>
      <c r="Z110" s="56">
        <v>3</v>
      </c>
      <c r="AA110" s="9" cm="1">
        <f t="array" ref="AA110">IF(OR(AB110:AE110=""),"BLANK",IF(AND(AB110:AE110&lt;999),1,IF(AND(AB110:AE110="NA"),3,2)))</f>
        <v>1</v>
      </c>
      <c r="AB110" s="4">
        <v>32</v>
      </c>
      <c r="AC110" s="4">
        <v>17</v>
      </c>
      <c r="AD110" s="4">
        <v>12</v>
      </c>
      <c r="AE110" s="5">
        <v>61</v>
      </c>
      <c r="AF110" s="9">
        <f t="shared" si="1"/>
        <v>1</v>
      </c>
      <c r="AG110" s="5">
        <v>56</v>
      </c>
      <c r="AH110" s="9" cm="1">
        <f t="array" ref="AH110">IF(OR(AI110:AN110=""),"BLANK",IF(AND(AI110:AN110&lt;999),1,IF(AND(AI110:AN110="NA"),3,2)))</f>
        <v>3</v>
      </c>
      <c r="AI110" s="37" t="s">
        <v>7</v>
      </c>
      <c r="AJ110" s="37" t="s">
        <v>7</v>
      </c>
      <c r="AK110" s="37" t="s">
        <v>7</v>
      </c>
      <c r="AL110" s="37" t="s">
        <v>7</v>
      </c>
      <c r="AM110" s="37" t="s">
        <v>7</v>
      </c>
      <c r="AN110" s="38" t="s">
        <v>7</v>
      </c>
    </row>
    <row r="111" spans="1:40" x14ac:dyDescent="0.2">
      <c r="A111" s="16">
        <v>1220</v>
      </c>
      <c r="B111" s="4" t="s">
        <v>59</v>
      </c>
      <c r="C111" s="30" t="s">
        <v>23</v>
      </c>
      <c r="D111" s="30">
        <v>5</v>
      </c>
      <c r="E111" s="30">
        <v>0</v>
      </c>
      <c r="F111" s="54" t="s">
        <v>6</v>
      </c>
      <c r="G111" s="30">
        <v>29</v>
      </c>
      <c r="H111" s="33">
        <v>4.1779603011635862</v>
      </c>
      <c r="I111" s="33">
        <v>4.8213552361396301</v>
      </c>
      <c r="J111" s="33">
        <v>8.9993155373032163</v>
      </c>
      <c r="K111" s="33">
        <v>4.1779603011635862</v>
      </c>
      <c r="L111" s="33">
        <v>5.0540725530458586</v>
      </c>
      <c r="M111" s="33">
        <v>9.2320328542094447</v>
      </c>
      <c r="N111" s="33">
        <v>4.1040383299110195</v>
      </c>
      <c r="O111" s="33">
        <v>4.7446954140999313</v>
      </c>
      <c r="P111" s="33">
        <v>8.8487337440109517</v>
      </c>
      <c r="Q111" s="33" t="s">
        <v>7</v>
      </c>
      <c r="R111" s="33" t="s">
        <v>7</v>
      </c>
      <c r="S111" s="33" t="s">
        <v>7</v>
      </c>
      <c r="T111" s="4" t="s">
        <v>7</v>
      </c>
      <c r="U111" s="4" t="s">
        <v>7</v>
      </c>
      <c r="V111" s="4" t="s">
        <v>1</v>
      </c>
      <c r="W111" s="4">
        <v>1</v>
      </c>
      <c r="X111" s="4">
        <v>3</v>
      </c>
      <c r="Y111" s="4">
        <v>1</v>
      </c>
      <c r="Z111" s="56">
        <v>3</v>
      </c>
      <c r="AA111" s="9" cm="1">
        <f t="array" ref="AA111">IF(OR(AB111:AE111=""),"BLANK",IF(AND(AB111:AE111&lt;999),1,IF(AND(AB111:AE111="NA"),3,2)))</f>
        <v>1</v>
      </c>
      <c r="AB111" s="4">
        <v>32</v>
      </c>
      <c r="AC111" s="4">
        <v>21</v>
      </c>
      <c r="AD111" s="4">
        <v>16</v>
      </c>
      <c r="AE111" s="5">
        <v>69</v>
      </c>
      <c r="AF111" s="9">
        <f t="shared" si="1"/>
        <v>1</v>
      </c>
      <c r="AG111" s="5">
        <v>64</v>
      </c>
      <c r="AH111" s="9" cm="1">
        <f t="array" ref="AH111">IF(OR(AI111:AN111=""),"BLANK",IF(AND(AI111:AN111&lt;999),1,IF(AND(AI111:AN111="NA"),3,2)))</f>
        <v>1</v>
      </c>
      <c r="AI111" s="37">
        <v>40</v>
      </c>
      <c r="AJ111" s="37">
        <v>49</v>
      </c>
      <c r="AK111" s="37">
        <v>92</v>
      </c>
      <c r="AL111" s="37">
        <v>97</v>
      </c>
      <c r="AM111" s="37">
        <v>41</v>
      </c>
      <c r="AN111" s="38">
        <v>44</v>
      </c>
    </row>
    <row r="112" spans="1:40" x14ac:dyDescent="0.2">
      <c r="A112" s="16">
        <v>1226</v>
      </c>
      <c r="B112" s="4" t="s">
        <v>65</v>
      </c>
      <c r="C112" s="30" t="s">
        <v>23</v>
      </c>
      <c r="D112" s="30">
        <v>5</v>
      </c>
      <c r="E112" s="30">
        <v>0</v>
      </c>
      <c r="F112" s="54" t="s">
        <v>6</v>
      </c>
      <c r="G112" s="30">
        <v>30</v>
      </c>
      <c r="H112" s="33">
        <v>3.890485968514716</v>
      </c>
      <c r="I112" s="33">
        <v>5.3689253935660508</v>
      </c>
      <c r="J112" s="33">
        <v>9.2594113620807672</v>
      </c>
      <c r="K112" s="33" t="s">
        <v>7</v>
      </c>
      <c r="L112" s="33" t="s">
        <v>7</v>
      </c>
      <c r="M112" s="33" t="s">
        <v>7</v>
      </c>
      <c r="N112" s="33">
        <v>4.2053388090349078</v>
      </c>
      <c r="O112" s="33">
        <v>4.991101984941821</v>
      </c>
      <c r="P112" s="33">
        <v>9.1964407939767288</v>
      </c>
      <c r="Q112" s="33">
        <v>3.4140999315537304</v>
      </c>
      <c r="R112" s="33">
        <v>6.3189596167008899</v>
      </c>
      <c r="S112" s="33">
        <v>9.7330595482546194</v>
      </c>
      <c r="T112" s="4">
        <v>5</v>
      </c>
      <c r="U112" s="4">
        <v>17</v>
      </c>
      <c r="V112" s="4" t="s">
        <v>1</v>
      </c>
      <c r="W112" s="4">
        <v>1</v>
      </c>
      <c r="X112" s="4">
        <v>3</v>
      </c>
      <c r="Y112" s="4">
        <v>1</v>
      </c>
      <c r="Z112" s="56">
        <v>3</v>
      </c>
      <c r="AA112" s="9" cm="1">
        <f t="array" ref="AA112">IF(OR(AB112:AE112=""),"BLANK",IF(AND(AB112:AE112&lt;999),1,IF(AND(AB112:AE112="NA"),3,2)))</f>
        <v>1</v>
      </c>
      <c r="AB112" s="4">
        <v>24</v>
      </c>
      <c r="AC112" s="4">
        <v>15</v>
      </c>
      <c r="AD112" s="4">
        <v>10</v>
      </c>
      <c r="AE112" s="5">
        <v>49</v>
      </c>
      <c r="AF112" s="9">
        <f t="shared" si="1"/>
        <v>1</v>
      </c>
      <c r="AG112" s="5">
        <v>43</v>
      </c>
      <c r="AH112" s="9" cm="1">
        <f t="array" ref="AH112">IF(OR(AI112:AN112=""),"BLANK",IF(AND(AI112:AN112&lt;999),1,IF(AND(AI112:AN112="NA"),3,2)))</f>
        <v>1</v>
      </c>
      <c r="AI112" s="37">
        <v>26</v>
      </c>
      <c r="AJ112" s="37">
        <v>26</v>
      </c>
      <c r="AK112" s="37">
        <v>63</v>
      </c>
      <c r="AL112" s="37">
        <v>66</v>
      </c>
      <c r="AM112" s="37">
        <v>1</v>
      </c>
      <c r="AN112" s="38">
        <v>21</v>
      </c>
    </row>
    <row r="113" spans="1:40" x14ac:dyDescent="0.2">
      <c r="A113" s="16">
        <v>1240</v>
      </c>
      <c r="B113" s="4" t="s">
        <v>46</v>
      </c>
      <c r="C113" s="30" t="s">
        <v>23</v>
      </c>
      <c r="D113" s="30">
        <v>5</v>
      </c>
      <c r="E113" s="30">
        <v>0</v>
      </c>
      <c r="F113" s="54" t="s">
        <v>6</v>
      </c>
      <c r="G113" s="30">
        <v>30</v>
      </c>
      <c r="H113" s="33">
        <v>3.9671457905544147</v>
      </c>
      <c r="I113" s="33">
        <v>4.9774127310061598</v>
      </c>
      <c r="J113" s="33">
        <v>8.944558521560575</v>
      </c>
      <c r="K113" s="33">
        <v>3.9671457905544147</v>
      </c>
      <c r="L113" s="33">
        <v>4.9774127310061598</v>
      </c>
      <c r="M113" s="33">
        <v>8.944558521560575</v>
      </c>
      <c r="N113" s="33">
        <v>3.9589322381930185</v>
      </c>
      <c r="O113" s="33">
        <v>4.9253935660506505</v>
      </c>
      <c r="P113" s="33">
        <v>8.8843258042436695</v>
      </c>
      <c r="Q113" s="33">
        <v>3.1649555099247091</v>
      </c>
      <c r="R113" s="33">
        <v>5.935660506502396</v>
      </c>
      <c r="S113" s="33">
        <v>9.1006160164271055</v>
      </c>
      <c r="T113" s="4">
        <v>4</v>
      </c>
      <c r="U113" s="4">
        <v>16</v>
      </c>
      <c r="V113" s="4" t="s">
        <v>1</v>
      </c>
      <c r="W113" s="4">
        <v>1</v>
      </c>
      <c r="X113" s="4">
        <v>3</v>
      </c>
      <c r="Y113" s="4">
        <v>1</v>
      </c>
      <c r="Z113" s="56">
        <v>3</v>
      </c>
      <c r="AA113" s="9" cm="1">
        <f t="array" ref="AA113">IF(OR(AB113:AE113=""),"BLANK",IF(AND(AB113:AE113&lt;999),1,IF(AND(AB113:AE113="NA"),3,2)))</f>
        <v>1</v>
      </c>
      <c r="AB113" s="4">
        <v>31</v>
      </c>
      <c r="AC113" s="4">
        <v>15</v>
      </c>
      <c r="AD113" s="4">
        <v>6</v>
      </c>
      <c r="AE113" s="5">
        <v>52</v>
      </c>
      <c r="AF113" s="9">
        <f t="shared" si="1"/>
        <v>1</v>
      </c>
      <c r="AG113" s="5">
        <v>50</v>
      </c>
      <c r="AH113" s="9" cm="1">
        <f t="array" ref="AH113">IF(OR(AI113:AN113=""),"BLANK",IF(AND(AI113:AN113&lt;999),1,IF(AND(AI113:AN113="NA"),3,2)))</f>
        <v>1</v>
      </c>
      <c r="AI113" s="37">
        <v>44</v>
      </c>
      <c r="AJ113" s="37">
        <v>56</v>
      </c>
      <c r="AK113" s="37">
        <v>101</v>
      </c>
      <c r="AL113" s="37">
        <v>103</v>
      </c>
      <c r="AM113" s="37">
        <v>57</v>
      </c>
      <c r="AN113" s="38">
        <v>49</v>
      </c>
    </row>
    <row r="114" spans="1:40" x14ac:dyDescent="0.2">
      <c r="A114" s="16">
        <v>1245</v>
      </c>
      <c r="B114" s="4" t="s">
        <v>59</v>
      </c>
      <c r="C114" s="30" t="s">
        <v>24</v>
      </c>
      <c r="D114" s="30">
        <v>3</v>
      </c>
      <c r="E114" s="30">
        <v>1</v>
      </c>
      <c r="F114" s="54" t="s">
        <v>6</v>
      </c>
      <c r="G114" s="30">
        <v>30</v>
      </c>
      <c r="H114" s="33">
        <v>3.9835728952772076</v>
      </c>
      <c r="I114" s="33">
        <v>5.2813141683778237</v>
      </c>
      <c r="J114" s="33">
        <v>9.2648870636550313</v>
      </c>
      <c r="K114" s="33">
        <v>4.991101984941821</v>
      </c>
      <c r="L114" s="33">
        <v>4.2737850787132103</v>
      </c>
      <c r="M114" s="33">
        <v>9.2648870636550313</v>
      </c>
      <c r="N114" s="33">
        <v>3.9726214921286789</v>
      </c>
      <c r="O114" s="33">
        <v>5.0540725530458586</v>
      </c>
      <c r="P114" s="33">
        <v>9.0266940451745388</v>
      </c>
      <c r="Q114" s="33" t="s">
        <v>7</v>
      </c>
      <c r="R114" s="33" t="s">
        <v>7</v>
      </c>
      <c r="S114" s="33" t="s">
        <v>7</v>
      </c>
      <c r="T114" s="4" t="s">
        <v>7</v>
      </c>
      <c r="U114" s="4" t="s">
        <v>7</v>
      </c>
      <c r="V114" s="4" t="s">
        <v>1</v>
      </c>
      <c r="W114" s="4">
        <v>1</v>
      </c>
      <c r="X114" s="4">
        <v>3</v>
      </c>
      <c r="Y114" s="4">
        <v>1</v>
      </c>
      <c r="Z114" s="56">
        <v>3</v>
      </c>
      <c r="AA114" s="9" cm="1">
        <f t="array" ref="AA114">IF(OR(AB114:AE114=""),"BLANK",IF(AND(AB114:AE114&lt;999),1,IF(AND(AB114:AE114="NA"),3,2)))</f>
        <v>1</v>
      </c>
      <c r="AB114" s="4">
        <v>30</v>
      </c>
      <c r="AC114" s="4">
        <v>16</v>
      </c>
      <c r="AD114" s="4">
        <v>12</v>
      </c>
      <c r="AE114" s="5">
        <v>58</v>
      </c>
      <c r="AF114" s="9">
        <f t="shared" si="1"/>
        <v>1</v>
      </c>
      <c r="AG114" s="5">
        <v>48</v>
      </c>
      <c r="AH114" s="9" cm="1">
        <f t="array" ref="AH114">IF(OR(AI114:AN114=""),"BLANK",IF(AND(AI114:AN114&lt;999),1,IF(AND(AI114:AN114="NA"),3,2)))</f>
        <v>3</v>
      </c>
      <c r="AI114" s="37" t="s">
        <v>7</v>
      </c>
      <c r="AJ114" s="37" t="s">
        <v>7</v>
      </c>
      <c r="AK114" s="37" t="s">
        <v>7</v>
      </c>
      <c r="AL114" s="37" t="s">
        <v>7</v>
      </c>
      <c r="AM114" s="37" t="s">
        <v>7</v>
      </c>
      <c r="AN114" s="38" t="s">
        <v>7</v>
      </c>
    </row>
    <row r="115" spans="1:40" x14ac:dyDescent="0.2">
      <c r="A115" s="16">
        <v>1316</v>
      </c>
      <c r="B115" s="4" t="s">
        <v>50</v>
      </c>
      <c r="C115" s="30" t="s">
        <v>24</v>
      </c>
      <c r="D115" s="30">
        <v>5</v>
      </c>
      <c r="E115" s="30">
        <v>0</v>
      </c>
      <c r="F115" s="54" t="s">
        <v>6</v>
      </c>
      <c r="G115" s="30">
        <v>29</v>
      </c>
      <c r="H115" s="33">
        <v>3.9671457905544147</v>
      </c>
      <c r="I115" s="33">
        <v>5.1827515400410675</v>
      </c>
      <c r="J115" s="33">
        <v>9.1498973305954827</v>
      </c>
      <c r="K115" s="33">
        <v>3.9671457905544147</v>
      </c>
      <c r="L115" s="33">
        <v>5.4510609171800137</v>
      </c>
      <c r="M115" s="33">
        <v>9.4182067077344289</v>
      </c>
      <c r="N115" s="33">
        <v>3.9945242984257359</v>
      </c>
      <c r="O115" s="33">
        <v>4.8459958932238196</v>
      </c>
      <c r="P115" s="33">
        <v>8.8405201916495546</v>
      </c>
      <c r="Q115" s="33">
        <v>3.3210130047912387</v>
      </c>
      <c r="R115" s="33">
        <v>5.9137577002053385</v>
      </c>
      <c r="S115" s="33">
        <v>9.2347707049965777</v>
      </c>
      <c r="T115" s="4" t="s">
        <v>7</v>
      </c>
      <c r="U115" s="4" t="s">
        <v>7</v>
      </c>
      <c r="V115" s="4" t="s">
        <v>1</v>
      </c>
      <c r="W115" s="4">
        <v>1</v>
      </c>
      <c r="X115" s="4">
        <v>3</v>
      </c>
      <c r="Y115" s="4">
        <v>1</v>
      </c>
      <c r="Z115" s="56">
        <v>3</v>
      </c>
      <c r="AA115" s="9" cm="1">
        <f t="array" ref="AA115">IF(OR(AB115:AE115=""),"BLANK",IF(AND(AB115:AE115&lt;999),1,IF(AND(AB115:AE115="NA"),3,2)))</f>
        <v>1</v>
      </c>
      <c r="AB115" s="4">
        <v>35</v>
      </c>
      <c r="AC115" s="4">
        <v>19</v>
      </c>
      <c r="AD115" s="4">
        <v>13</v>
      </c>
      <c r="AE115" s="5">
        <v>67</v>
      </c>
      <c r="AF115" s="9">
        <f t="shared" si="1"/>
        <v>1</v>
      </c>
      <c r="AG115" s="5">
        <v>61</v>
      </c>
      <c r="AH115" s="9" cm="1">
        <f t="array" ref="AH115">IF(OR(AI115:AN115=""),"BLANK",IF(AND(AI115:AN115&lt;999),1,IF(AND(AI115:AN115="NA"),3,2)))</f>
        <v>1</v>
      </c>
      <c r="AI115" s="37">
        <v>48</v>
      </c>
      <c r="AJ115" s="37">
        <v>62</v>
      </c>
      <c r="AK115" s="37">
        <v>109</v>
      </c>
      <c r="AL115" s="37">
        <v>113</v>
      </c>
      <c r="AM115" s="37">
        <v>81</v>
      </c>
      <c r="AN115" s="38">
        <v>63</v>
      </c>
    </row>
    <row r="116" spans="1:40" x14ac:dyDescent="0.2">
      <c r="A116" s="16">
        <v>1356</v>
      </c>
      <c r="B116" s="4" t="s">
        <v>62</v>
      </c>
      <c r="C116" s="30" t="s">
        <v>23</v>
      </c>
      <c r="D116" s="30">
        <v>5</v>
      </c>
      <c r="E116" s="30">
        <v>0</v>
      </c>
      <c r="F116" s="54" t="s">
        <v>6</v>
      </c>
      <c r="G116" s="30">
        <v>29</v>
      </c>
      <c r="H116" s="33">
        <v>4.0301163586584527</v>
      </c>
      <c r="I116" s="33">
        <v>5.3497604380561263</v>
      </c>
      <c r="J116" s="33">
        <v>9.3798767967145782</v>
      </c>
      <c r="K116" s="33">
        <v>4.0301163586584527</v>
      </c>
      <c r="L116" s="33">
        <v>5.3497604380561263</v>
      </c>
      <c r="M116" s="33">
        <v>9.3798767967145782</v>
      </c>
      <c r="N116" s="33">
        <v>4.0273785078713207</v>
      </c>
      <c r="O116" s="33">
        <v>5.330595482546201</v>
      </c>
      <c r="P116" s="33">
        <v>9.3579739904175216</v>
      </c>
      <c r="Q116" s="33">
        <v>3.3127994524298425</v>
      </c>
      <c r="R116" s="33" t="s">
        <v>7</v>
      </c>
      <c r="S116" s="33" t="s">
        <v>7</v>
      </c>
      <c r="T116" s="4">
        <v>3</v>
      </c>
      <c r="U116" s="4">
        <v>15</v>
      </c>
      <c r="V116" s="4" t="s">
        <v>1</v>
      </c>
      <c r="W116" s="4">
        <v>1</v>
      </c>
      <c r="X116" s="4">
        <v>3</v>
      </c>
      <c r="Y116" s="4">
        <v>1</v>
      </c>
      <c r="Z116" s="56">
        <v>3</v>
      </c>
      <c r="AA116" s="9" cm="1">
        <f t="array" ref="AA116">IF(OR(AB116:AE116=""),"BLANK",IF(AND(AB116:AE116&lt;999),1,IF(AND(AB116:AE116="NA"),3,2)))</f>
        <v>1</v>
      </c>
      <c r="AB116" s="4">
        <v>32</v>
      </c>
      <c r="AC116" s="4">
        <v>17</v>
      </c>
      <c r="AD116" s="4">
        <v>15</v>
      </c>
      <c r="AE116" s="5">
        <v>64</v>
      </c>
      <c r="AF116" s="9">
        <f t="shared" si="1"/>
        <v>1</v>
      </c>
      <c r="AG116" s="5">
        <v>54</v>
      </c>
      <c r="AH116" s="9" cm="1">
        <f t="array" ref="AH116">IF(OR(AI116:AN116=""),"BLANK",IF(AND(AI116:AN116&lt;999),1,IF(AND(AI116:AN116="NA"),3,2)))</f>
        <v>1</v>
      </c>
      <c r="AI116" s="37">
        <v>51</v>
      </c>
      <c r="AJ116" s="37">
        <v>67</v>
      </c>
      <c r="AK116" s="37">
        <v>115</v>
      </c>
      <c r="AL116" s="37">
        <v>125</v>
      </c>
      <c r="AM116" s="37">
        <v>95</v>
      </c>
      <c r="AN116" s="38">
        <v>66</v>
      </c>
    </row>
    <row r="117" spans="1:40" x14ac:dyDescent="0.2">
      <c r="A117" s="16">
        <v>1362</v>
      </c>
      <c r="B117" s="4" t="s">
        <v>59</v>
      </c>
      <c r="C117" s="30" t="s">
        <v>23</v>
      </c>
      <c r="D117" s="30">
        <v>3</v>
      </c>
      <c r="E117" s="30">
        <v>1</v>
      </c>
      <c r="F117" s="54" t="s">
        <v>6</v>
      </c>
      <c r="G117" s="30">
        <v>28</v>
      </c>
      <c r="H117" s="33">
        <v>3.9726214921286789</v>
      </c>
      <c r="I117" s="33">
        <v>5.1334702258726903</v>
      </c>
      <c r="J117" s="33">
        <v>9.1060917180013696</v>
      </c>
      <c r="K117" s="33">
        <v>3.9726214921286789</v>
      </c>
      <c r="L117" s="33">
        <v>5.4182067077344289</v>
      </c>
      <c r="M117" s="33">
        <v>9.3908281998631082</v>
      </c>
      <c r="N117" s="33" t="s">
        <v>7</v>
      </c>
      <c r="O117" s="33" t="s">
        <v>7</v>
      </c>
      <c r="P117" s="33">
        <v>9.0540725530458595</v>
      </c>
      <c r="Q117" s="33" t="s">
        <v>7</v>
      </c>
      <c r="R117" s="33" t="s">
        <v>7</v>
      </c>
      <c r="S117" s="33" t="s">
        <v>7</v>
      </c>
      <c r="T117" s="4">
        <v>6</v>
      </c>
      <c r="U117" s="4">
        <v>18</v>
      </c>
      <c r="V117" s="4" t="s">
        <v>1</v>
      </c>
      <c r="W117" s="4">
        <v>1</v>
      </c>
      <c r="X117" s="4">
        <v>3</v>
      </c>
      <c r="Y117" s="4">
        <v>1</v>
      </c>
      <c r="Z117" s="56">
        <v>3</v>
      </c>
      <c r="AA117" s="9" cm="1">
        <f t="array" ref="AA117">IF(OR(AB117:AE117=""),"BLANK",IF(AND(AB117:AE117&lt;999),1,IF(AND(AB117:AE117="NA"),3,2)))</f>
        <v>1</v>
      </c>
      <c r="AB117" s="4">
        <v>31</v>
      </c>
      <c r="AC117" s="4">
        <v>21</v>
      </c>
      <c r="AD117" s="4">
        <v>12</v>
      </c>
      <c r="AE117" s="5">
        <v>64</v>
      </c>
      <c r="AF117" s="9">
        <f t="shared" si="1"/>
        <v>1</v>
      </c>
      <c r="AG117" s="5">
        <v>54</v>
      </c>
      <c r="AH117" s="9" cm="1">
        <f t="array" ref="AH117">IF(OR(AI117:AN117=""),"BLANK",IF(AND(AI117:AN117&lt;999),1,IF(AND(AI117:AN117="NA"),3,2)))</f>
        <v>1</v>
      </c>
      <c r="AI117" s="37">
        <v>43</v>
      </c>
      <c r="AJ117" s="37">
        <v>54</v>
      </c>
      <c r="AK117" s="37">
        <v>99</v>
      </c>
      <c r="AL117" s="37">
        <v>108</v>
      </c>
      <c r="AM117" s="37">
        <v>71</v>
      </c>
      <c r="AN117" s="38">
        <v>52</v>
      </c>
    </row>
    <row r="118" spans="1:40" x14ac:dyDescent="0.2">
      <c r="A118" s="16">
        <v>1370</v>
      </c>
      <c r="B118" s="4" t="s">
        <v>49</v>
      </c>
      <c r="C118" s="30" t="s">
        <v>23</v>
      </c>
      <c r="D118" s="30">
        <v>1</v>
      </c>
      <c r="E118" s="30">
        <v>0</v>
      </c>
      <c r="F118" s="54" t="s">
        <v>6</v>
      </c>
      <c r="G118" s="30">
        <v>30</v>
      </c>
      <c r="H118" s="33">
        <v>4.1396303901437372</v>
      </c>
      <c r="I118" s="33">
        <v>5.1006160164271046</v>
      </c>
      <c r="J118" s="33">
        <v>9.2402464065708418</v>
      </c>
      <c r="K118" s="33">
        <v>4.1396303901437372</v>
      </c>
      <c r="L118" s="33">
        <v>5.1006160164271046</v>
      </c>
      <c r="M118" s="33">
        <v>9.2402464065708418</v>
      </c>
      <c r="N118" s="33">
        <v>4.1560574948665296</v>
      </c>
      <c r="O118" s="33">
        <v>5.0431211498973303</v>
      </c>
      <c r="P118" s="33">
        <v>9.1991786447638599</v>
      </c>
      <c r="Q118" s="33" t="s">
        <v>7</v>
      </c>
      <c r="R118" s="33" t="s">
        <v>7</v>
      </c>
      <c r="S118" s="33" t="s">
        <v>7</v>
      </c>
      <c r="T118" s="4">
        <v>7</v>
      </c>
      <c r="U118" s="4">
        <v>21</v>
      </c>
      <c r="V118" s="4" t="s">
        <v>1</v>
      </c>
      <c r="W118" s="4">
        <v>1</v>
      </c>
      <c r="X118" s="4">
        <v>3</v>
      </c>
      <c r="Y118" s="4">
        <v>1</v>
      </c>
      <c r="Z118" s="56">
        <v>3</v>
      </c>
      <c r="AA118" s="9" cm="1">
        <f t="array" ref="AA118">IF(OR(AB118:AE118=""),"BLANK",IF(AND(AB118:AE118&lt;999),1,IF(AND(AB118:AE118="NA"),3,2)))</f>
        <v>1</v>
      </c>
      <c r="AB118" s="4">
        <v>32</v>
      </c>
      <c r="AC118" s="4">
        <v>23</v>
      </c>
      <c r="AD118" s="4">
        <v>15</v>
      </c>
      <c r="AE118" s="5">
        <v>70</v>
      </c>
      <c r="AF118" s="9">
        <f t="shared" si="1"/>
        <v>1</v>
      </c>
      <c r="AG118" s="5">
        <v>61</v>
      </c>
      <c r="AH118" s="9" cm="1">
        <f t="array" ref="AH118">IF(OR(AI118:AN118=""),"BLANK",IF(AND(AI118:AN118&lt;999),1,IF(AND(AI118:AN118="NA"),3,2)))</f>
        <v>1</v>
      </c>
      <c r="AI118" s="37">
        <v>53</v>
      </c>
      <c r="AJ118" s="37">
        <v>71</v>
      </c>
      <c r="AK118" s="37">
        <v>120</v>
      </c>
      <c r="AL118" s="37">
        <v>119</v>
      </c>
      <c r="AM118" s="37">
        <v>90</v>
      </c>
      <c r="AN118" s="38">
        <v>65</v>
      </c>
    </row>
    <row r="119" spans="1:40" x14ac:dyDescent="0.2">
      <c r="A119" s="16">
        <v>1402</v>
      </c>
      <c r="B119" s="4" t="s">
        <v>48</v>
      </c>
      <c r="C119" s="30" t="s">
        <v>24</v>
      </c>
      <c r="D119" s="30">
        <v>5</v>
      </c>
      <c r="E119" s="30">
        <v>0</v>
      </c>
      <c r="F119" s="54" t="s">
        <v>6</v>
      </c>
      <c r="G119" s="30">
        <v>29</v>
      </c>
      <c r="H119" s="33">
        <v>3.9726214921286789</v>
      </c>
      <c r="I119" s="33">
        <v>5.2238193018480494</v>
      </c>
      <c r="J119" s="33">
        <v>9.1964407939767288</v>
      </c>
      <c r="K119" s="33">
        <v>3.9726214921286789</v>
      </c>
      <c r="L119" s="33">
        <v>5.2238193018480494</v>
      </c>
      <c r="M119" s="33">
        <v>9.1964407939767288</v>
      </c>
      <c r="N119" s="33" t="s">
        <v>7</v>
      </c>
      <c r="O119" s="33" t="s">
        <v>7</v>
      </c>
      <c r="P119" s="33">
        <v>8.9117043121149901</v>
      </c>
      <c r="Q119" s="33" t="s">
        <v>7</v>
      </c>
      <c r="R119" s="33" t="s">
        <v>7</v>
      </c>
      <c r="S119" s="33" t="s">
        <v>7</v>
      </c>
      <c r="T119" s="4">
        <v>6</v>
      </c>
      <c r="U119" s="4">
        <v>18</v>
      </c>
      <c r="V119" s="4" t="s">
        <v>1</v>
      </c>
      <c r="W119" s="4">
        <v>1</v>
      </c>
      <c r="X119" s="4">
        <v>3</v>
      </c>
      <c r="Y119" s="4">
        <v>1</v>
      </c>
      <c r="Z119" s="56">
        <v>3</v>
      </c>
      <c r="AA119" s="9" cm="1">
        <f t="array" ref="AA119">IF(OR(AB119:AE119=""),"BLANK",IF(AND(AB119:AE119&lt;999),1,IF(AND(AB119:AE119="NA"),3,2)))</f>
        <v>1</v>
      </c>
      <c r="AB119" s="4">
        <v>29</v>
      </c>
      <c r="AC119" s="4">
        <v>20</v>
      </c>
      <c r="AD119" s="4">
        <v>14</v>
      </c>
      <c r="AE119" s="5">
        <v>63</v>
      </c>
      <c r="AF119" s="9">
        <f t="shared" si="1"/>
        <v>1</v>
      </c>
      <c r="AG119" s="5">
        <v>49</v>
      </c>
      <c r="AH119" s="9" cm="1">
        <f t="array" ref="AH119">IF(OR(AI119:AN119=""),"BLANK",IF(AND(AI119:AN119&lt;999),1,IF(AND(AI119:AN119="NA"),3,2)))</f>
        <v>1</v>
      </c>
      <c r="AI119" s="37">
        <v>25</v>
      </c>
      <c r="AJ119" s="37">
        <v>25</v>
      </c>
      <c r="AK119" s="37">
        <v>62</v>
      </c>
      <c r="AL119" s="37">
        <v>60</v>
      </c>
      <c r="AM119" s="37">
        <v>1</v>
      </c>
      <c r="AN119" s="38">
        <v>21</v>
      </c>
    </row>
    <row r="120" spans="1:40" x14ac:dyDescent="0.2">
      <c r="A120" s="16">
        <v>1431</v>
      </c>
      <c r="B120" s="4" t="s">
        <v>61</v>
      </c>
      <c r="C120" s="30" t="s">
        <v>23</v>
      </c>
      <c r="D120" s="30">
        <v>4</v>
      </c>
      <c r="E120" s="30">
        <v>0</v>
      </c>
      <c r="F120" s="54" t="s">
        <v>6</v>
      </c>
      <c r="G120" s="30">
        <v>30</v>
      </c>
      <c r="H120" s="33">
        <v>4.0629705681040384</v>
      </c>
      <c r="I120" s="33">
        <v>5.3086926762491444</v>
      </c>
      <c r="J120" s="33">
        <v>9.3716632443531829</v>
      </c>
      <c r="K120" s="33">
        <v>4.0629705681040384</v>
      </c>
      <c r="L120" s="33">
        <v>5.3086926762491444</v>
      </c>
      <c r="M120" s="33">
        <v>9.3716632443531829</v>
      </c>
      <c r="N120" s="33">
        <v>4.0328542094455848</v>
      </c>
      <c r="O120" s="33">
        <v>5.2292950034223136</v>
      </c>
      <c r="P120" s="33">
        <v>9.2621492128678984</v>
      </c>
      <c r="Q120" s="33">
        <v>3.7508555783709787</v>
      </c>
      <c r="R120" s="33">
        <v>5.292265571526352</v>
      </c>
      <c r="S120" s="33">
        <v>9.0431211498973312</v>
      </c>
      <c r="T120" s="4">
        <v>3</v>
      </c>
      <c r="U120" s="4">
        <v>14</v>
      </c>
      <c r="V120" s="4" t="s">
        <v>1</v>
      </c>
      <c r="W120" s="4">
        <v>1</v>
      </c>
      <c r="X120" s="4">
        <v>3</v>
      </c>
      <c r="Y120" s="4">
        <v>1</v>
      </c>
      <c r="Z120" s="56">
        <v>3</v>
      </c>
      <c r="AA120" s="9" cm="1">
        <f t="array" ref="AA120">IF(OR(AB120:AE120=""),"BLANK",IF(AND(AB120:AE120&lt;999),1,IF(AND(AB120:AE120="NA"),3,2)))</f>
        <v>1</v>
      </c>
      <c r="AB120" s="4">
        <v>32</v>
      </c>
      <c r="AC120" s="4">
        <v>20</v>
      </c>
      <c r="AD120" s="4">
        <v>17</v>
      </c>
      <c r="AE120" s="5">
        <v>69</v>
      </c>
      <c r="AF120" s="9">
        <f t="shared" si="1"/>
        <v>1</v>
      </c>
      <c r="AG120" s="5">
        <v>62</v>
      </c>
      <c r="AH120" s="9" cm="1">
        <f t="array" ref="AH120">IF(OR(AI120:AN120=""),"BLANK",IF(AND(AI120:AN120&lt;999),1,IF(AND(AI120:AN120="NA"),3,2)))</f>
        <v>1</v>
      </c>
      <c r="AI120" s="37">
        <v>56</v>
      </c>
      <c r="AJ120" s="37">
        <v>76</v>
      </c>
      <c r="AK120" s="37">
        <v>126</v>
      </c>
      <c r="AL120" s="37">
        <v>137</v>
      </c>
      <c r="AM120" s="37">
        <v>99</v>
      </c>
      <c r="AN120" s="38">
        <v>79</v>
      </c>
    </row>
    <row r="121" spans="1:40" x14ac:dyDescent="0.2">
      <c r="A121" s="16">
        <v>1439</v>
      </c>
      <c r="B121" s="4" t="s">
        <v>57</v>
      </c>
      <c r="C121" s="30" t="s">
        <v>23</v>
      </c>
      <c r="D121" s="30">
        <v>2</v>
      </c>
      <c r="E121" s="30">
        <v>0</v>
      </c>
      <c r="F121" s="54" t="s">
        <v>6</v>
      </c>
      <c r="G121" s="30">
        <v>29</v>
      </c>
      <c r="H121" s="33">
        <v>4.0711841204654347</v>
      </c>
      <c r="I121" s="33">
        <v>5.0951403148528405</v>
      </c>
      <c r="J121" s="33">
        <v>9.1663244353182751</v>
      </c>
      <c r="K121" s="33">
        <v>4.0602327173169064</v>
      </c>
      <c r="L121" s="33">
        <v>5.0951403148528405</v>
      </c>
      <c r="M121" s="33">
        <v>9.1553730321697468</v>
      </c>
      <c r="N121" s="33">
        <v>4.2546201232032859</v>
      </c>
      <c r="O121" s="33">
        <v>4.8377823408624234</v>
      </c>
      <c r="P121" s="33">
        <v>9.0924024640657084</v>
      </c>
      <c r="Q121" s="33" t="s">
        <v>7</v>
      </c>
      <c r="R121" s="33" t="s">
        <v>7</v>
      </c>
      <c r="S121" s="33" t="s">
        <v>7</v>
      </c>
      <c r="T121" s="4">
        <v>4</v>
      </c>
      <c r="U121" s="4">
        <v>16</v>
      </c>
      <c r="V121" s="4" t="s">
        <v>1</v>
      </c>
      <c r="W121" s="4">
        <v>1</v>
      </c>
      <c r="X121" s="4">
        <v>3</v>
      </c>
      <c r="Y121" s="4">
        <v>1</v>
      </c>
      <c r="Z121" s="56">
        <v>3</v>
      </c>
      <c r="AA121" s="9" cm="1">
        <f t="array" ref="AA121">IF(OR(AB121:AE121=""),"BLANK",IF(AND(AB121:AE121&lt;999),1,IF(AND(AB121:AE121="NA"),3,2)))</f>
        <v>1</v>
      </c>
      <c r="AB121" s="4">
        <v>36</v>
      </c>
      <c r="AC121" s="4">
        <v>24</v>
      </c>
      <c r="AD121" s="4">
        <v>14</v>
      </c>
      <c r="AE121" s="5">
        <v>74</v>
      </c>
      <c r="AF121" s="9">
        <f t="shared" si="1"/>
        <v>1</v>
      </c>
      <c r="AG121" s="5">
        <v>39</v>
      </c>
      <c r="AH121" s="9" cm="1">
        <f t="array" ref="AH121">IF(OR(AI121:AN121=""),"BLANK",IF(AND(AI121:AN121&lt;999),1,IF(AND(AI121:AN121="NA"),3,2)))</f>
        <v>1</v>
      </c>
      <c r="AI121" s="37">
        <v>39</v>
      </c>
      <c r="AJ121" s="37">
        <v>48</v>
      </c>
      <c r="AK121" s="37">
        <v>90</v>
      </c>
      <c r="AL121" s="37">
        <v>84</v>
      </c>
      <c r="AM121" s="37">
        <v>14</v>
      </c>
      <c r="AN121" s="38">
        <v>45</v>
      </c>
    </row>
    <row r="122" spans="1:40" x14ac:dyDescent="0.2">
      <c r="A122" s="16">
        <v>1452</v>
      </c>
      <c r="B122" s="4" t="s">
        <v>51</v>
      </c>
      <c r="C122" s="30" t="s">
        <v>24</v>
      </c>
      <c r="D122" s="30">
        <v>5</v>
      </c>
      <c r="E122" s="30">
        <v>0</v>
      </c>
      <c r="F122" s="54" t="s">
        <v>6</v>
      </c>
      <c r="G122" s="30">
        <v>30</v>
      </c>
      <c r="H122" s="33">
        <v>4.2354551676933605</v>
      </c>
      <c r="I122" s="33">
        <v>5.2292950034223136</v>
      </c>
      <c r="J122" s="33">
        <v>9.464750171115675</v>
      </c>
      <c r="K122" s="33">
        <v>4.2354551676933605</v>
      </c>
      <c r="L122" s="33">
        <v>5.2320328542094456</v>
      </c>
      <c r="M122" s="33">
        <v>9.4674880219028061</v>
      </c>
      <c r="N122" s="33">
        <v>4.1149897330595486</v>
      </c>
      <c r="O122" s="33">
        <v>5.2101300479123891</v>
      </c>
      <c r="P122" s="33">
        <v>9.3251197809719368</v>
      </c>
      <c r="Q122" s="33">
        <v>3.2881587953456535</v>
      </c>
      <c r="R122" s="33">
        <v>5.9630390143737166</v>
      </c>
      <c r="S122" s="33">
        <v>9.2511978097193701</v>
      </c>
      <c r="T122" s="4" t="s">
        <v>7</v>
      </c>
      <c r="U122" s="4" t="s">
        <v>7</v>
      </c>
      <c r="V122" s="4" t="s">
        <v>1</v>
      </c>
      <c r="W122" s="4">
        <v>1</v>
      </c>
      <c r="X122" s="4">
        <v>3</v>
      </c>
      <c r="Y122" s="4">
        <v>1</v>
      </c>
      <c r="Z122" s="56">
        <v>3</v>
      </c>
      <c r="AA122" s="9" cm="1">
        <f t="array" ref="AA122">IF(OR(AB122:AE122=""),"BLANK",IF(AND(AB122:AE122&lt;999),1,IF(AND(AB122:AE122="NA"),3,2)))</f>
        <v>1</v>
      </c>
      <c r="AB122" s="4">
        <v>33</v>
      </c>
      <c r="AC122" s="4">
        <v>20</v>
      </c>
      <c r="AD122" s="4">
        <v>15</v>
      </c>
      <c r="AE122" s="5">
        <v>68</v>
      </c>
      <c r="AF122" s="9">
        <f t="shared" si="1"/>
        <v>1</v>
      </c>
      <c r="AG122" s="5">
        <v>53</v>
      </c>
      <c r="AH122" s="9" cm="1">
        <f t="array" ref="AH122">IF(OR(AI122:AN122=""),"BLANK",IF(AND(AI122:AN122&lt;999),1,IF(AND(AI122:AN122="NA"),3,2)))</f>
        <v>1</v>
      </c>
      <c r="AI122" s="37">
        <v>51</v>
      </c>
      <c r="AJ122" s="37">
        <v>67</v>
      </c>
      <c r="AK122" s="37">
        <v>115</v>
      </c>
      <c r="AL122" s="37">
        <v>116</v>
      </c>
      <c r="AM122" s="37">
        <v>86</v>
      </c>
      <c r="AN122" s="38">
        <v>59</v>
      </c>
    </row>
    <row r="123" spans="1:40" x14ac:dyDescent="0.2">
      <c r="A123" s="16">
        <v>1467</v>
      </c>
      <c r="B123" s="4" t="s">
        <v>49</v>
      </c>
      <c r="C123" s="30" t="s">
        <v>23</v>
      </c>
      <c r="D123" s="30">
        <v>5</v>
      </c>
      <c r="E123" s="30">
        <v>0</v>
      </c>
      <c r="F123" s="54" t="s">
        <v>6</v>
      </c>
      <c r="G123" s="30">
        <v>30</v>
      </c>
      <c r="H123" s="33">
        <v>4.0054757015742641</v>
      </c>
      <c r="I123" s="33">
        <v>5.1800136892539355</v>
      </c>
      <c r="J123" s="33">
        <v>9.1854893908282005</v>
      </c>
      <c r="K123" s="33">
        <v>4.3887748117727581</v>
      </c>
      <c r="L123" s="33">
        <v>4.7967145790554415</v>
      </c>
      <c r="M123" s="33">
        <v>9.1854893908282005</v>
      </c>
      <c r="N123" s="33">
        <v>4.4106776180698155</v>
      </c>
      <c r="O123" s="33">
        <v>4.7912388774811774</v>
      </c>
      <c r="P123" s="33">
        <v>9.2019164955509929</v>
      </c>
      <c r="Q123" s="33" t="s">
        <v>7</v>
      </c>
      <c r="R123" s="33" t="s">
        <v>7</v>
      </c>
      <c r="S123" s="33" t="s">
        <v>7</v>
      </c>
      <c r="T123" s="4">
        <v>4</v>
      </c>
      <c r="U123" s="4">
        <v>16</v>
      </c>
      <c r="V123" s="4" t="s">
        <v>1</v>
      </c>
      <c r="W123" s="4">
        <v>1</v>
      </c>
      <c r="X123" s="4">
        <v>3</v>
      </c>
      <c r="Y123" s="4">
        <v>1</v>
      </c>
      <c r="Z123" s="56">
        <v>3</v>
      </c>
      <c r="AA123" s="9" cm="1">
        <f t="array" ref="AA123">IF(OR(AB123:AE123=""),"BLANK",IF(AND(AB123:AE123&lt;999),1,IF(AND(AB123:AE123="NA"),3,2)))</f>
        <v>1</v>
      </c>
      <c r="AB123" s="4">
        <v>32</v>
      </c>
      <c r="AC123" s="4">
        <v>18</v>
      </c>
      <c r="AD123" s="4">
        <v>10</v>
      </c>
      <c r="AE123" s="5">
        <v>60</v>
      </c>
      <c r="AF123" s="9">
        <f t="shared" si="1"/>
        <v>1</v>
      </c>
      <c r="AG123" s="5">
        <v>54</v>
      </c>
      <c r="AH123" s="9" cm="1">
        <f t="array" ref="AH123">IF(OR(AI123:AN123=""),"BLANK",IF(AND(AI123:AN123&lt;999),1,IF(AND(AI123:AN123="NA"),3,2)))</f>
        <v>1</v>
      </c>
      <c r="AI123" s="37">
        <v>47</v>
      </c>
      <c r="AJ123" s="37">
        <v>61</v>
      </c>
      <c r="AK123" s="37">
        <v>107</v>
      </c>
      <c r="AL123" s="37">
        <v>100</v>
      </c>
      <c r="AM123" s="37">
        <v>51</v>
      </c>
      <c r="AN123" s="38">
        <v>52</v>
      </c>
    </row>
    <row r="124" spans="1:40" x14ac:dyDescent="0.2">
      <c r="A124" s="16">
        <v>1468</v>
      </c>
      <c r="B124" s="4" t="s">
        <v>49</v>
      </c>
      <c r="C124" s="30" t="s">
        <v>24</v>
      </c>
      <c r="D124" s="30">
        <v>5</v>
      </c>
      <c r="E124" s="30">
        <v>0</v>
      </c>
      <c r="F124" s="54" t="s">
        <v>6</v>
      </c>
      <c r="G124" s="30">
        <v>30</v>
      </c>
      <c r="H124" s="33" t="s">
        <v>7</v>
      </c>
      <c r="I124" s="33" t="s">
        <v>7</v>
      </c>
      <c r="J124" s="33">
        <v>8.944558521560575</v>
      </c>
      <c r="K124" s="33" t="s">
        <v>7</v>
      </c>
      <c r="L124" s="33" t="s">
        <v>7</v>
      </c>
      <c r="M124" s="33">
        <v>9.2347707049965777</v>
      </c>
      <c r="N124" s="33" t="s">
        <v>7</v>
      </c>
      <c r="O124" s="33" t="s">
        <v>7</v>
      </c>
      <c r="P124" s="33" t="s">
        <v>7</v>
      </c>
      <c r="Q124" s="33" t="s">
        <v>7</v>
      </c>
      <c r="R124" s="33" t="s">
        <v>7</v>
      </c>
      <c r="S124" s="33" t="s">
        <v>7</v>
      </c>
      <c r="T124" s="4" t="s">
        <v>7</v>
      </c>
      <c r="U124" s="4" t="s">
        <v>7</v>
      </c>
      <c r="V124" s="4" t="s">
        <v>1</v>
      </c>
      <c r="W124" s="4">
        <v>1</v>
      </c>
      <c r="X124" s="4">
        <v>3</v>
      </c>
      <c r="Y124" s="4">
        <v>1</v>
      </c>
      <c r="Z124" s="56">
        <v>3</v>
      </c>
      <c r="AA124" s="9" cm="1">
        <f t="array" ref="AA124">IF(OR(AB124:AE124=""),"BLANK",IF(AND(AB124:AE124&lt;999),1,IF(AND(AB124:AE124="NA"),3,2)))</f>
        <v>1</v>
      </c>
      <c r="AB124" s="4">
        <v>34</v>
      </c>
      <c r="AC124" s="4">
        <v>16</v>
      </c>
      <c r="AD124" s="4">
        <v>11</v>
      </c>
      <c r="AE124" s="5">
        <v>61</v>
      </c>
      <c r="AF124" s="9">
        <f t="shared" si="1"/>
        <v>1</v>
      </c>
      <c r="AG124" s="5">
        <v>48</v>
      </c>
      <c r="AH124" s="9" cm="1">
        <f t="array" ref="AH124">IF(OR(AI124:AN124=""),"BLANK",IF(AND(AI124:AN124&lt;999),1,IF(AND(AI124:AN124="NA"),3,2)))</f>
        <v>1</v>
      </c>
      <c r="AI124" s="37">
        <v>53</v>
      </c>
      <c r="AJ124" s="37">
        <v>71</v>
      </c>
      <c r="AK124" s="37">
        <v>120</v>
      </c>
      <c r="AL124" s="37">
        <v>118</v>
      </c>
      <c r="AM124" s="37">
        <v>89</v>
      </c>
      <c r="AN124" s="38">
        <v>60</v>
      </c>
    </row>
    <row r="125" spans="1:40" x14ac:dyDescent="0.2">
      <c r="A125" s="16">
        <v>1476</v>
      </c>
      <c r="B125" s="4" t="s">
        <v>47</v>
      </c>
      <c r="C125" s="30" t="s">
        <v>24</v>
      </c>
      <c r="D125" s="30">
        <v>5</v>
      </c>
      <c r="E125" s="30">
        <v>0</v>
      </c>
      <c r="F125" s="54" t="s">
        <v>6</v>
      </c>
      <c r="G125" s="30">
        <v>27</v>
      </c>
      <c r="H125" s="33">
        <v>3.6331279945242985</v>
      </c>
      <c r="I125" s="33">
        <v>5.1362080766598224</v>
      </c>
      <c r="J125" s="33">
        <v>8.7693360711841208</v>
      </c>
      <c r="K125" s="33">
        <v>3.6331279945242985</v>
      </c>
      <c r="L125" s="33">
        <v>5.3689253935660508</v>
      </c>
      <c r="M125" s="33">
        <v>9.0020533880903493</v>
      </c>
      <c r="N125" s="33">
        <v>3.8110882956878851</v>
      </c>
      <c r="O125" s="33">
        <v>4.6789869952087608</v>
      </c>
      <c r="P125" s="33">
        <v>8.4900752908966464</v>
      </c>
      <c r="Q125" s="33">
        <v>3.2772073921971252</v>
      </c>
      <c r="R125" s="33">
        <v>5.8809034907597537</v>
      </c>
      <c r="S125" s="33">
        <v>9.158110882956878</v>
      </c>
      <c r="T125" s="4">
        <v>6</v>
      </c>
      <c r="U125" s="4">
        <v>18</v>
      </c>
      <c r="V125" s="4" t="s">
        <v>1</v>
      </c>
      <c r="W125" s="4">
        <v>1</v>
      </c>
      <c r="X125" s="4">
        <v>3</v>
      </c>
      <c r="Y125" s="4">
        <v>1</v>
      </c>
      <c r="Z125" s="56">
        <v>3</v>
      </c>
      <c r="AA125" s="9" cm="1">
        <f t="array" ref="AA125">IF(OR(AB125:AE125=""),"BLANK",IF(AND(AB125:AE125&lt;999),1,IF(AND(AB125:AE125="NA"),3,2)))</f>
        <v>1</v>
      </c>
      <c r="AB125" s="4">
        <v>22</v>
      </c>
      <c r="AC125" s="4">
        <v>15</v>
      </c>
      <c r="AD125" s="4">
        <v>11</v>
      </c>
      <c r="AE125" s="5">
        <v>48</v>
      </c>
      <c r="AF125" s="9">
        <f t="shared" si="1"/>
        <v>1</v>
      </c>
      <c r="AG125" s="5">
        <v>43</v>
      </c>
      <c r="AH125" s="9" cm="1">
        <f t="array" ref="AH125">IF(OR(AI125:AN125=""),"BLANK",IF(AND(AI125:AN125&lt;999),1,IF(AND(AI125:AN125="NA"),3,2)))</f>
        <v>1</v>
      </c>
      <c r="AI125" s="37">
        <v>37</v>
      </c>
      <c r="AJ125" s="37">
        <v>44</v>
      </c>
      <c r="AK125" s="37">
        <v>86</v>
      </c>
      <c r="AL125" s="37">
        <v>95</v>
      </c>
      <c r="AM125" s="37">
        <v>37</v>
      </c>
      <c r="AN125" s="38">
        <v>46</v>
      </c>
    </row>
    <row r="126" spans="1:40" x14ac:dyDescent="0.2">
      <c r="A126" s="16">
        <v>1484</v>
      </c>
      <c r="B126" s="4" t="s">
        <v>48</v>
      </c>
      <c r="C126" s="30" t="s">
        <v>24</v>
      </c>
      <c r="D126" s="30">
        <v>5</v>
      </c>
      <c r="E126" s="30">
        <v>0</v>
      </c>
      <c r="F126" s="54" t="s">
        <v>6</v>
      </c>
      <c r="G126" s="30">
        <v>27</v>
      </c>
      <c r="H126" s="33">
        <v>4.2847364818617386</v>
      </c>
      <c r="I126" s="33">
        <v>6.0013689253935665</v>
      </c>
      <c r="J126" s="33">
        <v>10.286105407255304</v>
      </c>
      <c r="K126" s="33">
        <v>4.2847364818617386</v>
      </c>
      <c r="L126" s="33">
        <v>6.0013689253935665</v>
      </c>
      <c r="M126" s="33">
        <v>10.286105407255304</v>
      </c>
      <c r="N126" s="33">
        <v>4.2628336755646821</v>
      </c>
      <c r="O126" s="33" t="s">
        <v>7</v>
      </c>
      <c r="P126" s="33" t="s">
        <v>7</v>
      </c>
      <c r="Q126" s="33">
        <v>4.128678986995209</v>
      </c>
      <c r="R126" s="33" t="s">
        <v>7</v>
      </c>
      <c r="S126" s="33" t="s">
        <v>7</v>
      </c>
      <c r="T126" s="4">
        <v>5</v>
      </c>
      <c r="U126" s="4">
        <v>17</v>
      </c>
      <c r="V126" s="4" t="s">
        <v>1</v>
      </c>
      <c r="W126" s="4">
        <v>1</v>
      </c>
      <c r="X126" s="4">
        <v>3</v>
      </c>
      <c r="Y126" s="4">
        <v>1</v>
      </c>
      <c r="Z126" s="56">
        <v>3</v>
      </c>
      <c r="AA126" s="9" cm="1">
        <f t="array" ref="AA126">IF(OR(AB126:AE126=""),"BLANK",IF(AND(AB126:AE126&lt;999),1,IF(AND(AB126:AE126="NA"),3,2)))</f>
        <v>1</v>
      </c>
      <c r="AB126" s="4">
        <v>33</v>
      </c>
      <c r="AC126" s="4">
        <v>20</v>
      </c>
      <c r="AD126" s="4">
        <v>11</v>
      </c>
      <c r="AE126" s="5">
        <v>64</v>
      </c>
      <c r="AF126" s="9">
        <f t="shared" si="1"/>
        <v>1</v>
      </c>
      <c r="AG126" s="5">
        <v>46</v>
      </c>
      <c r="AH126" s="9" cm="1">
        <f t="array" ref="AH126">IF(OR(AI126:AN126=""),"BLANK",IF(AND(AI126:AN126&lt;999),1,IF(AND(AI126:AN126="NA"),3,2)))</f>
        <v>3</v>
      </c>
      <c r="AI126" s="37" t="s">
        <v>7</v>
      </c>
      <c r="AJ126" s="37" t="s">
        <v>7</v>
      </c>
      <c r="AK126" s="37" t="s">
        <v>7</v>
      </c>
      <c r="AL126" s="37" t="s">
        <v>7</v>
      </c>
      <c r="AM126" s="37" t="s">
        <v>7</v>
      </c>
      <c r="AN126" s="38" t="s">
        <v>7</v>
      </c>
    </row>
    <row r="127" spans="1:40" x14ac:dyDescent="0.2">
      <c r="A127" s="16">
        <v>1543</v>
      </c>
      <c r="B127" s="4" t="s">
        <v>54</v>
      </c>
      <c r="C127" s="30" t="s">
        <v>24</v>
      </c>
      <c r="D127" s="30">
        <v>3</v>
      </c>
      <c r="E127" s="30">
        <v>0</v>
      </c>
      <c r="F127" s="54" t="s">
        <v>6</v>
      </c>
      <c r="G127" s="30">
        <v>30</v>
      </c>
      <c r="H127" s="33">
        <v>4.0985626283367553</v>
      </c>
      <c r="I127" s="33">
        <v>4.4955509924709105</v>
      </c>
      <c r="J127" s="33">
        <v>8.5941136208076667</v>
      </c>
      <c r="K127" s="33">
        <v>4.0903490759753591</v>
      </c>
      <c r="L127" s="33">
        <v>4.5037645448323067</v>
      </c>
      <c r="M127" s="33">
        <v>8.5941136208076667</v>
      </c>
      <c r="N127" s="33">
        <v>4.0711841204654347</v>
      </c>
      <c r="O127" s="33">
        <v>4.386036960985626</v>
      </c>
      <c r="P127" s="33">
        <v>8.4572210814510616</v>
      </c>
      <c r="Q127" s="33" t="s">
        <v>7</v>
      </c>
      <c r="R127" s="33" t="s">
        <v>7</v>
      </c>
      <c r="S127" s="33" t="s">
        <v>7</v>
      </c>
      <c r="T127" s="4">
        <v>6</v>
      </c>
      <c r="U127" s="4">
        <v>18</v>
      </c>
      <c r="V127" s="4" t="s">
        <v>1</v>
      </c>
      <c r="W127" s="4">
        <v>1</v>
      </c>
      <c r="X127" s="4">
        <v>3</v>
      </c>
      <c r="Y127" s="4">
        <v>1</v>
      </c>
      <c r="Z127" s="56">
        <v>3</v>
      </c>
      <c r="AA127" s="9" cm="1">
        <f t="array" ref="AA127">IF(OR(AB127:AE127=""),"BLANK",IF(AND(AB127:AE127&lt;999),1,IF(AND(AB127:AE127="NA"),3,2)))</f>
        <v>1</v>
      </c>
      <c r="AB127" s="4">
        <v>37</v>
      </c>
      <c r="AC127" s="4">
        <v>27</v>
      </c>
      <c r="AD127" s="4">
        <v>17</v>
      </c>
      <c r="AE127" s="5">
        <v>81</v>
      </c>
      <c r="AF127" s="9">
        <f t="shared" si="1"/>
        <v>1</v>
      </c>
      <c r="AG127" s="5">
        <v>72</v>
      </c>
      <c r="AH127" s="9" cm="1">
        <f t="array" ref="AH127">IF(OR(AI127:AN127=""),"BLANK",IF(AND(AI127:AN127&lt;999),1,IF(AND(AI127:AN127="NA"),3,2)))</f>
        <v>1</v>
      </c>
      <c r="AI127" s="37">
        <v>53</v>
      </c>
      <c r="AJ127" s="37">
        <v>71</v>
      </c>
      <c r="AK127" s="37">
        <v>120</v>
      </c>
      <c r="AL127" s="37">
        <v>132</v>
      </c>
      <c r="AM127" s="37">
        <v>98</v>
      </c>
      <c r="AN127" s="38">
        <v>69</v>
      </c>
    </row>
    <row r="128" spans="1:40" x14ac:dyDescent="0.2">
      <c r="A128" s="16">
        <v>1577</v>
      </c>
      <c r="B128" s="4" t="s">
        <v>63</v>
      </c>
      <c r="C128" s="30" t="s">
        <v>23</v>
      </c>
      <c r="D128" s="30">
        <v>5</v>
      </c>
      <c r="E128" s="30">
        <v>0</v>
      </c>
      <c r="F128" s="54" t="s">
        <v>6</v>
      </c>
      <c r="G128" s="30">
        <v>30</v>
      </c>
      <c r="H128" s="33">
        <v>4.1478439425051334</v>
      </c>
      <c r="I128" s="33">
        <v>4.7994524298425736</v>
      </c>
      <c r="J128" s="33">
        <v>8.9472963723477079</v>
      </c>
      <c r="K128" s="33">
        <v>4.1478439425051334</v>
      </c>
      <c r="L128" s="33">
        <v>4.7994524298425736</v>
      </c>
      <c r="M128" s="33">
        <v>8.9472963723477079</v>
      </c>
      <c r="N128" s="33">
        <v>4.1670088980150579</v>
      </c>
      <c r="O128" s="33">
        <v>4.5749486652977414</v>
      </c>
      <c r="P128" s="33">
        <v>8.7419575633128002</v>
      </c>
      <c r="Q128" s="33" t="s">
        <v>7</v>
      </c>
      <c r="R128" s="33" t="s">
        <v>7</v>
      </c>
      <c r="S128" s="33" t="s">
        <v>7</v>
      </c>
      <c r="T128" s="4">
        <v>4</v>
      </c>
      <c r="U128" s="4">
        <v>16</v>
      </c>
      <c r="V128" s="4" t="s">
        <v>1</v>
      </c>
      <c r="W128" s="4">
        <v>1</v>
      </c>
      <c r="X128" s="4">
        <v>3</v>
      </c>
      <c r="Y128" s="4">
        <v>1</v>
      </c>
      <c r="Z128" s="56">
        <v>3</v>
      </c>
      <c r="AA128" s="9" cm="1">
        <f t="array" ref="AA128">IF(OR(AB128:AE128=""),"BLANK",IF(AND(AB128:AE128&lt;999),1,IF(AND(AB128:AE128="NA"),3,2)))</f>
        <v>1</v>
      </c>
      <c r="AB128" s="4">
        <v>42</v>
      </c>
      <c r="AC128" s="4">
        <v>19</v>
      </c>
      <c r="AD128" s="4">
        <v>14</v>
      </c>
      <c r="AE128" s="5">
        <v>75</v>
      </c>
      <c r="AF128" s="9">
        <f t="shared" si="1"/>
        <v>1</v>
      </c>
      <c r="AG128" s="5">
        <v>72</v>
      </c>
      <c r="AH128" s="9" cm="1">
        <f t="array" ref="AH128">IF(OR(AI128:AN128=""),"BLANK",IF(AND(AI128:AN128&lt;999),1,IF(AND(AI128:AN128="NA"),3,2)))</f>
        <v>1</v>
      </c>
      <c r="AI128" s="37">
        <v>63</v>
      </c>
      <c r="AJ128" s="37">
        <v>87</v>
      </c>
      <c r="AK128" s="37">
        <v>140</v>
      </c>
      <c r="AL128" s="37">
        <v>143</v>
      </c>
      <c r="AM128" s="37">
        <v>99</v>
      </c>
      <c r="AN128" s="38">
        <v>75</v>
      </c>
    </row>
    <row r="129" spans="1:40" x14ac:dyDescent="0.2">
      <c r="A129" s="16">
        <v>1591</v>
      </c>
      <c r="B129" s="4" t="s">
        <v>65</v>
      </c>
      <c r="C129" s="30" t="s">
        <v>23</v>
      </c>
      <c r="D129" s="30">
        <v>5</v>
      </c>
      <c r="E129" s="30">
        <v>0</v>
      </c>
      <c r="F129" s="54" t="s">
        <v>6</v>
      </c>
      <c r="G129" s="30">
        <v>30</v>
      </c>
      <c r="H129" s="33">
        <v>3.7481177275838466</v>
      </c>
      <c r="I129" s="33">
        <v>5.207392197125257</v>
      </c>
      <c r="J129" s="33">
        <v>8.9555099247091032</v>
      </c>
      <c r="K129" s="33">
        <v>3.761806981519507</v>
      </c>
      <c r="L129" s="33">
        <v>5.1937029431895958</v>
      </c>
      <c r="M129" s="33">
        <v>8.9555099247091032</v>
      </c>
      <c r="N129" s="33">
        <v>3.7453798767967146</v>
      </c>
      <c r="O129" s="33">
        <v>5.1498973305954827</v>
      </c>
      <c r="P129" s="33">
        <v>8.8952772073921977</v>
      </c>
      <c r="Q129" s="33">
        <v>3.5071868583162216</v>
      </c>
      <c r="R129" s="33" t="s">
        <v>7</v>
      </c>
      <c r="S129" s="33" t="s">
        <v>7</v>
      </c>
      <c r="T129" s="4">
        <v>4</v>
      </c>
      <c r="U129" s="4">
        <v>16</v>
      </c>
      <c r="V129" s="4" t="s">
        <v>1</v>
      </c>
      <c r="W129" s="4">
        <v>1</v>
      </c>
      <c r="X129" s="4">
        <v>3</v>
      </c>
      <c r="Y129" s="4">
        <v>1</v>
      </c>
      <c r="Z129" s="56">
        <v>3</v>
      </c>
      <c r="AA129" s="9" cm="1">
        <f t="array" ref="AA129">IF(OR(AB129:AE129=""),"BLANK",IF(AND(AB129:AE129&lt;999),1,IF(AND(AB129:AE129="NA"),3,2)))</f>
        <v>1</v>
      </c>
      <c r="AB129" s="4">
        <v>28</v>
      </c>
      <c r="AC129" s="4">
        <v>18</v>
      </c>
      <c r="AD129" s="4">
        <v>11</v>
      </c>
      <c r="AE129" s="5">
        <v>57</v>
      </c>
      <c r="AF129" s="9">
        <f t="shared" si="1"/>
        <v>1</v>
      </c>
      <c r="AG129" s="5">
        <v>43</v>
      </c>
      <c r="AH129" s="9" cm="1">
        <f t="array" ref="AH129">IF(OR(AI129:AN129=""),"BLANK",IF(AND(AI129:AN129&lt;999),1,IF(AND(AI129:AN129="NA"),3,2)))</f>
        <v>1</v>
      </c>
      <c r="AI129" s="37">
        <v>26</v>
      </c>
      <c r="AJ129" s="37">
        <v>26</v>
      </c>
      <c r="AK129" s="37">
        <v>63</v>
      </c>
      <c r="AL129" s="37">
        <v>66</v>
      </c>
      <c r="AM129" s="37">
        <v>1</v>
      </c>
      <c r="AN129" s="38">
        <v>21</v>
      </c>
    </row>
    <row r="130" spans="1:40" x14ac:dyDescent="0.2">
      <c r="A130" s="16">
        <v>1613</v>
      </c>
      <c r="B130" s="4" t="s">
        <v>52</v>
      </c>
      <c r="C130" s="30" t="s">
        <v>24</v>
      </c>
      <c r="D130" s="30">
        <v>5</v>
      </c>
      <c r="E130" s="30">
        <v>0</v>
      </c>
      <c r="F130" s="54" t="s">
        <v>6</v>
      </c>
      <c r="G130" s="30">
        <v>28</v>
      </c>
      <c r="H130" s="33">
        <v>3.7672826830937716</v>
      </c>
      <c r="I130" s="33">
        <v>5.0978781656399725</v>
      </c>
      <c r="J130" s="33">
        <v>8.8651608487337441</v>
      </c>
      <c r="K130" s="33">
        <v>3.7672826830937716</v>
      </c>
      <c r="L130" s="33">
        <v>5.2320328542094456</v>
      </c>
      <c r="M130" s="33">
        <v>8.9993155373032163</v>
      </c>
      <c r="N130" s="33" t="s">
        <v>7</v>
      </c>
      <c r="O130" s="33" t="s">
        <v>7</v>
      </c>
      <c r="P130" s="33" t="s">
        <v>7</v>
      </c>
      <c r="Q130" s="33">
        <v>3.3182751540041067</v>
      </c>
      <c r="R130" s="33" t="s">
        <v>7</v>
      </c>
      <c r="S130" s="33" t="s">
        <v>7</v>
      </c>
      <c r="T130" s="4">
        <v>4</v>
      </c>
      <c r="U130" s="4">
        <v>16</v>
      </c>
      <c r="V130" s="4" t="s">
        <v>1</v>
      </c>
      <c r="W130" s="4">
        <v>1</v>
      </c>
      <c r="X130" s="4">
        <v>3</v>
      </c>
      <c r="Y130" s="4">
        <v>1</v>
      </c>
      <c r="Z130" s="56">
        <v>3</v>
      </c>
      <c r="AA130" s="9" cm="1">
        <f t="array" ref="AA130">IF(OR(AB130:AE130=""),"BLANK",IF(AND(AB130:AE130&lt;999),1,IF(AND(AB130:AE130="NA"),3,2)))</f>
        <v>1</v>
      </c>
      <c r="AB130" s="4">
        <v>16</v>
      </c>
      <c r="AC130" s="4">
        <v>11</v>
      </c>
      <c r="AD130" s="4">
        <v>7</v>
      </c>
      <c r="AE130" s="5">
        <v>34</v>
      </c>
      <c r="AF130" s="9">
        <f t="shared" ref="AF130:AF193" si="2">IF(OR(AG130="NA", AG130="xx"), 3,1)</f>
        <v>1</v>
      </c>
      <c r="AG130" s="5">
        <v>33</v>
      </c>
      <c r="AH130" s="9" cm="1">
        <f t="array" ref="AH130">IF(OR(AI130:AN130=""),"BLANK",IF(AND(AI130:AN130&lt;999),1,IF(AND(AI130:AN130="NA"),3,2)))</f>
        <v>1</v>
      </c>
      <c r="AI130" s="37">
        <v>27</v>
      </c>
      <c r="AJ130" s="37">
        <v>28</v>
      </c>
      <c r="AK130" s="37">
        <v>65</v>
      </c>
      <c r="AL130" s="37">
        <v>72</v>
      </c>
      <c r="AM130" s="37">
        <v>3</v>
      </c>
      <c r="AN130" s="38">
        <v>31</v>
      </c>
    </row>
    <row r="131" spans="1:40" x14ac:dyDescent="0.2">
      <c r="A131" s="16">
        <v>1615</v>
      </c>
      <c r="B131" s="4" t="s">
        <v>50</v>
      </c>
      <c r="C131" s="30" t="s">
        <v>23</v>
      </c>
      <c r="D131" s="30">
        <v>5</v>
      </c>
      <c r="E131" s="30">
        <v>0</v>
      </c>
      <c r="F131" s="54" t="s">
        <v>6</v>
      </c>
      <c r="G131" s="30">
        <v>29</v>
      </c>
      <c r="H131" s="33">
        <v>4.1396303901437372</v>
      </c>
      <c r="I131" s="33">
        <v>4.7720739219712529</v>
      </c>
      <c r="J131" s="33">
        <v>8.9117043121149901</v>
      </c>
      <c r="K131" s="33">
        <v>4.1396303901437372</v>
      </c>
      <c r="L131" s="33">
        <v>4.7720739219712529</v>
      </c>
      <c r="M131" s="33">
        <v>8.9117043121149901</v>
      </c>
      <c r="N131" s="33">
        <v>4.0136892539356603</v>
      </c>
      <c r="O131" s="33">
        <v>4.5749486652977414</v>
      </c>
      <c r="P131" s="33">
        <v>8.5886379192334026</v>
      </c>
      <c r="Q131" s="33">
        <v>3.2580424366872007</v>
      </c>
      <c r="R131" s="33">
        <v>5.9219712525667347</v>
      </c>
      <c r="S131" s="33">
        <v>9.1800136892539363</v>
      </c>
      <c r="T131" s="4">
        <v>4</v>
      </c>
      <c r="U131" s="4">
        <v>16</v>
      </c>
      <c r="V131" s="4" t="s">
        <v>1</v>
      </c>
      <c r="W131" s="4">
        <v>1</v>
      </c>
      <c r="X131" s="4">
        <v>3</v>
      </c>
      <c r="Y131" s="4">
        <v>1</v>
      </c>
      <c r="Z131" s="56">
        <v>3</v>
      </c>
      <c r="AA131" s="9" cm="1">
        <f t="array" ref="AA131">IF(OR(AB131:AE131=""),"BLANK",IF(AND(AB131:AE131&lt;999),1,IF(AND(AB131:AE131="NA"),3,2)))</f>
        <v>1</v>
      </c>
      <c r="AB131" s="4">
        <v>37</v>
      </c>
      <c r="AC131" s="4">
        <v>23</v>
      </c>
      <c r="AD131" s="4">
        <v>16</v>
      </c>
      <c r="AE131" s="5">
        <v>76</v>
      </c>
      <c r="AF131" s="9">
        <f t="shared" si="2"/>
        <v>1</v>
      </c>
      <c r="AG131" s="5">
        <v>59</v>
      </c>
      <c r="AH131" s="9" cm="1">
        <f t="array" ref="AH131">IF(OR(AI131:AN131=""),"BLANK",IF(AND(AI131:AN131&lt;999),1,IF(AND(AI131:AN131="NA"),3,2)))</f>
        <v>1</v>
      </c>
      <c r="AI131" s="37">
        <v>37</v>
      </c>
      <c r="AJ131" s="37">
        <v>44</v>
      </c>
      <c r="AK131" s="37">
        <v>86</v>
      </c>
      <c r="AL131" s="37">
        <v>83</v>
      </c>
      <c r="AM131" s="37">
        <v>13</v>
      </c>
      <c r="AN131" s="38">
        <v>34</v>
      </c>
    </row>
    <row r="132" spans="1:40" x14ac:dyDescent="0.2">
      <c r="A132" s="16">
        <v>1617</v>
      </c>
      <c r="B132" s="4" t="s">
        <v>65</v>
      </c>
      <c r="C132" s="30" t="s">
        <v>23</v>
      </c>
      <c r="D132" s="30">
        <v>5</v>
      </c>
      <c r="E132" s="30">
        <v>0</v>
      </c>
      <c r="F132" s="54" t="s">
        <v>6</v>
      </c>
      <c r="G132" s="30">
        <v>30</v>
      </c>
      <c r="H132" s="33">
        <v>4.0082135523613962</v>
      </c>
      <c r="I132" s="33">
        <v>4.9226557152635184</v>
      </c>
      <c r="J132" s="33">
        <v>8.9308692676249137</v>
      </c>
      <c r="K132" s="33">
        <v>4.0082135523613962</v>
      </c>
      <c r="L132" s="33">
        <v>4.9226557152635184</v>
      </c>
      <c r="M132" s="33">
        <v>8.9308692676249137</v>
      </c>
      <c r="N132" s="33" t="s">
        <v>7</v>
      </c>
      <c r="O132" s="33" t="s">
        <v>7</v>
      </c>
      <c r="P132" s="33" t="s">
        <v>7</v>
      </c>
      <c r="Q132" s="33" t="s">
        <v>7</v>
      </c>
      <c r="R132" s="33" t="s">
        <v>7</v>
      </c>
      <c r="S132" s="33" t="s">
        <v>7</v>
      </c>
      <c r="T132" s="4">
        <v>3</v>
      </c>
      <c r="U132" s="4">
        <v>14</v>
      </c>
      <c r="V132" s="4" t="s">
        <v>1</v>
      </c>
      <c r="W132" s="4">
        <v>1</v>
      </c>
      <c r="X132" s="4">
        <v>3</v>
      </c>
      <c r="Y132" s="4">
        <v>1</v>
      </c>
      <c r="Z132" s="56">
        <v>3</v>
      </c>
      <c r="AA132" s="9" cm="1">
        <f t="array" ref="AA132">IF(OR(AB132:AE132=""),"BLANK",IF(AND(AB132:AE132&lt;999),1,IF(AND(AB132:AE132="NA"),3,2)))</f>
        <v>1</v>
      </c>
      <c r="AB132" s="4">
        <v>29</v>
      </c>
      <c r="AC132" s="4">
        <v>18</v>
      </c>
      <c r="AD132" s="4">
        <v>14</v>
      </c>
      <c r="AE132" s="5">
        <v>61</v>
      </c>
      <c r="AF132" s="9">
        <f t="shared" si="2"/>
        <v>1</v>
      </c>
      <c r="AG132" s="5">
        <v>51</v>
      </c>
      <c r="AH132" s="9" cm="1">
        <f t="array" ref="AH132">IF(OR(AI132:AN132=""),"BLANK",IF(AND(AI132:AN132&lt;999),1,IF(AND(AI132:AN132="NA"),3,2)))</f>
        <v>1</v>
      </c>
      <c r="AI132" s="37">
        <v>48</v>
      </c>
      <c r="AJ132" s="37">
        <v>62</v>
      </c>
      <c r="AK132" s="37">
        <v>109</v>
      </c>
      <c r="AL132" s="37">
        <v>136</v>
      </c>
      <c r="AM132" s="37">
        <v>99</v>
      </c>
      <c r="AN132" s="38">
        <v>75</v>
      </c>
    </row>
    <row r="133" spans="1:40" x14ac:dyDescent="0.2">
      <c r="A133" s="16">
        <v>1656</v>
      </c>
      <c r="B133" s="4" t="s">
        <v>71</v>
      </c>
      <c r="C133" s="30" t="s">
        <v>23</v>
      </c>
      <c r="D133" s="30">
        <v>5</v>
      </c>
      <c r="E133" s="30">
        <v>0</v>
      </c>
      <c r="F133" s="54" t="s">
        <v>6</v>
      </c>
      <c r="G133" s="30">
        <v>27</v>
      </c>
      <c r="H133" s="33">
        <v>3.676933607118412</v>
      </c>
      <c r="I133" s="33">
        <v>5.3114305270362765</v>
      </c>
      <c r="J133" s="33">
        <v>8.988364134154688</v>
      </c>
      <c r="K133" s="33">
        <v>3.6960985626283369</v>
      </c>
      <c r="L133" s="33">
        <v>5.292265571526352</v>
      </c>
      <c r="M133" s="33">
        <v>8.988364134154688</v>
      </c>
      <c r="N133" s="33">
        <v>3.7125256673511293</v>
      </c>
      <c r="O133" s="33">
        <v>5.2950034223134841</v>
      </c>
      <c r="P133" s="33">
        <v>9.0075290896646134</v>
      </c>
      <c r="Q133" s="33">
        <v>3.4469541409993156</v>
      </c>
      <c r="R133" s="33">
        <v>5.848049281314168</v>
      </c>
      <c r="S133" s="33">
        <v>9.2950034223134832</v>
      </c>
      <c r="T133" s="4" t="s">
        <v>7</v>
      </c>
      <c r="U133" s="4" t="s">
        <v>7</v>
      </c>
      <c r="V133" s="4" t="s">
        <v>1</v>
      </c>
      <c r="W133" s="4">
        <v>1</v>
      </c>
      <c r="X133" s="4">
        <v>3</v>
      </c>
      <c r="Y133" s="4">
        <v>1</v>
      </c>
      <c r="Z133" s="56">
        <v>3</v>
      </c>
      <c r="AA133" s="9" cm="1">
        <f t="array" ref="AA133">IF(OR(AB133:AE133=""),"BLANK",IF(AND(AB133:AE133&lt;999),1,IF(AND(AB133:AE133="NA"),3,2)))</f>
        <v>1</v>
      </c>
      <c r="AB133" s="4">
        <v>25</v>
      </c>
      <c r="AC133" s="4">
        <v>14</v>
      </c>
      <c r="AD133" s="4">
        <v>9</v>
      </c>
      <c r="AE133" s="5">
        <v>48</v>
      </c>
      <c r="AF133" s="9">
        <f t="shared" si="2"/>
        <v>1</v>
      </c>
      <c r="AG133" s="5">
        <v>39</v>
      </c>
      <c r="AH133" s="9" cm="1">
        <f t="array" ref="AH133">IF(OR(AI133:AN133=""),"BLANK",IF(AND(AI133:AN133&lt;999),1,IF(AND(AI133:AN133="NA"),3,2)))</f>
        <v>2</v>
      </c>
      <c r="AI133" s="37">
        <v>27</v>
      </c>
      <c r="AJ133" s="37">
        <v>28</v>
      </c>
      <c r="AK133" s="37">
        <v>65</v>
      </c>
      <c r="AL133" s="37" t="s">
        <v>7</v>
      </c>
      <c r="AM133" s="37" t="s">
        <v>7</v>
      </c>
      <c r="AN133" s="38" t="s">
        <v>7</v>
      </c>
    </row>
    <row r="134" spans="1:40" x14ac:dyDescent="0.2">
      <c r="A134" s="16">
        <v>1664</v>
      </c>
      <c r="B134" s="4" t="s">
        <v>64</v>
      </c>
      <c r="C134" s="30" t="s">
        <v>24</v>
      </c>
      <c r="D134" s="30">
        <v>5</v>
      </c>
      <c r="E134" s="30">
        <v>0</v>
      </c>
      <c r="F134" s="54" t="s">
        <v>6</v>
      </c>
      <c r="G134" s="30">
        <v>30</v>
      </c>
      <c r="H134" s="33">
        <v>3.8165639972621492</v>
      </c>
      <c r="I134" s="33">
        <v>5.415468856947296</v>
      </c>
      <c r="J134" s="33">
        <v>9.2320328542094447</v>
      </c>
      <c r="K134" s="33">
        <v>3.8329911019849416</v>
      </c>
      <c r="L134" s="33">
        <v>5.4017796030116356</v>
      </c>
      <c r="M134" s="33">
        <v>9.2347707049965777</v>
      </c>
      <c r="N134" s="33">
        <v>3.7809719370294319</v>
      </c>
      <c r="O134" s="33" t="s">
        <v>7</v>
      </c>
      <c r="P134" s="33" t="s">
        <v>7</v>
      </c>
      <c r="Q134" s="33">
        <v>3.3100616016427105</v>
      </c>
      <c r="R134" s="33" t="s">
        <v>7</v>
      </c>
      <c r="S134" s="33" t="s">
        <v>7</v>
      </c>
      <c r="T134" s="4" t="s">
        <v>7</v>
      </c>
      <c r="U134" s="4" t="s">
        <v>7</v>
      </c>
      <c r="V134" s="4" t="s">
        <v>1</v>
      </c>
      <c r="W134" s="4">
        <v>1</v>
      </c>
      <c r="X134" s="4">
        <v>3</v>
      </c>
      <c r="Y134" s="4">
        <v>1</v>
      </c>
      <c r="Z134" s="56">
        <v>3</v>
      </c>
      <c r="AA134" s="9" cm="1">
        <f t="array" ref="AA134">IF(OR(AB134:AE134=""),"BLANK",IF(AND(AB134:AE134&lt;999),1,IF(AND(AB134:AE134="NA"),3,2)))</f>
        <v>1</v>
      </c>
      <c r="AB134" s="4">
        <v>25</v>
      </c>
      <c r="AC134" s="4">
        <v>19</v>
      </c>
      <c r="AD134" s="4">
        <v>13</v>
      </c>
      <c r="AE134" s="5">
        <v>57</v>
      </c>
      <c r="AF134" s="9">
        <f t="shared" si="2"/>
        <v>1</v>
      </c>
      <c r="AG134" s="5">
        <v>38</v>
      </c>
      <c r="AH134" s="9" cm="1">
        <f t="array" ref="AH134">IF(OR(AI134:AN134=""),"BLANK",IF(AND(AI134:AN134&lt;999),1,IF(AND(AI134:AN134="NA"),3,2)))</f>
        <v>1</v>
      </c>
      <c r="AI134" s="37">
        <v>42</v>
      </c>
      <c r="AJ134" s="37">
        <v>53</v>
      </c>
      <c r="AK134" s="37">
        <v>97</v>
      </c>
      <c r="AL134" s="37">
        <v>116</v>
      </c>
      <c r="AM134" s="37">
        <v>86</v>
      </c>
      <c r="AN134" s="38">
        <v>60</v>
      </c>
    </row>
    <row r="135" spans="1:40" x14ac:dyDescent="0.2">
      <c r="A135" s="16">
        <v>1685</v>
      </c>
      <c r="B135" s="4" t="s">
        <v>48</v>
      </c>
      <c r="C135" s="30" t="s">
        <v>23</v>
      </c>
      <c r="D135" s="30">
        <v>5</v>
      </c>
      <c r="E135" s="30">
        <v>0</v>
      </c>
      <c r="F135" s="54" t="s">
        <v>6</v>
      </c>
      <c r="G135" s="30">
        <v>28</v>
      </c>
      <c r="H135" s="33">
        <v>3.7152635181382614</v>
      </c>
      <c r="I135" s="33">
        <v>5.0978781656399725</v>
      </c>
      <c r="J135" s="33">
        <v>8.8131416837782339</v>
      </c>
      <c r="K135" s="33">
        <v>3.7180013689253935</v>
      </c>
      <c r="L135" s="33">
        <v>5.0951403148528405</v>
      </c>
      <c r="M135" s="33">
        <v>8.8131416837782339</v>
      </c>
      <c r="N135" s="33">
        <v>3.8329911019849416</v>
      </c>
      <c r="O135" s="33">
        <v>4.6926762491444221</v>
      </c>
      <c r="P135" s="33">
        <v>8.5256673511293641</v>
      </c>
      <c r="Q135" s="33">
        <v>3.378507871321013</v>
      </c>
      <c r="R135" s="33">
        <v>5.8945927446954141</v>
      </c>
      <c r="S135" s="33">
        <v>9.2731006160164267</v>
      </c>
      <c r="T135" s="4">
        <v>6</v>
      </c>
      <c r="U135" s="4">
        <v>18</v>
      </c>
      <c r="V135" s="4" t="s">
        <v>1</v>
      </c>
      <c r="W135" s="4">
        <v>1</v>
      </c>
      <c r="X135" s="4">
        <v>3</v>
      </c>
      <c r="Y135" s="4">
        <v>1</v>
      </c>
      <c r="Z135" s="56">
        <v>3</v>
      </c>
      <c r="AA135" s="9" cm="1">
        <f t="array" ref="AA135">IF(OR(AB135:AE135=""),"BLANK",IF(AND(AB135:AE135&lt;999),1,IF(AND(AB135:AE135="NA"),3,2)))</f>
        <v>1</v>
      </c>
      <c r="AB135" s="4">
        <v>40</v>
      </c>
      <c r="AC135" s="4">
        <v>29</v>
      </c>
      <c r="AD135" s="4">
        <v>17</v>
      </c>
      <c r="AE135" s="5">
        <v>86</v>
      </c>
      <c r="AF135" s="9">
        <f t="shared" si="2"/>
        <v>1</v>
      </c>
      <c r="AG135" s="5">
        <v>68</v>
      </c>
      <c r="AH135" s="9" cm="1">
        <f t="array" ref="AH135">IF(OR(AI135:AN135=""),"BLANK",IF(AND(AI135:AN135&lt;999),1,IF(AND(AI135:AN135="NA"),3,2)))</f>
        <v>1</v>
      </c>
      <c r="AI135" s="37">
        <v>49</v>
      </c>
      <c r="AJ135" s="37">
        <v>64</v>
      </c>
      <c r="AK135" s="37">
        <v>111</v>
      </c>
      <c r="AL135" s="37">
        <v>126</v>
      </c>
      <c r="AM135" s="37">
        <v>96</v>
      </c>
      <c r="AN135" s="38">
        <v>67</v>
      </c>
    </row>
    <row r="136" spans="1:40" x14ac:dyDescent="0.2">
      <c r="A136" s="16">
        <v>1751</v>
      </c>
      <c r="B136" s="4" t="s">
        <v>62</v>
      </c>
      <c r="C136" s="30" t="s">
        <v>24</v>
      </c>
      <c r="D136" s="30">
        <v>5</v>
      </c>
      <c r="E136" s="30">
        <v>0</v>
      </c>
      <c r="F136" s="54" t="s">
        <v>6</v>
      </c>
      <c r="G136" s="30">
        <v>30</v>
      </c>
      <c r="H136" s="33">
        <v>3.8193018480492813</v>
      </c>
      <c r="I136" s="33">
        <v>5.0650239561943877</v>
      </c>
      <c r="J136" s="33">
        <v>8.8843258042436695</v>
      </c>
      <c r="K136" s="33">
        <v>3.8138261464750172</v>
      </c>
      <c r="L136" s="33">
        <v>5.0650239561943877</v>
      </c>
      <c r="M136" s="33">
        <v>8.8788501026694053</v>
      </c>
      <c r="N136" s="33">
        <v>3.7371663244353184</v>
      </c>
      <c r="O136" s="33">
        <v>4.7802874743326491</v>
      </c>
      <c r="P136" s="33">
        <v>8.517453798767967</v>
      </c>
      <c r="Q136" s="33">
        <v>4.0164271047227924</v>
      </c>
      <c r="R136" s="33">
        <v>5.3826146475017111</v>
      </c>
      <c r="S136" s="33">
        <v>9.3990417522245036</v>
      </c>
      <c r="T136" s="4">
        <v>4</v>
      </c>
      <c r="U136" s="4">
        <v>16</v>
      </c>
      <c r="V136" s="4" t="s">
        <v>1</v>
      </c>
      <c r="W136" s="4">
        <v>1</v>
      </c>
      <c r="X136" s="4">
        <v>3</v>
      </c>
      <c r="Y136" s="4">
        <v>1</v>
      </c>
      <c r="Z136" s="56">
        <v>3</v>
      </c>
      <c r="AA136" s="9" cm="1">
        <f t="array" ref="AA136">IF(OR(AB136:AE136=""),"BLANK",IF(AND(AB136:AE136&lt;999),1,IF(AND(AB136:AE136="NA"),3,2)))</f>
        <v>1</v>
      </c>
      <c r="AB136" s="4">
        <v>33</v>
      </c>
      <c r="AC136" s="4">
        <v>29</v>
      </c>
      <c r="AD136" s="4">
        <v>17</v>
      </c>
      <c r="AE136" s="5">
        <v>79</v>
      </c>
      <c r="AF136" s="9">
        <f t="shared" si="2"/>
        <v>1</v>
      </c>
      <c r="AG136" s="5">
        <v>64</v>
      </c>
      <c r="AH136" s="9" cm="1">
        <f t="array" ref="AH136">IF(OR(AI136:AN136=""),"BLANK",IF(AND(AI136:AN136&lt;999),1,IF(AND(AI136:AN136="NA"),3,2)))</f>
        <v>1</v>
      </c>
      <c r="AI136" s="37">
        <v>45</v>
      </c>
      <c r="AJ136" s="37">
        <v>58</v>
      </c>
      <c r="AK136" s="37">
        <v>103</v>
      </c>
      <c r="AL136" s="37">
        <v>111</v>
      </c>
      <c r="AM136" s="37">
        <v>78</v>
      </c>
      <c r="AN136" s="38">
        <v>55</v>
      </c>
    </row>
    <row r="137" spans="1:40" x14ac:dyDescent="0.2">
      <c r="A137" s="16">
        <v>1759</v>
      </c>
      <c r="B137" s="4" t="s">
        <v>48</v>
      </c>
      <c r="C137" s="30" t="s">
        <v>24</v>
      </c>
      <c r="D137" s="30">
        <v>5</v>
      </c>
      <c r="E137" s="30">
        <v>0</v>
      </c>
      <c r="F137" s="54" t="s">
        <v>6</v>
      </c>
      <c r="G137" s="30">
        <v>29</v>
      </c>
      <c r="H137" s="33">
        <v>4.1067761806981515</v>
      </c>
      <c r="I137" s="33">
        <v>4.7008898015058183</v>
      </c>
      <c r="J137" s="33">
        <v>8.8076659822039698</v>
      </c>
      <c r="K137" s="33">
        <v>4.1067761806981515</v>
      </c>
      <c r="L137" s="33">
        <v>4.777549623545517</v>
      </c>
      <c r="M137" s="33">
        <v>8.8843258042436695</v>
      </c>
      <c r="N137" s="33">
        <v>4.1560574948665296</v>
      </c>
      <c r="O137" s="33">
        <v>4.7173169062286107</v>
      </c>
      <c r="P137" s="33">
        <v>8.8733744010951412</v>
      </c>
      <c r="Q137" s="33" t="s">
        <v>7</v>
      </c>
      <c r="R137" s="33" t="s">
        <v>7</v>
      </c>
      <c r="S137" s="33" t="s">
        <v>7</v>
      </c>
      <c r="T137" s="4">
        <v>6</v>
      </c>
      <c r="U137" s="4">
        <v>18</v>
      </c>
      <c r="V137" s="4" t="s">
        <v>1</v>
      </c>
      <c r="W137" s="4">
        <v>1</v>
      </c>
      <c r="X137" s="4">
        <v>3</v>
      </c>
      <c r="Y137" s="4">
        <v>1</v>
      </c>
      <c r="Z137" s="56">
        <v>3</v>
      </c>
      <c r="AA137" s="9" cm="1">
        <f t="array" ref="AA137">IF(OR(AB137:AE137=""),"BLANK",IF(AND(AB137:AE137&lt;999),1,IF(AND(AB137:AE137="NA"),3,2)))</f>
        <v>1</v>
      </c>
      <c r="AB137" s="4">
        <v>33</v>
      </c>
      <c r="AC137" s="4">
        <v>20</v>
      </c>
      <c r="AD137" s="4">
        <v>10</v>
      </c>
      <c r="AE137" s="5">
        <v>63</v>
      </c>
      <c r="AF137" s="9">
        <f t="shared" si="2"/>
        <v>1</v>
      </c>
      <c r="AG137" s="5">
        <v>70</v>
      </c>
      <c r="AH137" s="9" cm="1">
        <f t="array" ref="AH137">IF(OR(AI137:AN137=""),"BLANK",IF(AND(AI137:AN137&lt;999),1,IF(AND(AI137:AN137="NA"),3,2)))</f>
        <v>1</v>
      </c>
      <c r="AI137" s="37">
        <v>34</v>
      </c>
      <c r="AJ137" s="37">
        <v>39</v>
      </c>
      <c r="AK137" s="37">
        <v>80</v>
      </c>
      <c r="AL137" s="37">
        <v>86</v>
      </c>
      <c r="AM137" s="37">
        <v>18</v>
      </c>
      <c r="AN137" s="38">
        <v>41</v>
      </c>
    </row>
    <row r="138" spans="1:40" x14ac:dyDescent="0.2">
      <c r="A138" s="16">
        <v>1767</v>
      </c>
      <c r="B138" s="4" t="s">
        <v>51</v>
      </c>
      <c r="C138" s="30" t="s">
        <v>23</v>
      </c>
      <c r="D138" s="30">
        <v>5</v>
      </c>
      <c r="E138" s="30">
        <v>0</v>
      </c>
      <c r="F138" s="54" t="s">
        <v>6</v>
      </c>
      <c r="G138" s="30">
        <v>30</v>
      </c>
      <c r="H138" s="33">
        <v>4.0219028062970565</v>
      </c>
      <c r="I138" s="33">
        <v>5.0458590006844624</v>
      </c>
      <c r="J138" s="33">
        <v>9.0677618069815189</v>
      </c>
      <c r="K138" s="33">
        <v>4.0219028062970565</v>
      </c>
      <c r="L138" s="33">
        <v>5.0458590006844624</v>
      </c>
      <c r="M138" s="33">
        <v>9.0677618069815189</v>
      </c>
      <c r="N138" s="33">
        <v>4.0355920602327169</v>
      </c>
      <c r="O138" s="33">
        <v>4.944558521560575</v>
      </c>
      <c r="P138" s="33">
        <v>8.9801505817932927</v>
      </c>
      <c r="Q138" s="33" t="s">
        <v>7</v>
      </c>
      <c r="R138" s="33" t="s">
        <v>7</v>
      </c>
      <c r="S138" s="33" t="s">
        <v>7</v>
      </c>
      <c r="T138" s="4">
        <v>4</v>
      </c>
      <c r="U138" s="4">
        <v>16</v>
      </c>
      <c r="V138" s="4" t="s">
        <v>1</v>
      </c>
      <c r="W138" s="4">
        <v>1</v>
      </c>
      <c r="X138" s="4">
        <v>3</v>
      </c>
      <c r="Y138" s="4">
        <v>1</v>
      </c>
      <c r="Z138" s="56">
        <v>3</v>
      </c>
      <c r="AA138" s="9" cm="1">
        <f t="array" ref="AA138">IF(OR(AB138:AE138=""),"BLANK",IF(AND(AB138:AE138&lt;999),1,IF(AND(AB138:AE138="NA"),3,2)))</f>
        <v>1</v>
      </c>
      <c r="AB138" s="4">
        <v>32</v>
      </c>
      <c r="AC138" s="4">
        <v>19</v>
      </c>
      <c r="AD138" s="4">
        <v>14</v>
      </c>
      <c r="AE138" s="5">
        <v>65</v>
      </c>
      <c r="AF138" s="9">
        <f t="shared" si="2"/>
        <v>1</v>
      </c>
      <c r="AG138" s="5">
        <v>73</v>
      </c>
      <c r="AH138" s="9" cm="1">
        <f t="array" ref="AH138">IF(OR(AI138:AN138=""),"BLANK",IF(AND(AI138:AN138&lt;999),1,IF(AND(AI138:AN138="NA"),3,2)))</f>
        <v>1</v>
      </c>
      <c r="AI138" s="37">
        <v>52</v>
      </c>
      <c r="AJ138" s="37">
        <v>69</v>
      </c>
      <c r="AK138" s="37">
        <v>117</v>
      </c>
      <c r="AL138" s="37">
        <v>123</v>
      </c>
      <c r="AM138" s="37">
        <v>94</v>
      </c>
      <c r="AN138" s="38">
        <v>64</v>
      </c>
    </row>
    <row r="139" spans="1:40" x14ac:dyDescent="0.2">
      <c r="A139" s="16">
        <v>1775</v>
      </c>
      <c r="B139" s="4" t="s">
        <v>49</v>
      </c>
      <c r="C139" s="30" t="s">
        <v>24</v>
      </c>
      <c r="D139" s="30">
        <v>5</v>
      </c>
      <c r="E139" s="30">
        <v>0</v>
      </c>
      <c r="F139" s="54" t="s">
        <v>6</v>
      </c>
      <c r="G139" s="30" t="s">
        <v>7</v>
      </c>
      <c r="H139" s="33">
        <v>3.592060232717317</v>
      </c>
      <c r="I139" s="33">
        <v>5.1964407939767279</v>
      </c>
      <c r="J139" s="33">
        <v>8.7885010266940444</v>
      </c>
      <c r="K139" s="33">
        <v>3.5838466803559208</v>
      </c>
      <c r="L139" s="33">
        <v>5.4757015742642023</v>
      </c>
      <c r="M139" s="33">
        <v>9.0595482546201236</v>
      </c>
      <c r="N139" s="33">
        <v>3.5728952772073921</v>
      </c>
      <c r="O139" s="33">
        <v>5.1553730321697468</v>
      </c>
      <c r="P139" s="33">
        <v>8.7282683093771389</v>
      </c>
      <c r="Q139" s="33">
        <v>3.2936344969199181</v>
      </c>
      <c r="R139" s="33">
        <v>5.9958932238193015</v>
      </c>
      <c r="S139" s="33">
        <v>9.2895277207392191</v>
      </c>
      <c r="T139" s="4" t="s">
        <v>7</v>
      </c>
      <c r="U139" s="4" t="s">
        <v>7</v>
      </c>
      <c r="V139" s="4" t="s">
        <v>1</v>
      </c>
      <c r="W139" s="4">
        <v>1</v>
      </c>
      <c r="X139" s="4">
        <v>3</v>
      </c>
      <c r="Y139" s="4">
        <v>1</v>
      </c>
      <c r="Z139" s="56">
        <v>3</v>
      </c>
      <c r="AA139" s="9" cm="1">
        <f t="array" ref="AA139">IF(OR(AB139:AE139=""),"BLANK",IF(AND(AB139:AE139&lt;999),1,IF(AND(AB139:AE139="NA"),3,2)))</f>
        <v>1</v>
      </c>
      <c r="AB139" s="4">
        <v>38</v>
      </c>
      <c r="AC139" s="4">
        <v>23</v>
      </c>
      <c r="AD139" s="4">
        <v>13</v>
      </c>
      <c r="AE139" s="5">
        <v>74</v>
      </c>
      <c r="AF139" s="9">
        <f t="shared" si="2"/>
        <v>1</v>
      </c>
      <c r="AG139" s="5">
        <v>64</v>
      </c>
      <c r="AH139" s="9" cm="1">
        <f t="array" ref="AH139">IF(OR(AI139:AN139=""),"BLANK",IF(AND(AI139:AN139&lt;999),1,IF(AND(AI139:AN139="NA"),3,2)))</f>
        <v>1</v>
      </c>
      <c r="AI139" s="37">
        <v>53</v>
      </c>
      <c r="AJ139" s="37">
        <v>71</v>
      </c>
      <c r="AK139" s="37">
        <v>120</v>
      </c>
      <c r="AL139" s="37">
        <v>118</v>
      </c>
      <c r="AM139" s="37">
        <v>89</v>
      </c>
      <c r="AN139" s="38">
        <v>60</v>
      </c>
    </row>
    <row r="140" spans="1:40" x14ac:dyDescent="0.2">
      <c r="A140" s="16">
        <v>1796</v>
      </c>
      <c r="B140" s="4" t="s">
        <v>51</v>
      </c>
      <c r="C140" s="30" t="s">
        <v>23</v>
      </c>
      <c r="D140" s="30">
        <v>1</v>
      </c>
      <c r="E140" s="30">
        <v>0</v>
      </c>
      <c r="F140" s="54" t="s">
        <v>6</v>
      </c>
      <c r="G140" s="30">
        <v>30</v>
      </c>
      <c r="H140" s="33">
        <v>4.213552361396304</v>
      </c>
      <c r="I140" s="33">
        <v>4.6242299794661195</v>
      </c>
      <c r="J140" s="33">
        <v>8.8377823408624234</v>
      </c>
      <c r="K140" s="33">
        <v>4.213552361396304</v>
      </c>
      <c r="L140" s="33">
        <v>4.6242299794661195</v>
      </c>
      <c r="M140" s="33">
        <v>8.8377823408624234</v>
      </c>
      <c r="N140" s="33">
        <v>4.1505817932922655</v>
      </c>
      <c r="O140" s="33">
        <v>4.6050650239561941</v>
      </c>
      <c r="P140" s="33">
        <v>8.7556468172484596</v>
      </c>
      <c r="Q140" s="33" t="s">
        <v>7</v>
      </c>
      <c r="R140" s="33" t="s">
        <v>7</v>
      </c>
      <c r="S140" s="33" t="s">
        <v>7</v>
      </c>
      <c r="T140" s="4" t="s">
        <v>7</v>
      </c>
      <c r="U140" s="4" t="s">
        <v>7</v>
      </c>
      <c r="V140" s="4" t="s">
        <v>1</v>
      </c>
      <c r="W140" s="4">
        <v>1</v>
      </c>
      <c r="X140" s="4">
        <v>3</v>
      </c>
      <c r="Y140" s="4">
        <v>1</v>
      </c>
      <c r="Z140" s="56">
        <v>3</v>
      </c>
      <c r="AA140" s="9" cm="1">
        <f t="array" ref="AA140">IF(OR(AB140:AE140=""),"BLANK",IF(AND(AB140:AE140&lt;999),1,IF(AND(AB140:AE140="NA"),3,2)))</f>
        <v>1</v>
      </c>
      <c r="AB140" s="4">
        <v>39</v>
      </c>
      <c r="AC140" s="4">
        <v>28</v>
      </c>
      <c r="AD140" s="4">
        <v>14</v>
      </c>
      <c r="AE140" s="5">
        <v>81</v>
      </c>
      <c r="AF140" s="9">
        <f t="shared" si="2"/>
        <v>1</v>
      </c>
      <c r="AG140" s="5">
        <v>74</v>
      </c>
      <c r="AH140" s="9" cm="1">
        <f t="array" ref="AH140">IF(OR(AI140:AN140=""),"BLANK",IF(AND(AI140:AN140&lt;999),1,IF(AND(AI140:AN140="NA"),3,2)))</f>
        <v>1</v>
      </c>
      <c r="AI140" s="37">
        <v>54</v>
      </c>
      <c r="AJ140" s="37">
        <v>72</v>
      </c>
      <c r="AK140" s="37">
        <v>122</v>
      </c>
      <c r="AL140" s="37">
        <v>123</v>
      </c>
      <c r="AM140" s="37">
        <v>94</v>
      </c>
      <c r="AN140" s="38">
        <v>68</v>
      </c>
    </row>
    <row r="141" spans="1:40" x14ac:dyDescent="0.2">
      <c r="A141" s="16">
        <v>1844</v>
      </c>
      <c r="B141" s="4" t="s">
        <v>49</v>
      </c>
      <c r="C141" s="30" t="s">
        <v>24</v>
      </c>
      <c r="D141" s="30">
        <v>5</v>
      </c>
      <c r="E141" s="30">
        <v>0</v>
      </c>
      <c r="F141" s="54" t="s">
        <v>6</v>
      </c>
      <c r="G141" s="30">
        <v>30</v>
      </c>
      <c r="H141" s="33">
        <v>3.5838466803559208</v>
      </c>
      <c r="I141" s="33">
        <v>5.4428473648186175</v>
      </c>
      <c r="J141" s="33">
        <v>9.0266940451745388</v>
      </c>
      <c r="K141" s="33">
        <v>3.5838466803559208</v>
      </c>
      <c r="L141" s="33">
        <v>5.4428473648186175</v>
      </c>
      <c r="M141" s="33">
        <v>9.0266940451745388</v>
      </c>
      <c r="N141" s="33">
        <v>3.592060232717317</v>
      </c>
      <c r="O141" s="33">
        <v>5.415468856947296</v>
      </c>
      <c r="P141" s="33">
        <v>9.0075290896646134</v>
      </c>
      <c r="Q141" s="33">
        <v>3.8658453114305269</v>
      </c>
      <c r="R141" s="33">
        <v>5.3880903490759753</v>
      </c>
      <c r="S141" s="33">
        <v>9.2539356605065031</v>
      </c>
      <c r="T141" s="4">
        <v>5</v>
      </c>
      <c r="U141" s="4">
        <v>17</v>
      </c>
      <c r="V141" s="4" t="s">
        <v>1</v>
      </c>
      <c r="W141" s="4">
        <v>1</v>
      </c>
      <c r="X141" s="4">
        <v>3</v>
      </c>
      <c r="Y141" s="4">
        <v>1</v>
      </c>
      <c r="Z141" s="56">
        <v>3</v>
      </c>
      <c r="AA141" s="9" cm="1">
        <f t="array" ref="AA141">IF(OR(AB141:AE141=""),"BLANK",IF(AND(AB141:AE141&lt;999),1,IF(AND(AB141:AE141="NA"),3,2)))</f>
        <v>1</v>
      </c>
      <c r="AB141" s="4">
        <v>36</v>
      </c>
      <c r="AC141" s="4">
        <v>22</v>
      </c>
      <c r="AD141" s="4">
        <v>14</v>
      </c>
      <c r="AE141" s="5">
        <v>72</v>
      </c>
      <c r="AF141" s="9">
        <f t="shared" si="2"/>
        <v>1</v>
      </c>
      <c r="AG141" s="5">
        <v>60</v>
      </c>
      <c r="AH141" s="9" cm="1">
        <f t="array" ref="AH141">IF(OR(AI141:AN141=""),"BLANK",IF(AND(AI141:AN141&lt;999),1,IF(AND(AI141:AN141="NA"),3,2)))</f>
        <v>1</v>
      </c>
      <c r="AI141" s="37">
        <v>54</v>
      </c>
      <c r="AJ141" s="37">
        <v>72</v>
      </c>
      <c r="AK141" s="37">
        <v>122</v>
      </c>
      <c r="AL141" s="37">
        <v>119</v>
      </c>
      <c r="AM141" s="37">
        <v>90</v>
      </c>
      <c r="AN141" s="38">
        <v>60</v>
      </c>
    </row>
    <row r="142" spans="1:40" x14ac:dyDescent="0.2">
      <c r="A142" s="16">
        <v>1849</v>
      </c>
      <c r="B142" s="4" t="s">
        <v>49</v>
      </c>
      <c r="C142" s="30" t="s">
        <v>24</v>
      </c>
      <c r="D142" s="30">
        <v>5</v>
      </c>
      <c r="E142" s="30">
        <v>0</v>
      </c>
      <c r="F142" s="54" t="s">
        <v>6</v>
      </c>
      <c r="G142" s="30">
        <v>30</v>
      </c>
      <c r="H142" s="33">
        <v>3.7344284736481863</v>
      </c>
      <c r="I142" s="33">
        <v>5.0020533880903493</v>
      </c>
      <c r="J142" s="33">
        <v>8.736481861738536</v>
      </c>
      <c r="K142" s="33">
        <v>3.7344284736481863</v>
      </c>
      <c r="L142" s="33">
        <v>5.0677618069815198</v>
      </c>
      <c r="M142" s="33">
        <v>8.8021902806297057</v>
      </c>
      <c r="N142" s="33">
        <v>3.7316906228610542</v>
      </c>
      <c r="O142" s="33">
        <v>4.7529089664613275</v>
      </c>
      <c r="P142" s="33">
        <v>8.4845995893223822</v>
      </c>
      <c r="Q142" s="33">
        <v>3.3949349760438055</v>
      </c>
      <c r="R142" s="33" t="s">
        <v>7</v>
      </c>
      <c r="S142" s="33" t="s">
        <v>7</v>
      </c>
      <c r="T142" s="4">
        <v>6</v>
      </c>
      <c r="U142" s="4">
        <v>18</v>
      </c>
      <c r="V142" s="4" t="s">
        <v>1</v>
      </c>
      <c r="W142" s="4">
        <v>1</v>
      </c>
      <c r="X142" s="4">
        <v>3</v>
      </c>
      <c r="Y142" s="4">
        <v>1</v>
      </c>
      <c r="Z142" s="56">
        <v>3</v>
      </c>
      <c r="AA142" s="9" cm="1">
        <f t="array" ref="AA142">IF(OR(AB142:AE142=""),"BLANK",IF(AND(AB142:AE142&lt;999),1,IF(AND(AB142:AE142="NA"),3,2)))</f>
        <v>1</v>
      </c>
      <c r="AB142" s="4">
        <v>39</v>
      </c>
      <c r="AC142" s="4">
        <v>23</v>
      </c>
      <c r="AD142" s="4">
        <v>12</v>
      </c>
      <c r="AE142" s="5">
        <v>74</v>
      </c>
      <c r="AF142" s="9">
        <f t="shared" si="2"/>
        <v>1</v>
      </c>
      <c r="AG142" s="5">
        <v>84</v>
      </c>
      <c r="AH142" s="9" cm="1">
        <f t="array" ref="AH142">IF(OR(AI142:AN142=""),"BLANK",IF(AND(AI142:AN142&lt;999),1,IF(AND(AI142:AN142="NA"),3,2)))</f>
        <v>1</v>
      </c>
      <c r="AI142" s="37">
        <v>46</v>
      </c>
      <c r="AJ142" s="37">
        <v>59</v>
      </c>
      <c r="AK142" s="37">
        <v>105</v>
      </c>
      <c r="AL142" s="37">
        <v>100</v>
      </c>
      <c r="AM142" s="37">
        <v>51</v>
      </c>
      <c r="AN142" s="38">
        <v>50</v>
      </c>
    </row>
    <row r="143" spans="1:40" x14ac:dyDescent="0.2">
      <c r="A143" s="16">
        <v>1850</v>
      </c>
      <c r="B143" s="4" t="s">
        <v>49</v>
      </c>
      <c r="C143" s="30" t="s">
        <v>23</v>
      </c>
      <c r="D143" s="30">
        <v>5</v>
      </c>
      <c r="E143" s="30">
        <v>0</v>
      </c>
      <c r="F143" s="54" t="s">
        <v>6</v>
      </c>
      <c r="G143" s="30">
        <v>29</v>
      </c>
      <c r="H143" s="33">
        <v>3.7070499657768652</v>
      </c>
      <c r="I143" s="33">
        <v>4.9993155373032172</v>
      </c>
      <c r="J143" s="33">
        <v>8.7063655030800824</v>
      </c>
      <c r="K143" s="33">
        <v>3.6687200547570158</v>
      </c>
      <c r="L143" s="33">
        <v>4.9993155373032172</v>
      </c>
      <c r="M143" s="33">
        <v>8.6680355920602334</v>
      </c>
      <c r="N143" s="33">
        <v>4.0629705681040384</v>
      </c>
      <c r="O143" s="33">
        <v>4.5420944558521557</v>
      </c>
      <c r="P143" s="33">
        <v>8.605065023956195</v>
      </c>
      <c r="Q143" s="33">
        <v>3.7262149212867897</v>
      </c>
      <c r="R143" s="33">
        <v>5.4674880219028061</v>
      </c>
      <c r="S143" s="33">
        <v>9.1937029431895958</v>
      </c>
      <c r="T143" s="4">
        <v>6</v>
      </c>
      <c r="U143" s="4">
        <v>18</v>
      </c>
      <c r="V143" s="4" t="s">
        <v>1</v>
      </c>
      <c r="W143" s="4">
        <v>1</v>
      </c>
      <c r="X143" s="4">
        <v>3</v>
      </c>
      <c r="Y143" s="4">
        <v>1</v>
      </c>
      <c r="Z143" s="56">
        <v>3</v>
      </c>
      <c r="AA143" s="9" cm="1">
        <f t="array" ref="AA143">IF(OR(AB143:AE143=""),"BLANK",IF(AND(AB143:AE143&lt;999),1,IF(AND(AB143:AE143="NA"),3,2)))</f>
        <v>1</v>
      </c>
      <c r="AB143" s="4">
        <v>37</v>
      </c>
      <c r="AC143" s="4">
        <v>22</v>
      </c>
      <c r="AD143" s="4">
        <v>15</v>
      </c>
      <c r="AE143" s="5">
        <v>74</v>
      </c>
      <c r="AF143" s="9">
        <f t="shared" si="2"/>
        <v>1</v>
      </c>
      <c r="AG143" s="5">
        <v>70</v>
      </c>
      <c r="AH143" s="9" cm="1">
        <f t="array" ref="AH143">IF(OR(AI143:AN143=""),"BLANK",IF(AND(AI143:AN143&lt;999),1,IF(AND(AI143:AN143="NA"),3,2)))</f>
        <v>1</v>
      </c>
      <c r="AI143" s="37">
        <v>50</v>
      </c>
      <c r="AJ143" s="37">
        <v>66</v>
      </c>
      <c r="AK143" s="37">
        <v>113</v>
      </c>
      <c r="AL143" s="37">
        <v>112</v>
      </c>
      <c r="AM143" s="37">
        <v>78</v>
      </c>
      <c r="AN143" s="38">
        <v>57</v>
      </c>
    </row>
    <row r="144" spans="1:40" x14ac:dyDescent="0.2">
      <c r="A144" s="16">
        <v>1863</v>
      </c>
      <c r="B144" s="4" t="s">
        <v>69</v>
      </c>
      <c r="C144" s="30" t="s">
        <v>23</v>
      </c>
      <c r="D144" s="30">
        <v>5</v>
      </c>
      <c r="E144" s="30">
        <v>0</v>
      </c>
      <c r="F144" s="54" t="s">
        <v>6</v>
      </c>
      <c r="G144" s="30">
        <v>30</v>
      </c>
      <c r="H144" s="33">
        <v>3.9726214921286789</v>
      </c>
      <c r="I144" s="33">
        <v>4.7200547570157427</v>
      </c>
      <c r="J144" s="33">
        <v>8.6926762491444212</v>
      </c>
      <c r="K144" s="33">
        <v>3.9726214921286789</v>
      </c>
      <c r="L144" s="33">
        <v>4.8240930869267622</v>
      </c>
      <c r="M144" s="33">
        <v>8.7967145790554415</v>
      </c>
      <c r="N144" s="33">
        <v>4.0574948665297743</v>
      </c>
      <c r="O144" s="33">
        <v>4.5393566050650236</v>
      </c>
      <c r="P144" s="33">
        <v>8.5968514715947979</v>
      </c>
      <c r="Q144" s="33">
        <v>3.7782340862422998</v>
      </c>
      <c r="R144" s="33">
        <v>5.5140314852840522</v>
      </c>
      <c r="S144" s="33">
        <v>9.292265571526352</v>
      </c>
      <c r="T144" s="4">
        <v>4</v>
      </c>
      <c r="U144" s="4">
        <v>16</v>
      </c>
      <c r="V144" s="4" t="s">
        <v>1</v>
      </c>
      <c r="W144" s="4">
        <v>1</v>
      </c>
      <c r="X144" s="4">
        <v>3</v>
      </c>
      <c r="Y144" s="4">
        <v>1</v>
      </c>
      <c r="Z144" s="56">
        <v>3</v>
      </c>
      <c r="AA144" s="9" cm="1">
        <f t="array" ref="AA144">IF(OR(AB144:AE144=""),"BLANK",IF(AND(AB144:AE144&lt;999),1,IF(AND(AB144:AE144="NA"),3,2)))</f>
        <v>1</v>
      </c>
      <c r="AB144" s="4">
        <v>23</v>
      </c>
      <c r="AC144" s="4">
        <v>14</v>
      </c>
      <c r="AD144" s="4">
        <v>11</v>
      </c>
      <c r="AE144" s="5">
        <v>48</v>
      </c>
      <c r="AF144" s="9">
        <f t="shared" si="2"/>
        <v>1</v>
      </c>
      <c r="AG144" s="5">
        <v>45</v>
      </c>
      <c r="AH144" s="9" cm="1">
        <f t="array" ref="AH144">IF(OR(AI144:AN144=""),"BLANK",IF(AND(AI144:AN144&lt;999),1,IF(AND(AI144:AN144="NA"),3,2)))</f>
        <v>2</v>
      </c>
      <c r="AI144" s="37">
        <v>37</v>
      </c>
      <c r="AJ144" s="37">
        <v>44</v>
      </c>
      <c r="AK144" s="37">
        <v>86</v>
      </c>
      <c r="AL144" s="37" t="s">
        <v>7</v>
      </c>
      <c r="AM144" s="37" t="s">
        <v>7</v>
      </c>
      <c r="AN144" s="38" t="s">
        <v>7</v>
      </c>
    </row>
    <row r="145" spans="1:40" x14ac:dyDescent="0.2">
      <c r="A145" s="16">
        <v>1875</v>
      </c>
      <c r="B145" s="4" t="s">
        <v>58</v>
      </c>
      <c r="C145" s="30" t="s">
        <v>23</v>
      </c>
      <c r="D145" s="30">
        <v>5</v>
      </c>
      <c r="E145" s="30">
        <v>0</v>
      </c>
      <c r="F145" s="54" t="s">
        <v>6</v>
      </c>
      <c r="G145" s="30">
        <v>29</v>
      </c>
      <c r="H145" s="33">
        <v>4.1916495550992474</v>
      </c>
      <c r="I145" s="33">
        <v>4.4407939767282683</v>
      </c>
      <c r="J145" s="33">
        <v>8.6324435318275157</v>
      </c>
      <c r="K145" s="33">
        <v>4.1916495550992474</v>
      </c>
      <c r="L145" s="33">
        <v>4.4407939767282683</v>
      </c>
      <c r="M145" s="33">
        <v>8.6324435318275157</v>
      </c>
      <c r="N145" s="33">
        <v>4.216290212183436</v>
      </c>
      <c r="O145" s="33">
        <v>4.0520191649555102</v>
      </c>
      <c r="P145" s="33">
        <v>8.2683093771389462</v>
      </c>
      <c r="Q145" s="33" t="s">
        <v>7</v>
      </c>
      <c r="R145" s="33" t="s">
        <v>7</v>
      </c>
      <c r="S145" s="33" t="s">
        <v>7</v>
      </c>
      <c r="T145" s="4">
        <v>5</v>
      </c>
      <c r="U145" s="4">
        <v>17</v>
      </c>
      <c r="V145" s="4" t="s">
        <v>1</v>
      </c>
      <c r="W145" s="4">
        <v>1</v>
      </c>
      <c r="X145" s="4">
        <v>3</v>
      </c>
      <c r="Y145" s="4">
        <v>1</v>
      </c>
      <c r="Z145" s="56">
        <v>3</v>
      </c>
      <c r="AA145" s="9" cm="1">
        <f t="array" ref="AA145">IF(OR(AB145:AE145=""),"BLANK",IF(AND(AB145:AE145&lt;999),1,IF(AND(AB145:AE145="NA"),3,2)))</f>
        <v>1</v>
      </c>
      <c r="AB145" s="4">
        <v>40</v>
      </c>
      <c r="AC145" s="4">
        <v>17</v>
      </c>
      <c r="AD145" s="4">
        <v>16</v>
      </c>
      <c r="AE145" s="5">
        <v>73</v>
      </c>
      <c r="AF145" s="9">
        <f t="shared" si="2"/>
        <v>1</v>
      </c>
      <c r="AG145" s="5">
        <v>65</v>
      </c>
      <c r="AH145" s="9" cm="1">
        <f t="array" ref="AH145">IF(OR(AI145:AN145=""),"BLANK",IF(AND(AI145:AN145&lt;999),1,IF(AND(AI145:AN145="NA"),3,2)))</f>
        <v>1</v>
      </c>
      <c r="AI145" s="37">
        <v>44</v>
      </c>
      <c r="AJ145" s="37">
        <v>56</v>
      </c>
      <c r="AK145" s="37">
        <v>101</v>
      </c>
      <c r="AL145" s="37">
        <v>110</v>
      </c>
      <c r="AM145" s="37">
        <v>75</v>
      </c>
      <c r="AN145" s="38">
        <v>54</v>
      </c>
    </row>
    <row r="146" spans="1:40" x14ac:dyDescent="0.2">
      <c r="A146" s="16">
        <v>1891</v>
      </c>
      <c r="B146" s="4" t="s">
        <v>71</v>
      </c>
      <c r="C146" s="30" t="s">
        <v>23</v>
      </c>
      <c r="D146" s="30">
        <v>5</v>
      </c>
      <c r="E146" s="30">
        <v>0</v>
      </c>
      <c r="F146" s="54" t="s">
        <v>6</v>
      </c>
      <c r="G146" s="30">
        <v>26</v>
      </c>
      <c r="H146" s="33">
        <v>3.5865845311430529</v>
      </c>
      <c r="I146" s="33">
        <v>5.3004791238877482</v>
      </c>
      <c r="J146" s="33">
        <v>8.8870636550308006</v>
      </c>
      <c r="K146" s="33">
        <v>3.5865845311430529</v>
      </c>
      <c r="L146" s="33">
        <v>5.3004791238877482</v>
      </c>
      <c r="M146" s="33">
        <v>8.8870636550308006</v>
      </c>
      <c r="N146" s="33">
        <v>3.7426420260095825</v>
      </c>
      <c r="O146" s="33">
        <v>5.0924024640657084</v>
      </c>
      <c r="P146" s="33">
        <v>8.8350444900752905</v>
      </c>
      <c r="Q146" s="33">
        <v>3.6714579055441479</v>
      </c>
      <c r="R146" s="33">
        <v>5.4428473648186175</v>
      </c>
      <c r="S146" s="33">
        <v>9.1143052703627649</v>
      </c>
      <c r="T146" s="4">
        <v>6</v>
      </c>
      <c r="U146" s="4">
        <v>18</v>
      </c>
      <c r="V146" s="4" t="s">
        <v>1</v>
      </c>
      <c r="W146" s="4">
        <v>1</v>
      </c>
      <c r="X146" s="4">
        <v>3</v>
      </c>
      <c r="Y146" s="4">
        <v>1</v>
      </c>
      <c r="Z146" s="56">
        <v>3</v>
      </c>
      <c r="AA146" s="9" cm="1">
        <f t="array" ref="AA146">IF(OR(AB146:AE146=""),"BLANK",IF(AND(AB146:AE146&lt;999),1,IF(AND(AB146:AE146="NA"),3,2)))</f>
        <v>1</v>
      </c>
      <c r="AB146" s="4">
        <v>25</v>
      </c>
      <c r="AC146" s="4">
        <v>10</v>
      </c>
      <c r="AD146" s="4">
        <v>9</v>
      </c>
      <c r="AE146" s="5">
        <v>44</v>
      </c>
      <c r="AF146" s="9">
        <f t="shared" si="2"/>
        <v>1</v>
      </c>
      <c r="AG146" s="5">
        <v>34</v>
      </c>
      <c r="AH146" s="9" cm="1">
        <f t="array" ref="AH146">IF(OR(AI146:AN146=""),"BLANK",IF(AND(AI146:AN146&lt;999),1,IF(AND(AI146:AN146="NA"),3,2)))</f>
        <v>2</v>
      </c>
      <c r="AI146" s="37">
        <v>16</v>
      </c>
      <c r="AJ146" s="37">
        <v>16</v>
      </c>
      <c r="AK146" s="37">
        <v>50</v>
      </c>
      <c r="AL146" s="37" t="s">
        <v>7</v>
      </c>
      <c r="AM146" s="37" t="s">
        <v>7</v>
      </c>
      <c r="AN146" s="38" t="s">
        <v>7</v>
      </c>
    </row>
    <row r="147" spans="1:40" x14ac:dyDescent="0.2">
      <c r="A147" s="16">
        <v>1922</v>
      </c>
      <c r="B147" s="4" t="s">
        <v>51</v>
      </c>
      <c r="C147" s="30" t="s">
        <v>24</v>
      </c>
      <c r="D147" s="30">
        <v>5</v>
      </c>
      <c r="E147" s="30">
        <v>0</v>
      </c>
      <c r="F147" s="54" t="s">
        <v>6</v>
      </c>
      <c r="G147" s="30">
        <v>30</v>
      </c>
      <c r="H147" s="33" t="s">
        <v>7</v>
      </c>
      <c r="I147" s="33" t="s">
        <v>7</v>
      </c>
      <c r="J147" s="33">
        <v>8.7994524298425727</v>
      </c>
      <c r="K147" s="33" t="s">
        <v>7</v>
      </c>
      <c r="L147" s="33" t="s">
        <v>7</v>
      </c>
      <c r="M147" s="33">
        <v>8.7994524298425727</v>
      </c>
      <c r="N147" s="33" t="s">
        <v>7</v>
      </c>
      <c r="O147" s="33" t="s">
        <v>7</v>
      </c>
      <c r="P147" s="33">
        <v>8.8514715947980829</v>
      </c>
      <c r="Q147" s="33" t="s">
        <v>7</v>
      </c>
      <c r="R147" s="33" t="s">
        <v>7</v>
      </c>
      <c r="S147" s="33" t="s">
        <v>7</v>
      </c>
      <c r="T147" s="4">
        <v>6</v>
      </c>
      <c r="U147" s="4">
        <v>18</v>
      </c>
      <c r="V147" s="4" t="s">
        <v>1</v>
      </c>
      <c r="W147" s="4">
        <v>1</v>
      </c>
      <c r="X147" s="4">
        <v>3</v>
      </c>
      <c r="Y147" s="4">
        <v>1</v>
      </c>
      <c r="Z147" s="56">
        <v>3</v>
      </c>
      <c r="AA147" s="9" cm="1">
        <f t="array" ref="AA147">IF(OR(AB147:AE147=""),"BLANK",IF(AND(AB147:AE147&lt;999),1,IF(AND(AB147:AE147="NA"),3,2)))</f>
        <v>1</v>
      </c>
      <c r="AB147" s="4">
        <v>32</v>
      </c>
      <c r="AC147" s="4">
        <v>19</v>
      </c>
      <c r="AD147" s="4">
        <v>13</v>
      </c>
      <c r="AE147" s="5">
        <v>64</v>
      </c>
      <c r="AF147" s="9">
        <f t="shared" si="2"/>
        <v>1</v>
      </c>
      <c r="AG147" s="5">
        <v>56</v>
      </c>
      <c r="AH147" s="9" cm="1">
        <f t="array" ref="AH147">IF(OR(AI147:AN147=""),"BLANK",IF(AND(AI147:AN147&lt;999),1,IF(AND(AI147:AN147="NA"),3,2)))</f>
        <v>1</v>
      </c>
      <c r="AI147" s="37">
        <v>50</v>
      </c>
      <c r="AJ147" s="37">
        <v>66</v>
      </c>
      <c r="AK147" s="37">
        <v>113</v>
      </c>
      <c r="AL147" s="37">
        <v>116</v>
      </c>
      <c r="AM147" s="37">
        <v>86</v>
      </c>
      <c r="AN147" s="38">
        <v>59</v>
      </c>
    </row>
    <row r="148" spans="1:40" x14ac:dyDescent="0.2">
      <c r="A148" s="16">
        <v>1993</v>
      </c>
      <c r="B148" s="4" t="s">
        <v>47</v>
      </c>
      <c r="C148" s="30" t="s">
        <v>23</v>
      </c>
      <c r="D148" s="30">
        <v>5</v>
      </c>
      <c r="E148" s="30">
        <v>0</v>
      </c>
      <c r="F148" s="54" t="s">
        <v>6</v>
      </c>
      <c r="G148" s="30">
        <v>30</v>
      </c>
      <c r="H148" s="33">
        <v>3.5208761122518824</v>
      </c>
      <c r="I148" s="33">
        <v>4.7008898015058183</v>
      </c>
      <c r="J148" s="33">
        <v>8.2217659137577002</v>
      </c>
      <c r="K148" s="33">
        <v>3.5208761122518824</v>
      </c>
      <c r="L148" s="33">
        <v>4.7008898015058183</v>
      </c>
      <c r="M148" s="33">
        <v>8.2217659137577002</v>
      </c>
      <c r="N148" s="33">
        <v>3.6550308008213555</v>
      </c>
      <c r="O148" s="33">
        <v>4.5475701574264207</v>
      </c>
      <c r="P148" s="33">
        <v>8.2026009582477748</v>
      </c>
      <c r="Q148" s="33">
        <v>3.5236139630390144</v>
      </c>
      <c r="R148" s="33">
        <v>5.420944558521561</v>
      </c>
      <c r="S148" s="33">
        <v>8.944558521560575</v>
      </c>
      <c r="T148" s="4" t="s">
        <v>7</v>
      </c>
      <c r="U148" s="4" t="s">
        <v>7</v>
      </c>
      <c r="V148" s="4" t="s">
        <v>1</v>
      </c>
      <c r="W148" s="4">
        <v>1</v>
      </c>
      <c r="X148" s="4">
        <v>3</v>
      </c>
      <c r="Y148" s="4">
        <v>1</v>
      </c>
      <c r="Z148" s="56">
        <v>3</v>
      </c>
      <c r="AA148" s="9" cm="1">
        <f t="array" ref="AA148">IF(OR(AB148:AE148=""),"BLANK",IF(AND(AB148:AE148&lt;999),1,IF(AND(AB148:AE148="NA"),3,2)))</f>
        <v>1</v>
      </c>
      <c r="AB148" s="4">
        <v>32</v>
      </c>
      <c r="AC148" s="4">
        <v>22</v>
      </c>
      <c r="AD148" s="4">
        <v>13</v>
      </c>
      <c r="AE148" s="5">
        <v>67</v>
      </c>
      <c r="AF148" s="9">
        <f t="shared" si="2"/>
        <v>1</v>
      </c>
      <c r="AG148" s="5">
        <v>43</v>
      </c>
      <c r="AH148" s="9" cm="1">
        <f t="array" ref="AH148">IF(OR(AI148:AN148=""),"BLANK",IF(AND(AI148:AN148&lt;999),1,IF(AND(AI148:AN148="NA"),3,2)))</f>
        <v>1</v>
      </c>
      <c r="AI148" s="37">
        <v>48</v>
      </c>
      <c r="AJ148" s="37">
        <v>62</v>
      </c>
      <c r="AK148" s="37">
        <v>109</v>
      </c>
      <c r="AL148" s="37">
        <v>129</v>
      </c>
      <c r="AM148" s="37">
        <v>97</v>
      </c>
      <c r="AN148" s="38">
        <v>69</v>
      </c>
    </row>
    <row r="149" spans="1:40" x14ac:dyDescent="0.2">
      <c r="A149" s="16">
        <v>2012</v>
      </c>
      <c r="B149" s="4" t="s">
        <v>71</v>
      </c>
      <c r="C149" s="30" t="s">
        <v>23</v>
      </c>
      <c r="D149" s="30">
        <v>5</v>
      </c>
      <c r="E149" s="30">
        <v>0</v>
      </c>
      <c r="F149" s="54" t="s">
        <v>6</v>
      </c>
      <c r="G149" s="30">
        <v>30</v>
      </c>
      <c r="H149" s="33">
        <v>3.6960985626283369</v>
      </c>
      <c r="I149" s="33">
        <v>4.9144421629021222</v>
      </c>
      <c r="J149" s="33">
        <v>8.6105407255304591</v>
      </c>
      <c r="K149" s="33" t="s">
        <v>7</v>
      </c>
      <c r="L149" s="33">
        <v>4.9144421629021222</v>
      </c>
      <c r="M149" s="33" t="s">
        <v>7</v>
      </c>
      <c r="N149" s="33">
        <v>4.1040383299110195</v>
      </c>
      <c r="O149" s="33">
        <v>4.2026009582477757</v>
      </c>
      <c r="P149" s="33">
        <v>8.3066392881587952</v>
      </c>
      <c r="Q149" s="33">
        <v>3.6605065023956196</v>
      </c>
      <c r="R149" s="33" t="s">
        <v>7</v>
      </c>
      <c r="S149" s="33" t="s">
        <v>7</v>
      </c>
      <c r="T149" s="4" t="s">
        <v>7</v>
      </c>
      <c r="U149" s="4" t="s">
        <v>7</v>
      </c>
      <c r="V149" s="4" t="s">
        <v>1</v>
      </c>
      <c r="W149" s="4">
        <v>1</v>
      </c>
      <c r="X149" s="4">
        <v>3</v>
      </c>
      <c r="Y149" s="4">
        <v>1</v>
      </c>
      <c r="Z149" s="56">
        <v>3</v>
      </c>
      <c r="AA149" s="9" cm="1">
        <f t="array" ref="AA149">IF(OR(AB149:AE149=""),"BLANK",IF(AND(AB149:AE149&lt;999),1,IF(AND(AB149:AE149="NA"),3,2)))</f>
        <v>1</v>
      </c>
      <c r="AB149" s="4">
        <v>25</v>
      </c>
      <c r="AC149" s="4">
        <v>17</v>
      </c>
      <c r="AD149" s="4">
        <v>10</v>
      </c>
      <c r="AE149" s="5">
        <v>52</v>
      </c>
      <c r="AF149" s="9">
        <f t="shared" si="2"/>
        <v>1</v>
      </c>
      <c r="AG149" s="5">
        <v>50</v>
      </c>
      <c r="AH149" s="9" cm="1">
        <f t="array" ref="AH149">IF(OR(AI149:AN149=""),"BLANK",IF(AND(AI149:AN149&lt;999),1,IF(AND(AI149:AN149="NA"),3,2)))</f>
        <v>2</v>
      </c>
      <c r="AI149" s="37">
        <v>42</v>
      </c>
      <c r="AJ149" s="37">
        <v>53</v>
      </c>
      <c r="AK149" s="37">
        <v>97</v>
      </c>
      <c r="AL149" s="37" t="s">
        <v>7</v>
      </c>
      <c r="AM149" s="37" t="s">
        <v>7</v>
      </c>
      <c r="AN149" s="38" t="s">
        <v>7</v>
      </c>
    </row>
    <row r="150" spans="1:40" x14ac:dyDescent="0.2">
      <c r="A150" s="16">
        <v>2035</v>
      </c>
      <c r="B150" s="4" t="s">
        <v>67</v>
      </c>
      <c r="C150" s="30" t="s">
        <v>24</v>
      </c>
      <c r="D150" s="30">
        <v>5</v>
      </c>
      <c r="E150" s="30">
        <v>0</v>
      </c>
      <c r="F150" s="54" t="s">
        <v>6</v>
      </c>
      <c r="G150" s="30">
        <v>26</v>
      </c>
      <c r="H150" s="33">
        <v>3.4934976043805612</v>
      </c>
      <c r="I150" s="33">
        <v>4.6187542778918553</v>
      </c>
      <c r="J150" s="33">
        <v>8.1122518822724157</v>
      </c>
      <c r="K150" s="33">
        <v>3.4934976043805612</v>
      </c>
      <c r="L150" s="33">
        <v>4.6187542778918553</v>
      </c>
      <c r="M150" s="33">
        <v>8.1122518822724157</v>
      </c>
      <c r="N150" s="33">
        <v>3.4880219028062971</v>
      </c>
      <c r="O150" s="33" t="s">
        <v>7</v>
      </c>
      <c r="P150" s="33" t="s">
        <v>7</v>
      </c>
      <c r="Q150" s="33" t="s">
        <v>7</v>
      </c>
      <c r="R150" s="33" t="s">
        <v>7</v>
      </c>
      <c r="S150" s="33" t="s">
        <v>7</v>
      </c>
      <c r="T150" s="4">
        <v>6</v>
      </c>
      <c r="U150" s="4">
        <v>18</v>
      </c>
      <c r="V150" s="4" t="s">
        <v>1</v>
      </c>
      <c r="W150" s="4">
        <v>1</v>
      </c>
      <c r="X150" s="4">
        <v>3</v>
      </c>
      <c r="Y150" s="4">
        <v>1</v>
      </c>
      <c r="Z150" s="56">
        <v>3</v>
      </c>
      <c r="AA150" s="9" cm="1">
        <f t="array" ref="AA150">IF(OR(AB150:AE150=""),"BLANK",IF(AND(AB150:AE150&lt;999),1,IF(AND(AB150:AE150="NA"),3,2)))</f>
        <v>1</v>
      </c>
      <c r="AB150" s="4">
        <v>18</v>
      </c>
      <c r="AC150" s="4">
        <v>10</v>
      </c>
      <c r="AD150" s="4">
        <v>10</v>
      </c>
      <c r="AE150" s="5">
        <v>38</v>
      </c>
      <c r="AF150" s="9">
        <f t="shared" si="2"/>
        <v>1</v>
      </c>
      <c r="AG150" s="5">
        <v>25</v>
      </c>
      <c r="AH150" s="9" cm="1">
        <f t="array" ref="AH150">IF(OR(AI150:AN150=""),"BLANK",IF(AND(AI150:AN150&lt;999),1,IF(AND(AI150:AN150="NA"),3,2)))</f>
        <v>2</v>
      </c>
      <c r="AI150" s="37">
        <v>29</v>
      </c>
      <c r="AJ150" s="37">
        <v>31</v>
      </c>
      <c r="AK150" s="37">
        <v>69</v>
      </c>
      <c r="AL150" s="37" t="s">
        <v>7</v>
      </c>
      <c r="AM150" s="37" t="s">
        <v>7</v>
      </c>
      <c r="AN150" s="38" t="s">
        <v>7</v>
      </c>
    </row>
    <row r="151" spans="1:40" x14ac:dyDescent="0.2">
      <c r="A151" s="16">
        <v>2043</v>
      </c>
      <c r="B151" s="4" t="s">
        <v>69</v>
      </c>
      <c r="C151" s="30" t="s">
        <v>23</v>
      </c>
      <c r="D151" s="30">
        <v>5</v>
      </c>
      <c r="E151" s="30">
        <v>0</v>
      </c>
      <c r="F151" s="54" t="s">
        <v>6</v>
      </c>
      <c r="G151" s="30">
        <v>27</v>
      </c>
      <c r="H151" s="33">
        <v>3.7262149212867897</v>
      </c>
      <c r="I151" s="33">
        <v>4.9774127310061598</v>
      </c>
      <c r="J151" s="33">
        <v>8.7036276522929494</v>
      </c>
      <c r="K151" s="33">
        <v>3.7262149212867897</v>
      </c>
      <c r="L151" s="33">
        <v>5.0130047912388775</v>
      </c>
      <c r="M151" s="33">
        <v>8.7392197125256672</v>
      </c>
      <c r="N151" s="33">
        <v>3.7289527720739222</v>
      </c>
      <c r="O151" s="33">
        <v>4.944558521560575</v>
      </c>
      <c r="P151" s="33">
        <v>8.6735112936344976</v>
      </c>
      <c r="Q151" s="33" t="s">
        <v>7</v>
      </c>
      <c r="R151" s="33" t="s">
        <v>7</v>
      </c>
      <c r="S151" s="33" t="s">
        <v>7</v>
      </c>
      <c r="T151" s="4">
        <v>2</v>
      </c>
      <c r="U151" s="4">
        <v>12</v>
      </c>
      <c r="V151" s="4" t="s">
        <v>1</v>
      </c>
      <c r="W151" s="4">
        <v>1</v>
      </c>
      <c r="X151" s="4">
        <v>3</v>
      </c>
      <c r="Y151" s="4">
        <v>1</v>
      </c>
      <c r="Z151" s="56">
        <v>3</v>
      </c>
      <c r="AA151" s="9" cm="1">
        <f t="array" ref="AA151">IF(OR(AB151:AE151=""),"BLANK",IF(AND(AB151:AE151&lt;999),1,IF(AND(AB151:AE151="NA"),3,2)))</f>
        <v>1</v>
      </c>
      <c r="AB151" s="4">
        <v>20</v>
      </c>
      <c r="AC151" s="4">
        <v>9</v>
      </c>
      <c r="AD151" s="4">
        <v>8</v>
      </c>
      <c r="AE151" s="5">
        <v>37</v>
      </c>
      <c r="AF151" s="9">
        <f t="shared" si="2"/>
        <v>1</v>
      </c>
      <c r="AG151" s="5">
        <v>34</v>
      </c>
      <c r="AH151" s="9" cm="1">
        <f t="array" ref="AH151">IF(OR(AI151:AN151=""),"BLANK",IF(AND(AI151:AN151&lt;999),1,IF(AND(AI151:AN151="NA"),3,2)))</f>
        <v>2</v>
      </c>
      <c r="AI151" s="37">
        <v>42</v>
      </c>
      <c r="AJ151" s="37">
        <v>53</v>
      </c>
      <c r="AK151" s="37">
        <v>97</v>
      </c>
      <c r="AL151" s="37" t="s">
        <v>7</v>
      </c>
      <c r="AM151" s="37" t="s">
        <v>7</v>
      </c>
      <c r="AN151" s="38" t="s">
        <v>7</v>
      </c>
    </row>
    <row r="152" spans="1:40" x14ac:dyDescent="0.2">
      <c r="A152" s="16">
        <v>2068</v>
      </c>
      <c r="B152" s="4" t="s">
        <v>69</v>
      </c>
      <c r="C152" s="30" t="s">
        <v>24</v>
      </c>
      <c r="D152" s="30">
        <v>5</v>
      </c>
      <c r="E152" s="30">
        <v>0</v>
      </c>
      <c r="F152" s="54" t="s">
        <v>6</v>
      </c>
      <c r="G152" s="30">
        <v>27</v>
      </c>
      <c r="H152" s="33">
        <v>4.2381930184804926</v>
      </c>
      <c r="I152" s="33">
        <v>4.213552361396304</v>
      </c>
      <c r="J152" s="33">
        <v>8.4517453798767974</v>
      </c>
      <c r="K152" s="33">
        <v>4.2546201232032859</v>
      </c>
      <c r="L152" s="33">
        <v>4.1971252566735116</v>
      </c>
      <c r="M152" s="33">
        <v>8.4517453798767974</v>
      </c>
      <c r="N152" s="33">
        <v>4.1232032854209448</v>
      </c>
      <c r="O152" s="33">
        <v>3.8877481177275839</v>
      </c>
      <c r="P152" s="33">
        <v>8.0109514031485283</v>
      </c>
      <c r="Q152" s="33" t="s">
        <v>7</v>
      </c>
      <c r="R152" s="33" t="s">
        <v>7</v>
      </c>
      <c r="S152" s="33" t="s">
        <v>7</v>
      </c>
      <c r="T152" s="4">
        <v>4</v>
      </c>
      <c r="U152" s="4">
        <v>16</v>
      </c>
      <c r="V152" s="4" t="s">
        <v>1</v>
      </c>
      <c r="W152" s="4">
        <v>1</v>
      </c>
      <c r="X152" s="4">
        <v>3</v>
      </c>
      <c r="Y152" s="4">
        <v>1</v>
      </c>
      <c r="Z152" s="56">
        <v>3</v>
      </c>
      <c r="AA152" s="9" cm="1">
        <f t="array" ref="AA152">IF(OR(AB152:AE152=""),"BLANK",IF(AND(AB152:AE152&lt;999),1,IF(AND(AB152:AE152="NA"),3,2)))</f>
        <v>1</v>
      </c>
      <c r="AB152" s="4">
        <v>18</v>
      </c>
      <c r="AC152" s="4">
        <v>9</v>
      </c>
      <c r="AD152" s="4">
        <v>6</v>
      </c>
      <c r="AE152" s="5">
        <v>33</v>
      </c>
      <c r="AF152" s="9">
        <f t="shared" si="2"/>
        <v>1</v>
      </c>
      <c r="AG152" s="5">
        <v>20</v>
      </c>
      <c r="AH152" s="9" cm="1">
        <f t="array" ref="AH152">IF(OR(AI152:AN152=""),"BLANK",IF(AND(AI152:AN152&lt;999),1,IF(AND(AI152:AN152="NA"),3,2)))</f>
        <v>2</v>
      </c>
      <c r="AI152" s="37">
        <v>34</v>
      </c>
      <c r="AJ152" s="37">
        <v>39</v>
      </c>
      <c r="AK152" s="37">
        <v>80</v>
      </c>
      <c r="AL152" s="37" t="s">
        <v>7</v>
      </c>
      <c r="AM152" s="37" t="s">
        <v>7</v>
      </c>
      <c r="AN152" s="38" t="s">
        <v>7</v>
      </c>
    </row>
    <row r="153" spans="1:40" x14ac:dyDescent="0.2">
      <c r="A153" s="16">
        <v>2087</v>
      </c>
      <c r="B153" s="4" t="s">
        <v>69</v>
      </c>
      <c r="C153" s="30" t="s">
        <v>23</v>
      </c>
      <c r="D153" s="30">
        <v>5</v>
      </c>
      <c r="E153" s="30">
        <v>0</v>
      </c>
      <c r="F153" s="54" t="s">
        <v>6</v>
      </c>
      <c r="G153" s="30">
        <v>26</v>
      </c>
      <c r="H153" s="33">
        <v>4</v>
      </c>
      <c r="I153" s="33">
        <v>4.6762491444216288</v>
      </c>
      <c r="J153" s="33">
        <v>8.6762491444216288</v>
      </c>
      <c r="K153" s="33">
        <v>4</v>
      </c>
      <c r="L153" s="33">
        <v>4.7063655030800824</v>
      </c>
      <c r="M153" s="33">
        <v>8.7063655030800824</v>
      </c>
      <c r="N153" s="33" t="s">
        <v>7</v>
      </c>
      <c r="O153" s="33" t="s">
        <v>7</v>
      </c>
      <c r="P153" s="33" t="s">
        <v>7</v>
      </c>
      <c r="Q153" s="33" t="s">
        <v>7</v>
      </c>
      <c r="R153" s="33" t="s">
        <v>7</v>
      </c>
      <c r="S153" s="33" t="s">
        <v>7</v>
      </c>
      <c r="T153" s="4" t="s">
        <v>7</v>
      </c>
      <c r="U153" s="4" t="s">
        <v>7</v>
      </c>
      <c r="V153" s="4" t="s">
        <v>1</v>
      </c>
      <c r="W153" s="4">
        <v>1</v>
      </c>
      <c r="X153" s="4">
        <v>3</v>
      </c>
      <c r="Y153" s="4">
        <v>1</v>
      </c>
      <c r="Z153" s="56">
        <v>3</v>
      </c>
      <c r="AA153" s="9" cm="1">
        <f t="array" ref="AA153">IF(OR(AB153:AE153=""),"BLANK",IF(AND(AB153:AE153&lt;999),1,IF(AND(AB153:AE153="NA"),3,2)))</f>
        <v>1</v>
      </c>
      <c r="AB153" s="4">
        <v>19</v>
      </c>
      <c r="AC153" s="4">
        <v>9</v>
      </c>
      <c r="AD153" s="4">
        <v>11</v>
      </c>
      <c r="AE153" s="5">
        <v>39</v>
      </c>
      <c r="AF153" s="9">
        <f t="shared" si="2"/>
        <v>1</v>
      </c>
      <c r="AG153" s="5">
        <v>26</v>
      </c>
      <c r="AH153" s="9" cm="1">
        <f t="array" ref="AH153">IF(OR(AI153:AN153=""),"BLANK",IF(AND(AI153:AN153&lt;999),1,IF(AND(AI153:AN153="NA"),3,2)))</f>
        <v>2</v>
      </c>
      <c r="AI153" s="37">
        <v>31</v>
      </c>
      <c r="AJ153" s="37">
        <v>34</v>
      </c>
      <c r="AK153" s="37">
        <v>74</v>
      </c>
      <c r="AL153" s="37" t="s">
        <v>7</v>
      </c>
      <c r="AM153" s="37" t="s">
        <v>7</v>
      </c>
      <c r="AN153" s="38" t="s">
        <v>7</v>
      </c>
    </row>
    <row r="154" spans="1:40" x14ac:dyDescent="0.2">
      <c r="A154" s="16">
        <v>2093</v>
      </c>
      <c r="B154" s="4" t="s">
        <v>57</v>
      </c>
      <c r="C154" s="30" t="s">
        <v>24</v>
      </c>
      <c r="D154" s="30">
        <v>1</v>
      </c>
      <c r="E154" s="30">
        <v>0</v>
      </c>
      <c r="F154" s="54" t="s">
        <v>6</v>
      </c>
      <c r="G154" s="30">
        <v>30</v>
      </c>
      <c r="H154" s="33">
        <v>4.3805612594113619</v>
      </c>
      <c r="I154" s="33">
        <v>4.470910335386721</v>
      </c>
      <c r="J154" s="33">
        <v>8.8514715947980829</v>
      </c>
      <c r="K154" s="33">
        <v>4.3805612594113619</v>
      </c>
      <c r="L154" s="33">
        <v>4.470910335386721</v>
      </c>
      <c r="M154" s="33">
        <v>8.8514715947980829</v>
      </c>
      <c r="N154" s="33">
        <v>4.26009582477755</v>
      </c>
      <c r="O154" s="33">
        <v>4.470910335386721</v>
      </c>
      <c r="P154" s="33">
        <v>8.7310061601642719</v>
      </c>
      <c r="Q154" s="33" t="s">
        <v>7</v>
      </c>
      <c r="R154" s="33" t="s">
        <v>7</v>
      </c>
      <c r="S154" s="33" t="s">
        <v>7</v>
      </c>
      <c r="T154" s="4">
        <v>6</v>
      </c>
      <c r="U154" s="4">
        <v>18</v>
      </c>
      <c r="V154" s="4" t="s">
        <v>1</v>
      </c>
      <c r="W154" s="4">
        <v>1</v>
      </c>
      <c r="X154" s="4">
        <v>3</v>
      </c>
      <c r="Y154" s="4">
        <v>1</v>
      </c>
      <c r="Z154" s="56">
        <v>3</v>
      </c>
      <c r="AA154" s="9" cm="1">
        <f t="array" ref="AA154">IF(OR(AB154:AE154=""),"BLANK",IF(AND(AB154:AE154&lt;999),1,IF(AND(AB154:AE154="NA"),3,2)))</f>
        <v>1</v>
      </c>
      <c r="AB154" s="4">
        <v>38</v>
      </c>
      <c r="AC154" s="4">
        <v>21</v>
      </c>
      <c r="AD154" s="4">
        <v>11</v>
      </c>
      <c r="AE154" s="5">
        <v>70</v>
      </c>
      <c r="AF154" s="9">
        <f t="shared" si="2"/>
        <v>1</v>
      </c>
      <c r="AG154" s="5">
        <v>78</v>
      </c>
      <c r="AH154" s="9" cm="1">
        <f t="array" ref="AH154">IF(OR(AI154:AN154=""),"BLANK",IF(AND(AI154:AN154&lt;999),1,IF(AND(AI154:AN154="NA"),3,2)))</f>
        <v>1</v>
      </c>
      <c r="AI154" s="37">
        <v>57</v>
      </c>
      <c r="AJ154" s="37">
        <v>77</v>
      </c>
      <c r="AK154" s="37">
        <v>128</v>
      </c>
      <c r="AL154" s="37">
        <v>131</v>
      </c>
      <c r="AM154" s="37">
        <v>98</v>
      </c>
      <c r="AN154" s="38">
        <v>71</v>
      </c>
    </row>
    <row r="155" spans="1:40" x14ac:dyDescent="0.2">
      <c r="A155" s="16">
        <v>2095</v>
      </c>
      <c r="B155" s="4" t="s">
        <v>54</v>
      </c>
      <c r="C155" s="30" t="s">
        <v>24</v>
      </c>
      <c r="D155" s="30">
        <v>5</v>
      </c>
      <c r="E155" s="30">
        <v>0</v>
      </c>
      <c r="F155" s="54" t="s">
        <v>6</v>
      </c>
      <c r="G155" s="30">
        <v>30</v>
      </c>
      <c r="H155" s="33">
        <v>4.0054757015742641</v>
      </c>
      <c r="I155" s="33">
        <v>4.3778234086242298</v>
      </c>
      <c r="J155" s="33">
        <v>8.3832991101984948</v>
      </c>
      <c r="K155" s="33">
        <v>4.0054757015742641</v>
      </c>
      <c r="L155" s="33">
        <v>4.3778234086242298</v>
      </c>
      <c r="M155" s="33">
        <v>8.3832991101984948</v>
      </c>
      <c r="N155" s="33">
        <v>4.0191649555099245</v>
      </c>
      <c r="O155" s="33">
        <v>4.0246406570841886</v>
      </c>
      <c r="P155" s="33">
        <v>8.0438056125941131</v>
      </c>
      <c r="Q155" s="33" t="s">
        <v>7</v>
      </c>
      <c r="R155" s="33" t="s">
        <v>7</v>
      </c>
      <c r="S155" s="33" t="s">
        <v>7</v>
      </c>
      <c r="T155" s="4">
        <v>4</v>
      </c>
      <c r="U155" s="4">
        <v>16</v>
      </c>
      <c r="V155" s="4" t="s">
        <v>1</v>
      </c>
      <c r="W155" s="4">
        <v>1</v>
      </c>
      <c r="X155" s="4">
        <v>3</v>
      </c>
      <c r="Y155" s="4">
        <v>1</v>
      </c>
      <c r="Z155" s="56">
        <v>3</v>
      </c>
      <c r="AA155" s="9" cm="1">
        <f t="array" ref="AA155">IF(OR(AB155:AE155=""),"BLANK",IF(AND(AB155:AE155&lt;999),1,IF(AND(AB155:AE155="NA"),3,2)))</f>
        <v>1</v>
      </c>
      <c r="AB155" s="4">
        <v>25</v>
      </c>
      <c r="AC155" s="4">
        <v>17</v>
      </c>
      <c r="AD155" s="4">
        <v>13</v>
      </c>
      <c r="AE155" s="5">
        <v>55</v>
      </c>
      <c r="AF155" s="9">
        <f t="shared" si="2"/>
        <v>1</v>
      </c>
      <c r="AG155" s="5">
        <v>45</v>
      </c>
      <c r="AH155" s="9" cm="1">
        <f t="array" ref="AH155">IF(OR(AI155:AN155=""),"BLANK",IF(AND(AI155:AN155&lt;999),1,IF(AND(AI155:AN155="NA"),3,2)))</f>
        <v>1</v>
      </c>
      <c r="AI155" s="37">
        <v>37</v>
      </c>
      <c r="AJ155" s="37">
        <v>44</v>
      </c>
      <c r="AK155" s="37">
        <v>86</v>
      </c>
      <c r="AL155" s="37">
        <v>88</v>
      </c>
      <c r="AM155" s="37">
        <v>21</v>
      </c>
      <c r="AN155" s="38">
        <v>41</v>
      </c>
    </row>
    <row r="156" spans="1:40" x14ac:dyDescent="0.2">
      <c r="A156" s="16">
        <v>2117</v>
      </c>
      <c r="B156" s="4" t="s">
        <v>65</v>
      </c>
      <c r="C156" s="30" t="s">
        <v>23</v>
      </c>
      <c r="D156" s="30">
        <v>5</v>
      </c>
      <c r="E156" s="30">
        <v>0</v>
      </c>
      <c r="F156" s="54" t="s">
        <v>6</v>
      </c>
      <c r="G156" s="30">
        <v>28</v>
      </c>
      <c r="H156" s="33">
        <v>3.6030116358658453</v>
      </c>
      <c r="I156" s="33">
        <v>4.7145790554414786</v>
      </c>
      <c r="J156" s="33">
        <v>8.3175906913073234</v>
      </c>
      <c r="K156" s="33">
        <v>3.6030116358658453</v>
      </c>
      <c r="L156" s="33">
        <v>4.7173169062286107</v>
      </c>
      <c r="M156" s="33">
        <v>8.3203285420944564</v>
      </c>
      <c r="N156" s="33">
        <v>3.5838466803559208</v>
      </c>
      <c r="O156" s="33">
        <v>4.6187542778918553</v>
      </c>
      <c r="P156" s="33">
        <v>8.2026009582477748</v>
      </c>
      <c r="Q156" s="33">
        <v>3.5838466803559208</v>
      </c>
      <c r="R156" s="33">
        <v>5.4537987679671458</v>
      </c>
      <c r="S156" s="33">
        <v>9.037645448323067</v>
      </c>
      <c r="T156" s="4">
        <v>2</v>
      </c>
      <c r="U156" s="4">
        <v>12</v>
      </c>
      <c r="V156" s="4" t="s">
        <v>1</v>
      </c>
      <c r="W156" s="4">
        <v>1</v>
      </c>
      <c r="X156" s="4">
        <v>3</v>
      </c>
      <c r="Y156" s="4">
        <v>1</v>
      </c>
      <c r="Z156" s="56">
        <v>3</v>
      </c>
      <c r="AA156" s="9" cm="1">
        <f t="array" ref="AA156">IF(OR(AB156:AE156=""),"BLANK",IF(AND(AB156:AE156&lt;999),1,IF(AND(AB156:AE156="NA"),3,2)))</f>
        <v>1</v>
      </c>
      <c r="AB156" s="4">
        <v>19</v>
      </c>
      <c r="AC156" s="4">
        <v>17</v>
      </c>
      <c r="AD156" s="4">
        <v>10</v>
      </c>
      <c r="AE156" s="5">
        <v>46</v>
      </c>
      <c r="AF156" s="9">
        <f t="shared" si="2"/>
        <v>1</v>
      </c>
      <c r="AG156" s="5">
        <v>28</v>
      </c>
      <c r="AH156" s="9" cm="1">
        <f t="array" ref="AH156">IF(OR(AI156:AN156=""),"BLANK",IF(AND(AI156:AN156&lt;999),1,IF(AND(AI156:AN156="NA"),3,2)))</f>
        <v>1</v>
      </c>
      <c r="AI156" s="37">
        <v>31</v>
      </c>
      <c r="AJ156" s="37">
        <v>34</v>
      </c>
      <c r="AK156" s="37">
        <v>74</v>
      </c>
      <c r="AL156" s="37">
        <v>87</v>
      </c>
      <c r="AM156" s="37">
        <v>20</v>
      </c>
      <c r="AN156" s="38">
        <v>38</v>
      </c>
    </row>
    <row r="157" spans="1:40" x14ac:dyDescent="0.2">
      <c r="A157" s="16">
        <v>2172</v>
      </c>
      <c r="B157" s="4" t="s">
        <v>50</v>
      </c>
      <c r="C157" s="30" t="s">
        <v>23</v>
      </c>
      <c r="D157" s="30">
        <v>5</v>
      </c>
      <c r="E157" s="30">
        <v>1</v>
      </c>
      <c r="F157" s="54" t="s">
        <v>6</v>
      </c>
      <c r="G157" s="30">
        <v>30</v>
      </c>
      <c r="H157" s="33">
        <v>3.9835728952772076</v>
      </c>
      <c r="I157" s="33">
        <v>4.2026009582477757</v>
      </c>
      <c r="J157" s="33">
        <v>8.1861738535249824</v>
      </c>
      <c r="K157" s="33">
        <v>3.9835728952772076</v>
      </c>
      <c r="L157" s="33">
        <v>4.2026009582477757</v>
      </c>
      <c r="M157" s="33">
        <v>8.1861738535249824</v>
      </c>
      <c r="N157" s="33">
        <v>4.046543463381246</v>
      </c>
      <c r="O157" s="33">
        <v>3.7946611909650922</v>
      </c>
      <c r="P157" s="33">
        <v>7.8412046543463383</v>
      </c>
      <c r="Q157" s="33" t="s">
        <v>7</v>
      </c>
      <c r="R157" s="33" t="s">
        <v>7</v>
      </c>
      <c r="S157" s="33" t="s">
        <v>7</v>
      </c>
      <c r="T157" s="4">
        <v>4</v>
      </c>
      <c r="U157" s="4">
        <v>16</v>
      </c>
      <c r="V157" s="4" t="s">
        <v>1</v>
      </c>
      <c r="W157" s="4">
        <v>1</v>
      </c>
      <c r="X157" s="4">
        <v>3</v>
      </c>
      <c r="Y157" s="4">
        <v>1</v>
      </c>
      <c r="Z157" s="56">
        <v>3</v>
      </c>
      <c r="AA157" s="9" cm="1">
        <f t="array" ref="AA157">IF(OR(AB157:AE157=""),"BLANK",IF(AND(AB157:AE157&lt;999),1,IF(AND(AB157:AE157="NA"),3,2)))</f>
        <v>1</v>
      </c>
      <c r="AB157" s="4">
        <v>33</v>
      </c>
      <c r="AC157" s="4">
        <v>21</v>
      </c>
      <c r="AD157" s="4">
        <v>13</v>
      </c>
      <c r="AE157" s="5">
        <v>67</v>
      </c>
      <c r="AF157" s="9">
        <f t="shared" si="2"/>
        <v>1</v>
      </c>
      <c r="AG157" s="5">
        <v>56</v>
      </c>
      <c r="AH157" s="9" cm="1">
        <f t="array" ref="AH157">IF(OR(AI157:AN157=""),"BLANK",IF(AND(AI157:AN157&lt;999),1,IF(AND(AI157:AN157="NA"),3,2)))</f>
        <v>1</v>
      </c>
      <c r="AI157" s="37">
        <v>53</v>
      </c>
      <c r="AJ157" s="37">
        <v>71</v>
      </c>
      <c r="AK157" s="37">
        <v>120</v>
      </c>
      <c r="AL157" s="37">
        <v>127</v>
      </c>
      <c r="AM157" s="37">
        <v>96</v>
      </c>
      <c r="AN157" s="38">
        <v>70</v>
      </c>
    </row>
    <row r="158" spans="1:40" x14ac:dyDescent="0.2">
      <c r="A158" s="16">
        <v>2206</v>
      </c>
      <c r="B158" s="4" t="s">
        <v>50</v>
      </c>
      <c r="C158" s="30" t="s">
        <v>24</v>
      </c>
      <c r="D158" s="30">
        <v>5</v>
      </c>
      <c r="E158" s="30">
        <v>0</v>
      </c>
      <c r="F158" s="54" t="s">
        <v>6</v>
      </c>
      <c r="G158" s="30">
        <v>30</v>
      </c>
      <c r="H158" s="33">
        <v>4.1204654346338128</v>
      </c>
      <c r="I158" s="33">
        <v>4.5119780971937029</v>
      </c>
      <c r="J158" s="33">
        <v>8.6324435318275157</v>
      </c>
      <c r="K158" s="33">
        <v>4.1779603011635862</v>
      </c>
      <c r="L158" s="33">
        <v>4.4544832306639286</v>
      </c>
      <c r="M158" s="33">
        <v>8.6324435318275157</v>
      </c>
      <c r="N158" s="33">
        <v>3.9890485968514717</v>
      </c>
      <c r="O158" s="33">
        <v>4.4900752908966464</v>
      </c>
      <c r="P158" s="33">
        <v>8.4791238877481181</v>
      </c>
      <c r="Q158" s="33" t="s">
        <v>7</v>
      </c>
      <c r="R158" s="33" t="s">
        <v>7</v>
      </c>
      <c r="S158" s="33" t="s">
        <v>7</v>
      </c>
      <c r="T158" s="4">
        <v>4</v>
      </c>
      <c r="U158" s="4">
        <v>16</v>
      </c>
      <c r="V158" s="4" t="s">
        <v>1</v>
      </c>
      <c r="W158" s="4">
        <v>1</v>
      </c>
      <c r="X158" s="4">
        <v>3</v>
      </c>
      <c r="Y158" s="4">
        <v>1</v>
      </c>
      <c r="Z158" s="56">
        <v>3</v>
      </c>
      <c r="AA158" s="9" cm="1">
        <f t="array" ref="AA158">IF(OR(AB158:AE158=""),"BLANK",IF(AND(AB158:AE158&lt;999),1,IF(AND(AB158:AE158="NA"),3,2)))</f>
        <v>1</v>
      </c>
      <c r="AB158" s="4">
        <v>31</v>
      </c>
      <c r="AC158" s="4">
        <v>18</v>
      </c>
      <c r="AD158" s="4">
        <v>10</v>
      </c>
      <c r="AE158" s="5">
        <v>59</v>
      </c>
      <c r="AF158" s="9">
        <f t="shared" si="2"/>
        <v>1</v>
      </c>
      <c r="AG158" s="5">
        <v>70</v>
      </c>
      <c r="AH158" s="9" cm="1">
        <f t="array" ref="AH158">IF(OR(AI158:AN158=""),"BLANK",IF(AND(AI158:AN158&lt;999),1,IF(AND(AI158:AN158="NA"),3,2)))</f>
        <v>1</v>
      </c>
      <c r="AI158" s="37">
        <v>51</v>
      </c>
      <c r="AJ158" s="37">
        <v>67</v>
      </c>
      <c r="AK158" s="37">
        <v>115</v>
      </c>
      <c r="AL158" s="37">
        <v>119</v>
      </c>
      <c r="AM158" s="37">
        <v>90</v>
      </c>
      <c r="AN158" s="38">
        <v>60</v>
      </c>
    </row>
    <row r="159" spans="1:40" x14ac:dyDescent="0.2">
      <c r="A159" s="16">
        <v>2213</v>
      </c>
      <c r="B159" s="4" t="s">
        <v>62</v>
      </c>
      <c r="C159" s="30" t="s">
        <v>24</v>
      </c>
      <c r="D159" s="30">
        <v>4</v>
      </c>
      <c r="E159" s="30">
        <v>0</v>
      </c>
      <c r="F159" s="54" t="s">
        <v>6</v>
      </c>
      <c r="G159" s="30">
        <v>30</v>
      </c>
      <c r="H159" s="33" t="s">
        <v>7</v>
      </c>
      <c r="I159" s="33" t="s">
        <v>7</v>
      </c>
      <c r="J159" s="33">
        <v>8.5667351129363443</v>
      </c>
      <c r="K159" s="33" t="s">
        <v>7</v>
      </c>
      <c r="L159" s="33" t="s">
        <v>7</v>
      </c>
      <c r="M159" s="33">
        <v>8.5667351129363443</v>
      </c>
      <c r="N159" s="33" t="s">
        <v>7</v>
      </c>
      <c r="O159" s="33" t="s">
        <v>7</v>
      </c>
      <c r="P159" s="33" t="s">
        <v>7</v>
      </c>
      <c r="Q159" s="33" t="s">
        <v>7</v>
      </c>
      <c r="R159" s="33" t="s">
        <v>7</v>
      </c>
      <c r="S159" s="33" t="s">
        <v>7</v>
      </c>
      <c r="T159" s="4" t="s">
        <v>7</v>
      </c>
      <c r="U159" s="4" t="s">
        <v>7</v>
      </c>
      <c r="V159" s="4" t="s">
        <v>1</v>
      </c>
      <c r="W159" s="4">
        <v>1</v>
      </c>
      <c r="X159" s="4">
        <v>3</v>
      </c>
      <c r="Y159" s="4">
        <v>1</v>
      </c>
      <c r="Z159" s="56">
        <v>3</v>
      </c>
      <c r="AA159" s="9" cm="1">
        <f t="array" ref="AA159">IF(OR(AB159:AE159=""),"BLANK",IF(AND(AB159:AE159&lt;999),1,IF(AND(AB159:AE159="NA"),3,2)))</f>
        <v>1</v>
      </c>
      <c r="AB159" s="4">
        <v>25</v>
      </c>
      <c r="AC159" s="4">
        <v>12</v>
      </c>
      <c r="AD159" s="4">
        <v>9</v>
      </c>
      <c r="AE159" s="5">
        <v>46</v>
      </c>
      <c r="AF159" s="9">
        <f t="shared" si="2"/>
        <v>1</v>
      </c>
      <c r="AG159" s="5">
        <v>34</v>
      </c>
      <c r="AH159" s="9" cm="1">
        <f t="array" ref="AH159">IF(OR(AI159:AN159=""),"BLANK",IF(AND(AI159:AN159&lt;999),1,IF(AND(AI159:AN159="NA"),3,2)))</f>
        <v>1</v>
      </c>
      <c r="AI159" s="37">
        <v>43</v>
      </c>
      <c r="AJ159" s="37">
        <v>54</v>
      </c>
      <c r="AK159" s="37">
        <v>99</v>
      </c>
      <c r="AL159" s="37">
        <v>104</v>
      </c>
      <c r="AM159" s="37">
        <v>62</v>
      </c>
      <c r="AN159" s="38">
        <v>52</v>
      </c>
    </row>
    <row r="160" spans="1:40" x14ac:dyDescent="0.2">
      <c r="A160" s="16">
        <v>2248</v>
      </c>
      <c r="B160" s="4" t="s">
        <v>57</v>
      </c>
      <c r="C160" s="30" t="s">
        <v>23</v>
      </c>
      <c r="D160" s="30">
        <v>5</v>
      </c>
      <c r="E160" s="30">
        <v>0</v>
      </c>
      <c r="F160" s="54" t="s">
        <v>6</v>
      </c>
      <c r="G160" s="30">
        <v>30</v>
      </c>
      <c r="H160" s="33">
        <v>4.2327173169062284</v>
      </c>
      <c r="I160" s="33">
        <v>4.0164271047227924</v>
      </c>
      <c r="J160" s="33">
        <v>8.2491444216290208</v>
      </c>
      <c r="K160" s="33">
        <v>4.2327173169062284</v>
      </c>
      <c r="L160" s="33">
        <v>4.2381930184804926</v>
      </c>
      <c r="M160" s="33">
        <v>8.470910335386721</v>
      </c>
      <c r="N160" s="33">
        <v>4.1861738535249833</v>
      </c>
      <c r="O160" s="33">
        <v>3.7782340862422998</v>
      </c>
      <c r="P160" s="33">
        <v>7.9644079397672831</v>
      </c>
      <c r="Q160" s="33" t="s">
        <v>7</v>
      </c>
      <c r="R160" s="33" t="s">
        <v>7</v>
      </c>
      <c r="S160" s="33" t="s">
        <v>7</v>
      </c>
      <c r="T160" s="4">
        <v>7</v>
      </c>
      <c r="U160" s="4">
        <v>21</v>
      </c>
      <c r="V160" s="4" t="s">
        <v>1</v>
      </c>
      <c r="W160" s="4">
        <v>1</v>
      </c>
      <c r="X160" s="4">
        <v>3</v>
      </c>
      <c r="Y160" s="4">
        <v>1</v>
      </c>
      <c r="Z160" s="56">
        <v>3</v>
      </c>
      <c r="AA160" s="9" cm="1">
        <f t="array" ref="AA160">IF(OR(AB160:AE160=""),"BLANK",IF(AND(AB160:AE160&lt;999),1,IF(AND(AB160:AE160="NA"),3,2)))</f>
        <v>1</v>
      </c>
      <c r="AB160" s="4">
        <v>45</v>
      </c>
      <c r="AC160" s="4">
        <v>21</v>
      </c>
      <c r="AD160" s="4">
        <v>14</v>
      </c>
      <c r="AE160" s="5">
        <v>80</v>
      </c>
      <c r="AF160" s="9">
        <f t="shared" si="2"/>
        <v>1</v>
      </c>
      <c r="AG160" s="5">
        <v>61</v>
      </c>
      <c r="AH160" s="9" cm="1">
        <f t="array" ref="AH160">IF(OR(AI160:AN160=""),"BLANK",IF(AND(AI160:AN160&lt;999),1,IF(AND(AI160:AN160="NA"),3,2)))</f>
        <v>1</v>
      </c>
      <c r="AI160" s="37">
        <v>49</v>
      </c>
      <c r="AJ160" s="37">
        <v>64</v>
      </c>
      <c r="AK160" s="37">
        <v>111</v>
      </c>
      <c r="AL160" s="37">
        <v>108</v>
      </c>
      <c r="AM160" s="37">
        <v>69</v>
      </c>
      <c r="AN160" s="38">
        <v>57</v>
      </c>
    </row>
    <row r="161" spans="1:40" x14ac:dyDescent="0.2">
      <c r="A161" s="16">
        <v>2440</v>
      </c>
      <c r="B161" s="4" t="s">
        <v>66</v>
      </c>
      <c r="C161" s="30" t="s">
        <v>24</v>
      </c>
      <c r="D161" s="30">
        <v>5</v>
      </c>
      <c r="E161" s="30">
        <v>0</v>
      </c>
      <c r="F161" s="54" t="s">
        <v>6</v>
      </c>
      <c r="G161" s="30">
        <v>28</v>
      </c>
      <c r="H161" s="33">
        <v>3.9835728952772076</v>
      </c>
      <c r="I161" s="33">
        <v>4.2874743326488707</v>
      </c>
      <c r="J161" s="33">
        <v>8.2710472279260774</v>
      </c>
      <c r="K161" s="33">
        <v>3.9835728952772076</v>
      </c>
      <c r="L161" s="33">
        <v>4.2874743326488707</v>
      </c>
      <c r="M161" s="33">
        <v>8.2710472279260774</v>
      </c>
      <c r="N161" s="33">
        <v>4.0821355236139629</v>
      </c>
      <c r="O161" s="33">
        <v>4.128678986995209</v>
      </c>
      <c r="P161" s="33">
        <v>8.2108145106091719</v>
      </c>
      <c r="Q161" s="33">
        <v>5.1498973305954827</v>
      </c>
      <c r="R161" s="33">
        <v>3.4715947980835042</v>
      </c>
      <c r="S161" s="33">
        <v>8.6214921286789874</v>
      </c>
      <c r="T161" s="4" t="s">
        <v>7</v>
      </c>
      <c r="U161" s="4" t="s">
        <v>7</v>
      </c>
      <c r="V161" s="4" t="s">
        <v>1</v>
      </c>
      <c r="W161" s="4">
        <v>1</v>
      </c>
      <c r="X161" s="4">
        <v>3</v>
      </c>
      <c r="Y161" s="4">
        <v>1</v>
      </c>
      <c r="Z161" s="56">
        <v>3</v>
      </c>
      <c r="AA161" s="9" cm="1">
        <f t="array" ref="AA161">IF(OR(AB161:AE161=""),"BLANK",IF(AND(AB161:AE161&lt;999),1,IF(AND(AB161:AE161="NA"),3,2)))</f>
        <v>1</v>
      </c>
      <c r="AB161" s="4">
        <v>36</v>
      </c>
      <c r="AC161" s="4">
        <v>22</v>
      </c>
      <c r="AD161" s="4">
        <v>15</v>
      </c>
      <c r="AE161" s="5">
        <v>73</v>
      </c>
      <c r="AF161" s="9">
        <f t="shared" si="2"/>
        <v>1</v>
      </c>
      <c r="AG161" s="5">
        <v>62</v>
      </c>
      <c r="AH161" s="9" cm="1">
        <f t="array" ref="AH161">IF(OR(AI161:AN161=""),"BLANK",IF(AND(AI161:AN161&lt;999),1,IF(AND(AI161:AN161="NA"),3,2)))</f>
        <v>1</v>
      </c>
      <c r="AI161" s="37">
        <v>39</v>
      </c>
      <c r="AJ161" s="37">
        <v>48</v>
      </c>
      <c r="AK161" s="37">
        <v>90</v>
      </c>
      <c r="AL161" s="37">
        <v>104</v>
      </c>
      <c r="AM161" s="37">
        <v>60</v>
      </c>
      <c r="AN161" s="38">
        <v>51</v>
      </c>
    </row>
    <row r="162" spans="1:40" x14ac:dyDescent="0.2">
      <c r="A162" s="16">
        <v>2561</v>
      </c>
      <c r="B162" s="4" t="s">
        <v>54</v>
      </c>
      <c r="C162" s="30" t="s">
        <v>24</v>
      </c>
      <c r="D162" s="30">
        <v>5</v>
      </c>
      <c r="E162" s="30">
        <v>0</v>
      </c>
      <c r="F162" s="54" t="s">
        <v>6</v>
      </c>
      <c r="G162" s="30">
        <v>30</v>
      </c>
      <c r="H162" s="33">
        <v>3.8631074606433948</v>
      </c>
      <c r="I162" s="33">
        <v>4.2929500342231348</v>
      </c>
      <c r="J162" s="33">
        <v>8.1560574948665305</v>
      </c>
      <c r="K162" s="33">
        <v>3.8631074606433948</v>
      </c>
      <c r="L162" s="33">
        <v>4.2929500342231348</v>
      </c>
      <c r="M162" s="33">
        <v>8.1560574948665305</v>
      </c>
      <c r="N162" s="33">
        <v>3.805612594113621</v>
      </c>
      <c r="O162" s="33">
        <v>4.3312799452429847</v>
      </c>
      <c r="P162" s="33">
        <v>8.1368925393566052</v>
      </c>
      <c r="Q162" s="33" t="s">
        <v>7</v>
      </c>
      <c r="R162" s="33" t="s">
        <v>7</v>
      </c>
      <c r="S162" s="33" t="s">
        <v>7</v>
      </c>
      <c r="T162" s="4" t="s">
        <v>7</v>
      </c>
      <c r="U162" s="4" t="s">
        <v>7</v>
      </c>
      <c r="V162" s="4" t="s">
        <v>1</v>
      </c>
      <c r="W162" s="4">
        <v>1</v>
      </c>
      <c r="X162" s="4">
        <v>3</v>
      </c>
      <c r="Y162" s="4">
        <v>1</v>
      </c>
      <c r="Z162" s="56">
        <v>3</v>
      </c>
      <c r="AA162" s="9" cm="1">
        <f t="array" ref="AA162">IF(OR(AB162:AE162=""),"BLANK",IF(AND(AB162:AE162&lt;999),1,IF(AND(AB162:AE162="NA"),3,2)))</f>
        <v>1</v>
      </c>
      <c r="AB162" s="4">
        <v>32</v>
      </c>
      <c r="AC162" s="4">
        <v>18</v>
      </c>
      <c r="AD162" s="4">
        <v>16</v>
      </c>
      <c r="AE162" s="5">
        <v>66</v>
      </c>
      <c r="AF162" s="9">
        <f t="shared" si="2"/>
        <v>1</v>
      </c>
      <c r="AG162" s="5">
        <v>43</v>
      </c>
      <c r="AH162" s="9" cm="1">
        <f t="array" ref="AH162">IF(OR(AI162:AN162=""),"BLANK",IF(AND(AI162:AN162&lt;999),1,IF(AND(AI162:AN162="NA"),3,2)))</f>
        <v>1</v>
      </c>
      <c r="AI162" s="37">
        <v>39</v>
      </c>
      <c r="AJ162" s="37">
        <v>48</v>
      </c>
      <c r="AK162" s="37">
        <v>90</v>
      </c>
      <c r="AL162" s="37">
        <v>95</v>
      </c>
      <c r="AM162" s="37">
        <v>36</v>
      </c>
      <c r="AN162" s="38">
        <v>45</v>
      </c>
    </row>
    <row r="163" spans="1:40" x14ac:dyDescent="0.2">
      <c r="A163" s="16">
        <v>2748</v>
      </c>
      <c r="B163" s="4" t="s">
        <v>66</v>
      </c>
      <c r="C163" s="30" t="s">
        <v>24</v>
      </c>
      <c r="D163" s="30">
        <v>5</v>
      </c>
      <c r="E163" s="30">
        <v>0</v>
      </c>
      <c r="F163" s="54" t="s">
        <v>6</v>
      </c>
      <c r="G163" s="30">
        <v>29</v>
      </c>
      <c r="H163" s="33">
        <v>3.6194387405886381</v>
      </c>
      <c r="I163" s="33">
        <v>4.3312799452429847</v>
      </c>
      <c r="J163" s="33">
        <v>7.9507186858316219</v>
      </c>
      <c r="K163" s="33">
        <v>3.6194387405886381</v>
      </c>
      <c r="L163" s="33">
        <v>4.3312799452429847</v>
      </c>
      <c r="M163" s="33">
        <v>7.9507186858316219</v>
      </c>
      <c r="N163" s="33">
        <v>5.0650239561943877</v>
      </c>
      <c r="O163" s="33" t="s">
        <v>7</v>
      </c>
      <c r="P163" s="33" t="s">
        <v>7</v>
      </c>
      <c r="Q163" s="33">
        <v>4.8021902806297057</v>
      </c>
      <c r="R163" s="33" t="s">
        <v>7</v>
      </c>
      <c r="S163" s="33" t="s">
        <v>7</v>
      </c>
      <c r="T163" s="4">
        <v>3</v>
      </c>
      <c r="U163" s="4">
        <v>14</v>
      </c>
      <c r="V163" s="4" t="s">
        <v>1</v>
      </c>
      <c r="W163" s="4">
        <v>1</v>
      </c>
      <c r="X163" s="4">
        <v>3</v>
      </c>
      <c r="Y163" s="4">
        <v>1</v>
      </c>
      <c r="Z163" s="56">
        <v>3</v>
      </c>
      <c r="AA163" s="9" cm="1">
        <f t="array" ref="AA163">IF(OR(AB163:AE163=""),"BLANK",IF(AND(AB163:AE163&lt;999),1,IF(AND(AB163:AE163="NA"),3,2)))</f>
        <v>1</v>
      </c>
      <c r="AB163" s="4">
        <v>21</v>
      </c>
      <c r="AC163" s="4">
        <v>10</v>
      </c>
      <c r="AD163" s="4">
        <v>6</v>
      </c>
      <c r="AE163" s="5">
        <v>37</v>
      </c>
      <c r="AF163" s="9">
        <f t="shared" si="2"/>
        <v>1</v>
      </c>
      <c r="AG163" s="5">
        <v>35</v>
      </c>
      <c r="AH163" s="9" cm="1">
        <f t="array" ref="AH163">IF(OR(AI163:AN163=""),"BLANK",IF(AND(AI163:AN163&lt;999),1,IF(AND(AI163:AN163="NA"),3,2)))</f>
        <v>1</v>
      </c>
      <c r="AI163" s="37">
        <v>32</v>
      </c>
      <c r="AJ163" s="37">
        <v>36</v>
      </c>
      <c r="AK163" s="37">
        <v>76</v>
      </c>
      <c r="AL163" s="37">
        <v>84</v>
      </c>
      <c r="AM163" s="37">
        <v>14</v>
      </c>
      <c r="AN163" s="38">
        <v>39</v>
      </c>
    </row>
    <row r="164" spans="1:40" x14ac:dyDescent="0.2">
      <c r="A164" s="16">
        <v>2790</v>
      </c>
      <c r="B164" s="4" t="s">
        <v>48</v>
      </c>
      <c r="C164" s="30" t="s">
        <v>23</v>
      </c>
      <c r="D164" s="30">
        <v>5</v>
      </c>
      <c r="E164" s="30">
        <v>0</v>
      </c>
      <c r="F164" s="54" t="s">
        <v>6</v>
      </c>
      <c r="G164" s="30">
        <v>28</v>
      </c>
      <c r="H164" s="33">
        <v>3.5975359342915811</v>
      </c>
      <c r="I164" s="33">
        <v>4.2518822724161529</v>
      </c>
      <c r="J164" s="33">
        <v>7.8494182067077345</v>
      </c>
      <c r="K164" s="33">
        <v>3.5975359342915811</v>
      </c>
      <c r="L164" s="33">
        <v>4.2518822724161529</v>
      </c>
      <c r="M164" s="33">
        <v>7.8494182067077345</v>
      </c>
      <c r="N164" s="33">
        <v>3.5838466803559208</v>
      </c>
      <c r="O164" s="33">
        <v>4.2080766598220398</v>
      </c>
      <c r="P164" s="33">
        <v>7.7919233401779602</v>
      </c>
      <c r="Q164" s="33" t="s">
        <v>7</v>
      </c>
      <c r="R164" s="33" t="s">
        <v>7</v>
      </c>
      <c r="S164" s="33" t="s">
        <v>7</v>
      </c>
      <c r="T164" s="4">
        <v>3</v>
      </c>
      <c r="U164" s="4">
        <v>15</v>
      </c>
      <c r="V164" s="4" t="s">
        <v>1</v>
      </c>
      <c r="W164" s="4">
        <v>1</v>
      </c>
      <c r="X164" s="4">
        <v>3</v>
      </c>
      <c r="Y164" s="4">
        <v>1</v>
      </c>
      <c r="Z164" s="56">
        <v>3</v>
      </c>
      <c r="AA164" s="9" cm="1">
        <f t="array" ref="AA164">IF(OR(AB164:AE164=""),"BLANK",IF(AND(AB164:AE164&lt;999),1,IF(AND(AB164:AE164="NA"),3,2)))</f>
        <v>1</v>
      </c>
      <c r="AB164" s="4">
        <v>33</v>
      </c>
      <c r="AC164" s="4">
        <v>24</v>
      </c>
      <c r="AD164" s="4">
        <v>16</v>
      </c>
      <c r="AE164" s="5">
        <v>73</v>
      </c>
      <c r="AF164" s="9">
        <f t="shared" si="2"/>
        <v>1</v>
      </c>
      <c r="AG164" s="5">
        <v>51</v>
      </c>
      <c r="AH164" s="9" cm="1">
        <f t="array" ref="AH164">IF(OR(AI164:AN164=""),"BLANK",IF(AND(AI164:AN164&lt;999),1,IF(AND(AI164:AN164="NA"),3,2)))</f>
        <v>1</v>
      </c>
      <c r="AI164" s="37">
        <v>40</v>
      </c>
      <c r="AJ164" s="37">
        <v>49</v>
      </c>
      <c r="AK164" s="37">
        <v>92</v>
      </c>
      <c r="AL164" s="37">
        <v>100</v>
      </c>
      <c r="AM164" s="37">
        <v>51</v>
      </c>
      <c r="AN164" s="38">
        <v>48</v>
      </c>
    </row>
    <row r="165" spans="1:40" x14ac:dyDescent="0.2">
      <c r="A165" s="16">
        <v>2885</v>
      </c>
      <c r="B165" s="4" t="s">
        <v>59</v>
      </c>
      <c r="C165" s="30" t="s">
        <v>23</v>
      </c>
      <c r="D165" s="30">
        <v>5</v>
      </c>
      <c r="E165" s="30">
        <v>0</v>
      </c>
      <c r="F165" s="54" t="s">
        <v>6</v>
      </c>
      <c r="G165" s="30">
        <v>30</v>
      </c>
      <c r="H165" s="33">
        <v>3.6577686516084875</v>
      </c>
      <c r="I165" s="33">
        <v>4.4982888432580426</v>
      </c>
      <c r="J165" s="33">
        <v>8.1560574948665305</v>
      </c>
      <c r="K165" s="33">
        <v>3.6577686516084875</v>
      </c>
      <c r="L165" s="33">
        <v>4.5475701574264207</v>
      </c>
      <c r="M165" s="33">
        <v>8.2053388090349078</v>
      </c>
      <c r="N165" s="33">
        <v>3.7371663244353184</v>
      </c>
      <c r="O165" s="33">
        <v>4.3531827515400412</v>
      </c>
      <c r="P165" s="33">
        <v>8.0903490759753591</v>
      </c>
      <c r="Q165" s="33">
        <v>4.6160164271047224</v>
      </c>
      <c r="R165" s="33">
        <v>3.6796714579055441</v>
      </c>
      <c r="S165" s="33">
        <v>8.2956878850102669</v>
      </c>
      <c r="T165" s="4">
        <v>3</v>
      </c>
      <c r="U165" s="4">
        <v>14</v>
      </c>
      <c r="V165" s="4" t="s">
        <v>1</v>
      </c>
      <c r="W165" s="4">
        <v>1</v>
      </c>
      <c r="X165" s="4">
        <v>3</v>
      </c>
      <c r="Y165" s="4">
        <v>1</v>
      </c>
      <c r="Z165" s="56">
        <v>3</v>
      </c>
      <c r="AA165" s="9" cm="1">
        <f t="array" ref="AA165">IF(OR(AB165:AE165=""),"BLANK",IF(AND(AB165:AE165&lt;999),1,IF(AND(AB165:AE165="NA"),3,2)))</f>
        <v>1</v>
      </c>
      <c r="AB165" s="4">
        <v>32</v>
      </c>
      <c r="AC165" s="4">
        <v>20</v>
      </c>
      <c r="AD165" s="4">
        <v>14</v>
      </c>
      <c r="AE165" s="5">
        <v>66</v>
      </c>
      <c r="AF165" s="9">
        <f t="shared" si="2"/>
        <v>1</v>
      </c>
      <c r="AG165" s="5">
        <v>70</v>
      </c>
      <c r="AH165" s="9" cm="1">
        <f t="array" ref="AH165">IF(OR(AI165:AN165=""),"BLANK",IF(AND(AI165:AN165&lt;999),1,IF(AND(AI165:AN165="NA"),3,2)))</f>
        <v>1</v>
      </c>
      <c r="AI165" s="37">
        <v>52</v>
      </c>
      <c r="AJ165" s="37">
        <v>69</v>
      </c>
      <c r="AK165" s="37">
        <v>117</v>
      </c>
      <c r="AL165" s="37">
        <v>134</v>
      </c>
      <c r="AM165" s="37">
        <v>99</v>
      </c>
      <c r="AN165" s="38">
        <v>73</v>
      </c>
    </row>
    <row r="166" spans="1:40" x14ac:dyDescent="0.2">
      <c r="A166" s="16">
        <v>2940</v>
      </c>
      <c r="B166" s="4" t="s">
        <v>48</v>
      </c>
      <c r="C166" s="30" t="s">
        <v>23</v>
      </c>
      <c r="D166" s="30">
        <v>5</v>
      </c>
      <c r="E166" s="30">
        <v>0</v>
      </c>
      <c r="F166" s="54" t="s">
        <v>6</v>
      </c>
      <c r="G166" s="30">
        <v>29</v>
      </c>
      <c r="H166" s="33">
        <v>4.0629705681040384</v>
      </c>
      <c r="I166" s="33">
        <v>3.8740588637919235</v>
      </c>
      <c r="J166" s="33">
        <v>7.9370294318959616</v>
      </c>
      <c r="K166" s="33">
        <v>4.0629705681040384</v>
      </c>
      <c r="L166" s="33">
        <v>3.8740588637919235</v>
      </c>
      <c r="M166" s="33">
        <v>7.9370294318959616</v>
      </c>
      <c r="N166" s="33">
        <v>4.0629705681040384</v>
      </c>
      <c r="O166" s="33">
        <v>3.8384668035592062</v>
      </c>
      <c r="P166" s="33">
        <v>7.9014373716632447</v>
      </c>
      <c r="Q166" s="33">
        <v>4.5201916495550991</v>
      </c>
      <c r="R166" s="33">
        <v>3.5756331279945242</v>
      </c>
      <c r="S166" s="33">
        <v>8.0958247775496233</v>
      </c>
      <c r="T166" s="4" t="s">
        <v>7</v>
      </c>
      <c r="U166" s="4" t="s">
        <v>7</v>
      </c>
      <c r="V166" s="4" t="s">
        <v>1</v>
      </c>
      <c r="W166" s="4">
        <v>1</v>
      </c>
      <c r="X166" s="4">
        <v>3</v>
      </c>
      <c r="Y166" s="4">
        <v>1</v>
      </c>
      <c r="Z166" s="56">
        <v>3</v>
      </c>
      <c r="AA166" s="9" cm="1">
        <f t="array" ref="AA166">IF(OR(AB166:AE166=""),"BLANK",IF(AND(AB166:AE166&lt;999),1,IF(AND(AB166:AE166="NA"),3,2)))</f>
        <v>1</v>
      </c>
      <c r="AB166" s="4">
        <v>31</v>
      </c>
      <c r="AC166" s="4">
        <v>16</v>
      </c>
      <c r="AD166" s="4">
        <v>10</v>
      </c>
      <c r="AE166" s="5">
        <v>57</v>
      </c>
      <c r="AF166" s="9">
        <f t="shared" si="2"/>
        <v>1</v>
      </c>
      <c r="AG166" s="5">
        <v>49</v>
      </c>
      <c r="AH166" s="9" cm="1">
        <f t="array" ref="AH166">IF(OR(AI166:AN166=""),"BLANK",IF(AND(AI166:AN166&lt;999),1,IF(AND(AI166:AN166="NA"),3,2)))</f>
        <v>1</v>
      </c>
      <c r="AI166" s="37">
        <v>39</v>
      </c>
      <c r="AJ166" s="37">
        <v>48</v>
      </c>
      <c r="AK166" s="37">
        <v>90</v>
      </c>
      <c r="AL166" s="37">
        <v>100</v>
      </c>
      <c r="AM166" s="37">
        <v>49</v>
      </c>
      <c r="AN166" s="38">
        <v>47</v>
      </c>
    </row>
    <row r="167" spans="1:40" x14ac:dyDescent="0.2">
      <c r="A167" s="16">
        <v>2976</v>
      </c>
      <c r="B167" s="4" t="s">
        <v>52</v>
      </c>
      <c r="C167" s="30" t="s">
        <v>23</v>
      </c>
      <c r="D167" s="30">
        <v>5</v>
      </c>
      <c r="E167" s="30">
        <v>0</v>
      </c>
      <c r="F167" s="54" t="s">
        <v>6</v>
      </c>
      <c r="G167" s="30">
        <v>24</v>
      </c>
      <c r="H167" s="33">
        <v>3.5154004106776182</v>
      </c>
      <c r="I167" s="33">
        <v>4.3258042436687196</v>
      </c>
      <c r="J167" s="33">
        <v>7.8412046543463383</v>
      </c>
      <c r="K167" s="33">
        <v>3.5154004106776182</v>
      </c>
      <c r="L167" s="33">
        <v>4.3258042436687196</v>
      </c>
      <c r="M167" s="33">
        <v>7.8412046543463383</v>
      </c>
      <c r="N167" s="33">
        <v>3.5071868583162216</v>
      </c>
      <c r="O167" s="33">
        <v>4.6242299794661195</v>
      </c>
      <c r="P167" s="33">
        <v>8.131416837782341</v>
      </c>
      <c r="Q167" s="33">
        <v>3.893223819301848</v>
      </c>
      <c r="R167" s="33">
        <v>3.8439425051334704</v>
      </c>
      <c r="S167" s="33">
        <v>7.7371663244353179</v>
      </c>
      <c r="T167" s="4">
        <v>3</v>
      </c>
      <c r="U167" s="4">
        <v>15</v>
      </c>
      <c r="V167" s="4" t="s">
        <v>1</v>
      </c>
      <c r="W167" s="4">
        <v>1</v>
      </c>
      <c r="X167" s="4">
        <v>3</v>
      </c>
      <c r="Y167" s="4">
        <v>1</v>
      </c>
      <c r="Z167" s="56">
        <v>3</v>
      </c>
      <c r="AA167" s="9" cm="1">
        <f t="array" ref="AA167">IF(OR(AB167:AE167=""),"BLANK",IF(AND(AB167:AE167&lt;999),1,IF(AND(AB167:AE167="NA"),3,2)))</f>
        <v>1</v>
      </c>
      <c r="AB167" s="4">
        <v>27</v>
      </c>
      <c r="AC167" s="4">
        <v>15</v>
      </c>
      <c r="AD167" s="4">
        <v>8</v>
      </c>
      <c r="AE167" s="5">
        <v>50</v>
      </c>
      <c r="AF167" s="9">
        <f t="shared" si="2"/>
        <v>1</v>
      </c>
      <c r="AG167" s="5">
        <v>48</v>
      </c>
      <c r="AH167" s="9" cm="1">
        <f t="array" ref="AH167">IF(OR(AI167:AN167=""),"BLANK",IF(AND(AI167:AN167&lt;999),1,IF(AND(AI167:AN167="NA"),3,2)))</f>
        <v>1</v>
      </c>
      <c r="AI167" s="37">
        <v>27</v>
      </c>
      <c r="AJ167" s="37">
        <v>28</v>
      </c>
      <c r="AK167" s="37">
        <v>65</v>
      </c>
      <c r="AL167" s="37">
        <v>71</v>
      </c>
      <c r="AM167" s="37">
        <v>3</v>
      </c>
      <c r="AN167" s="38">
        <v>25</v>
      </c>
    </row>
    <row r="168" spans="1:40" x14ac:dyDescent="0.2">
      <c r="A168" s="16">
        <v>3025</v>
      </c>
      <c r="B168" s="4" t="s">
        <v>58</v>
      </c>
      <c r="C168" s="30" t="s">
        <v>23</v>
      </c>
      <c r="D168" s="30">
        <v>5</v>
      </c>
      <c r="E168" s="30">
        <v>0</v>
      </c>
      <c r="F168" s="54" t="s">
        <v>6</v>
      </c>
      <c r="G168" s="30">
        <v>28</v>
      </c>
      <c r="H168" s="33">
        <v>3.4305270362765228</v>
      </c>
      <c r="I168" s="33">
        <v>4.0520191649555102</v>
      </c>
      <c r="J168" s="33">
        <v>7.482546201232033</v>
      </c>
      <c r="K168" s="33">
        <v>3.4305270362765228</v>
      </c>
      <c r="L168" s="33">
        <v>4.0547570157426422</v>
      </c>
      <c r="M168" s="33">
        <v>7.485284052019165</v>
      </c>
      <c r="N168" s="33">
        <v>3.460643394934976</v>
      </c>
      <c r="O168" s="33">
        <v>3.9972621492128679</v>
      </c>
      <c r="P168" s="33">
        <v>7.4579055441478443</v>
      </c>
      <c r="Q168" s="33">
        <v>4.1560574948665296</v>
      </c>
      <c r="R168" s="33" t="s">
        <v>7</v>
      </c>
      <c r="S168" s="33" t="s">
        <v>7</v>
      </c>
      <c r="T168" s="4" t="s">
        <v>7</v>
      </c>
      <c r="U168" s="4" t="s">
        <v>7</v>
      </c>
      <c r="V168" s="4" t="s">
        <v>1</v>
      </c>
      <c r="W168" s="4">
        <v>1</v>
      </c>
      <c r="X168" s="4">
        <v>3</v>
      </c>
      <c r="Y168" s="4">
        <v>1</v>
      </c>
      <c r="Z168" s="56">
        <v>3</v>
      </c>
      <c r="AA168" s="9" cm="1">
        <f t="array" ref="AA168">IF(OR(AB168:AE168=""),"BLANK",IF(AND(AB168:AE168&lt;999),1,IF(AND(AB168:AE168="NA"),3,2)))</f>
        <v>1</v>
      </c>
      <c r="AB168" s="4">
        <v>32</v>
      </c>
      <c r="AC168" s="4">
        <v>17</v>
      </c>
      <c r="AD168" s="4">
        <v>14</v>
      </c>
      <c r="AE168" s="5">
        <v>63</v>
      </c>
      <c r="AF168" s="9">
        <f t="shared" si="2"/>
        <v>1</v>
      </c>
      <c r="AG168" s="5">
        <v>54</v>
      </c>
      <c r="AH168" s="9" cm="1">
        <f t="array" ref="AH168">IF(OR(AI168:AN168=""),"BLANK",IF(AND(AI168:AN168&lt;999),1,IF(AND(AI168:AN168="NA"),3,2)))</f>
        <v>1</v>
      </c>
      <c r="AI168" s="37">
        <v>48</v>
      </c>
      <c r="AJ168" s="37">
        <v>62</v>
      </c>
      <c r="AK168" s="37">
        <v>109</v>
      </c>
      <c r="AL168" s="37">
        <v>123</v>
      </c>
      <c r="AM168" s="37">
        <v>94</v>
      </c>
      <c r="AN168" s="38">
        <v>64</v>
      </c>
    </row>
    <row r="169" spans="1:40" x14ac:dyDescent="0.2">
      <c r="A169" s="16">
        <v>3066</v>
      </c>
      <c r="B169" s="4" t="s">
        <v>58</v>
      </c>
      <c r="C169" s="30" t="s">
        <v>23</v>
      </c>
      <c r="D169" s="30">
        <v>5</v>
      </c>
      <c r="E169" s="30">
        <v>0</v>
      </c>
      <c r="F169" s="54" t="s">
        <v>6</v>
      </c>
      <c r="G169" s="30">
        <v>30</v>
      </c>
      <c r="H169" s="33">
        <v>3.5619438740588638</v>
      </c>
      <c r="I169" s="33">
        <v>3.8576317590691307</v>
      </c>
      <c r="J169" s="33">
        <v>7.4195756331279945</v>
      </c>
      <c r="K169" s="33">
        <v>3.5619438740588638</v>
      </c>
      <c r="L169" s="33">
        <v>3.8576317590691307</v>
      </c>
      <c r="M169" s="33">
        <v>7.4195756331279945</v>
      </c>
      <c r="N169" s="33">
        <v>3.5318275154004106</v>
      </c>
      <c r="O169" s="33">
        <v>3.8439425051334704</v>
      </c>
      <c r="P169" s="33">
        <v>7.3757700205338805</v>
      </c>
      <c r="Q169" s="33">
        <v>3.9644079397672827</v>
      </c>
      <c r="R169" s="33" t="s">
        <v>7</v>
      </c>
      <c r="S169" s="33" t="s">
        <v>7</v>
      </c>
      <c r="T169" s="4">
        <v>3</v>
      </c>
      <c r="U169" s="4">
        <v>14</v>
      </c>
      <c r="V169" s="4" t="s">
        <v>1</v>
      </c>
      <c r="W169" s="4">
        <v>1</v>
      </c>
      <c r="X169" s="4">
        <v>3</v>
      </c>
      <c r="Y169" s="4">
        <v>1</v>
      </c>
      <c r="Z169" s="56">
        <v>3</v>
      </c>
      <c r="AA169" s="9" cm="1">
        <f t="array" ref="AA169">IF(OR(AB169:AE169=""),"BLANK",IF(AND(AB169:AE169&lt;999),1,IF(AND(AB169:AE169="NA"),3,2)))</f>
        <v>1</v>
      </c>
      <c r="AB169" s="4">
        <v>35</v>
      </c>
      <c r="AC169" s="4">
        <v>20</v>
      </c>
      <c r="AD169" s="4">
        <v>14</v>
      </c>
      <c r="AE169" s="5">
        <v>69</v>
      </c>
      <c r="AF169" s="9">
        <f t="shared" si="2"/>
        <v>1</v>
      </c>
      <c r="AG169" s="5">
        <v>61</v>
      </c>
      <c r="AH169" s="9" cm="1">
        <f t="array" ref="AH169">IF(OR(AI169:AN169=""),"BLANK",IF(AND(AI169:AN169&lt;999),1,IF(AND(AI169:AN169="NA"),3,2)))</f>
        <v>1</v>
      </c>
      <c r="AI169" s="37">
        <v>49</v>
      </c>
      <c r="AJ169" s="37">
        <v>64</v>
      </c>
      <c r="AK169" s="37">
        <v>111</v>
      </c>
      <c r="AL169" s="37">
        <v>123</v>
      </c>
      <c r="AM169" s="37">
        <v>94</v>
      </c>
      <c r="AN169" s="38">
        <v>64</v>
      </c>
    </row>
    <row r="170" spans="1:40" x14ac:dyDescent="0.2">
      <c r="A170" s="16">
        <v>3102</v>
      </c>
      <c r="B170" s="4" t="s">
        <v>66</v>
      </c>
      <c r="C170" s="30" t="s">
        <v>24</v>
      </c>
      <c r="D170" s="30">
        <v>5</v>
      </c>
      <c r="E170" s="30">
        <v>0</v>
      </c>
      <c r="F170" s="54" t="s">
        <v>6</v>
      </c>
      <c r="G170" s="30">
        <v>30</v>
      </c>
      <c r="H170" s="33">
        <v>3.4715947980835042</v>
      </c>
      <c r="I170" s="33">
        <v>3.9753593429158109</v>
      </c>
      <c r="J170" s="33">
        <v>7.4469541409993152</v>
      </c>
      <c r="K170" s="33">
        <v>3.4688569472963722</v>
      </c>
      <c r="L170" s="33">
        <v>3.9753593429158109</v>
      </c>
      <c r="M170" s="33">
        <v>7.4442162902121831</v>
      </c>
      <c r="N170" s="33">
        <v>3.4360027378507869</v>
      </c>
      <c r="O170" s="33">
        <v>3.9698836413415468</v>
      </c>
      <c r="P170" s="33">
        <v>7.4058863791923342</v>
      </c>
      <c r="Q170" s="33">
        <v>3.8439425051334704</v>
      </c>
      <c r="R170" s="33" t="s">
        <v>7</v>
      </c>
      <c r="S170" s="33" t="s">
        <v>7</v>
      </c>
      <c r="T170" s="4">
        <v>4</v>
      </c>
      <c r="U170" s="4">
        <v>16</v>
      </c>
      <c r="V170" s="4" t="s">
        <v>1</v>
      </c>
      <c r="W170" s="4">
        <v>1</v>
      </c>
      <c r="X170" s="4">
        <v>3</v>
      </c>
      <c r="Y170" s="4">
        <v>1</v>
      </c>
      <c r="Z170" s="56">
        <v>3</v>
      </c>
      <c r="AA170" s="9" cm="1">
        <f t="array" ref="AA170">IF(OR(AB170:AE170=""),"BLANK",IF(AND(AB170:AE170&lt;999),1,IF(AND(AB170:AE170="NA"),3,2)))</f>
        <v>1</v>
      </c>
      <c r="AB170" s="4">
        <v>25</v>
      </c>
      <c r="AC170" s="4">
        <v>12</v>
      </c>
      <c r="AD170" s="4">
        <v>6</v>
      </c>
      <c r="AE170" s="5">
        <v>43</v>
      </c>
      <c r="AF170" s="9">
        <f t="shared" si="2"/>
        <v>1</v>
      </c>
      <c r="AG170" s="5">
        <v>29</v>
      </c>
      <c r="AH170" s="9" cm="1">
        <f t="array" ref="AH170">IF(OR(AI170:AN170=""),"BLANK",IF(AND(AI170:AN170&lt;999),1,IF(AND(AI170:AN170="NA"),3,2)))</f>
        <v>1</v>
      </c>
      <c r="AI170" s="37">
        <v>40</v>
      </c>
      <c r="AJ170" s="37">
        <v>49</v>
      </c>
      <c r="AK170" s="37">
        <v>92</v>
      </c>
      <c r="AL170" s="37">
        <v>103</v>
      </c>
      <c r="AM170" s="37">
        <v>58</v>
      </c>
      <c r="AN170" s="38">
        <v>50</v>
      </c>
    </row>
    <row r="171" spans="1:40" x14ac:dyDescent="0.2">
      <c r="A171" s="16">
        <v>3126</v>
      </c>
      <c r="B171" s="4" t="s">
        <v>52</v>
      </c>
      <c r="C171" s="30" t="s">
        <v>23</v>
      </c>
      <c r="D171" s="30">
        <v>5</v>
      </c>
      <c r="E171" s="30">
        <v>0</v>
      </c>
      <c r="F171" s="54" t="s">
        <v>6</v>
      </c>
      <c r="G171" s="30">
        <v>29</v>
      </c>
      <c r="H171" s="33">
        <v>3.4770704996577688</v>
      </c>
      <c r="I171" s="33">
        <v>4.3531827515400412</v>
      </c>
      <c r="J171" s="33">
        <v>7.83025325119781</v>
      </c>
      <c r="K171" s="33">
        <v>3.5646817248459959</v>
      </c>
      <c r="L171" s="33">
        <v>4.2464065708418888</v>
      </c>
      <c r="M171" s="33">
        <v>7.8110882956878847</v>
      </c>
      <c r="N171" s="33">
        <v>3.5592060232717317</v>
      </c>
      <c r="O171" s="33">
        <v>4.1916495550992474</v>
      </c>
      <c r="P171" s="33">
        <v>7.7508555783709792</v>
      </c>
      <c r="Q171" s="33">
        <v>3.6550308008213555</v>
      </c>
      <c r="R171" s="33" t="s">
        <v>7</v>
      </c>
      <c r="S171" s="33" t="s">
        <v>7</v>
      </c>
      <c r="T171" s="4" t="s">
        <v>7</v>
      </c>
      <c r="U171" s="4" t="s">
        <v>7</v>
      </c>
      <c r="V171" s="4" t="s">
        <v>1</v>
      </c>
      <c r="W171" s="4">
        <v>1</v>
      </c>
      <c r="X171" s="4">
        <v>3</v>
      </c>
      <c r="Y171" s="4">
        <v>1</v>
      </c>
      <c r="Z171" s="56">
        <v>3</v>
      </c>
      <c r="AA171" s="9" cm="1">
        <f t="array" ref="AA171">IF(OR(AB171:AE171=""),"BLANK",IF(AND(AB171:AE171&lt;999),1,IF(AND(AB171:AE171="NA"),3,2)))</f>
        <v>1</v>
      </c>
      <c r="AB171" s="4">
        <v>26</v>
      </c>
      <c r="AC171" s="4">
        <v>16</v>
      </c>
      <c r="AD171" s="4">
        <v>9</v>
      </c>
      <c r="AE171" s="5">
        <v>51</v>
      </c>
      <c r="AF171" s="9">
        <f t="shared" si="2"/>
        <v>1</v>
      </c>
      <c r="AG171" s="5">
        <v>33</v>
      </c>
      <c r="AH171" s="9" cm="1">
        <f t="array" ref="AH171">IF(OR(AI171:AN171=""),"BLANK",IF(AND(AI171:AN171&lt;999),1,IF(AND(AI171:AN171="NA"),3,2)))</f>
        <v>1</v>
      </c>
      <c r="AI171" s="37">
        <v>41</v>
      </c>
      <c r="AJ171" s="37">
        <v>51</v>
      </c>
      <c r="AK171" s="37">
        <v>94</v>
      </c>
      <c r="AL171" s="37">
        <v>112</v>
      </c>
      <c r="AM171" s="37">
        <v>79</v>
      </c>
      <c r="AN171" s="38">
        <v>55</v>
      </c>
    </row>
    <row r="172" spans="1:40" x14ac:dyDescent="0.2">
      <c r="A172" s="16">
        <v>3131</v>
      </c>
      <c r="B172" s="4" t="s">
        <v>64</v>
      </c>
      <c r="C172" s="30" t="s">
        <v>23</v>
      </c>
      <c r="D172" s="30">
        <v>5</v>
      </c>
      <c r="E172" s="30">
        <v>0</v>
      </c>
      <c r="F172" s="54" t="s">
        <v>6</v>
      </c>
      <c r="G172" s="30">
        <v>30</v>
      </c>
      <c r="H172" s="33">
        <v>3.5482546201232035</v>
      </c>
      <c r="I172" s="33">
        <v>4.2902121834360027</v>
      </c>
      <c r="J172" s="33">
        <v>7.8384668035592062</v>
      </c>
      <c r="K172" s="33">
        <v>3.5482546201232035</v>
      </c>
      <c r="L172" s="33">
        <v>4.2902121834360027</v>
      </c>
      <c r="M172" s="33">
        <v>7.8384668035592062</v>
      </c>
      <c r="N172" s="33">
        <v>3.5400410677618068</v>
      </c>
      <c r="O172" s="33">
        <v>4.3230663928815876</v>
      </c>
      <c r="P172" s="33">
        <v>7.8631074606433948</v>
      </c>
      <c r="Q172" s="33">
        <v>3.4086242299794662</v>
      </c>
      <c r="R172" s="33">
        <v>4.2546201232032859</v>
      </c>
      <c r="S172" s="33">
        <v>7.6632443531827512</v>
      </c>
      <c r="T172" s="4">
        <v>3</v>
      </c>
      <c r="U172" s="4">
        <v>14.5</v>
      </c>
      <c r="V172" s="4" t="s">
        <v>1</v>
      </c>
      <c r="W172" s="4">
        <v>1</v>
      </c>
      <c r="X172" s="4">
        <v>3</v>
      </c>
      <c r="Y172" s="4">
        <v>1</v>
      </c>
      <c r="Z172" s="56">
        <v>3</v>
      </c>
      <c r="AA172" s="9" cm="1">
        <f t="array" ref="AA172">IF(OR(AB172:AE172=""),"BLANK",IF(AND(AB172:AE172&lt;999),1,IF(AND(AB172:AE172="NA"),3,2)))</f>
        <v>1</v>
      </c>
      <c r="AB172" s="4">
        <v>30</v>
      </c>
      <c r="AC172" s="4">
        <v>17</v>
      </c>
      <c r="AD172" s="4">
        <v>14</v>
      </c>
      <c r="AE172" s="5">
        <v>61</v>
      </c>
      <c r="AF172" s="9">
        <f t="shared" si="2"/>
        <v>1</v>
      </c>
      <c r="AG172" s="5">
        <v>54</v>
      </c>
      <c r="AH172" s="9" cm="1">
        <f t="array" ref="AH172">IF(OR(AI172:AN172=""),"BLANK",IF(AND(AI172:AN172&lt;999),1,IF(AND(AI172:AN172="NA"),3,2)))</f>
        <v>1</v>
      </c>
      <c r="AI172" s="37">
        <v>37</v>
      </c>
      <c r="AJ172" s="37">
        <v>44</v>
      </c>
      <c r="AK172" s="37">
        <v>86</v>
      </c>
      <c r="AL172" s="37">
        <v>104</v>
      </c>
      <c r="AM172" s="37">
        <v>59</v>
      </c>
      <c r="AN172" s="38">
        <v>50</v>
      </c>
    </row>
    <row r="173" spans="1:40" x14ac:dyDescent="0.2">
      <c r="A173" s="16">
        <v>3146</v>
      </c>
      <c r="B173" s="4" t="s">
        <v>52</v>
      </c>
      <c r="C173" s="30" t="s">
        <v>24</v>
      </c>
      <c r="D173" s="30">
        <v>5</v>
      </c>
      <c r="E173" s="30">
        <v>1</v>
      </c>
      <c r="F173" s="54" t="s">
        <v>6</v>
      </c>
      <c r="G173" s="30">
        <v>29</v>
      </c>
      <c r="H173" s="33">
        <v>3.460643394934976</v>
      </c>
      <c r="I173" s="33">
        <v>4.5393566050650236</v>
      </c>
      <c r="J173" s="33">
        <v>8</v>
      </c>
      <c r="K173" s="33">
        <v>3.460643394934976</v>
      </c>
      <c r="L173" s="33">
        <v>4.6543463381245722</v>
      </c>
      <c r="M173" s="33">
        <v>8.1149897330595486</v>
      </c>
      <c r="N173" s="33">
        <v>3.5263518138261465</v>
      </c>
      <c r="O173" s="33">
        <v>4.4791238877481181</v>
      </c>
      <c r="P173" s="33">
        <v>8.0054757015742641</v>
      </c>
      <c r="Q173" s="33">
        <v>3.5455167693360714</v>
      </c>
      <c r="R173" s="33" t="s">
        <v>7</v>
      </c>
      <c r="S173" s="33" t="s">
        <v>7</v>
      </c>
      <c r="T173" s="4" t="s">
        <v>7</v>
      </c>
      <c r="U173" s="4" t="s">
        <v>7</v>
      </c>
      <c r="V173" s="4" t="s">
        <v>1</v>
      </c>
      <c r="W173" s="4">
        <v>1</v>
      </c>
      <c r="X173" s="4">
        <v>3</v>
      </c>
      <c r="Y173" s="4">
        <v>1</v>
      </c>
      <c r="Z173" s="56">
        <v>3</v>
      </c>
      <c r="AA173" s="9" cm="1">
        <f t="array" ref="AA173">IF(OR(AB173:AE173=""),"BLANK",IF(AND(AB173:AE173&lt;999),1,IF(AND(AB173:AE173="NA"),3,2)))</f>
        <v>1</v>
      </c>
      <c r="AB173" s="4">
        <v>33</v>
      </c>
      <c r="AC173" s="4">
        <v>14</v>
      </c>
      <c r="AD173" s="4">
        <v>10</v>
      </c>
      <c r="AE173" s="5">
        <v>57</v>
      </c>
      <c r="AF173" s="9">
        <f t="shared" si="2"/>
        <v>1</v>
      </c>
      <c r="AG173" s="5">
        <v>43</v>
      </c>
      <c r="AH173" s="9" cm="1">
        <f t="array" ref="AH173">IF(OR(AI173:AN173=""),"BLANK",IF(AND(AI173:AN173&lt;999),1,IF(AND(AI173:AN173="NA"),3,2)))</f>
        <v>3</v>
      </c>
      <c r="AI173" s="37" t="s">
        <v>7</v>
      </c>
      <c r="AJ173" s="37" t="s">
        <v>7</v>
      </c>
      <c r="AK173" s="37" t="s">
        <v>7</v>
      </c>
      <c r="AL173" s="37" t="s">
        <v>7</v>
      </c>
      <c r="AM173" s="37" t="s">
        <v>7</v>
      </c>
      <c r="AN173" s="38" t="s">
        <v>7</v>
      </c>
    </row>
    <row r="174" spans="1:40" x14ac:dyDescent="0.2">
      <c r="A174" s="16">
        <v>3163</v>
      </c>
      <c r="B174" s="4" t="s">
        <v>54</v>
      </c>
      <c r="C174" s="30" t="s">
        <v>24</v>
      </c>
      <c r="D174" s="30">
        <v>5</v>
      </c>
      <c r="E174" s="30">
        <v>0</v>
      </c>
      <c r="F174" s="54" t="s">
        <v>6</v>
      </c>
      <c r="G174" s="30">
        <v>29</v>
      </c>
      <c r="H174" s="33">
        <v>3.3921971252566734</v>
      </c>
      <c r="I174" s="33">
        <v>4.5010266940451746</v>
      </c>
      <c r="J174" s="33">
        <v>7.8932238193018485</v>
      </c>
      <c r="K174" s="33">
        <v>3.3921971252566734</v>
      </c>
      <c r="L174" s="33">
        <v>4.5010266940451746</v>
      </c>
      <c r="M174" s="33">
        <v>7.8932238193018485</v>
      </c>
      <c r="N174" s="33">
        <v>3.4086242299794662</v>
      </c>
      <c r="O174" s="33" t="s">
        <v>7</v>
      </c>
      <c r="P174" s="33" t="s">
        <v>7</v>
      </c>
      <c r="Q174" s="33">
        <v>3.8302532511978096</v>
      </c>
      <c r="R174" s="33" t="s">
        <v>7</v>
      </c>
      <c r="S174" s="33" t="s">
        <v>7</v>
      </c>
      <c r="T174" s="4">
        <v>4</v>
      </c>
      <c r="U174" s="4">
        <v>16</v>
      </c>
      <c r="V174" s="4" t="s">
        <v>1</v>
      </c>
      <c r="W174" s="4">
        <v>1</v>
      </c>
      <c r="X174" s="4">
        <v>3</v>
      </c>
      <c r="Y174" s="4">
        <v>1</v>
      </c>
      <c r="Z174" s="56">
        <v>3</v>
      </c>
      <c r="AA174" s="9" cm="1">
        <f t="array" ref="AA174">IF(OR(AB174:AE174=""),"BLANK",IF(AND(AB174:AE174&lt;999),1,IF(AND(AB174:AE174="NA"),3,2)))</f>
        <v>1</v>
      </c>
      <c r="AB174" s="4">
        <v>33</v>
      </c>
      <c r="AC174" s="4">
        <v>23</v>
      </c>
      <c r="AD174" s="4">
        <v>18</v>
      </c>
      <c r="AE174" s="5">
        <v>74</v>
      </c>
      <c r="AF174" s="9">
        <f t="shared" si="2"/>
        <v>1</v>
      </c>
      <c r="AG174" s="5">
        <v>64</v>
      </c>
      <c r="AH174" s="9" cm="1">
        <f t="array" ref="AH174">IF(OR(AI174:AN174=""),"BLANK",IF(AND(AI174:AN174&lt;999),1,IF(AND(AI174:AN174="NA"),3,2)))</f>
        <v>1</v>
      </c>
      <c r="AI174" s="37">
        <v>49</v>
      </c>
      <c r="AJ174" s="37">
        <v>64</v>
      </c>
      <c r="AK174" s="37">
        <v>111</v>
      </c>
      <c r="AL174" s="37">
        <v>119</v>
      </c>
      <c r="AM174" s="37">
        <v>90</v>
      </c>
      <c r="AN174" s="38">
        <v>60</v>
      </c>
    </row>
    <row r="175" spans="1:40" x14ac:dyDescent="0.2">
      <c r="A175" s="16">
        <v>3211</v>
      </c>
      <c r="B175" s="4" t="s">
        <v>69</v>
      </c>
      <c r="C175" s="30" t="s">
        <v>24</v>
      </c>
      <c r="D175" s="30">
        <v>5</v>
      </c>
      <c r="E175" s="30">
        <v>0</v>
      </c>
      <c r="F175" s="54" t="s">
        <v>6</v>
      </c>
      <c r="G175" s="30">
        <v>26</v>
      </c>
      <c r="H175" s="33">
        <v>3.8850102669404518</v>
      </c>
      <c r="I175" s="33">
        <v>3.7535934291581108</v>
      </c>
      <c r="J175" s="33">
        <v>7.6386036960985626</v>
      </c>
      <c r="K175" s="33">
        <v>4.3641341546885695</v>
      </c>
      <c r="L175" s="33">
        <v>3.3100616016427105</v>
      </c>
      <c r="M175" s="33">
        <v>7.6741957563312804</v>
      </c>
      <c r="N175" s="33">
        <v>4.0136892539356603</v>
      </c>
      <c r="O175" s="33">
        <v>3.6358658453114305</v>
      </c>
      <c r="P175" s="33">
        <v>7.6495550992470909</v>
      </c>
      <c r="Q175" s="33">
        <v>4.0958247775496233</v>
      </c>
      <c r="R175" s="33">
        <v>3.808350444900753</v>
      </c>
      <c r="S175" s="33">
        <v>7.9041752224503767</v>
      </c>
      <c r="T175" s="4">
        <v>4</v>
      </c>
      <c r="U175" s="4">
        <v>16</v>
      </c>
      <c r="V175" s="4" t="s">
        <v>1</v>
      </c>
      <c r="W175" s="4">
        <v>1</v>
      </c>
      <c r="X175" s="4">
        <v>3</v>
      </c>
      <c r="Y175" s="4">
        <v>1</v>
      </c>
      <c r="Z175" s="56">
        <v>3</v>
      </c>
      <c r="AA175" s="9" cm="1">
        <f t="array" ref="AA175">IF(OR(AB175:AE175=""),"BLANK",IF(AND(AB175:AE175&lt;999),1,IF(AND(AB175:AE175="NA"),3,2)))</f>
        <v>1</v>
      </c>
      <c r="AB175" s="4">
        <v>16</v>
      </c>
      <c r="AC175" s="4">
        <v>10</v>
      </c>
      <c r="AD175" s="4">
        <v>9</v>
      </c>
      <c r="AE175" s="5">
        <v>35</v>
      </c>
      <c r="AF175" s="9">
        <f t="shared" si="2"/>
        <v>1</v>
      </c>
      <c r="AG175" s="5">
        <v>24</v>
      </c>
      <c r="AH175" s="9" cm="1">
        <f t="array" ref="AH175">IF(OR(AI175:AN175=""),"BLANK",IF(AND(AI175:AN175&lt;999),1,IF(AND(AI175:AN175="NA"),3,2)))</f>
        <v>2</v>
      </c>
      <c r="AI175" s="37">
        <v>30</v>
      </c>
      <c r="AJ175" s="37">
        <v>33</v>
      </c>
      <c r="AK175" s="37">
        <v>71</v>
      </c>
      <c r="AL175" s="37" t="s">
        <v>7</v>
      </c>
      <c r="AM175" s="37" t="s">
        <v>7</v>
      </c>
      <c r="AN175" s="38" t="s">
        <v>7</v>
      </c>
    </row>
    <row r="176" spans="1:40" x14ac:dyDescent="0.2">
      <c r="A176" s="16">
        <v>3306</v>
      </c>
      <c r="B176" s="4" t="s">
        <v>52</v>
      </c>
      <c r="C176" s="30" t="s">
        <v>23</v>
      </c>
      <c r="D176" s="30">
        <v>5</v>
      </c>
      <c r="E176" s="30">
        <v>0</v>
      </c>
      <c r="F176" s="54" t="s">
        <v>6</v>
      </c>
      <c r="G176" s="30">
        <v>30</v>
      </c>
      <c r="H176" s="33">
        <v>3.4524298425735798</v>
      </c>
      <c r="I176" s="33">
        <v>3.4113620807665983</v>
      </c>
      <c r="J176" s="33">
        <v>6.8637919233401776</v>
      </c>
      <c r="K176" s="33">
        <v>3.4524298425735798</v>
      </c>
      <c r="L176" s="33">
        <v>3.4496919917864477</v>
      </c>
      <c r="M176" s="33">
        <v>6.9021218343600275</v>
      </c>
      <c r="N176" s="33">
        <v>3.4332648870636548</v>
      </c>
      <c r="O176" s="33">
        <v>3.4305270362765228</v>
      </c>
      <c r="P176" s="33">
        <v>6.8637919233401776</v>
      </c>
      <c r="Q176" s="33">
        <v>3.3648186173853527</v>
      </c>
      <c r="R176" s="33" t="s">
        <v>7</v>
      </c>
      <c r="S176" s="33" t="s">
        <v>7</v>
      </c>
      <c r="T176" s="4">
        <v>4</v>
      </c>
      <c r="U176" s="4">
        <v>16</v>
      </c>
      <c r="V176" s="4" t="s">
        <v>1</v>
      </c>
      <c r="W176" s="4">
        <v>1</v>
      </c>
      <c r="X176" s="4">
        <v>3</v>
      </c>
      <c r="Y176" s="4">
        <v>1</v>
      </c>
      <c r="Z176" s="56">
        <v>3</v>
      </c>
      <c r="AA176" s="9" cm="1">
        <f t="array" ref="AA176">IF(OR(AB176:AE176=""),"BLANK",IF(AND(AB176:AE176&lt;999),1,IF(AND(AB176:AE176="NA"),3,2)))</f>
        <v>1</v>
      </c>
      <c r="AB176" s="4">
        <v>30</v>
      </c>
      <c r="AC176" s="4">
        <v>19</v>
      </c>
      <c r="AD176" s="4">
        <v>11</v>
      </c>
      <c r="AE176" s="5">
        <v>60</v>
      </c>
      <c r="AF176" s="9">
        <f t="shared" si="2"/>
        <v>1</v>
      </c>
      <c r="AG176" s="5">
        <v>51</v>
      </c>
      <c r="AH176" s="9" cm="1">
        <f t="array" ref="AH176">IF(OR(AI176:AN176=""),"BLANK",IF(AND(AI176:AN176&lt;999),1,IF(AND(AI176:AN176="NA"),3,2)))</f>
        <v>1</v>
      </c>
      <c r="AI176" s="37">
        <v>34</v>
      </c>
      <c r="AJ176" s="37">
        <v>39</v>
      </c>
      <c r="AK176" s="37">
        <v>80</v>
      </c>
      <c r="AL176" s="37">
        <v>91</v>
      </c>
      <c r="AM176" s="37">
        <v>28</v>
      </c>
      <c r="AN176" s="38">
        <v>40</v>
      </c>
    </row>
    <row r="177" spans="1:40" x14ac:dyDescent="0.2">
      <c r="A177" s="16">
        <v>3319</v>
      </c>
      <c r="B177" s="4" t="s">
        <v>65</v>
      </c>
      <c r="C177" s="30" t="s">
        <v>23</v>
      </c>
      <c r="D177" s="30">
        <v>5</v>
      </c>
      <c r="E177" s="30">
        <v>0</v>
      </c>
      <c r="F177" s="54" t="s">
        <v>6</v>
      </c>
      <c r="G177" s="30">
        <v>27</v>
      </c>
      <c r="H177" s="33">
        <v>3.6221765913757702</v>
      </c>
      <c r="I177" s="33">
        <v>4.3285420944558526</v>
      </c>
      <c r="J177" s="33">
        <v>7.9507186858316219</v>
      </c>
      <c r="K177" s="33">
        <v>3.6933607118412048</v>
      </c>
      <c r="L177" s="33">
        <v>4.2792607802874745</v>
      </c>
      <c r="M177" s="33">
        <v>7.9726214921286793</v>
      </c>
      <c r="N177" s="33">
        <v>3.871321013004791</v>
      </c>
      <c r="O177" s="33">
        <v>4.1998631074606436</v>
      </c>
      <c r="P177" s="33">
        <v>8.0711841204654338</v>
      </c>
      <c r="Q177" s="33">
        <v>3.6030116358658453</v>
      </c>
      <c r="R177" s="33" t="s">
        <v>7</v>
      </c>
      <c r="S177" s="33" t="s">
        <v>7</v>
      </c>
      <c r="T177" s="4">
        <v>1</v>
      </c>
      <c r="U177" s="4">
        <v>11</v>
      </c>
      <c r="V177" s="4" t="s">
        <v>1</v>
      </c>
      <c r="W177" s="4">
        <v>1</v>
      </c>
      <c r="X177" s="4">
        <v>3</v>
      </c>
      <c r="Y177" s="4">
        <v>1</v>
      </c>
      <c r="Z177" s="56">
        <v>3</v>
      </c>
      <c r="AA177" s="9" cm="1">
        <f t="array" ref="AA177">IF(OR(AB177:AE177=""),"BLANK",IF(AND(AB177:AE177&lt;999),1,IF(AND(AB177:AE177="NA"),3,2)))</f>
        <v>1</v>
      </c>
      <c r="AB177" s="4">
        <v>26</v>
      </c>
      <c r="AC177" s="4">
        <v>12</v>
      </c>
      <c r="AD177" s="4">
        <v>11</v>
      </c>
      <c r="AE177" s="5">
        <v>49</v>
      </c>
      <c r="AF177" s="9">
        <f t="shared" si="2"/>
        <v>1</v>
      </c>
      <c r="AG177" s="5">
        <v>27</v>
      </c>
      <c r="AH177" s="9" cm="1">
        <f t="array" ref="AH177">IF(OR(AI177:AN177=""),"BLANK",IF(AND(AI177:AN177&lt;999),1,IF(AND(AI177:AN177="NA"),3,2)))</f>
        <v>1</v>
      </c>
      <c r="AI177" s="37">
        <v>32</v>
      </c>
      <c r="AJ177" s="37">
        <v>36</v>
      </c>
      <c r="AK177" s="37">
        <v>76</v>
      </c>
      <c r="AL177" s="37">
        <v>86</v>
      </c>
      <c r="AM177" s="37">
        <v>18</v>
      </c>
      <c r="AN177" s="38">
        <v>41</v>
      </c>
    </row>
    <row r="178" spans="1:40" x14ac:dyDescent="0.2">
      <c r="A178" s="16">
        <v>3328</v>
      </c>
      <c r="B178" s="4" t="s">
        <v>65</v>
      </c>
      <c r="C178" s="30" t="s">
        <v>24</v>
      </c>
      <c r="D178" s="30">
        <v>5</v>
      </c>
      <c r="E178" s="30">
        <v>0</v>
      </c>
      <c r="F178" s="54" t="s">
        <v>6</v>
      </c>
      <c r="G178" s="30">
        <v>26</v>
      </c>
      <c r="H178" s="33">
        <v>3.7015742642026011</v>
      </c>
      <c r="I178" s="33">
        <v>4.5694729637234772</v>
      </c>
      <c r="J178" s="33">
        <v>8.2710472279260774</v>
      </c>
      <c r="K178" s="33">
        <v>3.7015742642026011</v>
      </c>
      <c r="L178" s="33">
        <v>4.5694729637234772</v>
      </c>
      <c r="M178" s="33">
        <v>8.2710472279260774</v>
      </c>
      <c r="N178" s="33">
        <v>4.687200547570157</v>
      </c>
      <c r="O178" s="33">
        <v>3.5044490075290895</v>
      </c>
      <c r="P178" s="33">
        <v>8.1916495550992465</v>
      </c>
      <c r="Q178" s="33" t="s">
        <v>7</v>
      </c>
      <c r="R178" s="33" t="s">
        <v>7</v>
      </c>
      <c r="S178" s="33" t="s">
        <v>7</v>
      </c>
      <c r="T178" s="4">
        <v>3</v>
      </c>
      <c r="U178" s="4">
        <v>13</v>
      </c>
      <c r="V178" s="4" t="s">
        <v>1</v>
      </c>
      <c r="W178" s="4">
        <v>1</v>
      </c>
      <c r="X178" s="4">
        <v>3</v>
      </c>
      <c r="Y178" s="4">
        <v>1</v>
      </c>
      <c r="Z178" s="56">
        <v>3</v>
      </c>
      <c r="AA178" s="9" cm="1">
        <f t="array" ref="AA178">IF(OR(AB178:AE178=""),"BLANK",IF(AND(AB178:AE178&lt;999),1,IF(AND(AB178:AE178="NA"),3,2)))</f>
        <v>1</v>
      </c>
      <c r="AB178" s="4">
        <v>16</v>
      </c>
      <c r="AC178" s="4">
        <v>10</v>
      </c>
      <c r="AD178" s="4">
        <v>8</v>
      </c>
      <c r="AE178" s="5">
        <v>34</v>
      </c>
      <c r="AF178" s="9">
        <f t="shared" si="2"/>
        <v>1</v>
      </c>
      <c r="AG178" s="5">
        <v>23</v>
      </c>
      <c r="AH178" s="9" cm="1">
        <f t="array" ref="AH178">IF(OR(AI178:AN178=""),"BLANK",IF(AND(AI178:AN178&lt;999),1,IF(AND(AI178:AN178="NA"),3,2)))</f>
        <v>1</v>
      </c>
      <c r="AI178" s="37">
        <v>30</v>
      </c>
      <c r="AJ178" s="37">
        <v>33</v>
      </c>
      <c r="AK178" s="37">
        <v>71</v>
      </c>
      <c r="AL178" s="37">
        <v>79</v>
      </c>
      <c r="AM178" s="37">
        <v>8</v>
      </c>
      <c r="AN178" s="38">
        <v>40</v>
      </c>
    </row>
    <row r="179" spans="1:40" x14ac:dyDescent="0.2">
      <c r="A179" s="16">
        <v>3334</v>
      </c>
      <c r="B179" s="4" t="s">
        <v>47</v>
      </c>
      <c r="C179" s="30" t="s">
        <v>24</v>
      </c>
      <c r="D179" s="30">
        <v>5</v>
      </c>
      <c r="E179" s="30">
        <v>0</v>
      </c>
      <c r="F179" s="54" t="s">
        <v>6</v>
      </c>
      <c r="G179" s="30">
        <v>30</v>
      </c>
      <c r="H179" s="33">
        <v>3.5290896646132786</v>
      </c>
      <c r="I179" s="33">
        <v>4.4681724845995889</v>
      </c>
      <c r="J179" s="33">
        <v>7.9972621492128679</v>
      </c>
      <c r="K179" s="33">
        <v>4.774811772758385</v>
      </c>
      <c r="L179" s="33">
        <v>3.2224503764544834</v>
      </c>
      <c r="M179" s="33">
        <v>7.9972621492128679</v>
      </c>
      <c r="N179" s="33">
        <v>3.5236139630390144</v>
      </c>
      <c r="O179" s="33">
        <v>4.3915126625598901</v>
      </c>
      <c r="P179" s="33">
        <v>7.915126625598905</v>
      </c>
      <c r="Q179" s="33">
        <v>3.3456536618754278</v>
      </c>
      <c r="R179" s="33">
        <v>4.4079397672826834</v>
      </c>
      <c r="S179" s="33">
        <v>7.7535934291581112</v>
      </c>
      <c r="T179" s="4">
        <v>3</v>
      </c>
      <c r="U179" s="4">
        <v>14</v>
      </c>
      <c r="V179" s="4" t="s">
        <v>1</v>
      </c>
      <c r="W179" s="4">
        <v>1</v>
      </c>
      <c r="X179" s="4">
        <v>3</v>
      </c>
      <c r="Y179" s="4">
        <v>1</v>
      </c>
      <c r="Z179" s="56">
        <v>3</v>
      </c>
      <c r="AA179" s="9" cm="1">
        <f t="array" ref="AA179">IF(OR(AB179:AE179=""),"BLANK",IF(AND(AB179:AE179&lt;999),1,IF(AND(AB179:AE179="NA"),3,2)))</f>
        <v>1</v>
      </c>
      <c r="AB179" s="4">
        <v>19</v>
      </c>
      <c r="AC179" s="4">
        <v>13</v>
      </c>
      <c r="AD179" s="4">
        <v>10</v>
      </c>
      <c r="AE179" s="5">
        <v>42</v>
      </c>
      <c r="AF179" s="9">
        <f t="shared" si="2"/>
        <v>1</v>
      </c>
      <c r="AG179" s="5">
        <v>43</v>
      </c>
      <c r="AH179" s="9" cm="1">
        <f t="array" ref="AH179">IF(OR(AI179:AN179=""),"BLANK",IF(AND(AI179:AN179&lt;999),1,IF(AND(AI179:AN179="NA"),3,2)))</f>
        <v>3</v>
      </c>
      <c r="AI179" s="37" t="s">
        <v>7</v>
      </c>
      <c r="AJ179" s="37" t="s">
        <v>7</v>
      </c>
      <c r="AK179" s="37" t="s">
        <v>7</v>
      </c>
      <c r="AL179" s="37" t="s">
        <v>7</v>
      </c>
      <c r="AM179" s="37" t="s">
        <v>7</v>
      </c>
      <c r="AN179" s="38" t="s">
        <v>7</v>
      </c>
    </row>
    <row r="180" spans="1:40" x14ac:dyDescent="0.2">
      <c r="A180" s="16">
        <v>3457</v>
      </c>
      <c r="B180" s="4" t="s">
        <v>64</v>
      </c>
      <c r="C180" s="30" t="s">
        <v>23</v>
      </c>
      <c r="D180" s="30">
        <v>5</v>
      </c>
      <c r="E180" s="30">
        <v>0</v>
      </c>
      <c r="F180" s="54" t="s">
        <v>6</v>
      </c>
      <c r="G180" s="30">
        <v>30</v>
      </c>
      <c r="H180" s="33">
        <v>4.0027378507871321</v>
      </c>
      <c r="I180" s="33">
        <v>3.2525667351129361</v>
      </c>
      <c r="J180" s="33">
        <v>7.2553045859000687</v>
      </c>
      <c r="K180" s="33">
        <v>4.0027378507871321</v>
      </c>
      <c r="L180" s="33">
        <v>3.2525667351129361</v>
      </c>
      <c r="M180" s="33">
        <v>7.2553045859000687</v>
      </c>
      <c r="N180" s="33">
        <v>4.043805612594114</v>
      </c>
      <c r="O180" s="33">
        <v>3.247091033538672</v>
      </c>
      <c r="P180" s="33">
        <v>7.2908966461327855</v>
      </c>
      <c r="Q180" s="33">
        <v>3.9863107460643397</v>
      </c>
      <c r="R180" s="33">
        <v>3.4305270362765228</v>
      </c>
      <c r="S180" s="33">
        <v>7.4168377823408624</v>
      </c>
      <c r="T180" s="4">
        <v>2</v>
      </c>
      <c r="U180" s="4">
        <v>12</v>
      </c>
      <c r="V180" s="4" t="s">
        <v>1</v>
      </c>
      <c r="W180" s="4">
        <v>1</v>
      </c>
      <c r="X180" s="4">
        <v>3</v>
      </c>
      <c r="Y180" s="4">
        <v>1</v>
      </c>
      <c r="Z180" s="56">
        <v>3</v>
      </c>
      <c r="AA180" s="9" cm="1">
        <f t="array" ref="AA180">IF(OR(AB180:AE180=""),"BLANK",IF(AND(AB180:AE180&lt;999),1,IF(AND(AB180:AE180="NA"),3,2)))</f>
        <v>1</v>
      </c>
      <c r="AB180" s="4">
        <v>31</v>
      </c>
      <c r="AC180" s="4">
        <v>16</v>
      </c>
      <c r="AD180" s="4">
        <v>10</v>
      </c>
      <c r="AE180" s="5">
        <v>57</v>
      </c>
      <c r="AF180" s="9">
        <f t="shared" si="2"/>
        <v>1</v>
      </c>
      <c r="AG180" s="5">
        <v>51</v>
      </c>
      <c r="AH180" s="9" cm="1">
        <f t="array" ref="AH180">IF(OR(AI180:AN180=""),"BLANK",IF(AND(AI180:AN180&lt;999),1,IF(AND(AI180:AN180="NA"),3,2)))</f>
        <v>1</v>
      </c>
      <c r="AI180" s="37">
        <v>45</v>
      </c>
      <c r="AJ180" s="37">
        <v>58</v>
      </c>
      <c r="AK180" s="37">
        <v>103</v>
      </c>
      <c r="AL180" s="37">
        <v>130</v>
      </c>
      <c r="AM180" s="37">
        <v>98</v>
      </c>
      <c r="AN180" s="38">
        <v>72</v>
      </c>
    </row>
    <row r="181" spans="1:40" x14ac:dyDescent="0.2">
      <c r="A181" s="16">
        <v>3531</v>
      </c>
      <c r="B181" s="4" t="s">
        <v>54</v>
      </c>
      <c r="C181" s="30" t="s">
        <v>23</v>
      </c>
      <c r="D181" s="30">
        <v>2</v>
      </c>
      <c r="E181" s="30">
        <v>0</v>
      </c>
      <c r="F181" s="54" t="s">
        <v>6</v>
      </c>
      <c r="G181" s="30">
        <v>29</v>
      </c>
      <c r="H181" s="33">
        <v>3.5236139630390144</v>
      </c>
      <c r="I181" s="33">
        <v>3.6139630390143735</v>
      </c>
      <c r="J181" s="33">
        <v>7.137577002053388</v>
      </c>
      <c r="K181" s="33">
        <v>3.5236139630390144</v>
      </c>
      <c r="L181" s="33">
        <v>3.6139630390143735</v>
      </c>
      <c r="M181" s="33">
        <v>7.137577002053388</v>
      </c>
      <c r="N181" s="33">
        <v>3.485284052019165</v>
      </c>
      <c r="O181" s="33">
        <v>3.5263518138261465</v>
      </c>
      <c r="P181" s="33">
        <v>7.0116358658453111</v>
      </c>
      <c r="Q181" s="33">
        <v>3.6714579055441479</v>
      </c>
      <c r="R181" s="33">
        <v>3.4140999315537304</v>
      </c>
      <c r="S181" s="33">
        <v>7.0855578370978778</v>
      </c>
      <c r="T181" s="4">
        <v>4</v>
      </c>
      <c r="U181" s="4">
        <v>16</v>
      </c>
      <c r="V181" s="4" t="s">
        <v>1</v>
      </c>
      <c r="W181" s="4">
        <v>1</v>
      </c>
      <c r="X181" s="4">
        <v>3</v>
      </c>
      <c r="Y181" s="4">
        <v>1</v>
      </c>
      <c r="Z181" s="56">
        <v>3</v>
      </c>
      <c r="AA181" s="9" cm="1">
        <f t="array" ref="AA181">IF(OR(AB181:AE181=""),"BLANK",IF(AND(AB181:AE181&lt;999),1,IF(AND(AB181:AE181="NA"),3,2)))</f>
        <v>1</v>
      </c>
      <c r="AB181" s="4">
        <v>42</v>
      </c>
      <c r="AC181" s="4">
        <v>29</v>
      </c>
      <c r="AD181" s="4">
        <v>17</v>
      </c>
      <c r="AE181" s="5">
        <v>88</v>
      </c>
      <c r="AF181" s="9">
        <f t="shared" si="2"/>
        <v>1</v>
      </c>
      <c r="AG181" s="5">
        <v>48</v>
      </c>
      <c r="AH181" s="9" cm="1">
        <f t="array" ref="AH181">IF(OR(AI181:AN181=""),"BLANK",IF(AND(AI181:AN181&lt;999),1,IF(AND(AI181:AN181="NA"),3,2)))</f>
        <v>1</v>
      </c>
      <c r="AI181" s="37">
        <v>51</v>
      </c>
      <c r="AJ181" s="37">
        <v>67</v>
      </c>
      <c r="AK181" s="37">
        <v>115</v>
      </c>
      <c r="AL181" s="37">
        <v>127</v>
      </c>
      <c r="AM181" s="37">
        <v>96</v>
      </c>
      <c r="AN181" s="38">
        <v>80</v>
      </c>
    </row>
    <row r="182" spans="1:40" x14ac:dyDescent="0.2">
      <c r="A182" s="16">
        <v>3537</v>
      </c>
      <c r="B182" s="4" t="s">
        <v>58</v>
      </c>
      <c r="C182" s="30" t="s">
        <v>23</v>
      </c>
      <c r="D182" s="30">
        <v>5</v>
      </c>
      <c r="E182" s="30">
        <v>0</v>
      </c>
      <c r="F182" s="54" t="s">
        <v>6</v>
      </c>
      <c r="G182" s="30">
        <v>30</v>
      </c>
      <c r="H182" s="33">
        <v>3.4277891854893907</v>
      </c>
      <c r="I182" s="33">
        <v>4.1587953456536617</v>
      </c>
      <c r="J182" s="33">
        <v>7.5865845311430524</v>
      </c>
      <c r="K182" s="33">
        <v>3.4277891854893907</v>
      </c>
      <c r="L182" s="33">
        <v>4.5037645448323067</v>
      </c>
      <c r="M182" s="33">
        <v>7.9315537303216974</v>
      </c>
      <c r="N182" s="33" t="s">
        <v>7</v>
      </c>
      <c r="O182" s="33" t="s">
        <v>7</v>
      </c>
      <c r="P182" s="33">
        <v>7.5646817248459959</v>
      </c>
      <c r="Q182" s="33" t="s">
        <v>7</v>
      </c>
      <c r="R182" s="33" t="s">
        <v>7</v>
      </c>
      <c r="S182" s="33">
        <v>7.8001368925393564</v>
      </c>
      <c r="T182" s="4">
        <v>3</v>
      </c>
      <c r="U182" s="4">
        <v>15</v>
      </c>
      <c r="V182" s="4" t="s">
        <v>1</v>
      </c>
      <c r="W182" s="4">
        <v>1</v>
      </c>
      <c r="X182" s="4">
        <v>3</v>
      </c>
      <c r="Y182" s="4">
        <v>1</v>
      </c>
      <c r="Z182" s="56">
        <v>3</v>
      </c>
      <c r="AA182" s="9" cm="1">
        <f t="array" ref="AA182">IF(OR(AB182:AE182=""),"BLANK",IF(AND(AB182:AE182&lt;999),1,IF(AND(AB182:AE182="NA"),3,2)))</f>
        <v>1</v>
      </c>
      <c r="AB182" s="4">
        <v>29</v>
      </c>
      <c r="AC182" s="4">
        <v>20</v>
      </c>
      <c r="AD182" s="4">
        <v>12</v>
      </c>
      <c r="AE182" s="5">
        <v>61</v>
      </c>
      <c r="AF182" s="9">
        <f t="shared" si="2"/>
        <v>1</v>
      </c>
      <c r="AG182" s="5">
        <v>43</v>
      </c>
      <c r="AH182" s="9" cm="1">
        <f t="array" ref="AH182">IF(OR(AI182:AN182=""),"BLANK",IF(AND(AI182:AN182&lt;999),1,IF(AND(AI182:AN182="NA"),3,2)))</f>
        <v>1</v>
      </c>
      <c r="AI182" s="37">
        <v>35</v>
      </c>
      <c r="AJ182" s="37">
        <v>41</v>
      </c>
      <c r="AK182" s="37">
        <v>82</v>
      </c>
      <c r="AL182" s="37">
        <v>85</v>
      </c>
      <c r="AM182" s="37">
        <v>16</v>
      </c>
      <c r="AN182" s="38">
        <v>36</v>
      </c>
    </row>
    <row r="183" spans="1:40" x14ac:dyDescent="0.2">
      <c r="A183" s="16">
        <v>3567</v>
      </c>
      <c r="B183" s="4" t="s">
        <v>48</v>
      </c>
      <c r="C183" s="30" t="s">
        <v>24</v>
      </c>
      <c r="D183" s="30">
        <v>5</v>
      </c>
      <c r="E183" s="30">
        <v>0</v>
      </c>
      <c r="F183" s="54" t="s">
        <v>6</v>
      </c>
      <c r="G183" s="30">
        <v>29</v>
      </c>
      <c r="H183" s="33">
        <v>3.5482546201232035</v>
      </c>
      <c r="I183" s="33">
        <v>3.9069130732375084</v>
      </c>
      <c r="J183" s="33">
        <v>7.4551676933607123</v>
      </c>
      <c r="K183" s="33">
        <v>3.5482546201232035</v>
      </c>
      <c r="L183" s="33">
        <v>3.9069130732375084</v>
      </c>
      <c r="M183" s="33">
        <v>7.4551676933607123</v>
      </c>
      <c r="N183" s="33">
        <v>3.5646817248459959</v>
      </c>
      <c r="O183" s="33">
        <v>3.8986995208761122</v>
      </c>
      <c r="P183" s="33">
        <v>7.4633812457221085</v>
      </c>
      <c r="Q183" s="33">
        <v>4.0410677618069819</v>
      </c>
      <c r="R183" s="33">
        <v>3.5455167693360714</v>
      </c>
      <c r="S183" s="33">
        <v>7.5865845311430524</v>
      </c>
      <c r="T183" s="4" t="s">
        <v>7</v>
      </c>
      <c r="U183" s="4" t="s">
        <v>7</v>
      </c>
      <c r="V183" s="4" t="s">
        <v>1</v>
      </c>
      <c r="W183" s="4">
        <v>1</v>
      </c>
      <c r="X183" s="4">
        <v>3</v>
      </c>
      <c r="Y183" s="4">
        <v>1</v>
      </c>
      <c r="Z183" s="56">
        <v>3</v>
      </c>
      <c r="AA183" s="9" cm="1">
        <f t="array" ref="AA183">IF(OR(AB183:AE183=""),"BLANK",IF(AND(AB183:AE183&lt;999),1,IF(AND(AB183:AE183="NA"),3,2)))</f>
        <v>1</v>
      </c>
      <c r="AB183" s="4">
        <v>33</v>
      </c>
      <c r="AC183" s="4">
        <v>18</v>
      </c>
      <c r="AD183" s="4">
        <v>13</v>
      </c>
      <c r="AE183" s="5">
        <v>64</v>
      </c>
      <c r="AF183" s="9">
        <f t="shared" si="2"/>
        <v>1</v>
      </c>
      <c r="AG183" s="5">
        <v>58</v>
      </c>
      <c r="AH183" s="9" cm="1">
        <f t="array" ref="AH183">IF(OR(AI183:AN183=""),"BLANK",IF(AND(AI183:AN183&lt;999),1,IF(AND(AI183:AN183="NA"),3,2)))</f>
        <v>1</v>
      </c>
      <c r="AI183" s="37">
        <v>43</v>
      </c>
      <c r="AJ183" s="37">
        <v>54</v>
      </c>
      <c r="AK183" s="37">
        <v>99</v>
      </c>
      <c r="AL183" s="37">
        <v>114</v>
      </c>
      <c r="AM183" s="37">
        <v>82</v>
      </c>
      <c r="AN183" s="38">
        <v>57</v>
      </c>
    </row>
    <row r="184" spans="1:40" x14ac:dyDescent="0.2">
      <c r="A184" s="16">
        <v>3571</v>
      </c>
      <c r="B184" s="4" t="s">
        <v>62</v>
      </c>
      <c r="C184" s="30" t="s">
        <v>24</v>
      </c>
      <c r="D184" s="30">
        <v>5</v>
      </c>
      <c r="E184" s="30">
        <v>0</v>
      </c>
      <c r="F184" s="54" t="s">
        <v>6</v>
      </c>
      <c r="G184" s="30">
        <v>28</v>
      </c>
      <c r="H184" s="33">
        <v>3.4962354551676933</v>
      </c>
      <c r="I184" s="33">
        <v>4.0191649555099245</v>
      </c>
      <c r="J184" s="33">
        <v>7.5154004106776178</v>
      </c>
      <c r="K184" s="33">
        <v>3.893223819301848</v>
      </c>
      <c r="L184" s="33">
        <v>3.6221765913757702</v>
      </c>
      <c r="M184" s="33">
        <v>7.5154004106776178</v>
      </c>
      <c r="N184" s="33">
        <v>3.5592060232717317</v>
      </c>
      <c r="O184" s="33">
        <v>3.9123887748117729</v>
      </c>
      <c r="P184" s="33">
        <v>7.4715947980835047</v>
      </c>
      <c r="Q184" s="33">
        <v>3.7973990417522243</v>
      </c>
      <c r="R184" s="33" t="s">
        <v>7</v>
      </c>
      <c r="S184" s="33" t="s">
        <v>7</v>
      </c>
      <c r="T184" s="4" t="s">
        <v>7</v>
      </c>
      <c r="U184" s="4" t="s">
        <v>7</v>
      </c>
      <c r="V184" s="4" t="s">
        <v>1</v>
      </c>
      <c r="W184" s="4">
        <v>1</v>
      </c>
      <c r="X184" s="4">
        <v>3</v>
      </c>
      <c r="Y184" s="4">
        <v>1</v>
      </c>
      <c r="Z184" s="56">
        <v>3</v>
      </c>
      <c r="AA184" s="9" cm="1">
        <f t="array" ref="AA184">IF(OR(AB184:AE184=""),"BLANK",IF(AND(AB184:AE184&lt;999),1,IF(AND(AB184:AE184="NA"),3,2)))</f>
        <v>1</v>
      </c>
      <c r="AB184" s="4">
        <v>33</v>
      </c>
      <c r="AC184" s="4">
        <v>27</v>
      </c>
      <c r="AD184" s="4">
        <v>17</v>
      </c>
      <c r="AE184" s="5">
        <v>77</v>
      </c>
      <c r="AF184" s="9">
        <f t="shared" si="2"/>
        <v>1</v>
      </c>
      <c r="AG184" s="5">
        <v>66</v>
      </c>
      <c r="AH184" s="9" cm="1">
        <f t="array" ref="AH184">IF(OR(AI184:AN184=""),"BLANK",IF(AND(AI184:AN184&lt;999),1,IF(AND(AI184:AN184="NA"),3,2)))</f>
        <v>1</v>
      </c>
      <c r="AI184" s="37">
        <v>50</v>
      </c>
      <c r="AJ184" s="37">
        <v>66</v>
      </c>
      <c r="AK184" s="37">
        <v>113</v>
      </c>
      <c r="AL184" s="37">
        <v>125</v>
      </c>
      <c r="AM184" s="37">
        <v>95</v>
      </c>
      <c r="AN184" s="38">
        <v>64</v>
      </c>
    </row>
    <row r="185" spans="1:40" x14ac:dyDescent="0.2">
      <c r="A185" s="16">
        <v>3592</v>
      </c>
      <c r="B185" s="4" t="s">
        <v>54</v>
      </c>
      <c r="C185" s="30" t="s">
        <v>24</v>
      </c>
      <c r="D185" s="30">
        <v>5</v>
      </c>
      <c r="E185" s="30">
        <v>0</v>
      </c>
      <c r="F185" s="54" t="s">
        <v>6</v>
      </c>
      <c r="G185" s="30">
        <v>30</v>
      </c>
      <c r="H185" s="33">
        <v>3.4469541409993156</v>
      </c>
      <c r="I185" s="33">
        <v>4.1095140314852845</v>
      </c>
      <c r="J185" s="33">
        <v>7.5564681724845997</v>
      </c>
      <c r="K185" s="33">
        <v>3.4469541409993156</v>
      </c>
      <c r="L185" s="33">
        <v>4.1095140314852845</v>
      </c>
      <c r="M185" s="33">
        <v>7.5564681724845997</v>
      </c>
      <c r="N185" s="33">
        <v>3.4387405886379194</v>
      </c>
      <c r="O185" s="33">
        <v>4.1615331964407938</v>
      </c>
      <c r="P185" s="33">
        <v>7.6002737850787137</v>
      </c>
      <c r="Q185" s="33">
        <v>4.0657084188911705</v>
      </c>
      <c r="R185" s="33">
        <v>3.6632443531827517</v>
      </c>
      <c r="S185" s="33">
        <v>7.7289527720739217</v>
      </c>
      <c r="T185" s="4">
        <v>3</v>
      </c>
      <c r="U185" s="4">
        <v>14</v>
      </c>
      <c r="V185" s="4" t="s">
        <v>1</v>
      </c>
      <c r="W185" s="4">
        <v>1</v>
      </c>
      <c r="X185" s="4">
        <v>3</v>
      </c>
      <c r="Y185" s="4">
        <v>1</v>
      </c>
      <c r="Z185" s="56">
        <v>3</v>
      </c>
      <c r="AA185" s="9" cm="1">
        <f t="array" ref="AA185">IF(OR(AB185:AE185=""),"BLANK",IF(AND(AB185:AE185&lt;999),1,IF(AND(AB185:AE185="NA"),3,2)))</f>
        <v>1</v>
      </c>
      <c r="AB185" s="4">
        <v>41</v>
      </c>
      <c r="AC185" s="4">
        <v>29</v>
      </c>
      <c r="AD185" s="4">
        <v>23</v>
      </c>
      <c r="AE185" s="5">
        <v>93</v>
      </c>
      <c r="AF185" s="9">
        <f t="shared" si="2"/>
        <v>1</v>
      </c>
      <c r="AG185" s="5">
        <v>61</v>
      </c>
      <c r="AH185" s="9" cm="1">
        <f t="array" ref="AH185">IF(OR(AI185:AN185=""),"BLANK",IF(AND(AI185:AN185&lt;999),1,IF(AND(AI185:AN185="NA"),3,2)))</f>
        <v>1</v>
      </c>
      <c r="AI185" s="37">
        <v>39</v>
      </c>
      <c r="AJ185" s="37">
        <v>48</v>
      </c>
      <c r="AK185" s="37">
        <v>90</v>
      </c>
      <c r="AL185" s="37">
        <v>95</v>
      </c>
      <c r="AM185" s="37">
        <v>36</v>
      </c>
      <c r="AN185" s="38">
        <v>46</v>
      </c>
    </row>
    <row r="186" spans="1:40" x14ac:dyDescent="0.2">
      <c r="A186" s="16">
        <v>3608</v>
      </c>
      <c r="B186" s="4" t="s">
        <v>66</v>
      </c>
      <c r="C186" s="30" t="s">
        <v>24</v>
      </c>
      <c r="D186" s="30">
        <v>5</v>
      </c>
      <c r="E186" s="30">
        <v>0</v>
      </c>
      <c r="F186" s="54" t="s">
        <v>6</v>
      </c>
      <c r="G186" s="30">
        <v>29</v>
      </c>
      <c r="H186" s="33">
        <v>3.5071868583162216</v>
      </c>
      <c r="I186" s="33">
        <v>3.9370294318959616</v>
      </c>
      <c r="J186" s="33">
        <v>7.4442162902121831</v>
      </c>
      <c r="K186" s="33">
        <v>3.5071868583162216</v>
      </c>
      <c r="L186" s="33">
        <v>3.9397672826830936</v>
      </c>
      <c r="M186" s="33">
        <v>7.4469541409993152</v>
      </c>
      <c r="N186" s="33">
        <v>3.6194387405886381</v>
      </c>
      <c r="O186" s="33">
        <v>3.8275154004106775</v>
      </c>
      <c r="P186" s="33">
        <v>7.4469541409993152</v>
      </c>
      <c r="Q186" s="33">
        <v>4.0027378507871321</v>
      </c>
      <c r="R186" s="33">
        <v>3.5728952772073921</v>
      </c>
      <c r="S186" s="33">
        <v>7.5756331279945242</v>
      </c>
      <c r="T186" s="4">
        <v>5</v>
      </c>
      <c r="U186" s="4">
        <v>17</v>
      </c>
      <c r="V186" s="4" t="s">
        <v>1</v>
      </c>
      <c r="W186" s="4">
        <v>1</v>
      </c>
      <c r="X186" s="4">
        <v>3</v>
      </c>
      <c r="Y186" s="4">
        <v>1</v>
      </c>
      <c r="Z186" s="56">
        <v>3</v>
      </c>
      <c r="AA186" s="9" cm="1">
        <f t="array" ref="AA186">IF(OR(AB186:AE186=""),"BLANK",IF(AND(AB186:AE186&lt;999),1,IF(AND(AB186:AE186="NA"),3,2)))</f>
        <v>1</v>
      </c>
      <c r="AB186" s="4">
        <v>22</v>
      </c>
      <c r="AC186" s="4">
        <v>12</v>
      </c>
      <c r="AD186" s="4">
        <v>11</v>
      </c>
      <c r="AE186" s="5">
        <v>45</v>
      </c>
      <c r="AF186" s="9">
        <f t="shared" si="2"/>
        <v>1</v>
      </c>
      <c r="AG186" s="5">
        <v>27</v>
      </c>
      <c r="AH186" s="9" cm="1">
        <f t="array" ref="AH186">IF(OR(AI186:AN186=""),"BLANK",IF(AND(AI186:AN186&lt;999),1,IF(AND(AI186:AN186="NA"),3,2)))</f>
        <v>1</v>
      </c>
      <c r="AI186" s="37">
        <v>26</v>
      </c>
      <c r="AJ186" s="37">
        <v>26</v>
      </c>
      <c r="AK186" s="37">
        <v>63</v>
      </c>
      <c r="AL186" s="37">
        <v>63</v>
      </c>
      <c r="AM186" s="37">
        <v>1</v>
      </c>
      <c r="AN186" s="38">
        <v>25</v>
      </c>
    </row>
    <row r="187" spans="1:40" x14ac:dyDescent="0.2">
      <c r="A187" s="16">
        <v>3653</v>
      </c>
      <c r="B187" s="4" t="s">
        <v>48</v>
      </c>
      <c r="C187" s="30" t="s">
        <v>23</v>
      </c>
      <c r="D187" s="30">
        <v>5</v>
      </c>
      <c r="E187" s="30">
        <v>0</v>
      </c>
      <c r="F187" s="54" t="s">
        <v>6</v>
      </c>
      <c r="G187" s="30">
        <v>30</v>
      </c>
      <c r="H187" s="33">
        <v>3.4688569472963722</v>
      </c>
      <c r="I187" s="33">
        <v>3.9479808350444903</v>
      </c>
      <c r="J187" s="33">
        <v>7.4168377823408624</v>
      </c>
      <c r="K187" s="33">
        <v>3.482546201232033</v>
      </c>
      <c r="L187" s="33">
        <v>3.9342915811088295</v>
      </c>
      <c r="M187" s="33">
        <v>7.4168377823408624</v>
      </c>
      <c r="N187" s="33">
        <v>3.4360027378507869</v>
      </c>
      <c r="O187" s="33">
        <v>3.9178644763860371</v>
      </c>
      <c r="P187" s="33">
        <v>7.353867214236824</v>
      </c>
      <c r="Q187" s="33">
        <v>3.9315537303216974</v>
      </c>
      <c r="R187" s="33">
        <v>3.5756331279945242</v>
      </c>
      <c r="S187" s="33">
        <v>7.5071868583162216</v>
      </c>
      <c r="T187" s="4">
        <v>3</v>
      </c>
      <c r="U187" s="4">
        <v>14</v>
      </c>
      <c r="V187" s="4" t="s">
        <v>1</v>
      </c>
      <c r="W187" s="4">
        <v>1</v>
      </c>
      <c r="X187" s="4">
        <v>3</v>
      </c>
      <c r="Y187" s="4">
        <v>1</v>
      </c>
      <c r="Z187" s="56">
        <v>3</v>
      </c>
      <c r="AA187" s="9" cm="1">
        <f t="array" ref="AA187">IF(OR(AB187:AE187=""),"BLANK",IF(AND(AB187:AE187&lt;999),1,IF(AND(AB187:AE187="NA"),3,2)))</f>
        <v>1</v>
      </c>
      <c r="AB187" s="4">
        <v>35</v>
      </c>
      <c r="AC187" s="4">
        <v>20</v>
      </c>
      <c r="AD187" s="4">
        <v>15</v>
      </c>
      <c r="AE187" s="5">
        <v>70</v>
      </c>
      <c r="AF187" s="9">
        <f t="shared" si="2"/>
        <v>1</v>
      </c>
      <c r="AG187" s="5">
        <v>55</v>
      </c>
      <c r="AH187" s="9" cm="1">
        <f t="array" ref="AH187">IF(OR(AI187:AN187=""),"BLANK",IF(AND(AI187:AN187&lt;999),1,IF(AND(AI187:AN187="NA"),3,2)))</f>
        <v>1</v>
      </c>
      <c r="AI187" s="37">
        <v>41</v>
      </c>
      <c r="AJ187" s="37">
        <v>51</v>
      </c>
      <c r="AK187" s="37">
        <v>94</v>
      </c>
      <c r="AL187" s="37">
        <v>107</v>
      </c>
      <c r="AM187" s="37">
        <v>68</v>
      </c>
      <c r="AN187" s="38">
        <v>52</v>
      </c>
    </row>
    <row r="188" spans="1:40" x14ac:dyDescent="0.2">
      <c r="A188" s="16">
        <v>3658</v>
      </c>
      <c r="B188" s="4" t="s">
        <v>48</v>
      </c>
      <c r="C188" s="30" t="s">
        <v>24</v>
      </c>
      <c r="D188" s="30">
        <v>5</v>
      </c>
      <c r="E188" s="30">
        <v>0</v>
      </c>
      <c r="F188" s="54" t="s">
        <v>6</v>
      </c>
      <c r="G188" s="30">
        <v>28</v>
      </c>
      <c r="H188" s="33">
        <v>3.5564681724845997</v>
      </c>
      <c r="I188" s="33">
        <v>4.084873374401095</v>
      </c>
      <c r="J188" s="33">
        <v>7.6413415468856947</v>
      </c>
      <c r="K188" s="33">
        <v>4.3121149897330593</v>
      </c>
      <c r="L188" s="33">
        <v>3.3702943189596168</v>
      </c>
      <c r="M188" s="33">
        <v>7.6824093086926766</v>
      </c>
      <c r="N188" s="33">
        <v>3.5017111567419574</v>
      </c>
      <c r="O188" s="33">
        <v>4.0301163586584527</v>
      </c>
      <c r="P188" s="33">
        <v>7.5318275154004111</v>
      </c>
      <c r="Q188" s="33">
        <v>3.9288158795345653</v>
      </c>
      <c r="R188" s="33">
        <v>3.9123887748117729</v>
      </c>
      <c r="S188" s="33">
        <v>7.8412046543463383</v>
      </c>
      <c r="T188" s="4" t="s">
        <v>7</v>
      </c>
      <c r="U188" s="4" t="s">
        <v>7</v>
      </c>
      <c r="V188" s="4" t="s">
        <v>1</v>
      </c>
      <c r="W188" s="4">
        <v>1</v>
      </c>
      <c r="X188" s="4">
        <v>3</v>
      </c>
      <c r="Y188" s="4">
        <v>1</v>
      </c>
      <c r="Z188" s="56">
        <v>3</v>
      </c>
      <c r="AA188" s="9" cm="1">
        <f t="array" ref="AA188">IF(OR(AB188:AE188=""),"BLANK",IF(AND(AB188:AE188&lt;999),1,IF(AND(AB188:AE188="NA"),3,2)))</f>
        <v>1</v>
      </c>
      <c r="AB188" s="4">
        <v>21</v>
      </c>
      <c r="AC188" s="4">
        <v>16</v>
      </c>
      <c r="AD188" s="4">
        <v>10</v>
      </c>
      <c r="AE188" s="5">
        <v>47</v>
      </c>
      <c r="AF188" s="9">
        <f t="shared" si="2"/>
        <v>1</v>
      </c>
      <c r="AG188" s="5">
        <v>33</v>
      </c>
      <c r="AH188" s="9" cm="1">
        <f t="array" ref="AH188">IF(OR(AI188:AN188=""),"BLANK",IF(AND(AI188:AN188&lt;999),1,IF(AND(AI188:AN188="NA"),3,2)))</f>
        <v>1</v>
      </c>
      <c r="AI188" s="37">
        <v>21</v>
      </c>
      <c r="AJ188" s="37">
        <v>21</v>
      </c>
      <c r="AK188" s="37">
        <v>57</v>
      </c>
      <c r="AL188" s="37">
        <v>54</v>
      </c>
      <c r="AM188" s="37">
        <v>1</v>
      </c>
      <c r="AN188" s="38">
        <v>19</v>
      </c>
    </row>
    <row r="189" spans="1:40" x14ac:dyDescent="0.2">
      <c r="A189" s="16">
        <v>3660</v>
      </c>
      <c r="B189" s="4" t="s">
        <v>48</v>
      </c>
      <c r="C189" s="30" t="s">
        <v>23</v>
      </c>
      <c r="D189" s="30">
        <v>5</v>
      </c>
      <c r="E189" s="30">
        <v>0</v>
      </c>
      <c r="F189" s="54" t="s">
        <v>6</v>
      </c>
      <c r="G189" s="30">
        <v>29</v>
      </c>
      <c r="H189" s="33">
        <v>3.4387405886379194</v>
      </c>
      <c r="I189" s="33">
        <v>4.1971252566735116</v>
      </c>
      <c r="J189" s="33">
        <v>7.6358658453114305</v>
      </c>
      <c r="K189" s="33">
        <v>3.4579055441478439</v>
      </c>
      <c r="L189" s="33">
        <v>4.1670088980150579</v>
      </c>
      <c r="M189" s="33">
        <v>7.6249144421629023</v>
      </c>
      <c r="N189" s="33">
        <v>3.4661190965092401</v>
      </c>
      <c r="O189" s="33">
        <v>4.216290212183436</v>
      </c>
      <c r="P189" s="33">
        <v>7.6824093086926766</v>
      </c>
      <c r="Q189" s="33">
        <v>3.485284052019165</v>
      </c>
      <c r="R189" s="33">
        <v>4.1779603011635862</v>
      </c>
      <c r="S189" s="33">
        <v>7.6632443531827512</v>
      </c>
      <c r="T189" s="4" t="s">
        <v>7</v>
      </c>
      <c r="U189" s="4" t="s">
        <v>7</v>
      </c>
      <c r="V189" s="4" t="s">
        <v>1</v>
      </c>
      <c r="W189" s="4">
        <v>1</v>
      </c>
      <c r="X189" s="4">
        <v>3</v>
      </c>
      <c r="Y189" s="4">
        <v>1</v>
      </c>
      <c r="Z189" s="56">
        <v>3</v>
      </c>
      <c r="AA189" s="9" cm="1">
        <f t="array" ref="AA189">IF(OR(AB189:AE189=""),"BLANK",IF(AND(AB189:AE189&lt;999),1,IF(AND(AB189:AE189="NA"),3,2)))</f>
        <v>1</v>
      </c>
      <c r="AB189" s="4">
        <v>20</v>
      </c>
      <c r="AC189" s="4">
        <v>11</v>
      </c>
      <c r="AD189" s="4">
        <v>9</v>
      </c>
      <c r="AE189" s="5">
        <v>40</v>
      </c>
      <c r="AF189" s="9">
        <f t="shared" si="2"/>
        <v>1</v>
      </c>
      <c r="AG189" s="5">
        <v>26</v>
      </c>
      <c r="AH189" s="9" cm="1">
        <f t="array" ref="AH189">IF(OR(AI189:AN189=""),"BLANK",IF(AND(AI189:AN189&lt;999),1,IF(AND(AI189:AN189="NA"),3,2)))</f>
        <v>1</v>
      </c>
      <c r="AI189" s="37">
        <v>26</v>
      </c>
      <c r="AJ189" s="37">
        <v>26</v>
      </c>
      <c r="AK189" s="37">
        <v>63</v>
      </c>
      <c r="AL189" s="37">
        <v>60</v>
      </c>
      <c r="AM189" s="37">
        <v>1</v>
      </c>
      <c r="AN189" s="38">
        <v>19</v>
      </c>
    </row>
    <row r="190" spans="1:40" x14ac:dyDescent="0.2">
      <c r="A190" s="16">
        <v>3693</v>
      </c>
      <c r="B190" s="4" t="s">
        <v>48</v>
      </c>
      <c r="C190" s="30" t="s">
        <v>23</v>
      </c>
      <c r="D190" s="30">
        <v>5</v>
      </c>
      <c r="E190" s="30">
        <v>0</v>
      </c>
      <c r="F190" s="54" t="s">
        <v>6</v>
      </c>
      <c r="G190" s="30">
        <v>29</v>
      </c>
      <c r="H190" s="33">
        <v>3.4743326488706368</v>
      </c>
      <c r="I190" s="33">
        <v>4.0273785078713207</v>
      </c>
      <c r="J190" s="33">
        <v>7.5017111567419574</v>
      </c>
      <c r="K190" s="33">
        <v>3.4743326488706368</v>
      </c>
      <c r="L190" s="33">
        <v>4.0273785078713207</v>
      </c>
      <c r="M190" s="33">
        <v>7.5017111567419574</v>
      </c>
      <c r="N190" s="33">
        <v>3.4880219028062971</v>
      </c>
      <c r="O190" s="33" t="s">
        <v>7</v>
      </c>
      <c r="P190" s="33" t="s">
        <v>7</v>
      </c>
      <c r="Q190" s="33">
        <v>4.0766598220396988</v>
      </c>
      <c r="R190" s="33" t="s">
        <v>7</v>
      </c>
      <c r="S190" s="33" t="s">
        <v>7</v>
      </c>
      <c r="T190" s="4">
        <v>4</v>
      </c>
      <c r="U190" s="4">
        <v>16</v>
      </c>
      <c r="V190" s="4" t="s">
        <v>1</v>
      </c>
      <c r="W190" s="4">
        <v>1</v>
      </c>
      <c r="X190" s="4">
        <v>3</v>
      </c>
      <c r="Y190" s="4">
        <v>1</v>
      </c>
      <c r="Z190" s="56">
        <v>3</v>
      </c>
      <c r="AA190" s="9" cm="1">
        <f t="array" ref="AA190">IF(OR(AB190:AE190=""),"BLANK",IF(AND(AB190:AE190&lt;999),1,IF(AND(AB190:AE190="NA"),3,2)))</f>
        <v>1</v>
      </c>
      <c r="AB190" s="4">
        <v>31</v>
      </c>
      <c r="AC190" s="4">
        <v>15</v>
      </c>
      <c r="AD190" s="4">
        <v>11</v>
      </c>
      <c r="AE190" s="5">
        <v>57</v>
      </c>
      <c r="AF190" s="9">
        <f t="shared" si="2"/>
        <v>1</v>
      </c>
      <c r="AG190" s="5">
        <v>35</v>
      </c>
      <c r="AH190" s="9" cm="1">
        <f t="array" ref="AH190">IF(OR(AI190:AN190=""),"BLANK",IF(AND(AI190:AN190&lt;999),1,IF(AND(AI190:AN190="NA"),3,2)))</f>
        <v>1</v>
      </c>
      <c r="AI190" s="37">
        <v>30</v>
      </c>
      <c r="AJ190" s="37">
        <v>33</v>
      </c>
      <c r="AK190" s="37">
        <v>71</v>
      </c>
      <c r="AL190" s="37">
        <v>73</v>
      </c>
      <c r="AM190" s="37">
        <v>4</v>
      </c>
      <c r="AN190" s="38">
        <v>31</v>
      </c>
    </row>
    <row r="191" spans="1:40" x14ac:dyDescent="0.2">
      <c r="A191" s="16">
        <v>3744</v>
      </c>
      <c r="B191" s="4" t="s">
        <v>66</v>
      </c>
      <c r="C191" s="30" t="s">
        <v>24</v>
      </c>
      <c r="D191" s="30">
        <v>5</v>
      </c>
      <c r="E191" s="30">
        <v>0</v>
      </c>
      <c r="F191" s="54" t="s">
        <v>6</v>
      </c>
      <c r="G191" s="30">
        <v>26</v>
      </c>
      <c r="H191" s="33">
        <v>3.9616700889801506</v>
      </c>
      <c r="I191" s="33">
        <v>3.1321013004791238</v>
      </c>
      <c r="J191" s="33">
        <v>7.0937713894592749</v>
      </c>
      <c r="K191" s="33">
        <v>3.9616700889801506</v>
      </c>
      <c r="L191" s="33">
        <v>3.1540041067761808</v>
      </c>
      <c r="M191" s="33">
        <v>7.1156741957563314</v>
      </c>
      <c r="N191" s="33">
        <v>3.9835728952772076</v>
      </c>
      <c r="O191" s="33">
        <v>3.052703627652293</v>
      </c>
      <c r="P191" s="33">
        <v>7.0362765229295006</v>
      </c>
      <c r="Q191" s="33">
        <v>3.9452429842573578</v>
      </c>
      <c r="R191" s="33">
        <v>3.1074606433949348</v>
      </c>
      <c r="S191" s="33">
        <v>7.052703627652293</v>
      </c>
      <c r="T191" s="4">
        <v>3</v>
      </c>
      <c r="U191" s="4">
        <v>15</v>
      </c>
      <c r="V191" s="4" t="s">
        <v>1</v>
      </c>
      <c r="W191" s="4">
        <v>1</v>
      </c>
      <c r="X191" s="4">
        <v>3</v>
      </c>
      <c r="Y191" s="4">
        <v>1</v>
      </c>
      <c r="Z191" s="56">
        <v>3</v>
      </c>
      <c r="AA191" s="9" cm="1">
        <f t="array" ref="AA191">IF(OR(AB191:AE191=""),"BLANK",IF(AND(AB191:AE191&lt;999),1,IF(AND(AB191:AE191="NA"),3,2)))</f>
        <v>1</v>
      </c>
      <c r="AB191" s="4">
        <v>28</v>
      </c>
      <c r="AC191" s="4">
        <v>12</v>
      </c>
      <c r="AD191" s="4">
        <v>6</v>
      </c>
      <c r="AE191" s="5">
        <v>46</v>
      </c>
      <c r="AF191" s="9">
        <f t="shared" si="2"/>
        <v>1</v>
      </c>
      <c r="AG191" s="5">
        <v>47</v>
      </c>
      <c r="AH191" s="9" cm="1">
        <f t="array" ref="AH191">IF(OR(AI191:AN191=""),"BLANK",IF(AND(AI191:AN191&lt;999),1,IF(AND(AI191:AN191="NA"),3,2)))</f>
        <v>1</v>
      </c>
      <c r="AI191" s="37">
        <v>37</v>
      </c>
      <c r="AJ191" s="37">
        <v>44</v>
      </c>
      <c r="AK191" s="37">
        <v>86</v>
      </c>
      <c r="AL191" s="37">
        <v>97</v>
      </c>
      <c r="AM191" s="37">
        <v>43</v>
      </c>
      <c r="AN191" s="38">
        <v>47</v>
      </c>
    </row>
    <row r="192" spans="1:40" x14ac:dyDescent="0.2">
      <c r="A192" s="16">
        <v>3863</v>
      </c>
      <c r="B192" s="4" t="s">
        <v>58</v>
      </c>
      <c r="C192" s="30" t="s">
        <v>23</v>
      </c>
      <c r="D192" s="30">
        <v>5</v>
      </c>
      <c r="E192" s="30">
        <v>0</v>
      </c>
      <c r="F192" s="54" t="s">
        <v>6</v>
      </c>
      <c r="G192" s="30">
        <v>29</v>
      </c>
      <c r="H192" s="33">
        <v>3.5592060232717317</v>
      </c>
      <c r="I192" s="33">
        <v>3.8384668035592062</v>
      </c>
      <c r="J192" s="33">
        <v>7.397672826830938</v>
      </c>
      <c r="K192" s="33">
        <v>3.5592060232717317</v>
      </c>
      <c r="L192" s="33">
        <v>3.8384668035592062</v>
      </c>
      <c r="M192" s="33">
        <v>7.397672826830938</v>
      </c>
      <c r="N192" s="33">
        <v>3.6057494866529773</v>
      </c>
      <c r="O192" s="33">
        <v>3.8001368925393568</v>
      </c>
      <c r="P192" s="33">
        <v>7.4058863791923342</v>
      </c>
      <c r="Q192" s="33">
        <v>3.8877481177275839</v>
      </c>
      <c r="R192" s="33">
        <v>3.5263518138261465</v>
      </c>
      <c r="S192" s="33">
        <v>7.4140999315537304</v>
      </c>
      <c r="T192" s="4">
        <v>5</v>
      </c>
      <c r="U192" s="4">
        <v>16</v>
      </c>
      <c r="V192" s="4" t="s">
        <v>1</v>
      </c>
      <c r="W192" s="4">
        <v>1</v>
      </c>
      <c r="X192" s="4">
        <v>3</v>
      </c>
      <c r="Y192" s="4">
        <v>1</v>
      </c>
      <c r="Z192" s="56">
        <v>3</v>
      </c>
      <c r="AA192" s="9" cm="1">
        <f t="array" ref="AA192">IF(OR(AB192:AE192=""),"BLANK",IF(AND(AB192:AE192&lt;999),1,IF(AND(AB192:AE192="NA"),3,2)))</f>
        <v>1</v>
      </c>
      <c r="AB192" s="4">
        <v>32</v>
      </c>
      <c r="AC192" s="4">
        <v>22</v>
      </c>
      <c r="AD192" s="4">
        <v>16</v>
      </c>
      <c r="AE192" s="5">
        <v>70</v>
      </c>
      <c r="AF192" s="9">
        <f t="shared" si="2"/>
        <v>1</v>
      </c>
      <c r="AG192" s="5">
        <v>55</v>
      </c>
      <c r="AH192" s="9" cm="1">
        <f t="array" ref="AH192">IF(OR(AI192:AN192=""),"BLANK",IF(AND(AI192:AN192&lt;999),1,IF(AND(AI192:AN192="NA"),3,2)))</f>
        <v>1</v>
      </c>
      <c r="AI192" s="37">
        <v>41</v>
      </c>
      <c r="AJ192" s="37">
        <v>51</v>
      </c>
      <c r="AK192" s="37">
        <v>94</v>
      </c>
      <c r="AL192" s="37">
        <v>105</v>
      </c>
      <c r="AM192" s="37">
        <v>63</v>
      </c>
      <c r="AN192" s="38">
        <v>50</v>
      </c>
    </row>
    <row r="193" spans="1:40" x14ac:dyDescent="0.2">
      <c r="A193" s="16">
        <v>3911</v>
      </c>
      <c r="B193" s="4" t="s">
        <v>62</v>
      </c>
      <c r="C193" s="30" t="s">
        <v>23</v>
      </c>
      <c r="D193" s="30">
        <v>5</v>
      </c>
      <c r="E193" s="30">
        <v>0</v>
      </c>
      <c r="F193" s="54" t="s">
        <v>6</v>
      </c>
      <c r="G193" s="30">
        <v>30</v>
      </c>
      <c r="H193" s="33">
        <v>3.6030116358658453</v>
      </c>
      <c r="I193" s="33">
        <v>3.9014373716632442</v>
      </c>
      <c r="J193" s="33">
        <v>7.5044490075290895</v>
      </c>
      <c r="K193" s="33">
        <v>3.6030116358658453</v>
      </c>
      <c r="L193" s="33">
        <v>3.9014373716632442</v>
      </c>
      <c r="M193" s="33">
        <v>7.5044490075290895</v>
      </c>
      <c r="N193" s="33">
        <v>3.6139630390143735</v>
      </c>
      <c r="O193" s="33">
        <v>3.9206023271731691</v>
      </c>
      <c r="P193" s="33">
        <v>7.5345653661875431</v>
      </c>
      <c r="Q193" s="33">
        <v>3.9616700889801506</v>
      </c>
      <c r="R193" s="33">
        <v>3.7727583846680357</v>
      </c>
      <c r="S193" s="33">
        <v>7.7344284736481859</v>
      </c>
      <c r="T193" s="4">
        <v>4</v>
      </c>
      <c r="U193" s="4">
        <v>16</v>
      </c>
      <c r="V193" s="4" t="s">
        <v>1</v>
      </c>
      <c r="W193" s="4">
        <v>1</v>
      </c>
      <c r="X193" s="4">
        <v>3</v>
      </c>
      <c r="Y193" s="4">
        <v>1</v>
      </c>
      <c r="Z193" s="56">
        <v>3</v>
      </c>
      <c r="AA193" s="9" cm="1">
        <f t="array" ref="AA193">IF(OR(AB193:AE193=""),"BLANK",IF(AND(AB193:AE193&lt;999),1,IF(AND(AB193:AE193="NA"),3,2)))</f>
        <v>1</v>
      </c>
      <c r="AB193" s="4">
        <v>36</v>
      </c>
      <c r="AC193" s="4">
        <v>22</v>
      </c>
      <c r="AD193" s="4">
        <v>19</v>
      </c>
      <c r="AE193" s="5">
        <v>77</v>
      </c>
      <c r="AF193" s="9">
        <f t="shared" si="2"/>
        <v>1</v>
      </c>
      <c r="AG193" s="5">
        <v>65</v>
      </c>
      <c r="AH193" s="9" cm="1">
        <f t="array" ref="AH193">IF(OR(AI193:AN193=""),"BLANK",IF(AND(AI193:AN193&lt;999),1,IF(AND(AI193:AN193="NA"),3,2)))</f>
        <v>1</v>
      </c>
      <c r="AI193" s="37">
        <v>50</v>
      </c>
      <c r="AJ193" s="37">
        <v>66</v>
      </c>
      <c r="AK193" s="37">
        <v>113</v>
      </c>
      <c r="AL193" s="37">
        <v>125</v>
      </c>
      <c r="AM193" s="37">
        <v>95</v>
      </c>
      <c r="AN193" s="38">
        <v>65</v>
      </c>
    </row>
    <row r="194" spans="1:40" x14ac:dyDescent="0.2">
      <c r="A194" s="16">
        <v>3946</v>
      </c>
      <c r="B194" s="4" t="s">
        <v>65</v>
      </c>
      <c r="C194" s="30" t="s">
        <v>23</v>
      </c>
      <c r="D194" s="30">
        <v>5</v>
      </c>
      <c r="E194" s="30">
        <v>0</v>
      </c>
      <c r="F194" s="54" t="s">
        <v>6</v>
      </c>
      <c r="G194" s="30">
        <v>30</v>
      </c>
      <c r="H194" s="33">
        <v>2.4996577686516086</v>
      </c>
      <c r="I194" s="33">
        <v>4.3367556468172488</v>
      </c>
      <c r="J194" s="33">
        <v>6.8364134154688569</v>
      </c>
      <c r="K194" s="33">
        <v>2.4996577686516086</v>
      </c>
      <c r="L194" s="33">
        <v>4.3367556468172488</v>
      </c>
      <c r="M194" s="33">
        <v>6.8364134154688569</v>
      </c>
      <c r="N194" s="33">
        <v>2.5078713210130048</v>
      </c>
      <c r="O194" s="33">
        <v>4.2847364818617386</v>
      </c>
      <c r="P194" s="33">
        <v>6.792607802874743</v>
      </c>
      <c r="Q194" s="33">
        <v>3.2963723477070501</v>
      </c>
      <c r="R194" s="33">
        <v>3.7371663244353184</v>
      </c>
      <c r="S194" s="33">
        <v>7.0335386721423685</v>
      </c>
      <c r="T194" s="4">
        <v>4</v>
      </c>
      <c r="U194" s="4">
        <v>16</v>
      </c>
      <c r="V194" s="4" t="s">
        <v>1</v>
      </c>
      <c r="W194" s="4">
        <v>1</v>
      </c>
      <c r="X194" s="4">
        <v>3</v>
      </c>
      <c r="Y194" s="4">
        <v>1</v>
      </c>
      <c r="Z194" s="56">
        <v>3</v>
      </c>
      <c r="AA194" s="9" cm="1">
        <f t="array" ref="AA194">IF(OR(AB194:AE194=""),"BLANK",IF(AND(AB194:AE194&lt;999),1,IF(AND(AB194:AE194="NA"),3,2)))</f>
        <v>1</v>
      </c>
      <c r="AB194" s="4">
        <v>32</v>
      </c>
      <c r="AC194" s="4">
        <v>20</v>
      </c>
      <c r="AD194" s="4">
        <v>14</v>
      </c>
      <c r="AE194" s="5">
        <v>66</v>
      </c>
      <c r="AF194" s="9">
        <f t="shared" ref="AF194:AF216" si="3">IF(OR(AG194="NA", AG194="xx"), 3,1)</f>
        <v>1</v>
      </c>
      <c r="AG194" s="5">
        <v>42</v>
      </c>
      <c r="AH194" s="9" cm="1">
        <f t="array" ref="AH194">IF(OR(AI194:AN194=""),"BLANK",IF(AND(AI194:AN194&lt;999),1,IF(AND(AI194:AN194="NA"),3,2)))</f>
        <v>1</v>
      </c>
      <c r="AI194" s="37">
        <v>35</v>
      </c>
      <c r="AJ194" s="37">
        <v>41</v>
      </c>
      <c r="AK194" s="37">
        <v>82</v>
      </c>
      <c r="AL194" s="37">
        <v>93</v>
      </c>
      <c r="AM194" s="37">
        <v>32</v>
      </c>
      <c r="AN194" s="38">
        <v>41</v>
      </c>
    </row>
    <row r="195" spans="1:40" x14ac:dyDescent="0.2">
      <c r="A195" s="16">
        <v>4196</v>
      </c>
      <c r="B195" s="4" t="s">
        <v>69</v>
      </c>
      <c r="C195" s="30" t="s">
        <v>24</v>
      </c>
      <c r="D195" s="30">
        <v>5</v>
      </c>
      <c r="E195" s="30">
        <v>0</v>
      </c>
      <c r="F195" s="54" t="s">
        <v>6</v>
      </c>
      <c r="G195" s="30">
        <v>30</v>
      </c>
      <c r="H195" s="33">
        <v>3.4579055441478439</v>
      </c>
      <c r="I195" s="33">
        <v>4.0109514031485283</v>
      </c>
      <c r="J195" s="33">
        <v>7.4688569472963726</v>
      </c>
      <c r="K195" s="33">
        <v>3.4579055441478439</v>
      </c>
      <c r="L195" s="33">
        <v>4.0136892539356603</v>
      </c>
      <c r="M195" s="33">
        <v>7.4715947980835047</v>
      </c>
      <c r="N195" s="33">
        <v>3.4168377823408624</v>
      </c>
      <c r="O195" s="33">
        <v>3.5865845311430529</v>
      </c>
      <c r="P195" s="33">
        <v>7.0034223134839149</v>
      </c>
      <c r="Q195" s="33">
        <v>3.5181382614647503</v>
      </c>
      <c r="R195" s="33" t="s">
        <v>7</v>
      </c>
      <c r="S195" s="33" t="s">
        <v>7</v>
      </c>
      <c r="T195" s="4" t="s">
        <v>7</v>
      </c>
      <c r="U195" s="4" t="s">
        <v>7</v>
      </c>
      <c r="V195" s="4" t="s">
        <v>1</v>
      </c>
      <c r="W195" s="4">
        <v>1</v>
      </c>
      <c r="X195" s="4">
        <v>3</v>
      </c>
      <c r="Y195" s="4">
        <v>1</v>
      </c>
      <c r="Z195" s="56">
        <v>3</v>
      </c>
      <c r="AA195" s="9" cm="1">
        <f t="array" ref="AA195">IF(OR(AB195:AE195=""),"BLANK",IF(AND(AB195:AE195&lt;999),1,IF(AND(AB195:AE195="NA"),3,2)))</f>
        <v>1</v>
      </c>
      <c r="AB195" s="4">
        <v>32</v>
      </c>
      <c r="AC195" s="4">
        <v>17</v>
      </c>
      <c r="AD195" s="4">
        <v>8</v>
      </c>
      <c r="AE195" s="5">
        <v>57</v>
      </c>
      <c r="AF195" s="9">
        <f t="shared" si="3"/>
        <v>1</v>
      </c>
      <c r="AG195" s="5">
        <v>45</v>
      </c>
      <c r="AH195" s="9" cm="1">
        <f t="array" ref="AH195">IF(OR(AI195:AN195=""),"BLANK",IF(AND(AI195:AN195&lt;999),1,IF(AND(AI195:AN195="NA"),3,2)))</f>
        <v>2</v>
      </c>
      <c r="AI195" s="37">
        <v>48</v>
      </c>
      <c r="AJ195" s="37">
        <v>62</v>
      </c>
      <c r="AK195" s="37">
        <v>109</v>
      </c>
      <c r="AL195" s="37" t="s">
        <v>7</v>
      </c>
      <c r="AM195" s="37" t="s">
        <v>7</v>
      </c>
      <c r="AN195" s="38" t="s">
        <v>7</v>
      </c>
    </row>
    <row r="196" spans="1:40" x14ac:dyDescent="0.2">
      <c r="A196" s="16">
        <v>4288</v>
      </c>
      <c r="B196" s="4" t="s">
        <v>66</v>
      </c>
      <c r="C196" s="30" t="s">
        <v>23</v>
      </c>
      <c r="D196" s="30">
        <v>5</v>
      </c>
      <c r="E196" s="30">
        <v>0</v>
      </c>
      <c r="F196" s="54" t="s">
        <v>6</v>
      </c>
      <c r="G196" s="30">
        <v>29</v>
      </c>
      <c r="H196" s="33">
        <v>3.4715947980835042</v>
      </c>
      <c r="I196" s="33">
        <v>3.6851471594798082</v>
      </c>
      <c r="J196" s="33">
        <v>7.1567419575633124</v>
      </c>
      <c r="K196" s="33">
        <v>3.4715947980835042</v>
      </c>
      <c r="L196" s="33">
        <v>3.7316906228610542</v>
      </c>
      <c r="M196" s="33">
        <v>7.2032854209445585</v>
      </c>
      <c r="N196" s="33">
        <v>3.4880219028062971</v>
      </c>
      <c r="O196" s="33" t="s">
        <v>7</v>
      </c>
      <c r="P196" s="33" t="s">
        <v>7</v>
      </c>
      <c r="Q196" s="33">
        <v>3.6577686516084875</v>
      </c>
      <c r="R196" s="33" t="s">
        <v>7</v>
      </c>
      <c r="S196" s="33" t="s">
        <v>7</v>
      </c>
      <c r="T196" s="4">
        <v>4</v>
      </c>
      <c r="U196" s="4">
        <v>16</v>
      </c>
      <c r="V196" s="4" t="s">
        <v>1</v>
      </c>
      <c r="W196" s="4">
        <v>1</v>
      </c>
      <c r="X196" s="4">
        <v>3</v>
      </c>
      <c r="Y196" s="4">
        <v>1</v>
      </c>
      <c r="Z196" s="56">
        <v>3</v>
      </c>
      <c r="AA196" s="9" cm="1">
        <f t="array" ref="AA196">IF(OR(AB196:AE196=""),"BLANK",IF(AND(AB196:AE196&lt;999),1,IF(AND(AB196:AE196="NA"),3,2)))</f>
        <v>1</v>
      </c>
      <c r="AB196" s="4">
        <v>30</v>
      </c>
      <c r="AC196" s="4">
        <v>18</v>
      </c>
      <c r="AD196" s="4">
        <v>12</v>
      </c>
      <c r="AE196" s="5">
        <v>60</v>
      </c>
      <c r="AF196" s="9">
        <f t="shared" si="3"/>
        <v>1</v>
      </c>
      <c r="AG196" s="5">
        <v>53</v>
      </c>
      <c r="AH196" s="9" cm="1">
        <f t="array" ref="AH196">IF(OR(AI196:AN196=""),"BLANK",IF(AND(AI196:AN196&lt;999),1,IF(AND(AI196:AN196="NA"),3,2)))</f>
        <v>1</v>
      </c>
      <c r="AI196" s="37">
        <v>39</v>
      </c>
      <c r="AJ196" s="37">
        <v>48</v>
      </c>
      <c r="AK196" s="37">
        <v>90</v>
      </c>
      <c r="AL196" s="37">
        <v>104</v>
      </c>
      <c r="AM196" s="37">
        <v>61</v>
      </c>
      <c r="AN196" s="38">
        <v>50</v>
      </c>
    </row>
    <row r="197" spans="1:40" x14ac:dyDescent="0.2">
      <c r="A197" s="16">
        <v>4312</v>
      </c>
      <c r="B197" s="4" t="s">
        <v>47</v>
      </c>
      <c r="C197" s="30" t="s">
        <v>23</v>
      </c>
      <c r="D197" s="30">
        <v>5</v>
      </c>
      <c r="E197" s="30">
        <v>0</v>
      </c>
      <c r="F197" s="54" t="s">
        <v>6</v>
      </c>
      <c r="G197" s="30">
        <v>30</v>
      </c>
      <c r="H197" s="33">
        <v>3.7563312799452429</v>
      </c>
      <c r="I197" s="33">
        <v>3.3566050650239561</v>
      </c>
      <c r="J197" s="33">
        <v>7.1129363449691994</v>
      </c>
      <c r="K197" s="33">
        <v>3.7563312799452429</v>
      </c>
      <c r="L197" s="33">
        <v>3.3566050650239561</v>
      </c>
      <c r="M197" s="33">
        <v>7.1129363449691994</v>
      </c>
      <c r="N197" s="33">
        <v>3.9096509240246409</v>
      </c>
      <c r="O197" s="33">
        <v>3.1266255989048597</v>
      </c>
      <c r="P197" s="33">
        <v>7.0362765229295006</v>
      </c>
      <c r="Q197" s="33">
        <v>3.6605065023956196</v>
      </c>
      <c r="R197" s="33">
        <v>3.3702943189596168</v>
      </c>
      <c r="S197" s="33">
        <v>7.0308008213552364</v>
      </c>
      <c r="T197" s="4">
        <v>3</v>
      </c>
      <c r="U197" s="4">
        <v>14</v>
      </c>
      <c r="V197" s="4" t="s">
        <v>1</v>
      </c>
      <c r="W197" s="4">
        <v>1</v>
      </c>
      <c r="X197" s="4">
        <v>3</v>
      </c>
      <c r="Y197" s="4">
        <v>1</v>
      </c>
      <c r="Z197" s="56">
        <v>3</v>
      </c>
      <c r="AA197" s="9" cm="1">
        <f t="array" ref="AA197">IF(OR(AB197:AE197=""),"BLANK",IF(AND(AB197:AE197&lt;999),1,IF(AND(AB197:AE197="NA"),3,2)))</f>
        <v>1</v>
      </c>
      <c r="AB197" s="4">
        <v>28</v>
      </c>
      <c r="AC197" s="4">
        <v>15</v>
      </c>
      <c r="AD197" s="4">
        <v>13</v>
      </c>
      <c r="AE197" s="5">
        <v>56</v>
      </c>
      <c r="AF197" s="9">
        <f t="shared" si="3"/>
        <v>1</v>
      </c>
      <c r="AG197" s="5">
        <v>51</v>
      </c>
      <c r="AH197" s="9" cm="1">
        <f t="array" ref="AH197">IF(OR(AI197:AN197=""),"BLANK",IF(AND(AI197:AN197&lt;999),1,IF(AND(AI197:AN197="NA"),3,2)))</f>
        <v>1</v>
      </c>
      <c r="AI197" s="37">
        <v>44</v>
      </c>
      <c r="AJ197" s="37">
        <v>56</v>
      </c>
      <c r="AK197" s="37">
        <v>101</v>
      </c>
      <c r="AL197" s="37">
        <v>116</v>
      </c>
      <c r="AM197" s="37">
        <v>85</v>
      </c>
      <c r="AN197" s="38">
        <v>59</v>
      </c>
    </row>
    <row r="198" spans="1:40" x14ac:dyDescent="0.2">
      <c r="A198" s="16">
        <v>4315</v>
      </c>
      <c r="B198" s="4" t="s">
        <v>64</v>
      </c>
      <c r="C198" s="30" t="s">
        <v>24</v>
      </c>
      <c r="D198" s="30">
        <v>5</v>
      </c>
      <c r="E198" s="30">
        <v>0</v>
      </c>
      <c r="F198" s="54" t="s">
        <v>6</v>
      </c>
      <c r="G198" s="30">
        <v>30</v>
      </c>
      <c r="H198" s="33">
        <v>2.4695414099931554</v>
      </c>
      <c r="I198" s="33">
        <v>4.3778234086242298</v>
      </c>
      <c r="J198" s="33">
        <v>6.8473648186173852</v>
      </c>
      <c r="K198" s="33">
        <v>2.4695414099931554</v>
      </c>
      <c r="L198" s="33">
        <v>4.3778234086242298</v>
      </c>
      <c r="M198" s="33">
        <v>6.8473648186173852</v>
      </c>
      <c r="N198" s="33">
        <v>2.622861054072553</v>
      </c>
      <c r="O198" s="33">
        <v>4.1889117043121153</v>
      </c>
      <c r="P198" s="33">
        <v>6.8117727583846683</v>
      </c>
      <c r="Q198" s="33">
        <v>2.9295003422313486</v>
      </c>
      <c r="R198" s="33" t="s">
        <v>7</v>
      </c>
      <c r="S198" s="33" t="s">
        <v>7</v>
      </c>
      <c r="T198" s="4" t="s">
        <v>7</v>
      </c>
      <c r="U198" s="4" t="s">
        <v>7</v>
      </c>
      <c r="V198" s="4" t="s">
        <v>1</v>
      </c>
      <c r="W198" s="4">
        <v>1</v>
      </c>
      <c r="X198" s="4">
        <v>3</v>
      </c>
      <c r="Y198" s="4">
        <v>1</v>
      </c>
      <c r="Z198" s="56">
        <v>3</v>
      </c>
      <c r="AA198" s="9" cm="1">
        <f t="array" ref="AA198">IF(OR(AB198:AE198=""),"BLANK",IF(AND(AB198:AE198&lt;999),1,IF(AND(AB198:AE198="NA"),3,2)))</f>
        <v>1</v>
      </c>
      <c r="AB198" s="4">
        <v>26</v>
      </c>
      <c r="AC198" s="4">
        <v>11</v>
      </c>
      <c r="AD198" s="4">
        <v>6</v>
      </c>
      <c r="AE198" s="5">
        <v>43</v>
      </c>
      <c r="AF198" s="9">
        <f t="shared" si="3"/>
        <v>1</v>
      </c>
      <c r="AG198" s="5">
        <v>43</v>
      </c>
      <c r="AH198" s="9" cm="1">
        <f t="array" ref="AH198">IF(OR(AI198:AN198=""),"BLANK",IF(AND(AI198:AN198&lt;999),1,IF(AND(AI198:AN198="NA"),3,2)))</f>
        <v>1</v>
      </c>
      <c r="AI198" s="37">
        <v>39</v>
      </c>
      <c r="AJ198" s="37">
        <v>48</v>
      </c>
      <c r="AK198" s="37">
        <v>90</v>
      </c>
      <c r="AL198" s="37">
        <v>109</v>
      </c>
      <c r="AM198" s="37">
        <v>73</v>
      </c>
      <c r="AN198" s="38">
        <v>54</v>
      </c>
    </row>
    <row r="199" spans="1:40" x14ac:dyDescent="0.2">
      <c r="A199" s="16">
        <v>4328</v>
      </c>
      <c r="B199" s="4" t="s">
        <v>67</v>
      </c>
      <c r="C199" s="30" t="s">
        <v>24</v>
      </c>
      <c r="D199" s="30">
        <v>5</v>
      </c>
      <c r="E199" s="30">
        <v>0</v>
      </c>
      <c r="F199" s="54" t="s">
        <v>6</v>
      </c>
      <c r="G199" s="30">
        <v>30</v>
      </c>
      <c r="H199" s="33">
        <v>3.5099247091033541</v>
      </c>
      <c r="I199" s="33">
        <v>3.2005475701574264</v>
      </c>
      <c r="J199" s="33">
        <v>6.71047227926078</v>
      </c>
      <c r="K199" s="33">
        <v>3.5099247091033541</v>
      </c>
      <c r="L199" s="33">
        <v>3.2005475701574264</v>
      </c>
      <c r="M199" s="33">
        <v>6.71047227926078</v>
      </c>
      <c r="N199" s="33">
        <v>3.5345653661875427</v>
      </c>
      <c r="O199" s="33">
        <v>3.2525667351129361</v>
      </c>
      <c r="P199" s="33">
        <v>6.7871321013004788</v>
      </c>
      <c r="Q199" s="33">
        <v>3.4223134839151266</v>
      </c>
      <c r="R199" s="33">
        <v>3.3730321697467489</v>
      </c>
      <c r="S199" s="33">
        <v>6.795345653661875</v>
      </c>
      <c r="T199" s="4">
        <v>7</v>
      </c>
      <c r="U199" s="4">
        <v>21</v>
      </c>
      <c r="V199" s="4" t="s">
        <v>1</v>
      </c>
      <c r="W199" s="4">
        <v>1</v>
      </c>
      <c r="X199" s="4">
        <v>3</v>
      </c>
      <c r="Y199" s="4">
        <v>1</v>
      </c>
      <c r="Z199" s="56">
        <v>3</v>
      </c>
      <c r="AA199" s="9" cm="1">
        <f t="array" ref="AA199">IF(OR(AB199:AE199=""),"BLANK",IF(AND(AB199:AE199&lt;999),1,IF(AND(AB199:AE199="NA"),3,2)))</f>
        <v>1</v>
      </c>
      <c r="AB199" s="4">
        <v>29</v>
      </c>
      <c r="AC199" s="4">
        <v>12</v>
      </c>
      <c r="AD199" s="4">
        <v>11</v>
      </c>
      <c r="AE199" s="5">
        <v>52</v>
      </c>
      <c r="AF199" s="9">
        <f t="shared" si="3"/>
        <v>1</v>
      </c>
      <c r="AG199" s="5">
        <v>53</v>
      </c>
      <c r="AH199" s="9" cm="1">
        <f t="array" ref="AH199">IF(OR(AI199:AN199=""),"BLANK",IF(AND(AI199:AN199&lt;999),1,IF(AND(AI199:AN199="NA"),3,2)))</f>
        <v>2</v>
      </c>
      <c r="AI199" s="37">
        <v>42</v>
      </c>
      <c r="AJ199" s="37">
        <v>53</v>
      </c>
      <c r="AK199" s="37">
        <v>97</v>
      </c>
      <c r="AL199" s="37" t="s">
        <v>7</v>
      </c>
      <c r="AM199" s="37" t="s">
        <v>7</v>
      </c>
      <c r="AN199" s="38" t="s">
        <v>7</v>
      </c>
    </row>
    <row r="200" spans="1:40" x14ac:dyDescent="0.2">
      <c r="A200" s="16">
        <v>4394</v>
      </c>
      <c r="B200" s="4" t="s">
        <v>62</v>
      </c>
      <c r="C200" s="30" t="s">
        <v>24</v>
      </c>
      <c r="D200" s="30">
        <v>2</v>
      </c>
      <c r="E200" s="30">
        <v>0</v>
      </c>
      <c r="F200" s="54" t="s">
        <v>6</v>
      </c>
      <c r="G200" s="30">
        <v>30</v>
      </c>
      <c r="H200" s="33">
        <v>3.9589322381930185</v>
      </c>
      <c r="I200" s="33">
        <v>3.1868583162217661</v>
      </c>
      <c r="J200" s="33">
        <v>7.1457905544147842</v>
      </c>
      <c r="K200" s="33">
        <v>3.9479808350444903</v>
      </c>
      <c r="L200" s="33">
        <v>3.184120465434634</v>
      </c>
      <c r="M200" s="33">
        <v>7.1321013004791238</v>
      </c>
      <c r="N200" s="33">
        <v>3.9479808350444903</v>
      </c>
      <c r="O200" s="33">
        <v>3.2224503764544834</v>
      </c>
      <c r="P200" s="33">
        <v>7.1704312114989737</v>
      </c>
      <c r="Q200" s="33">
        <v>3.8850102669404518</v>
      </c>
      <c r="R200" s="33">
        <v>3.2553045859000687</v>
      </c>
      <c r="S200" s="33">
        <v>7.14031485284052</v>
      </c>
      <c r="T200" s="4">
        <v>4</v>
      </c>
      <c r="U200" s="4">
        <v>16</v>
      </c>
      <c r="V200" s="4" t="s">
        <v>1</v>
      </c>
      <c r="W200" s="4">
        <v>1</v>
      </c>
      <c r="X200" s="4">
        <v>3</v>
      </c>
      <c r="Y200" s="4">
        <v>1</v>
      </c>
      <c r="Z200" s="56">
        <v>3</v>
      </c>
      <c r="AA200" s="9" cm="1">
        <f t="array" ref="AA200">IF(OR(AB200:AE200=""),"BLANK",IF(AND(AB200:AE200&lt;999),1,IF(AND(AB200:AE200="NA"),3,2)))</f>
        <v>1</v>
      </c>
      <c r="AB200" s="4">
        <v>32</v>
      </c>
      <c r="AC200" s="4">
        <v>16</v>
      </c>
      <c r="AD200" s="4">
        <v>13</v>
      </c>
      <c r="AE200" s="5">
        <v>61</v>
      </c>
      <c r="AF200" s="9">
        <f t="shared" si="3"/>
        <v>1</v>
      </c>
      <c r="AG200" s="5">
        <v>61</v>
      </c>
      <c r="AH200" s="9" cm="1">
        <f t="array" ref="AH200">IF(OR(AI200:AN200=""),"BLANK",IF(AND(AI200:AN200&lt;999),1,IF(AND(AI200:AN200="NA"),3,2)))</f>
        <v>1</v>
      </c>
      <c r="AI200" s="37">
        <v>47</v>
      </c>
      <c r="AJ200" s="37">
        <v>61</v>
      </c>
      <c r="AK200" s="37">
        <v>107</v>
      </c>
      <c r="AL200" s="37">
        <v>111</v>
      </c>
      <c r="AM200" s="37">
        <v>78</v>
      </c>
      <c r="AN200" s="38">
        <v>60</v>
      </c>
    </row>
    <row r="201" spans="1:40" x14ac:dyDescent="0.2">
      <c r="A201" s="16">
        <v>4451</v>
      </c>
      <c r="B201" s="4" t="s">
        <v>54</v>
      </c>
      <c r="C201" s="30" t="s">
        <v>24</v>
      </c>
      <c r="D201" s="30">
        <v>5</v>
      </c>
      <c r="E201" s="30">
        <v>1</v>
      </c>
      <c r="F201" s="54" t="s">
        <v>6</v>
      </c>
      <c r="G201" s="30">
        <v>28</v>
      </c>
      <c r="H201" s="33">
        <v>3.4168377823408624</v>
      </c>
      <c r="I201" s="33">
        <v>3.6030116358658453</v>
      </c>
      <c r="J201" s="33">
        <v>7.0198494182067082</v>
      </c>
      <c r="K201" s="33">
        <v>3.485284052019165</v>
      </c>
      <c r="L201" s="33">
        <v>3.5345653661875427</v>
      </c>
      <c r="M201" s="33">
        <v>7.0198494182067082</v>
      </c>
      <c r="N201" s="33">
        <v>3.4387405886379194</v>
      </c>
      <c r="O201" s="33">
        <v>3.6030116358658453</v>
      </c>
      <c r="P201" s="33">
        <v>7.0417522245037647</v>
      </c>
      <c r="Q201" s="33">
        <v>3.5044490075290895</v>
      </c>
      <c r="R201" s="33">
        <v>3.57015742642026</v>
      </c>
      <c r="S201" s="33">
        <v>7.0746064339493495</v>
      </c>
      <c r="T201" s="4" t="s">
        <v>7</v>
      </c>
      <c r="U201" s="4" t="s">
        <v>7</v>
      </c>
      <c r="V201" s="4" t="s">
        <v>1</v>
      </c>
      <c r="W201" s="4">
        <v>1</v>
      </c>
      <c r="X201" s="4">
        <v>3</v>
      </c>
      <c r="Y201" s="4">
        <v>1</v>
      </c>
      <c r="Z201" s="56">
        <v>3</v>
      </c>
      <c r="AA201" s="9" cm="1">
        <f t="array" ref="AA201">IF(OR(AB201:AE201=""),"BLANK",IF(AND(AB201:AE201&lt;999),1,IF(AND(AB201:AE201="NA"),3,2)))</f>
        <v>1</v>
      </c>
      <c r="AB201" s="4">
        <v>19</v>
      </c>
      <c r="AC201" s="4">
        <v>13</v>
      </c>
      <c r="AD201" s="4">
        <v>6</v>
      </c>
      <c r="AE201" s="5">
        <v>38</v>
      </c>
      <c r="AF201" s="9">
        <f t="shared" si="3"/>
        <v>1</v>
      </c>
      <c r="AG201" s="5">
        <v>32</v>
      </c>
      <c r="AH201" s="9" cm="1">
        <f t="array" ref="AH201">IF(OR(AI201:AN201=""),"BLANK",IF(AND(AI201:AN201&lt;999),1,IF(AND(AI201:AN201="NA"),3,2)))</f>
        <v>1</v>
      </c>
      <c r="AI201" s="37">
        <v>22</v>
      </c>
      <c r="AJ201" s="37">
        <v>22</v>
      </c>
      <c r="AK201" s="37">
        <v>58</v>
      </c>
      <c r="AL201" s="37">
        <v>54</v>
      </c>
      <c r="AM201" s="37">
        <v>1</v>
      </c>
      <c r="AN201" s="38">
        <v>29</v>
      </c>
    </row>
    <row r="202" spans="1:40" x14ac:dyDescent="0.2">
      <c r="A202" s="16">
        <v>4461</v>
      </c>
      <c r="B202" s="4" t="s">
        <v>48</v>
      </c>
      <c r="C202" s="30" t="s">
        <v>24</v>
      </c>
      <c r="D202" s="30">
        <v>5</v>
      </c>
      <c r="E202" s="30">
        <v>0</v>
      </c>
      <c r="F202" s="54" t="s">
        <v>6</v>
      </c>
      <c r="G202" s="30">
        <v>29</v>
      </c>
      <c r="H202" s="33">
        <v>3.463381245722108</v>
      </c>
      <c r="I202" s="33">
        <v>3.3648186173853527</v>
      </c>
      <c r="J202" s="33">
        <v>6.8281998631074607</v>
      </c>
      <c r="K202" s="33">
        <v>3.463381245722108</v>
      </c>
      <c r="L202" s="33">
        <v>3.3648186173853527</v>
      </c>
      <c r="M202" s="33">
        <v>6.8281998631074607</v>
      </c>
      <c r="N202" s="33">
        <v>3.4387405886379194</v>
      </c>
      <c r="O202" s="33">
        <v>3.4277891854893907</v>
      </c>
      <c r="P202" s="33">
        <v>6.8665297741273097</v>
      </c>
      <c r="Q202" s="33">
        <v>3.3949349760438055</v>
      </c>
      <c r="R202" s="33">
        <v>3.5017111567419574</v>
      </c>
      <c r="S202" s="33">
        <v>6.8966461327857633</v>
      </c>
      <c r="T202" s="4">
        <v>5</v>
      </c>
      <c r="U202" s="4">
        <v>17</v>
      </c>
      <c r="V202" s="4" t="s">
        <v>1</v>
      </c>
      <c r="W202" s="4">
        <v>1</v>
      </c>
      <c r="X202" s="4">
        <v>3</v>
      </c>
      <c r="Y202" s="4">
        <v>1</v>
      </c>
      <c r="Z202" s="56">
        <v>3</v>
      </c>
      <c r="AA202" s="9" cm="1">
        <f t="array" ref="AA202">IF(OR(AB202:AE202=""),"BLANK",IF(AND(AB202:AE202&lt;999),1,IF(AND(AB202:AE202="NA"),3,2)))</f>
        <v>1</v>
      </c>
      <c r="AB202" s="4">
        <v>32</v>
      </c>
      <c r="AC202" s="4">
        <v>20</v>
      </c>
      <c r="AD202" s="4">
        <v>14</v>
      </c>
      <c r="AE202" s="5">
        <v>66</v>
      </c>
      <c r="AF202" s="9">
        <f t="shared" si="3"/>
        <v>1</v>
      </c>
      <c r="AG202" s="5">
        <v>44</v>
      </c>
      <c r="AH202" s="9" cm="1">
        <f t="array" ref="AH202">IF(OR(AI202:AN202=""),"BLANK",IF(AND(AI202:AN202&lt;999),1,IF(AND(AI202:AN202="NA"),3,2)))</f>
        <v>1</v>
      </c>
      <c r="AI202" s="37">
        <v>45</v>
      </c>
      <c r="AJ202" s="37">
        <v>58</v>
      </c>
      <c r="AK202" s="37">
        <v>103</v>
      </c>
      <c r="AL202" s="37">
        <v>120</v>
      </c>
      <c r="AM202" s="37">
        <v>91</v>
      </c>
      <c r="AN202" s="38">
        <v>61</v>
      </c>
    </row>
    <row r="203" spans="1:40" x14ac:dyDescent="0.2">
      <c r="A203" s="16">
        <v>4488</v>
      </c>
      <c r="B203" s="4" t="s">
        <v>65</v>
      </c>
      <c r="C203" s="30" t="s">
        <v>23</v>
      </c>
      <c r="D203" s="30">
        <v>5</v>
      </c>
      <c r="E203" s="30">
        <v>0</v>
      </c>
      <c r="F203" s="54" t="s">
        <v>6</v>
      </c>
      <c r="G203" s="30">
        <v>29</v>
      </c>
      <c r="H203" s="33">
        <v>3.460643394934976</v>
      </c>
      <c r="I203" s="33">
        <v>3.5345653661875427</v>
      </c>
      <c r="J203" s="33">
        <v>6.9952087611225187</v>
      </c>
      <c r="K203" s="33">
        <v>4.6379192334017798</v>
      </c>
      <c r="L203" s="33">
        <v>2.3572895277207393</v>
      </c>
      <c r="M203" s="33">
        <v>6.9952087611225187</v>
      </c>
      <c r="N203" s="33">
        <v>3.6303901437371664</v>
      </c>
      <c r="O203" s="33" t="s">
        <v>7</v>
      </c>
      <c r="P203" s="33" t="s">
        <v>7</v>
      </c>
      <c r="Q203" s="33">
        <v>3.5126625598904861</v>
      </c>
      <c r="R203" s="33" t="s">
        <v>7</v>
      </c>
      <c r="S203" s="33" t="s">
        <v>7</v>
      </c>
      <c r="T203" s="4">
        <v>3</v>
      </c>
      <c r="U203" s="4">
        <v>14</v>
      </c>
      <c r="V203" s="4" t="s">
        <v>1</v>
      </c>
      <c r="W203" s="4">
        <v>1</v>
      </c>
      <c r="X203" s="4">
        <v>3</v>
      </c>
      <c r="Y203" s="4">
        <v>1</v>
      </c>
      <c r="Z203" s="56">
        <v>3</v>
      </c>
      <c r="AA203" s="9" cm="1">
        <f t="array" ref="AA203">IF(OR(AB203:AE203=""),"BLANK",IF(AND(AB203:AE203&lt;999),1,IF(AND(AB203:AE203="NA"),3,2)))</f>
        <v>1</v>
      </c>
      <c r="AB203" s="4">
        <v>24</v>
      </c>
      <c r="AC203" s="4">
        <v>16</v>
      </c>
      <c r="AD203" s="4">
        <v>10</v>
      </c>
      <c r="AE203" s="5">
        <v>50</v>
      </c>
      <c r="AF203" s="9">
        <f t="shared" si="3"/>
        <v>1</v>
      </c>
      <c r="AG203" s="5">
        <v>39</v>
      </c>
      <c r="AH203" s="9" cm="1">
        <f t="array" ref="AH203">IF(OR(AI203:AN203=""),"BLANK",IF(AND(AI203:AN203&lt;999),1,IF(AND(AI203:AN203="NA"),3,2)))</f>
        <v>1</v>
      </c>
      <c r="AI203" s="37">
        <v>27</v>
      </c>
      <c r="AJ203" s="37">
        <v>28</v>
      </c>
      <c r="AK203" s="37">
        <v>65</v>
      </c>
      <c r="AL203" s="37">
        <v>72</v>
      </c>
      <c r="AM203" s="37">
        <v>3</v>
      </c>
      <c r="AN203" s="38">
        <v>25</v>
      </c>
    </row>
    <row r="204" spans="1:40" x14ac:dyDescent="0.2">
      <c r="A204" s="16">
        <v>4540</v>
      </c>
      <c r="B204" s="4" t="s">
        <v>67</v>
      </c>
      <c r="C204" s="30" t="s">
        <v>23</v>
      </c>
      <c r="D204" s="30">
        <v>5</v>
      </c>
      <c r="E204" s="30">
        <v>1</v>
      </c>
      <c r="F204" s="54" t="s">
        <v>6</v>
      </c>
      <c r="G204" s="30">
        <v>26</v>
      </c>
      <c r="H204" s="33">
        <v>3.4442162902121836</v>
      </c>
      <c r="I204" s="33">
        <v>3.5838466803559208</v>
      </c>
      <c r="J204" s="33">
        <v>7.0280629705681044</v>
      </c>
      <c r="K204" s="33">
        <v>3.6659822039698837</v>
      </c>
      <c r="L204" s="33" t="s">
        <v>7</v>
      </c>
      <c r="M204" s="33" t="s">
        <v>7</v>
      </c>
      <c r="N204" s="33">
        <v>3.4113620807665983</v>
      </c>
      <c r="O204" s="33" t="s">
        <v>7</v>
      </c>
      <c r="P204" s="33" t="s">
        <v>7</v>
      </c>
      <c r="Q204" s="33">
        <v>3.5318275154004106</v>
      </c>
      <c r="R204" s="33" t="s">
        <v>7</v>
      </c>
      <c r="S204" s="33" t="s">
        <v>7</v>
      </c>
      <c r="T204" s="4" t="s">
        <v>7</v>
      </c>
      <c r="U204" s="4" t="s">
        <v>7</v>
      </c>
      <c r="V204" s="4" t="s">
        <v>1</v>
      </c>
      <c r="W204" s="4">
        <v>1</v>
      </c>
      <c r="X204" s="4">
        <v>3</v>
      </c>
      <c r="Y204" s="4">
        <v>1</v>
      </c>
      <c r="Z204" s="56">
        <v>3</v>
      </c>
      <c r="AA204" s="9" cm="1">
        <f t="array" ref="AA204">IF(OR(AB204:AE204=""),"BLANK",IF(AND(AB204:AE204&lt;999),1,IF(AND(AB204:AE204="NA"),3,2)))</f>
        <v>1</v>
      </c>
      <c r="AB204" s="4">
        <v>25</v>
      </c>
      <c r="AC204" s="4">
        <v>10</v>
      </c>
      <c r="AD204" s="4">
        <v>12</v>
      </c>
      <c r="AE204" s="5">
        <v>47</v>
      </c>
      <c r="AF204" s="9">
        <f t="shared" si="3"/>
        <v>1</v>
      </c>
      <c r="AG204" s="5">
        <v>25</v>
      </c>
      <c r="AH204" s="9" cm="1">
        <f t="array" ref="AH204">IF(OR(AI204:AN204=""),"BLANK",IF(AND(AI204:AN204&lt;999),1,IF(AND(AI204:AN204="NA"),3,2)))</f>
        <v>2</v>
      </c>
      <c r="AI204" s="37">
        <v>38</v>
      </c>
      <c r="AJ204" s="37">
        <v>46</v>
      </c>
      <c r="AK204" s="37">
        <v>88</v>
      </c>
      <c r="AL204" s="37" t="s">
        <v>7</v>
      </c>
      <c r="AM204" s="37" t="s">
        <v>7</v>
      </c>
      <c r="AN204" s="38" t="s">
        <v>7</v>
      </c>
    </row>
    <row r="205" spans="1:40" x14ac:dyDescent="0.2">
      <c r="A205" s="16">
        <v>4581</v>
      </c>
      <c r="B205" s="4" t="s">
        <v>52</v>
      </c>
      <c r="C205" s="30" t="s">
        <v>23</v>
      </c>
      <c r="D205" s="30">
        <v>5</v>
      </c>
      <c r="E205" s="30">
        <v>0</v>
      </c>
      <c r="F205" s="54" t="s">
        <v>6</v>
      </c>
      <c r="G205" s="30">
        <v>30</v>
      </c>
      <c r="H205" s="33">
        <v>3.4715947980835042</v>
      </c>
      <c r="I205" s="33">
        <v>3.4469541409993156</v>
      </c>
      <c r="J205" s="33">
        <v>6.9185489390828199</v>
      </c>
      <c r="K205" s="33">
        <v>3.4579055441478439</v>
      </c>
      <c r="L205" s="33">
        <v>3.5455167693360714</v>
      </c>
      <c r="M205" s="33">
        <v>7.0034223134839149</v>
      </c>
      <c r="N205" s="33">
        <v>3.5154004106776182</v>
      </c>
      <c r="O205" s="33">
        <v>3.1978097193702943</v>
      </c>
      <c r="P205" s="33">
        <v>6.7132101300479121</v>
      </c>
      <c r="Q205" s="33">
        <v>3.4880219028062971</v>
      </c>
      <c r="R205" s="33">
        <v>3.4496919917864477</v>
      </c>
      <c r="S205" s="33">
        <v>6.9377138945927443</v>
      </c>
      <c r="T205" s="4" t="s">
        <v>7</v>
      </c>
      <c r="U205" s="4" t="s">
        <v>7</v>
      </c>
      <c r="V205" s="4" t="s">
        <v>1</v>
      </c>
      <c r="W205" s="4">
        <v>1</v>
      </c>
      <c r="X205" s="4">
        <v>3</v>
      </c>
      <c r="Y205" s="4">
        <v>1</v>
      </c>
      <c r="Z205" s="56">
        <v>3</v>
      </c>
      <c r="AA205" s="9" cm="1">
        <f t="array" ref="AA205">IF(OR(AB205:AE205=""),"BLANK",IF(AND(AB205:AE205&lt;999),1,IF(AND(AB205:AE205="NA"),3,2)))</f>
        <v>1</v>
      </c>
      <c r="AB205" s="4">
        <v>35</v>
      </c>
      <c r="AC205" s="4">
        <v>22</v>
      </c>
      <c r="AD205" s="4">
        <v>15</v>
      </c>
      <c r="AE205" s="5">
        <v>72</v>
      </c>
      <c r="AF205" s="9">
        <f t="shared" si="3"/>
        <v>1</v>
      </c>
      <c r="AG205" s="5">
        <v>51</v>
      </c>
      <c r="AH205" s="9" cm="1">
        <f t="array" ref="AH205">IF(OR(AI205:AN205=""),"BLANK",IF(AND(AI205:AN205&lt;999),1,IF(AND(AI205:AN205="NA"),3,2)))</f>
        <v>1</v>
      </c>
      <c r="AI205" s="37">
        <v>53</v>
      </c>
      <c r="AJ205" s="37">
        <v>71</v>
      </c>
      <c r="AK205" s="37">
        <v>120</v>
      </c>
      <c r="AL205" s="37">
        <v>146</v>
      </c>
      <c r="AM205" s="37">
        <v>99</v>
      </c>
      <c r="AN205" s="38">
        <v>81</v>
      </c>
    </row>
    <row r="206" spans="1:40" x14ac:dyDescent="0.2">
      <c r="A206" s="16">
        <v>4582</v>
      </c>
      <c r="B206" s="4" t="s">
        <v>64</v>
      </c>
      <c r="C206" s="30" t="s">
        <v>23</v>
      </c>
      <c r="D206" s="30">
        <v>5</v>
      </c>
      <c r="E206" s="30">
        <v>0</v>
      </c>
      <c r="F206" s="54" t="s">
        <v>6</v>
      </c>
      <c r="G206" s="30">
        <v>27</v>
      </c>
      <c r="H206" s="33">
        <v>3.4113620807665983</v>
      </c>
      <c r="I206" s="33">
        <v>3.4195756331279945</v>
      </c>
      <c r="J206" s="33">
        <v>6.8309377138945928</v>
      </c>
      <c r="K206" s="33">
        <v>3.3401779603011637</v>
      </c>
      <c r="L206" s="33">
        <v>3.3894592744695413</v>
      </c>
      <c r="M206" s="33">
        <v>6.7296372347707054</v>
      </c>
      <c r="N206" s="33">
        <v>3.5838466803559208</v>
      </c>
      <c r="O206" s="33">
        <v>3.1950718685831623</v>
      </c>
      <c r="P206" s="33">
        <v>6.7789185489390826</v>
      </c>
      <c r="Q206" s="33">
        <v>3.2388774811772758</v>
      </c>
      <c r="R206" s="33" t="s">
        <v>7</v>
      </c>
      <c r="S206" s="33" t="s">
        <v>7</v>
      </c>
      <c r="T206" s="4" t="s">
        <v>7</v>
      </c>
      <c r="U206" s="4" t="s">
        <v>7</v>
      </c>
      <c r="V206" s="4" t="s">
        <v>1</v>
      </c>
      <c r="W206" s="4">
        <v>1</v>
      </c>
      <c r="X206" s="4">
        <v>3</v>
      </c>
      <c r="Y206" s="4">
        <v>1</v>
      </c>
      <c r="Z206" s="56">
        <v>3</v>
      </c>
      <c r="AA206" s="9" cm="1">
        <f t="array" ref="AA206">IF(OR(AB206:AE206=""),"BLANK",IF(AND(AB206:AE206&lt;999),1,IF(AND(AB206:AE206="NA"),3,2)))</f>
        <v>1</v>
      </c>
      <c r="AB206" s="4">
        <v>25</v>
      </c>
      <c r="AC206" s="4">
        <v>16</v>
      </c>
      <c r="AD206" s="4">
        <v>11</v>
      </c>
      <c r="AE206" s="5">
        <v>52</v>
      </c>
      <c r="AF206" s="9">
        <f t="shared" si="3"/>
        <v>1</v>
      </c>
      <c r="AG206" s="5">
        <v>31</v>
      </c>
      <c r="AH206" s="9" cm="1">
        <f t="array" ref="AH206">IF(OR(AI206:AN206=""),"BLANK",IF(AND(AI206:AN206&lt;999),1,IF(AND(AI206:AN206="NA"),3,2)))</f>
        <v>1</v>
      </c>
      <c r="AI206" s="37">
        <v>25</v>
      </c>
      <c r="AJ206" s="37">
        <v>25</v>
      </c>
      <c r="AK206" s="37">
        <v>62</v>
      </c>
      <c r="AL206" s="37">
        <v>68</v>
      </c>
      <c r="AM206" s="37">
        <v>2</v>
      </c>
      <c r="AN206" s="38">
        <v>19</v>
      </c>
    </row>
    <row r="207" spans="1:40" x14ac:dyDescent="0.2">
      <c r="A207" s="16">
        <v>4641</v>
      </c>
      <c r="B207" s="4" t="s">
        <v>52</v>
      </c>
      <c r="C207" s="30" t="s">
        <v>23</v>
      </c>
      <c r="D207" s="30">
        <v>5</v>
      </c>
      <c r="E207" s="30">
        <v>0</v>
      </c>
      <c r="F207" s="54" t="s">
        <v>6</v>
      </c>
      <c r="G207" s="30">
        <v>26</v>
      </c>
      <c r="H207" s="33">
        <v>3.4195756331279945</v>
      </c>
      <c r="I207" s="33">
        <v>3.40041067761807</v>
      </c>
      <c r="J207" s="33">
        <v>6.8199863107460645</v>
      </c>
      <c r="K207" s="33">
        <v>3.4469541409993156</v>
      </c>
      <c r="L207" s="33">
        <v>3.4688569472963722</v>
      </c>
      <c r="M207" s="33">
        <v>6.9158110882956878</v>
      </c>
      <c r="N207" s="33">
        <v>3.3921971252566734</v>
      </c>
      <c r="O207" s="33">
        <v>3.378507871321013</v>
      </c>
      <c r="P207" s="33">
        <v>6.7707049965776864</v>
      </c>
      <c r="Q207" s="33">
        <v>3.3292265571526354</v>
      </c>
      <c r="R207" s="33" t="s">
        <v>7</v>
      </c>
      <c r="S207" s="33" t="s">
        <v>7</v>
      </c>
      <c r="T207" s="4" t="s">
        <v>7</v>
      </c>
      <c r="U207" s="4" t="s">
        <v>7</v>
      </c>
      <c r="V207" s="4" t="s">
        <v>1</v>
      </c>
      <c r="W207" s="4">
        <v>1</v>
      </c>
      <c r="X207" s="4">
        <v>3</v>
      </c>
      <c r="Y207" s="4">
        <v>1</v>
      </c>
      <c r="Z207" s="56">
        <v>3</v>
      </c>
      <c r="AA207" s="9" cm="1">
        <f t="array" ref="AA207">IF(OR(AB207:AE207=""),"BLANK",IF(AND(AB207:AE207&lt;999),1,IF(AND(AB207:AE207="NA"),3,2)))</f>
        <v>1</v>
      </c>
      <c r="AB207" s="4">
        <v>30</v>
      </c>
      <c r="AC207" s="4">
        <v>15</v>
      </c>
      <c r="AD207" s="4">
        <v>13</v>
      </c>
      <c r="AE207" s="5">
        <v>58</v>
      </c>
      <c r="AF207" s="9">
        <f t="shared" si="3"/>
        <v>1</v>
      </c>
      <c r="AG207" s="5">
        <v>48</v>
      </c>
      <c r="AH207" s="9" cm="1">
        <f t="array" ref="AH207">IF(OR(AI207:AN207=""),"BLANK",IF(AND(AI207:AN207&lt;999),1,IF(AND(AI207:AN207="NA"),3,2)))</f>
        <v>1</v>
      </c>
      <c r="AI207" s="37">
        <v>43</v>
      </c>
      <c r="AJ207" s="37">
        <v>54</v>
      </c>
      <c r="AK207" s="37">
        <v>99</v>
      </c>
      <c r="AL207" s="37">
        <v>119</v>
      </c>
      <c r="AM207" s="37">
        <v>89</v>
      </c>
      <c r="AN207" s="38">
        <v>62</v>
      </c>
    </row>
    <row r="208" spans="1:40" x14ac:dyDescent="0.2">
      <c r="A208" s="16">
        <v>4658</v>
      </c>
      <c r="B208" s="4" t="s">
        <v>52</v>
      </c>
      <c r="C208" s="30" t="s">
        <v>23</v>
      </c>
      <c r="D208" s="30">
        <v>5</v>
      </c>
      <c r="E208" s="30">
        <v>0</v>
      </c>
      <c r="F208" s="54" t="s">
        <v>6</v>
      </c>
      <c r="G208" s="30">
        <v>30</v>
      </c>
      <c r="H208" s="33">
        <v>3.7508555783709787</v>
      </c>
      <c r="I208" s="33">
        <v>2.9897330595482545</v>
      </c>
      <c r="J208" s="33">
        <v>6.7405886379192337</v>
      </c>
      <c r="K208" s="33">
        <v>3.786447638603696</v>
      </c>
      <c r="L208" s="33">
        <v>2.9377138945927448</v>
      </c>
      <c r="M208" s="33">
        <v>6.7241615331964404</v>
      </c>
      <c r="N208" s="33">
        <v>3.7180013689253935</v>
      </c>
      <c r="O208" s="33" t="s">
        <v>7</v>
      </c>
      <c r="P208" s="33" t="s">
        <v>7</v>
      </c>
      <c r="Q208" s="33">
        <v>3.6933607118412048</v>
      </c>
      <c r="R208" s="33" t="s">
        <v>7</v>
      </c>
      <c r="S208" s="33" t="s">
        <v>7</v>
      </c>
      <c r="T208" s="4">
        <v>3</v>
      </c>
      <c r="U208" s="4">
        <v>14</v>
      </c>
      <c r="V208" s="4" t="s">
        <v>1</v>
      </c>
      <c r="W208" s="4">
        <v>1</v>
      </c>
      <c r="X208" s="4">
        <v>3</v>
      </c>
      <c r="Y208" s="4">
        <v>1</v>
      </c>
      <c r="Z208" s="56">
        <v>3</v>
      </c>
      <c r="AA208" s="9" cm="1">
        <f t="array" ref="AA208">IF(OR(AB208:AE208=""),"BLANK",IF(AND(AB208:AE208&lt;999),1,IF(AND(AB208:AE208="NA"),3,2)))</f>
        <v>1</v>
      </c>
      <c r="AB208" s="4">
        <v>30</v>
      </c>
      <c r="AC208" s="4">
        <v>15</v>
      </c>
      <c r="AD208" s="4">
        <v>11</v>
      </c>
      <c r="AE208" s="5">
        <v>56</v>
      </c>
      <c r="AF208" s="9">
        <f t="shared" si="3"/>
        <v>1</v>
      </c>
      <c r="AG208" s="5">
        <v>41</v>
      </c>
      <c r="AH208" s="9" cm="1">
        <f t="array" ref="AH208">IF(OR(AI208:AN208=""),"BLANK",IF(AND(AI208:AN208&lt;999),1,IF(AND(AI208:AN208="NA"),3,2)))</f>
        <v>1</v>
      </c>
      <c r="AI208" s="37">
        <v>38</v>
      </c>
      <c r="AJ208" s="37">
        <v>46</v>
      </c>
      <c r="AK208" s="37">
        <v>88</v>
      </c>
      <c r="AL208" s="37">
        <v>99</v>
      </c>
      <c r="AM208" s="37">
        <v>47</v>
      </c>
      <c r="AN208" s="38">
        <v>46</v>
      </c>
    </row>
    <row r="209" spans="1:40" x14ac:dyDescent="0.2">
      <c r="A209" s="16">
        <v>4679</v>
      </c>
      <c r="B209" s="4" t="s">
        <v>52</v>
      </c>
      <c r="C209" s="30" t="s">
        <v>24</v>
      </c>
      <c r="D209" s="30">
        <v>5</v>
      </c>
      <c r="E209" s="30">
        <v>0</v>
      </c>
      <c r="F209" s="54" t="s">
        <v>6</v>
      </c>
      <c r="G209" s="30">
        <v>30</v>
      </c>
      <c r="H209" s="33">
        <v>3.5427789185489389</v>
      </c>
      <c r="I209" s="33">
        <v>3.2169746748802188</v>
      </c>
      <c r="J209" s="33">
        <v>6.7597535934291582</v>
      </c>
      <c r="K209" s="33">
        <v>3.5427789185489389</v>
      </c>
      <c r="L209" s="33">
        <v>3.2443531827515399</v>
      </c>
      <c r="M209" s="33">
        <v>6.7871321013004788</v>
      </c>
      <c r="N209" s="33">
        <v>3.592060232717317</v>
      </c>
      <c r="O209" s="33">
        <v>3.1321013004791238</v>
      </c>
      <c r="P209" s="33">
        <v>6.7241615331964404</v>
      </c>
      <c r="Q209" s="33">
        <v>3.9096509240246409</v>
      </c>
      <c r="R209" s="33">
        <v>2.9322381930184807</v>
      </c>
      <c r="S209" s="33">
        <v>6.8418891170431211</v>
      </c>
      <c r="T209" s="4">
        <v>6</v>
      </c>
      <c r="U209" s="4">
        <v>18</v>
      </c>
      <c r="V209" s="4" t="s">
        <v>1</v>
      </c>
      <c r="W209" s="4">
        <v>1</v>
      </c>
      <c r="X209" s="4">
        <v>3</v>
      </c>
      <c r="Y209" s="4">
        <v>1</v>
      </c>
      <c r="Z209" s="56">
        <v>3</v>
      </c>
      <c r="AA209" s="9" cm="1">
        <f t="array" ref="AA209">IF(OR(AB209:AE209=""),"BLANK",IF(AND(AB209:AE209&lt;999),1,IF(AND(AB209:AE209="NA"),3,2)))</f>
        <v>1</v>
      </c>
      <c r="AB209" s="4">
        <v>32</v>
      </c>
      <c r="AC209" s="4">
        <v>17</v>
      </c>
      <c r="AD209" s="4">
        <v>12</v>
      </c>
      <c r="AE209" s="5">
        <v>61</v>
      </c>
      <c r="AF209" s="9">
        <f t="shared" si="3"/>
        <v>1</v>
      </c>
      <c r="AG209" s="5">
        <v>45</v>
      </c>
      <c r="AH209" s="9" cm="1">
        <f t="array" ref="AH209">IF(OR(AI209:AN209=""),"BLANK",IF(AND(AI209:AN209&lt;999),1,IF(AND(AI209:AN209="NA"),3,2)))</f>
        <v>1</v>
      </c>
      <c r="AI209" s="37">
        <v>46</v>
      </c>
      <c r="AJ209" s="37">
        <v>59</v>
      </c>
      <c r="AK209" s="37">
        <v>105</v>
      </c>
      <c r="AL209" s="37">
        <v>126</v>
      </c>
      <c r="AM209" s="37">
        <v>96</v>
      </c>
      <c r="AN209" s="38">
        <v>65</v>
      </c>
    </row>
    <row r="210" spans="1:40" x14ac:dyDescent="0.2">
      <c r="A210" s="16">
        <v>4684</v>
      </c>
      <c r="B210" s="4" t="s">
        <v>59</v>
      </c>
      <c r="C210" s="30" t="s">
        <v>24</v>
      </c>
      <c r="D210" s="30">
        <v>5</v>
      </c>
      <c r="E210" s="30">
        <v>0</v>
      </c>
      <c r="F210" s="54" t="s">
        <v>6</v>
      </c>
      <c r="G210" s="30">
        <v>30</v>
      </c>
      <c r="H210" s="33">
        <v>3.4579055441478439</v>
      </c>
      <c r="I210" s="33">
        <v>3.1759069130732374</v>
      </c>
      <c r="J210" s="33">
        <v>6.6338124572210813</v>
      </c>
      <c r="K210" s="33">
        <v>3.4496919917864477</v>
      </c>
      <c r="L210" s="33">
        <v>3.1759069130732374</v>
      </c>
      <c r="M210" s="33">
        <v>6.6255989048596851</v>
      </c>
      <c r="N210" s="33">
        <v>3.3511293634496919</v>
      </c>
      <c r="O210" s="33" t="s">
        <v>7</v>
      </c>
      <c r="P210" s="33" t="s">
        <v>7</v>
      </c>
      <c r="Q210" s="33">
        <v>3.3949349760438055</v>
      </c>
      <c r="R210" s="33" t="s">
        <v>7</v>
      </c>
      <c r="S210" s="33" t="s">
        <v>7</v>
      </c>
      <c r="T210" s="4">
        <v>4</v>
      </c>
      <c r="U210" s="4">
        <v>16</v>
      </c>
      <c r="V210" s="4" t="s">
        <v>1</v>
      </c>
      <c r="W210" s="4">
        <v>1</v>
      </c>
      <c r="X210" s="4">
        <v>3</v>
      </c>
      <c r="Y210" s="4">
        <v>1</v>
      </c>
      <c r="Z210" s="56">
        <v>3</v>
      </c>
      <c r="AA210" s="9" cm="1">
        <f t="array" ref="AA210">IF(OR(AB210:AE210=""),"BLANK",IF(AND(AB210:AE210&lt;999),1,IF(AND(AB210:AE210="NA"),3,2)))</f>
        <v>1</v>
      </c>
      <c r="AB210" s="4">
        <v>32</v>
      </c>
      <c r="AC210" s="4">
        <v>22</v>
      </c>
      <c r="AD210" s="4">
        <v>12</v>
      </c>
      <c r="AE210" s="5">
        <v>66</v>
      </c>
      <c r="AF210" s="9">
        <f t="shared" si="3"/>
        <v>1</v>
      </c>
      <c r="AG210" s="5">
        <v>48</v>
      </c>
      <c r="AH210" s="9" cm="1">
        <f t="array" ref="AH210">IF(OR(AI210:AN210=""),"BLANK",IF(AND(AI210:AN210&lt;999),1,IF(AND(AI210:AN210="NA"),3,2)))</f>
        <v>1</v>
      </c>
      <c r="AI210" s="37">
        <v>38</v>
      </c>
      <c r="AJ210" s="37">
        <v>46</v>
      </c>
      <c r="AK210" s="37">
        <v>88</v>
      </c>
      <c r="AL210" s="37">
        <v>88</v>
      </c>
      <c r="AM210" s="37">
        <v>21</v>
      </c>
      <c r="AN210" s="38">
        <v>41</v>
      </c>
    </row>
    <row r="211" spans="1:40" x14ac:dyDescent="0.2">
      <c r="A211" s="16">
        <v>4769</v>
      </c>
      <c r="B211" s="4" t="s">
        <v>59</v>
      </c>
      <c r="C211" s="30" t="s">
        <v>23</v>
      </c>
      <c r="D211" s="30">
        <v>5</v>
      </c>
      <c r="E211" s="30">
        <v>0</v>
      </c>
      <c r="F211" s="54" t="s">
        <v>6</v>
      </c>
      <c r="G211" s="30">
        <v>30</v>
      </c>
      <c r="H211" s="33">
        <v>3.4661190965092401</v>
      </c>
      <c r="I211" s="33">
        <v>3.2772073921971252</v>
      </c>
      <c r="J211" s="33">
        <v>6.7433264887063658</v>
      </c>
      <c r="K211" s="33">
        <v>3.4661190965092401</v>
      </c>
      <c r="L211" s="33">
        <v>3.2772073921971252</v>
      </c>
      <c r="M211" s="33">
        <v>6.7433264887063658</v>
      </c>
      <c r="N211" s="33">
        <v>3.4414784394250515</v>
      </c>
      <c r="O211" s="33">
        <v>3.1813826146475015</v>
      </c>
      <c r="P211" s="33">
        <v>6.622861054072553</v>
      </c>
      <c r="Q211" s="33">
        <v>3.2388774811772758</v>
      </c>
      <c r="R211" s="33" t="s">
        <v>7</v>
      </c>
      <c r="S211" s="33" t="s">
        <v>7</v>
      </c>
      <c r="T211" s="4">
        <v>3</v>
      </c>
      <c r="U211" s="4">
        <v>15</v>
      </c>
      <c r="V211" s="4" t="s">
        <v>1</v>
      </c>
      <c r="W211" s="4">
        <v>1</v>
      </c>
      <c r="X211" s="4">
        <v>3</v>
      </c>
      <c r="Y211" s="4">
        <v>1</v>
      </c>
      <c r="Z211" s="56">
        <v>3</v>
      </c>
      <c r="AA211" s="9" cm="1">
        <f t="array" ref="AA211">IF(OR(AB211:AE211=""),"BLANK",IF(AND(AB211:AE211&lt;999),1,IF(AND(AB211:AE211="NA"),3,2)))</f>
        <v>1</v>
      </c>
      <c r="AB211" s="4">
        <v>33</v>
      </c>
      <c r="AC211" s="4">
        <v>30</v>
      </c>
      <c r="AD211" s="4">
        <v>18</v>
      </c>
      <c r="AE211" s="5">
        <v>81</v>
      </c>
      <c r="AF211" s="9">
        <f t="shared" si="3"/>
        <v>1</v>
      </c>
      <c r="AG211" s="5">
        <v>49</v>
      </c>
      <c r="AH211" s="9" cm="1">
        <f t="array" ref="AH211">IF(OR(AI211:AN211=""),"BLANK",IF(AND(AI211:AN211&lt;999),1,IF(AND(AI211:AN211="NA"),3,2)))</f>
        <v>1</v>
      </c>
      <c r="AI211" s="37">
        <v>42</v>
      </c>
      <c r="AJ211" s="37">
        <v>53</v>
      </c>
      <c r="AK211" s="37">
        <v>97</v>
      </c>
      <c r="AL211" s="37">
        <v>102</v>
      </c>
      <c r="AM211" s="37">
        <v>55</v>
      </c>
      <c r="AN211" s="38">
        <v>49</v>
      </c>
    </row>
    <row r="212" spans="1:40" x14ac:dyDescent="0.2">
      <c r="A212" s="16">
        <v>4795</v>
      </c>
      <c r="B212" s="4" t="s">
        <v>59</v>
      </c>
      <c r="C212" s="30" t="s">
        <v>23</v>
      </c>
      <c r="D212" s="30">
        <v>5</v>
      </c>
      <c r="E212" s="30">
        <v>0</v>
      </c>
      <c r="F212" s="54" t="s">
        <v>6</v>
      </c>
      <c r="G212" s="30">
        <v>30</v>
      </c>
      <c r="H212" s="33">
        <v>3.2197125256673513</v>
      </c>
      <c r="I212" s="33">
        <v>3.0800821355236141</v>
      </c>
      <c r="J212" s="33">
        <v>6.2997946611909654</v>
      </c>
      <c r="K212" s="33">
        <v>3.2197125256673513</v>
      </c>
      <c r="L212" s="33">
        <v>3.1129363449691994</v>
      </c>
      <c r="M212" s="33">
        <v>6.3326488706365502</v>
      </c>
      <c r="N212" s="33">
        <v>3.2963723477070501</v>
      </c>
      <c r="O212" s="33">
        <v>2.9514031485284051</v>
      </c>
      <c r="P212" s="33">
        <v>6.2477754962354553</v>
      </c>
      <c r="Q212" s="33">
        <v>3.5263518138261465</v>
      </c>
      <c r="R212" s="33" t="s">
        <v>7</v>
      </c>
      <c r="S212" s="33" t="s">
        <v>7</v>
      </c>
      <c r="T212" s="4" t="s">
        <v>7</v>
      </c>
      <c r="U212" s="4" t="s">
        <v>7</v>
      </c>
      <c r="V212" s="4" t="s">
        <v>1</v>
      </c>
      <c r="W212" s="4">
        <v>1</v>
      </c>
      <c r="X212" s="4">
        <v>3</v>
      </c>
      <c r="Y212" s="4">
        <v>1</v>
      </c>
      <c r="Z212" s="56">
        <v>3</v>
      </c>
      <c r="AA212" s="9" cm="1">
        <f t="array" ref="AA212">IF(OR(AB212:AE212=""),"BLANK",IF(AND(AB212:AE212&lt;999),1,IF(AND(AB212:AE212="NA"),3,2)))</f>
        <v>1</v>
      </c>
      <c r="AB212" s="4">
        <v>29</v>
      </c>
      <c r="AC212" s="4">
        <v>16</v>
      </c>
      <c r="AD212" s="4">
        <v>12</v>
      </c>
      <c r="AE212" s="5">
        <v>57</v>
      </c>
      <c r="AF212" s="9">
        <f t="shared" si="3"/>
        <v>1</v>
      </c>
      <c r="AG212" s="5">
        <v>43</v>
      </c>
      <c r="AH212" s="9" cm="1">
        <f t="array" ref="AH212">IF(OR(AI212:AN212=""),"BLANK",IF(AND(AI212:AN212&lt;999),1,IF(AND(AI212:AN212="NA"),3,2)))</f>
        <v>1</v>
      </c>
      <c r="AI212" s="37">
        <v>39</v>
      </c>
      <c r="AJ212" s="37">
        <v>48</v>
      </c>
      <c r="AK212" s="37">
        <v>90</v>
      </c>
      <c r="AL212" s="37">
        <v>97</v>
      </c>
      <c r="AM212" s="37">
        <v>41</v>
      </c>
      <c r="AN212" s="38">
        <v>45</v>
      </c>
    </row>
    <row r="213" spans="1:40" x14ac:dyDescent="0.2">
      <c r="A213" s="16">
        <v>4847</v>
      </c>
      <c r="B213" s="4" t="s">
        <v>66</v>
      </c>
      <c r="C213" s="30" t="s">
        <v>23</v>
      </c>
      <c r="D213" s="30">
        <v>5</v>
      </c>
      <c r="E213" s="30">
        <v>0</v>
      </c>
      <c r="F213" s="54" t="s">
        <v>6</v>
      </c>
      <c r="G213" s="30">
        <v>29</v>
      </c>
      <c r="H213" s="33">
        <v>3.1649555099247091</v>
      </c>
      <c r="I213" s="33">
        <v>2.9815195071868583</v>
      </c>
      <c r="J213" s="33">
        <v>6.1464750171115679</v>
      </c>
      <c r="K213" s="33">
        <v>3.1676933607118412</v>
      </c>
      <c r="L213" s="33" t="s">
        <v>7</v>
      </c>
      <c r="M213" s="33" t="s">
        <v>7</v>
      </c>
      <c r="N213" s="33">
        <v>3.1813826146475015</v>
      </c>
      <c r="O213" s="33">
        <v>2.967830253251198</v>
      </c>
      <c r="P213" s="33">
        <v>6.1492128678986999</v>
      </c>
      <c r="Q213" s="33">
        <v>2.7980835044490076</v>
      </c>
      <c r="R213" s="33" t="s">
        <v>7</v>
      </c>
      <c r="S213" s="33" t="s">
        <v>7</v>
      </c>
      <c r="T213" s="4">
        <v>6</v>
      </c>
      <c r="U213" s="4">
        <v>18</v>
      </c>
      <c r="V213" s="4" t="s">
        <v>1</v>
      </c>
      <c r="W213" s="4">
        <v>1</v>
      </c>
      <c r="X213" s="4">
        <v>3</v>
      </c>
      <c r="Y213" s="4">
        <v>1</v>
      </c>
      <c r="Z213" s="56">
        <v>3</v>
      </c>
      <c r="AA213" s="9" cm="1">
        <f t="array" ref="AA213">IF(OR(AB213:AE213=""),"BLANK",IF(AND(AB213:AE213&lt;999),1,IF(AND(AB213:AE213="NA"),3,2)))</f>
        <v>1</v>
      </c>
      <c r="AB213" s="4">
        <v>30</v>
      </c>
      <c r="AC213" s="4">
        <v>16</v>
      </c>
      <c r="AD213" s="4">
        <v>11</v>
      </c>
      <c r="AE213" s="5">
        <v>57</v>
      </c>
      <c r="AF213" s="9">
        <f t="shared" si="3"/>
        <v>1</v>
      </c>
      <c r="AG213" s="5">
        <v>33</v>
      </c>
      <c r="AH213" s="9" cm="1">
        <f t="array" ref="AH213">IF(OR(AI213:AN213=""),"BLANK",IF(AND(AI213:AN213&lt;999),1,IF(AND(AI213:AN213="NA"),3,2)))</f>
        <v>1</v>
      </c>
      <c r="AI213" s="37">
        <v>26</v>
      </c>
      <c r="AJ213" s="37">
        <v>26</v>
      </c>
      <c r="AK213" s="37">
        <v>63</v>
      </c>
      <c r="AL213" s="37">
        <v>63</v>
      </c>
      <c r="AM213" s="37">
        <v>1</v>
      </c>
      <c r="AN213" s="38">
        <v>20</v>
      </c>
    </row>
    <row r="214" spans="1:40" x14ac:dyDescent="0.2">
      <c r="A214" s="16">
        <v>4868</v>
      </c>
      <c r="B214" s="4" t="s">
        <v>48</v>
      </c>
      <c r="C214" s="30" t="s">
        <v>23</v>
      </c>
      <c r="D214" s="30">
        <v>5</v>
      </c>
      <c r="E214" s="30">
        <v>0</v>
      </c>
      <c r="F214" s="54" t="s">
        <v>6</v>
      </c>
      <c r="G214" s="30">
        <v>29</v>
      </c>
      <c r="H214" s="33">
        <v>3.1567419575633129</v>
      </c>
      <c r="I214" s="33">
        <v>2.9212867898699519</v>
      </c>
      <c r="J214" s="33">
        <v>6.0780287474332653</v>
      </c>
      <c r="K214" s="33">
        <v>3.159479808350445</v>
      </c>
      <c r="L214" s="33">
        <v>2.9596167008898013</v>
      </c>
      <c r="M214" s="33">
        <v>6.1190965092402463</v>
      </c>
      <c r="N214" s="33">
        <v>3.0855578370978782</v>
      </c>
      <c r="O214" s="33">
        <v>2.97056810403833</v>
      </c>
      <c r="P214" s="33">
        <v>6.0561259411362078</v>
      </c>
      <c r="Q214" s="33">
        <v>2.8336755646817249</v>
      </c>
      <c r="R214" s="33" t="s">
        <v>7</v>
      </c>
      <c r="S214" s="33" t="s">
        <v>7</v>
      </c>
      <c r="T214" s="4">
        <v>3</v>
      </c>
      <c r="U214" s="4">
        <v>14</v>
      </c>
      <c r="V214" s="4" t="s">
        <v>1</v>
      </c>
      <c r="W214" s="4">
        <v>1</v>
      </c>
      <c r="X214" s="4">
        <v>3</v>
      </c>
      <c r="Y214" s="4">
        <v>1</v>
      </c>
      <c r="Z214" s="56">
        <v>3</v>
      </c>
      <c r="AA214" s="9" cm="1">
        <f t="array" ref="AA214">IF(OR(AB214:AE214=""),"BLANK",IF(AND(AB214:AE214&lt;999),1,IF(AND(AB214:AE214="NA"),3,2)))</f>
        <v>1</v>
      </c>
      <c r="AB214" s="4">
        <v>32</v>
      </c>
      <c r="AC214" s="4">
        <v>17</v>
      </c>
      <c r="AD214" s="4">
        <v>10</v>
      </c>
      <c r="AE214" s="5">
        <v>59</v>
      </c>
      <c r="AF214" s="9">
        <f t="shared" si="3"/>
        <v>1</v>
      </c>
      <c r="AG214" s="5">
        <v>63</v>
      </c>
      <c r="AH214" s="9" cm="1">
        <f t="array" ref="AH214">IF(OR(AI214:AN214=""),"BLANK",IF(AND(AI214:AN214&lt;999),1,IF(AND(AI214:AN214="NA"),3,2)))</f>
        <v>1</v>
      </c>
      <c r="AI214" s="37">
        <v>38</v>
      </c>
      <c r="AJ214" s="37">
        <v>46</v>
      </c>
      <c r="AK214" s="37">
        <v>88</v>
      </c>
      <c r="AL214" s="37">
        <v>94</v>
      </c>
      <c r="AM214" s="37">
        <v>34</v>
      </c>
      <c r="AN214" s="38">
        <v>42</v>
      </c>
    </row>
    <row r="215" spans="1:40" x14ac:dyDescent="0.2">
      <c r="A215" s="16">
        <v>4869</v>
      </c>
      <c r="B215" s="4" t="s">
        <v>52</v>
      </c>
      <c r="C215" s="30" t="s">
        <v>24</v>
      </c>
      <c r="D215" s="30">
        <v>5</v>
      </c>
      <c r="E215" s="30">
        <v>0</v>
      </c>
      <c r="F215" s="54" t="s">
        <v>6</v>
      </c>
      <c r="G215" s="30">
        <v>24</v>
      </c>
      <c r="H215" s="33">
        <v>3.2525667351129361</v>
      </c>
      <c r="I215" s="33">
        <v>2.8583162217659139</v>
      </c>
      <c r="J215" s="33">
        <v>6.1108829568788501</v>
      </c>
      <c r="K215" s="33">
        <v>3.2525667351129361</v>
      </c>
      <c r="L215" s="33">
        <v>2.8583162217659139</v>
      </c>
      <c r="M215" s="33">
        <v>6.1108829568788501</v>
      </c>
      <c r="N215" s="33">
        <v>3.2580424366872007</v>
      </c>
      <c r="O215" s="33">
        <v>2.8884325804243667</v>
      </c>
      <c r="P215" s="33">
        <v>6.1464750171115679</v>
      </c>
      <c r="Q215" s="33">
        <v>2.8966461327857633</v>
      </c>
      <c r="R215" s="33" t="s">
        <v>7</v>
      </c>
      <c r="S215" s="33" t="s">
        <v>7</v>
      </c>
      <c r="T215" s="4">
        <v>3</v>
      </c>
      <c r="U215" s="4">
        <v>14</v>
      </c>
      <c r="V215" s="4" t="s">
        <v>1</v>
      </c>
      <c r="W215" s="4">
        <v>1</v>
      </c>
      <c r="X215" s="4">
        <v>3</v>
      </c>
      <c r="Y215" s="4">
        <v>1</v>
      </c>
      <c r="Z215" s="56">
        <v>3</v>
      </c>
      <c r="AA215" s="9" cm="1">
        <f t="array" ref="AA215">IF(OR(AB215:AE215=""),"BLANK",IF(AND(AB215:AE215&lt;999),1,IF(AND(AB215:AE215="NA"),3,2)))</f>
        <v>1</v>
      </c>
      <c r="AB215" s="4">
        <v>23</v>
      </c>
      <c r="AC215" s="4">
        <v>11</v>
      </c>
      <c r="AD215" s="4">
        <v>6</v>
      </c>
      <c r="AE215" s="5">
        <v>40</v>
      </c>
      <c r="AF215" s="9">
        <f t="shared" si="3"/>
        <v>1</v>
      </c>
      <c r="AG215" s="5">
        <v>26</v>
      </c>
      <c r="AH215" s="9" cm="1">
        <f t="array" ref="AH215">IF(OR(AI215:AN215=""),"BLANK",IF(AND(AI215:AN215&lt;999),1,IF(AND(AI215:AN215="NA"),3,2)))</f>
        <v>1</v>
      </c>
      <c r="AI215" s="37">
        <v>22</v>
      </c>
      <c r="AJ215" s="37">
        <v>22</v>
      </c>
      <c r="AK215" s="37">
        <v>58</v>
      </c>
      <c r="AL215" s="37">
        <v>58</v>
      </c>
      <c r="AM215" s="37">
        <v>1</v>
      </c>
      <c r="AN215" s="38">
        <v>22</v>
      </c>
    </row>
    <row r="216" spans="1:40" x14ac:dyDescent="0.2">
      <c r="A216" s="16">
        <v>4876</v>
      </c>
      <c r="B216" s="4" t="s">
        <v>48</v>
      </c>
      <c r="C216" s="30" t="s">
        <v>23</v>
      </c>
      <c r="D216" s="30">
        <v>5</v>
      </c>
      <c r="E216" s="30">
        <v>0</v>
      </c>
      <c r="F216" s="54" t="s">
        <v>6</v>
      </c>
      <c r="G216" s="30">
        <v>29</v>
      </c>
      <c r="H216" s="33">
        <v>3.2826830937713893</v>
      </c>
      <c r="I216" s="33">
        <v>3.0006844626967832</v>
      </c>
      <c r="J216" s="33">
        <v>6.2833675564681721</v>
      </c>
      <c r="K216" s="33">
        <v>3.2826830937713893</v>
      </c>
      <c r="L216" s="33" t="s">
        <v>7</v>
      </c>
      <c r="M216" s="33" t="s">
        <v>7</v>
      </c>
      <c r="N216" s="33">
        <v>3.2936344969199181</v>
      </c>
      <c r="O216" s="33">
        <v>2.9760438056125942</v>
      </c>
      <c r="P216" s="33">
        <v>6.2696783025325118</v>
      </c>
      <c r="Q216" s="33" t="s">
        <v>7</v>
      </c>
      <c r="R216" s="33" t="s">
        <v>7</v>
      </c>
      <c r="S216" s="33">
        <v>5.9958932238193015</v>
      </c>
      <c r="T216" s="4" t="s">
        <v>7</v>
      </c>
      <c r="U216" s="4" t="s">
        <v>7</v>
      </c>
      <c r="V216" s="4" t="s">
        <v>1</v>
      </c>
      <c r="W216" s="4">
        <v>1</v>
      </c>
      <c r="X216" s="4">
        <v>3</v>
      </c>
      <c r="Y216" s="4">
        <v>1</v>
      </c>
      <c r="Z216" s="56">
        <v>3</v>
      </c>
      <c r="AA216" s="9" cm="1">
        <f t="array" ref="AA216">IF(OR(AB216:AE216=""),"BLANK",IF(AND(AB216:AE216&lt;999),1,IF(AND(AB216:AE216="NA"),3,2)))</f>
        <v>1</v>
      </c>
      <c r="AB216" s="4">
        <v>27</v>
      </c>
      <c r="AC216" s="4">
        <v>20</v>
      </c>
      <c r="AD216" s="4">
        <v>12</v>
      </c>
      <c r="AE216" s="5">
        <v>59</v>
      </c>
      <c r="AF216" s="9">
        <f t="shared" si="3"/>
        <v>1</v>
      </c>
      <c r="AG216" s="5">
        <v>56</v>
      </c>
      <c r="AH216" s="9" cm="1">
        <f t="array" ref="AH216">IF(OR(AI216:AN216=""),"BLANK",IF(AND(AI216:AN216&lt;999),1,IF(AND(AI216:AN216="NA"),3,2)))</f>
        <v>1</v>
      </c>
      <c r="AI216" s="37">
        <v>37</v>
      </c>
      <c r="AJ216" s="37">
        <v>44</v>
      </c>
      <c r="AK216" s="37">
        <v>86</v>
      </c>
      <c r="AL216" s="37">
        <v>93</v>
      </c>
      <c r="AM216" s="37">
        <v>32</v>
      </c>
      <c r="AN216" s="38">
        <v>42</v>
      </c>
    </row>
    <row r="217" spans="1:40" x14ac:dyDescent="0.2">
      <c r="A217" s="16">
        <v>21</v>
      </c>
      <c r="B217" s="36" t="s">
        <v>6</v>
      </c>
      <c r="C217" s="36" t="s">
        <v>6</v>
      </c>
      <c r="D217" s="36" t="s">
        <v>6</v>
      </c>
      <c r="E217" s="36" t="s">
        <v>6</v>
      </c>
      <c r="F217" s="36" t="s">
        <v>6</v>
      </c>
      <c r="G217" s="36" t="s">
        <v>6</v>
      </c>
      <c r="H217" s="36" t="s">
        <v>6</v>
      </c>
      <c r="I217" s="36" t="s">
        <v>6</v>
      </c>
      <c r="J217" s="36" t="s">
        <v>6</v>
      </c>
      <c r="K217" s="36" t="s">
        <v>6</v>
      </c>
      <c r="L217" s="36" t="s">
        <v>6</v>
      </c>
      <c r="M217" s="36" t="s">
        <v>6</v>
      </c>
      <c r="N217" s="36" t="s">
        <v>6</v>
      </c>
      <c r="O217" s="36" t="s">
        <v>6</v>
      </c>
      <c r="P217" s="36" t="s">
        <v>6</v>
      </c>
      <c r="Q217" s="36" t="s">
        <v>6</v>
      </c>
      <c r="R217" s="36" t="s">
        <v>6</v>
      </c>
      <c r="S217" s="36" t="s">
        <v>6</v>
      </c>
      <c r="T217" s="36" t="s">
        <v>6</v>
      </c>
      <c r="U217" s="36" t="s">
        <v>6</v>
      </c>
      <c r="V217" s="4" t="s">
        <v>1</v>
      </c>
      <c r="W217" s="4">
        <v>1</v>
      </c>
      <c r="X217" s="4">
        <v>3</v>
      </c>
      <c r="Y217" s="4">
        <v>2</v>
      </c>
      <c r="Z217" s="5">
        <v>3</v>
      </c>
      <c r="AA217" s="4">
        <v>3</v>
      </c>
      <c r="AB217" s="4" t="s">
        <v>6</v>
      </c>
      <c r="AC217" s="4" t="s">
        <v>6</v>
      </c>
      <c r="AD217" s="4" t="s">
        <v>6</v>
      </c>
      <c r="AE217" s="5" t="s">
        <v>6</v>
      </c>
      <c r="AF217" s="4">
        <v>3</v>
      </c>
      <c r="AG217" s="5" t="s">
        <v>6</v>
      </c>
      <c r="AH217" s="4">
        <v>3</v>
      </c>
      <c r="AI217" s="4" t="s">
        <v>6</v>
      </c>
      <c r="AJ217" s="4" t="s">
        <v>6</v>
      </c>
      <c r="AK217" s="4" t="s">
        <v>6</v>
      </c>
      <c r="AL217" s="4" t="s">
        <v>6</v>
      </c>
      <c r="AM217" s="4" t="s">
        <v>6</v>
      </c>
      <c r="AN217" s="5" t="s">
        <v>6</v>
      </c>
    </row>
    <row r="218" spans="1:40" x14ac:dyDescent="0.2">
      <c r="A218" s="15">
        <v>61</v>
      </c>
      <c r="B218" s="36" t="s">
        <v>6</v>
      </c>
      <c r="C218" s="36" t="s">
        <v>6</v>
      </c>
      <c r="D218" s="36" t="s">
        <v>6</v>
      </c>
      <c r="E218" s="36" t="s">
        <v>6</v>
      </c>
      <c r="F218" s="36" t="s">
        <v>6</v>
      </c>
      <c r="G218" s="36" t="s">
        <v>6</v>
      </c>
      <c r="H218" s="36" t="s">
        <v>6</v>
      </c>
      <c r="I218" s="36" t="s">
        <v>6</v>
      </c>
      <c r="J218" s="36" t="s">
        <v>6</v>
      </c>
      <c r="K218" s="36" t="s">
        <v>6</v>
      </c>
      <c r="L218" s="36" t="s">
        <v>6</v>
      </c>
      <c r="M218" s="36" t="s">
        <v>6</v>
      </c>
      <c r="N218" s="36" t="s">
        <v>6</v>
      </c>
      <c r="O218" s="36" t="s">
        <v>6</v>
      </c>
      <c r="P218" s="36" t="s">
        <v>6</v>
      </c>
      <c r="Q218" s="36" t="s">
        <v>6</v>
      </c>
      <c r="R218" s="36" t="s">
        <v>6</v>
      </c>
      <c r="S218" s="36" t="s">
        <v>6</v>
      </c>
      <c r="T218" s="36" t="s">
        <v>6</v>
      </c>
      <c r="U218" s="36" t="s">
        <v>6</v>
      </c>
      <c r="V218" s="4" t="s">
        <v>1</v>
      </c>
      <c r="W218" s="4">
        <v>1</v>
      </c>
      <c r="X218" s="4">
        <v>3</v>
      </c>
      <c r="Y218" s="4">
        <v>2</v>
      </c>
      <c r="Z218" s="5">
        <v>3</v>
      </c>
      <c r="AA218" s="4">
        <v>3</v>
      </c>
      <c r="AB218" s="4" t="s">
        <v>6</v>
      </c>
      <c r="AC218" s="4" t="s">
        <v>6</v>
      </c>
      <c r="AD218" s="4" t="s">
        <v>6</v>
      </c>
      <c r="AE218" s="5" t="s">
        <v>6</v>
      </c>
      <c r="AF218" s="4">
        <v>3</v>
      </c>
      <c r="AG218" s="5" t="s">
        <v>6</v>
      </c>
      <c r="AH218" s="4">
        <v>3</v>
      </c>
      <c r="AI218" s="4" t="s">
        <v>6</v>
      </c>
      <c r="AJ218" s="4" t="s">
        <v>6</v>
      </c>
      <c r="AK218" s="4" t="s">
        <v>6</v>
      </c>
      <c r="AL218" s="4" t="s">
        <v>6</v>
      </c>
      <c r="AM218" s="4" t="s">
        <v>6</v>
      </c>
      <c r="AN218" s="5" t="s">
        <v>6</v>
      </c>
    </row>
    <row r="219" spans="1:40" x14ac:dyDescent="0.2">
      <c r="A219" s="15">
        <v>80</v>
      </c>
      <c r="B219" s="36" t="s">
        <v>6</v>
      </c>
      <c r="C219" s="36" t="s">
        <v>6</v>
      </c>
      <c r="D219" s="36" t="s">
        <v>6</v>
      </c>
      <c r="E219" s="36" t="s">
        <v>6</v>
      </c>
      <c r="F219" s="36" t="s">
        <v>6</v>
      </c>
      <c r="G219" s="36" t="s">
        <v>6</v>
      </c>
      <c r="H219" s="36" t="s">
        <v>6</v>
      </c>
      <c r="I219" s="36" t="s">
        <v>6</v>
      </c>
      <c r="J219" s="36" t="s">
        <v>6</v>
      </c>
      <c r="K219" s="36" t="s">
        <v>6</v>
      </c>
      <c r="L219" s="36" t="s">
        <v>6</v>
      </c>
      <c r="M219" s="36" t="s">
        <v>6</v>
      </c>
      <c r="N219" s="36" t="s">
        <v>6</v>
      </c>
      <c r="O219" s="36" t="s">
        <v>6</v>
      </c>
      <c r="P219" s="36" t="s">
        <v>6</v>
      </c>
      <c r="Q219" s="36" t="s">
        <v>6</v>
      </c>
      <c r="R219" s="36" t="s">
        <v>6</v>
      </c>
      <c r="S219" s="36" t="s">
        <v>6</v>
      </c>
      <c r="T219" s="36" t="s">
        <v>6</v>
      </c>
      <c r="U219" s="36" t="s">
        <v>6</v>
      </c>
      <c r="V219" s="4" t="s">
        <v>1</v>
      </c>
      <c r="W219" s="4">
        <v>1</v>
      </c>
      <c r="X219" s="4">
        <v>3</v>
      </c>
      <c r="Y219" s="4">
        <v>2</v>
      </c>
      <c r="Z219" s="5">
        <v>3</v>
      </c>
      <c r="AA219" s="4">
        <v>3</v>
      </c>
      <c r="AB219" s="4" t="s">
        <v>6</v>
      </c>
      <c r="AC219" s="4" t="s">
        <v>6</v>
      </c>
      <c r="AD219" s="4" t="s">
        <v>6</v>
      </c>
      <c r="AE219" s="5" t="s">
        <v>6</v>
      </c>
      <c r="AF219" s="4">
        <v>3</v>
      </c>
      <c r="AG219" s="5" t="s">
        <v>6</v>
      </c>
      <c r="AH219" s="4">
        <v>3</v>
      </c>
      <c r="AI219" s="4" t="s">
        <v>6</v>
      </c>
      <c r="AJ219" s="4" t="s">
        <v>6</v>
      </c>
      <c r="AK219" s="4" t="s">
        <v>6</v>
      </c>
      <c r="AL219" s="4" t="s">
        <v>6</v>
      </c>
      <c r="AM219" s="4" t="s">
        <v>6</v>
      </c>
      <c r="AN219" s="5" t="s">
        <v>6</v>
      </c>
    </row>
    <row r="220" spans="1:40" x14ac:dyDescent="0.2">
      <c r="A220" s="15">
        <v>81</v>
      </c>
      <c r="B220" s="36" t="s">
        <v>6</v>
      </c>
      <c r="C220" s="36" t="s">
        <v>6</v>
      </c>
      <c r="D220" s="36" t="s">
        <v>6</v>
      </c>
      <c r="E220" s="36" t="s">
        <v>6</v>
      </c>
      <c r="F220" s="36" t="s">
        <v>6</v>
      </c>
      <c r="G220" s="36" t="s">
        <v>6</v>
      </c>
      <c r="H220" s="36" t="s">
        <v>6</v>
      </c>
      <c r="I220" s="36" t="s">
        <v>6</v>
      </c>
      <c r="J220" s="36" t="s">
        <v>6</v>
      </c>
      <c r="K220" s="36" t="s">
        <v>6</v>
      </c>
      <c r="L220" s="36" t="s">
        <v>6</v>
      </c>
      <c r="M220" s="36" t="s">
        <v>6</v>
      </c>
      <c r="N220" s="36" t="s">
        <v>6</v>
      </c>
      <c r="O220" s="36" t="s">
        <v>6</v>
      </c>
      <c r="P220" s="36" t="s">
        <v>6</v>
      </c>
      <c r="Q220" s="36" t="s">
        <v>6</v>
      </c>
      <c r="R220" s="36" t="s">
        <v>6</v>
      </c>
      <c r="S220" s="36" t="s">
        <v>6</v>
      </c>
      <c r="T220" s="36" t="s">
        <v>6</v>
      </c>
      <c r="U220" s="36" t="s">
        <v>6</v>
      </c>
      <c r="V220" s="4" t="s">
        <v>1</v>
      </c>
      <c r="W220" s="4">
        <v>1</v>
      </c>
      <c r="X220" s="4">
        <v>3</v>
      </c>
      <c r="Y220" s="4">
        <v>2</v>
      </c>
      <c r="Z220" s="5">
        <v>3</v>
      </c>
      <c r="AA220" s="4">
        <v>3</v>
      </c>
      <c r="AB220" s="4" t="s">
        <v>6</v>
      </c>
      <c r="AC220" s="4" t="s">
        <v>6</v>
      </c>
      <c r="AD220" s="4" t="s">
        <v>6</v>
      </c>
      <c r="AE220" s="5" t="s">
        <v>6</v>
      </c>
      <c r="AF220" s="4">
        <v>3</v>
      </c>
      <c r="AG220" s="5" t="s">
        <v>6</v>
      </c>
      <c r="AH220" s="4">
        <v>3</v>
      </c>
      <c r="AI220" s="4" t="s">
        <v>6</v>
      </c>
      <c r="AJ220" s="4" t="s">
        <v>6</v>
      </c>
      <c r="AK220" s="4" t="s">
        <v>6</v>
      </c>
      <c r="AL220" s="4" t="s">
        <v>6</v>
      </c>
      <c r="AM220" s="4" t="s">
        <v>6</v>
      </c>
      <c r="AN220" s="5" t="s">
        <v>6</v>
      </c>
    </row>
    <row r="221" spans="1:40" x14ac:dyDescent="0.2">
      <c r="A221" s="15">
        <v>101</v>
      </c>
      <c r="B221" s="36" t="s">
        <v>6</v>
      </c>
      <c r="C221" s="36" t="s">
        <v>6</v>
      </c>
      <c r="D221" s="36" t="s">
        <v>6</v>
      </c>
      <c r="E221" s="36" t="s">
        <v>6</v>
      </c>
      <c r="F221" s="36" t="s">
        <v>6</v>
      </c>
      <c r="G221" s="36" t="s">
        <v>6</v>
      </c>
      <c r="H221" s="36" t="s">
        <v>6</v>
      </c>
      <c r="I221" s="36" t="s">
        <v>6</v>
      </c>
      <c r="J221" s="36" t="s">
        <v>6</v>
      </c>
      <c r="K221" s="36" t="s">
        <v>6</v>
      </c>
      <c r="L221" s="36" t="s">
        <v>6</v>
      </c>
      <c r="M221" s="36" t="s">
        <v>6</v>
      </c>
      <c r="N221" s="36" t="s">
        <v>6</v>
      </c>
      <c r="O221" s="36" t="s">
        <v>6</v>
      </c>
      <c r="P221" s="36" t="s">
        <v>6</v>
      </c>
      <c r="Q221" s="36" t="s">
        <v>6</v>
      </c>
      <c r="R221" s="36" t="s">
        <v>6</v>
      </c>
      <c r="S221" s="36" t="s">
        <v>6</v>
      </c>
      <c r="T221" s="36" t="s">
        <v>6</v>
      </c>
      <c r="U221" s="36" t="s">
        <v>6</v>
      </c>
      <c r="V221" s="4" t="s">
        <v>1</v>
      </c>
      <c r="W221" s="4">
        <v>1</v>
      </c>
      <c r="X221" s="4">
        <v>3</v>
      </c>
      <c r="Y221" s="4">
        <v>2</v>
      </c>
      <c r="Z221" s="5">
        <v>3</v>
      </c>
      <c r="AA221" s="4">
        <v>3</v>
      </c>
      <c r="AB221" s="4" t="s">
        <v>6</v>
      </c>
      <c r="AC221" s="4" t="s">
        <v>6</v>
      </c>
      <c r="AD221" s="4" t="s">
        <v>6</v>
      </c>
      <c r="AE221" s="5" t="s">
        <v>6</v>
      </c>
      <c r="AF221" s="4">
        <v>3</v>
      </c>
      <c r="AG221" s="5" t="s">
        <v>6</v>
      </c>
      <c r="AH221" s="4">
        <v>3</v>
      </c>
      <c r="AI221" s="4" t="s">
        <v>6</v>
      </c>
      <c r="AJ221" s="4" t="s">
        <v>6</v>
      </c>
      <c r="AK221" s="4" t="s">
        <v>6</v>
      </c>
      <c r="AL221" s="4" t="s">
        <v>6</v>
      </c>
      <c r="AM221" s="4" t="s">
        <v>6</v>
      </c>
      <c r="AN221" s="5" t="s">
        <v>6</v>
      </c>
    </row>
    <row r="222" spans="1:40" x14ac:dyDescent="0.2">
      <c r="A222" s="15">
        <v>110</v>
      </c>
      <c r="B222" s="36" t="s">
        <v>6</v>
      </c>
      <c r="C222" s="36" t="s">
        <v>6</v>
      </c>
      <c r="D222" s="36" t="s">
        <v>6</v>
      </c>
      <c r="E222" s="36" t="s">
        <v>6</v>
      </c>
      <c r="F222" s="36" t="s">
        <v>6</v>
      </c>
      <c r="G222" s="36" t="s">
        <v>6</v>
      </c>
      <c r="H222" s="36" t="s">
        <v>6</v>
      </c>
      <c r="I222" s="36" t="s">
        <v>6</v>
      </c>
      <c r="J222" s="36" t="s">
        <v>6</v>
      </c>
      <c r="K222" s="36" t="s">
        <v>6</v>
      </c>
      <c r="L222" s="36" t="s">
        <v>6</v>
      </c>
      <c r="M222" s="36" t="s">
        <v>6</v>
      </c>
      <c r="N222" s="36" t="s">
        <v>6</v>
      </c>
      <c r="O222" s="36" t="s">
        <v>6</v>
      </c>
      <c r="P222" s="36" t="s">
        <v>6</v>
      </c>
      <c r="Q222" s="36" t="s">
        <v>6</v>
      </c>
      <c r="R222" s="36" t="s">
        <v>6</v>
      </c>
      <c r="S222" s="36" t="s">
        <v>6</v>
      </c>
      <c r="T222" s="36" t="s">
        <v>6</v>
      </c>
      <c r="U222" s="36" t="s">
        <v>6</v>
      </c>
      <c r="V222" s="4" t="s">
        <v>1</v>
      </c>
      <c r="W222" s="4">
        <v>1</v>
      </c>
      <c r="X222" s="4">
        <v>3</v>
      </c>
      <c r="Y222" s="4">
        <v>2</v>
      </c>
      <c r="Z222" s="5">
        <v>3</v>
      </c>
      <c r="AA222" s="4">
        <v>3</v>
      </c>
      <c r="AB222" s="4" t="s">
        <v>6</v>
      </c>
      <c r="AC222" s="4" t="s">
        <v>6</v>
      </c>
      <c r="AD222" s="4" t="s">
        <v>6</v>
      </c>
      <c r="AE222" s="5" t="s">
        <v>6</v>
      </c>
      <c r="AF222" s="4">
        <v>3</v>
      </c>
      <c r="AG222" s="5" t="s">
        <v>6</v>
      </c>
      <c r="AH222" s="4">
        <v>3</v>
      </c>
      <c r="AI222" s="4" t="s">
        <v>6</v>
      </c>
      <c r="AJ222" s="4" t="s">
        <v>6</v>
      </c>
      <c r="AK222" s="4" t="s">
        <v>6</v>
      </c>
      <c r="AL222" s="4" t="s">
        <v>6</v>
      </c>
      <c r="AM222" s="4" t="s">
        <v>6</v>
      </c>
      <c r="AN222" s="5" t="s">
        <v>6</v>
      </c>
    </row>
    <row r="223" spans="1:40" x14ac:dyDescent="0.2">
      <c r="A223" s="15">
        <v>133</v>
      </c>
      <c r="B223" s="36" t="s">
        <v>6</v>
      </c>
      <c r="C223" s="36" t="s">
        <v>6</v>
      </c>
      <c r="D223" s="36" t="s">
        <v>6</v>
      </c>
      <c r="E223" s="36" t="s">
        <v>6</v>
      </c>
      <c r="F223" s="36" t="s">
        <v>6</v>
      </c>
      <c r="G223" s="36" t="s">
        <v>6</v>
      </c>
      <c r="H223" s="36" t="s">
        <v>6</v>
      </c>
      <c r="I223" s="36" t="s">
        <v>6</v>
      </c>
      <c r="J223" s="36" t="s">
        <v>6</v>
      </c>
      <c r="K223" s="36" t="s">
        <v>6</v>
      </c>
      <c r="L223" s="36" t="s">
        <v>6</v>
      </c>
      <c r="M223" s="36" t="s">
        <v>6</v>
      </c>
      <c r="N223" s="36" t="s">
        <v>6</v>
      </c>
      <c r="O223" s="36" t="s">
        <v>6</v>
      </c>
      <c r="P223" s="36" t="s">
        <v>6</v>
      </c>
      <c r="Q223" s="36" t="s">
        <v>6</v>
      </c>
      <c r="R223" s="36" t="s">
        <v>6</v>
      </c>
      <c r="S223" s="36" t="s">
        <v>6</v>
      </c>
      <c r="T223" s="36" t="s">
        <v>6</v>
      </c>
      <c r="U223" s="36" t="s">
        <v>6</v>
      </c>
      <c r="V223" s="4" t="s">
        <v>1</v>
      </c>
      <c r="W223" s="4">
        <v>1</v>
      </c>
      <c r="X223" s="4">
        <v>3</v>
      </c>
      <c r="Y223" s="4">
        <v>2</v>
      </c>
      <c r="Z223" s="5">
        <v>3</v>
      </c>
      <c r="AA223" s="4">
        <v>3</v>
      </c>
      <c r="AB223" s="4" t="s">
        <v>6</v>
      </c>
      <c r="AC223" s="4" t="s">
        <v>6</v>
      </c>
      <c r="AD223" s="4" t="s">
        <v>6</v>
      </c>
      <c r="AE223" s="5" t="s">
        <v>6</v>
      </c>
      <c r="AF223" s="4">
        <v>3</v>
      </c>
      <c r="AG223" s="5" t="s">
        <v>6</v>
      </c>
      <c r="AH223" s="4">
        <v>3</v>
      </c>
      <c r="AI223" s="4" t="s">
        <v>6</v>
      </c>
      <c r="AJ223" s="4" t="s">
        <v>6</v>
      </c>
      <c r="AK223" s="4" t="s">
        <v>6</v>
      </c>
      <c r="AL223" s="4" t="s">
        <v>6</v>
      </c>
      <c r="AM223" s="4" t="s">
        <v>6</v>
      </c>
      <c r="AN223" s="5" t="s">
        <v>6</v>
      </c>
    </row>
    <row r="224" spans="1:40" x14ac:dyDescent="0.2">
      <c r="A224" s="15">
        <v>135</v>
      </c>
      <c r="B224" s="36" t="s">
        <v>6</v>
      </c>
      <c r="C224" s="36" t="s">
        <v>6</v>
      </c>
      <c r="D224" s="36" t="s">
        <v>6</v>
      </c>
      <c r="E224" s="36" t="s">
        <v>6</v>
      </c>
      <c r="F224" s="36" t="s">
        <v>6</v>
      </c>
      <c r="G224" s="36" t="s">
        <v>6</v>
      </c>
      <c r="H224" s="36" t="s">
        <v>6</v>
      </c>
      <c r="I224" s="36" t="s">
        <v>6</v>
      </c>
      <c r="J224" s="36" t="s">
        <v>6</v>
      </c>
      <c r="K224" s="36" t="s">
        <v>6</v>
      </c>
      <c r="L224" s="36" t="s">
        <v>6</v>
      </c>
      <c r="M224" s="36" t="s">
        <v>6</v>
      </c>
      <c r="N224" s="36" t="s">
        <v>6</v>
      </c>
      <c r="O224" s="36" t="s">
        <v>6</v>
      </c>
      <c r="P224" s="36" t="s">
        <v>6</v>
      </c>
      <c r="Q224" s="36" t="s">
        <v>6</v>
      </c>
      <c r="R224" s="36" t="s">
        <v>6</v>
      </c>
      <c r="S224" s="36" t="s">
        <v>6</v>
      </c>
      <c r="T224" s="36" t="s">
        <v>6</v>
      </c>
      <c r="U224" s="36" t="s">
        <v>6</v>
      </c>
      <c r="V224" s="4" t="s">
        <v>1</v>
      </c>
      <c r="W224" s="4">
        <v>1</v>
      </c>
      <c r="X224" s="4">
        <v>3</v>
      </c>
      <c r="Y224" s="4">
        <v>2</v>
      </c>
      <c r="Z224" s="5">
        <v>3</v>
      </c>
      <c r="AA224" s="4">
        <v>3</v>
      </c>
      <c r="AB224" s="4" t="s">
        <v>6</v>
      </c>
      <c r="AC224" s="4" t="s">
        <v>6</v>
      </c>
      <c r="AD224" s="4" t="s">
        <v>6</v>
      </c>
      <c r="AE224" s="5" t="s">
        <v>6</v>
      </c>
      <c r="AF224" s="4">
        <v>3</v>
      </c>
      <c r="AG224" s="5" t="s">
        <v>6</v>
      </c>
      <c r="AH224" s="4">
        <v>3</v>
      </c>
      <c r="AI224" s="4" t="s">
        <v>6</v>
      </c>
      <c r="AJ224" s="4" t="s">
        <v>6</v>
      </c>
      <c r="AK224" s="4" t="s">
        <v>6</v>
      </c>
      <c r="AL224" s="4" t="s">
        <v>6</v>
      </c>
      <c r="AM224" s="4" t="s">
        <v>6</v>
      </c>
      <c r="AN224" s="5" t="s">
        <v>6</v>
      </c>
    </row>
    <row r="225" spans="1:40" x14ac:dyDescent="0.2">
      <c r="A225" s="15">
        <v>140</v>
      </c>
      <c r="B225" s="36" t="s">
        <v>6</v>
      </c>
      <c r="C225" s="36" t="s">
        <v>6</v>
      </c>
      <c r="D225" s="36" t="s">
        <v>6</v>
      </c>
      <c r="E225" s="36" t="s">
        <v>6</v>
      </c>
      <c r="F225" s="36" t="s">
        <v>6</v>
      </c>
      <c r="G225" s="36" t="s">
        <v>6</v>
      </c>
      <c r="H225" s="36" t="s">
        <v>6</v>
      </c>
      <c r="I225" s="36" t="s">
        <v>6</v>
      </c>
      <c r="J225" s="36" t="s">
        <v>6</v>
      </c>
      <c r="K225" s="36" t="s">
        <v>6</v>
      </c>
      <c r="L225" s="36" t="s">
        <v>6</v>
      </c>
      <c r="M225" s="36" t="s">
        <v>6</v>
      </c>
      <c r="N225" s="36" t="s">
        <v>6</v>
      </c>
      <c r="O225" s="36" t="s">
        <v>6</v>
      </c>
      <c r="P225" s="36" t="s">
        <v>6</v>
      </c>
      <c r="Q225" s="36" t="s">
        <v>6</v>
      </c>
      <c r="R225" s="36" t="s">
        <v>6</v>
      </c>
      <c r="S225" s="36" t="s">
        <v>6</v>
      </c>
      <c r="T225" s="36" t="s">
        <v>6</v>
      </c>
      <c r="U225" s="36" t="s">
        <v>6</v>
      </c>
      <c r="V225" s="4" t="s">
        <v>1</v>
      </c>
      <c r="W225" s="4">
        <v>1</v>
      </c>
      <c r="X225" s="4">
        <v>3</v>
      </c>
      <c r="Y225" s="4">
        <v>2</v>
      </c>
      <c r="Z225" s="5">
        <v>3</v>
      </c>
      <c r="AA225" s="4">
        <v>3</v>
      </c>
      <c r="AB225" s="4" t="s">
        <v>6</v>
      </c>
      <c r="AC225" s="4" t="s">
        <v>6</v>
      </c>
      <c r="AD225" s="4" t="s">
        <v>6</v>
      </c>
      <c r="AE225" s="5" t="s">
        <v>6</v>
      </c>
      <c r="AF225" s="4">
        <v>3</v>
      </c>
      <c r="AG225" s="5" t="s">
        <v>6</v>
      </c>
      <c r="AH225" s="4">
        <v>3</v>
      </c>
      <c r="AI225" s="4" t="s">
        <v>6</v>
      </c>
      <c r="AJ225" s="4" t="s">
        <v>6</v>
      </c>
      <c r="AK225" s="4" t="s">
        <v>6</v>
      </c>
      <c r="AL225" s="4" t="s">
        <v>6</v>
      </c>
      <c r="AM225" s="4" t="s">
        <v>6</v>
      </c>
      <c r="AN225" s="5" t="s">
        <v>6</v>
      </c>
    </row>
    <row r="226" spans="1:40" x14ac:dyDescent="0.2">
      <c r="A226" s="15">
        <v>141</v>
      </c>
      <c r="B226" s="36" t="s">
        <v>6</v>
      </c>
      <c r="C226" s="36" t="s">
        <v>6</v>
      </c>
      <c r="D226" s="36" t="s">
        <v>6</v>
      </c>
      <c r="E226" s="36" t="s">
        <v>6</v>
      </c>
      <c r="F226" s="36" t="s">
        <v>6</v>
      </c>
      <c r="G226" s="36" t="s">
        <v>6</v>
      </c>
      <c r="H226" s="36" t="s">
        <v>6</v>
      </c>
      <c r="I226" s="36" t="s">
        <v>6</v>
      </c>
      <c r="J226" s="36" t="s">
        <v>6</v>
      </c>
      <c r="K226" s="36" t="s">
        <v>6</v>
      </c>
      <c r="L226" s="36" t="s">
        <v>6</v>
      </c>
      <c r="M226" s="36" t="s">
        <v>6</v>
      </c>
      <c r="N226" s="36" t="s">
        <v>6</v>
      </c>
      <c r="O226" s="36" t="s">
        <v>6</v>
      </c>
      <c r="P226" s="36" t="s">
        <v>6</v>
      </c>
      <c r="Q226" s="36" t="s">
        <v>6</v>
      </c>
      <c r="R226" s="36" t="s">
        <v>6</v>
      </c>
      <c r="S226" s="36" t="s">
        <v>6</v>
      </c>
      <c r="T226" s="36" t="s">
        <v>6</v>
      </c>
      <c r="U226" s="36" t="s">
        <v>6</v>
      </c>
      <c r="V226" s="4" t="s">
        <v>1</v>
      </c>
      <c r="W226" s="4">
        <v>1</v>
      </c>
      <c r="X226" s="4">
        <v>3</v>
      </c>
      <c r="Y226" s="4">
        <v>2</v>
      </c>
      <c r="Z226" s="5">
        <v>3</v>
      </c>
      <c r="AA226" s="4">
        <v>3</v>
      </c>
      <c r="AB226" s="4" t="s">
        <v>6</v>
      </c>
      <c r="AC226" s="4" t="s">
        <v>6</v>
      </c>
      <c r="AD226" s="4" t="s">
        <v>6</v>
      </c>
      <c r="AE226" s="5" t="s">
        <v>6</v>
      </c>
      <c r="AF226" s="4">
        <v>3</v>
      </c>
      <c r="AG226" s="5" t="s">
        <v>6</v>
      </c>
      <c r="AH226" s="4">
        <v>3</v>
      </c>
      <c r="AI226" s="4" t="s">
        <v>6</v>
      </c>
      <c r="AJ226" s="4" t="s">
        <v>6</v>
      </c>
      <c r="AK226" s="4" t="s">
        <v>6</v>
      </c>
      <c r="AL226" s="4" t="s">
        <v>6</v>
      </c>
      <c r="AM226" s="4" t="s">
        <v>6</v>
      </c>
      <c r="AN226" s="5" t="s">
        <v>6</v>
      </c>
    </row>
    <row r="227" spans="1:40" x14ac:dyDescent="0.2">
      <c r="A227" s="15">
        <v>142</v>
      </c>
      <c r="B227" s="36" t="s">
        <v>6</v>
      </c>
      <c r="C227" s="36" t="s">
        <v>6</v>
      </c>
      <c r="D227" s="36" t="s">
        <v>6</v>
      </c>
      <c r="E227" s="36" t="s">
        <v>6</v>
      </c>
      <c r="F227" s="36" t="s">
        <v>6</v>
      </c>
      <c r="G227" s="36" t="s">
        <v>6</v>
      </c>
      <c r="H227" s="36" t="s">
        <v>6</v>
      </c>
      <c r="I227" s="36" t="s">
        <v>6</v>
      </c>
      <c r="J227" s="36" t="s">
        <v>6</v>
      </c>
      <c r="K227" s="36" t="s">
        <v>6</v>
      </c>
      <c r="L227" s="36" t="s">
        <v>6</v>
      </c>
      <c r="M227" s="36" t="s">
        <v>6</v>
      </c>
      <c r="N227" s="36" t="s">
        <v>6</v>
      </c>
      <c r="O227" s="36" t="s">
        <v>6</v>
      </c>
      <c r="P227" s="36" t="s">
        <v>6</v>
      </c>
      <c r="Q227" s="36" t="s">
        <v>6</v>
      </c>
      <c r="R227" s="36" t="s">
        <v>6</v>
      </c>
      <c r="S227" s="36" t="s">
        <v>6</v>
      </c>
      <c r="T227" s="36" t="s">
        <v>6</v>
      </c>
      <c r="U227" s="36" t="s">
        <v>6</v>
      </c>
      <c r="V227" s="4" t="s">
        <v>1</v>
      </c>
      <c r="W227" s="4">
        <v>1</v>
      </c>
      <c r="X227" s="4">
        <v>3</v>
      </c>
      <c r="Y227" s="4">
        <v>2</v>
      </c>
      <c r="Z227" s="5">
        <v>3</v>
      </c>
      <c r="AA227" s="4">
        <v>3</v>
      </c>
      <c r="AB227" s="4" t="s">
        <v>6</v>
      </c>
      <c r="AC227" s="4" t="s">
        <v>6</v>
      </c>
      <c r="AD227" s="4" t="s">
        <v>6</v>
      </c>
      <c r="AE227" s="5" t="s">
        <v>6</v>
      </c>
      <c r="AF227" s="4">
        <v>3</v>
      </c>
      <c r="AG227" s="5" t="s">
        <v>6</v>
      </c>
      <c r="AH227" s="4">
        <v>3</v>
      </c>
      <c r="AI227" s="4" t="s">
        <v>6</v>
      </c>
      <c r="AJ227" s="4" t="s">
        <v>6</v>
      </c>
      <c r="AK227" s="4" t="s">
        <v>6</v>
      </c>
      <c r="AL227" s="4" t="s">
        <v>6</v>
      </c>
      <c r="AM227" s="4" t="s">
        <v>6</v>
      </c>
      <c r="AN227" s="5" t="s">
        <v>6</v>
      </c>
    </row>
    <row r="228" spans="1:40" x14ac:dyDescent="0.2">
      <c r="A228" s="15">
        <v>153</v>
      </c>
      <c r="B228" s="36" t="s">
        <v>6</v>
      </c>
      <c r="C228" s="36" t="s">
        <v>6</v>
      </c>
      <c r="D228" s="36" t="s">
        <v>6</v>
      </c>
      <c r="E228" s="36" t="s">
        <v>6</v>
      </c>
      <c r="F228" s="36" t="s">
        <v>6</v>
      </c>
      <c r="G228" s="36" t="s">
        <v>6</v>
      </c>
      <c r="H228" s="36" t="s">
        <v>6</v>
      </c>
      <c r="I228" s="36" t="s">
        <v>6</v>
      </c>
      <c r="J228" s="36" t="s">
        <v>6</v>
      </c>
      <c r="K228" s="36" t="s">
        <v>6</v>
      </c>
      <c r="L228" s="36" t="s">
        <v>6</v>
      </c>
      <c r="M228" s="36" t="s">
        <v>6</v>
      </c>
      <c r="N228" s="36" t="s">
        <v>6</v>
      </c>
      <c r="O228" s="36" t="s">
        <v>6</v>
      </c>
      <c r="P228" s="36" t="s">
        <v>6</v>
      </c>
      <c r="Q228" s="36" t="s">
        <v>6</v>
      </c>
      <c r="R228" s="36" t="s">
        <v>6</v>
      </c>
      <c r="S228" s="36" t="s">
        <v>6</v>
      </c>
      <c r="T228" s="36" t="s">
        <v>6</v>
      </c>
      <c r="U228" s="36" t="s">
        <v>6</v>
      </c>
      <c r="V228" s="4" t="s">
        <v>1</v>
      </c>
      <c r="W228" s="4">
        <v>1</v>
      </c>
      <c r="X228" s="4">
        <v>3</v>
      </c>
      <c r="Y228" s="4">
        <v>2</v>
      </c>
      <c r="Z228" s="5">
        <v>3</v>
      </c>
      <c r="AA228" s="4">
        <v>3</v>
      </c>
      <c r="AB228" s="4" t="s">
        <v>6</v>
      </c>
      <c r="AC228" s="4" t="s">
        <v>6</v>
      </c>
      <c r="AD228" s="4" t="s">
        <v>6</v>
      </c>
      <c r="AE228" s="5" t="s">
        <v>6</v>
      </c>
      <c r="AF228" s="4">
        <v>3</v>
      </c>
      <c r="AG228" s="5" t="s">
        <v>6</v>
      </c>
      <c r="AH228" s="4">
        <v>3</v>
      </c>
      <c r="AI228" s="4" t="s">
        <v>6</v>
      </c>
      <c r="AJ228" s="4" t="s">
        <v>6</v>
      </c>
      <c r="AK228" s="4" t="s">
        <v>6</v>
      </c>
      <c r="AL228" s="4" t="s">
        <v>6</v>
      </c>
      <c r="AM228" s="4" t="s">
        <v>6</v>
      </c>
      <c r="AN228" s="5" t="s">
        <v>6</v>
      </c>
    </row>
    <row r="229" spans="1:40" x14ac:dyDescent="0.2">
      <c r="A229" s="15">
        <v>155</v>
      </c>
      <c r="B229" s="36" t="s">
        <v>6</v>
      </c>
      <c r="C229" s="36" t="s">
        <v>6</v>
      </c>
      <c r="D229" s="36" t="s">
        <v>6</v>
      </c>
      <c r="E229" s="36" t="s">
        <v>6</v>
      </c>
      <c r="F229" s="36" t="s">
        <v>6</v>
      </c>
      <c r="G229" s="36" t="s">
        <v>6</v>
      </c>
      <c r="H229" s="36" t="s">
        <v>6</v>
      </c>
      <c r="I229" s="36" t="s">
        <v>6</v>
      </c>
      <c r="J229" s="36" t="s">
        <v>6</v>
      </c>
      <c r="K229" s="36" t="s">
        <v>6</v>
      </c>
      <c r="L229" s="36" t="s">
        <v>6</v>
      </c>
      <c r="M229" s="36" t="s">
        <v>6</v>
      </c>
      <c r="N229" s="36" t="s">
        <v>6</v>
      </c>
      <c r="O229" s="36" t="s">
        <v>6</v>
      </c>
      <c r="P229" s="36" t="s">
        <v>6</v>
      </c>
      <c r="Q229" s="36" t="s">
        <v>6</v>
      </c>
      <c r="R229" s="36" t="s">
        <v>6</v>
      </c>
      <c r="S229" s="36" t="s">
        <v>6</v>
      </c>
      <c r="T229" s="36" t="s">
        <v>6</v>
      </c>
      <c r="U229" s="36" t="s">
        <v>6</v>
      </c>
      <c r="V229" s="4" t="s">
        <v>1</v>
      </c>
      <c r="W229" s="4">
        <v>1</v>
      </c>
      <c r="X229" s="4">
        <v>3</v>
      </c>
      <c r="Y229" s="4">
        <v>2</v>
      </c>
      <c r="Z229" s="5">
        <v>3</v>
      </c>
      <c r="AA229" s="4">
        <v>3</v>
      </c>
      <c r="AB229" s="4" t="s">
        <v>6</v>
      </c>
      <c r="AC229" s="4" t="s">
        <v>6</v>
      </c>
      <c r="AD229" s="4" t="s">
        <v>6</v>
      </c>
      <c r="AE229" s="5" t="s">
        <v>6</v>
      </c>
      <c r="AF229" s="4">
        <v>3</v>
      </c>
      <c r="AG229" s="5" t="s">
        <v>6</v>
      </c>
      <c r="AH229" s="4">
        <v>3</v>
      </c>
      <c r="AI229" s="4" t="s">
        <v>6</v>
      </c>
      <c r="AJ229" s="4" t="s">
        <v>6</v>
      </c>
      <c r="AK229" s="4" t="s">
        <v>6</v>
      </c>
      <c r="AL229" s="4" t="s">
        <v>6</v>
      </c>
      <c r="AM229" s="4" t="s">
        <v>6</v>
      </c>
      <c r="AN229" s="5" t="s">
        <v>6</v>
      </c>
    </row>
    <row r="230" spans="1:40" x14ac:dyDescent="0.2">
      <c r="A230" s="16">
        <v>158</v>
      </c>
      <c r="B230" s="36" t="s">
        <v>6</v>
      </c>
      <c r="C230" s="36" t="s">
        <v>6</v>
      </c>
      <c r="D230" s="36" t="s">
        <v>6</v>
      </c>
      <c r="E230" s="36" t="s">
        <v>6</v>
      </c>
      <c r="F230" s="36" t="s">
        <v>6</v>
      </c>
      <c r="G230" s="36" t="s">
        <v>6</v>
      </c>
      <c r="H230" s="36" t="s">
        <v>6</v>
      </c>
      <c r="I230" s="36" t="s">
        <v>6</v>
      </c>
      <c r="J230" s="36" t="s">
        <v>6</v>
      </c>
      <c r="K230" s="36" t="s">
        <v>6</v>
      </c>
      <c r="L230" s="36" t="s">
        <v>6</v>
      </c>
      <c r="M230" s="36" t="s">
        <v>6</v>
      </c>
      <c r="N230" s="36" t="s">
        <v>6</v>
      </c>
      <c r="O230" s="36" t="s">
        <v>6</v>
      </c>
      <c r="P230" s="36" t="s">
        <v>6</v>
      </c>
      <c r="Q230" s="36" t="s">
        <v>6</v>
      </c>
      <c r="R230" s="36" t="s">
        <v>6</v>
      </c>
      <c r="S230" s="36" t="s">
        <v>6</v>
      </c>
      <c r="T230" s="36" t="s">
        <v>6</v>
      </c>
      <c r="U230" s="36" t="s">
        <v>6</v>
      </c>
      <c r="V230" s="4" t="s">
        <v>1</v>
      </c>
      <c r="W230" s="4">
        <v>1</v>
      </c>
      <c r="X230" s="4">
        <v>3</v>
      </c>
      <c r="Y230" s="4">
        <v>2</v>
      </c>
      <c r="Z230" s="5">
        <v>3</v>
      </c>
      <c r="AA230" s="4">
        <v>3</v>
      </c>
      <c r="AB230" s="4" t="s">
        <v>6</v>
      </c>
      <c r="AC230" s="4" t="s">
        <v>6</v>
      </c>
      <c r="AD230" s="4" t="s">
        <v>6</v>
      </c>
      <c r="AE230" s="5" t="s">
        <v>6</v>
      </c>
      <c r="AF230" s="4">
        <v>3</v>
      </c>
      <c r="AG230" s="5" t="s">
        <v>6</v>
      </c>
      <c r="AH230" s="4">
        <v>3</v>
      </c>
      <c r="AI230" s="4" t="s">
        <v>6</v>
      </c>
      <c r="AJ230" s="4" t="s">
        <v>6</v>
      </c>
      <c r="AK230" s="4" t="s">
        <v>6</v>
      </c>
      <c r="AL230" s="4" t="s">
        <v>6</v>
      </c>
      <c r="AM230" s="4" t="s">
        <v>6</v>
      </c>
      <c r="AN230" s="5" t="s">
        <v>6</v>
      </c>
    </row>
    <row r="231" spans="1:40" x14ac:dyDescent="0.2">
      <c r="A231" s="15">
        <v>159</v>
      </c>
      <c r="B231" s="36" t="s">
        <v>6</v>
      </c>
      <c r="C231" s="36" t="s">
        <v>6</v>
      </c>
      <c r="D231" s="36" t="s">
        <v>6</v>
      </c>
      <c r="E231" s="36" t="s">
        <v>6</v>
      </c>
      <c r="F231" s="36" t="s">
        <v>6</v>
      </c>
      <c r="G231" s="36" t="s">
        <v>6</v>
      </c>
      <c r="H231" s="36" t="s">
        <v>6</v>
      </c>
      <c r="I231" s="36" t="s">
        <v>6</v>
      </c>
      <c r="J231" s="36" t="s">
        <v>6</v>
      </c>
      <c r="K231" s="36" t="s">
        <v>6</v>
      </c>
      <c r="L231" s="36" t="s">
        <v>6</v>
      </c>
      <c r="M231" s="36" t="s">
        <v>6</v>
      </c>
      <c r="N231" s="36" t="s">
        <v>6</v>
      </c>
      <c r="O231" s="36" t="s">
        <v>6</v>
      </c>
      <c r="P231" s="36" t="s">
        <v>6</v>
      </c>
      <c r="Q231" s="36" t="s">
        <v>6</v>
      </c>
      <c r="R231" s="36" t="s">
        <v>6</v>
      </c>
      <c r="S231" s="36" t="s">
        <v>6</v>
      </c>
      <c r="T231" s="36" t="s">
        <v>6</v>
      </c>
      <c r="U231" s="36" t="s">
        <v>6</v>
      </c>
      <c r="V231" s="4" t="s">
        <v>1</v>
      </c>
      <c r="W231" s="4">
        <v>1</v>
      </c>
      <c r="X231" s="4">
        <v>3</v>
      </c>
      <c r="Y231" s="4">
        <v>2</v>
      </c>
      <c r="Z231" s="5">
        <v>3</v>
      </c>
      <c r="AA231" s="4">
        <v>3</v>
      </c>
      <c r="AB231" s="4" t="s">
        <v>6</v>
      </c>
      <c r="AC231" s="4" t="s">
        <v>6</v>
      </c>
      <c r="AD231" s="4" t="s">
        <v>6</v>
      </c>
      <c r="AE231" s="5" t="s">
        <v>6</v>
      </c>
      <c r="AF231" s="4">
        <v>3</v>
      </c>
      <c r="AG231" s="5" t="s">
        <v>6</v>
      </c>
      <c r="AH231" s="4">
        <v>3</v>
      </c>
      <c r="AI231" s="4" t="s">
        <v>6</v>
      </c>
      <c r="AJ231" s="4" t="s">
        <v>6</v>
      </c>
      <c r="AK231" s="4" t="s">
        <v>6</v>
      </c>
      <c r="AL231" s="4" t="s">
        <v>6</v>
      </c>
      <c r="AM231" s="4" t="s">
        <v>6</v>
      </c>
      <c r="AN231" s="5" t="s">
        <v>6</v>
      </c>
    </row>
    <row r="232" spans="1:40" x14ac:dyDescent="0.2">
      <c r="A232" s="16">
        <v>162</v>
      </c>
      <c r="B232" s="36" t="s">
        <v>6</v>
      </c>
      <c r="C232" s="36" t="s">
        <v>6</v>
      </c>
      <c r="D232" s="36" t="s">
        <v>6</v>
      </c>
      <c r="E232" s="36" t="s">
        <v>6</v>
      </c>
      <c r="F232" s="36" t="s">
        <v>6</v>
      </c>
      <c r="G232" s="36" t="s">
        <v>6</v>
      </c>
      <c r="H232" s="36" t="s">
        <v>6</v>
      </c>
      <c r="I232" s="36" t="s">
        <v>6</v>
      </c>
      <c r="J232" s="36" t="s">
        <v>6</v>
      </c>
      <c r="K232" s="36" t="s">
        <v>6</v>
      </c>
      <c r="L232" s="36" t="s">
        <v>6</v>
      </c>
      <c r="M232" s="36" t="s">
        <v>6</v>
      </c>
      <c r="N232" s="36" t="s">
        <v>6</v>
      </c>
      <c r="O232" s="36" t="s">
        <v>6</v>
      </c>
      <c r="P232" s="36" t="s">
        <v>6</v>
      </c>
      <c r="Q232" s="36" t="s">
        <v>6</v>
      </c>
      <c r="R232" s="36" t="s">
        <v>6</v>
      </c>
      <c r="S232" s="36" t="s">
        <v>6</v>
      </c>
      <c r="T232" s="36" t="s">
        <v>6</v>
      </c>
      <c r="U232" s="36" t="s">
        <v>6</v>
      </c>
      <c r="V232" s="4" t="s">
        <v>1</v>
      </c>
      <c r="W232" s="4">
        <v>1</v>
      </c>
      <c r="X232" s="4">
        <v>3</v>
      </c>
      <c r="Y232" s="4">
        <v>2</v>
      </c>
      <c r="Z232" s="5">
        <v>3</v>
      </c>
      <c r="AA232" s="4">
        <v>3</v>
      </c>
      <c r="AB232" s="4" t="s">
        <v>6</v>
      </c>
      <c r="AC232" s="4" t="s">
        <v>6</v>
      </c>
      <c r="AD232" s="4" t="s">
        <v>6</v>
      </c>
      <c r="AE232" s="5" t="s">
        <v>6</v>
      </c>
      <c r="AF232" s="4">
        <v>3</v>
      </c>
      <c r="AG232" s="5" t="s">
        <v>6</v>
      </c>
      <c r="AH232" s="4">
        <v>3</v>
      </c>
      <c r="AI232" s="4" t="s">
        <v>6</v>
      </c>
      <c r="AJ232" s="4" t="s">
        <v>6</v>
      </c>
      <c r="AK232" s="4" t="s">
        <v>6</v>
      </c>
      <c r="AL232" s="4" t="s">
        <v>6</v>
      </c>
      <c r="AM232" s="4" t="s">
        <v>6</v>
      </c>
      <c r="AN232" s="5" t="s">
        <v>6</v>
      </c>
    </row>
    <row r="233" spans="1:40" x14ac:dyDescent="0.2">
      <c r="A233" s="16">
        <v>163</v>
      </c>
      <c r="B233" s="36" t="s">
        <v>6</v>
      </c>
      <c r="C233" s="36" t="s">
        <v>6</v>
      </c>
      <c r="D233" s="36" t="s">
        <v>6</v>
      </c>
      <c r="E233" s="36" t="s">
        <v>6</v>
      </c>
      <c r="F233" s="36" t="s">
        <v>6</v>
      </c>
      <c r="G233" s="36" t="s">
        <v>6</v>
      </c>
      <c r="H233" s="36" t="s">
        <v>6</v>
      </c>
      <c r="I233" s="36" t="s">
        <v>6</v>
      </c>
      <c r="J233" s="36" t="s">
        <v>6</v>
      </c>
      <c r="K233" s="36" t="s">
        <v>6</v>
      </c>
      <c r="L233" s="36" t="s">
        <v>6</v>
      </c>
      <c r="M233" s="36" t="s">
        <v>6</v>
      </c>
      <c r="N233" s="36" t="s">
        <v>6</v>
      </c>
      <c r="O233" s="36" t="s">
        <v>6</v>
      </c>
      <c r="P233" s="36" t="s">
        <v>6</v>
      </c>
      <c r="Q233" s="36" t="s">
        <v>6</v>
      </c>
      <c r="R233" s="36" t="s">
        <v>6</v>
      </c>
      <c r="S233" s="36" t="s">
        <v>6</v>
      </c>
      <c r="T233" s="36" t="s">
        <v>6</v>
      </c>
      <c r="U233" s="36" t="s">
        <v>6</v>
      </c>
      <c r="V233" s="4" t="s">
        <v>1</v>
      </c>
      <c r="W233" s="4">
        <v>1</v>
      </c>
      <c r="X233" s="4">
        <v>3</v>
      </c>
      <c r="Y233" s="4">
        <v>2</v>
      </c>
      <c r="Z233" s="5">
        <v>3</v>
      </c>
      <c r="AA233" s="4">
        <v>3</v>
      </c>
      <c r="AB233" s="4" t="s">
        <v>6</v>
      </c>
      <c r="AC233" s="4" t="s">
        <v>6</v>
      </c>
      <c r="AD233" s="4" t="s">
        <v>6</v>
      </c>
      <c r="AE233" s="5" t="s">
        <v>6</v>
      </c>
      <c r="AF233" s="4">
        <v>3</v>
      </c>
      <c r="AG233" s="5" t="s">
        <v>6</v>
      </c>
      <c r="AH233" s="4">
        <v>3</v>
      </c>
      <c r="AI233" s="4" t="s">
        <v>6</v>
      </c>
      <c r="AJ233" s="4" t="s">
        <v>6</v>
      </c>
      <c r="AK233" s="4" t="s">
        <v>6</v>
      </c>
      <c r="AL233" s="4" t="s">
        <v>6</v>
      </c>
      <c r="AM233" s="4" t="s">
        <v>6</v>
      </c>
      <c r="AN233" s="5" t="s">
        <v>6</v>
      </c>
    </row>
    <row r="234" spans="1:40" x14ac:dyDescent="0.2">
      <c r="A234" s="15">
        <v>164</v>
      </c>
      <c r="B234" s="36" t="s">
        <v>6</v>
      </c>
      <c r="C234" s="36" t="s">
        <v>6</v>
      </c>
      <c r="D234" s="36" t="s">
        <v>6</v>
      </c>
      <c r="E234" s="36" t="s">
        <v>6</v>
      </c>
      <c r="F234" s="36" t="s">
        <v>6</v>
      </c>
      <c r="G234" s="36" t="s">
        <v>6</v>
      </c>
      <c r="H234" s="36" t="s">
        <v>6</v>
      </c>
      <c r="I234" s="36" t="s">
        <v>6</v>
      </c>
      <c r="J234" s="36" t="s">
        <v>6</v>
      </c>
      <c r="K234" s="36" t="s">
        <v>6</v>
      </c>
      <c r="L234" s="36" t="s">
        <v>6</v>
      </c>
      <c r="M234" s="36" t="s">
        <v>6</v>
      </c>
      <c r="N234" s="36" t="s">
        <v>6</v>
      </c>
      <c r="O234" s="36" t="s">
        <v>6</v>
      </c>
      <c r="P234" s="36" t="s">
        <v>6</v>
      </c>
      <c r="Q234" s="36" t="s">
        <v>6</v>
      </c>
      <c r="R234" s="36" t="s">
        <v>6</v>
      </c>
      <c r="S234" s="36" t="s">
        <v>6</v>
      </c>
      <c r="T234" s="36" t="s">
        <v>6</v>
      </c>
      <c r="U234" s="36" t="s">
        <v>6</v>
      </c>
      <c r="V234" s="4" t="s">
        <v>1</v>
      </c>
      <c r="W234" s="4">
        <v>1</v>
      </c>
      <c r="X234" s="4">
        <v>3</v>
      </c>
      <c r="Y234" s="4">
        <v>2</v>
      </c>
      <c r="Z234" s="5">
        <v>3</v>
      </c>
      <c r="AA234" s="4">
        <v>3</v>
      </c>
      <c r="AB234" s="4" t="s">
        <v>6</v>
      </c>
      <c r="AC234" s="4" t="s">
        <v>6</v>
      </c>
      <c r="AD234" s="4" t="s">
        <v>6</v>
      </c>
      <c r="AE234" s="5" t="s">
        <v>6</v>
      </c>
      <c r="AF234" s="4">
        <v>3</v>
      </c>
      <c r="AG234" s="5" t="s">
        <v>6</v>
      </c>
      <c r="AH234" s="4">
        <v>3</v>
      </c>
      <c r="AI234" s="4" t="s">
        <v>6</v>
      </c>
      <c r="AJ234" s="4" t="s">
        <v>6</v>
      </c>
      <c r="AK234" s="4" t="s">
        <v>6</v>
      </c>
      <c r="AL234" s="4" t="s">
        <v>6</v>
      </c>
      <c r="AM234" s="4" t="s">
        <v>6</v>
      </c>
      <c r="AN234" s="5" t="s">
        <v>6</v>
      </c>
    </row>
    <row r="235" spans="1:40" x14ac:dyDescent="0.2">
      <c r="A235" s="15">
        <v>182</v>
      </c>
      <c r="B235" s="36" t="s">
        <v>6</v>
      </c>
      <c r="C235" s="36" t="s">
        <v>6</v>
      </c>
      <c r="D235" s="36" t="s">
        <v>6</v>
      </c>
      <c r="E235" s="36" t="s">
        <v>6</v>
      </c>
      <c r="F235" s="36" t="s">
        <v>6</v>
      </c>
      <c r="G235" s="36" t="s">
        <v>6</v>
      </c>
      <c r="H235" s="36" t="s">
        <v>6</v>
      </c>
      <c r="I235" s="36" t="s">
        <v>6</v>
      </c>
      <c r="J235" s="36" t="s">
        <v>6</v>
      </c>
      <c r="K235" s="36" t="s">
        <v>6</v>
      </c>
      <c r="L235" s="36" t="s">
        <v>6</v>
      </c>
      <c r="M235" s="36" t="s">
        <v>6</v>
      </c>
      <c r="N235" s="36" t="s">
        <v>6</v>
      </c>
      <c r="O235" s="36" t="s">
        <v>6</v>
      </c>
      <c r="P235" s="36" t="s">
        <v>6</v>
      </c>
      <c r="Q235" s="36" t="s">
        <v>6</v>
      </c>
      <c r="R235" s="36" t="s">
        <v>6</v>
      </c>
      <c r="S235" s="36" t="s">
        <v>6</v>
      </c>
      <c r="T235" s="36" t="s">
        <v>6</v>
      </c>
      <c r="U235" s="36" t="s">
        <v>6</v>
      </c>
      <c r="V235" s="4" t="s">
        <v>1</v>
      </c>
      <c r="W235" s="4">
        <v>1</v>
      </c>
      <c r="X235" s="4">
        <v>3</v>
      </c>
      <c r="Y235" s="4">
        <v>2</v>
      </c>
      <c r="Z235" s="5">
        <v>3</v>
      </c>
      <c r="AA235" s="4">
        <v>3</v>
      </c>
      <c r="AB235" s="4" t="s">
        <v>6</v>
      </c>
      <c r="AC235" s="4" t="s">
        <v>6</v>
      </c>
      <c r="AD235" s="4" t="s">
        <v>6</v>
      </c>
      <c r="AE235" s="5" t="s">
        <v>6</v>
      </c>
      <c r="AF235" s="4">
        <v>3</v>
      </c>
      <c r="AG235" s="5" t="s">
        <v>6</v>
      </c>
      <c r="AH235" s="4">
        <v>3</v>
      </c>
      <c r="AI235" s="4" t="s">
        <v>6</v>
      </c>
      <c r="AJ235" s="4" t="s">
        <v>6</v>
      </c>
      <c r="AK235" s="4" t="s">
        <v>6</v>
      </c>
      <c r="AL235" s="4" t="s">
        <v>6</v>
      </c>
      <c r="AM235" s="4" t="s">
        <v>6</v>
      </c>
      <c r="AN235" s="5" t="s">
        <v>6</v>
      </c>
    </row>
    <row r="236" spans="1:40" x14ac:dyDescent="0.2">
      <c r="A236" s="15">
        <v>194</v>
      </c>
      <c r="B236" s="36" t="s">
        <v>6</v>
      </c>
      <c r="C236" s="36" t="s">
        <v>6</v>
      </c>
      <c r="D236" s="36" t="s">
        <v>6</v>
      </c>
      <c r="E236" s="36" t="s">
        <v>6</v>
      </c>
      <c r="F236" s="36" t="s">
        <v>6</v>
      </c>
      <c r="G236" s="36" t="s">
        <v>6</v>
      </c>
      <c r="H236" s="36" t="s">
        <v>6</v>
      </c>
      <c r="I236" s="36" t="s">
        <v>6</v>
      </c>
      <c r="J236" s="36" t="s">
        <v>6</v>
      </c>
      <c r="K236" s="36" t="s">
        <v>6</v>
      </c>
      <c r="L236" s="36" t="s">
        <v>6</v>
      </c>
      <c r="M236" s="36" t="s">
        <v>6</v>
      </c>
      <c r="N236" s="36" t="s">
        <v>6</v>
      </c>
      <c r="O236" s="36" t="s">
        <v>6</v>
      </c>
      <c r="P236" s="36" t="s">
        <v>6</v>
      </c>
      <c r="Q236" s="36" t="s">
        <v>6</v>
      </c>
      <c r="R236" s="36" t="s">
        <v>6</v>
      </c>
      <c r="S236" s="36" t="s">
        <v>6</v>
      </c>
      <c r="T236" s="36" t="s">
        <v>6</v>
      </c>
      <c r="U236" s="36" t="s">
        <v>6</v>
      </c>
      <c r="V236" s="4" t="s">
        <v>1</v>
      </c>
      <c r="W236" s="4">
        <v>1</v>
      </c>
      <c r="X236" s="4">
        <v>3</v>
      </c>
      <c r="Y236" s="4">
        <v>2</v>
      </c>
      <c r="Z236" s="5">
        <v>3</v>
      </c>
      <c r="AA236" s="4">
        <v>3</v>
      </c>
      <c r="AB236" s="4" t="s">
        <v>6</v>
      </c>
      <c r="AC236" s="4" t="s">
        <v>6</v>
      </c>
      <c r="AD236" s="4" t="s">
        <v>6</v>
      </c>
      <c r="AE236" s="5" t="s">
        <v>6</v>
      </c>
      <c r="AF236" s="4">
        <v>3</v>
      </c>
      <c r="AG236" s="5" t="s">
        <v>6</v>
      </c>
      <c r="AH236" s="4">
        <v>3</v>
      </c>
      <c r="AI236" s="4" t="s">
        <v>6</v>
      </c>
      <c r="AJ236" s="4" t="s">
        <v>6</v>
      </c>
      <c r="AK236" s="4" t="s">
        <v>6</v>
      </c>
      <c r="AL236" s="4" t="s">
        <v>6</v>
      </c>
      <c r="AM236" s="4" t="s">
        <v>6</v>
      </c>
      <c r="AN236" s="5" t="s">
        <v>6</v>
      </c>
    </row>
    <row r="237" spans="1:40" x14ac:dyDescent="0.2">
      <c r="A237" s="16">
        <v>215</v>
      </c>
      <c r="B237" s="36" t="s">
        <v>6</v>
      </c>
      <c r="C237" s="36" t="s">
        <v>6</v>
      </c>
      <c r="D237" s="36" t="s">
        <v>6</v>
      </c>
      <c r="E237" s="36" t="s">
        <v>6</v>
      </c>
      <c r="F237" s="36" t="s">
        <v>6</v>
      </c>
      <c r="G237" s="36" t="s">
        <v>6</v>
      </c>
      <c r="H237" s="36" t="s">
        <v>6</v>
      </c>
      <c r="I237" s="36" t="s">
        <v>6</v>
      </c>
      <c r="J237" s="36" t="s">
        <v>6</v>
      </c>
      <c r="K237" s="36" t="s">
        <v>6</v>
      </c>
      <c r="L237" s="36" t="s">
        <v>6</v>
      </c>
      <c r="M237" s="36" t="s">
        <v>6</v>
      </c>
      <c r="N237" s="36" t="s">
        <v>6</v>
      </c>
      <c r="O237" s="36" t="s">
        <v>6</v>
      </c>
      <c r="P237" s="36" t="s">
        <v>6</v>
      </c>
      <c r="Q237" s="36" t="s">
        <v>6</v>
      </c>
      <c r="R237" s="36" t="s">
        <v>6</v>
      </c>
      <c r="S237" s="36" t="s">
        <v>6</v>
      </c>
      <c r="T237" s="36" t="s">
        <v>6</v>
      </c>
      <c r="U237" s="36" t="s">
        <v>6</v>
      </c>
      <c r="V237" s="4" t="s">
        <v>1</v>
      </c>
      <c r="W237" s="4">
        <v>1</v>
      </c>
      <c r="X237" s="4">
        <v>3</v>
      </c>
      <c r="Y237" s="4">
        <v>2</v>
      </c>
      <c r="Z237" s="5">
        <v>3</v>
      </c>
      <c r="AA237" s="4">
        <v>3</v>
      </c>
      <c r="AB237" s="4" t="s">
        <v>6</v>
      </c>
      <c r="AC237" s="4" t="s">
        <v>6</v>
      </c>
      <c r="AD237" s="4" t="s">
        <v>6</v>
      </c>
      <c r="AE237" s="5" t="s">
        <v>6</v>
      </c>
      <c r="AF237" s="4">
        <v>3</v>
      </c>
      <c r="AG237" s="5" t="s">
        <v>6</v>
      </c>
      <c r="AH237" s="4">
        <v>3</v>
      </c>
      <c r="AI237" s="4" t="s">
        <v>6</v>
      </c>
      <c r="AJ237" s="4" t="s">
        <v>6</v>
      </c>
      <c r="AK237" s="4" t="s">
        <v>6</v>
      </c>
      <c r="AL237" s="4" t="s">
        <v>6</v>
      </c>
      <c r="AM237" s="4" t="s">
        <v>6</v>
      </c>
      <c r="AN237" s="5" t="s">
        <v>6</v>
      </c>
    </row>
    <row r="238" spans="1:40" x14ac:dyDescent="0.2">
      <c r="A238" s="15">
        <v>224</v>
      </c>
      <c r="B238" s="36" t="s">
        <v>6</v>
      </c>
      <c r="C238" s="36" t="s">
        <v>6</v>
      </c>
      <c r="D238" s="36" t="s">
        <v>6</v>
      </c>
      <c r="E238" s="36" t="s">
        <v>6</v>
      </c>
      <c r="F238" s="36" t="s">
        <v>6</v>
      </c>
      <c r="G238" s="36" t="s">
        <v>6</v>
      </c>
      <c r="H238" s="36" t="s">
        <v>6</v>
      </c>
      <c r="I238" s="36" t="s">
        <v>6</v>
      </c>
      <c r="J238" s="36" t="s">
        <v>6</v>
      </c>
      <c r="K238" s="36" t="s">
        <v>6</v>
      </c>
      <c r="L238" s="36" t="s">
        <v>6</v>
      </c>
      <c r="M238" s="36" t="s">
        <v>6</v>
      </c>
      <c r="N238" s="36" t="s">
        <v>6</v>
      </c>
      <c r="O238" s="36" t="s">
        <v>6</v>
      </c>
      <c r="P238" s="36" t="s">
        <v>6</v>
      </c>
      <c r="Q238" s="36" t="s">
        <v>6</v>
      </c>
      <c r="R238" s="36" t="s">
        <v>6</v>
      </c>
      <c r="S238" s="36" t="s">
        <v>6</v>
      </c>
      <c r="T238" s="36" t="s">
        <v>6</v>
      </c>
      <c r="U238" s="36" t="s">
        <v>6</v>
      </c>
      <c r="V238" s="4" t="s">
        <v>1</v>
      </c>
      <c r="W238" s="4">
        <v>1</v>
      </c>
      <c r="X238" s="4">
        <v>3</v>
      </c>
      <c r="Y238" s="4">
        <v>2</v>
      </c>
      <c r="Z238" s="5">
        <v>3</v>
      </c>
      <c r="AA238" s="4">
        <v>3</v>
      </c>
      <c r="AB238" s="4" t="s">
        <v>6</v>
      </c>
      <c r="AC238" s="4" t="s">
        <v>6</v>
      </c>
      <c r="AD238" s="4" t="s">
        <v>6</v>
      </c>
      <c r="AE238" s="5" t="s">
        <v>6</v>
      </c>
      <c r="AF238" s="4">
        <v>3</v>
      </c>
      <c r="AG238" s="5" t="s">
        <v>6</v>
      </c>
      <c r="AH238" s="4">
        <v>3</v>
      </c>
      <c r="AI238" s="4" t="s">
        <v>6</v>
      </c>
      <c r="AJ238" s="4" t="s">
        <v>6</v>
      </c>
      <c r="AK238" s="4" t="s">
        <v>6</v>
      </c>
      <c r="AL238" s="4" t="s">
        <v>6</v>
      </c>
      <c r="AM238" s="4" t="s">
        <v>6</v>
      </c>
      <c r="AN238" s="5" t="s">
        <v>6</v>
      </c>
    </row>
    <row r="239" spans="1:40" x14ac:dyDescent="0.2">
      <c r="A239" s="15">
        <v>252</v>
      </c>
      <c r="B239" s="36" t="s">
        <v>6</v>
      </c>
      <c r="C239" s="36" t="s">
        <v>6</v>
      </c>
      <c r="D239" s="36" t="s">
        <v>6</v>
      </c>
      <c r="E239" s="36" t="s">
        <v>6</v>
      </c>
      <c r="F239" s="36" t="s">
        <v>6</v>
      </c>
      <c r="G239" s="36" t="s">
        <v>6</v>
      </c>
      <c r="H239" s="36" t="s">
        <v>6</v>
      </c>
      <c r="I239" s="36" t="s">
        <v>6</v>
      </c>
      <c r="J239" s="36" t="s">
        <v>6</v>
      </c>
      <c r="K239" s="36" t="s">
        <v>6</v>
      </c>
      <c r="L239" s="36" t="s">
        <v>6</v>
      </c>
      <c r="M239" s="36" t="s">
        <v>6</v>
      </c>
      <c r="N239" s="36" t="s">
        <v>6</v>
      </c>
      <c r="O239" s="36" t="s">
        <v>6</v>
      </c>
      <c r="P239" s="36" t="s">
        <v>6</v>
      </c>
      <c r="Q239" s="36" t="s">
        <v>6</v>
      </c>
      <c r="R239" s="36" t="s">
        <v>6</v>
      </c>
      <c r="S239" s="36" t="s">
        <v>6</v>
      </c>
      <c r="T239" s="36" t="s">
        <v>6</v>
      </c>
      <c r="U239" s="36" t="s">
        <v>6</v>
      </c>
      <c r="V239" s="4" t="s">
        <v>1</v>
      </c>
      <c r="W239" s="4">
        <v>1</v>
      </c>
      <c r="X239" s="4">
        <v>3</v>
      </c>
      <c r="Y239" s="4">
        <v>2</v>
      </c>
      <c r="Z239" s="5">
        <v>3</v>
      </c>
      <c r="AA239" s="4">
        <v>3</v>
      </c>
      <c r="AB239" s="4" t="s">
        <v>6</v>
      </c>
      <c r="AC239" s="4" t="s">
        <v>6</v>
      </c>
      <c r="AD239" s="4" t="s">
        <v>6</v>
      </c>
      <c r="AE239" s="5" t="s">
        <v>6</v>
      </c>
      <c r="AF239" s="4">
        <v>3</v>
      </c>
      <c r="AG239" s="5" t="s">
        <v>6</v>
      </c>
      <c r="AH239" s="4">
        <v>3</v>
      </c>
      <c r="AI239" s="4" t="s">
        <v>6</v>
      </c>
      <c r="AJ239" s="4" t="s">
        <v>6</v>
      </c>
      <c r="AK239" s="4" t="s">
        <v>6</v>
      </c>
      <c r="AL239" s="4" t="s">
        <v>6</v>
      </c>
      <c r="AM239" s="4" t="s">
        <v>6</v>
      </c>
      <c r="AN239" s="5" t="s">
        <v>6</v>
      </c>
    </row>
    <row r="240" spans="1:40" x14ac:dyDescent="0.2">
      <c r="A240" s="15">
        <v>253</v>
      </c>
      <c r="B240" s="36" t="s">
        <v>6</v>
      </c>
      <c r="C240" s="36" t="s">
        <v>6</v>
      </c>
      <c r="D240" s="36" t="s">
        <v>6</v>
      </c>
      <c r="E240" s="36" t="s">
        <v>6</v>
      </c>
      <c r="F240" s="36" t="s">
        <v>6</v>
      </c>
      <c r="G240" s="36" t="s">
        <v>6</v>
      </c>
      <c r="H240" s="36" t="s">
        <v>6</v>
      </c>
      <c r="I240" s="36" t="s">
        <v>6</v>
      </c>
      <c r="J240" s="36" t="s">
        <v>6</v>
      </c>
      <c r="K240" s="36" t="s">
        <v>6</v>
      </c>
      <c r="L240" s="36" t="s">
        <v>6</v>
      </c>
      <c r="M240" s="36" t="s">
        <v>6</v>
      </c>
      <c r="N240" s="36" t="s">
        <v>6</v>
      </c>
      <c r="O240" s="36" t="s">
        <v>6</v>
      </c>
      <c r="P240" s="36" t="s">
        <v>6</v>
      </c>
      <c r="Q240" s="36" t="s">
        <v>6</v>
      </c>
      <c r="R240" s="36" t="s">
        <v>6</v>
      </c>
      <c r="S240" s="36" t="s">
        <v>6</v>
      </c>
      <c r="T240" s="36" t="s">
        <v>6</v>
      </c>
      <c r="U240" s="36" t="s">
        <v>6</v>
      </c>
      <c r="V240" s="4" t="s">
        <v>1</v>
      </c>
      <c r="W240" s="4">
        <v>1</v>
      </c>
      <c r="X240" s="4">
        <v>3</v>
      </c>
      <c r="Y240" s="4">
        <v>2</v>
      </c>
      <c r="Z240" s="5">
        <v>3</v>
      </c>
      <c r="AA240" s="4">
        <v>3</v>
      </c>
      <c r="AB240" s="4" t="s">
        <v>6</v>
      </c>
      <c r="AC240" s="4" t="s">
        <v>6</v>
      </c>
      <c r="AD240" s="4" t="s">
        <v>6</v>
      </c>
      <c r="AE240" s="5" t="s">
        <v>6</v>
      </c>
      <c r="AF240" s="4">
        <v>3</v>
      </c>
      <c r="AG240" s="5" t="s">
        <v>6</v>
      </c>
      <c r="AH240" s="4">
        <v>3</v>
      </c>
      <c r="AI240" s="4" t="s">
        <v>6</v>
      </c>
      <c r="AJ240" s="4" t="s">
        <v>6</v>
      </c>
      <c r="AK240" s="4" t="s">
        <v>6</v>
      </c>
      <c r="AL240" s="4" t="s">
        <v>6</v>
      </c>
      <c r="AM240" s="4" t="s">
        <v>6</v>
      </c>
      <c r="AN240" s="5" t="s">
        <v>6</v>
      </c>
    </row>
    <row r="241" spans="1:40" x14ac:dyDescent="0.2">
      <c r="A241" s="15">
        <v>257</v>
      </c>
      <c r="B241" s="36" t="s">
        <v>6</v>
      </c>
      <c r="C241" s="36" t="s">
        <v>6</v>
      </c>
      <c r="D241" s="36" t="s">
        <v>6</v>
      </c>
      <c r="E241" s="36" t="s">
        <v>6</v>
      </c>
      <c r="F241" s="36" t="s">
        <v>6</v>
      </c>
      <c r="G241" s="36" t="s">
        <v>6</v>
      </c>
      <c r="H241" s="36" t="s">
        <v>6</v>
      </c>
      <c r="I241" s="36" t="s">
        <v>6</v>
      </c>
      <c r="J241" s="36" t="s">
        <v>6</v>
      </c>
      <c r="K241" s="36" t="s">
        <v>6</v>
      </c>
      <c r="L241" s="36" t="s">
        <v>6</v>
      </c>
      <c r="M241" s="36" t="s">
        <v>6</v>
      </c>
      <c r="N241" s="36" t="s">
        <v>6</v>
      </c>
      <c r="O241" s="36" t="s">
        <v>6</v>
      </c>
      <c r="P241" s="36" t="s">
        <v>6</v>
      </c>
      <c r="Q241" s="36" t="s">
        <v>6</v>
      </c>
      <c r="R241" s="36" t="s">
        <v>6</v>
      </c>
      <c r="S241" s="36" t="s">
        <v>6</v>
      </c>
      <c r="T241" s="36" t="s">
        <v>6</v>
      </c>
      <c r="U241" s="36" t="s">
        <v>6</v>
      </c>
      <c r="V241" s="4" t="s">
        <v>1</v>
      </c>
      <c r="W241" s="4">
        <v>1</v>
      </c>
      <c r="X241" s="4">
        <v>3</v>
      </c>
      <c r="Y241" s="4">
        <v>2</v>
      </c>
      <c r="Z241" s="5">
        <v>3</v>
      </c>
      <c r="AA241" s="4">
        <v>3</v>
      </c>
      <c r="AB241" s="4" t="s">
        <v>6</v>
      </c>
      <c r="AC241" s="4" t="s">
        <v>6</v>
      </c>
      <c r="AD241" s="4" t="s">
        <v>6</v>
      </c>
      <c r="AE241" s="5" t="s">
        <v>6</v>
      </c>
      <c r="AF241" s="4">
        <v>3</v>
      </c>
      <c r="AG241" s="5" t="s">
        <v>6</v>
      </c>
      <c r="AH241" s="4">
        <v>3</v>
      </c>
      <c r="AI241" s="4" t="s">
        <v>6</v>
      </c>
      <c r="AJ241" s="4" t="s">
        <v>6</v>
      </c>
      <c r="AK241" s="4" t="s">
        <v>6</v>
      </c>
      <c r="AL241" s="4" t="s">
        <v>6</v>
      </c>
      <c r="AM241" s="4" t="s">
        <v>6</v>
      </c>
      <c r="AN241" s="5" t="s">
        <v>6</v>
      </c>
    </row>
    <row r="242" spans="1:40" x14ac:dyDescent="0.2">
      <c r="A242" s="15">
        <v>261</v>
      </c>
      <c r="B242" s="36" t="s">
        <v>6</v>
      </c>
      <c r="C242" s="36" t="s">
        <v>6</v>
      </c>
      <c r="D242" s="36" t="s">
        <v>6</v>
      </c>
      <c r="E242" s="36" t="s">
        <v>6</v>
      </c>
      <c r="F242" s="36" t="s">
        <v>6</v>
      </c>
      <c r="G242" s="36" t="s">
        <v>6</v>
      </c>
      <c r="H242" s="36" t="s">
        <v>6</v>
      </c>
      <c r="I242" s="36" t="s">
        <v>6</v>
      </c>
      <c r="J242" s="36" t="s">
        <v>6</v>
      </c>
      <c r="K242" s="36" t="s">
        <v>6</v>
      </c>
      <c r="L242" s="36" t="s">
        <v>6</v>
      </c>
      <c r="M242" s="36" t="s">
        <v>6</v>
      </c>
      <c r="N242" s="36" t="s">
        <v>6</v>
      </c>
      <c r="O242" s="36" t="s">
        <v>6</v>
      </c>
      <c r="P242" s="36" t="s">
        <v>6</v>
      </c>
      <c r="Q242" s="36" t="s">
        <v>6</v>
      </c>
      <c r="R242" s="36" t="s">
        <v>6</v>
      </c>
      <c r="S242" s="36" t="s">
        <v>6</v>
      </c>
      <c r="T242" s="36" t="s">
        <v>6</v>
      </c>
      <c r="U242" s="36" t="s">
        <v>6</v>
      </c>
      <c r="V242" s="4" t="s">
        <v>1</v>
      </c>
      <c r="W242" s="4">
        <v>1</v>
      </c>
      <c r="X242" s="4">
        <v>3</v>
      </c>
      <c r="Y242" s="4">
        <v>2</v>
      </c>
      <c r="Z242" s="5">
        <v>3</v>
      </c>
      <c r="AA242" s="4">
        <v>3</v>
      </c>
      <c r="AB242" s="4" t="s">
        <v>6</v>
      </c>
      <c r="AC242" s="4" t="s">
        <v>6</v>
      </c>
      <c r="AD242" s="4" t="s">
        <v>6</v>
      </c>
      <c r="AE242" s="5" t="s">
        <v>6</v>
      </c>
      <c r="AF242" s="4">
        <v>3</v>
      </c>
      <c r="AG242" s="5" t="s">
        <v>6</v>
      </c>
      <c r="AH242" s="4">
        <v>3</v>
      </c>
      <c r="AI242" s="4" t="s">
        <v>6</v>
      </c>
      <c r="AJ242" s="4" t="s">
        <v>6</v>
      </c>
      <c r="AK242" s="4" t="s">
        <v>6</v>
      </c>
      <c r="AL242" s="4" t="s">
        <v>6</v>
      </c>
      <c r="AM242" s="4" t="s">
        <v>6</v>
      </c>
      <c r="AN242" s="5" t="s">
        <v>6</v>
      </c>
    </row>
    <row r="243" spans="1:40" x14ac:dyDescent="0.2">
      <c r="A243" s="15">
        <v>269</v>
      </c>
      <c r="B243" s="36" t="s">
        <v>6</v>
      </c>
      <c r="C243" s="36" t="s">
        <v>6</v>
      </c>
      <c r="D243" s="36" t="s">
        <v>6</v>
      </c>
      <c r="E243" s="36" t="s">
        <v>6</v>
      </c>
      <c r="F243" s="36" t="s">
        <v>6</v>
      </c>
      <c r="G243" s="36" t="s">
        <v>6</v>
      </c>
      <c r="H243" s="36" t="s">
        <v>6</v>
      </c>
      <c r="I243" s="36" t="s">
        <v>6</v>
      </c>
      <c r="J243" s="36" t="s">
        <v>6</v>
      </c>
      <c r="K243" s="36" t="s">
        <v>6</v>
      </c>
      <c r="L243" s="36" t="s">
        <v>6</v>
      </c>
      <c r="M243" s="36" t="s">
        <v>6</v>
      </c>
      <c r="N243" s="36" t="s">
        <v>6</v>
      </c>
      <c r="O243" s="36" t="s">
        <v>6</v>
      </c>
      <c r="P243" s="36" t="s">
        <v>6</v>
      </c>
      <c r="Q243" s="36" t="s">
        <v>6</v>
      </c>
      <c r="R243" s="36" t="s">
        <v>6</v>
      </c>
      <c r="S243" s="36" t="s">
        <v>6</v>
      </c>
      <c r="T243" s="36" t="s">
        <v>6</v>
      </c>
      <c r="U243" s="36" t="s">
        <v>6</v>
      </c>
      <c r="V243" s="4" t="s">
        <v>1</v>
      </c>
      <c r="W243" s="4">
        <v>1</v>
      </c>
      <c r="X243" s="4">
        <v>3</v>
      </c>
      <c r="Y243" s="4">
        <v>2</v>
      </c>
      <c r="Z243" s="5">
        <v>3</v>
      </c>
      <c r="AA243" s="4">
        <v>3</v>
      </c>
      <c r="AB243" s="4" t="s">
        <v>6</v>
      </c>
      <c r="AC243" s="4" t="s">
        <v>6</v>
      </c>
      <c r="AD243" s="4" t="s">
        <v>6</v>
      </c>
      <c r="AE243" s="5" t="s">
        <v>6</v>
      </c>
      <c r="AF243" s="4">
        <v>3</v>
      </c>
      <c r="AG243" s="5" t="s">
        <v>6</v>
      </c>
      <c r="AH243" s="4">
        <v>3</v>
      </c>
      <c r="AI243" s="4" t="s">
        <v>6</v>
      </c>
      <c r="AJ243" s="4" t="s">
        <v>6</v>
      </c>
      <c r="AK243" s="4" t="s">
        <v>6</v>
      </c>
      <c r="AL243" s="4" t="s">
        <v>6</v>
      </c>
      <c r="AM243" s="4" t="s">
        <v>6</v>
      </c>
      <c r="AN243" s="5" t="s">
        <v>6</v>
      </c>
    </row>
    <row r="244" spans="1:40" x14ac:dyDescent="0.2">
      <c r="A244" s="15">
        <v>295</v>
      </c>
      <c r="B244" s="36" t="s">
        <v>6</v>
      </c>
      <c r="C244" s="36" t="s">
        <v>6</v>
      </c>
      <c r="D244" s="36" t="s">
        <v>6</v>
      </c>
      <c r="E244" s="36" t="s">
        <v>6</v>
      </c>
      <c r="F244" s="36" t="s">
        <v>6</v>
      </c>
      <c r="G244" s="36" t="s">
        <v>6</v>
      </c>
      <c r="H244" s="36" t="s">
        <v>6</v>
      </c>
      <c r="I244" s="36" t="s">
        <v>6</v>
      </c>
      <c r="J244" s="36" t="s">
        <v>6</v>
      </c>
      <c r="K244" s="36" t="s">
        <v>6</v>
      </c>
      <c r="L244" s="36" t="s">
        <v>6</v>
      </c>
      <c r="M244" s="36" t="s">
        <v>6</v>
      </c>
      <c r="N244" s="36" t="s">
        <v>6</v>
      </c>
      <c r="O244" s="36" t="s">
        <v>6</v>
      </c>
      <c r="P244" s="36" t="s">
        <v>6</v>
      </c>
      <c r="Q244" s="36" t="s">
        <v>6</v>
      </c>
      <c r="R244" s="36" t="s">
        <v>6</v>
      </c>
      <c r="S244" s="36" t="s">
        <v>6</v>
      </c>
      <c r="T244" s="36" t="s">
        <v>6</v>
      </c>
      <c r="U244" s="36" t="s">
        <v>6</v>
      </c>
      <c r="V244" s="4" t="s">
        <v>1</v>
      </c>
      <c r="W244" s="4">
        <v>1</v>
      </c>
      <c r="X244" s="4">
        <v>3</v>
      </c>
      <c r="Y244" s="4">
        <v>2</v>
      </c>
      <c r="Z244" s="5">
        <v>3</v>
      </c>
      <c r="AA244" s="4">
        <v>3</v>
      </c>
      <c r="AB244" s="4" t="s">
        <v>6</v>
      </c>
      <c r="AC244" s="4" t="s">
        <v>6</v>
      </c>
      <c r="AD244" s="4" t="s">
        <v>6</v>
      </c>
      <c r="AE244" s="5" t="s">
        <v>6</v>
      </c>
      <c r="AF244" s="4">
        <v>3</v>
      </c>
      <c r="AG244" s="5" t="s">
        <v>6</v>
      </c>
      <c r="AH244" s="4">
        <v>3</v>
      </c>
      <c r="AI244" s="4" t="s">
        <v>6</v>
      </c>
      <c r="AJ244" s="4" t="s">
        <v>6</v>
      </c>
      <c r="AK244" s="4" t="s">
        <v>6</v>
      </c>
      <c r="AL244" s="4" t="s">
        <v>6</v>
      </c>
      <c r="AM244" s="4" t="s">
        <v>6</v>
      </c>
      <c r="AN244" s="5" t="s">
        <v>6</v>
      </c>
    </row>
    <row r="245" spans="1:40" x14ac:dyDescent="0.2">
      <c r="A245" s="15">
        <v>299</v>
      </c>
      <c r="B245" s="36" t="s">
        <v>6</v>
      </c>
      <c r="C245" s="36" t="s">
        <v>6</v>
      </c>
      <c r="D245" s="36" t="s">
        <v>6</v>
      </c>
      <c r="E245" s="36" t="s">
        <v>6</v>
      </c>
      <c r="F245" s="36" t="s">
        <v>6</v>
      </c>
      <c r="G245" s="36" t="s">
        <v>6</v>
      </c>
      <c r="H245" s="36" t="s">
        <v>6</v>
      </c>
      <c r="I245" s="36" t="s">
        <v>6</v>
      </c>
      <c r="J245" s="36" t="s">
        <v>6</v>
      </c>
      <c r="K245" s="36" t="s">
        <v>6</v>
      </c>
      <c r="L245" s="36" t="s">
        <v>6</v>
      </c>
      <c r="M245" s="36" t="s">
        <v>6</v>
      </c>
      <c r="N245" s="36" t="s">
        <v>6</v>
      </c>
      <c r="O245" s="36" t="s">
        <v>6</v>
      </c>
      <c r="P245" s="36" t="s">
        <v>6</v>
      </c>
      <c r="Q245" s="36" t="s">
        <v>6</v>
      </c>
      <c r="R245" s="36" t="s">
        <v>6</v>
      </c>
      <c r="S245" s="36" t="s">
        <v>6</v>
      </c>
      <c r="T245" s="36" t="s">
        <v>6</v>
      </c>
      <c r="U245" s="36" t="s">
        <v>6</v>
      </c>
      <c r="V245" s="4" t="s">
        <v>1</v>
      </c>
      <c r="W245" s="4">
        <v>1</v>
      </c>
      <c r="X245" s="4">
        <v>3</v>
      </c>
      <c r="Y245" s="4">
        <v>2</v>
      </c>
      <c r="Z245" s="5">
        <v>3</v>
      </c>
      <c r="AA245" s="4">
        <v>3</v>
      </c>
      <c r="AB245" s="4" t="s">
        <v>6</v>
      </c>
      <c r="AC245" s="4" t="s">
        <v>6</v>
      </c>
      <c r="AD245" s="4" t="s">
        <v>6</v>
      </c>
      <c r="AE245" s="5" t="s">
        <v>6</v>
      </c>
      <c r="AF245" s="4">
        <v>3</v>
      </c>
      <c r="AG245" s="5" t="s">
        <v>6</v>
      </c>
      <c r="AH245" s="4">
        <v>3</v>
      </c>
      <c r="AI245" s="4" t="s">
        <v>6</v>
      </c>
      <c r="AJ245" s="4" t="s">
        <v>6</v>
      </c>
      <c r="AK245" s="4" t="s">
        <v>6</v>
      </c>
      <c r="AL245" s="4" t="s">
        <v>6</v>
      </c>
      <c r="AM245" s="4" t="s">
        <v>6</v>
      </c>
      <c r="AN245" s="5" t="s">
        <v>6</v>
      </c>
    </row>
    <row r="246" spans="1:40" x14ac:dyDescent="0.2">
      <c r="A246" s="15">
        <v>311</v>
      </c>
      <c r="B246" s="36" t="s">
        <v>6</v>
      </c>
      <c r="C246" s="36" t="s">
        <v>6</v>
      </c>
      <c r="D246" s="36" t="s">
        <v>6</v>
      </c>
      <c r="E246" s="36" t="s">
        <v>6</v>
      </c>
      <c r="F246" s="36" t="s">
        <v>6</v>
      </c>
      <c r="G246" s="36" t="s">
        <v>6</v>
      </c>
      <c r="H246" s="36" t="s">
        <v>6</v>
      </c>
      <c r="I246" s="36" t="s">
        <v>6</v>
      </c>
      <c r="J246" s="36" t="s">
        <v>6</v>
      </c>
      <c r="K246" s="36" t="s">
        <v>6</v>
      </c>
      <c r="L246" s="36" t="s">
        <v>6</v>
      </c>
      <c r="M246" s="36" t="s">
        <v>6</v>
      </c>
      <c r="N246" s="36" t="s">
        <v>6</v>
      </c>
      <c r="O246" s="36" t="s">
        <v>6</v>
      </c>
      <c r="P246" s="36" t="s">
        <v>6</v>
      </c>
      <c r="Q246" s="36" t="s">
        <v>6</v>
      </c>
      <c r="R246" s="36" t="s">
        <v>6</v>
      </c>
      <c r="S246" s="36" t="s">
        <v>6</v>
      </c>
      <c r="T246" s="36" t="s">
        <v>6</v>
      </c>
      <c r="U246" s="36" t="s">
        <v>6</v>
      </c>
      <c r="V246" s="4" t="s">
        <v>1</v>
      </c>
      <c r="W246" s="4">
        <v>1</v>
      </c>
      <c r="X246" s="4">
        <v>3</v>
      </c>
      <c r="Y246" s="4">
        <v>2</v>
      </c>
      <c r="Z246" s="5">
        <v>3</v>
      </c>
      <c r="AA246" s="4">
        <v>3</v>
      </c>
      <c r="AB246" s="4" t="s">
        <v>6</v>
      </c>
      <c r="AC246" s="4" t="s">
        <v>6</v>
      </c>
      <c r="AD246" s="4" t="s">
        <v>6</v>
      </c>
      <c r="AE246" s="5" t="s">
        <v>6</v>
      </c>
      <c r="AF246" s="4">
        <v>3</v>
      </c>
      <c r="AG246" s="5" t="s">
        <v>6</v>
      </c>
      <c r="AH246" s="4">
        <v>3</v>
      </c>
      <c r="AI246" s="4" t="s">
        <v>6</v>
      </c>
      <c r="AJ246" s="4" t="s">
        <v>6</v>
      </c>
      <c r="AK246" s="4" t="s">
        <v>6</v>
      </c>
      <c r="AL246" s="4" t="s">
        <v>6</v>
      </c>
      <c r="AM246" s="4" t="s">
        <v>6</v>
      </c>
      <c r="AN246" s="5" t="s">
        <v>6</v>
      </c>
    </row>
    <row r="247" spans="1:40" x14ac:dyDescent="0.2">
      <c r="A247" s="15">
        <v>318</v>
      </c>
      <c r="B247" s="36" t="s">
        <v>6</v>
      </c>
      <c r="C247" s="36" t="s">
        <v>6</v>
      </c>
      <c r="D247" s="36" t="s">
        <v>6</v>
      </c>
      <c r="E247" s="36" t="s">
        <v>6</v>
      </c>
      <c r="F247" s="36" t="s">
        <v>6</v>
      </c>
      <c r="G247" s="36" t="s">
        <v>6</v>
      </c>
      <c r="H247" s="36" t="s">
        <v>6</v>
      </c>
      <c r="I247" s="36" t="s">
        <v>6</v>
      </c>
      <c r="J247" s="36" t="s">
        <v>6</v>
      </c>
      <c r="K247" s="36" t="s">
        <v>6</v>
      </c>
      <c r="L247" s="36" t="s">
        <v>6</v>
      </c>
      <c r="M247" s="36" t="s">
        <v>6</v>
      </c>
      <c r="N247" s="36" t="s">
        <v>6</v>
      </c>
      <c r="O247" s="36" t="s">
        <v>6</v>
      </c>
      <c r="P247" s="36" t="s">
        <v>6</v>
      </c>
      <c r="Q247" s="36" t="s">
        <v>6</v>
      </c>
      <c r="R247" s="36" t="s">
        <v>6</v>
      </c>
      <c r="S247" s="36" t="s">
        <v>6</v>
      </c>
      <c r="T247" s="36" t="s">
        <v>6</v>
      </c>
      <c r="U247" s="36" t="s">
        <v>6</v>
      </c>
      <c r="V247" s="4" t="s">
        <v>1</v>
      </c>
      <c r="W247" s="4">
        <v>1</v>
      </c>
      <c r="X247" s="4">
        <v>3</v>
      </c>
      <c r="Y247" s="4">
        <v>2</v>
      </c>
      <c r="Z247" s="5">
        <v>3</v>
      </c>
      <c r="AA247" s="4">
        <v>3</v>
      </c>
      <c r="AB247" s="4" t="s">
        <v>6</v>
      </c>
      <c r="AC247" s="4" t="s">
        <v>6</v>
      </c>
      <c r="AD247" s="4" t="s">
        <v>6</v>
      </c>
      <c r="AE247" s="5" t="s">
        <v>6</v>
      </c>
      <c r="AF247" s="4">
        <v>3</v>
      </c>
      <c r="AG247" s="5" t="s">
        <v>6</v>
      </c>
      <c r="AH247" s="4">
        <v>3</v>
      </c>
      <c r="AI247" s="4" t="s">
        <v>6</v>
      </c>
      <c r="AJ247" s="4" t="s">
        <v>6</v>
      </c>
      <c r="AK247" s="4" t="s">
        <v>6</v>
      </c>
      <c r="AL247" s="4" t="s">
        <v>6</v>
      </c>
      <c r="AM247" s="4" t="s">
        <v>6</v>
      </c>
      <c r="AN247" s="5" t="s">
        <v>6</v>
      </c>
    </row>
    <row r="248" spans="1:40" x14ac:dyDescent="0.2">
      <c r="A248" s="15">
        <v>324</v>
      </c>
      <c r="B248" s="36" t="s">
        <v>6</v>
      </c>
      <c r="C248" s="36" t="s">
        <v>6</v>
      </c>
      <c r="D248" s="36" t="s">
        <v>6</v>
      </c>
      <c r="E248" s="36" t="s">
        <v>6</v>
      </c>
      <c r="F248" s="36" t="s">
        <v>6</v>
      </c>
      <c r="G248" s="36" t="s">
        <v>6</v>
      </c>
      <c r="H248" s="36" t="s">
        <v>6</v>
      </c>
      <c r="I248" s="36" t="s">
        <v>6</v>
      </c>
      <c r="J248" s="36" t="s">
        <v>6</v>
      </c>
      <c r="K248" s="36" t="s">
        <v>6</v>
      </c>
      <c r="L248" s="36" t="s">
        <v>6</v>
      </c>
      <c r="M248" s="36" t="s">
        <v>6</v>
      </c>
      <c r="N248" s="36" t="s">
        <v>6</v>
      </c>
      <c r="O248" s="36" t="s">
        <v>6</v>
      </c>
      <c r="P248" s="36" t="s">
        <v>6</v>
      </c>
      <c r="Q248" s="36" t="s">
        <v>6</v>
      </c>
      <c r="R248" s="36" t="s">
        <v>6</v>
      </c>
      <c r="S248" s="36" t="s">
        <v>6</v>
      </c>
      <c r="T248" s="36" t="s">
        <v>6</v>
      </c>
      <c r="U248" s="36" t="s">
        <v>6</v>
      </c>
      <c r="V248" s="4" t="s">
        <v>1</v>
      </c>
      <c r="W248" s="4">
        <v>1</v>
      </c>
      <c r="X248" s="4">
        <v>3</v>
      </c>
      <c r="Y248" s="4">
        <v>2</v>
      </c>
      <c r="Z248" s="5">
        <v>3</v>
      </c>
      <c r="AA248" s="4">
        <v>3</v>
      </c>
      <c r="AB248" s="4" t="s">
        <v>6</v>
      </c>
      <c r="AC248" s="4" t="s">
        <v>6</v>
      </c>
      <c r="AD248" s="4" t="s">
        <v>6</v>
      </c>
      <c r="AE248" s="5" t="s">
        <v>6</v>
      </c>
      <c r="AF248" s="4">
        <v>3</v>
      </c>
      <c r="AG248" s="5" t="s">
        <v>6</v>
      </c>
      <c r="AH248" s="4">
        <v>3</v>
      </c>
      <c r="AI248" s="4" t="s">
        <v>6</v>
      </c>
      <c r="AJ248" s="4" t="s">
        <v>6</v>
      </c>
      <c r="AK248" s="4" t="s">
        <v>6</v>
      </c>
      <c r="AL248" s="4" t="s">
        <v>6</v>
      </c>
      <c r="AM248" s="4" t="s">
        <v>6</v>
      </c>
      <c r="AN248" s="5" t="s">
        <v>6</v>
      </c>
    </row>
    <row r="249" spans="1:40" x14ac:dyDescent="0.2">
      <c r="A249" s="15">
        <v>349</v>
      </c>
      <c r="B249" s="36" t="s">
        <v>6</v>
      </c>
      <c r="C249" s="36" t="s">
        <v>6</v>
      </c>
      <c r="D249" s="36" t="s">
        <v>6</v>
      </c>
      <c r="E249" s="36" t="s">
        <v>6</v>
      </c>
      <c r="F249" s="36" t="s">
        <v>6</v>
      </c>
      <c r="G249" s="36" t="s">
        <v>6</v>
      </c>
      <c r="H249" s="36" t="s">
        <v>6</v>
      </c>
      <c r="I249" s="36" t="s">
        <v>6</v>
      </c>
      <c r="J249" s="36" t="s">
        <v>6</v>
      </c>
      <c r="K249" s="36" t="s">
        <v>6</v>
      </c>
      <c r="L249" s="36" t="s">
        <v>6</v>
      </c>
      <c r="M249" s="36" t="s">
        <v>6</v>
      </c>
      <c r="N249" s="36" t="s">
        <v>6</v>
      </c>
      <c r="O249" s="36" t="s">
        <v>6</v>
      </c>
      <c r="P249" s="36" t="s">
        <v>6</v>
      </c>
      <c r="Q249" s="36" t="s">
        <v>6</v>
      </c>
      <c r="R249" s="36" t="s">
        <v>6</v>
      </c>
      <c r="S249" s="36" t="s">
        <v>6</v>
      </c>
      <c r="T249" s="36" t="s">
        <v>6</v>
      </c>
      <c r="U249" s="36" t="s">
        <v>6</v>
      </c>
      <c r="V249" s="4" t="s">
        <v>1</v>
      </c>
      <c r="W249" s="4">
        <v>1</v>
      </c>
      <c r="X249" s="4">
        <v>3</v>
      </c>
      <c r="Y249" s="4">
        <v>2</v>
      </c>
      <c r="Z249" s="5">
        <v>3</v>
      </c>
      <c r="AA249" s="4">
        <v>3</v>
      </c>
      <c r="AB249" s="4" t="s">
        <v>6</v>
      </c>
      <c r="AC249" s="4" t="s">
        <v>6</v>
      </c>
      <c r="AD249" s="4" t="s">
        <v>6</v>
      </c>
      <c r="AE249" s="5" t="s">
        <v>6</v>
      </c>
      <c r="AF249" s="4">
        <v>3</v>
      </c>
      <c r="AG249" s="5" t="s">
        <v>6</v>
      </c>
      <c r="AH249" s="4">
        <v>3</v>
      </c>
      <c r="AI249" s="4" t="s">
        <v>6</v>
      </c>
      <c r="AJ249" s="4" t="s">
        <v>6</v>
      </c>
      <c r="AK249" s="4" t="s">
        <v>6</v>
      </c>
      <c r="AL249" s="4" t="s">
        <v>6</v>
      </c>
      <c r="AM249" s="4" t="s">
        <v>6</v>
      </c>
      <c r="AN249" s="5" t="s">
        <v>6</v>
      </c>
    </row>
    <row r="250" spans="1:40" x14ac:dyDescent="0.2">
      <c r="A250" s="15">
        <v>376</v>
      </c>
      <c r="B250" s="36" t="s">
        <v>6</v>
      </c>
      <c r="C250" s="36" t="s">
        <v>6</v>
      </c>
      <c r="D250" s="36" t="s">
        <v>6</v>
      </c>
      <c r="E250" s="36" t="s">
        <v>6</v>
      </c>
      <c r="F250" s="36" t="s">
        <v>6</v>
      </c>
      <c r="G250" s="36" t="s">
        <v>6</v>
      </c>
      <c r="H250" s="36" t="s">
        <v>6</v>
      </c>
      <c r="I250" s="36" t="s">
        <v>6</v>
      </c>
      <c r="J250" s="36" t="s">
        <v>6</v>
      </c>
      <c r="K250" s="36" t="s">
        <v>6</v>
      </c>
      <c r="L250" s="36" t="s">
        <v>6</v>
      </c>
      <c r="M250" s="36" t="s">
        <v>6</v>
      </c>
      <c r="N250" s="36" t="s">
        <v>6</v>
      </c>
      <c r="O250" s="36" t="s">
        <v>6</v>
      </c>
      <c r="P250" s="36" t="s">
        <v>6</v>
      </c>
      <c r="Q250" s="36" t="s">
        <v>6</v>
      </c>
      <c r="R250" s="36" t="s">
        <v>6</v>
      </c>
      <c r="S250" s="36" t="s">
        <v>6</v>
      </c>
      <c r="T250" s="36" t="s">
        <v>6</v>
      </c>
      <c r="U250" s="36" t="s">
        <v>6</v>
      </c>
      <c r="V250" s="4" t="s">
        <v>1</v>
      </c>
      <c r="W250" s="4">
        <v>1</v>
      </c>
      <c r="X250" s="4">
        <v>3</v>
      </c>
      <c r="Y250" s="4">
        <v>2</v>
      </c>
      <c r="Z250" s="5">
        <v>3</v>
      </c>
      <c r="AA250" s="4">
        <v>3</v>
      </c>
      <c r="AB250" s="4" t="s">
        <v>6</v>
      </c>
      <c r="AC250" s="4" t="s">
        <v>6</v>
      </c>
      <c r="AD250" s="4" t="s">
        <v>6</v>
      </c>
      <c r="AE250" s="5" t="s">
        <v>6</v>
      </c>
      <c r="AF250" s="4">
        <v>3</v>
      </c>
      <c r="AG250" s="5" t="s">
        <v>6</v>
      </c>
      <c r="AH250" s="4">
        <v>3</v>
      </c>
      <c r="AI250" s="4" t="s">
        <v>6</v>
      </c>
      <c r="AJ250" s="4" t="s">
        <v>6</v>
      </c>
      <c r="AK250" s="4" t="s">
        <v>6</v>
      </c>
      <c r="AL250" s="4" t="s">
        <v>6</v>
      </c>
      <c r="AM250" s="4" t="s">
        <v>6</v>
      </c>
      <c r="AN250" s="5" t="s">
        <v>6</v>
      </c>
    </row>
    <row r="251" spans="1:40" x14ac:dyDescent="0.2">
      <c r="A251" s="15">
        <v>381</v>
      </c>
      <c r="B251" s="36" t="s">
        <v>6</v>
      </c>
      <c r="C251" s="36" t="s">
        <v>6</v>
      </c>
      <c r="D251" s="36" t="s">
        <v>6</v>
      </c>
      <c r="E251" s="36" t="s">
        <v>6</v>
      </c>
      <c r="F251" s="36" t="s">
        <v>6</v>
      </c>
      <c r="G251" s="36" t="s">
        <v>6</v>
      </c>
      <c r="H251" s="36" t="s">
        <v>6</v>
      </c>
      <c r="I251" s="36" t="s">
        <v>6</v>
      </c>
      <c r="J251" s="36" t="s">
        <v>6</v>
      </c>
      <c r="K251" s="36" t="s">
        <v>6</v>
      </c>
      <c r="L251" s="36" t="s">
        <v>6</v>
      </c>
      <c r="M251" s="36" t="s">
        <v>6</v>
      </c>
      <c r="N251" s="36" t="s">
        <v>6</v>
      </c>
      <c r="O251" s="36" t="s">
        <v>6</v>
      </c>
      <c r="P251" s="36" t="s">
        <v>6</v>
      </c>
      <c r="Q251" s="36" t="s">
        <v>6</v>
      </c>
      <c r="R251" s="36" t="s">
        <v>6</v>
      </c>
      <c r="S251" s="36" t="s">
        <v>6</v>
      </c>
      <c r="T251" s="36" t="s">
        <v>6</v>
      </c>
      <c r="U251" s="36" t="s">
        <v>6</v>
      </c>
      <c r="V251" s="4" t="s">
        <v>1</v>
      </c>
      <c r="W251" s="4">
        <v>1</v>
      </c>
      <c r="X251" s="4">
        <v>3</v>
      </c>
      <c r="Y251" s="4">
        <v>2</v>
      </c>
      <c r="Z251" s="5">
        <v>3</v>
      </c>
      <c r="AA251" s="4">
        <v>3</v>
      </c>
      <c r="AB251" s="4" t="s">
        <v>6</v>
      </c>
      <c r="AC251" s="4" t="s">
        <v>6</v>
      </c>
      <c r="AD251" s="4" t="s">
        <v>6</v>
      </c>
      <c r="AE251" s="5" t="s">
        <v>6</v>
      </c>
      <c r="AF251" s="4">
        <v>3</v>
      </c>
      <c r="AG251" s="5" t="s">
        <v>6</v>
      </c>
      <c r="AH251" s="4">
        <v>3</v>
      </c>
      <c r="AI251" s="4" t="s">
        <v>6</v>
      </c>
      <c r="AJ251" s="4" t="s">
        <v>6</v>
      </c>
      <c r="AK251" s="4" t="s">
        <v>6</v>
      </c>
      <c r="AL251" s="4" t="s">
        <v>6</v>
      </c>
      <c r="AM251" s="4" t="s">
        <v>6</v>
      </c>
      <c r="AN251" s="5" t="s">
        <v>6</v>
      </c>
    </row>
    <row r="252" spans="1:40" x14ac:dyDescent="0.2">
      <c r="A252" s="15">
        <v>408</v>
      </c>
      <c r="B252" s="36" t="s">
        <v>6</v>
      </c>
      <c r="C252" s="36" t="s">
        <v>6</v>
      </c>
      <c r="D252" s="36" t="s">
        <v>6</v>
      </c>
      <c r="E252" s="36" t="s">
        <v>6</v>
      </c>
      <c r="F252" s="36" t="s">
        <v>6</v>
      </c>
      <c r="G252" s="36" t="s">
        <v>6</v>
      </c>
      <c r="H252" s="36" t="s">
        <v>6</v>
      </c>
      <c r="I252" s="36" t="s">
        <v>6</v>
      </c>
      <c r="J252" s="36" t="s">
        <v>6</v>
      </c>
      <c r="K252" s="36" t="s">
        <v>6</v>
      </c>
      <c r="L252" s="36" t="s">
        <v>6</v>
      </c>
      <c r="M252" s="36" t="s">
        <v>6</v>
      </c>
      <c r="N252" s="36" t="s">
        <v>6</v>
      </c>
      <c r="O252" s="36" t="s">
        <v>6</v>
      </c>
      <c r="P252" s="36" t="s">
        <v>6</v>
      </c>
      <c r="Q252" s="36" t="s">
        <v>6</v>
      </c>
      <c r="R252" s="36" t="s">
        <v>6</v>
      </c>
      <c r="S252" s="36" t="s">
        <v>6</v>
      </c>
      <c r="T252" s="36" t="s">
        <v>6</v>
      </c>
      <c r="U252" s="36" t="s">
        <v>6</v>
      </c>
      <c r="V252" s="4" t="s">
        <v>1</v>
      </c>
      <c r="W252" s="4">
        <v>1</v>
      </c>
      <c r="X252" s="4">
        <v>3</v>
      </c>
      <c r="Y252" s="4">
        <v>2</v>
      </c>
      <c r="Z252" s="5">
        <v>3</v>
      </c>
      <c r="AA252" s="4">
        <v>3</v>
      </c>
      <c r="AB252" s="4" t="s">
        <v>6</v>
      </c>
      <c r="AC252" s="4" t="s">
        <v>6</v>
      </c>
      <c r="AD252" s="4" t="s">
        <v>6</v>
      </c>
      <c r="AE252" s="5" t="s">
        <v>6</v>
      </c>
      <c r="AF252" s="4">
        <v>3</v>
      </c>
      <c r="AG252" s="5" t="s">
        <v>6</v>
      </c>
      <c r="AH252" s="4">
        <v>3</v>
      </c>
      <c r="AI252" s="4" t="s">
        <v>6</v>
      </c>
      <c r="AJ252" s="4" t="s">
        <v>6</v>
      </c>
      <c r="AK252" s="4" t="s">
        <v>6</v>
      </c>
      <c r="AL252" s="4" t="s">
        <v>6</v>
      </c>
      <c r="AM252" s="4" t="s">
        <v>6</v>
      </c>
      <c r="AN252" s="5" t="s">
        <v>6</v>
      </c>
    </row>
    <row r="253" spans="1:40" x14ac:dyDescent="0.2">
      <c r="A253" s="15">
        <v>409</v>
      </c>
      <c r="B253" s="36" t="s">
        <v>6</v>
      </c>
      <c r="C253" s="36" t="s">
        <v>6</v>
      </c>
      <c r="D253" s="36" t="s">
        <v>6</v>
      </c>
      <c r="E253" s="36" t="s">
        <v>6</v>
      </c>
      <c r="F253" s="36" t="s">
        <v>6</v>
      </c>
      <c r="G253" s="36" t="s">
        <v>6</v>
      </c>
      <c r="H253" s="36" t="s">
        <v>6</v>
      </c>
      <c r="I253" s="36" t="s">
        <v>6</v>
      </c>
      <c r="J253" s="36" t="s">
        <v>6</v>
      </c>
      <c r="K253" s="36" t="s">
        <v>6</v>
      </c>
      <c r="L253" s="36" t="s">
        <v>6</v>
      </c>
      <c r="M253" s="36" t="s">
        <v>6</v>
      </c>
      <c r="N253" s="36" t="s">
        <v>6</v>
      </c>
      <c r="O253" s="36" t="s">
        <v>6</v>
      </c>
      <c r="P253" s="36" t="s">
        <v>6</v>
      </c>
      <c r="Q253" s="36" t="s">
        <v>6</v>
      </c>
      <c r="R253" s="36" t="s">
        <v>6</v>
      </c>
      <c r="S253" s="36" t="s">
        <v>6</v>
      </c>
      <c r="T253" s="36" t="s">
        <v>6</v>
      </c>
      <c r="U253" s="36" t="s">
        <v>6</v>
      </c>
      <c r="V253" s="4" t="s">
        <v>1</v>
      </c>
      <c r="W253" s="4">
        <v>1</v>
      </c>
      <c r="X253" s="4">
        <v>3</v>
      </c>
      <c r="Y253" s="4">
        <v>2</v>
      </c>
      <c r="Z253" s="5">
        <v>3</v>
      </c>
      <c r="AA253" s="4">
        <v>3</v>
      </c>
      <c r="AB253" s="4" t="s">
        <v>6</v>
      </c>
      <c r="AC253" s="4" t="s">
        <v>6</v>
      </c>
      <c r="AD253" s="4" t="s">
        <v>6</v>
      </c>
      <c r="AE253" s="5" t="s">
        <v>6</v>
      </c>
      <c r="AF253" s="4">
        <v>3</v>
      </c>
      <c r="AG253" s="5" t="s">
        <v>6</v>
      </c>
      <c r="AH253" s="4">
        <v>3</v>
      </c>
      <c r="AI253" s="4" t="s">
        <v>6</v>
      </c>
      <c r="AJ253" s="4" t="s">
        <v>6</v>
      </c>
      <c r="AK253" s="4" t="s">
        <v>6</v>
      </c>
      <c r="AL253" s="4" t="s">
        <v>6</v>
      </c>
      <c r="AM253" s="4" t="s">
        <v>6</v>
      </c>
      <c r="AN253" s="5" t="s">
        <v>6</v>
      </c>
    </row>
    <row r="254" spans="1:40" x14ac:dyDescent="0.2">
      <c r="A254" s="15">
        <v>419</v>
      </c>
      <c r="B254" s="36" t="s">
        <v>6</v>
      </c>
      <c r="C254" s="36" t="s">
        <v>6</v>
      </c>
      <c r="D254" s="36" t="s">
        <v>6</v>
      </c>
      <c r="E254" s="36" t="s">
        <v>6</v>
      </c>
      <c r="F254" s="36" t="s">
        <v>6</v>
      </c>
      <c r="G254" s="36" t="s">
        <v>6</v>
      </c>
      <c r="H254" s="36" t="s">
        <v>6</v>
      </c>
      <c r="I254" s="36" t="s">
        <v>6</v>
      </c>
      <c r="J254" s="36" t="s">
        <v>6</v>
      </c>
      <c r="K254" s="36" t="s">
        <v>6</v>
      </c>
      <c r="L254" s="36" t="s">
        <v>6</v>
      </c>
      <c r="M254" s="36" t="s">
        <v>6</v>
      </c>
      <c r="N254" s="36" t="s">
        <v>6</v>
      </c>
      <c r="O254" s="36" t="s">
        <v>6</v>
      </c>
      <c r="P254" s="36" t="s">
        <v>6</v>
      </c>
      <c r="Q254" s="36" t="s">
        <v>6</v>
      </c>
      <c r="R254" s="36" t="s">
        <v>6</v>
      </c>
      <c r="S254" s="36" t="s">
        <v>6</v>
      </c>
      <c r="T254" s="36" t="s">
        <v>6</v>
      </c>
      <c r="U254" s="36" t="s">
        <v>6</v>
      </c>
      <c r="V254" s="4" t="s">
        <v>1</v>
      </c>
      <c r="W254" s="4">
        <v>1</v>
      </c>
      <c r="X254" s="4">
        <v>3</v>
      </c>
      <c r="Y254" s="4">
        <v>2</v>
      </c>
      <c r="Z254" s="5">
        <v>3</v>
      </c>
      <c r="AA254" s="4">
        <v>3</v>
      </c>
      <c r="AB254" s="4" t="s">
        <v>6</v>
      </c>
      <c r="AC254" s="4" t="s">
        <v>6</v>
      </c>
      <c r="AD254" s="4" t="s">
        <v>6</v>
      </c>
      <c r="AE254" s="5" t="s">
        <v>6</v>
      </c>
      <c r="AF254" s="4">
        <v>3</v>
      </c>
      <c r="AG254" s="5" t="s">
        <v>6</v>
      </c>
      <c r="AH254" s="4">
        <v>3</v>
      </c>
      <c r="AI254" s="4" t="s">
        <v>6</v>
      </c>
      <c r="AJ254" s="4" t="s">
        <v>6</v>
      </c>
      <c r="AK254" s="4" t="s">
        <v>6</v>
      </c>
      <c r="AL254" s="4" t="s">
        <v>6</v>
      </c>
      <c r="AM254" s="4" t="s">
        <v>6</v>
      </c>
      <c r="AN254" s="5" t="s">
        <v>6</v>
      </c>
    </row>
    <row r="255" spans="1:40" x14ac:dyDescent="0.2">
      <c r="A255" s="15">
        <v>474</v>
      </c>
      <c r="B255" s="36" t="s">
        <v>6</v>
      </c>
      <c r="C255" s="36" t="s">
        <v>6</v>
      </c>
      <c r="D255" s="36" t="s">
        <v>6</v>
      </c>
      <c r="E255" s="36" t="s">
        <v>6</v>
      </c>
      <c r="F255" s="36" t="s">
        <v>6</v>
      </c>
      <c r="G255" s="36" t="s">
        <v>6</v>
      </c>
      <c r="H255" s="36" t="s">
        <v>6</v>
      </c>
      <c r="I255" s="36" t="s">
        <v>6</v>
      </c>
      <c r="J255" s="36" t="s">
        <v>6</v>
      </c>
      <c r="K255" s="36" t="s">
        <v>6</v>
      </c>
      <c r="L255" s="36" t="s">
        <v>6</v>
      </c>
      <c r="M255" s="36" t="s">
        <v>6</v>
      </c>
      <c r="N255" s="36" t="s">
        <v>6</v>
      </c>
      <c r="O255" s="36" t="s">
        <v>6</v>
      </c>
      <c r="P255" s="36" t="s">
        <v>6</v>
      </c>
      <c r="Q255" s="36" t="s">
        <v>6</v>
      </c>
      <c r="R255" s="36" t="s">
        <v>6</v>
      </c>
      <c r="S255" s="36" t="s">
        <v>6</v>
      </c>
      <c r="T255" s="36" t="s">
        <v>6</v>
      </c>
      <c r="U255" s="36" t="s">
        <v>6</v>
      </c>
      <c r="V255" s="4" t="s">
        <v>1</v>
      </c>
      <c r="W255" s="4">
        <v>1</v>
      </c>
      <c r="X255" s="4">
        <v>3</v>
      </c>
      <c r="Y255" s="4">
        <v>2</v>
      </c>
      <c r="Z255" s="5">
        <v>3</v>
      </c>
      <c r="AA255" s="4">
        <v>3</v>
      </c>
      <c r="AB255" s="4" t="s">
        <v>6</v>
      </c>
      <c r="AC255" s="4" t="s">
        <v>6</v>
      </c>
      <c r="AD255" s="4" t="s">
        <v>6</v>
      </c>
      <c r="AE255" s="5" t="s">
        <v>6</v>
      </c>
      <c r="AF255" s="4">
        <v>3</v>
      </c>
      <c r="AG255" s="5" t="s">
        <v>6</v>
      </c>
      <c r="AH255" s="4">
        <v>3</v>
      </c>
      <c r="AI255" s="4" t="s">
        <v>6</v>
      </c>
      <c r="AJ255" s="4" t="s">
        <v>6</v>
      </c>
      <c r="AK255" s="4" t="s">
        <v>6</v>
      </c>
      <c r="AL255" s="4" t="s">
        <v>6</v>
      </c>
      <c r="AM255" s="4" t="s">
        <v>6</v>
      </c>
      <c r="AN255" s="5" t="s">
        <v>6</v>
      </c>
    </row>
    <row r="256" spans="1:40" x14ac:dyDescent="0.2">
      <c r="A256" s="15">
        <v>476</v>
      </c>
      <c r="B256" s="36" t="s">
        <v>6</v>
      </c>
      <c r="C256" s="36" t="s">
        <v>6</v>
      </c>
      <c r="D256" s="36" t="s">
        <v>6</v>
      </c>
      <c r="E256" s="36" t="s">
        <v>6</v>
      </c>
      <c r="F256" s="36" t="s">
        <v>6</v>
      </c>
      <c r="G256" s="36" t="s">
        <v>6</v>
      </c>
      <c r="H256" s="36" t="s">
        <v>6</v>
      </c>
      <c r="I256" s="36" t="s">
        <v>6</v>
      </c>
      <c r="J256" s="36" t="s">
        <v>6</v>
      </c>
      <c r="K256" s="36" t="s">
        <v>6</v>
      </c>
      <c r="L256" s="36" t="s">
        <v>6</v>
      </c>
      <c r="M256" s="36" t="s">
        <v>6</v>
      </c>
      <c r="N256" s="36" t="s">
        <v>6</v>
      </c>
      <c r="O256" s="36" t="s">
        <v>6</v>
      </c>
      <c r="P256" s="36" t="s">
        <v>6</v>
      </c>
      <c r="Q256" s="36" t="s">
        <v>6</v>
      </c>
      <c r="R256" s="36" t="s">
        <v>6</v>
      </c>
      <c r="S256" s="36" t="s">
        <v>6</v>
      </c>
      <c r="T256" s="36" t="s">
        <v>6</v>
      </c>
      <c r="U256" s="36" t="s">
        <v>6</v>
      </c>
      <c r="V256" s="4" t="s">
        <v>1</v>
      </c>
      <c r="W256" s="4">
        <v>1</v>
      </c>
      <c r="X256" s="4">
        <v>3</v>
      </c>
      <c r="Y256" s="4">
        <v>2</v>
      </c>
      <c r="Z256" s="5">
        <v>3</v>
      </c>
      <c r="AA256" s="4">
        <v>3</v>
      </c>
      <c r="AB256" s="4" t="s">
        <v>6</v>
      </c>
      <c r="AC256" s="4" t="s">
        <v>6</v>
      </c>
      <c r="AD256" s="4" t="s">
        <v>6</v>
      </c>
      <c r="AE256" s="5" t="s">
        <v>6</v>
      </c>
      <c r="AF256" s="4">
        <v>3</v>
      </c>
      <c r="AG256" s="5" t="s">
        <v>6</v>
      </c>
      <c r="AH256" s="4">
        <v>3</v>
      </c>
      <c r="AI256" s="4" t="s">
        <v>6</v>
      </c>
      <c r="AJ256" s="4" t="s">
        <v>6</v>
      </c>
      <c r="AK256" s="4" t="s">
        <v>6</v>
      </c>
      <c r="AL256" s="4" t="s">
        <v>6</v>
      </c>
      <c r="AM256" s="4" t="s">
        <v>6</v>
      </c>
      <c r="AN256" s="5" t="s">
        <v>6</v>
      </c>
    </row>
    <row r="257" spans="1:40" x14ac:dyDescent="0.2">
      <c r="A257" s="15">
        <v>483</v>
      </c>
      <c r="B257" s="36" t="s">
        <v>6</v>
      </c>
      <c r="C257" s="36" t="s">
        <v>6</v>
      </c>
      <c r="D257" s="36" t="s">
        <v>6</v>
      </c>
      <c r="E257" s="36" t="s">
        <v>6</v>
      </c>
      <c r="F257" s="36" t="s">
        <v>6</v>
      </c>
      <c r="G257" s="36" t="s">
        <v>6</v>
      </c>
      <c r="H257" s="36" t="s">
        <v>6</v>
      </c>
      <c r="I257" s="36" t="s">
        <v>6</v>
      </c>
      <c r="J257" s="36" t="s">
        <v>6</v>
      </c>
      <c r="K257" s="36" t="s">
        <v>6</v>
      </c>
      <c r="L257" s="36" t="s">
        <v>6</v>
      </c>
      <c r="M257" s="36" t="s">
        <v>6</v>
      </c>
      <c r="N257" s="36" t="s">
        <v>6</v>
      </c>
      <c r="O257" s="36" t="s">
        <v>6</v>
      </c>
      <c r="P257" s="36" t="s">
        <v>6</v>
      </c>
      <c r="Q257" s="36" t="s">
        <v>6</v>
      </c>
      <c r="R257" s="36" t="s">
        <v>6</v>
      </c>
      <c r="S257" s="36" t="s">
        <v>6</v>
      </c>
      <c r="T257" s="36" t="s">
        <v>6</v>
      </c>
      <c r="U257" s="36" t="s">
        <v>6</v>
      </c>
      <c r="V257" s="4" t="s">
        <v>1</v>
      </c>
      <c r="W257" s="4">
        <v>1</v>
      </c>
      <c r="X257" s="4">
        <v>3</v>
      </c>
      <c r="Y257" s="4">
        <v>2</v>
      </c>
      <c r="Z257" s="5">
        <v>3</v>
      </c>
      <c r="AA257" s="4">
        <v>3</v>
      </c>
      <c r="AB257" s="4" t="s">
        <v>6</v>
      </c>
      <c r="AC257" s="4" t="s">
        <v>6</v>
      </c>
      <c r="AD257" s="4" t="s">
        <v>6</v>
      </c>
      <c r="AE257" s="5" t="s">
        <v>6</v>
      </c>
      <c r="AF257" s="4">
        <v>3</v>
      </c>
      <c r="AG257" s="5" t="s">
        <v>6</v>
      </c>
      <c r="AH257" s="4">
        <v>3</v>
      </c>
      <c r="AI257" s="4" t="s">
        <v>6</v>
      </c>
      <c r="AJ257" s="4" t="s">
        <v>6</v>
      </c>
      <c r="AK257" s="4" t="s">
        <v>6</v>
      </c>
      <c r="AL257" s="4" t="s">
        <v>6</v>
      </c>
      <c r="AM257" s="4" t="s">
        <v>6</v>
      </c>
      <c r="AN257" s="5" t="s">
        <v>6</v>
      </c>
    </row>
    <row r="258" spans="1:40" x14ac:dyDescent="0.2">
      <c r="A258" s="15">
        <v>495</v>
      </c>
      <c r="B258" s="36" t="s">
        <v>6</v>
      </c>
      <c r="C258" s="36" t="s">
        <v>6</v>
      </c>
      <c r="D258" s="36" t="s">
        <v>6</v>
      </c>
      <c r="E258" s="36" t="s">
        <v>6</v>
      </c>
      <c r="F258" s="36" t="s">
        <v>6</v>
      </c>
      <c r="G258" s="36" t="s">
        <v>6</v>
      </c>
      <c r="H258" s="36" t="s">
        <v>6</v>
      </c>
      <c r="I258" s="36" t="s">
        <v>6</v>
      </c>
      <c r="J258" s="36" t="s">
        <v>6</v>
      </c>
      <c r="K258" s="36" t="s">
        <v>6</v>
      </c>
      <c r="L258" s="36" t="s">
        <v>6</v>
      </c>
      <c r="M258" s="36" t="s">
        <v>6</v>
      </c>
      <c r="N258" s="36" t="s">
        <v>6</v>
      </c>
      <c r="O258" s="36" t="s">
        <v>6</v>
      </c>
      <c r="P258" s="36" t="s">
        <v>6</v>
      </c>
      <c r="Q258" s="36" t="s">
        <v>6</v>
      </c>
      <c r="R258" s="36" t="s">
        <v>6</v>
      </c>
      <c r="S258" s="36" t="s">
        <v>6</v>
      </c>
      <c r="T258" s="36" t="s">
        <v>6</v>
      </c>
      <c r="U258" s="36" t="s">
        <v>6</v>
      </c>
      <c r="V258" s="4" t="s">
        <v>1</v>
      </c>
      <c r="W258" s="4">
        <v>1</v>
      </c>
      <c r="X258" s="4">
        <v>3</v>
      </c>
      <c r="Y258" s="4">
        <v>2</v>
      </c>
      <c r="Z258" s="5">
        <v>3</v>
      </c>
      <c r="AA258" s="4">
        <v>3</v>
      </c>
      <c r="AB258" s="4" t="s">
        <v>6</v>
      </c>
      <c r="AC258" s="4" t="s">
        <v>6</v>
      </c>
      <c r="AD258" s="4" t="s">
        <v>6</v>
      </c>
      <c r="AE258" s="5" t="s">
        <v>6</v>
      </c>
      <c r="AF258" s="4">
        <v>3</v>
      </c>
      <c r="AG258" s="5" t="s">
        <v>6</v>
      </c>
      <c r="AH258" s="4">
        <v>3</v>
      </c>
      <c r="AI258" s="4" t="s">
        <v>6</v>
      </c>
      <c r="AJ258" s="4" t="s">
        <v>6</v>
      </c>
      <c r="AK258" s="4" t="s">
        <v>6</v>
      </c>
      <c r="AL258" s="4" t="s">
        <v>6</v>
      </c>
      <c r="AM258" s="4" t="s">
        <v>6</v>
      </c>
      <c r="AN258" s="5" t="s">
        <v>6</v>
      </c>
    </row>
    <row r="259" spans="1:40" x14ac:dyDescent="0.2">
      <c r="A259" s="15">
        <v>520</v>
      </c>
      <c r="B259" s="36" t="s">
        <v>6</v>
      </c>
      <c r="C259" s="36" t="s">
        <v>6</v>
      </c>
      <c r="D259" s="36" t="s">
        <v>6</v>
      </c>
      <c r="E259" s="36" t="s">
        <v>6</v>
      </c>
      <c r="F259" s="36" t="s">
        <v>6</v>
      </c>
      <c r="G259" s="36" t="s">
        <v>6</v>
      </c>
      <c r="H259" s="36" t="s">
        <v>6</v>
      </c>
      <c r="I259" s="36" t="s">
        <v>6</v>
      </c>
      <c r="J259" s="36" t="s">
        <v>6</v>
      </c>
      <c r="K259" s="36" t="s">
        <v>6</v>
      </c>
      <c r="L259" s="36" t="s">
        <v>6</v>
      </c>
      <c r="M259" s="36" t="s">
        <v>6</v>
      </c>
      <c r="N259" s="36" t="s">
        <v>6</v>
      </c>
      <c r="O259" s="36" t="s">
        <v>6</v>
      </c>
      <c r="P259" s="36" t="s">
        <v>6</v>
      </c>
      <c r="Q259" s="36" t="s">
        <v>6</v>
      </c>
      <c r="R259" s="36" t="s">
        <v>6</v>
      </c>
      <c r="S259" s="36" t="s">
        <v>6</v>
      </c>
      <c r="T259" s="36" t="s">
        <v>6</v>
      </c>
      <c r="U259" s="36" t="s">
        <v>6</v>
      </c>
      <c r="V259" s="4" t="s">
        <v>1</v>
      </c>
      <c r="W259" s="4">
        <v>1</v>
      </c>
      <c r="X259" s="4">
        <v>3</v>
      </c>
      <c r="Y259" s="4">
        <v>2</v>
      </c>
      <c r="Z259" s="5">
        <v>3</v>
      </c>
      <c r="AA259" s="4">
        <v>3</v>
      </c>
      <c r="AB259" s="4" t="s">
        <v>6</v>
      </c>
      <c r="AC259" s="4" t="s">
        <v>6</v>
      </c>
      <c r="AD259" s="4" t="s">
        <v>6</v>
      </c>
      <c r="AE259" s="5" t="s">
        <v>6</v>
      </c>
      <c r="AF259" s="4">
        <v>3</v>
      </c>
      <c r="AG259" s="5" t="s">
        <v>6</v>
      </c>
      <c r="AH259" s="4">
        <v>3</v>
      </c>
      <c r="AI259" s="4" t="s">
        <v>6</v>
      </c>
      <c r="AJ259" s="4" t="s">
        <v>6</v>
      </c>
      <c r="AK259" s="4" t="s">
        <v>6</v>
      </c>
      <c r="AL259" s="4" t="s">
        <v>6</v>
      </c>
      <c r="AM259" s="4" t="s">
        <v>6</v>
      </c>
      <c r="AN259" s="5" t="s">
        <v>6</v>
      </c>
    </row>
    <row r="260" spans="1:40" x14ac:dyDescent="0.2">
      <c r="A260" s="15">
        <v>528</v>
      </c>
      <c r="B260" s="36" t="s">
        <v>6</v>
      </c>
      <c r="C260" s="36" t="s">
        <v>6</v>
      </c>
      <c r="D260" s="36" t="s">
        <v>6</v>
      </c>
      <c r="E260" s="36" t="s">
        <v>6</v>
      </c>
      <c r="F260" s="36" t="s">
        <v>6</v>
      </c>
      <c r="G260" s="36" t="s">
        <v>6</v>
      </c>
      <c r="H260" s="36" t="s">
        <v>6</v>
      </c>
      <c r="I260" s="36" t="s">
        <v>6</v>
      </c>
      <c r="J260" s="36" t="s">
        <v>6</v>
      </c>
      <c r="K260" s="36" t="s">
        <v>6</v>
      </c>
      <c r="L260" s="36" t="s">
        <v>6</v>
      </c>
      <c r="M260" s="36" t="s">
        <v>6</v>
      </c>
      <c r="N260" s="36" t="s">
        <v>6</v>
      </c>
      <c r="O260" s="36" t="s">
        <v>6</v>
      </c>
      <c r="P260" s="36" t="s">
        <v>6</v>
      </c>
      <c r="Q260" s="36" t="s">
        <v>6</v>
      </c>
      <c r="R260" s="36" t="s">
        <v>6</v>
      </c>
      <c r="S260" s="36" t="s">
        <v>6</v>
      </c>
      <c r="T260" s="36" t="s">
        <v>6</v>
      </c>
      <c r="U260" s="36" t="s">
        <v>6</v>
      </c>
      <c r="V260" s="4" t="s">
        <v>1</v>
      </c>
      <c r="W260" s="4">
        <v>1</v>
      </c>
      <c r="X260" s="4">
        <v>3</v>
      </c>
      <c r="Y260" s="4">
        <v>2</v>
      </c>
      <c r="Z260" s="5">
        <v>3</v>
      </c>
      <c r="AA260" s="4">
        <v>3</v>
      </c>
      <c r="AB260" s="4" t="s">
        <v>6</v>
      </c>
      <c r="AC260" s="4" t="s">
        <v>6</v>
      </c>
      <c r="AD260" s="4" t="s">
        <v>6</v>
      </c>
      <c r="AE260" s="5" t="s">
        <v>6</v>
      </c>
      <c r="AF260" s="4">
        <v>3</v>
      </c>
      <c r="AG260" s="5" t="s">
        <v>6</v>
      </c>
      <c r="AH260" s="4">
        <v>3</v>
      </c>
      <c r="AI260" s="4" t="s">
        <v>6</v>
      </c>
      <c r="AJ260" s="4" t="s">
        <v>6</v>
      </c>
      <c r="AK260" s="4" t="s">
        <v>6</v>
      </c>
      <c r="AL260" s="4" t="s">
        <v>6</v>
      </c>
      <c r="AM260" s="4" t="s">
        <v>6</v>
      </c>
      <c r="AN260" s="5" t="s">
        <v>6</v>
      </c>
    </row>
    <row r="261" spans="1:40" x14ac:dyDescent="0.2">
      <c r="A261" s="15">
        <v>532</v>
      </c>
      <c r="B261" s="36" t="s">
        <v>6</v>
      </c>
      <c r="C261" s="36" t="s">
        <v>6</v>
      </c>
      <c r="D261" s="36" t="s">
        <v>6</v>
      </c>
      <c r="E261" s="36" t="s">
        <v>6</v>
      </c>
      <c r="F261" s="36" t="s">
        <v>6</v>
      </c>
      <c r="G261" s="36" t="s">
        <v>6</v>
      </c>
      <c r="H261" s="36" t="s">
        <v>6</v>
      </c>
      <c r="I261" s="36" t="s">
        <v>6</v>
      </c>
      <c r="J261" s="36" t="s">
        <v>6</v>
      </c>
      <c r="K261" s="36" t="s">
        <v>6</v>
      </c>
      <c r="L261" s="36" t="s">
        <v>6</v>
      </c>
      <c r="M261" s="36" t="s">
        <v>6</v>
      </c>
      <c r="N261" s="36" t="s">
        <v>6</v>
      </c>
      <c r="O261" s="36" t="s">
        <v>6</v>
      </c>
      <c r="P261" s="36" t="s">
        <v>6</v>
      </c>
      <c r="Q261" s="36" t="s">
        <v>6</v>
      </c>
      <c r="R261" s="36" t="s">
        <v>6</v>
      </c>
      <c r="S261" s="36" t="s">
        <v>6</v>
      </c>
      <c r="T261" s="36" t="s">
        <v>6</v>
      </c>
      <c r="U261" s="36" t="s">
        <v>6</v>
      </c>
      <c r="V261" s="4" t="s">
        <v>1</v>
      </c>
      <c r="W261" s="4">
        <v>1</v>
      </c>
      <c r="X261" s="4">
        <v>3</v>
      </c>
      <c r="Y261" s="4">
        <v>2</v>
      </c>
      <c r="Z261" s="5">
        <v>3</v>
      </c>
      <c r="AA261" s="4">
        <v>3</v>
      </c>
      <c r="AB261" s="4" t="s">
        <v>6</v>
      </c>
      <c r="AC261" s="4" t="s">
        <v>6</v>
      </c>
      <c r="AD261" s="4" t="s">
        <v>6</v>
      </c>
      <c r="AE261" s="5" t="s">
        <v>6</v>
      </c>
      <c r="AF261" s="4">
        <v>3</v>
      </c>
      <c r="AG261" s="5" t="s">
        <v>6</v>
      </c>
      <c r="AH261" s="4">
        <v>3</v>
      </c>
      <c r="AI261" s="4" t="s">
        <v>6</v>
      </c>
      <c r="AJ261" s="4" t="s">
        <v>6</v>
      </c>
      <c r="AK261" s="4" t="s">
        <v>6</v>
      </c>
      <c r="AL261" s="4" t="s">
        <v>6</v>
      </c>
      <c r="AM261" s="4" t="s">
        <v>6</v>
      </c>
      <c r="AN261" s="5" t="s">
        <v>6</v>
      </c>
    </row>
    <row r="262" spans="1:40" x14ac:dyDescent="0.2">
      <c r="A262" s="15">
        <v>543</v>
      </c>
      <c r="B262" s="36" t="s">
        <v>6</v>
      </c>
      <c r="C262" s="36" t="s">
        <v>6</v>
      </c>
      <c r="D262" s="36" t="s">
        <v>6</v>
      </c>
      <c r="E262" s="36" t="s">
        <v>6</v>
      </c>
      <c r="F262" s="36" t="s">
        <v>6</v>
      </c>
      <c r="G262" s="36" t="s">
        <v>6</v>
      </c>
      <c r="H262" s="36" t="s">
        <v>6</v>
      </c>
      <c r="I262" s="36" t="s">
        <v>6</v>
      </c>
      <c r="J262" s="36" t="s">
        <v>6</v>
      </c>
      <c r="K262" s="36" t="s">
        <v>6</v>
      </c>
      <c r="L262" s="36" t="s">
        <v>6</v>
      </c>
      <c r="M262" s="36" t="s">
        <v>6</v>
      </c>
      <c r="N262" s="36" t="s">
        <v>6</v>
      </c>
      <c r="O262" s="36" t="s">
        <v>6</v>
      </c>
      <c r="P262" s="36" t="s">
        <v>6</v>
      </c>
      <c r="Q262" s="36" t="s">
        <v>6</v>
      </c>
      <c r="R262" s="36" t="s">
        <v>6</v>
      </c>
      <c r="S262" s="36" t="s">
        <v>6</v>
      </c>
      <c r="T262" s="36" t="s">
        <v>6</v>
      </c>
      <c r="U262" s="36" t="s">
        <v>6</v>
      </c>
      <c r="V262" s="4" t="s">
        <v>1</v>
      </c>
      <c r="W262" s="4">
        <v>1</v>
      </c>
      <c r="X262" s="4">
        <v>3</v>
      </c>
      <c r="Y262" s="4">
        <v>2</v>
      </c>
      <c r="Z262" s="5">
        <v>3</v>
      </c>
      <c r="AA262" s="4">
        <v>3</v>
      </c>
      <c r="AB262" s="4" t="s">
        <v>6</v>
      </c>
      <c r="AC262" s="4" t="s">
        <v>6</v>
      </c>
      <c r="AD262" s="4" t="s">
        <v>6</v>
      </c>
      <c r="AE262" s="5" t="s">
        <v>6</v>
      </c>
      <c r="AF262" s="4">
        <v>3</v>
      </c>
      <c r="AG262" s="5" t="s">
        <v>6</v>
      </c>
      <c r="AH262" s="4">
        <v>3</v>
      </c>
      <c r="AI262" s="4" t="s">
        <v>6</v>
      </c>
      <c r="AJ262" s="4" t="s">
        <v>6</v>
      </c>
      <c r="AK262" s="4" t="s">
        <v>6</v>
      </c>
      <c r="AL262" s="4" t="s">
        <v>6</v>
      </c>
      <c r="AM262" s="4" t="s">
        <v>6</v>
      </c>
      <c r="AN262" s="5" t="s">
        <v>6</v>
      </c>
    </row>
    <row r="263" spans="1:40" x14ac:dyDescent="0.2">
      <c r="A263" s="15">
        <v>567</v>
      </c>
      <c r="B263" s="36" t="s">
        <v>6</v>
      </c>
      <c r="C263" s="36" t="s">
        <v>6</v>
      </c>
      <c r="D263" s="36" t="s">
        <v>6</v>
      </c>
      <c r="E263" s="36" t="s">
        <v>6</v>
      </c>
      <c r="F263" s="36" t="s">
        <v>6</v>
      </c>
      <c r="G263" s="36" t="s">
        <v>6</v>
      </c>
      <c r="H263" s="36" t="s">
        <v>6</v>
      </c>
      <c r="I263" s="36" t="s">
        <v>6</v>
      </c>
      <c r="J263" s="36" t="s">
        <v>6</v>
      </c>
      <c r="K263" s="36" t="s">
        <v>6</v>
      </c>
      <c r="L263" s="36" t="s">
        <v>6</v>
      </c>
      <c r="M263" s="36" t="s">
        <v>6</v>
      </c>
      <c r="N263" s="36" t="s">
        <v>6</v>
      </c>
      <c r="O263" s="36" t="s">
        <v>6</v>
      </c>
      <c r="P263" s="36" t="s">
        <v>6</v>
      </c>
      <c r="Q263" s="36" t="s">
        <v>6</v>
      </c>
      <c r="R263" s="36" t="s">
        <v>6</v>
      </c>
      <c r="S263" s="36" t="s">
        <v>6</v>
      </c>
      <c r="T263" s="36" t="s">
        <v>6</v>
      </c>
      <c r="U263" s="36" t="s">
        <v>6</v>
      </c>
      <c r="V263" s="4" t="s">
        <v>1</v>
      </c>
      <c r="W263" s="4">
        <v>1</v>
      </c>
      <c r="X263" s="4">
        <v>3</v>
      </c>
      <c r="Y263" s="4">
        <v>2</v>
      </c>
      <c r="Z263" s="5">
        <v>3</v>
      </c>
      <c r="AA263" s="4">
        <v>3</v>
      </c>
      <c r="AB263" s="4" t="s">
        <v>6</v>
      </c>
      <c r="AC263" s="4" t="s">
        <v>6</v>
      </c>
      <c r="AD263" s="4" t="s">
        <v>6</v>
      </c>
      <c r="AE263" s="5" t="s">
        <v>6</v>
      </c>
      <c r="AF263" s="4">
        <v>3</v>
      </c>
      <c r="AG263" s="5" t="s">
        <v>6</v>
      </c>
      <c r="AH263" s="4">
        <v>3</v>
      </c>
      <c r="AI263" s="4" t="s">
        <v>6</v>
      </c>
      <c r="AJ263" s="4" t="s">
        <v>6</v>
      </c>
      <c r="AK263" s="4" t="s">
        <v>6</v>
      </c>
      <c r="AL263" s="4" t="s">
        <v>6</v>
      </c>
      <c r="AM263" s="4" t="s">
        <v>6</v>
      </c>
      <c r="AN263" s="5" t="s">
        <v>6</v>
      </c>
    </row>
    <row r="264" spans="1:40" x14ac:dyDescent="0.2">
      <c r="A264" s="15">
        <v>580</v>
      </c>
      <c r="B264" s="36" t="s">
        <v>6</v>
      </c>
      <c r="C264" s="36" t="s">
        <v>6</v>
      </c>
      <c r="D264" s="36" t="s">
        <v>6</v>
      </c>
      <c r="E264" s="36" t="s">
        <v>6</v>
      </c>
      <c r="F264" s="36" t="s">
        <v>6</v>
      </c>
      <c r="G264" s="36" t="s">
        <v>6</v>
      </c>
      <c r="H264" s="36" t="s">
        <v>6</v>
      </c>
      <c r="I264" s="36" t="s">
        <v>6</v>
      </c>
      <c r="J264" s="36" t="s">
        <v>6</v>
      </c>
      <c r="K264" s="36" t="s">
        <v>6</v>
      </c>
      <c r="L264" s="36" t="s">
        <v>6</v>
      </c>
      <c r="M264" s="36" t="s">
        <v>6</v>
      </c>
      <c r="N264" s="36" t="s">
        <v>6</v>
      </c>
      <c r="O264" s="36" t="s">
        <v>6</v>
      </c>
      <c r="P264" s="36" t="s">
        <v>6</v>
      </c>
      <c r="Q264" s="36" t="s">
        <v>6</v>
      </c>
      <c r="R264" s="36" t="s">
        <v>6</v>
      </c>
      <c r="S264" s="36" t="s">
        <v>6</v>
      </c>
      <c r="T264" s="36" t="s">
        <v>6</v>
      </c>
      <c r="U264" s="36" t="s">
        <v>6</v>
      </c>
      <c r="V264" s="4" t="s">
        <v>1</v>
      </c>
      <c r="W264" s="4">
        <v>1</v>
      </c>
      <c r="X264" s="4">
        <v>3</v>
      </c>
      <c r="Y264" s="4">
        <v>2</v>
      </c>
      <c r="Z264" s="5">
        <v>3</v>
      </c>
      <c r="AA264" s="4">
        <v>3</v>
      </c>
      <c r="AB264" s="4" t="s">
        <v>6</v>
      </c>
      <c r="AC264" s="4" t="s">
        <v>6</v>
      </c>
      <c r="AD264" s="4" t="s">
        <v>6</v>
      </c>
      <c r="AE264" s="5" t="s">
        <v>6</v>
      </c>
      <c r="AF264" s="4">
        <v>3</v>
      </c>
      <c r="AG264" s="5" t="s">
        <v>6</v>
      </c>
      <c r="AH264" s="4">
        <v>3</v>
      </c>
      <c r="AI264" s="4" t="s">
        <v>6</v>
      </c>
      <c r="AJ264" s="4" t="s">
        <v>6</v>
      </c>
      <c r="AK264" s="4" t="s">
        <v>6</v>
      </c>
      <c r="AL264" s="4" t="s">
        <v>6</v>
      </c>
      <c r="AM264" s="4" t="s">
        <v>6</v>
      </c>
      <c r="AN264" s="5" t="s">
        <v>6</v>
      </c>
    </row>
    <row r="265" spans="1:40" x14ac:dyDescent="0.2">
      <c r="A265" s="15">
        <v>584</v>
      </c>
      <c r="B265" s="36" t="s">
        <v>6</v>
      </c>
      <c r="C265" s="36" t="s">
        <v>6</v>
      </c>
      <c r="D265" s="36" t="s">
        <v>6</v>
      </c>
      <c r="E265" s="36" t="s">
        <v>6</v>
      </c>
      <c r="F265" s="36" t="s">
        <v>6</v>
      </c>
      <c r="G265" s="36" t="s">
        <v>6</v>
      </c>
      <c r="H265" s="36" t="s">
        <v>6</v>
      </c>
      <c r="I265" s="36" t="s">
        <v>6</v>
      </c>
      <c r="J265" s="36" t="s">
        <v>6</v>
      </c>
      <c r="K265" s="36" t="s">
        <v>6</v>
      </c>
      <c r="L265" s="36" t="s">
        <v>6</v>
      </c>
      <c r="M265" s="36" t="s">
        <v>6</v>
      </c>
      <c r="N265" s="36" t="s">
        <v>6</v>
      </c>
      <c r="O265" s="36" t="s">
        <v>6</v>
      </c>
      <c r="P265" s="36" t="s">
        <v>6</v>
      </c>
      <c r="Q265" s="36" t="s">
        <v>6</v>
      </c>
      <c r="R265" s="36" t="s">
        <v>6</v>
      </c>
      <c r="S265" s="36" t="s">
        <v>6</v>
      </c>
      <c r="T265" s="36" t="s">
        <v>6</v>
      </c>
      <c r="U265" s="36" t="s">
        <v>6</v>
      </c>
      <c r="V265" s="4" t="s">
        <v>1</v>
      </c>
      <c r="W265" s="4">
        <v>1</v>
      </c>
      <c r="X265" s="4">
        <v>3</v>
      </c>
      <c r="Y265" s="4">
        <v>2</v>
      </c>
      <c r="Z265" s="5">
        <v>3</v>
      </c>
      <c r="AA265" s="4">
        <v>3</v>
      </c>
      <c r="AB265" s="4" t="s">
        <v>6</v>
      </c>
      <c r="AC265" s="4" t="s">
        <v>6</v>
      </c>
      <c r="AD265" s="4" t="s">
        <v>6</v>
      </c>
      <c r="AE265" s="5" t="s">
        <v>6</v>
      </c>
      <c r="AF265" s="4">
        <v>3</v>
      </c>
      <c r="AG265" s="5" t="s">
        <v>6</v>
      </c>
      <c r="AH265" s="4">
        <v>3</v>
      </c>
      <c r="AI265" s="4" t="s">
        <v>6</v>
      </c>
      <c r="AJ265" s="4" t="s">
        <v>6</v>
      </c>
      <c r="AK265" s="4" t="s">
        <v>6</v>
      </c>
      <c r="AL265" s="4" t="s">
        <v>6</v>
      </c>
      <c r="AM265" s="4" t="s">
        <v>6</v>
      </c>
      <c r="AN265" s="5" t="s">
        <v>6</v>
      </c>
    </row>
    <row r="266" spans="1:40" x14ac:dyDescent="0.2">
      <c r="A266" s="15">
        <v>587</v>
      </c>
      <c r="B266" s="36" t="s">
        <v>6</v>
      </c>
      <c r="C266" s="36" t="s">
        <v>6</v>
      </c>
      <c r="D266" s="36" t="s">
        <v>6</v>
      </c>
      <c r="E266" s="36" t="s">
        <v>6</v>
      </c>
      <c r="F266" s="36" t="s">
        <v>6</v>
      </c>
      <c r="G266" s="36" t="s">
        <v>6</v>
      </c>
      <c r="H266" s="36" t="s">
        <v>6</v>
      </c>
      <c r="I266" s="36" t="s">
        <v>6</v>
      </c>
      <c r="J266" s="36" t="s">
        <v>6</v>
      </c>
      <c r="K266" s="36" t="s">
        <v>6</v>
      </c>
      <c r="L266" s="36" t="s">
        <v>6</v>
      </c>
      <c r="M266" s="36" t="s">
        <v>6</v>
      </c>
      <c r="N266" s="36" t="s">
        <v>6</v>
      </c>
      <c r="O266" s="36" t="s">
        <v>6</v>
      </c>
      <c r="P266" s="36" t="s">
        <v>6</v>
      </c>
      <c r="Q266" s="36" t="s">
        <v>6</v>
      </c>
      <c r="R266" s="36" t="s">
        <v>6</v>
      </c>
      <c r="S266" s="36" t="s">
        <v>6</v>
      </c>
      <c r="T266" s="36" t="s">
        <v>6</v>
      </c>
      <c r="U266" s="36" t="s">
        <v>6</v>
      </c>
      <c r="V266" s="4" t="s">
        <v>1</v>
      </c>
      <c r="W266" s="4">
        <v>1</v>
      </c>
      <c r="X266" s="4">
        <v>3</v>
      </c>
      <c r="Y266" s="4">
        <v>2</v>
      </c>
      <c r="Z266" s="5">
        <v>3</v>
      </c>
      <c r="AA266" s="4">
        <v>3</v>
      </c>
      <c r="AB266" s="4" t="s">
        <v>6</v>
      </c>
      <c r="AC266" s="4" t="s">
        <v>6</v>
      </c>
      <c r="AD266" s="4" t="s">
        <v>6</v>
      </c>
      <c r="AE266" s="5" t="s">
        <v>6</v>
      </c>
      <c r="AF266" s="4">
        <v>3</v>
      </c>
      <c r="AG266" s="5" t="s">
        <v>6</v>
      </c>
      <c r="AH266" s="4">
        <v>3</v>
      </c>
      <c r="AI266" s="4" t="s">
        <v>6</v>
      </c>
      <c r="AJ266" s="4" t="s">
        <v>6</v>
      </c>
      <c r="AK266" s="4" t="s">
        <v>6</v>
      </c>
      <c r="AL266" s="4" t="s">
        <v>6</v>
      </c>
      <c r="AM266" s="4" t="s">
        <v>6</v>
      </c>
      <c r="AN266" s="5" t="s">
        <v>6</v>
      </c>
    </row>
    <row r="267" spans="1:40" x14ac:dyDescent="0.2">
      <c r="A267" s="15">
        <v>599</v>
      </c>
      <c r="B267" s="36" t="s">
        <v>6</v>
      </c>
      <c r="C267" s="36" t="s">
        <v>6</v>
      </c>
      <c r="D267" s="36" t="s">
        <v>6</v>
      </c>
      <c r="E267" s="36" t="s">
        <v>6</v>
      </c>
      <c r="F267" s="36" t="s">
        <v>6</v>
      </c>
      <c r="G267" s="36" t="s">
        <v>6</v>
      </c>
      <c r="H267" s="36" t="s">
        <v>6</v>
      </c>
      <c r="I267" s="36" t="s">
        <v>6</v>
      </c>
      <c r="J267" s="36" t="s">
        <v>6</v>
      </c>
      <c r="K267" s="36" t="s">
        <v>6</v>
      </c>
      <c r="L267" s="36" t="s">
        <v>6</v>
      </c>
      <c r="M267" s="36" t="s">
        <v>6</v>
      </c>
      <c r="N267" s="36" t="s">
        <v>6</v>
      </c>
      <c r="O267" s="36" t="s">
        <v>6</v>
      </c>
      <c r="P267" s="36" t="s">
        <v>6</v>
      </c>
      <c r="Q267" s="36" t="s">
        <v>6</v>
      </c>
      <c r="R267" s="36" t="s">
        <v>6</v>
      </c>
      <c r="S267" s="36" t="s">
        <v>6</v>
      </c>
      <c r="T267" s="36" t="s">
        <v>6</v>
      </c>
      <c r="U267" s="36" t="s">
        <v>6</v>
      </c>
      <c r="V267" s="4" t="s">
        <v>1</v>
      </c>
      <c r="W267" s="4">
        <v>1</v>
      </c>
      <c r="X267" s="4">
        <v>3</v>
      </c>
      <c r="Y267" s="4">
        <v>2</v>
      </c>
      <c r="Z267" s="5">
        <v>3</v>
      </c>
      <c r="AA267" s="4">
        <v>3</v>
      </c>
      <c r="AB267" s="4" t="s">
        <v>6</v>
      </c>
      <c r="AC267" s="4" t="s">
        <v>6</v>
      </c>
      <c r="AD267" s="4" t="s">
        <v>6</v>
      </c>
      <c r="AE267" s="5" t="s">
        <v>6</v>
      </c>
      <c r="AF267" s="4">
        <v>3</v>
      </c>
      <c r="AG267" s="5" t="s">
        <v>6</v>
      </c>
      <c r="AH267" s="4">
        <v>3</v>
      </c>
      <c r="AI267" s="4" t="s">
        <v>6</v>
      </c>
      <c r="AJ267" s="4" t="s">
        <v>6</v>
      </c>
      <c r="AK267" s="4" t="s">
        <v>6</v>
      </c>
      <c r="AL267" s="4" t="s">
        <v>6</v>
      </c>
      <c r="AM267" s="4" t="s">
        <v>6</v>
      </c>
      <c r="AN267" s="5" t="s">
        <v>6</v>
      </c>
    </row>
    <row r="268" spans="1:40" x14ac:dyDescent="0.2">
      <c r="A268" s="15">
        <v>606</v>
      </c>
      <c r="B268" s="36" t="s">
        <v>6</v>
      </c>
      <c r="C268" s="36" t="s">
        <v>6</v>
      </c>
      <c r="D268" s="36" t="s">
        <v>6</v>
      </c>
      <c r="E268" s="36" t="s">
        <v>6</v>
      </c>
      <c r="F268" s="36" t="s">
        <v>6</v>
      </c>
      <c r="G268" s="36" t="s">
        <v>6</v>
      </c>
      <c r="H268" s="36" t="s">
        <v>6</v>
      </c>
      <c r="I268" s="36" t="s">
        <v>6</v>
      </c>
      <c r="J268" s="36" t="s">
        <v>6</v>
      </c>
      <c r="K268" s="36" t="s">
        <v>6</v>
      </c>
      <c r="L268" s="36" t="s">
        <v>6</v>
      </c>
      <c r="M268" s="36" t="s">
        <v>6</v>
      </c>
      <c r="N268" s="36" t="s">
        <v>6</v>
      </c>
      <c r="O268" s="36" t="s">
        <v>6</v>
      </c>
      <c r="P268" s="36" t="s">
        <v>6</v>
      </c>
      <c r="Q268" s="36" t="s">
        <v>6</v>
      </c>
      <c r="R268" s="36" t="s">
        <v>6</v>
      </c>
      <c r="S268" s="36" t="s">
        <v>6</v>
      </c>
      <c r="T268" s="36" t="s">
        <v>6</v>
      </c>
      <c r="U268" s="36" t="s">
        <v>6</v>
      </c>
      <c r="V268" s="4" t="s">
        <v>1</v>
      </c>
      <c r="W268" s="4">
        <v>1</v>
      </c>
      <c r="X268" s="4">
        <v>3</v>
      </c>
      <c r="Y268" s="4">
        <v>2</v>
      </c>
      <c r="Z268" s="5">
        <v>3</v>
      </c>
      <c r="AA268" s="4">
        <v>3</v>
      </c>
      <c r="AB268" s="4" t="s">
        <v>6</v>
      </c>
      <c r="AC268" s="4" t="s">
        <v>6</v>
      </c>
      <c r="AD268" s="4" t="s">
        <v>6</v>
      </c>
      <c r="AE268" s="5" t="s">
        <v>6</v>
      </c>
      <c r="AF268" s="4">
        <v>3</v>
      </c>
      <c r="AG268" s="5" t="s">
        <v>6</v>
      </c>
      <c r="AH268" s="4">
        <v>3</v>
      </c>
      <c r="AI268" s="4" t="s">
        <v>6</v>
      </c>
      <c r="AJ268" s="4" t="s">
        <v>6</v>
      </c>
      <c r="AK268" s="4" t="s">
        <v>6</v>
      </c>
      <c r="AL268" s="4" t="s">
        <v>6</v>
      </c>
      <c r="AM268" s="4" t="s">
        <v>6</v>
      </c>
      <c r="AN268" s="5" t="s">
        <v>6</v>
      </c>
    </row>
    <row r="269" spans="1:40" x14ac:dyDescent="0.2">
      <c r="A269" s="15">
        <v>609</v>
      </c>
      <c r="B269" s="36" t="s">
        <v>6</v>
      </c>
      <c r="C269" s="36" t="s">
        <v>6</v>
      </c>
      <c r="D269" s="36" t="s">
        <v>6</v>
      </c>
      <c r="E269" s="36" t="s">
        <v>6</v>
      </c>
      <c r="F269" s="36" t="s">
        <v>6</v>
      </c>
      <c r="G269" s="36" t="s">
        <v>6</v>
      </c>
      <c r="H269" s="36" t="s">
        <v>6</v>
      </c>
      <c r="I269" s="36" t="s">
        <v>6</v>
      </c>
      <c r="J269" s="36" t="s">
        <v>6</v>
      </c>
      <c r="K269" s="36" t="s">
        <v>6</v>
      </c>
      <c r="L269" s="36" t="s">
        <v>6</v>
      </c>
      <c r="M269" s="36" t="s">
        <v>6</v>
      </c>
      <c r="N269" s="36" t="s">
        <v>6</v>
      </c>
      <c r="O269" s="36" t="s">
        <v>6</v>
      </c>
      <c r="P269" s="36" t="s">
        <v>6</v>
      </c>
      <c r="Q269" s="36" t="s">
        <v>6</v>
      </c>
      <c r="R269" s="36" t="s">
        <v>6</v>
      </c>
      <c r="S269" s="36" t="s">
        <v>6</v>
      </c>
      <c r="T269" s="36" t="s">
        <v>6</v>
      </c>
      <c r="U269" s="36" t="s">
        <v>6</v>
      </c>
      <c r="V269" s="4" t="s">
        <v>1</v>
      </c>
      <c r="W269" s="4">
        <v>1</v>
      </c>
      <c r="X269" s="4">
        <v>3</v>
      </c>
      <c r="Y269" s="4">
        <v>2</v>
      </c>
      <c r="Z269" s="5">
        <v>3</v>
      </c>
      <c r="AA269" s="4">
        <v>3</v>
      </c>
      <c r="AB269" s="4" t="s">
        <v>6</v>
      </c>
      <c r="AC269" s="4" t="s">
        <v>6</v>
      </c>
      <c r="AD269" s="4" t="s">
        <v>6</v>
      </c>
      <c r="AE269" s="5" t="s">
        <v>6</v>
      </c>
      <c r="AF269" s="4">
        <v>3</v>
      </c>
      <c r="AG269" s="5" t="s">
        <v>6</v>
      </c>
      <c r="AH269" s="4">
        <v>3</v>
      </c>
      <c r="AI269" s="4" t="s">
        <v>6</v>
      </c>
      <c r="AJ269" s="4" t="s">
        <v>6</v>
      </c>
      <c r="AK269" s="4" t="s">
        <v>6</v>
      </c>
      <c r="AL269" s="4" t="s">
        <v>6</v>
      </c>
      <c r="AM269" s="4" t="s">
        <v>6</v>
      </c>
      <c r="AN269" s="5" t="s">
        <v>6</v>
      </c>
    </row>
    <row r="270" spans="1:40" x14ac:dyDescent="0.2">
      <c r="A270" s="15">
        <v>612</v>
      </c>
      <c r="B270" s="36" t="s">
        <v>6</v>
      </c>
      <c r="C270" s="36" t="s">
        <v>6</v>
      </c>
      <c r="D270" s="36" t="s">
        <v>6</v>
      </c>
      <c r="E270" s="36" t="s">
        <v>6</v>
      </c>
      <c r="F270" s="36" t="s">
        <v>6</v>
      </c>
      <c r="G270" s="36" t="s">
        <v>6</v>
      </c>
      <c r="H270" s="36" t="s">
        <v>6</v>
      </c>
      <c r="I270" s="36" t="s">
        <v>6</v>
      </c>
      <c r="J270" s="36" t="s">
        <v>6</v>
      </c>
      <c r="K270" s="36" t="s">
        <v>6</v>
      </c>
      <c r="L270" s="36" t="s">
        <v>6</v>
      </c>
      <c r="M270" s="36" t="s">
        <v>6</v>
      </c>
      <c r="N270" s="36" t="s">
        <v>6</v>
      </c>
      <c r="O270" s="36" t="s">
        <v>6</v>
      </c>
      <c r="P270" s="36" t="s">
        <v>6</v>
      </c>
      <c r="Q270" s="36" t="s">
        <v>6</v>
      </c>
      <c r="R270" s="36" t="s">
        <v>6</v>
      </c>
      <c r="S270" s="36" t="s">
        <v>6</v>
      </c>
      <c r="T270" s="36" t="s">
        <v>6</v>
      </c>
      <c r="U270" s="36" t="s">
        <v>6</v>
      </c>
      <c r="V270" s="4" t="s">
        <v>1</v>
      </c>
      <c r="W270" s="4">
        <v>1</v>
      </c>
      <c r="X270" s="4">
        <v>3</v>
      </c>
      <c r="Y270" s="4">
        <v>2</v>
      </c>
      <c r="Z270" s="5">
        <v>3</v>
      </c>
      <c r="AA270" s="4">
        <v>3</v>
      </c>
      <c r="AB270" s="4" t="s">
        <v>6</v>
      </c>
      <c r="AC270" s="4" t="s">
        <v>6</v>
      </c>
      <c r="AD270" s="4" t="s">
        <v>6</v>
      </c>
      <c r="AE270" s="5" t="s">
        <v>6</v>
      </c>
      <c r="AF270" s="4">
        <v>3</v>
      </c>
      <c r="AG270" s="5" t="s">
        <v>6</v>
      </c>
      <c r="AH270" s="4">
        <v>3</v>
      </c>
      <c r="AI270" s="4" t="s">
        <v>6</v>
      </c>
      <c r="AJ270" s="4" t="s">
        <v>6</v>
      </c>
      <c r="AK270" s="4" t="s">
        <v>6</v>
      </c>
      <c r="AL270" s="4" t="s">
        <v>6</v>
      </c>
      <c r="AM270" s="4" t="s">
        <v>6</v>
      </c>
      <c r="AN270" s="5" t="s">
        <v>6</v>
      </c>
    </row>
    <row r="271" spans="1:40" x14ac:dyDescent="0.2">
      <c r="A271" s="15">
        <v>615</v>
      </c>
      <c r="B271" s="36" t="s">
        <v>6</v>
      </c>
      <c r="C271" s="36" t="s">
        <v>6</v>
      </c>
      <c r="D271" s="36" t="s">
        <v>6</v>
      </c>
      <c r="E271" s="36" t="s">
        <v>6</v>
      </c>
      <c r="F271" s="36" t="s">
        <v>6</v>
      </c>
      <c r="G271" s="36" t="s">
        <v>6</v>
      </c>
      <c r="H271" s="36" t="s">
        <v>6</v>
      </c>
      <c r="I271" s="36" t="s">
        <v>6</v>
      </c>
      <c r="J271" s="36" t="s">
        <v>6</v>
      </c>
      <c r="K271" s="36" t="s">
        <v>6</v>
      </c>
      <c r="L271" s="36" t="s">
        <v>6</v>
      </c>
      <c r="M271" s="36" t="s">
        <v>6</v>
      </c>
      <c r="N271" s="36" t="s">
        <v>6</v>
      </c>
      <c r="O271" s="36" t="s">
        <v>6</v>
      </c>
      <c r="P271" s="36" t="s">
        <v>6</v>
      </c>
      <c r="Q271" s="36" t="s">
        <v>6</v>
      </c>
      <c r="R271" s="36" t="s">
        <v>6</v>
      </c>
      <c r="S271" s="36" t="s">
        <v>6</v>
      </c>
      <c r="T271" s="36" t="s">
        <v>6</v>
      </c>
      <c r="U271" s="36" t="s">
        <v>6</v>
      </c>
      <c r="V271" s="4" t="s">
        <v>1</v>
      </c>
      <c r="W271" s="4">
        <v>1</v>
      </c>
      <c r="X271" s="4">
        <v>3</v>
      </c>
      <c r="Y271" s="4">
        <v>2</v>
      </c>
      <c r="Z271" s="5">
        <v>3</v>
      </c>
      <c r="AA271" s="4">
        <v>3</v>
      </c>
      <c r="AB271" s="4" t="s">
        <v>6</v>
      </c>
      <c r="AC271" s="4" t="s">
        <v>6</v>
      </c>
      <c r="AD271" s="4" t="s">
        <v>6</v>
      </c>
      <c r="AE271" s="5" t="s">
        <v>6</v>
      </c>
      <c r="AF271" s="4">
        <v>3</v>
      </c>
      <c r="AG271" s="5" t="s">
        <v>6</v>
      </c>
      <c r="AH271" s="4">
        <v>3</v>
      </c>
      <c r="AI271" s="4" t="s">
        <v>6</v>
      </c>
      <c r="AJ271" s="4" t="s">
        <v>6</v>
      </c>
      <c r="AK271" s="4" t="s">
        <v>6</v>
      </c>
      <c r="AL271" s="4" t="s">
        <v>6</v>
      </c>
      <c r="AM271" s="4" t="s">
        <v>6</v>
      </c>
      <c r="AN271" s="5" t="s">
        <v>6</v>
      </c>
    </row>
    <row r="272" spans="1:40" x14ac:dyDescent="0.2">
      <c r="A272" s="15">
        <v>616</v>
      </c>
      <c r="B272" s="36" t="s">
        <v>6</v>
      </c>
      <c r="C272" s="36" t="s">
        <v>6</v>
      </c>
      <c r="D272" s="36" t="s">
        <v>6</v>
      </c>
      <c r="E272" s="36" t="s">
        <v>6</v>
      </c>
      <c r="F272" s="36" t="s">
        <v>6</v>
      </c>
      <c r="G272" s="36" t="s">
        <v>6</v>
      </c>
      <c r="H272" s="36" t="s">
        <v>6</v>
      </c>
      <c r="I272" s="36" t="s">
        <v>6</v>
      </c>
      <c r="J272" s="36" t="s">
        <v>6</v>
      </c>
      <c r="K272" s="36" t="s">
        <v>6</v>
      </c>
      <c r="L272" s="36" t="s">
        <v>6</v>
      </c>
      <c r="M272" s="36" t="s">
        <v>6</v>
      </c>
      <c r="N272" s="36" t="s">
        <v>6</v>
      </c>
      <c r="O272" s="36" t="s">
        <v>6</v>
      </c>
      <c r="P272" s="36" t="s">
        <v>6</v>
      </c>
      <c r="Q272" s="36" t="s">
        <v>6</v>
      </c>
      <c r="R272" s="36" t="s">
        <v>6</v>
      </c>
      <c r="S272" s="36" t="s">
        <v>6</v>
      </c>
      <c r="T272" s="36" t="s">
        <v>6</v>
      </c>
      <c r="U272" s="36" t="s">
        <v>6</v>
      </c>
      <c r="V272" s="4" t="s">
        <v>1</v>
      </c>
      <c r="W272" s="4">
        <v>1</v>
      </c>
      <c r="X272" s="4">
        <v>3</v>
      </c>
      <c r="Y272" s="4">
        <v>2</v>
      </c>
      <c r="Z272" s="5">
        <v>3</v>
      </c>
      <c r="AA272" s="4">
        <v>3</v>
      </c>
      <c r="AB272" s="4" t="s">
        <v>6</v>
      </c>
      <c r="AC272" s="4" t="s">
        <v>6</v>
      </c>
      <c r="AD272" s="4" t="s">
        <v>6</v>
      </c>
      <c r="AE272" s="5" t="s">
        <v>6</v>
      </c>
      <c r="AF272" s="4">
        <v>3</v>
      </c>
      <c r="AG272" s="5" t="s">
        <v>6</v>
      </c>
      <c r="AH272" s="4">
        <v>3</v>
      </c>
      <c r="AI272" s="4" t="s">
        <v>6</v>
      </c>
      <c r="AJ272" s="4" t="s">
        <v>6</v>
      </c>
      <c r="AK272" s="4" t="s">
        <v>6</v>
      </c>
      <c r="AL272" s="4" t="s">
        <v>6</v>
      </c>
      <c r="AM272" s="4" t="s">
        <v>6</v>
      </c>
      <c r="AN272" s="5" t="s">
        <v>6</v>
      </c>
    </row>
    <row r="273" spans="1:40" x14ac:dyDescent="0.2">
      <c r="A273" s="15">
        <v>639</v>
      </c>
      <c r="B273" s="36" t="s">
        <v>6</v>
      </c>
      <c r="C273" s="36" t="s">
        <v>6</v>
      </c>
      <c r="D273" s="36" t="s">
        <v>6</v>
      </c>
      <c r="E273" s="36" t="s">
        <v>6</v>
      </c>
      <c r="F273" s="36" t="s">
        <v>6</v>
      </c>
      <c r="G273" s="36" t="s">
        <v>6</v>
      </c>
      <c r="H273" s="36" t="s">
        <v>6</v>
      </c>
      <c r="I273" s="36" t="s">
        <v>6</v>
      </c>
      <c r="J273" s="36" t="s">
        <v>6</v>
      </c>
      <c r="K273" s="36" t="s">
        <v>6</v>
      </c>
      <c r="L273" s="36" t="s">
        <v>6</v>
      </c>
      <c r="M273" s="36" t="s">
        <v>6</v>
      </c>
      <c r="N273" s="36" t="s">
        <v>6</v>
      </c>
      <c r="O273" s="36" t="s">
        <v>6</v>
      </c>
      <c r="P273" s="36" t="s">
        <v>6</v>
      </c>
      <c r="Q273" s="36" t="s">
        <v>6</v>
      </c>
      <c r="R273" s="36" t="s">
        <v>6</v>
      </c>
      <c r="S273" s="36" t="s">
        <v>6</v>
      </c>
      <c r="T273" s="36" t="s">
        <v>6</v>
      </c>
      <c r="U273" s="36" t="s">
        <v>6</v>
      </c>
      <c r="V273" s="4" t="s">
        <v>1</v>
      </c>
      <c r="W273" s="4">
        <v>1</v>
      </c>
      <c r="X273" s="4">
        <v>3</v>
      </c>
      <c r="Y273" s="4">
        <v>2</v>
      </c>
      <c r="Z273" s="5">
        <v>3</v>
      </c>
      <c r="AA273" s="4">
        <v>3</v>
      </c>
      <c r="AB273" s="4" t="s">
        <v>6</v>
      </c>
      <c r="AC273" s="4" t="s">
        <v>6</v>
      </c>
      <c r="AD273" s="4" t="s">
        <v>6</v>
      </c>
      <c r="AE273" s="5" t="s">
        <v>6</v>
      </c>
      <c r="AF273" s="4">
        <v>3</v>
      </c>
      <c r="AG273" s="5" t="s">
        <v>6</v>
      </c>
      <c r="AH273" s="4">
        <v>3</v>
      </c>
      <c r="AI273" s="4" t="s">
        <v>6</v>
      </c>
      <c r="AJ273" s="4" t="s">
        <v>6</v>
      </c>
      <c r="AK273" s="4" t="s">
        <v>6</v>
      </c>
      <c r="AL273" s="4" t="s">
        <v>6</v>
      </c>
      <c r="AM273" s="4" t="s">
        <v>6</v>
      </c>
      <c r="AN273" s="5" t="s">
        <v>6</v>
      </c>
    </row>
    <row r="274" spans="1:40" x14ac:dyDescent="0.2">
      <c r="A274" s="15">
        <v>665</v>
      </c>
      <c r="B274" s="36" t="s">
        <v>6</v>
      </c>
      <c r="C274" s="36" t="s">
        <v>6</v>
      </c>
      <c r="D274" s="36" t="s">
        <v>6</v>
      </c>
      <c r="E274" s="36" t="s">
        <v>6</v>
      </c>
      <c r="F274" s="36" t="s">
        <v>6</v>
      </c>
      <c r="G274" s="36" t="s">
        <v>6</v>
      </c>
      <c r="H274" s="36" t="s">
        <v>6</v>
      </c>
      <c r="I274" s="36" t="s">
        <v>6</v>
      </c>
      <c r="J274" s="36" t="s">
        <v>6</v>
      </c>
      <c r="K274" s="36" t="s">
        <v>6</v>
      </c>
      <c r="L274" s="36" t="s">
        <v>6</v>
      </c>
      <c r="M274" s="36" t="s">
        <v>6</v>
      </c>
      <c r="N274" s="36" t="s">
        <v>6</v>
      </c>
      <c r="O274" s="36" t="s">
        <v>6</v>
      </c>
      <c r="P274" s="36" t="s">
        <v>6</v>
      </c>
      <c r="Q274" s="36" t="s">
        <v>6</v>
      </c>
      <c r="R274" s="36" t="s">
        <v>6</v>
      </c>
      <c r="S274" s="36" t="s">
        <v>6</v>
      </c>
      <c r="T274" s="36" t="s">
        <v>6</v>
      </c>
      <c r="U274" s="36" t="s">
        <v>6</v>
      </c>
      <c r="V274" s="4" t="s">
        <v>1</v>
      </c>
      <c r="W274" s="4">
        <v>1</v>
      </c>
      <c r="X274" s="4">
        <v>3</v>
      </c>
      <c r="Y274" s="4">
        <v>2</v>
      </c>
      <c r="Z274" s="5">
        <v>3</v>
      </c>
      <c r="AA274" s="4">
        <v>3</v>
      </c>
      <c r="AB274" s="4" t="s">
        <v>6</v>
      </c>
      <c r="AC274" s="4" t="s">
        <v>6</v>
      </c>
      <c r="AD274" s="4" t="s">
        <v>6</v>
      </c>
      <c r="AE274" s="5" t="s">
        <v>6</v>
      </c>
      <c r="AF274" s="4">
        <v>3</v>
      </c>
      <c r="AG274" s="5" t="s">
        <v>6</v>
      </c>
      <c r="AH274" s="4">
        <v>3</v>
      </c>
      <c r="AI274" s="4" t="s">
        <v>6</v>
      </c>
      <c r="AJ274" s="4" t="s">
        <v>6</v>
      </c>
      <c r="AK274" s="4" t="s">
        <v>6</v>
      </c>
      <c r="AL274" s="4" t="s">
        <v>6</v>
      </c>
      <c r="AM274" s="4" t="s">
        <v>6</v>
      </c>
      <c r="AN274" s="5" t="s">
        <v>6</v>
      </c>
    </row>
    <row r="275" spans="1:40" x14ac:dyDescent="0.2">
      <c r="A275" s="15">
        <v>671</v>
      </c>
      <c r="B275" s="36" t="s">
        <v>6</v>
      </c>
      <c r="C275" s="36" t="s">
        <v>6</v>
      </c>
      <c r="D275" s="36" t="s">
        <v>6</v>
      </c>
      <c r="E275" s="36" t="s">
        <v>6</v>
      </c>
      <c r="F275" s="36" t="s">
        <v>6</v>
      </c>
      <c r="G275" s="36" t="s">
        <v>6</v>
      </c>
      <c r="H275" s="36" t="s">
        <v>6</v>
      </c>
      <c r="I275" s="36" t="s">
        <v>6</v>
      </c>
      <c r="J275" s="36" t="s">
        <v>6</v>
      </c>
      <c r="K275" s="36" t="s">
        <v>6</v>
      </c>
      <c r="L275" s="36" t="s">
        <v>6</v>
      </c>
      <c r="M275" s="36" t="s">
        <v>6</v>
      </c>
      <c r="N275" s="36" t="s">
        <v>6</v>
      </c>
      <c r="O275" s="36" t="s">
        <v>6</v>
      </c>
      <c r="P275" s="36" t="s">
        <v>6</v>
      </c>
      <c r="Q275" s="36" t="s">
        <v>6</v>
      </c>
      <c r="R275" s="36" t="s">
        <v>6</v>
      </c>
      <c r="S275" s="36" t="s">
        <v>6</v>
      </c>
      <c r="T275" s="36" t="s">
        <v>6</v>
      </c>
      <c r="U275" s="36" t="s">
        <v>6</v>
      </c>
      <c r="V275" s="4" t="s">
        <v>1</v>
      </c>
      <c r="W275" s="4">
        <v>1</v>
      </c>
      <c r="X275" s="4">
        <v>3</v>
      </c>
      <c r="Y275" s="4">
        <v>2</v>
      </c>
      <c r="Z275" s="5">
        <v>3</v>
      </c>
      <c r="AA275" s="4">
        <v>3</v>
      </c>
      <c r="AB275" s="4" t="s">
        <v>6</v>
      </c>
      <c r="AC275" s="4" t="s">
        <v>6</v>
      </c>
      <c r="AD275" s="4" t="s">
        <v>6</v>
      </c>
      <c r="AE275" s="5" t="s">
        <v>6</v>
      </c>
      <c r="AF275" s="4">
        <v>3</v>
      </c>
      <c r="AG275" s="5" t="s">
        <v>6</v>
      </c>
      <c r="AH275" s="4">
        <v>3</v>
      </c>
      <c r="AI275" s="4" t="s">
        <v>6</v>
      </c>
      <c r="AJ275" s="4" t="s">
        <v>6</v>
      </c>
      <c r="AK275" s="4" t="s">
        <v>6</v>
      </c>
      <c r="AL275" s="4" t="s">
        <v>6</v>
      </c>
      <c r="AM275" s="4" t="s">
        <v>6</v>
      </c>
      <c r="AN275" s="5" t="s">
        <v>6</v>
      </c>
    </row>
    <row r="276" spans="1:40" x14ac:dyDescent="0.2">
      <c r="A276" s="15">
        <v>676</v>
      </c>
      <c r="B276" s="36" t="s">
        <v>6</v>
      </c>
      <c r="C276" s="36" t="s">
        <v>6</v>
      </c>
      <c r="D276" s="36" t="s">
        <v>6</v>
      </c>
      <c r="E276" s="36" t="s">
        <v>6</v>
      </c>
      <c r="F276" s="36" t="s">
        <v>6</v>
      </c>
      <c r="G276" s="36" t="s">
        <v>6</v>
      </c>
      <c r="H276" s="36" t="s">
        <v>6</v>
      </c>
      <c r="I276" s="36" t="s">
        <v>6</v>
      </c>
      <c r="J276" s="36" t="s">
        <v>6</v>
      </c>
      <c r="K276" s="36" t="s">
        <v>6</v>
      </c>
      <c r="L276" s="36" t="s">
        <v>6</v>
      </c>
      <c r="M276" s="36" t="s">
        <v>6</v>
      </c>
      <c r="N276" s="36" t="s">
        <v>6</v>
      </c>
      <c r="O276" s="36" t="s">
        <v>6</v>
      </c>
      <c r="P276" s="36" t="s">
        <v>6</v>
      </c>
      <c r="Q276" s="36" t="s">
        <v>6</v>
      </c>
      <c r="R276" s="36" t="s">
        <v>6</v>
      </c>
      <c r="S276" s="36" t="s">
        <v>6</v>
      </c>
      <c r="T276" s="36" t="s">
        <v>6</v>
      </c>
      <c r="U276" s="36" t="s">
        <v>6</v>
      </c>
      <c r="V276" s="4" t="s">
        <v>1</v>
      </c>
      <c r="W276" s="4">
        <v>1</v>
      </c>
      <c r="X276" s="4">
        <v>3</v>
      </c>
      <c r="Y276" s="4">
        <v>2</v>
      </c>
      <c r="Z276" s="5">
        <v>3</v>
      </c>
      <c r="AA276" s="4">
        <v>3</v>
      </c>
      <c r="AB276" s="4" t="s">
        <v>6</v>
      </c>
      <c r="AC276" s="4" t="s">
        <v>6</v>
      </c>
      <c r="AD276" s="4" t="s">
        <v>6</v>
      </c>
      <c r="AE276" s="5" t="s">
        <v>6</v>
      </c>
      <c r="AF276" s="4">
        <v>3</v>
      </c>
      <c r="AG276" s="5" t="s">
        <v>6</v>
      </c>
      <c r="AH276" s="4">
        <v>3</v>
      </c>
      <c r="AI276" s="4" t="s">
        <v>6</v>
      </c>
      <c r="AJ276" s="4" t="s">
        <v>6</v>
      </c>
      <c r="AK276" s="4" t="s">
        <v>6</v>
      </c>
      <c r="AL276" s="4" t="s">
        <v>6</v>
      </c>
      <c r="AM276" s="4" t="s">
        <v>6</v>
      </c>
      <c r="AN276" s="5" t="s">
        <v>6</v>
      </c>
    </row>
    <row r="277" spans="1:40" x14ac:dyDescent="0.2">
      <c r="A277" s="15">
        <v>752</v>
      </c>
      <c r="B277" s="36" t="s">
        <v>6</v>
      </c>
      <c r="C277" s="36" t="s">
        <v>6</v>
      </c>
      <c r="D277" s="36" t="s">
        <v>6</v>
      </c>
      <c r="E277" s="36" t="s">
        <v>6</v>
      </c>
      <c r="F277" s="36" t="s">
        <v>6</v>
      </c>
      <c r="G277" s="36" t="s">
        <v>6</v>
      </c>
      <c r="H277" s="36" t="s">
        <v>6</v>
      </c>
      <c r="I277" s="36" t="s">
        <v>6</v>
      </c>
      <c r="J277" s="36" t="s">
        <v>6</v>
      </c>
      <c r="K277" s="36" t="s">
        <v>6</v>
      </c>
      <c r="L277" s="36" t="s">
        <v>6</v>
      </c>
      <c r="M277" s="36" t="s">
        <v>6</v>
      </c>
      <c r="N277" s="36" t="s">
        <v>6</v>
      </c>
      <c r="O277" s="36" t="s">
        <v>6</v>
      </c>
      <c r="P277" s="36" t="s">
        <v>6</v>
      </c>
      <c r="Q277" s="36" t="s">
        <v>6</v>
      </c>
      <c r="R277" s="36" t="s">
        <v>6</v>
      </c>
      <c r="S277" s="36" t="s">
        <v>6</v>
      </c>
      <c r="T277" s="36" t="s">
        <v>6</v>
      </c>
      <c r="U277" s="36" t="s">
        <v>6</v>
      </c>
      <c r="V277" s="4" t="s">
        <v>1</v>
      </c>
      <c r="W277" s="4">
        <v>1</v>
      </c>
      <c r="X277" s="4">
        <v>3</v>
      </c>
      <c r="Y277" s="4">
        <v>2</v>
      </c>
      <c r="Z277" s="5">
        <v>3</v>
      </c>
      <c r="AA277" s="4">
        <v>3</v>
      </c>
      <c r="AB277" s="4" t="s">
        <v>6</v>
      </c>
      <c r="AC277" s="4" t="s">
        <v>6</v>
      </c>
      <c r="AD277" s="4" t="s">
        <v>6</v>
      </c>
      <c r="AE277" s="5" t="s">
        <v>6</v>
      </c>
      <c r="AF277" s="4">
        <v>3</v>
      </c>
      <c r="AG277" s="5" t="s">
        <v>6</v>
      </c>
      <c r="AH277" s="4">
        <v>3</v>
      </c>
      <c r="AI277" s="4" t="s">
        <v>6</v>
      </c>
      <c r="AJ277" s="4" t="s">
        <v>6</v>
      </c>
      <c r="AK277" s="4" t="s">
        <v>6</v>
      </c>
      <c r="AL277" s="4" t="s">
        <v>6</v>
      </c>
      <c r="AM277" s="4" t="s">
        <v>6</v>
      </c>
      <c r="AN277" s="5" t="s">
        <v>6</v>
      </c>
    </row>
    <row r="278" spans="1:40" x14ac:dyDescent="0.2">
      <c r="A278" s="15">
        <v>754</v>
      </c>
      <c r="B278" s="36" t="s">
        <v>6</v>
      </c>
      <c r="C278" s="36" t="s">
        <v>6</v>
      </c>
      <c r="D278" s="36" t="s">
        <v>6</v>
      </c>
      <c r="E278" s="36" t="s">
        <v>6</v>
      </c>
      <c r="F278" s="36" t="s">
        <v>6</v>
      </c>
      <c r="G278" s="36" t="s">
        <v>6</v>
      </c>
      <c r="H278" s="36" t="s">
        <v>6</v>
      </c>
      <c r="I278" s="36" t="s">
        <v>6</v>
      </c>
      <c r="J278" s="36" t="s">
        <v>6</v>
      </c>
      <c r="K278" s="36" t="s">
        <v>6</v>
      </c>
      <c r="L278" s="36" t="s">
        <v>6</v>
      </c>
      <c r="M278" s="36" t="s">
        <v>6</v>
      </c>
      <c r="N278" s="36" t="s">
        <v>6</v>
      </c>
      <c r="O278" s="36" t="s">
        <v>6</v>
      </c>
      <c r="P278" s="36" t="s">
        <v>6</v>
      </c>
      <c r="Q278" s="36" t="s">
        <v>6</v>
      </c>
      <c r="R278" s="36" t="s">
        <v>6</v>
      </c>
      <c r="S278" s="36" t="s">
        <v>6</v>
      </c>
      <c r="T278" s="36" t="s">
        <v>6</v>
      </c>
      <c r="U278" s="36" t="s">
        <v>6</v>
      </c>
      <c r="V278" s="4" t="s">
        <v>1</v>
      </c>
      <c r="W278" s="4">
        <v>1</v>
      </c>
      <c r="X278" s="4">
        <v>3</v>
      </c>
      <c r="Y278" s="4">
        <v>2</v>
      </c>
      <c r="Z278" s="5">
        <v>3</v>
      </c>
      <c r="AA278" s="4">
        <v>3</v>
      </c>
      <c r="AB278" s="4" t="s">
        <v>6</v>
      </c>
      <c r="AC278" s="4" t="s">
        <v>6</v>
      </c>
      <c r="AD278" s="4" t="s">
        <v>6</v>
      </c>
      <c r="AE278" s="5" t="s">
        <v>6</v>
      </c>
      <c r="AF278" s="4">
        <v>3</v>
      </c>
      <c r="AG278" s="5" t="s">
        <v>6</v>
      </c>
      <c r="AH278" s="4">
        <v>3</v>
      </c>
      <c r="AI278" s="4" t="s">
        <v>6</v>
      </c>
      <c r="AJ278" s="4" t="s">
        <v>6</v>
      </c>
      <c r="AK278" s="4" t="s">
        <v>6</v>
      </c>
      <c r="AL278" s="4" t="s">
        <v>6</v>
      </c>
      <c r="AM278" s="4" t="s">
        <v>6</v>
      </c>
      <c r="AN278" s="5" t="s">
        <v>6</v>
      </c>
    </row>
    <row r="279" spans="1:40" x14ac:dyDescent="0.2">
      <c r="A279" s="15">
        <v>760</v>
      </c>
      <c r="B279" s="36" t="s">
        <v>6</v>
      </c>
      <c r="C279" s="36" t="s">
        <v>6</v>
      </c>
      <c r="D279" s="36" t="s">
        <v>6</v>
      </c>
      <c r="E279" s="36" t="s">
        <v>6</v>
      </c>
      <c r="F279" s="36" t="s">
        <v>6</v>
      </c>
      <c r="G279" s="36" t="s">
        <v>6</v>
      </c>
      <c r="H279" s="36" t="s">
        <v>6</v>
      </c>
      <c r="I279" s="36" t="s">
        <v>6</v>
      </c>
      <c r="J279" s="36" t="s">
        <v>6</v>
      </c>
      <c r="K279" s="36" t="s">
        <v>6</v>
      </c>
      <c r="L279" s="36" t="s">
        <v>6</v>
      </c>
      <c r="M279" s="36" t="s">
        <v>6</v>
      </c>
      <c r="N279" s="36" t="s">
        <v>6</v>
      </c>
      <c r="O279" s="36" t="s">
        <v>6</v>
      </c>
      <c r="P279" s="36" t="s">
        <v>6</v>
      </c>
      <c r="Q279" s="36" t="s">
        <v>6</v>
      </c>
      <c r="R279" s="36" t="s">
        <v>6</v>
      </c>
      <c r="S279" s="36" t="s">
        <v>6</v>
      </c>
      <c r="T279" s="36" t="s">
        <v>6</v>
      </c>
      <c r="U279" s="36" t="s">
        <v>6</v>
      </c>
      <c r="V279" s="4" t="s">
        <v>1</v>
      </c>
      <c r="W279" s="4">
        <v>1</v>
      </c>
      <c r="X279" s="4">
        <v>3</v>
      </c>
      <c r="Y279" s="4">
        <v>2</v>
      </c>
      <c r="Z279" s="5">
        <v>3</v>
      </c>
      <c r="AA279" s="4">
        <v>3</v>
      </c>
      <c r="AB279" s="4" t="s">
        <v>6</v>
      </c>
      <c r="AC279" s="4" t="s">
        <v>6</v>
      </c>
      <c r="AD279" s="4" t="s">
        <v>6</v>
      </c>
      <c r="AE279" s="5" t="s">
        <v>6</v>
      </c>
      <c r="AF279" s="4">
        <v>3</v>
      </c>
      <c r="AG279" s="5" t="s">
        <v>6</v>
      </c>
      <c r="AH279" s="4">
        <v>3</v>
      </c>
      <c r="AI279" s="4" t="s">
        <v>6</v>
      </c>
      <c r="AJ279" s="4" t="s">
        <v>6</v>
      </c>
      <c r="AK279" s="4" t="s">
        <v>6</v>
      </c>
      <c r="AL279" s="4" t="s">
        <v>6</v>
      </c>
      <c r="AM279" s="4" t="s">
        <v>6</v>
      </c>
      <c r="AN279" s="5" t="s">
        <v>6</v>
      </c>
    </row>
    <row r="280" spans="1:40" x14ac:dyDescent="0.2">
      <c r="A280" s="16">
        <v>770</v>
      </c>
      <c r="B280" s="36" t="s">
        <v>6</v>
      </c>
      <c r="C280" s="36" t="s">
        <v>6</v>
      </c>
      <c r="D280" s="36" t="s">
        <v>6</v>
      </c>
      <c r="E280" s="36" t="s">
        <v>6</v>
      </c>
      <c r="F280" s="36" t="s">
        <v>6</v>
      </c>
      <c r="G280" s="36" t="s">
        <v>6</v>
      </c>
      <c r="H280" s="36" t="s">
        <v>6</v>
      </c>
      <c r="I280" s="36" t="s">
        <v>6</v>
      </c>
      <c r="J280" s="36" t="s">
        <v>6</v>
      </c>
      <c r="K280" s="36" t="s">
        <v>6</v>
      </c>
      <c r="L280" s="36" t="s">
        <v>6</v>
      </c>
      <c r="M280" s="36" t="s">
        <v>6</v>
      </c>
      <c r="N280" s="36" t="s">
        <v>6</v>
      </c>
      <c r="O280" s="36" t="s">
        <v>6</v>
      </c>
      <c r="P280" s="36" t="s">
        <v>6</v>
      </c>
      <c r="Q280" s="36" t="s">
        <v>6</v>
      </c>
      <c r="R280" s="36" t="s">
        <v>6</v>
      </c>
      <c r="S280" s="36" t="s">
        <v>6</v>
      </c>
      <c r="T280" s="36" t="s">
        <v>6</v>
      </c>
      <c r="U280" s="36" t="s">
        <v>6</v>
      </c>
      <c r="V280" s="4" t="s">
        <v>1</v>
      </c>
      <c r="W280" s="4">
        <v>1</v>
      </c>
      <c r="X280" s="4">
        <v>3</v>
      </c>
      <c r="Y280" s="4">
        <v>2</v>
      </c>
      <c r="Z280" s="5">
        <v>3</v>
      </c>
      <c r="AA280" s="4">
        <v>3</v>
      </c>
      <c r="AB280" s="4" t="s">
        <v>6</v>
      </c>
      <c r="AC280" s="4" t="s">
        <v>6</v>
      </c>
      <c r="AD280" s="4" t="s">
        <v>6</v>
      </c>
      <c r="AE280" s="5" t="s">
        <v>6</v>
      </c>
      <c r="AF280" s="4">
        <v>3</v>
      </c>
      <c r="AG280" s="5" t="s">
        <v>6</v>
      </c>
      <c r="AH280" s="4">
        <v>3</v>
      </c>
      <c r="AI280" s="4" t="s">
        <v>6</v>
      </c>
      <c r="AJ280" s="4" t="s">
        <v>6</v>
      </c>
      <c r="AK280" s="4" t="s">
        <v>6</v>
      </c>
      <c r="AL280" s="4" t="s">
        <v>6</v>
      </c>
      <c r="AM280" s="4" t="s">
        <v>6</v>
      </c>
      <c r="AN280" s="5" t="s">
        <v>6</v>
      </c>
    </row>
    <row r="281" spans="1:40" x14ac:dyDescent="0.2">
      <c r="A281" s="16">
        <v>801</v>
      </c>
      <c r="B281" s="36" t="s">
        <v>6</v>
      </c>
      <c r="C281" s="36" t="s">
        <v>6</v>
      </c>
      <c r="D281" s="36" t="s">
        <v>6</v>
      </c>
      <c r="E281" s="36" t="s">
        <v>6</v>
      </c>
      <c r="F281" s="36" t="s">
        <v>6</v>
      </c>
      <c r="G281" s="36" t="s">
        <v>6</v>
      </c>
      <c r="H281" s="36" t="s">
        <v>6</v>
      </c>
      <c r="I281" s="36" t="s">
        <v>6</v>
      </c>
      <c r="J281" s="36" t="s">
        <v>6</v>
      </c>
      <c r="K281" s="36" t="s">
        <v>6</v>
      </c>
      <c r="L281" s="36" t="s">
        <v>6</v>
      </c>
      <c r="M281" s="36" t="s">
        <v>6</v>
      </c>
      <c r="N281" s="36" t="s">
        <v>6</v>
      </c>
      <c r="O281" s="36" t="s">
        <v>6</v>
      </c>
      <c r="P281" s="36" t="s">
        <v>6</v>
      </c>
      <c r="Q281" s="36" t="s">
        <v>6</v>
      </c>
      <c r="R281" s="36" t="s">
        <v>6</v>
      </c>
      <c r="S281" s="36" t="s">
        <v>6</v>
      </c>
      <c r="T281" s="36" t="s">
        <v>6</v>
      </c>
      <c r="U281" s="36" t="s">
        <v>6</v>
      </c>
      <c r="V281" s="4" t="s">
        <v>1</v>
      </c>
      <c r="W281" s="4">
        <v>1</v>
      </c>
      <c r="X281" s="4">
        <v>3</v>
      </c>
      <c r="Y281" s="4">
        <v>2</v>
      </c>
      <c r="Z281" s="5">
        <v>3</v>
      </c>
      <c r="AA281" s="4">
        <v>3</v>
      </c>
      <c r="AB281" s="4" t="s">
        <v>6</v>
      </c>
      <c r="AC281" s="4" t="s">
        <v>6</v>
      </c>
      <c r="AD281" s="4" t="s">
        <v>6</v>
      </c>
      <c r="AE281" s="5" t="s">
        <v>6</v>
      </c>
      <c r="AF281" s="4">
        <v>3</v>
      </c>
      <c r="AG281" s="5" t="s">
        <v>6</v>
      </c>
      <c r="AH281" s="4">
        <v>3</v>
      </c>
      <c r="AI281" s="4" t="s">
        <v>6</v>
      </c>
      <c r="AJ281" s="4" t="s">
        <v>6</v>
      </c>
      <c r="AK281" s="4" t="s">
        <v>6</v>
      </c>
      <c r="AL281" s="4" t="s">
        <v>6</v>
      </c>
      <c r="AM281" s="4" t="s">
        <v>6</v>
      </c>
      <c r="AN281" s="5" t="s">
        <v>6</v>
      </c>
    </row>
    <row r="282" spans="1:40" x14ac:dyDescent="0.2">
      <c r="A282" s="15">
        <v>818</v>
      </c>
      <c r="B282" s="36" t="s">
        <v>6</v>
      </c>
      <c r="C282" s="36" t="s">
        <v>6</v>
      </c>
      <c r="D282" s="36" t="s">
        <v>6</v>
      </c>
      <c r="E282" s="36" t="s">
        <v>6</v>
      </c>
      <c r="F282" s="36" t="s">
        <v>6</v>
      </c>
      <c r="G282" s="36" t="s">
        <v>6</v>
      </c>
      <c r="H282" s="36" t="s">
        <v>6</v>
      </c>
      <c r="I282" s="36" t="s">
        <v>6</v>
      </c>
      <c r="J282" s="36" t="s">
        <v>6</v>
      </c>
      <c r="K282" s="36" t="s">
        <v>6</v>
      </c>
      <c r="L282" s="36" t="s">
        <v>6</v>
      </c>
      <c r="M282" s="36" t="s">
        <v>6</v>
      </c>
      <c r="N282" s="36" t="s">
        <v>6</v>
      </c>
      <c r="O282" s="36" t="s">
        <v>6</v>
      </c>
      <c r="P282" s="36" t="s">
        <v>6</v>
      </c>
      <c r="Q282" s="36" t="s">
        <v>6</v>
      </c>
      <c r="R282" s="36" t="s">
        <v>6</v>
      </c>
      <c r="S282" s="36" t="s">
        <v>6</v>
      </c>
      <c r="T282" s="36" t="s">
        <v>6</v>
      </c>
      <c r="U282" s="36" t="s">
        <v>6</v>
      </c>
      <c r="V282" s="4" t="s">
        <v>1</v>
      </c>
      <c r="W282" s="4">
        <v>1</v>
      </c>
      <c r="X282" s="4">
        <v>3</v>
      </c>
      <c r="Y282" s="4">
        <v>2</v>
      </c>
      <c r="Z282" s="5">
        <v>3</v>
      </c>
      <c r="AA282" s="4">
        <v>3</v>
      </c>
      <c r="AB282" s="4" t="s">
        <v>6</v>
      </c>
      <c r="AC282" s="4" t="s">
        <v>6</v>
      </c>
      <c r="AD282" s="4" t="s">
        <v>6</v>
      </c>
      <c r="AE282" s="5" t="s">
        <v>6</v>
      </c>
      <c r="AF282" s="4">
        <v>3</v>
      </c>
      <c r="AG282" s="5" t="s">
        <v>6</v>
      </c>
      <c r="AH282" s="4">
        <v>3</v>
      </c>
      <c r="AI282" s="4" t="s">
        <v>6</v>
      </c>
      <c r="AJ282" s="4" t="s">
        <v>6</v>
      </c>
      <c r="AK282" s="4" t="s">
        <v>6</v>
      </c>
      <c r="AL282" s="4" t="s">
        <v>6</v>
      </c>
      <c r="AM282" s="4" t="s">
        <v>6</v>
      </c>
      <c r="AN282" s="5" t="s">
        <v>6</v>
      </c>
    </row>
    <row r="283" spans="1:40" x14ac:dyDescent="0.2">
      <c r="A283" s="15">
        <v>819</v>
      </c>
      <c r="B283" s="36" t="s">
        <v>6</v>
      </c>
      <c r="C283" s="36" t="s">
        <v>6</v>
      </c>
      <c r="D283" s="36" t="s">
        <v>6</v>
      </c>
      <c r="E283" s="36" t="s">
        <v>6</v>
      </c>
      <c r="F283" s="36" t="s">
        <v>6</v>
      </c>
      <c r="G283" s="36" t="s">
        <v>6</v>
      </c>
      <c r="H283" s="36" t="s">
        <v>6</v>
      </c>
      <c r="I283" s="36" t="s">
        <v>6</v>
      </c>
      <c r="J283" s="36" t="s">
        <v>6</v>
      </c>
      <c r="K283" s="36" t="s">
        <v>6</v>
      </c>
      <c r="L283" s="36" t="s">
        <v>6</v>
      </c>
      <c r="M283" s="36" t="s">
        <v>6</v>
      </c>
      <c r="N283" s="36" t="s">
        <v>6</v>
      </c>
      <c r="O283" s="36" t="s">
        <v>6</v>
      </c>
      <c r="P283" s="36" t="s">
        <v>6</v>
      </c>
      <c r="Q283" s="36" t="s">
        <v>6</v>
      </c>
      <c r="R283" s="36" t="s">
        <v>6</v>
      </c>
      <c r="S283" s="36" t="s">
        <v>6</v>
      </c>
      <c r="T283" s="36" t="s">
        <v>6</v>
      </c>
      <c r="U283" s="36" t="s">
        <v>6</v>
      </c>
      <c r="V283" s="4" t="s">
        <v>1</v>
      </c>
      <c r="W283" s="4">
        <v>1</v>
      </c>
      <c r="X283" s="4">
        <v>3</v>
      </c>
      <c r="Y283" s="4">
        <v>2</v>
      </c>
      <c r="Z283" s="5">
        <v>3</v>
      </c>
      <c r="AA283" s="4">
        <v>3</v>
      </c>
      <c r="AB283" s="4" t="s">
        <v>6</v>
      </c>
      <c r="AC283" s="4" t="s">
        <v>6</v>
      </c>
      <c r="AD283" s="4" t="s">
        <v>6</v>
      </c>
      <c r="AE283" s="5" t="s">
        <v>6</v>
      </c>
      <c r="AF283" s="4">
        <v>3</v>
      </c>
      <c r="AG283" s="5" t="s">
        <v>6</v>
      </c>
      <c r="AH283" s="4">
        <v>3</v>
      </c>
      <c r="AI283" s="4" t="s">
        <v>6</v>
      </c>
      <c r="AJ283" s="4" t="s">
        <v>6</v>
      </c>
      <c r="AK283" s="4" t="s">
        <v>6</v>
      </c>
      <c r="AL283" s="4" t="s">
        <v>6</v>
      </c>
      <c r="AM283" s="4" t="s">
        <v>6</v>
      </c>
      <c r="AN283" s="5" t="s">
        <v>6</v>
      </c>
    </row>
    <row r="284" spans="1:40" x14ac:dyDescent="0.2">
      <c r="A284" s="15">
        <v>832</v>
      </c>
      <c r="B284" s="36" t="s">
        <v>6</v>
      </c>
      <c r="C284" s="36" t="s">
        <v>6</v>
      </c>
      <c r="D284" s="36" t="s">
        <v>6</v>
      </c>
      <c r="E284" s="36" t="s">
        <v>6</v>
      </c>
      <c r="F284" s="36" t="s">
        <v>6</v>
      </c>
      <c r="G284" s="36" t="s">
        <v>6</v>
      </c>
      <c r="H284" s="36" t="s">
        <v>6</v>
      </c>
      <c r="I284" s="36" t="s">
        <v>6</v>
      </c>
      <c r="J284" s="36" t="s">
        <v>6</v>
      </c>
      <c r="K284" s="36" t="s">
        <v>6</v>
      </c>
      <c r="L284" s="36" t="s">
        <v>6</v>
      </c>
      <c r="M284" s="36" t="s">
        <v>6</v>
      </c>
      <c r="N284" s="36" t="s">
        <v>6</v>
      </c>
      <c r="O284" s="36" t="s">
        <v>6</v>
      </c>
      <c r="P284" s="36" t="s">
        <v>6</v>
      </c>
      <c r="Q284" s="36" t="s">
        <v>6</v>
      </c>
      <c r="R284" s="36" t="s">
        <v>6</v>
      </c>
      <c r="S284" s="36" t="s">
        <v>6</v>
      </c>
      <c r="T284" s="36" t="s">
        <v>6</v>
      </c>
      <c r="U284" s="36" t="s">
        <v>6</v>
      </c>
      <c r="V284" s="4" t="s">
        <v>1</v>
      </c>
      <c r="W284" s="4">
        <v>1</v>
      </c>
      <c r="X284" s="4">
        <v>3</v>
      </c>
      <c r="Y284" s="4">
        <v>2</v>
      </c>
      <c r="Z284" s="5">
        <v>3</v>
      </c>
      <c r="AA284" s="4">
        <v>3</v>
      </c>
      <c r="AB284" s="4" t="s">
        <v>6</v>
      </c>
      <c r="AC284" s="4" t="s">
        <v>6</v>
      </c>
      <c r="AD284" s="4" t="s">
        <v>6</v>
      </c>
      <c r="AE284" s="5" t="s">
        <v>6</v>
      </c>
      <c r="AF284" s="4">
        <v>3</v>
      </c>
      <c r="AG284" s="5" t="s">
        <v>6</v>
      </c>
      <c r="AH284" s="4">
        <v>3</v>
      </c>
      <c r="AI284" s="4" t="s">
        <v>6</v>
      </c>
      <c r="AJ284" s="4" t="s">
        <v>6</v>
      </c>
      <c r="AK284" s="4" t="s">
        <v>6</v>
      </c>
      <c r="AL284" s="4" t="s">
        <v>6</v>
      </c>
      <c r="AM284" s="4" t="s">
        <v>6</v>
      </c>
      <c r="AN284" s="5" t="s">
        <v>6</v>
      </c>
    </row>
    <row r="285" spans="1:40" x14ac:dyDescent="0.2">
      <c r="A285" s="15">
        <v>836</v>
      </c>
      <c r="B285" s="36" t="s">
        <v>6</v>
      </c>
      <c r="C285" s="36" t="s">
        <v>6</v>
      </c>
      <c r="D285" s="36" t="s">
        <v>6</v>
      </c>
      <c r="E285" s="36" t="s">
        <v>6</v>
      </c>
      <c r="F285" s="36" t="s">
        <v>6</v>
      </c>
      <c r="G285" s="36" t="s">
        <v>6</v>
      </c>
      <c r="H285" s="36" t="s">
        <v>6</v>
      </c>
      <c r="I285" s="36" t="s">
        <v>6</v>
      </c>
      <c r="J285" s="36" t="s">
        <v>6</v>
      </c>
      <c r="K285" s="36" t="s">
        <v>6</v>
      </c>
      <c r="L285" s="36" t="s">
        <v>6</v>
      </c>
      <c r="M285" s="36" t="s">
        <v>6</v>
      </c>
      <c r="N285" s="36" t="s">
        <v>6</v>
      </c>
      <c r="O285" s="36" t="s">
        <v>6</v>
      </c>
      <c r="P285" s="36" t="s">
        <v>6</v>
      </c>
      <c r="Q285" s="36" t="s">
        <v>6</v>
      </c>
      <c r="R285" s="36" t="s">
        <v>6</v>
      </c>
      <c r="S285" s="36" t="s">
        <v>6</v>
      </c>
      <c r="T285" s="36" t="s">
        <v>6</v>
      </c>
      <c r="U285" s="36" t="s">
        <v>6</v>
      </c>
      <c r="V285" s="4" t="s">
        <v>1</v>
      </c>
      <c r="W285" s="4">
        <v>1</v>
      </c>
      <c r="X285" s="4">
        <v>3</v>
      </c>
      <c r="Y285" s="4">
        <v>2</v>
      </c>
      <c r="Z285" s="5">
        <v>3</v>
      </c>
      <c r="AA285" s="4">
        <v>3</v>
      </c>
      <c r="AB285" s="4" t="s">
        <v>6</v>
      </c>
      <c r="AC285" s="4" t="s">
        <v>6</v>
      </c>
      <c r="AD285" s="4" t="s">
        <v>6</v>
      </c>
      <c r="AE285" s="5" t="s">
        <v>6</v>
      </c>
      <c r="AF285" s="4">
        <v>3</v>
      </c>
      <c r="AG285" s="5" t="s">
        <v>6</v>
      </c>
      <c r="AH285" s="4">
        <v>3</v>
      </c>
      <c r="AI285" s="4" t="s">
        <v>6</v>
      </c>
      <c r="AJ285" s="4" t="s">
        <v>6</v>
      </c>
      <c r="AK285" s="4" t="s">
        <v>6</v>
      </c>
      <c r="AL285" s="4" t="s">
        <v>6</v>
      </c>
      <c r="AM285" s="4" t="s">
        <v>6</v>
      </c>
      <c r="AN285" s="5" t="s">
        <v>6</v>
      </c>
    </row>
    <row r="286" spans="1:40" x14ac:dyDescent="0.2">
      <c r="A286" s="15">
        <v>843</v>
      </c>
      <c r="B286" s="36" t="s">
        <v>6</v>
      </c>
      <c r="C286" s="36" t="s">
        <v>6</v>
      </c>
      <c r="D286" s="36" t="s">
        <v>6</v>
      </c>
      <c r="E286" s="36" t="s">
        <v>6</v>
      </c>
      <c r="F286" s="36" t="s">
        <v>6</v>
      </c>
      <c r="G286" s="36" t="s">
        <v>6</v>
      </c>
      <c r="H286" s="36" t="s">
        <v>6</v>
      </c>
      <c r="I286" s="36" t="s">
        <v>6</v>
      </c>
      <c r="J286" s="36" t="s">
        <v>6</v>
      </c>
      <c r="K286" s="36" t="s">
        <v>6</v>
      </c>
      <c r="L286" s="36" t="s">
        <v>6</v>
      </c>
      <c r="M286" s="36" t="s">
        <v>6</v>
      </c>
      <c r="N286" s="36" t="s">
        <v>6</v>
      </c>
      <c r="O286" s="36" t="s">
        <v>6</v>
      </c>
      <c r="P286" s="36" t="s">
        <v>6</v>
      </c>
      <c r="Q286" s="36" t="s">
        <v>6</v>
      </c>
      <c r="R286" s="36" t="s">
        <v>6</v>
      </c>
      <c r="S286" s="36" t="s">
        <v>6</v>
      </c>
      <c r="T286" s="36" t="s">
        <v>6</v>
      </c>
      <c r="U286" s="36" t="s">
        <v>6</v>
      </c>
      <c r="V286" s="4" t="s">
        <v>1</v>
      </c>
      <c r="W286" s="4">
        <v>1</v>
      </c>
      <c r="X286" s="4">
        <v>3</v>
      </c>
      <c r="Y286" s="4">
        <v>2</v>
      </c>
      <c r="Z286" s="5">
        <v>3</v>
      </c>
      <c r="AA286" s="4">
        <v>3</v>
      </c>
      <c r="AB286" s="4" t="s">
        <v>6</v>
      </c>
      <c r="AC286" s="4" t="s">
        <v>6</v>
      </c>
      <c r="AD286" s="4" t="s">
        <v>6</v>
      </c>
      <c r="AE286" s="5" t="s">
        <v>6</v>
      </c>
      <c r="AF286" s="4">
        <v>3</v>
      </c>
      <c r="AG286" s="5" t="s">
        <v>6</v>
      </c>
      <c r="AH286" s="4">
        <v>3</v>
      </c>
      <c r="AI286" s="4" t="s">
        <v>6</v>
      </c>
      <c r="AJ286" s="4" t="s">
        <v>6</v>
      </c>
      <c r="AK286" s="4" t="s">
        <v>6</v>
      </c>
      <c r="AL286" s="4" t="s">
        <v>6</v>
      </c>
      <c r="AM286" s="4" t="s">
        <v>6</v>
      </c>
      <c r="AN286" s="5" t="s">
        <v>6</v>
      </c>
    </row>
    <row r="287" spans="1:40" x14ac:dyDescent="0.2">
      <c r="A287" s="15">
        <v>865</v>
      </c>
      <c r="B287" s="36" t="s">
        <v>6</v>
      </c>
      <c r="C287" s="36" t="s">
        <v>6</v>
      </c>
      <c r="D287" s="36" t="s">
        <v>6</v>
      </c>
      <c r="E287" s="36" t="s">
        <v>6</v>
      </c>
      <c r="F287" s="36" t="s">
        <v>6</v>
      </c>
      <c r="G287" s="36" t="s">
        <v>6</v>
      </c>
      <c r="H287" s="36" t="s">
        <v>6</v>
      </c>
      <c r="I287" s="36" t="s">
        <v>6</v>
      </c>
      <c r="J287" s="36" t="s">
        <v>6</v>
      </c>
      <c r="K287" s="36" t="s">
        <v>6</v>
      </c>
      <c r="L287" s="36" t="s">
        <v>6</v>
      </c>
      <c r="M287" s="36" t="s">
        <v>6</v>
      </c>
      <c r="N287" s="36" t="s">
        <v>6</v>
      </c>
      <c r="O287" s="36" t="s">
        <v>6</v>
      </c>
      <c r="P287" s="36" t="s">
        <v>6</v>
      </c>
      <c r="Q287" s="36" t="s">
        <v>6</v>
      </c>
      <c r="R287" s="36" t="s">
        <v>6</v>
      </c>
      <c r="S287" s="36" t="s">
        <v>6</v>
      </c>
      <c r="T287" s="36" t="s">
        <v>6</v>
      </c>
      <c r="U287" s="36" t="s">
        <v>6</v>
      </c>
      <c r="V287" s="4" t="s">
        <v>1</v>
      </c>
      <c r="W287" s="4">
        <v>1</v>
      </c>
      <c r="X287" s="4">
        <v>3</v>
      </c>
      <c r="Y287" s="4">
        <v>2</v>
      </c>
      <c r="Z287" s="5">
        <v>3</v>
      </c>
      <c r="AA287" s="4">
        <v>3</v>
      </c>
      <c r="AB287" s="4" t="s">
        <v>6</v>
      </c>
      <c r="AC287" s="4" t="s">
        <v>6</v>
      </c>
      <c r="AD287" s="4" t="s">
        <v>6</v>
      </c>
      <c r="AE287" s="5" t="s">
        <v>6</v>
      </c>
      <c r="AF287" s="4">
        <v>3</v>
      </c>
      <c r="AG287" s="5" t="s">
        <v>6</v>
      </c>
      <c r="AH287" s="4">
        <v>3</v>
      </c>
      <c r="AI287" s="4" t="s">
        <v>6</v>
      </c>
      <c r="AJ287" s="4" t="s">
        <v>6</v>
      </c>
      <c r="AK287" s="4" t="s">
        <v>6</v>
      </c>
      <c r="AL287" s="4" t="s">
        <v>6</v>
      </c>
      <c r="AM287" s="4" t="s">
        <v>6</v>
      </c>
      <c r="AN287" s="5" t="s">
        <v>6</v>
      </c>
    </row>
    <row r="288" spans="1:40" x14ac:dyDescent="0.2">
      <c r="A288" s="15">
        <v>867</v>
      </c>
      <c r="B288" s="36" t="s">
        <v>6</v>
      </c>
      <c r="C288" s="36" t="s">
        <v>6</v>
      </c>
      <c r="D288" s="36" t="s">
        <v>6</v>
      </c>
      <c r="E288" s="36" t="s">
        <v>6</v>
      </c>
      <c r="F288" s="36" t="s">
        <v>6</v>
      </c>
      <c r="G288" s="36" t="s">
        <v>6</v>
      </c>
      <c r="H288" s="36" t="s">
        <v>6</v>
      </c>
      <c r="I288" s="36" t="s">
        <v>6</v>
      </c>
      <c r="J288" s="36" t="s">
        <v>6</v>
      </c>
      <c r="K288" s="36" t="s">
        <v>6</v>
      </c>
      <c r="L288" s="36" t="s">
        <v>6</v>
      </c>
      <c r="M288" s="36" t="s">
        <v>6</v>
      </c>
      <c r="N288" s="36" t="s">
        <v>6</v>
      </c>
      <c r="O288" s="36" t="s">
        <v>6</v>
      </c>
      <c r="P288" s="36" t="s">
        <v>6</v>
      </c>
      <c r="Q288" s="36" t="s">
        <v>6</v>
      </c>
      <c r="R288" s="36" t="s">
        <v>6</v>
      </c>
      <c r="S288" s="36" t="s">
        <v>6</v>
      </c>
      <c r="T288" s="36" t="s">
        <v>6</v>
      </c>
      <c r="U288" s="36" t="s">
        <v>6</v>
      </c>
      <c r="V288" s="4" t="s">
        <v>1</v>
      </c>
      <c r="W288" s="4">
        <v>1</v>
      </c>
      <c r="X288" s="4">
        <v>3</v>
      </c>
      <c r="Y288" s="4">
        <v>2</v>
      </c>
      <c r="Z288" s="5">
        <v>3</v>
      </c>
      <c r="AA288" s="4">
        <v>3</v>
      </c>
      <c r="AB288" s="4" t="s">
        <v>6</v>
      </c>
      <c r="AC288" s="4" t="s">
        <v>6</v>
      </c>
      <c r="AD288" s="4" t="s">
        <v>6</v>
      </c>
      <c r="AE288" s="5" t="s">
        <v>6</v>
      </c>
      <c r="AF288" s="4">
        <v>3</v>
      </c>
      <c r="AG288" s="5" t="s">
        <v>6</v>
      </c>
      <c r="AH288" s="4">
        <v>3</v>
      </c>
      <c r="AI288" s="4" t="s">
        <v>6</v>
      </c>
      <c r="AJ288" s="4" t="s">
        <v>6</v>
      </c>
      <c r="AK288" s="4" t="s">
        <v>6</v>
      </c>
      <c r="AL288" s="4" t="s">
        <v>6</v>
      </c>
      <c r="AM288" s="4" t="s">
        <v>6</v>
      </c>
      <c r="AN288" s="5" t="s">
        <v>6</v>
      </c>
    </row>
    <row r="289" spans="1:40" x14ac:dyDescent="0.2">
      <c r="A289" s="15">
        <v>881</v>
      </c>
      <c r="B289" s="36" t="s">
        <v>6</v>
      </c>
      <c r="C289" s="36" t="s">
        <v>6</v>
      </c>
      <c r="D289" s="36" t="s">
        <v>6</v>
      </c>
      <c r="E289" s="36" t="s">
        <v>6</v>
      </c>
      <c r="F289" s="36" t="s">
        <v>6</v>
      </c>
      <c r="G289" s="36" t="s">
        <v>6</v>
      </c>
      <c r="H289" s="36" t="s">
        <v>6</v>
      </c>
      <c r="I289" s="36" t="s">
        <v>6</v>
      </c>
      <c r="J289" s="36" t="s">
        <v>6</v>
      </c>
      <c r="K289" s="36" t="s">
        <v>6</v>
      </c>
      <c r="L289" s="36" t="s">
        <v>6</v>
      </c>
      <c r="M289" s="36" t="s">
        <v>6</v>
      </c>
      <c r="N289" s="36" t="s">
        <v>6</v>
      </c>
      <c r="O289" s="36" t="s">
        <v>6</v>
      </c>
      <c r="P289" s="36" t="s">
        <v>6</v>
      </c>
      <c r="Q289" s="36" t="s">
        <v>6</v>
      </c>
      <c r="R289" s="36" t="s">
        <v>6</v>
      </c>
      <c r="S289" s="36" t="s">
        <v>6</v>
      </c>
      <c r="T289" s="36" t="s">
        <v>6</v>
      </c>
      <c r="U289" s="36" t="s">
        <v>6</v>
      </c>
      <c r="V289" s="4" t="s">
        <v>1</v>
      </c>
      <c r="W289" s="4">
        <v>1</v>
      </c>
      <c r="X289" s="4">
        <v>3</v>
      </c>
      <c r="Y289" s="4">
        <v>2</v>
      </c>
      <c r="Z289" s="5">
        <v>3</v>
      </c>
      <c r="AA289" s="4">
        <v>3</v>
      </c>
      <c r="AB289" s="4" t="s">
        <v>6</v>
      </c>
      <c r="AC289" s="4" t="s">
        <v>6</v>
      </c>
      <c r="AD289" s="4" t="s">
        <v>6</v>
      </c>
      <c r="AE289" s="5" t="s">
        <v>6</v>
      </c>
      <c r="AF289" s="4">
        <v>3</v>
      </c>
      <c r="AG289" s="5" t="s">
        <v>6</v>
      </c>
      <c r="AH289" s="4">
        <v>3</v>
      </c>
      <c r="AI289" s="4" t="s">
        <v>6</v>
      </c>
      <c r="AJ289" s="4" t="s">
        <v>6</v>
      </c>
      <c r="AK289" s="4" t="s">
        <v>6</v>
      </c>
      <c r="AL289" s="4" t="s">
        <v>6</v>
      </c>
      <c r="AM289" s="4" t="s">
        <v>6</v>
      </c>
      <c r="AN289" s="5" t="s">
        <v>6</v>
      </c>
    </row>
    <row r="290" spans="1:40" x14ac:dyDescent="0.2">
      <c r="A290" s="15">
        <v>883</v>
      </c>
      <c r="B290" s="36" t="s">
        <v>6</v>
      </c>
      <c r="C290" s="36" t="s">
        <v>6</v>
      </c>
      <c r="D290" s="36" t="s">
        <v>6</v>
      </c>
      <c r="E290" s="36" t="s">
        <v>6</v>
      </c>
      <c r="F290" s="36" t="s">
        <v>6</v>
      </c>
      <c r="G290" s="36" t="s">
        <v>6</v>
      </c>
      <c r="H290" s="36" t="s">
        <v>6</v>
      </c>
      <c r="I290" s="36" t="s">
        <v>6</v>
      </c>
      <c r="J290" s="36" t="s">
        <v>6</v>
      </c>
      <c r="K290" s="36" t="s">
        <v>6</v>
      </c>
      <c r="L290" s="36" t="s">
        <v>6</v>
      </c>
      <c r="M290" s="36" t="s">
        <v>6</v>
      </c>
      <c r="N290" s="36" t="s">
        <v>6</v>
      </c>
      <c r="O290" s="36" t="s">
        <v>6</v>
      </c>
      <c r="P290" s="36" t="s">
        <v>6</v>
      </c>
      <c r="Q290" s="36" t="s">
        <v>6</v>
      </c>
      <c r="R290" s="36" t="s">
        <v>6</v>
      </c>
      <c r="S290" s="36" t="s">
        <v>6</v>
      </c>
      <c r="T290" s="36" t="s">
        <v>6</v>
      </c>
      <c r="U290" s="36" t="s">
        <v>6</v>
      </c>
      <c r="V290" s="4" t="s">
        <v>1</v>
      </c>
      <c r="W290" s="4">
        <v>1</v>
      </c>
      <c r="X290" s="4">
        <v>3</v>
      </c>
      <c r="Y290" s="4">
        <v>2</v>
      </c>
      <c r="Z290" s="5">
        <v>3</v>
      </c>
      <c r="AA290" s="4">
        <v>3</v>
      </c>
      <c r="AB290" s="4" t="s">
        <v>6</v>
      </c>
      <c r="AC290" s="4" t="s">
        <v>6</v>
      </c>
      <c r="AD290" s="4" t="s">
        <v>6</v>
      </c>
      <c r="AE290" s="5" t="s">
        <v>6</v>
      </c>
      <c r="AF290" s="4">
        <v>3</v>
      </c>
      <c r="AG290" s="5" t="s">
        <v>6</v>
      </c>
      <c r="AH290" s="4">
        <v>3</v>
      </c>
      <c r="AI290" s="4" t="s">
        <v>6</v>
      </c>
      <c r="AJ290" s="4" t="s">
        <v>6</v>
      </c>
      <c r="AK290" s="4" t="s">
        <v>6</v>
      </c>
      <c r="AL290" s="4" t="s">
        <v>6</v>
      </c>
      <c r="AM290" s="4" t="s">
        <v>6</v>
      </c>
      <c r="AN290" s="5" t="s">
        <v>6</v>
      </c>
    </row>
    <row r="291" spans="1:40" x14ac:dyDescent="0.2">
      <c r="A291" s="15">
        <v>890</v>
      </c>
      <c r="B291" s="36" t="s">
        <v>6</v>
      </c>
      <c r="C291" s="36" t="s">
        <v>6</v>
      </c>
      <c r="D291" s="36" t="s">
        <v>6</v>
      </c>
      <c r="E291" s="36" t="s">
        <v>6</v>
      </c>
      <c r="F291" s="36" t="s">
        <v>6</v>
      </c>
      <c r="G291" s="36" t="s">
        <v>6</v>
      </c>
      <c r="H291" s="36" t="s">
        <v>6</v>
      </c>
      <c r="I291" s="36" t="s">
        <v>6</v>
      </c>
      <c r="J291" s="36" t="s">
        <v>6</v>
      </c>
      <c r="K291" s="36" t="s">
        <v>6</v>
      </c>
      <c r="L291" s="36" t="s">
        <v>6</v>
      </c>
      <c r="M291" s="36" t="s">
        <v>6</v>
      </c>
      <c r="N291" s="36" t="s">
        <v>6</v>
      </c>
      <c r="O291" s="36" t="s">
        <v>6</v>
      </c>
      <c r="P291" s="36" t="s">
        <v>6</v>
      </c>
      <c r="Q291" s="36" t="s">
        <v>6</v>
      </c>
      <c r="R291" s="36" t="s">
        <v>6</v>
      </c>
      <c r="S291" s="36" t="s">
        <v>6</v>
      </c>
      <c r="T291" s="36" t="s">
        <v>6</v>
      </c>
      <c r="U291" s="36" t="s">
        <v>6</v>
      </c>
      <c r="V291" s="4" t="s">
        <v>1</v>
      </c>
      <c r="W291" s="4">
        <v>1</v>
      </c>
      <c r="X291" s="4">
        <v>3</v>
      </c>
      <c r="Y291" s="4">
        <v>2</v>
      </c>
      <c r="Z291" s="5">
        <v>3</v>
      </c>
      <c r="AA291" s="4">
        <v>3</v>
      </c>
      <c r="AB291" s="4" t="s">
        <v>6</v>
      </c>
      <c r="AC291" s="4" t="s">
        <v>6</v>
      </c>
      <c r="AD291" s="4" t="s">
        <v>6</v>
      </c>
      <c r="AE291" s="5" t="s">
        <v>6</v>
      </c>
      <c r="AF291" s="4">
        <v>3</v>
      </c>
      <c r="AG291" s="5" t="s">
        <v>6</v>
      </c>
      <c r="AH291" s="4">
        <v>3</v>
      </c>
      <c r="AI291" s="4" t="s">
        <v>6</v>
      </c>
      <c r="AJ291" s="4" t="s">
        <v>6</v>
      </c>
      <c r="AK291" s="4" t="s">
        <v>6</v>
      </c>
      <c r="AL291" s="4" t="s">
        <v>6</v>
      </c>
      <c r="AM291" s="4" t="s">
        <v>6</v>
      </c>
      <c r="AN291" s="5" t="s">
        <v>6</v>
      </c>
    </row>
    <row r="292" spans="1:40" x14ac:dyDescent="0.2">
      <c r="A292" s="15">
        <v>929</v>
      </c>
      <c r="B292" s="36" t="s">
        <v>6</v>
      </c>
      <c r="C292" s="36" t="s">
        <v>6</v>
      </c>
      <c r="D292" s="36" t="s">
        <v>6</v>
      </c>
      <c r="E292" s="36" t="s">
        <v>6</v>
      </c>
      <c r="F292" s="36" t="s">
        <v>6</v>
      </c>
      <c r="G292" s="36" t="s">
        <v>6</v>
      </c>
      <c r="H292" s="36" t="s">
        <v>6</v>
      </c>
      <c r="I292" s="36" t="s">
        <v>6</v>
      </c>
      <c r="J292" s="36" t="s">
        <v>6</v>
      </c>
      <c r="K292" s="36" t="s">
        <v>6</v>
      </c>
      <c r="L292" s="36" t="s">
        <v>6</v>
      </c>
      <c r="M292" s="36" t="s">
        <v>6</v>
      </c>
      <c r="N292" s="36" t="s">
        <v>6</v>
      </c>
      <c r="O292" s="36" t="s">
        <v>6</v>
      </c>
      <c r="P292" s="36" t="s">
        <v>6</v>
      </c>
      <c r="Q292" s="36" t="s">
        <v>6</v>
      </c>
      <c r="R292" s="36" t="s">
        <v>6</v>
      </c>
      <c r="S292" s="36" t="s">
        <v>6</v>
      </c>
      <c r="T292" s="36" t="s">
        <v>6</v>
      </c>
      <c r="U292" s="36" t="s">
        <v>6</v>
      </c>
      <c r="V292" s="4" t="s">
        <v>1</v>
      </c>
      <c r="W292" s="4">
        <v>1</v>
      </c>
      <c r="X292" s="4">
        <v>3</v>
      </c>
      <c r="Y292" s="4">
        <v>2</v>
      </c>
      <c r="Z292" s="5">
        <v>3</v>
      </c>
      <c r="AA292" s="4">
        <v>3</v>
      </c>
      <c r="AB292" s="4" t="s">
        <v>6</v>
      </c>
      <c r="AC292" s="4" t="s">
        <v>6</v>
      </c>
      <c r="AD292" s="4" t="s">
        <v>6</v>
      </c>
      <c r="AE292" s="5" t="s">
        <v>6</v>
      </c>
      <c r="AF292" s="4">
        <v>3</v>
      </c>
      <c r="AG292" s="5" t="s">
        <v>6</v>
      </c>
      <c r="AH292" s="4">
        <v>3</v>
      </c>
      <c r="AI292" s="4" t="s">
        <v>6</v>
      </c>
      <c r="AJ292" s="4" t="s">
        <v>6</v>
      </c>
      <c r="AK292" s="4" t="s">
        <v>6</v>
      </c>
      <c r="AL292" s="4" t="s">
        <v>6</v>
      </c>
      <c r="AM292" s="4" t="s">
        <v>6</v>
      </c>
      <c r="AN292" s="5" t="s">
        <v>6</v>
      </c>
    </row>
    <row r="293" spans="1:40" x14ac:dyDescent="0.2">
      <c r="A293" s="15">
        <v>935</v>
      </c>
      <c r="B293" s="36" t="s">
        <v>6</v>
      </c>
      <c r="C293" s="36" t="s">
        <v>6</v>
      </c>
      <c r="D293" s="36" t="s">
        <v>6</v>
      </c>
      <c r="E293" s="36" t="s">
        <v>6</v>
      </c>
      <c r="F293" s="36" t="s">
        <v>6</v>
      </c>
      <c r="G293" s="36" t="s">
        <v>6</v>
      </c>
      <c r="H293" s="36" t="s">
        <v>6</v>
      </c>
      <c r="I293" s="36" t="s">
        <v>6</v>
      </c>
      <c r="J293" s="36" t="s">
        <v>6</v>
      </c>
      <c r="K293" s="36" t="s">
        <v>6</v>
      </c>
      <c r="L293" s="36" t="s">
        <v>6</v>
      </c>
      <c r="M293" s="36" t="s">
        <v>6</v>
      </c>
      <c r="N293" s="36" t="s">
        <v>6</v>
      </c>
      <c r="O293" s="36" t="s">
        <v>6</v>
      </c>
      <c r="P293" s="36" t="s">
        <v>6</v>
      </c>
      <c r="Q293" s="36" t="s">
        <v>6</v>
      </c>
      <c r="R293" s="36" t="s">
        <v>6</v>
      </c>
      <c r="S293" s="36" t="s">
        <v>6</v>
      </c>
      <c r="T293" s="36" t="s">
        <v>6</v>
      </c>
      <c r="U293" s="36" t="s">
        <v>6</v>
      </c>
      <c r="V293" s="4" t="s">
        <v>1</v>
      </c>
      <c r="W293" s="4">
        <v>1</v>
      </c>
      <c r="X293" s="4">
        <v>3</v>
      </c>
      <c r="Y293" s="4">
        <v>2</v>
      </c>
      <c r="Z293" s="5">
        <v>3</v>
      </c>
      <c r="AA293" s="4">
        <v>3</v>
      </c>
      <c r="AB293" s="4" t="s">
        <v>6</v>
      </c>
      <c r="AC293" s="4" t="s">
        <v>6</v>
      </c>
      <c r="AD293" s="4" t="s">
        <v>6</v>
      </c>
      <c r="AE293" s="5" t="s">
        <v>6</v>
      </c>
      <c r="AF293" s="4">
        <v>3</v>
      </c>
      <c r="AG293" s="5" t="s">
        <v>6</v>
      </c>
      <c r="AH293" s="4">
        <v>3</v>
      </c>
      <c r="AI293" s="4" t="s">
        <v>6</v>
      </c>
      <c r="AJ293" s="4" t="s">
        <v>6</v>
      </c>
      <c r="AK293" s="4" t="s">
        <v>6</v>
      </c>
      <c r="AL293" s="4" t="s">
        <v>6</v>
      </c>
      <c r="AM293" s="4" t="s">
        <v>6</v>
      </c>
      <c r="AN293" s="5" t="s">
        <v>6</v>
      </c>
    </row>
    <row r="294" spans="1:40" x14ac:dyDescent="0.2">
      <c r="A294" s="15">
        <v>943</v>
      </c>
      <c r="B294" s="36" t="s">
        <v>6</v>
      </c>
      <c r="C294" s="36" t="s">
        <v>6</v>
      </c>
      <c r="D294" s="36" t="s">
        <v>6</v>
      </c>
      <c r="E294" s="36" t="s">
        <v>6</v>
      </c>
      <c r="F294" s="36" t="s">
        <v>6</v>
      </c>
      <c r="G294" s="36" t="s">
        <v>6</v>
      </c>
      <c r="H294" s="36" t="s">
        <v>6</v>
      </c>
      <c r="I294" s="36" t="s">
        <v>6</v>
      </c>
      <c r="J294" s="36" t="s">
        <v>6</v>
      </c>
      <c r="K294" s="36" t="s">
        <v>6</v>
      </c>
      <c r="L294" s="36" t="s">
        <v>6</v>
      </c>
      <c r="M294" s="36" t="s">
        <v>6</v>
      </c>
      <c r="N294" s="36" t="s">
        <v>6</v>
      </c>
      <c r="O294" s="36" t="s">
        <v>6</v>
      </c>
      <c r="P294" s="36" t="s">
        <v>6</v>
      </c>
      <c r="Q294" s="36" t="s">
        <v>6</v>
      </c>
      <c r="R294" s="36" t="s">
        <v>6</v>
      </c>
      <c r="S294" s="36" t="s">
        <v>6</v>
      </c>
      <c r="T294" s="36" t="s">
        <v>6</v>
      </c>
      <c r="U294" s="36" t="s">
        <v>6</v>
      </c>
      <c r="V294" s="4" t="s">
        <v>1</v>
      </c>
      <c r="W294" s="4">
        <v>1</v>
      </c>
      <c r="X294" s="4">
        <v>3</v>
      </c>
      <c r="Y294" s="4">
        <v>2</v>
      </c>
      <c r="Z294" s="5">
        <v>3</v>
      </c>
      <c r="AA294" s="4">
        <v>3</v>
      </c>
      <c r="AB294" s="4" t="s">
        <v>6</v>
      </c>
      <c r="AC294" s="4" t="s">
        <v>6</v>
      </c>
      <c r="AD294" s="4" t="s">
        <v>6</v>
      </c>
      <c r="AE294" s="5" t="s">
        <v>6</v>
      </c>
      <c r="AF294" s="4">
        <v>3</v>
      </c>
      <c r="AG294" s="5" t="s">
        <v>6</v>
      </c>
      <c r="AH294" s="4">
        <v>3</v>
      </c>
      <c r="AI294" s="4" t="s">
        <v>6</v>
      </c>
      <c r="AJ294" s="4" t="s">
        <v>6</v>
      </c>
      <c r="AK294" s="4" t="s">
        <v>6</v>
      </c>
      <c r="AL294" s="4" t="s">
        <v>6</v>
      </c>
      <c r="AM294" s="4" t="s">
        <v>6</v>
      </c>
      <c r="AN294" s="5" t="s">
        <v>6</v>
      </c>
    </row>
    <row r="295" spans="1:40" x14ac:dyDescent="0.2">
      <c r="A295" s="15">
        <v>953</v>
      </c>
      <c r="B295" s="36" t="s">
        <v>6</v>
      </c>
      <c r="C295" s="36" t="s">
        <v>6</v>
      </c>
      <c r="D295" s="36" t="s">
        <v>6</v>
      </c>
      <c r="E295" s="36" t="s">
        <v>6</v>
      </c>
      <c r="F295" s="36" t="s">
        <v>6</v>
      </c>
      <c r="G295" s="36" t="s">
        <v>6</v>
      </c>
      <c r="H295" s="36" t="s">
        <v>6</v>
      </c>
      <c r="I295" s="36" t="s">
        <v>6</v>
      </c>
      <c r="J295" s="36" t="s">
        <v>6</v>
      </c>
      <c r="K295" s="36" t="s">
        <v>6</v>
      </c>
      <c r="L295" s="36" t="s">
        <v>6</v>
      </c>
      <c r="M295" s="36" t="s">
        <v>6</v>
      </c>
      <c r="N295" s="36" t="s">
        <v>6</v>
      </c>
      <c r="O295" s="36" t="s">
        <v>6</v>
      </c>
      <c r="P295" s="36" t="s">
        <v>6</v>
      </c>
      <c r="Q295" s="36" t="s">
        <v>6</v>
      </c>
      <c r="R295" s="36" t="s">
        <v>6</v>
      </c>
      <c r="S295" s="36" t="s">
        <v>6</v>
      </c>
      <c r="T295" s="36" t="s">
        <v>6</v>
      </c>
      <c r="U295" s="36" t="s">
        <v>6</v>
      </c>
      <c r="V295" s="4" t="s">
        <v>1</v>
      </c>
      <c r="W295" s="4">
        <v>1</v>
      </c>
      <c r="X295" s="4">
        <v>3</v>
      </c>
      <c r="Y295" s="4">
        <v>2</v>
      </c>
      <c r="Z295" s="5">
        <v>3</v>
      </c>
      <c r="AA295" s="4">
        <v>3</v>
      </c>
      <c r="AB295" s="4" t="s">
        <v>6</v>
      </c>
      <c r="AC295" s="4" t="s">
        <v>6</v>
      </c>
      <c r="AD295" s="4" t="s">
        <v>6</v>
      </c>
      <c r="AE295" s="5" t="s">
        <v>6</v>
      </c>
      <c r="AF295" s="4">
        <v>3</v>
      </c>
      <c r="AG295" s="5" t="s">
        <v>6</v>
      </c>
      <c r="AH295" s="4">
        <v>3</v>
      </c>
      <c r="AI295" s="4" t="s">
        <v>6</v>
      </c>
      <c r="AJ295" s="4" t="s">
        <v>6</v>
      </c>
      <c r="AK295" s="4" t="s">
        <v>6</v>
      </c>
      <c r="AL295" s="4" t="s">
        <v>6</v>
      </c>
      <c r="AM295" s="4" t="s">
        <v>6</v>
      </c>
      <c r="AN295" s="5" t="s">
        <v>6</v>
      </c>
    </row>
    <row r="296" spans="1:40" x14ac:dyDescent="0.2">
      <c r="A296" s="15">
        <v>961</v>
      </c>
      <c r="B296" s="36" t="s">
        <v>6</v>
      </c>
      <c r="C296" s="36" t="s">
        <v>6</v>
      </c>
      <c r="D296" s="36" t="s">
        <v>6</v>
      </c>
      <c r="E296" s="36" t="s">
        <v>6</v>
      </c>
      <c r="F296" s="36" t="s">
        <v>6</v>
      </c>
      <c r="G296" s="36" t="s">
        <v>6</v>
      </c>
      <c r="H296" s="36" t="s">
        <v>6</v>
      </c>
      <c r="I296" s="36" t="s">
        <v>6</v>
      </c>
      <c r="J296" s="36" t="s">
        <v>6</v>
      </c>
      <c r="K296" s="36" t="s">
        <v>6</v>
      </c>
      <c r="L296" s="36" t="s">
        <v>6</v>
      </c>
      <c r="M296" s="36" t="s">
        <v>6</v>
      </c>
      <c r="N296" s="36" t="s">
        <v>6</v>
      </c>
      <c r="O296" s="36" t="s">
        <v>6</v>
      </c>
      <c r="P296" s="36" t="s">
        <v>6</v>
      </c>
      <c r="Q296" s="36" t="s">
        <v>6</v>
      </c>
      <c r="R296" s="36" t="s">
        <v>6</v>
      </c>
      <c r="S296" s="36" t="s">
        <v>6</v>
      </c>
      <c r="T296" s="36" t="s">
        <v>6</v>
      </c>
      <c r="U296" s="36" t="s">
        <v>6</v>
      </c>
      <c r="V296" s="4" t="s">
        <v>1</v>
      </c>
      <c r="W296" s="4">
        <v>1</v>
      </c>
      <c r="X296" s="4">
        <v>3</v>
      </c>
      <c r="Y296" s="4">
        <v>2</v>
      </c>
      <c r="Z296" s="5">
        <v>3</v>
      </c>
      <c r="AA296" s="4">
        <v>3</v>
      </c>
      <c r="AB296" s="4" t="s">
        <v>6</v>
      </c>
      <c r="AC296" s="4" t="s">
        <v>6</v>
      </c>
      <c r="AD296" s="4" t="s">
        <v>6</v>
      </c>
      <c r="AE296" s="5" t="s">
        <v>6</v>
      </c>
      <c r="AF296" s="4">
        <v>3</v>
      </c>
      <c r="AG296" s="5" t="s">
        <v>6</v>
      </c>
      <c r="AH296" s="4">
        <v>3</v>
      </c>
      <c r="AI296" s="4" t="s">
        <v>6</v>
      </c>
      <c r="AJ296" s="4" t="s">
        <v>6</v>
      </c>
      <c r="AK296" s="4" t="s">
        <v>6</v>
      </c>
      <c r="AL296" s="4" t="s">
        <v>6</v>
      </c>
      <c r="AM296" s="4" t="s">
        <v>6</v>
      </c>
      <c r="AN296" s="5" t="s">
        <v>6</v>
      </c>
    </row>
    <row r="297" spans="1:40" x14ac:dyDescent="0.2">
      <c r="A297" s="15">
        <v>965</v>
      </c>
      <c r="B297" s="36" t="s">
        <v>6</v>
      </c>
      <c r="C297" s="36" t="s">
        <v>6</v>
      </c>
      <c r="D297" s="36" t="s">
        <v>6</v>
      </c>
      <c r="E297" s="36" t="s">
        <v>6</v>
      </c>
      <c r="F297" s="36" t="s">
        <v>6</v>
      </c>
      <c r="G297" s="36" t="s">
        <v>6</v>
      </c>
      <c r="H297" s="36" t="s">
        <v>6</v>
      </c>
      <c r="I297" s="36" t="s">
        <v>6</v>
      </c>
      <c r="J297" s="36" t="s">
        <v>6</v>
      </c>
      <c r="K297" s="36" t="s">
        <v>6</v>
      </c>
      <c r="L297" s="36" t="s">
        <v>6</v>
      </c>
      <c r="M297" s="36" t="s">
        <v>6</v>
      </c>
      <c r="N297" s="36" t="s">
        <v>6</v>
      </c>
      <c r="O297" s="36" t="s">
        <v>6</v>
      </c>
      <c r="P297" s="36" t="s">
        <v>6</v>
      </c>
      <c r="Q297" s="36" t="s">
        <v>6</v>
      </c>
      <c r="R297" s="36" t="s">
        <v>6</v>
      </c>
      <c r="S297" s="36" t="s">
        <v>6</v>
      </c>
      <c r="T297" s="36" t="s">
        <v>6</v>
      </c>
      <c r="U297" s="36" t="s">
        <v>6</v>
      </c>
      <c r="V297" s="4" t="s">
        <v>1</v>
      </c>
      <c r="W297" s="4">
        <v>1</v>
      </c>
      <c r="X297" s="4">
        <v>3</v>
      </c>
      <c r="Y297" s="4">
        <v>2</v>
      </c>
      <c r="Z297" s="5">
        <v>3</v>
      </c>
      <c r="AA297" s="4">
        <v>3</v>
      </c>
      <c r="AB297" s="4" t="s">
        <v>6</v>
      </c>
      <c r="AC297" s="4" t="s">
        <v>6</v>
      </c>
      <c r="AD297" s="4" t="s">
        <v>6</v>
      </c>
      <c r="AE297" s="5" t="s">
        <v>6</v>
      </c>
      <c r="AF297" s="4">
        <v>3</v>
      </c>
      <c r="AG297" s="5" t="s">
        <v>6</v>
      </c>
      <c r="AH297" s="4">
        <v>3</v>
      </c>
      <c r="AI297" s="4" t="s">
        <v>6</v>
      </c>
      <c r="AJ297" s="4" t="s">
        <v>6</v>
      </c>
      <c r="AK297" s="4" t="s">
        <v>6</v>
      </c>
      <c r="AL297" s="4" t="s">
        <v>6</v>
      </c>
      <c r="AM297" s="4" t="s">
        <v>6</v>
      </c>
      <c r="AN297" s="5" t="s">
        <v>6</v>
      </c>
    </row>
    <row r="298" spans="1:40" x14ac:dyDescent="0.2">
      <c r="A298" s="16">
        <v>974</v>
      </c>
      <c r="B298" s="36" t="s">
        <v>6</v>
      </c>
      <c r="C298" s="36" t="s">
        <v>6</v>
      </c>
      <c r="D298" s="36" t="s">
        <v>6</v>
      </c>
      <c r="E298" s="36" t="s">
        <v>6</v>
      </c>
      <c r="F298" s="36" t="s">
        <v>6</v>
      </c>
      <c r="G298" s="36" t="s">
        <v>6</v>
      </c>
      <c r="H298" s="36" t="s">
        <v>6</v>
      </c>
      <c r="I298" s="36" t="s">
        <v>6</v>
      </c>
      <c r="J298" s="36" t="s">
        <v>6</v>
      </c>
      <c r="K298" s="36" t="s">
        <v>6</v>
      </c>
      <c r="L298" s="36" t="s">
        <v>6</v>
      </c>
      <c r="M298" s="36" t="s">
        <v>6</v>
      </c>
      <c r="N298" s="36" t="s">
        <v>6</v>
      </c>
      <c r="O298" s="36" t="s">
        <v>6</v>
      </c>
      <c r="P298" s="36" t="s">
        <v>6</v>
      </c>
      <c r="Q298" s="36" t="s">
        <v>6</v>
      </c>
      <c r="R298" s="36" t="s">
        <v>6</v>
      </c>
      <c r="S298" s="36" t="s">
        <v>6</v>
      </c>
      <c r="T298" s="36" t="s">
        <v>6</v>
      </c>
      <c r="U298" s="36" t="s">
        <v>6</v>
      </c>
      <c r="V298" s="4" t="s">
        <v>1</v>
      </c>
      <c r="W298" s="4">
        <v>1</v>
      </c>
      <c r="X298" s="4">
        <v>3</v>
      </c>
      <c r="Y298" s="4">
        <v>2</v>
      </c>
      <c r="Z298" s="5">
        <v>3</v>
      </c>
      <c r="AA298" s="4">
        <v>3</v>
      </c>
      <c r="AB298" s="4" t="s">
        <v>6</v>
      </c>
      <c r="AC298" s="4" t="s">
        <v>6</v>
      </c>
      <c r="AD298" s="4" t="s">
        <v>6</v>
      </c>
      <c r="AE298" s="5" t="s">
        <v>6</v>
      </c>
      <c r="AF298" s="4">
        <v>3</v>
      </c>
      <c r="AG298" s="5" t="s">
        <v>6</v>
      </c>
      <c r="AH298" s="4">
        <v>3</v>
      </c>
      <c r="AI298" s="4" t="s">
        <v>6</v>
      </c>
      <c r="AJ298" s="4" t="s">
        <v>6</v>
      </c>
      <c r="AK298" s="4" t="s">
        <v>6</v>
      </c>
      <c r="AL298" s="4" t="s">
        <v>6</v>
      </c>
      <c r="AM298" s="4" t="s">
        <v>6</v>
      </c>
      <c r="AN298" s="5" t="s">
        <v>6</v>
      </c>
    </row>
    <row r="299" spans="1:40" x14ac:dyDescent="0.2">
      <c r="A299" s="15">
        <v>978</v>
      </c>
      <c r="B299" s="36" t="s">
        <v>6</v>
      </c>
      <c r="C299" s="36" t="s">
        <v>6</v>
      </c>
      <c r="D299" s="36" t="s">
        <v>6</v>
      </c>
      <c r="E299" s="36" t="s">
        <v>6</v>
      </c>
      <c r="F299" s="36" t="s">
        <v>6</v>
      </c>
      <c r="G299" s="36" t="s">
        <v>6</v>
      </c>
      <c r="H299" s="36" t="s">
        <v>6</v>
      </c>
      <c r="I299" s="36" t="s">
        <v>6</v>
      </c>
      <c r="J299" s="36" t="s">
        <v>6</v>
      </c>
      <c r="K299" s="36" t="s">
        <v>6</v>
      </c>
      <c r="L299" s="36" t="s">
        <v>6</v>
      </c>
      <c r="M299" s="36" t="s">
        <v>6</v>
      </c>
      <c r="N299" s="36" t="s">
        <v>6</v>
      </c>
      <c r="O299" s="36" t="s">
        <v>6</v>
      </c>
      <c r="P299" s="36" t="s">
        <v>6</v>
      </c>
      <c r="Q299" s="36" t="s">
        <v>6</v>
      </c>
      <c r="R299" s="36" t="s">
        <v>6</v>
      </c>
      <c r="S299" s="36" t="s">
        <v>6</v>
      </c>
      <c r="T299" s="36" t="s">
        <v>6</v>
      </c>
      <c r="U299" s="36" t="s">
        <v>6</v>
      </c>
      <c r="V299" s="4" t="s">
        <v>1</v>
      </c>
      <c r="W299" s="4">
        <v>1</v>
      </c>
      <c r="X299" s="4">
        <v>3</v>
      </c>
      <c r="Y299" s="4">
        <v>2</v>
      </c>
      <c r="Z299" s="5">
        <v>3</v>
      </c>
      <c r="AA299" s="4">
        <v>3</v>
      </c>
      <c r="AB299" s="4" t="s">
        <v>6</v>
      </c>
      <c r="AC299" s="4" t="s">
        <v>6</v>
      </c>
      <c r="AD299" s="4" t="s">
        <v>6</v>
      </c>
      <c r="AE299" s="5" t="s">
        <v>6</v>
      </c>
      <c r="AF299" s="4">
        <v>3</v>
      </c>
      <c r="AG299" s="5" t="s">
        <v>6</v>
      </c>
      <c r="AH299" s="4">
        <v>3</v>
      </c>
      <c r="AI299" s="4" t="s">
        <v>6</v>
      </c>
      <c r="AJ299" s="4" t="s">
        <v>6</v>
      </c>
      <c r="AK299" s="4" t="s">
        <v>6</v>
      </c>
      <c r="AL299" s="4" t="s">
        <v>6</v>
      </c>
      <c r="AM299" s="4" t="s">
        <v>6</v>
      </c>
      <c r="AN299" s="5" t="s">
        <v>6</v>
      </c>
    </row>
    <row r="300" spans="1:40" x14ac:dyDescent="0.2">
      <c r="A300" s="15">
        <v>980</v>
      </c>
      <c r="B300" s="36" t="s">
        <v>6</v>
      </c>
      <c r="C300" s="36" t="s">
        <v>6</v>
      </c>
      <c r="D300" s="36" t="s">
        <v>6</v>
      </c>
      <c r="E300" s="36" t="s">
        <v>6</v>
      </c>
      <c r="F300" s="36" t="s">
        <v>6</v>
      </c>
      <c r="G300" s="36" t="s">
        <v>6</v>
      </c>
      <c r="H300" s="36" t="s">
        <v>6</v>
      </c>
      <c r="I300" s="36" t="s">
        <v>6</v>
      </c>
      <c r="J300" s="36" t="s">
        <v>6</v>
      </c>
      <c r="K300" s="36" t="s">
        <v>6</v>
      </c>
      <c r="L300" s="36" t="s">
        <v>6</v>
      </c>
      <c r="M300" s="36" t="s">
        <v>6</v>
      </c>
      <c r="N300" s="36" t="s">
        <v>6</v>
      </c>
      <c r="O300" s="36" t="s">
        <v>6</v>
      </c>
      <c r="P300" s="36" t="s">
        <v>6</v>
      </c>
      <c r="Q300" s="36" t="s">
        <v>6</v>
      </c>
      <c r="R300" s="36" t="s">
        <v>6</v>
      </c>
      <c r="S300" s="36" t="s">
        <v>6</v>
      </c>
      <c r="T300" s="36" t="s">
        <v>6</v>
      </c>
      <c r="U300" s="36" t="s">
        <v>6</v>
      </c>
      <c r="V300" s="4" t="s">
        <v>1</v>
      </c>
      <c r="W300" s="4">
        <v>1</v>
      </c>
      <c r="X300" s="4">
        <v>3</v>
      </c>
      <c r="Y300" s="4">
        <v>2</v>
      </c>
      <c r="Z300" s="5">
        <v>3</v>
      </c>
      <c r="AA300" s="4">
        <v>3</v>
      </c>
      <c r="AB300" s="4" t="s">
        <v>6</v>
      </c>
      <c r="AC300" s="4" t="s">
        <v>6</v>
      </c>
      <c r="AD300" s="4" t="s">
        <v>6</v>
      </c>
      <c r="AE300" s="5" t="s">
        <v>6</v>
      </c>
      <c r="AF300" s="4">
        <v>3</v>
      </c>
      <c r="AG300" s="5" t="s">
        <v>6</v>
      </c>
      <c r="AH300" s="4">
        <v>3</v>
      </c>
      <c r="AI300" s="4" t="s">
        <v>6</v>
      </c>
      <c r="AJ300" s="4" t="s">
        <v>6</v>
      </c>
      <c r="AK300" s="4" t="s">
        <v>6</v>
      </c>
      <c r="AL300" s="4" t="s">
        <v>6</v>
      </c>
      <c r="AM300" s="4" t="s">
        <v>6</v>
      </c>
      <c r="AN300" s="5" t="s">
        <v>6</v>
      </c>
    </row>
    <row r="301" spans="1:40" x14ac:dyDescent="0.2">
      <c r="A301" s="15">
        <v>998</v>
      </c>
      <c r="B301" s="36" t="s">
        <v>6</v>
      </c>
      <c r="C301" s="36" t="s">
        <v>6</v>
      </c>
      <c r="D301" s="36" t="s">
        <v>6</v>
      </c>
      <c r="E301" s="36" t="s">
        <v>6</v>
      </c>
      <c r="F301" s="36" t="s">
        <v>6</v>
      </c>
      <c r="G301" s="36" t="s">
        <v>6</v>
      </c>
      <c r="H301" s="36" t="s">
        <v>6</v>
      </c>
      <c r="I301" s="36" t="s">
        <v>6</v>
      </c>
      <c r="J301" s="36" t="s">
        <v>6</v>
      </c>
      <c r="K301" s="36" t="s">
        <v>6</v>
      </c>
      <c r="L301" s="36" t="s">
        <v>6</v>
      </c>
      <c r="M301" s="36" t="s">
        <v>6</v>
      </c>
      <c r="N301" s="36" t="s">
        <v>6</v>
      </c>
      <c r="O301" s="36" t="s">
        <v>6</v>
      </c>
      <c r="P301" s="36" t="s">
        <v>6</v>
      </c>
      <c r="Q301" s="36" t="s">
        <v>6</v>
      </c>
      <c r="R301" s="36" t="s">
        <v>6</v>
      </c>
      <c r="S301" s="36" t="s">
        <v>6</v>
      </c>
      <c r="T301" s="36" t="s">
        <v>6</v>
      </c>
      <c r="U301" s="36" t="s">
        <v>6</v>
      </c>
      <c r="V301" s="4" t="s">
        <v>1</v>
      </c>
      <c r="W301" s="4">
        <v>1</v>
      </c>
      <c r="X301" s="4">
        <v>3</v>
      </c>
      <c r="Y301" s="4">
        <v>2</v>
      </c>
      <c r="Z301" s="5">
        <v>3</v>
      </c>
      <c r="AA301" s="4">
        <v>3</v>
      </c>
      <c r="AB301" s="4" t="s">
        <v>6</v>
      </c>
      <c r="AC301" s="4" t="s">
        <v>6</v>
      </c>
      <c r="AD301" s="4" t="s">
        <v>6</v>
      </c>
      <c r="AE301" s="5" t="s">
        <v>6</v>
      </c>
      <c r="AF301" s="4">
        <v>3</v>
      </c>
      <c r="AG301" s="5" t="s">
        <v>6</v>
      </c>
      <c r="AH301" s="4">
        <v>3</v>
      </c>
      <c r="AI301" s="4" t="s">
        <v>6</v>
      </c>
      <c r="AJ301" s="4" t="s">
        <v>6</v>
      </c>
      <c r="AK301" s="4" t="s">
        <v>6</v>
      </c>
      <c r="AL301" s="4" t="s">
        <v>6</v>
      </c>
      <c r="AM301" s="4" t="s">
        <v>6</v>
      </c>
      <c r="AN301" s="5" t="s">
        <v>6</v>
      </c>
    </row>
    <row r="302" spans="1:40" x14ac:dyDescent="0.2">
      <c r="A302" s="15">
        <v>1008</v>
      </c>
      <c r="B302" s="36" t="s">
        <v>6</v>
      </c>
      <c r="C302" s="36" t="s">
        <v>6</v>
      </c>
      <c r="D302" s="36" t="s">
        <v>6</v>
      </c>
      <c r="E302" s="36" t="s">
        <v>6</v>
      </c>
      <c r="F302" s="36" t="s">
        <v>6</v>
      </c>
      <c r="G302" s="36" t="s">
        <v>6</v>
      </c>
      <c r="H302" s="36" t="s">
        <v>6</v>
      </c>
      <c r="I302" s="36" t="s">
        <v>6</v>
      </c>
      <c r="J302" s="36" t="s">
        <v>6</v>
      </c>
      <c r="K302" s="36" t="s">
        <v>6</v>
      </c>
      <c r="L302" s="36" t="s">
        <v>6</v>
      </c>
      <c r="M302" s="36" t="s">
        <v>6</v>
      </c>
      <c r="N302" s="36" t="s">
        <v>6</v>
      </c>
      <c r="O302" s="36" t="s">
        <v>6</v>
      </c>
      <c r="P302" s="36" t="s">
        <v>6</v>
      </c>
      <c r="Q302" s="36" t="s">
        <v>6</v>
      </c>
      <c r="R302" s="36" t="s">
        <v>6</v>
      </c>
      <c r="S302" s="36" t="s">
        <v>6</v>
      </c>
      <c r="T302" s="36" t="s">
        <v>6</v>
      </c>
      <c r="U302" s="36" t="s">
        <v>6</v>
      </c>
      <c r="V302" s="4" t="s">
        <v>1</v>
      </c>
      <c r="W302" s="4">
        <v>1</v>
      </c>
      <c r="X302" s="4">
        <v>3</v>
      </c>
      <c r="Y302" s="4">
        <v>2</v>
      </c>
      <c r="Z302" s="5">
        <v>3</v>
      </c>
      <c r="AA302" s="4">
        <v>3</v>
      </c>
      <c r="AB302" s="4" t="s">
        <v>6</v>
      </c>
      <c r="AC302" s="4" t="s">
        <v>6</v>
      </c>
      <c r="AD302" s="4" t="s">
        <v>6</v>
      </c>
      <c r="AE302" s="5" t="s">
        <v>6</v>
      </c>
      <c r="AF302" s="4">
        <v>3</v>
      </c>
      <c r="AG302" s="5" t="s">
        <v>6</v>
      </c>
      <c r="AH302" s="4">
        <v>3</v>
      </c>
      <c r="AI302" s="4" t="s">
        <v>6</v>
      </c>
      <c r="AJ302" s="4" t="s">
        <v>6</v>
      </c>
      <c r="AK302" s="4" t="s">
        <v>6</v>
      </c>
      <c r="AL302" s="4" t="s">
        <v>6</v>
      </c>
      <c r="AM302" s="4" t="s">
        <v>6</v>
      </c>
      <c r="AN302" s="5" t="s">
        <v>6</v>
      </c>
    </row>
    <row r="303" spans="1:40" x14ac:dyDescent="0.2">
      <c r="A303" s="15">
        <v>1011</v>
      </c>
      <c r="B303" s="36" t="s">
        <v>6</v>
      </c>
      <c r="C303" s="36" t="s">
        <v>6</v>
      </c>
      <c r="D303" s="36" t="s">
        <v>6</v>
      </c>
      <c r="E303" s="36" t="s">
        <v>6</v>
      </c>
      <c r="F303" s="36" t="s">
        <v>6</v>
      </c>
      <c r="G303" s="36" t="s">
        <v>6</v>
      </c>
      <c r="H303" s="36" t="s">
        <v>6</v>
      </c>
      <c r="I303" s="36" t="s">
        <v>6</v>
      </c>
      <c r="J303" s="36" t="s">
        <v>6</v>
      </c>
      <c r="K303" s="36" t="s">
        <v>6</v>
      </c>
      <c r="L303" s="36" t="s">
        <v>6</v>
      </c>
      <c r="M303" s="36" t="s">
        <v>6</v>
      </c>
      <c r="N303" s="36" t="s">
        <v>6</v>
      </c>
      <c r="O303" s="36" t="s">
        <v>6</v>
      </c>
      <c r="P303" s="36" t="s">
        <v>6</v>
      </c>
      <c r="Q303" s="36" t="s">
        <v>6</v>
      </c>
      <c r="R303" s="36" t="s">
        <v>6</v>
      </c>
      <c r="S303" s="36" t="s">
        <v>6</v>
      </c>
      <c r="T303" s="36" t="s">
        <v>6</v>
      </c>
      <c r="U303" s="36" t="s">
        <v>6</v>
      </c>
      <c r="V303" s="4" t="s">
        <v>1</v>
      </c>
      <c r="W303" s="4">
        <v>1</v>
      </c>
      <c r="X303" s="4">
        <v>3</v>
      </c>
      <c r="Y303" s="4">
        <v>2</v>
      </c>
      <c r="Z303" s="5">
        <v>3</v>
      </c>
      <c r="AA303" s="4">
        <v>3</v>
      </c>
      <c r="AB303" s="4" t="s">
        <v>6</v>
      </c>
      <c r="AC303" s="4" t="s">
        <v>6</v>
      </c>
      <c r="AD303" s="4" t="s">
        <v>6</v>
      </c>
      <c r="AE303" s="5" t="s">
        <v>6</v>
      </c>
      <c r="AF303" s="4">
        <v>3</v>
      </c>
      <c r="AG303" s="5" t="s">
        <v>6</v>
      </c>
      <c r="AH303" s="4">
        <v>3</v>
      </c>
      <c r="AI303" s="4" t="s">
        <v>6</v>
      </c>
      <c r="AJ303" s="4" t="s">
        <v>6</v>
      </c>
      <c r="AK303" s="4" t="s">
        <v>6</v>
      </c>
      <c r="AL303" s="4" t="s">
        <v>6</v>
      </c>
      <c r="AM303" s="4" t="s">
        <v>6</v>
      </c>
      <c r="AN303" s="5" t="s">
        <v>6</v>
      </c>
    </row>
    <row r="304" spans="1:40" x14ac:dyDescent="0.2">
      <c r="A304" s="15">
        <v>1041</v>
      </c>
      <c r="B304" s="36" t="s">
        <v>6</v>
      </c>
      <c r="C304" s="36" t="s">
        <v>6</v>
      </c>
      <c r="D304" s="36" t="s">
        <v>6</v>
      </c>
      <c r="E304" s="36" t="s">
        <v>6</v>
      </c>
      <c r="F304" s="36" t="s">
        <v>6</v>
      </c>
      <c r="G304" s="36" t="s">
        <v>6</v>
      </c>
      <c r="H304" s="36" t="s">
        <v>6</v>
      </c>
      <c r="I304" s="36" t="s">
        <v>6</v>
      </c>
      <c r="J304" s="36" t="s">
        <v>6</v>
      </c>
      <c r="K304" s="36" t="s">
        <v>6</v>
      </c>
      <c r="L304" s="36" t="s">
        <v>6</v>
      </c>
      <c r="M304" s="36" t="s">
        <v>6</v>
      </c>
      <c r="N304" s="36" t="s">
        <v>6</v>
      </c>
      <c r="O304" s="36" t="s">
        <v>6</v>
      </c>
      <c r="P304" s="36" t="s">
        <v>6</v>
      </c>
      <c r="Q304" s="36" t="s">
        <v>6</v>
      </c>
      <c r="R304" s="36" t="s">
        <v>6</v>
      </c>
      <c r="S304" s="36" t="s">
        <v>6</v>
      </c>
      <c r="T304" s="36" t="s">
        <v>6</v>
      </c>
      <c r="U304" s="36" t="s">
        <v>6</v>
      </c>
      <c r="V304" s="4" t="s">
        <v>1</v>
      </c>
      <c r="W304" s="4">
        <v>1</v>
      </c>
      <c r="X304" s="4">
        <v>3</v>
      </c>
      <c r="Y304" s="4">
        <v>2</v>
      </c>
      <c r="Z304" s="5">
        <v>3</v>
      </c>
      <c r="AA304" s="4">
        <v>3</v>
      </c>
      <c r="AB304" s="4" t="s">
        <v>6</v>
      </c>
      <c r="AC304" s="4" t="s">
        <v>6</v>
      </c>
      <c r="AD304" s="4" t="s">
        <v>6</v>
      </c>
      <c r="AE304" s="5" t="s">
        <v>6</v>
      </c>
      <c r="AF304" s="4">
        <v>3</v>
      </c>
      <c r="AG304" s="5" t="s">
        <v>6</v>
      </c>
      <c r="AH304" s="4">
        <v>3</v>
      </c>
      <c r="AI304" s="4" t="s">
        <v>6</v>
      </c>
      <c r="AJ304" s="4" t="s">
        <v>6</v>
      </c>
      <c r="AK304" s="4" t="s">
        <v>6</v>
      </c>
      <c r="AL304" s="4" t="s">
        <v>6</v>
      </c>
      <c r="AM304" s="4" t="s">
        <v>6</v>
      </c>
      <c r="AN304" s="5" t="s">
        <v>6</v>
      </c>
    </row>
    <row r="305" spans="1:40" x14ac:dyDescent="0.2">
      <c r="A305" s="15">
        <v>1043</v>
      </c>
      <c r="B305" s="36" t="s">
        <v>6</v>
      </c>
      <c r="C305" s="36" t="s">
        <v>6</v>
      </c>
      <c r="D305" s="36" t="s">
        <v>6</v>
      </c>
      <c r="E305" s="36" t="s">
        <v>6</v>
      </c>
      <c r="F305" s="36" t="s">
        <v>6</v>
      </c>
      <c r="G305" s="36" t="s">
        <v>6</v>
      </c>
      <c r="H305" s="36" t="s">
        <v>6</v>
      </c>
      <c r="I305" s="36" t="s">
        <v>6</v>
      </c>
      <c r="J305" s="36" t="s">
        <v>6</v>
      </c>
      <c r="K305" s="36" t="s">
        <v>6</v>
      </c>
      <c r="L305" s="36" t="s">
        <v>6</v>
      </c>
      <c r="M305" s="36" t="s">
        <v>6</v>
      </c>
      <c r="N305" s="36" t="s">
        <v>6</v>
      </c>
      <c r="O305" s="36" t="s">
        <v>6</v>
      </c>
      <c r="P305" s="36" t="s">
        <v>6</v>
      </c>
      <c r="Q305" s="36" t="s">
        <v>6</v>
      </c>
      <c r="R305" s="36" t="s">
        <v>6</v>
      </c>
      <c r="S305" s="36" t="s">
        <v>6</v>
      </c>
      <c r="T305" s="36" t="s">
        <v>6</v>
      </c>
      <c r="U305" s="36" t="s">
        <v>6</v>
      </c>
      <c r="V305" s="4" t="s">
        <v>1</v>
      </c>
      <c r="W305" s="4">
        <v>1</v>
      </c>
      <c r="X305" s="4">
        <v>3</v>
      </c>
      <c r="Y305" s="4">
        <v>2</v>
      </c>
      <c r="Z305" s="5">
        <v>3</v>
      </c>
      <c r="AA305" s="4">
        <v>3</v>
      </c>
      <c r="AB305" s="4" t="s">
        <v>6</v>
      </c>
      <c r="AC305" s="4" t="s">
        <v>6</v>
      </c>
      <c r="AD305" s="4" t="s">
        <v>6</v>
      </c>
      <c r="AE305" s="5" t="s">
        <v>6</v>
      </c>
      <c r="AF305" s="4">
        <v>3</v>
      </c>
      <c r="AG305" s="5" t="s">
        <v>6</v>
      </c>
      <c r="AH305" s="4">
        <v>3</v>
      </c>
      <c r="AI305" s="4" t="s">
        <v>6</v>
      </c>
      <c r="AJ305" s="4" t="s">
        <v>6</v>
      </c>
      <c r="AK305" s="4" t="s">
        <v>6</v>
      </c>
      <c r="AL305" s="4" t="s">
        <v>6</v>
      </c>
      <c r="AM305" s="4" t="s">
        <v>6</v>
      </c>
      <c r="AN305" s="5" t="s">
        <v>6</v>
      </c>
    </row>
    <row r="306" spans="1:40" x14ac:dyDescent="0.2">
      <c r="A306" s="15">
        <v>1108</v>
      </c>
      <c r="B306" s="36" t="s">
        <v>6</v>
      </c>
      <c r="C306" s="36" t="s">
        <v>6</v>
      </c>
      <c r="D306" s="36" t="s">
        <v>6</v>
      </c>
      <c r="E306" s="36" t="s">
        <v>6</v>
      </c>
      <c r="F306" s="36" t="s">
        <v>6</v>
      </c>
      <c r="G306" s="36" t="s">
        <v>6</v>
      </c>
      <c r="H306" s="36" t="s">
        <v>6</v>
      </c>
      <c r="I306" s="36" t="s">
        <v>6</v>
      </c>
      <c r="J306" s="36" t="s">
        <v>6</v>
      </c>
      <c r="K306" s="36" t="s">
        <v>6</v>
      </c>
      <c r="L306" s="36" t="s">
        <v>6</v>
      </c>
      <c r="M306" s="36" t="s">
        <v>6</v>
      </c>
      <c r="N306" s="36" t="s">
        <v>6</v>
      </c>
      <c r="O306" s="36" t="s">
        <v>6</v>
      </c>
      <c r="P306" s="36" t="s">
        <v>6</v>
      </c>
      <c r="Q306" s="36" t="s">
        <v>6</v>
      </c>
      <c r="R306" s="36" t="s">
        <v>6</v>
      </c>
      <c r="S306" s="36" t="s">
        <v>6</v>
      </c>
      <c r="T306" s="36" t="s">
        <v>6</v>
      </c>
      <c r="U306" s="36" t="s">
        <v>6</v>
      </c>
      <c r="V306" s="4" t="s">
        <v>1</v>
      </c>
      <c r="W306" s="4">
        <v>1</v>
      </c>
      <c r="X306" s="4">
        <v>3</v>
      </c>
      <c r="Y306" s="4">
        <v>2</v>
      </c>
      <c r="Z306" s="5">
        <v>3</v>
      </c>
      <c r="AA306" s="4">
        <v>3</v>
      </c>
      <c r="AB306" s="4" t="s">
        <v>6</v>
      </c>
      <c r="AC306" s="4" t="s">
        <v>6</v>
      </c>
      <c r="AD306" s="4" t="s">
        <v>6</v>
      </c>
      <c r="AE306" s="5" t="s">
        <v>6</v>
      </c>
      <c r="AF306" s="4">
        <v>3</v>
      </c>
      <c r="AG306" s="5" t="s">
        <v>6</v>
      </c>
      <c r="AH306" s="4">
        <v>3</v>
      </c>
      <c r="AI306" s="4" t="s">
        <v>6</v>
      </c>
      <c r="AJ306" s="4" t="s">
        <v>6</v>
      </c>
      <c r="AK306" s="4" t="s">
        <v>6</v>
      </c>
      <c r="AL306" s="4" t="s">
        <v>6</v>
      </c>
      <c r="AM306" s="4" t="s">
        <v>6</v>
      </c>
      <c r="AN306" s="5" t="s">
        <v>6</v>
      </c>
    </row>
    <row r="307" spans="1:40" x14ac:dyDescent="0.2">
      <c r="A307" s="15">
        <v>1123</v>
      </c>
      <c r="B307" s="36" t="s">
        <v>6</v>
      </c>
      <c r="C307" s="36" t="s">
        <v>6</v>
      </c>
      <c r="D307" s="36" t="s">
        <v>6</v>
      </c>
      <c r="E307" s="36" t="s">
        <v>6</v>
      </c>
      <c r="F307" s="36" t="s">
        <v>6</v>
      </c>
      <c r="G307" s="36" t="s">
        <v>6</v>
      </c>
      <c r="H307" s="36" t="s">
        <v>6</v>
      </c>
      <c r="I307" s="36" t="s">
        <v>6</v>
      </c>
      <c r="J307" s="36" t="s">
        <v>6</v>
      </c>
      <c r="K307" s="36" t="s">
        <v>6</v>
      </c>
      <c r="L307" s="36" t="s">
        <v>6</v>
      </c>
      <c r="M307" s="36" t="s">
        <v>6</v>
      </c>
      <c r="N307" s="36" t="s">
        <v>6</v>
      </c>
      <c r="O307" s="36" t="s">
        <v>6</v>
      </c>
      <c r="P307" s="36" t="s">
        <v>6</v>
      </c>
      <c r="Q307" s="36" t="s">
        <v>6</v>
      </c>
      <c r="R307" s="36" t="s">
        <v>6</v>
      </c>
      <c r="S307" s="36" t="s">
        <v>6</v>
      </c>
      <c r="T307" s="36" t="s">
        <v>6</v>
      </c>
      <c r="U307" s="36" t="s">
        <v>6</v>
      </c>
      <c r="V307" s="4" t="s">
        <v>1</v>
      </c>
      <c r="W307" s="4">
        <v>1</v>
      </c>
      <c r="X307" s="4">
        <v>3</v>
      </c>
      <c r="Y307" s="4">
        <v>2</v>
      </c>
      <c r="Z307" s="5">
        <v>3</v>
      </c>
      <c r="AA307" s="4">
        <v>3</v>
      </c>
      <c r="AB307" s="4" t="s">
        <v>6</v>
      </c>
      <c r="AC307" s="4" t="s">
        <v>6</v>
      </c>
      <c r="AD307" s="4" t="s">
        <v>6</v>
      </c>
      <c r="AE307" s="5" t="s">
        <v>6</v>
      </c>
      <c r="AF307" s="4">
        <v>3</v>
      </c>
      <c r="AG307" s="5" t="s">
        <v>6</v>
      </c>
      <c r="AH307" s="4">
        <v>3</v>
      </c>
      <c r="AI307" s="4" t="s">
        <v>6</v>
      </c>
      <c r="AJ307" s="4" t="s">
        <v>6</v>
      </c>
      <c r="AK307" s="4" t="s">
        <v>6</v>
      </c>
      <c r="AL307" s="4" t="s">
        <v>6</v>
      </c>
      <c r="AM307" s="4" t="s">
        <v>6</v>
      </c>
      <c r="AN307" s="5" t="s">
        <v>6</v>
      </c>
    </row>
    <row r="308" spans="1:40" x14ac:dyDescent="0.2">
      <c r="A308" s="15">
        <v>1124</v>
      </c>
      <c r="B308" s="36" t="s">
        <v>6</v>
      </c>
      <c r="C308" s="36" t="s">
        <v>6</v>
      </c>
      <c r="D308" s="36" t="s">
        <v>6</v>
      </c>
      <c r="E308" s="36" t="s">
        <v>6</v>
      </c>
      <c r="F308" s="36" t="s">
        <v>6</v>
      </c>
      <c r="G308" s="36" t="s">
        <v>6</v>
      </c>
      <c r="H308" s="36" t="s">
        <v>6</v>
      </c>
      <c r="I308" s="36" t="s">
        <v>6</v>
      </c>
      <c r="J308" s="36" t="s">
        <v>6</v>
      </c>
      <c r="K308" s="36" t="s">
        <v>6</v>
      </c>
      <c r="L308" s="36" t="s">
        <v>6</v>
      </c>
      <c r="M308" s="36" t="s">
        <v>6</v>
      </c>
      <c r="N308" s="36" t="s">
        <v>6</v>
      </c>
      <c r="O308" s="36" t="s">
        <v>6</v>
      </c>
      <c r="P308" s="36" t="s">
        <v>6</v>
      </c>
      <c r="Q308" s="36" t="s">
        <v>6</v>
      </c>
      <c r="R308" s="36" t="s">
        <v>6</v>
      </c>
      <c r="S308" s="36" t="s">
        <v>6</v>
      </c>
      <c r="T308" s="36" t="s">
        <v>6</v>
      </c>
      <c r="U308" s="36" t="s">
        <v>6</v>
      </c>
      <c r="V308" s="4" t="s">
        <v>1</v>
      </c>
      <c r="W308" s="4">
        <v>1</v>
      </c>
      <c r="X308" s="4">
        <v>3</v>
      </c>
      <c r="Y308" s="4">
        <v>2</v>
      </c>
      <c r="Z308" s="5">
        <v>3</v>
      </c>
      <c r="AA308" s="4">
        <v>3</v>
      </c>
      <c r="AB308" s="4" t="s">
        <v>6</v>
      </c>
      <c r="AC308" s="4" t="s">
        <v>6</v>
      </c>
      <c r="AD308" s="4" t="s">
        <v>6</v>
      </c>
      <c r="AE308" s="5" t="s">
        <v>6</v>
      </c>
      <c r="AF308" s="4">
        <v>3</v>
      </c>
      <c r="AG308" s="5" t="s">
        <v>6</v>
      </c>
      <c r="AH308" s="4">
        <v>3</v>
      </c>
      <c r="AI308" s="4" t="s">
        <v>6</v>
      </c>
      <c r="AJ308" s="4" t="s">
        <v>6</v>
      </c>
      <c r="AK308" s="4" t="s">
        <v>6</v>
      </c>
      <c r="AL308" s="4" t="s">
        <v>6</v>
      </c>
      <c r="AM308" s="4" t="s">
        <v>6</v>
      </c>
      <c r="AN308" s="5" t="s">
        <v>6</v>
      </c>
    </row>
    <row r="309" spans="1:40" x14ac:dyDescent="0.2">
      <c r="A309" s="15">
        <v>1136</v>
      </c>
      <c r="B309" s="36" t="s">
        <v>6</v>
      </c>
      <c r="C309" s="36" t="s">
        <v>6</v>
      </c>
      <c r="D309" s="36" t="s">
        <v>6</v>
      </c>
      <c r="E309" s="36" t="s">
        <v>6</v>
      </c>
      <c r="F309" s="36" t="s">
        <v>6</v>
      </c>
      <c r="G309" s="36" t="s">
        <v>6</v>
      </c>
      <c r="H309" s="36" t="s">
        <v>6</v>
      </c>
      <c r="I309" s="36" t="s">
        <v>6</v>
      </c>
      <c r="J309" s="36" t="s">
        <v>6</v>
      </c>
      <c r="K309" s="36" t="s">
        <v>6</v>
      </c>
      <c r="L309" s="36" t="s">
        <v>6</v>
      </c>
      <c r="M309" s="36" t="s">
        <v>6</v>
      </c>
      <c r="N309" s="36" t="s">
        <v>6</v>
      </c>
      <c r="O309" s="36" t="s">
        <v>6</v>
      </c>
      <c r="P309" s="36" t="s">
        <v>6</v>
      </c>
      <c r="Q309" s="36" t="s">
        <v>6</v>
      </c>
      <c r="R309" s="36" t="s">
        <v>6</v>
      </c>
      <c r="S309" s="36" t="s">
        <v>6</v>
      </c>
      <c r="T309" s="36" t="s">
        <v>6</v>
      </c>
      <c r="U309" s="36" t="s">
        <v>6</v>
      </c>
      <c r="V309" s="4" t="s">
        <v>1</v>
      </c>
      <c r="W309" s="4">
        <v>1</v>
      </c>
      <c r="X309" s="4">
        <v>3</v>
      </c>
      <c r="Y309" s="4">
        <v>2</v>
      </c>
      <c r="Z309" s="5">
        <v>3</v>
      </c>
      <c r="AA309" s="4">
        <v>3</v>
      </c>
      <c r="AB309" s="4" t="s">
        <v>6</v>
      </c>
      <c r="AC309" s="4" t="s">
        <v>6</v>
      </c>
      <c r="AD309" s="4" t="s">
        <v>6</v>
      </c>
      <c r="AE309" s="5" t="s">
        <v>6</v>
      </c>
      <c r="AF309" s="4">
        <v>3</v>
      </c>
      <c r="AG309" s="5" t="s">
        <v>6</v>
      </c>
      <c r="AH309" s="4">
        <v>3</v>
      </c>
      <c r="AI309" s="4" t="s">
        <v>6</v>
      </c>
      <c r="AJ309" s="4" t="s">
        <v>6</v>
      </c>
      <c r="AK309" s="4" t="s">
        <v>6</v>
      </c>
      <c r="AL309" s="4" t="s">
        <v>6</v>
      </c>
      <c r="AM309" s="4" t="s">
        <v>6</v>
      </c>
      <c r="AN309" s="5" t="s">
        <v>6</v>
      </c>
    </row>
    <row r="310" spans="1:40" x14ac:dyDescent="0.2">
      <c r="A310" s="15">
        <v>1154</v>
      </c>
      <c r="B310" s="36" t="s">
        <v>6</v>
      </c>
      <c r="C310" s="36" t="s">
        <v>6</v>
      </c>
      <c r="D310" s="36" t="s">
        <v>6</v>
      </c>
      <c r="E310" s="36" t="s">
        <v>6</v>
      </c>
      <c r="F310" s="36" t="s">
        <v>6</v>
      </c>
      <c r="G310" s="36" t="s">
        <v>6</v>
      </c>
      <c r="H310" s="36" t="s">
        <v>6</v>
      </c>
      <c r="I310" s="36" t="s">
        <v>6</v>
      </c>
      <c r="J310" s="36" t="s">
        <v>6</v>
      </c>
      <c r="K310" s="36" t="s">
        <v>6</v>
      </c>
      <c r="L310" s="36" t="s">
        <v>6</v>
      </c>
      <c r="M310" s="36" t="s">
        <v>6</v>
      </c>
      <c r="N310" s="36" t="s">
        <v>6</v>
      </c>
      <c r="O310" s="36" t="s">
        <v>6</v>
      </c>
      <c r="P310" s="36" t="s">
        <v>6</v>
      </c>
      <c r="Q310" s="36" t="s">
        <v>6</v>
      </c>
      <c r="R310" s="36" t="s">
        <v>6</v>
      </c>
      <c r="S310" s="36" t="s">
        <v>6</v>
      </c>
      <c r="T310" s="36" t="s">
        <v>6</v>
      </c>
      <c r="U310" s="36" t="s">
        <v>6</v>
      </c>
      <c r="V310" s="4" t="s">
        <v>1</v>
      </c>
      <c r="W310" s="4">
        <v>1</v>
      </c>
      <c r="X310" s="4">
        <v>3</v>
      </c>
      <c r="Y310" s="4">
        <v>2</v>
      </c>
      <c r="Z310" s="5">
        <v>3</v>
      </c>
      <c r="AA310" s="4">
        <v>3</v>
      </c>
      <c r="AB310" s="4" t="s">
        <v>6</v>
      </c>
      <c r="AC310" s="4" t="s">
        <v>6</v>
      </c>
      <c r="AD310" s="4" t="s">
        <v>6</v>
      </c>
      <c r="AE310" s="5" t="s">
        <v>6</v>
      </c>
      <c r="AF310" s="4">
        <v>3</v>
      </c>
      <c r="AG310" s="5" t="s">
        <v>6</v>
      </c>
      <c r="AH310" s="4">
        <v>3</v>
      </c>
      <c r="AI310" s="4" t="s">
        <v>6</v>
      </c>
      <c r="AJ310" s="4" t="s">
        <v>6</v>
      </c>
      <c r="AK310" s="4" t="s">
        <v>6</v>
      </c>
      <c r="AL310" s="4" t="s">
        <v>6</v>
      </c>
      <c r="AM310" s="4" t="s">
        <v>6</v>
      </c>
      <c r="AN310" s="5" t="s">
        <v>6</v>
      </c>
    </row>
    <row r="311" spans="1:40" x14ac:dyDescent="0.2">
      <c r="A311" s="15">
        <v>1158</v>
      </c>
      <c r="B311" s="36" t="s">
        <v>6</v>
      </c>
      <c r="C311" s="36" t="s">
        <v>6</v>
      </c>
      <c r="D311" s="36" t="s">
        <v>6</v>
      </c>
      <c r="E311" s="36" t="s">
        <v>6</v>
      </c>
      <c r="F311" s="36" t="s">
        <v>6</v>
      </c>
      <c r="G311" s="36" t="s">
        <v>6</v>
      </c>
      <c r="H311" s="36" t="s">
        <v>6</v>
      </c>
      <c r="I311" s="36" t="s">
        <v>6</v>
      </c>
      <c r="J311" s="36" t="s">
        <v>6</v>
      </c>
      <c r="K311" s="36" t="s">
        <v>6</v>
      </c>
      <c r="L311" s="36" t="s">
        <v>6</v>
      </c>
      <c r="M311" s="36" t="s">
        <v>6</v>
      </c>
      <c r="N311" s="36" t="s">
        <v>6</v>
      </c>
      <c r="O311" s="36" t="s">
        <v>6</v>
      </c>
      <c r="P311" s="36" t="s">
        <v>6</v>
      </c>
      <c r="Q311" s="36" t="s">
        <v>6</v>
      </c>
      <c r="R311" s="36" t="s">
        <v>6</v>
      </c>
      <c r="S311" s="36" t="s">
        <v>6</v>
      </c>
      <c r="T311" s="36" t="s">
        <v>6</v>
      </c>
      <c r="U311" s="36" t="s">
        <v>6</v>
      </c>
      <c r="V311" s="4" t="s">
        <v>1</v>
      </c>
      <c r="W311" s="4">
        <v>1</v>
      </c>
      <c r="X311" s="4">
        <v>3</v>
      </c>
      <c r="Y311" s="4">
        <v>2</v>
      </c>
      <c r="Z311" s="5">
        <v>3</v>
      </c>
      <c r="AA311" s="4">
        <v>3</v>
      </c>
      <c r="AB311" s="4" t="s">
        <v>6</v>
      </c>
      <c r="AC311" s="4" t="s">
        <v>6</v>
      </c>
      <c r="AD311" s="4" t="s">
        <v>6</v>
      </c>
      <c r="AE311" s="5" t="s">
        <v>6</v>
      </c>
      <c r="AF311" s="4">
        <v>3</v>
      </c>
      <c r="AG311" s="5" t="s">
        <v>6</v>
      </c>
      <c r="AH311" s="4">
        <v>3</v>
      </c>
      <c r="AI311" s="4" t="s">
        <v>6</v>
      </c>
      <c r="AJ311" s="4" t="s">
        <v>6</v>
      </c>
      <c r="AK311" s="4" t="s">
        <v>6</v>
      </c>
      <c r="AL311" s="4" t="s">
        <v>6</v>
      </c>
      <c r="AM311" s="4" t="s">
        <v>6</v>
      </c>
      <c r="AN311" s="5" t="s">
        <v>6</v>
      </c>
    </row>
    <row r="312" spans="1:40" x14ac:dyDescent="0.2">
      <c r="A312" s="15">
        <v>1159</v>
      </c>
      <c r="B312" s="36" t="s">
        <v>6</v>
      </c>
      <c r="C312" s="36" t="s">
        <v>6</v>
      </c>
      <c r="D312" s="36" t="s">
        <v>6</v>
      </c>
      <c r="E312" s="36" t="s">
        <v>6</v>
      </c>
      <c r="F312" s="36" t="s">
        <v>6</v>
      </c>
      <c r="G312" s="36" t="s">
        <v>6</v>
      </c>
      <c r="H312" s="36" t="s">
        <v>6</v>
      </c>
      <c r="I312" s="36" t="s">
        <v>6</v>
      </c>
      <c r="J312" s="36" t="s">
        <v>6</v>
      </c>
      <c r="K312" s="36" t="s">
        <v>6</v>
      </c>
      <c r="L312" s="36" t="s">
        <v>6</v>
      </c>
      <c r="M312" s="36" t="s">
        <v>6</v>
      </c>
      <c r="N312" s="36" t="s">
        <v>6</v>
      </c>
      <c r="O312" s="36" t="s">
        <v>6</v>
      </c>
      <c r="P312" s="36" t="s">
        <v>6</v>
      </c>
      <c r="Q312" s="36" t="s">
        <v>6</v>
      </c>
      <c r="R312" s="36" t="s">
        <v>6</v>
      </c>
      <c r="S312" s="36" t="s">
        <v>6</v>
      </c>
      <c r="T312" s="36" t="s">
        <v>6</v>
      </c>
      <c r="U312" s="36" t="s">
        <v>6</v>
      </c>
      <c r="V312" s="4" t="s">
        <v>1</v>
      </c>
      <c r="W312" s="4">
        <v>1</v>
      </c>
      <c r="X312" s="4">
        <v>3</v>
      </c>
      <c r="Y312" s="4">
        <v>2</v>
      </c>
      <c r="Z312" s="5">
        <v>3</v>
      </c>
      <c r="AA312" s="4">
        <v>3</v>
      </c>
      <c r="AB312" s="4" t="s">
        <v>6</v>
      </c>
      <c r="AC312" s="4" t="s">
        <v>6</v>
      </c>
      <c r="AD312" s="4" t="s">
        <v>6</v>
      </c>
      <c r="AE312" s="5" t="s">
        <v>6</v>
      </c>
      <c r="AF312" s="4">
        <v>3</v>
      </c>
      <c r="AG312" s="5" t="s">
        <v>6</v>
      </c>
      <c r="AH312" s="4">
        <v>3</v>
      </c>
      <c r="AI312" s="4" t="s">
        <v>6</v>
      </c>
      <c r="AJ312" s="4" t="s">
        <v>6</v>
      </c>
      <c r="AK312" s="4" t="s">
        <v>6</v>
      </c>
      <c r="AL312" s="4" t="s">
        <v>6</v>
      </c>
      <c r="AM312" s="4" t="s">
        <v>6</v>
      </c>
      <c r="AN312" s="5" t="s">
        <v>6</v>
      </c>
    </row>
    <row r="313" spans="1:40" x14ac:dyDescent="0.2">
      <c r="A313" s="15">
        <v>1165</v>
      </c>
      <c r="B313" s="36" t="s">
        <v>6</v>
      </c>
      <c r="C313" s="36" t="s">
        <v>6</v>
      </c>
      <c r="D313" s="36" t="s">
        <v>6</v>
      </c>
      <c r="E313" s="36" t="s">
        <v>6</v>
      </c>
      <c r="F313" s="36" t="s">
        <v>6</v>
      </c>
      <c r="G313" s="36" t="s">
        <v>6</v>
      </c>
      <c r="H313" s="36" t="s">
        <v>6</v>
      </c>
      <c r="I313" s="36" t="s">
        <v>6</v>
      </c>
      <c r="J313" s="36" t="s">
        <v>6</v>
      </c>
      <c r="K313" s="36" t="s">
        <v>6</v>
      </c>
      <c r="L313" s="36" t="s">
        <v>6</v>
      </c>
      <c r="M313" s="36" t="s">
        <v>6</v>
      </c>
      <c r="N313" s="36" t="s">
        <v>6</v>
      </c>
      <c r="O313" s="36" t="s">
        <v>6</v>
      </c>
      <c r="P313" s="36" t="s">
        <v>6</v>
      </c>
      <c r="Q313" s="36" t="s">
        <v>6</v>
      </c>
      <c r="R313" s="36" t="s">
        <v>6</v>
      </c>
      <c r="S313" s="36" t="s">
        <v>6</v>
      </c>
      <c r="T313" s="36" t="s">
        <v>6</v>
      </c>
      <c r="U313" s="36" t="s">
        <v>6</v>
      </c>
      <c r="V313" s="4" t="s">
        <v>1</v>
      </c>
      <c r="W313" s="4">
        <v>1</v>
      </c>
      <c r="X313" s="4">
        <v>3</v>
      </c>
      <c r="Y313" s="4">
        <v>2</v>
      </c>
      <c r="Z313" s="5">
        <v>3</v>
      </c>
      <c r="AA313" s="4">
        <v>3</v>
      </c>
      <c r="AB313" s="4" t="s">
        <v>6</v>
      </c>
      <c r="AC313" s="4" t="s">
        <v>6</v>
      </c>
      <c r="AD313" s="4" t="s">
        <v>6</v>
      </c>
      <c r="AE313" s="5" t="s">
        <v>6</v>
      </c>
      <c r="AF313" s="4">
        <v>3</v>
      </c>
      <c r="AG313" s="5" t="s">
        <v>6</v>
      </c>
      <c r="AH313" s="4">
        <v>3</v>
      </c>
      <c r="AI313" s="4" t="s">
        <v>6</v>
      </c>
      <c r="AJ313" s="4" t="s">
        <v>6</v>
      </c>
      <c r="AK313" s="4" t="s">
        <v>6</v>
      </c>
      <c r="AL313" s="4" t="s">
        <v>6</v>
      </c>
      <c r="AM313" s="4" t="s">
        <v>6</v>
      </c>
      <c r="AN313" s="5" t="s">
        <v>6</v>
      </c>
    </row>
    <row r="314" spans="1:40" x14ac:dyDescent="0.2">
      <c r="A314" s="15">
        <v>1168</v>
      </c>
      <c r="B314" s="36" t="s">
        <v>6</v>
      </c>
      <c r="C314" s="36" t="s">
        <v>6</v>
      </c>
      <c r="D314" s="36" t="s">
        <v>6</v>
      </c>
      <c r="E314" s="36" t="s">
        <v>6</v>
      </c>
      <c r="F314" s="36" t="s">
        <v>6</v>
      </c>
      <c r="G314" s="36" t="s">
        <v>6</v>
      </c>
      <c r="H314" s="36" t="s">
        <v>6</v>
      </c>
      <c r="I314" s="36" t="s">
        <v>6</v>
      </c>
      <c r="J314" s="36" t="s">
        <v>6</v>
      </c>
      <c r="K314" s="36" t="s">
        <v>6</v>
      </c>
      <c r="L314" s="36" t="s">
        <v>6</v>
      </c>
      <c r="M314" s="36" t="s">
        <v>6</v>
      </c>
      <c r="N314" s="36" t="s">
        <v>6</v>
      </c>
      <c r="O314" s="36" t="s">
        <v>6</v>
      </c>
      <c r="P314" s="36" t="s">
        <v>6</v>
      </c>
      <c r="Q314" s="36" t="s">
        <v>6</v>
      </c>
      <c r="R314" s="36" t="s">
        <v>6</v>
      </c>
      <c r="S314" s="36" t="s">
        <v>6</v>
      </c>
      <c r="T314" s="36" t="s">
        <v>6</v>
      </c>
      <c r="U314" s="36" t="s">
        <v>6</v>
      </c>
      <c r="V314" s="4" t="s">
        <v>1</v>
      </c>
      <c r="W314" s="4">
        <v>1</v>
      </c>
      <c r="X314" s="4">
        <v>3</v>
      </c>
      <c r="Y314" s="4">
        <v>2</v>
      </c>
      <c r="Z314" s="5">
        <v>3</v>
      </c>
      <c r="AA314" s="4">
        <v>3</v>
      </c>
      <c r="AB314" s="4" t="s">
        <v>6</v>
      </c>
      <c r="AC314" s="4" t="s">
        <v>6</v>
      </c>
      <c r="AD314" s="4" t="s">
        <v>6</v>
      </c>
      <c r="AE314" s="5" t="s">
        <v>6</v>
      </c>
      <c r="AF314" s="4">
        <v>3</v>
      </c>
      <c r="AG314" s="5" t="s">
        <v>6</v>
      </c>
      <c r="AH314" s="4">
        <v>3</v>
      </c>
      <c r="AI314" s="4" t="s">
        <v>6</v>
      </c>
      <c r="AJ314" s="4" t="s">
        <v>6</v>
      </c>
      <c r="AK314" s="4" t="s">
        <v>6</v>
      </c>
      <c r="AL314" s="4" t="s">
        <v>6</v>
      </c>
      <c r="AM314" s="4" t="s">
        <v>6</v>
      </c>
      <c r="AN314" s="5" t="s">
        <v>6</v>
      </c>
    </row>
    <row r="315" spans="1:40" x14ac:dyDescent="0.2">
      <c r="A315" s="15">
        <v>1169</v>
      </c>
      <c r="B315" s="36" t="s">
        <v>6</v>
      </c>
      <c r="C315" s="36" t="s">
        <v>6</v>
      </c>
      <c r="D315" s="36" t="s">
        <v>6</v>
      </c>
      <c r="E315" s="36" t="s">
        <v>6</v>
      </c>
      <c r="F315" s="36" t="s">
        <v>6</v>
      </c>
      <c r="G315" s="36" t="s">
        <v>6</v>
      </c>
      <c r="H315" s="36" t="s">
        <v>6</v>
      </c>
      <c r="I315" s="36" t="s">
        <v>6</v>
      </c>
      <c r="J315" s="36" t="s">
        <v>6</v>
      </c>
      <c r="K315" s="36" t="s">
        <v>6</v>
      </c>
      <c r="L315" s="36" t="s">
        <v>6</v>
      </c>
      <c r="M315" s="36" t="s">
        <v>6</v>
      </c>
      <c r="N315" s="36" t="s">
        <v>6</v>
      </c>
      <c r="O315" s="36" t="s">
        <v>6</v>
      </c>
      <c r="P315" s="36" t="s">
        <v>6</v>
      </c>
      <c r="Q315" s="36" t="s">
        <v>6</v>
      </c>
      <c r="R315" s="36" t="s">
        <v>6</v>
      </c>
      <c r="S315" s="36" t="s">
        <v>6</v>
      </c>
      <c r="T315" s="36" t="s">
        <v>6</v>
      </c>
      <c r="U315" s="36" t="s">
        <v>6</v>
      </c>
      <c r="V315" s="4" t="s">
        <v>1</v>
      </c>
      <c r="W315" s="4">
        <v>1</v>
      </c>
      <c r="X315" s="4">
        <v>3</v>
      </c>
      <c r="Y315" s="4">
        <v>2</v>
      </c>
      <c r="Z315" s="5">
        <v>3</v>
      </c>
      <c r="AA315" s="4">
        <v>3</v>
      </c>
      <c r="AB315" s="4" t="s">
        <v>6</v>
      </c>
      <c r="AC315" s="4" t="s">
        <v>6</v>
      </c>
      <c r="AD315" s="4" t="s">
        <v>6</v>
      </c>
      <c r="AE315" s="5" t="s">
        <v>6</v>
      </c>
      <c r="AF315" s="4">
        <v>3</v>
      </c>
      <c r="AG315" s="5" t="s">
        <v>6</v>
      </c>
      <c r="AH315" s="4">
        <v>3</v>
      </c>
      <c r="AI315" s="4" t="s">
        <v>6</v>
      </c>
      <c r="AJ315" s="4" t="s">
        <v>6</v>
      </c>
      <c r="AK315" s="4" t="s">
        <v>6</v>
      </c>
      <c r="AL315" s="4" t="s">
        <v>6</v>
      </c>
      <c r="AM315" s="4" t="s">
        <v>6</v>
      </c>
      <c r="AN315" s="5" t="s">
        <v>6</v>
      </c>
    </row>
    <row r="316" spans="1:40" x14ac:dyDescent="0.2">
      <c r="A316" s="15">
        <v>1178</v>
      </c>
      <c r="B316" s="36" t="s">
        <v>6</v>
      </c>
      <c r="C316" s="36" t="s">
        <v>6</v>
      </c>
      <c r="D316" s="36" t="s">
        <v>6</v>
      </c>
      <c r="E316" s="36" t="s">
        <v>6</v>
      </c>
      <c r="F316" s="36" t="s">
        <v>6</v>
      </c>
      <c r="G316" s="36" t="s">
        <v>6</v>
      </c>
      <c r="H316" s="36" t="s">
        <v>6</v>
      </c>
      <c r="I316" s="36" t="s">
        <v>6</v>
      </c>
      <c r="J316" s="36" t="s">
        <v>6</v>
      </c>
      <c r="K316" s="36" t="s">
        <v>6</v>
      </c>
      <c r="L316" s="36" t="s">
        <v>6</v>
      </c>
      <c r="M316" s="36" t="s">
        <v>6</v>
      </c>
      <c r="N316" s="36" t="s">
        <v>6</v>
      </c>
      <c r="O316" s="36" t="s">
        <v>6</v>
      </c>
      <c r="P316" s="36" t="s">
        <v>6</v>
      </c>
      <c r="Q316" s="36" t="s">
        <v>6</v>
      </c>
      <c r="R316" s="36" t="s">
        <v>6</v>
      </c>
      <c r="S316" s="36" t="s">
        <v>6</v>
      </c>
      <c r="T316" s="36" t="s">
        <v>6</v>
      </c>
      <c r="U316" s="36" t="s">
        <v>6</v>
      </c>
      <c r="V316" s="4" t="s">
        <v>1</v>
      </c>
      <c r="W316" s="4">
        <v>1</v>
      </c>
      <c r="X316" s="4">
        <v>3</v>
      </c>
      <c r="Y316" s="4">
        <v>2</v>
      </c>
      <c r="Z316" s="5">
        <v>3</v>
      </c>
      <c r="AA316" s="4">
        <v>3</v>
      </c>
      <c r="AB316" s="4" t="s">
        <v>6</v>
      </c>
      <c r="AC316" s="4" t="s">
        <v>6</v>
      </c>
      <c r="AD316" s="4" t="s">
        <v>6</v>
      </c>
      <c r="AE316" s="5" t="s">
        <v>6</v>
      </c>
      <c r="AF316" s="4">
        <v>3</v>
      </c>
      <c r="AG316" s="5" t="s">
        <v>6</v>
      </c>
      <c r="AH316" s="4">
        <v>3</v>
      </c>
      <c r="AI316" s="4" t="s">
        <v>6</v>
      </c>
      <c r="AJ316" s="4" t="s">
        <v>6</v>
      </c>
      <c r="AK316" s="4" t="s">
        <v>6</v>
      </c>
      <c r="AL316" s="4" t="s">
        <v>6</v>
      </c>
      <c r="AM316" s="4" t="s">
        <v>6</v>
      </c>
      <c r="AN316" s="5" t="s">
        <v>6</v>
      </c>
    </row>
    <row r="317" spans="1:40" x14ac:dyDescent="0.2">
      <c r="A317" s="15">
        <v>1195</v>
      </c>
      <c r="B317" s="36" t="s">
        <v>6</v>
      </c>
      <c r="C317" s="36" t="s">
        <v>6</v>
      </c>
      <c r="D317" s="36" t="s">
        <v>6</v>
      </c>
      <c r="E317" s="36" t="s">
        <v>6</v>
      </c>
      <c r="F317" s="36" t="s">
        <v>6</v>
      </c>
      <c r="G317" s="36" t="s">
        <v>6</v>
      </c>
      <c r="H317" s="36" t="s">
        <v>6</v>
      </c>
      <c r="I317" s="36" t="s">
        <v>6</v>
      </c>
      <c r="J317" s="36" t="s">
        <v>6</v>
      </c>
      <c r="K317" s="36" t="s">
        <v>6</v>
      </c>
      <c r="L317" s="36" t="s">
        <v>6</v>
      </c>
      <c r="M317" s="36" t="s">
        <v>6</v>
      </c>
      <c r="N317" s="36" t="s">
        <v>6</v>
      </c>
      <c r="O317" s="36" t="s">
        <v>6</v>
      </c>
      <c r="P317" s="36" t="s">
        <v>6</v>
      </c>
      <c r="Q317" s="36" t="s">
        <v>6</v>
      </c>
      <c r="R317" s="36" t="s">
        <v>6</v>
      </c>
      <c r="S317" s="36" t="s">
        <v>6</v>
      </c>
      <c r="T317" s="36" t="s">
        <v>6</v>
      </c>
      <c r="U317" s="36" t="s">
        <v>6</v>
      </c>
      <c r="V317" s="4" t="s">
        <v>1</v>
      </c>
      <c r="W317" s="4">
        <v>1</v>
      </c>
      <c r="X317" s="4">
        <v>3</v>
      </c>
      <c r="Y317" s="4">
        <v>2</v>
      </c>
      <c r="Z317" s="5">
        <v>3</v>
      </c>
      <c r="AA317" s="4">
        <v>3</v>
      </c>
      <c r="AB317" s="4" t="s">
        <v>6</v>
      </c>
      <c r="AC317" s="4" t="s">
        <v>6</v>
      </c>
      <c r="AD317" s="4" t="s">
        <v>6</v>
      </c>
      <c r="AE317" s="5" t="s">
        <v>6</v>
      </c>
      <c r="AF317" s="4">
        <v>3</v>
      </c>
      <c r="AG317" s="5" t="s">
        <v>6</v>
      </c>
      <c r="AH317" s="4">
        <v>3</v>
      </c>
      <c r="AI317" s="4" t="s">
        <v>6</v>
      </c>
      <c r="AJ317" s="4" t="s">
        <v>6</v>
      </c>
      <c r="AK317" s="4" t="s">
        <v>6</v>
      </c>
      <c r="AL317" s="4" t="s">
        <v>6</v>
      </c>
      <c r="AM317" s="4" t="s">
        <v>6</v>
      </c>
      <c r="AN317" s="5" t="s">
        <v>6</v>
      </c>
    </row>
    <row r="318" spans="1:40" x14ac:dyDescent="0.2">
      <c r="A318" s="15">
        <v>1196</v>
      </c>
      <c r="B318" s="36" t="s">
        <v>6</v>
      </c>
      <c r="C318" s="36" t="s">
        <v>6</v>
      </c>
      <c r="D318" s="36" t="s">
        <v>6</v>
      </c>
      <c r="E318" s="36" t="s">
        <v>6</v>
      </c>
      <c r="F318" s="36" t="s">
        <v>6</v>
      </c>
      <c r="G318" s="36" t="s">
        <v>6</v>
      </c>
      <c r="H318" s="36" t="s">
        <v>6</v>
      </c>
      <c r="I318" s="36" t="s">
        <v>6</v>
      </c>
      <c r="J318" s="36" t="s">
        <v>6</v>
      </c>
      <c r="K318" s="36" t="s">
        <v>6</v>
      </c>
      <c r="L318" s="36" t="s">
        <v>6</v>
      </c>
      <c r="M318" s="36" t="s">
        <v>6</v>
      </c>
      <c r="N318" s="36" t="s">
        <v>6</v>
      </c>
      <c r="O318" s="36" t="s">
        <v>6</v>
      </c>
      <c r="P318" s="36" t="s">
        <v>6</v>
      </c>
      <c r="Q318" s="36" t="s">
        <v>6</v>
      </c>
      <c r="R318" s="36" t="s">
        <v>6</v>
      </c>
      <c r="S318" s="36" t="s">
        <v>6</v>
      </c>
      <c r="T318" s="36" t="s">
        <v>6</v>
      </c>
      <c r="U318" s="36" t="s">
        <v>6</v>
      </c>
      <c r="V318" s="4" t="s">
        <v>1</v>
      </c>
      <c r="W318" s="4">
        <v>1</v>
      </c>
      <c r="X318" s="4">
        <v>3</v>
      </c>
      <c r="Y318" s="4">
        <v>2</v>
      </c>
      <c r="Z318" s="5">
        <v>3</v>
      </c>
      <c r="AA318" s="4">
        <v>3</v>
      </c>
      <c r="AB318" s="4" t="s">
        <v>6</v>
      </c>
      <c r="AC318" s="4" t="s">
        <v>6</v>
      </c>
      <c r="AD318" s="4" t="s">
        <v>6</v>
      </c>
      <c r="AE318" s="5" t="s">
        <v>6</v>
      </c>
      <c r="AF318" s="4">
        <v>3</v>
      </c>
      <c r="AG318" s="5" t="s">
        <v>6</v>
      </c>
      <c r="AH318" s="4">
        <v>3</v>
      </c>
      <c r="AI318" s="4" t="s">
        <v>6</v>
      </c>
      <c r="AJ318" s="4" t="s">
        <v>6</v>
      </c>
      <c r="AK318" s="4" t="s">
        <v>6</v>
      </c>
      <c r="AL318" s="4" t="s">
        <v>6</v>
      </c>
      <c r="AM318" s="4" t="s">
        <v>6</v>
      </c>
      <c r="AN318" s="5" t="s">
        <v>6</v>
      </c>
    </row>
    <row r="319" spans="1:40" x14ac:dyDescent="0.2">
      <c r="A319" s="15">
        <v>1199</v>
      </c>
      <c r="B319" s="36" t="s">
        <v>6</v>
      </c>
      <c r="C319" s="36" t="s">
        <v>6</v>
      </c>
      <c r="D319" s="36" t="s">
        <v>6</v>
      </c>
      <c r="E319" s="36" t="s">
        <v>6</v>
      </c>
      <c r="F319" s="36" t="s">
        <v>6</v>
      </c>
      <c r="G319" s="36" t="s">
        <v>6</v>
      </c>
      <c r="H319" s="36" t="s">
        <v>6</v>
      </c>
      <c r="I319" s="36" t="s">
        <v>6</v>
      </c>
      <c r="J319" s="36" t="s">
        <v>6</v>
      </c>
      <c r="K319" s="36" t="s">
        <v>6</v>
      </c>
      <c r="L319" s="36" t="s">
        <v>6</v>
      </c>
      <c r="M319" s="36" t="s">
        <v>6</v>
      </c>
      <c r="N319" s="36" t="s">
        <v>6</v>
      </c>
      <c r="O319" s="36" t="s">
        <v>6</v>
      </c>
      <c r="P319" s="36" t="s">
        <v>6</v>
      </c>
      <c r="Q319" s="36" t="s">
        <v>6</v>
      </c>
      <c r="R319" s="36" t="s">
        <v>6</v>
      </c>
      <c r="S319" s="36" t="s">
        <v>6</v>
      </c>
      <c r="T319" s="36" t="s">
        <v>6</v>
      </c>
      <c r="U319" s="36" t="s">
        <v>6</v>
      </c>
      <c r="V319" s="4" t="s">
        <v>1</v>
      </c>
      <c r="W319" s="4">
        <v>1</v>
      </c>
      <c r="X319" s="4">
        <v>3</v>
      </c>
      <c r="Y319" s="4">
        <v>2</v>
      </c>
      <c r="Z319" s="5">
        <v>3</v>
      </c>
      <c r="AA319" s="4">
        <v>3</v>
      </c>
      <c r="AB319" s="4" t="s">
        <v>6</v>
      </c>
      <c r="AC319" s="4" t="s">
        <v>6</v>
      </c>
      <c r="AD319" s="4" t="s">
        <v>6</v>
      </c>
      <c r="AE319" s="5" t="s">
        <v>6</v>
      </c>
      <c r="AF319" s="4">
        <v>3</v>
      </c>
      <c r="AG319" s="5" t="s">
        <v>6</v>
      </c>
      <c r="AH319" s="4">
        <v>3</v>
      </c>
      <c r="AI319" s="4" t="s">
        <v>6</v>
      </c>
      <c r="AJ319" s="4" t="s">
        <v>6</v>
      </c>
      <c r="AK319" s="4" t="s">
        <v>6</v>
      </c>
      <c r="AL319" s="4" t="s">
        <v>6</v>
      </c>
      <c r="AM319" s="4" t="s">
        <v>6</v>
      </c>
      <c r="AN319" s="5" t="s">
        <v>6</v>
      </c>
    </row>
    <row r="320" spans="1:40" x14ac:dyDescent="0.2">
      <c r="A320" s="15">
        <v>1225</v>
      </c>
      <c r="B320" s="36" t="s">
        <v>6</v>
      </c>
      <c r="C320" s="36" t="s">
        <v>6</v>
      </c>
      <c r="D320" s="36" t="s">
        <v>6</v>
      </c>
      <c r="E320" s="36" t="s">
        <v>6</v>
      </c>
      <c r="F320" s="36" t="s">
        <v>6</v>
      </c>
      <c r="G320" s="36" t="s">
        <v>6</v>
      </c>
      <c r="H320" s="36" t="s">
        <v>6</v>
      </c>
      <c r="I320" s="36" t="s">
        <v>6</v>
      </c>
      <c r="J320" s="36" t="s">
        <v>6</v>
      </c>
      <c r="K320" s="36" t="s">
        <v>6</v>
      </c>
      <c r="L320" s="36" t="s">
        <v>6</v>
      </c>
      <c r="M320" s="36" t="s">
        <v>6</v>
      </c>
      <c r="N320" s="36" t="s">
        <v>6</v>
      </c>
      <c r="O320" s="36" t="s">
        <v>6</v>
      </c>
      <c r="P320" s="36" t="s">
        <v>6</v>
      </c>
      <c r="Q320" s="36" t="s">
        <v>6</v>
      </c>
      <c r="R320" s="36" t="s">
        <v>6</v>
      </c>
      <c r="S320" s="36" t="s">
        <v>6</v>
      </c>
      <c r="T320" s="36" t="s">
        <v>6</v>
      </c>
      <c r="U320" s="36" t="s">
        <v>6</v>
      </c>
      <c r="V320" s="4" t="s">
        <v>1</v>
      </c>
      <c r="W320" s="4">
        <v>1</v>
      </c>
      <c r="X320" s="4">
        <v>3</v>
      </c>
      <c r="Y320" s="4">
        <v>2</v>
      </c>
      <c r="Z320" s="5">
        <v>3</v>
      </c>
      <c r="AA320" s="4">
        <v>3</v>
      </c>
      <c r="AB320" s="4" t="s">
        <v>6</v>
      </c>
      <c r="AC320" s="4" t="s">
        <v>6</v>
      </c>
      <c r="AD320" s="4" t="s">
        <v>6</v>
      </c>
      <c r="AE320" s="5" t="s">
        <v>6</v>
      </c>
      <c r="AF320" s="4">
        <v>3</v>
      </c>
      <c r="AG320" s="5" t="s">
        <v>6</v>
      </c>
      <c r="AH320" s="4">
        <v>3</v>
      </c>
      <c r="AI320" s="4" t="s">
        <v>6</v>
      </c>
      <c r="AJ320" s="4" t="s">
        <v>6</v>
      </c>
      <c r="AK320" s="4" t="s">
        <v>6</v>
      </c>
      <c r="AL320" s="4" t="s">
        <v>6</v>
      </c>
      <c r="AM320" s="4" t="s">
        <v>6</v>
      </c>
      <c r="AN320" s="5" t="s">
        <v>6</v>
      </c>
    </row>
    <row r="321" spans="1:40" x14ac:dyDescent="0.2">
      <c r="A321" s="15">
        <v>1247</v>
      </c>
      <c r="B321" s="36" t="s">
        <v>6</v>
      </c>
      <c r="C321" s="36" t="s">
        <v>6</v>
      </c>
      <c r="D321" s="36" t="s">
        <v>6</v>
      </c>
      <c r="E321" s="36" t="s">
        <v>6</v>
      </c>
      <c r="F321" s="36" t="s">
        <v>6</v>
      </c>
      <c r="G321" s="36" t="s">
        <v>6</v>
      </c>
      <c r="H321" s="36" t="s">
        <v>6</v>
      </c>
      <c r="I321" s="36" t="s">
        <v>6</v>
      </c>
      <c r="J321" s="36" t="s">
        <v>6</v>
      </c>
      <c r="K321" s="36" t="s">
        <v>6</v>
      </c>
      <c r="L321" s="36" t="s">
        <v>6</v>
      </c>
      <c r="M321" s="36" t="s">
        <v>6</v>
      </c>
      <c r="N321" s="36" t="s">
        <v>6</v>
      </c>
      <c r="O321" s="36" t="s">
        <v>6</v>
      </c>
      <c r="P321" s="36" t="s">
        <v>6</v>
      </c>
      <c r="Q321" s="36" t="s">
        <v>6</v>
      </c>
      <c r="R321" s="36" t="s">
        <v>6</v>
      </c>
      <c r="S321" s="36" t="s">
        <v>6</v>
      </c>
      <c r="T321" s="36" t="s">
        <v>6</v>
      </c>
      <c r="U321" s="36" t="s">
        <v>6</v>
      </c>
      <c r="V321" s="4" t="s">
        <v>1</v>
      </c>
      <c r="W321" s="4">
        <v>1</v>
      </c>
      <c r="X321" s="4">
        <v>3</v>
      </c>
      <c r="Y321" s="4">
        <v>2</v>
      </c>
      <c r="Z321" s="5">
        <v>3</v>
      </c>
      <c r="AA321" s="4">
        <v>3</v>
      </c>
      <c r="AB321" s="4" t="s">
        <v>6</v>
      </c>
      <c r="AC321" s="4" t="s">
        <v>6</v>
      </c>
      <c r="AD321" s="4" t="s">
        <v>6</v>
      </c>
      <c r="AE321" s="5" t="s">
        <v>6</v>
      </c>
      <c r="AF321" s="4">
        <v>3</v>
      </c>
      <c r="AG321" s="5" t="s">
        <v>6</v>
      </c>
      <c r="AH321" s="4">
        <v>3</v>
      </c>
      <c r="AI321" s="4" t="s">
        <v>6</v>
      </c>
      <c r="AJ321" s="4" t="s">
        <v>6</v>
      </c>
      <c r="AK321" s="4" t="s">
        <v>6</v>
      </c>
      <c r="AL321" s="4" t="s">
        <v>6</v>
      </c>
      <c r="AM321" s="4" t="s">
        <v>6</v>
      </c>
      <c r="AN321" s="5" t="s">
        <v>6</v>
      </c>
    </row>
    <row r="322" spans="1:40" x14ac:dyDescent="0.2">
      <c r="A322" s="15">
        <v>1251</v>
      </c>
      <c r="B322" s="36" t="s">
        <v>6</v>
      </c>
      <c r="C322" s="36" t="s">
        <v>6</v>
      </c>
      <c r="D322" s="36" t="s">
        <v>6</v>
      </c>
      <c r="E322" s="36" t="s">
        <v>6</v>
      </c>
      <c r="F322" s="36" t="s">
        <v>6</v>
      </c>
      <c r="G322" s="36" t="s">
        <v>6</v>
      </c>
      <c r="H322" s="36" t="s">
        <v>6</v>
      </c>
      <c r="I322" s="36" t="s">
        <v>6</v>
      </c>
      <c r="J322" s="36" t="s">
        <v>6</v>
      </c>
      <c r="K322" s="36" t="s">
        <v>6</v>
      </c>
      <c r="L322" s="36" t="s">
        <v>6</v>
      </c>
      <c r="M322" s="36" t="s">
        <v>6</v>
      </c>
      <c r="N322" s="36" t="s">
        <v>6</v>
      </c>
      <c r="O322" s="36" t="s">
        <v>6</v>
      </c>
      <c r="P322" s="36" t="s">
        <v>6</v>
      </c>
      <c r="Q322" s="36" t="s">
        <v>6</v>
      </c>
      <c r="R322" s="36" t="s">
        <v>6</v>
      </c>
      <c r="S322" s="36" t="s">
        <v>6</v>
      </c>
      <c r="T322" s="36" t="s">
        <v>6</v>
      </c>
      <c r="U322" s="36" t="s">
        <v>6</v>
      </c>
      <c r="V322" s="4" t="s">
        <v>1</v>
      </c>
      <c r="W322" s="4">
        <v>1</v>
      </c>
      <c r="X322" s="4">
        <v>3</v>
      </c>
      <c r="Y322" s="4">
        <v>2</v>
      </c>
      <c r="Z322" s="5">
        <v>3</v>
      </c>
      <c r="AA322" s="4">
        <v>3</v>
      </c>
      <c r="AB322" s="4" t="s">
        <v>6</v>
      </c>
      <c r="AC322" s="4" t="s">
        <v>6</v>
      </c>
      <c r="AD322" s="4" t="s">
        <v>6</v>
      </c>
      <c r="AE322" s="5" t="s">
        <v>6</v>
      </c>
      <c r="AF322" s="4">
        <v>3</v>
      </c>
      <c r="AG322" s="5" t="s">
        <v>6</v>
      </c>
      <c r="AH322" s="4">
        <v>3</v>
      </c>
      <c r="AI322" s="4" t="s">
        <v>6</v>
      </c>
      <c r="AJ322" s="4" t="s">
        <v>6</v>
      </c>
      <c r="AK322" s="4" t="s">
        <v>6</v>
      </c>
      <c r="AL322" s="4" t="s">
        <v>6</v>
      </c>
      <c r="AM322" s="4" t="s">
        <v>6</v>
      </c>
      <c r="AN322" s="5" t="s">
        <v>6</v>
      </c>
    </row>
    <row r="323" spans="1:40" x14ac:dyDescent="0.2">
      <c r="A323" s="15">
        <v>1267</v>
      </c>
      <c r="B323" s="36" t="s">
        <v>6</v>
      </c>
      <c r="C323" s="36" t="s">
        <v>6</v>
      </c>
      <c r="D323" s="36" t="s">
        <v>6</v>
      </c>
      <c r="E323" s="36" t="s">
        <v>6</v>
      </c>
      <c r="F323" s="36" t="s">
        <v>6</v>
      </c>
      <c r="G323" s="36" t="s">
        <v>6</v>
      </c>
      <c r="H323" s="36" t="s">
        <v>6</v>
      </c>
      <c r="I323" s="36" t="s">
        <v>6</v>
      </c>
      <c r="J323" s="36" t="s">
        <v>6</v>
      </c>
      <c r="K323" s="36" t="s">
        <v>6</v>
      </c>
      <c r="L323" s="36" t="s">
        <v>6</v>
      </c>
      <c r="M323" s="36" t="s">
        <v>6</v>
      </c>
      <c r="N323" s="36" t="s">
        <v>6</v>
      </c>
      <c r="O323" s="36" t="s">
        <v>6</v>
      </c>
      <c r="P323" s="36" t="s">
        <v>6</v>
      </c>
      <c r="Q323" s="36" t="s">
        <v>6</v>
      </c>
      <c r="R323" s="36" t="s">
        <v>6</v>
      </c>
      <c r="S323" s="36" t="s">
        <v>6</v>
      </c>
      <c r="T323" s="36" t="s">
        <v>6</v>
      </c>
      <c r="U323" s="36" t="s">
        <v>6</v>
      </c>
      <c r="V323" s="4" t="s">
        <v>1</v>
      </c>
      <c r="W323" s="4">
        <v>1</v>
      </c>
      <c r="X323" s="4">
        <v>3</v>
      </c>
      <c r="Y323" s="4">
        <v>2</v>
      </c>
      <c r="Z323" s="5">
        <v>3</v>
      </c>
      <c r="AA323" s="4">
        <v>3</v>
      </c>
      <c r="AB323" s="4" t="s">
        <v>6</v>
      </c>
      <c r="AC323" s="4" t="s">
        <v>6</v>
      </c>
      <c r="AD323" s="4" t="s">
        <v>6</v>
      </c>
      <c r="AE323" s="5" t="s">
        <v>6</v>
      </c>
      <c r="AF323" s="4">
        <v>3</v>
      </c>
      <c r="AG323" s="5" t="s">
        <v>6</v>
      </c>
      <c r="AH323" s="4">
        <v>3</v>
      </c>
      <c r="AI323" s="4" t="s">
        <v>6</v>
      </c>
      <c r="AJ323" s="4" t="s">
        <v>6</v>
      </c>
      <c r="AK323" s="4" t="s">
        <v>6</v>
      </c>
      <c r="AL323" s="4" t="s">
        <v>6</v>
      </c>
      <c r="AM323" s="4" t="s">
        <v>6</v>
      </c>
      <c r="AN323" s="5" t="s">
        <v>6</v>
      </c>
    </row>
    <row r="324" spans="1:40" x14ac:dyDescent="0.2">
      <c r="A324" s="15">
        <v>1272</v>
      </c>
      <c r="B324" s="36" t="s">
        <v>6</v>
      </c>
      <c r="C324" s="36" t="s">
        <v>6</v>
      </c>
      <c r="D324" s="36" t="s">
        <v>6</v>
      </c>
      <c r="E324" s="36" t="s">
        <v>6</v>
      </c>
      <c r="F324" s="36" t="s">
        <v>6</v>
      </c>
      <c r="G324" s="36" t="s">
        <v>6</v>
      </c>
      <c r="H324" s="36" t="s">
        <v>6</v>
      </c>
      <c r="I324" s="36" t="s">
        <v>6</v>
      </c>
      <c r="J324" s="36" t="s">
        <v>6</v>
      </c>
      <c r="K324" s="36" t="s">
        <v>6</v>
      </c>
      <c r="L324" s="36" t="s">
        <v>6</v>
      </c>
      <c r="M324" s="36" t="s">
        <v>6</v>
      </c>
      <c r="N324" s="36" t="s">
        <v>6</v>
      </c>
      <c r="O324" s="36" t="s">
        <v>6</v>
      </c>
      <c r="P324" s="36" t="s">
        <v>6</v>
      </c>
      <c r="Q324" s="36" t="s">
        <v>6</v>
      </c>
      <c r="R324" s="36" t="s">
        <v>6</v>
      </c>
      <c r="S324" s="36" t="s">
        <v>6</v>
      </c>
      <c r="T324" s="36" t="s">
        <v>6</v>
      </c>
      <c r="U324" s="36" t="s">
        <v>6</v>
      </c>
      <c r="V324" s="4" t="s">
        <v>1</v>
      </c>
      <c r="W324" s="4">
        <v>1</v>
      </c>
      <c r="X324" s="4">
        <v>3</v>
      </c>
      <c r="Y324" s="4">
        <v>2</v>
      </c>
      <c r="Z324" s="5">
        <v>3</v>
      </c>
      <c r="AA324" s="4">
        <v>3</v>
      </c>
      <c r="AB324" s="4" t="s">
        <v>6</v>
      </c>
      <c r="AC324" s="4" t="s">
        <v>6</v>
      </c>
      <c r="AD324" s="4" t="s">
        <v>6</v>
      </c>
      <c r="AE324" s="5" t="s">
        <v>6</v>
      </c>
      <c r="AF324" s="4">
        <v>3</v>
      </c>
      <c r="AG324" s="5" t="s">
        <v>6</v>
      </c>
      <c r="AH324" s="4">
        <v>3</v>
      </c>
      <c r="AI324" s="4" t="s">
        <v>6</v>
      </c>
      <c r="AJ324" s="4" t="s">
        <v>6</v>
      </c>
      <c r="AK324" s="4" t="s">
        <v>6</v>
      </c>
      <c r="AL324" s="4" t="s">
        <v>6</v>
      </c>
      <c r="AM324" s="4" t="s">
        <v>6</v>
      </c>
      <c r="AN324" s="5" t="s">
        <v>6</v>
      </c>
    </row>
    <row r="325" spans="1:40" x14ac:dyDescent="0.2">
      <c r="A325" s="15">
        <v>1309</v>
      </c>
      <c r="B325" s="36" t="s">
        <v>6</v>
      </c>
      <c r="C325" s="36" t="s">
        <v>6</v>
      </c>
      <c r="D325" s="36" t="s">
        <v>6</v>
      </c>
      <c r="E325" s="36" t="s">
        <v>6</v>
      </c>
      <c r="F325" s="36" t="s">
        <v>6</v>
      </c>
      <c r="G325" s="36" t="s">
        <v>6</v>
      </c>
      <c r="H325" s="36" t="s">
        <v>6</v>
      </c>
      <c r="I325" s="36" t="s">
        <v>6</v>
      </c>
      <c r="J325" s="36" t="s">
        <v>6</v>
      </c>
      <c r="K325" s="36" t="s">
        <v>6</v>
      </c>
      <c r="L325" s="36" t="s">
        <v>6</v>
      </c>
      <c r="M325" s="36" t="s">
        <v>6</v>
      </c>
      <c r="N325" s="36" t="s">
        <v>6</v>
      </c>
      <c r="O325" s="36" t="s">
        <v>6</v>
      </c>
      <c r="P325" s="36" t="s">
        <v>6</v>
      </c>
      <c r="Q325" s="36" t="s">
        <v>6</v>
      </c>
      <c r="R325" s="36" t="s">
        <v>6</v>
      </c>
      <c r="S325" s="36" t="s">
        <v>6</v>
      </c>
      <c r="T325" s="36" t="s">
        <v>6</v>
      </c>
      <c r="U325" s="36" t="s">
        <v>6</v>
      </c>
      <c r="V325" s="4" t="s">
        <v>1</v>
      </c>
      <c r="W325" s="4">
        <v>1</v>
      </c>
      <c r="X325" s="4">
        <v>3</v>
      </c>
      <c r="Y325" s="4">
        <v>2</v>
      </c>
      <c r="Z325" s="5">
        <v>3</v>
      </c>
      <c r="AA325" s="4">
        <v>3</v>
      </c>
      <c r="AB325" s="4" t="s">
        <v>6</v>
      </c>
      <c r="AC325" s="4" t="s">
        <v>6</v>
      </c>
      <c r="AD325" s="4" t="s">
        <v>6</v>
      </c>
      <c r="AE325" s="5" t="s">
        <v>6</v>
      </c>
      <c r="AF325" s="4">
        <v>3</v>
      </c>
      <c r="AG325" s="5" t="s">
        <v>6</v>
      </c>
      <c r="AH325" s="4">
        <v>3</v>
      </c>
      <c r="AI325" s="4" t="s">
        <v>6</v>
      </c>
      <c r="AJ325" s="4" t="s">
        <v>6</v>
      </c>
      <c r="AK325" s="4" t="s">
        <v>6</v>
      </c>
      <c r="AL325" s="4" t="s">
        <v>6</v>
      </c>
      <c r="AM325" s="4" t="s">
        <v>6</v>
      </c>
      <c r="AN325" s="5" t="s">
        <v>6</v>
      </c>
    </row>
    <row r="326" spans="1:40" x14ac:dyDescent="0.2">
      <c r="A326" s="15">
        <v>1372</v>
      </c>
      <c r="B326" s="36" t="s">
        <v>6</v>
      </c>
      <c r="C326" s="36" t="s">
        <v>6</v>
      </c>
      <c r="D326" s="36" t="s">
        <v>6</v>
      </c>
      <c r="E326" s="36" t="s">
        <v>6</v>
      </c>
      <c r="F326" s="36" t="s">
        <v>6</v>
      </c>
      <c r="G326" s="36" t="s">
        <v>6</v>
      </c>
      <c r="H326" s="36" t="s">
        <v>6</v>
      </c>
      <c r="I326" s="36" t="s">
        <v>6</v>
      </c>
      <c r="J326" s="36" t="s">
        <v>6</v>
      </c>
      <c r="K326" s="36" t="s">
        <v>6</v>
      </c>
      <c r="L326" s="36" t="s">
        <v>6</v>
      </c>
      <c r="M326" s="36" t="s">
        <v>6</v>
      </c>
      <c r="N326" s="36" t="s">
        <v>6</v>
      </c>
      <c r="O326" s="36" t="s">
        <v>6</v>
      </c>
      <c r="P326" s="36" t="s">
        <v>6</v>
      </c>
      <c r="Q326" s="36" t="s">
        <v>6</v>
      </c>
      <c r="R326" s="36" t="s">
        <v>6</v>
      </c>
      <c r="S326" s="36" t="s">
        <v>6</v>
      </c>
      <c r="T326" s="36" t="s">
        <v>6</v>
      </c>
      <c r="U326" s="36" t="s">
        <v>6</v>
      </c>
      <c r="V326" s="4" t="s">
        <v>1</v>
      </c>
      <c r="W326" s="4">
        <v>1</v>
      </c>
      <c r="X326" s="4">
        <v>3</v>
      </c>
      <c r="Y326" s="4">
        <v>2</v>
      </c>
      <c r="Z326" s="5">
        <v>3</v>
      </c>
      <c r="AA326" s="4">
        <v>3</v>
      </c>
      <c r="AB326" s="4" t="s">
        <v>6</v>
      </c>
      <c r="AC326" s="4" t="s">
        <v>6</v>
      </c>
      <c r="AD326" s="4" t="s">
        <v>6</v>
      </c>
      <c r="AE326" s="5" t="s">
        <v>6</v>
      </c>
      <c r="AF326" s="4">
        <v>3</v>
      </c>
      <c r="AG326" s="5" t="s">
        <v>6</v>
      </c>
      <c r="AH326" s="4">
        <v>3</v>
      </c>
      <c r="AI326" s="4" t="s">
        <v>6</v>
      </c>
      <c r="AJ326" s="4" t="s">
        <v>6</v>
      </c>
      <c r="AK326" s="4" t="s">
        <v>6</v>
      </c>
      <c r="AL326" s="4" t="s">
        <v>6</v>
      </c>
      <c r="AM326" s="4" t="s">
        <v>6</v>
      </c>
      <c r="AN326" s="5" t="s">
        <v>6</v>
      </c>
    </row>
    <row r="327" spans="1:40" x14ac:dyDescent="0.2">
      <c r="A327" s="15">
        <v>1421</v>
      </c>
      <c r="B327" s="36" t="s">
        <v>6</v>
      </c>
      <c r="C327" s="36" t="s">
        <v>6</v>
      </c>
      <c r="D327" s="36" t="s">
        <v>6</v>
      </c>
      <c r="E327" s="36" t="s">
        <v>6</v>
      </c>
      <c r="F327" s="36" t="s">
        <v>6</v>
      </c>
      <c r="G327" s="36" t="s">
        <v>6</v>
      </c>
      <c r="H327" s="36" t="s">
        <v>6</v>
      </c>
      <c r="I327" s="36" t="s">
        <v>6</v>
      </c>
      <c r="J327" s="36" t="s">
        <v>6</v>
      </c>
      <c r="K327" s="36" t="s">
        <v>6</v>
      </c>
      <c r="L327" s="36" t="s">
        <v>6</v>
      </c>
      <c r="M327" s="36" t="s">
        <v>6</v>
      </c>
      <c r="N327" s="36" t="s">
        <v>6</v>
      </c>
      <c r="O327" s="36" t="s">
        <v>6</v>
      </c>
      <c r="P327" s="36" t="s">
        <v>6</v>
      </c>
      <c r="Q327" s="36" t="s">
        <v>6</v>
      </c>
      <c r="R327" s="36" t="s">
        <v>6</v>
      </c>
      <c r="S327" s="36" t="s">
        <v>6</v>
      </c>
      <c r="T327" s="36" t="s">
        <v>6</v>
      </c>
      <c r="U327" s="36" t="s">
        <v>6</v>
      </c>
      <c r="V327" s="4" t="s">
        <v>1</v>
      </c>
      <c r="W327" s="4">
        <v>1</v>
      </c>
      <c r="X327" s="4">
        <v>3</v>
      </c>
      <c r="Y327" s="4">
        <v>2</v>
      </c>
      <c r="Z327" s="5">
        <v>3</v>
      </c>
      <c r="AA327" s="4">
        <v>3</v>
      </c>
      <c r="AB327" s="4" t="s">
        <v>6</v>
      </c>
      <c r="AC327" s="4" t="s">
        <v>6</v>
      </c>
      <c r="AD327" s="4" t="s">
        <v>6</v>
      </c>
      <c r="AE327" s="5" t="s">
        <v>6</v>
      </c>
      <c r="AF327" s="4">
        <v>3</v>
      </c>
      <c r="AG327" s="5" t="s">
        <v>6</v>
      </c>
      <c r="AH327" s="4">
        <v>3</v>
      </c>
      <c r="AI327" s="4" t="s">
        <v>6</v>
      </c>
      <c r="AJ327" s="4" t="s">
        <v>6</v>
      </c>
      <c r="AK327" s="4" t="s">
        <v>6</v>
      </c>
      <c r="AL327" s="4" t="s">
        <v>6</v>
      </c>
      <c r="AM327" s="4" t="s">
        <v>6</v>
      </c>
      <c r="AN327" s="5" t="s">
        <v>6</v>
      </c>
    </row>
    <row r="328" spans="1:40" x14ac:dyDescent="0.2">
      <c r="A328" s="15">
        <v>1432</v>
      </c>
      <c r="B328" s="36" t="s">
        <v>6</v>
      </c>
      <c r="C328" s="36" t="s">
        <v>6</v>
      </c>
      <c r="D328" s="36" t="s">
        <v>6</v>
      </c>
      <c r="E328" s="36" t="s">
        <v>6</v>
      </c>
      <c r="F328" s="36" t="s">
        <v>6</v>
      </c>
      <c r="G328" s="36" t="s">
        <v>6</v>
      </c>
      <c r="H328" s="36" t="s">
        <v>6</v>
      </c>
      <c r="I328" s="36" t="s">
        <v>6</v>
      </c>
      <c r="J328" s="36" t="s">
        <v>6</v>
      </c>
      <c r="K328" s="36" t="s">
        <v>6</v>
      </c>
      <c r="L328" s="36" t="s">
        <v>6</v>
      </c>
      <c r="M328" s="36" t="s">
        <v>6</v>
      </c>
      <c r="N328" s="36" t="s">
        <v>6</v>
      </c>
      <c r="O328" s="36" t="s">
        <v>6</v>
      </c>
      <c r="P328" s="36" t="s">
        <v>6</v>
      </c>
      <c r="Q328" s="36" t="s">
        <v>6</v>
      </c>
      <c r="R328" s="36" t="s">
        <v>6</v>
      </c>
      <c r="S328" s="36" t="s">
        <v>6</v>
      </c>
      <c r="T328" s="36" t="s">
        <v>6</v>
      </c>
      <c r="U328" s="36" t="s">
        <v>6</v>
      </c>
      <c r="V328" s="4" t="s">
        <v>1</v>
      </c>
      <c r="W328" s="4">
        <v>1</v>
      </c>
      <c r="X328" s="4">
        <v>3</v>
      </c>
      <c r="Y328" s="4">
        <v>2</v>
      </c>
      <c r="Z328" s="5">
        <v>3</v>
      </c>
      <c r="AA328" s="4">
        <v>3</v>
      </c>
      <c r="AB328" s="4" t="s">
        <v>6</v>
      </c>
      <c r="AC328" s="4" t="s">
        <v>6</v>
      </c>
      <c r="AD328" s="4" t="s">
        <v>6</v>
      </c>
      <c r="AE328" s="5" t="s">
        <v>6</v>
      </c>
      <c r="AF328" s="4">
        <v>3</v>
      </c>
      <c r="AG328" s="5" t="s">
        <v>6</v>
      </c>
      <c r="AH328" s="4">
        <v>3</v>
      </c>
      <c r="AI328" s="4" t="s">
        <v>6</v>
      </c>
      <c r="AJ328" s="4" t="s">
        <v>6</v>
      </c>
      <c r="AK328" s="4" t="s">
        <v>6</v>
      </c>
      <c r="AL328" s="4" t="s">
        <v>6</v>
      </c>
      <c r="AM328" s="4" t="s">
        <v>6</v>
      </c>
      <c r="AN328" s="5" t="s">
        <v>6</v>
      </c>
    </row>
    <row r="329" spans="1:40" x14ac:dyDescent="0.2">
      <c r="A329" s="15">
        <v>1444</v>
      </c>
      <c r="B329" s="36" t="s">
        <v>6</v>
      </c>
      <c r="C329" s="36" t="s">
        <v>6</v>
      </c>
      <c r="D329" s="36" t="s">
        <v>6</v>
      </c>
      <c r="E329" s="36" t="s">
        <v>6</v>
      </c>
      <c r="F329" s="36" t="s">
        <v>6</v>
      </c>
      <c r="G329" s="36" t="s">
        <v>6</v>
      </c>
      <c r="H329" s="36" t="s">
        <v>6</v>
      </c>
      <c r="I329" s="36" t="s">
        <v>6</v>
      </c>
      <c r="J329" s="36" t="s">
        <v>6</v>
      </c>
      <c r="K329" s="36" t="s">
        <v>6</v>
      </c>
      <c r="L329" s="36" t="s">
        <v>6</v>
      </c>
      <c r="M329" s="36" t="s">
        <v>6</v>
      </c>
      <c r="N329" s="36" t="s">
        <v>6</v>
      </c>
      <c r="O329" s="36" t="s">
        <v>6</v>
      </c>
      <c r="P329" s="36" t="s">
        <v>6</v>
      </c>
      <c r="Q329" s="36" t="s">
        <v>6</v>
      </c>
      <c r="R329" s="36" t="s">
        <v>6</v>
      </c>
      <c r="S329" s="36" t="s">
        <v>6</v>
      </c>
      <c r="T329" s="36" t="s">
        <v>6</v>
      </c>
      <c r="U329" s="36" t="s">
        <v>6</v>
      </c>
      <c r="V329" s="4" t="s">
        <v>1</v>
      </c>
      <c r="W329" s="4">
        <v>1</v>
      </c>
      <c r="X329" s="4">
        <v>3</v>
      </c>
      <c r="Y329" s="4">
        <v>2</v>
      </c>
      <c r="Z329" s="5">
        <v>3</v>
      </c>
      <c r="AA329" s="4">
        <v>3</v>
      </c>
      <c r="AB329" s="4" t="s">
        <v>6</v>
      </c>
      <c r="AC329" s="4" t="s">
        <v>6</v>
      </c>
      <c r="AD329" s="4" t="s">
        <v>6</v>
      </c>
      <c r="AE329" s="5" t="s">
        <v>6</v>
      </c>
      <c r="AF329" s="4">
        <v>3</v>
      </c>
      <c r="AG329" s="5" t="s">
        <v>6</v>
      </c>
      <c r="AH329" s="4">
        <v>3</v>
      </c>
      <c r="AI329" s="4" t="s">
        <v>6</v>
      </c>
      <c r="AJ329" s="4" t="s">
        <v>6</v>
      </c>
      <c r="AK329" s="4" t="s">
        <v>6</v>
      </c>
      <c r="AL329" s="4" t="s">
        <v>6</v>
      </c>
      <c r="AM329" s="4" t="s">
        <v>6</v>
      </c>
      <c r="AN329" s="5" t="s">
        <v>6</v>
      </c>
    </row>
    <row r="330" spans="1:40" x14ac:dyDescent="0.2">
      <c r="A330" s="15">
        <v>1451</v>
      </c>
      <c r="B330" s="36" t="s">
        <v>6</v>
      </c>
      <c r="C330" s="36" t="s">
        <v>6</v>
      </c>
      <c r="D330" s="36" t="s">
        <v>6</v>
      </c>
      <c r="E330" s="36" t="s">
        <v>6</v>
      </c>
      <c r="F330" s="36" t="s">
        <v>6</v>
      </c>
      <c r="G330" s="36" t="s">
        <v>6</v>
      </c>
      <c r="H330" s="36" t="s">
        <v>6</v>
      </c>
      <c r="I330" s="36" t="s">
        <v>6</v>
      </c>
      <c r="J330" s="36" t="s">
        <v>6</v>
      </c>
      <c r="K330" s="36" t="s">
        <v>6</v>
      </c>
      <c r="L330" s="36" t="s">
        <v>6</v>
      </c>
      <c r="M330" s="36" t="s">
        <v>6</v>
      </c>
      <c r="N330" s="36" t="s">
        <v>6</v>
      </c>
      <c r="O330" s="36" t="s">
        <v>6</v>
      </c>
      <c r="P330" s="36" t="s">
        <v>6</v>
      </c>
      <c r="Q330" s="36" t="s">
        <v>6</v>
      </c>
      <c r="R330" s="36" t="s">
        <v>6</v>
      </c>
      <c r="S330" s="36" t="s">
        <v>6</v>
      </c>
      <c r="T330" s="36" t="s">
        <v>6</v>
      </c>
      <c r="U330" s="36" t="s">
        <v>6</v>
      </c>
      <c r="V330" s="4" t="s">
        <v>1</v>
      </c>
      <c r="W330" s="4">
        <v>1</v>
      </c>
      <c r="X330" s="4">
        <v>3</v>
      </c>
      <c r="Y330" s="4">
        <v>2</v>
      </c>
      <c r="Z330" s="5">
        <v>3</v>
      </c>
      <c r="AA330" s="4">
        <v>3</v>
      </c>
      <c r="AB330" s="4" t="s">
        <v>6</v>
      </c>
      <c r="AC330" s="4" t="s">
        <v>6</v>
      </c>
      <c r="AD330" s="4" t="s">
        <v>6</v>
      </c>
      <c r="AE330" s="5" t="s">
        <v>6</v>
      </c>
      <c r="AF330" s="4">
        <v>3</v>
      </c>
      <c r="AG330" s="5" t="s">
        <v>6</v>
      </c>
      <c r="AH330" s="4">
        <v>3</v>
      </c>
      <c r="AI330" s="4" t="s">
        <v>6</v>
      </c>
      <c r="AJ330" s="4" t="s">
        <v>6</v>
      </c>
      <c r="AK330" s="4" t="s">
        <v>6</v>
      </c>
      <c r="AL330" s="4" t="s">
        <v>6</v>
      </c>
      <c r="AM330" s="4" t="s">
        <v>6</v>
      </c>
      <c r="AN330" s="5" t="s">
        <v>6</v>
      </c>
    </row>
    <row r="331" spans="1:40" x14ac:dyDescent="0.2">
      <c r="A331" s="15">
        <v>1457</v>
      </c>
      <c r="B331" s="36" t="s">
        <v>6</v>
      </c>
      <c r="C331" s="36" t="s">
        <v>6</v>
      </c>
      <c r="D331" s="36" t="s">
        <v>6</v>
      </c>
      <c r="E331" s="36" t="s">
        <v>6</v>
      </c>
      <c r="F331" s="36" t="s">
        <v>6</v>
      </c>
      <c r="G331" s="36" t="s">
        <v>6</v>
      </c>
      <c r="H331" s="36" t="s">
        <v>6</v>
      </c>
      <c r="I331" s="36" t="s">
        <v>6</v>
      </c>
      <c r="J331" s="36" t="s">
        <v>6</v>
      </c>
      <c r="K331" s="36" t="s">
        <v>6</v>
      </c>
      <c r="L331" s="36" t="s">
        <v>6</v>
      </c>
      <c r="M331" s="36" t="s">
        <v>6</v>
      </c>
      <c r="N331" s="36" t="s">
        <v>6</v>
      </c>
      <c r="O331" s="36" t="s">
        <v>6</v>
      </c>
      <c r="P331" s="36" t="s">
        <v>6</v>
      </c>
      <c r="Q331" s="36" t="s">
        <v>6</v>
      </c>
      <c r="R331" s="36" t="s">
        <v>6</v>
      </c>
      <c r="S331" s="36" t="s">
        <v>6</v>
      </c>
      <c r="T331" s="36" t="s">
        <v>6</v>
      </c>
      <c r="U331" s="36" t="s">
        <v>6</v>
      </c>
      <c r="V331" s="4" t="s">
        <v>1</v>
      </c>
      <c r="W331" s="4">
        <v>1</v>
      </c>
      <c r="X331" s="4">
        <v>3</v>
      </c>
      <c r="Y331" s="4">
        <v>2</v>
      </c>
      <c r="Z331" s="5">
        <v>3</v>
      </c>
      <c r="AA331" s="4">
        <v>3</v>
      </c>
      <c r="AB331" s="4" t="s">
        <v>6</v>
      </c>
      <c r="AC331" s="4" t="s">
        <v>6</v>
      </c>
      <c r="AD331" s="4" t="s">
        <v>6</v>
      </c>
      <c r="AE331" s="5" t="s">
        <v>6</v>
      </c>
      <c r="AF331" s="4">
        <v>3</v>
      </c>
      <c r="AG331" s="5" t="s">
        <v>6</v>
      </c>
      <c r="AH331" s="4">
        <v>3</v>
      </c>
      <c r="AI331" s="4" t="s">
        <v>6</v>
      </c>
      <c r="AJ331" s="4" t="s">
        <v>6</v>
      </c>
      <c r="AK331" s="4" t="s">
        <v>6</v>
      </c>
      <c r="AL331" s="4" t="s">
        <v>6</v>
      </c>
      <c r="AM331" s="4" t="s">
        <v>6</v>
      </c>
      <c r="AN331" s="5" t="s">
        <v>6</v>
      </c>
    </row>
    <row r="332" spans="1:40" x14ac:dyDescent="0.2">
      <c r="A332" s="15">
        <v>1531</v>
      </c>
      <c r="B332" s="36" t="s">
        <v>6</v>
      </c>
      <c r="C332" s="36" t="s">
        <v>6</v>
      </c>
      <c r="D332" s="36" t="s">
        <v>6</v>
      </c>
      <c r="E332" s="36" t="s">
        <v>6</v>
      </c>
      <c r="F332" s="36" t="s">
        <v>6</v>
      </c>
      <c r="G332" s="36" t="s">
        <v>6</v>
      </c>
      <c r="H332" s="36" t="s">
        <v>6</v>
      </c>
      <c r="I332" s="36" t="s">
        <v>6</v>
      </c>
      <c r="J332" s="36" t="s">
        <v>6</v>
      </c>
      <c r="K332" s="36" t="s">
        <v>6</v>
      </c>
      <c r="L332" s="36" t="s">
        <v>6</v>
      </c>
      <c r="M332" s="36" t="s">
        <v>6</v>
      </c>
      <c r="N332" s="36" t="s">
        <v>6</v>
      </c>
      <c r="O332" s="36" t="s">
        <v>6</v>
      </c>
      <c r="P332" s="36" t="s">
        <v>6</v>
      </c>
      <c r="Q332" s="36" t="s">
        <v>6</v>
      </c>
      <c r="R332" s="36" t="s">
        <v>6</v>
      </c>
      <c r="S332" s="36" t="s">
        <v>6</v>
      </c>
      <c r="T332" s="36" t="s">
        <v>6</v>
      </c>
      <c r="U332" s="36" t="s">
        <v>6</v>
      </c>
      <c r="V332" s="4" t="s">
        <v>1</v>
      </c>
      <c r="W332" s="4">
        <v>1</v>
      </c>
      <c r="X332" s="4">
        <v>3</v>
      </c>
      <c r="Y332" s="4">
        <v>2</v>
      </c>
      <c r="Z332" s="5">
        <v>3</v>
      </c>
      <c r="AA332" s="4">
        <v>3</v>
      </c>
      <c r="AB332" s="4" t="s">
        <v>6</v>
      </c>
      <c r="AC332" s="4" t="s">
        <v>6</v>
      </c>
      <c r="AD332" s="4" t="s">
        <v>6</v>
      </c>
      <c r="AE332" s="5" t="s">
        <v>6</v>
      </c>
      <c r="AF332" s="4">
        <v>3</v>
      </c>
      <c r="AG332" s="5" t="s">
        <v>6</v>
      </c>
      <c r="AH332" s="4">
        <v>3</v>
      </c>
      <c r="AI332" s="4" t="s">
        <v>6</v>
      </c>
      <c r="AJ332" s="4" t="s">
        <v>6</v>
      </c>
      <c r="AK332" s="4" t="s">
        <v>6</v>
      </c>
      <c r="AL332" s="4" t="s">
        <v>6</v>
      </c>
      <c r="AM332" s="4" t="s">
        <v>6</v>
      </c>
      <c r="AN332" s="5" t="s">
        <v>6</v>
      </c>
    </row>
    <row r="333" spans="1:40" x14ac:dyDescent="0.2">
      <c r="A333" s="15">
        <v>1600</v>
      </c>
      <c r="B333" s="36" t="s">
        <v>6</v>
      </c>
      <c r="C333" s="36" t="s">
        <v>6</v>
      </c>
      <c r="D333" s="36" t="s">
        <v>6</v>
      </c>
      <c r="E333" s="36" t="s">
        <v>6</v>
      </c>
      <c r="F333" s="36" t="s">
        <v>6</v>
      </c>
      <c r="G333" s="36" t="s">
        <v>6</v>
      </c>
      <c r="H333" s="36" t="s">
        <v>6</v>
      </c>
      <c r="I333" s="36" t="s">
        <v>6</v>
      </c>
      <c r="J333" s="36" t="s">
        <v>6</v>
      </c>
      <c r="K333" s="36" t="s">
        <v>6</v>
      </c>
      <c r="L333" s="36" t="s">
        <v>6</v>
      </c>
      <c r="M333" s="36" t="s">
        <v>6</v>
      </c>
      <c r="N333" s="36" t="s">
        <v>6</v>
      </c>
      <c r="O333" s="36" t="s">
        <v>6</v>
      </c>
      <c r="P333" s="36" t="s">
        <v>6</v>
      </c>
      <c r="Q333" s="36" t="s">
        <v>6</v>
      </c>
      <c r="R333" s="36" t="s">
        <v>6</v>
      </c>
      <c r="S333" s="36" t="s">
        <v>6</v>
      </c>
      <c r="T333" s="36" t="s">
        <v>6</v>
      </c>
      <c r="U333" s="36" t="s">
        <v>6</v>
      </c>
      <c r="V333" s="4" t="s">
        <v>1</v>
      </c>
      <c r="W333" s="4">
        <v>1</v>
      </c>
      <c r="X333" s="4">
        <v>3</v>
      </c>
      <c r="Y333" s="4">
        <v>2</v>
      </c>
      <c r="Z333" s="5">
        <v>3</v>
      </c>
      <c r="AA333" s="4">
        <v>3</v>
      </c>
      <c r="AB333" s="4" t="s">
        <v>6</v>
      </c>
      <c r="AC333" s="4" t="s">
        <v>6</v>
      </c>
      <c r="AD333" s="4" t="s">
        <v>6</v>
      </c>
      <c r="AE333" s="5" t="s">
        <v>6</v>
      </c>
      <c r="AF333" s="4">
        <v>3</v>
      </c>
      <c r="AG333" s="5" t="s">
        <v>6</v>
      </c>
      <c r="AH333" s="4">
        <v>3</v>
      </c>
      <c r="AI333" s="4" t="s">
        <v>6</v>
      </c>
      <c r="AJ333" s="4" t="s">
        <v>6</v>
      </c>
      <c r="AK333" s="4" t="s">
        <v>6</v>
      </c>
      <c r="AL333" s="4" t="s">
        <v>6</v>
      </c>
      <c r="AM333" s="4" t="s">
        <v>6</v>
      </c>
      <c r="AN333" s="5" t="s">
        <v>6</v>
      </c>
    </row>
    <row r="334" spans="1:40" x14ac:dyDescent="0.2">
      <c r="A334" s="15">
        <v>1626</v>
      </c>
      <c r="B334" s="36" t="s">
        <v>6</v>
      </c>
      <c r="C334" s="36" t="s">
        <v>6</v>
      </c>
      <c r="D334" s="36" t="s">
        <v>6</v>
      </c>
      <c r="E334" s="36" t="s">
        <v>6</v>
      </c>
      <c r="F334" s="36" t="s">
        <v>6</v>
      </c>
      <c r="G334" s="36" t="s">
        <v>6</v>
      </c>
      <c r="H334" s="36" t="s">
        <v>6</v>
      </c>
      <c r="I334" s="36" t="s">
        <v>6</v>
      </c>
      <c r="J334" s="36" t="s">
        <v>6</v>
      </c>
      <c r="K334" s="36" t="s">
        <v>6</v>
      </c>
      <c r="L334" s="36" t="s">
        <v>6</v>
      </c>
      <c r="M334" s="36" t="s">
        <v>6</v>
      </c>
      <c r="N334" s="36" t="s">
        <v>6</v>
      </c>
      <c r="O334" s="36" t="s">
        <v>6</v>
      </c>
      <c r="P334" s="36" t="s">
        <v>6</v>
      </c>
      <c r="Q334" s="36" t="s">
        <v>6</v>
      </c>
      <c r="R334" s="36" t="s">
        <v>6</v>
      </c>
      <c r="S334" s="36" t="s">
        <v>6</v>
      </c>
      <c r="T334" s="36" t="s">
        <v>6</v>
      </c>
      <c r="U334" s="36" t="s">
        <v>6</v>
      </c>
      <c r="V334" s="4" t="s">
        <v>1</v>
      </c>
      <c r="W334" s="4">
        <v>1</v>
      </c>
      <c r="X334" s="4">
        <v>3</v>
      </c>
      <c r="Y334" s="4">
        <v>2</v>
      </c>
      <c r="Z334" s="5">
        <v>3</v>
      </c>
      <c r="AA334" s="4">
        <v>3</v>
      </c>
      <c r="AB334" s="4" t="s">
        <v>6</v>
      </c>
      <c r="AC334" s="4" t="s">
        <v>6</v>
      </c>
      <c r="AD334" s="4" t="s">
        <v>6</v>
      </c>
      <c r="AE334" s="5" t="s">
        <v>6</v>
      </c>
      <c r="AF334" s="4">
        <v>3</v>
      </c>
      <c r="AG334" s="5" t="s">
        <v>6</v>
      </c>
      <c r="AH334" s="4">
        <v>3</v>
      </c>
      <c r="AI334" s="4" t="s">
        <v>6</v>
      </c>
      <c r="AJ334" s="4" t="s">
        <v>6</v>
      </c>
      <c r="AK334" s="4" t="s">
        <v>6</v>
      </c>
      <c r="AL334" s="4" t="s">
        <v>6</v>
      </c>
      <c r="AM334" s="4" t="s">
        <v>6</v>
      </c>
      <c r="AN334" s="5" t="s">
        <v>6</v>
      </c>
    </row>
    <row r="335" spans="1:40" x14ac:dyDescent="0.2">
      <c r="A335" s="15">
        <v>1637</v>
      </c>
      <c r="B335" s="36" t="s">
        <v>6</v>
      </c>
      <c r="C335" s="36" t="s">
        <v>6</v>
      </c>
      <c r="D335" s="36" t="s">
        <v>6</v>
      </c>
      <c r="E335" s="36" t="s">
        <v>6</v>
      </c>
      <c r="F335" s="36" t="s">
        <v>6</v>
      </c>
      <c r="G335" s="36" t="s">
        <v>6</v>
      </c>
      <c r="H335" s="36" t="s">
        <v>6</v>
      </c>
      <c r="I335" s="36" t="s">
        <v>6</v>
      </c>
      <c r="J335" s="36" t="s">
        <v>6</v>
      </c>
      <c r="K335" s="36" t="s">
        <v>6</v>
      </c>
      <c r="L335" s="36" t="s">
        <v>6</v>
      </c>
      <c r="M335" s="36" t="s">
        <v>6</v>
      </c>
      <c r="N335" s="36" t="s">
        <v>6</v>
      </c>
      <c r="O335" s="36" t="s">
        <v>6</v>
      </c>
      <c r="P335" s="36" t="s">
        <v>6</v>
      </c>
      <c r="Q335" s="36" t="s">
        <v>6</v>
      </c>
      <c r="R335" s="36" t="s">
        <v>6</v>
      </c>
      <c r="S335" s="36" t="s">
        <v>6</v>
      </c>
      <c r="T335" s="36" t="s">
        <v>6</v>
      </c>
      <c r="U335" s="36" t="s">
        <v>6</v>
      </c>
      <c r="V335" s="4" t="s">
        <v>1</v>
      </c>
      <c r="W335" s="4">
        <v>1</v>
      </c>
      <c r="X335" s="4">
        <v>3</v>
      </c>
      <c r="Y335" s="4">
        <v>2</v>
      </c>
      <c r="Z335" s="5">
        <v>3</v>
      </c>
      <c r="AA335" s="4">
        <v>3</v>
      </c>
      <c r="AB335" s="4" t="s">
        <v>6</v>
      </c>
      <c r="AC335" s="4" t="s">
        <v>6</v>
      </c>
      <c r="AD335" s="4" t="s">
        <v>6</v>
      </c>
      <c r="AE335" s="5" t="s">
        <v>6</v>
      </c>
      <c r="AF335" s="4">
        <v>3</v>
      </c>
      <c r="AG335" s="5" t="s">
        <v>6</v>
      </c>
      <c r="AH335" s="4">
        <v>3</v>
      </c>
      <c r="AI335" s="4" t="s">
        <v>6</v>
      </c>
      <c r="AJ335" s="4" t="s">
        <v>6</v>
      </c>
      <c r="AK335" s="4" t="s">
        <v>6</v>
      </c>
      <c r="AL335" s="4" t="s">
        <v>6</v>
      </c>
      <c r="AM335" s="4" t="s">
        <v>6</v>
      </c>
      <c r="AN335" s="5" t="s">
        <v>6</v>
      </c>
    </row>
    <row r="336" spans="1:40" x14ac:dyDescent="0.2">
      <c r="A336" s="15">
        <v>1665</v>
      </c>
      <c r="B336" s="36" t="s">
        <v>6</v>
      </c>
      <c r="C336" s="36" t="s">
        <v>6</v>
      </c>
      <c r="D336" s="36" t="s">
        <v>6</v>
      </c>
      <c r="E336" s="36" t="s">
        <v>6</v>
      </c>
      <c r="F336" s="36" t="s">
        <v>6</v>
      </c>
      <c r="G336" s="36" t="s">
        <v>6</v>
      </c>
      <c r="H336" s="36" t="s">
        <v>6</v>
      </c>
      <c r="I336" s="36" t="s">
        <v>6</v>
      </c>
      <c r="J336" s="36" t="s">
        <v>6</v>
      </c>
      <c r="K336" s="36" t="s">
        <v>6</v>
      </c>
      <c r="L336" s="36" t="s">
        <v>6</v>
      </c>
      <c r="M336" s="36" t="s">
        <v>6</v>
      </c>
      <c r="N336" s="36" t="s">
        <v>6</v>
      </c>
      <c r="O336" s="36" t="s">
        <v>6</v>
      </c>
      <c r="P336" s="36" t="s">
        <v>6</v>
      </c>
      <c r="Q336" s="36" t="s">
        <v>6</v>
      </c>
      <c r="R336" s="36" t="s">
        <v>6</v>
      </c>
      <c r="S336" s="36" t="s">
        <v>6</v>
      </c>
      <c r="T336" s="36" t="s">
        <v>6</v>
      </c>
      <c r="U336" s="36" t="s">
        <v>6</v>
      </c>
      <c r="V336" s="4" t="s">
        <v>1</v>
      </c>
      <c r="W336" s="4">
        <v>1</v>
      </c>
      <c r="X336" s="4">
        <v>3</v>
      </c>
      <c r="Y336" s="4">
        <v>2</v>
      </c>
      <c r="Z336" s="5">
        <v>3</v>
      </c>
      <c r="AA336" s="4">
        <v>3</v>
      </c>
      <c r="AB336" s="4" t="s">
        <v>6</v>
      </c>
      <c r="AC336" s="4" t="s">
        <v>6</v>
      </c>
      <c r="AD336" s="4" t="s">
        <v>6</v>
      </c>
      <c r="AE336" s="5" t="s">
        <v>6</v>
      </c>
      <c r="AF336" s="4">
        <v>3</v>
      </c>
      <c r="AG336" s="5" t="s">
        <v>6</v>
      </c>
      <c r="AH336" s="4">
        <v>3</v>
      </c>
      <c r="AI336" s="4" t="s">
        <v>6</v>
      </c>
      <c r="AJ336" s="4" t="s">
        <v>6</v>
      </c>
      <c r="AK336" s="4" t="s">
        <v>6</v>
      </c>
      <c r="AL336" s="4" t="s">
        <v>6</v>
      </c>
      <c r="AM336" s="4" t="s">
        <v>6</v>
      </c>
      <c r="AN336" s="5" t="s">
        <v>6</v>
      </c>
    </row>
    <row r="337" spans="1:40" x14ac:dyDescent="0.2">
      <c r="A337" s="15">
        <v>1781</v>
      </c>
      <c r="B337" s="36" t="s">
        <v>6</v>
      </c>
      <c r="C337" s="36" t="s">
        <v>6</v>
      </c>
      <c r="D337" s="36" t="s">
        <v>6</v>
      </c>
      <c r="E337" s="36" t="s">
        <v>6</v>
      </c>
      <c r="F337" s="36" t="s">
        <v>6</v>
      </c>
      <c r="G337" s="36" t="s">
        <v>6</v>
      </c>
      <c r="H337" s="36" t="s">
        <v>6</v>
      </c>
      <c r="I337" s="36" t="s">
        <v>6</v>
      </c>
      <c r="J337" s="36" t="s">
        <v>6</v>
      </c>
      <c r="K337" s="36" t="s">
        <v>6</v>
      </c>
      <c r="L337" s="36" t="s">
        <v>6</v>
      </c>
      <c r="M337" s="36" t="s">
        <v>6</v>
      </c>
      <c r="N337" s="36" t="s">
        <v>6</v>
      </c>
      <c r="O337" s="36" t="s">
        <v>6</v>
      </c>
      <c r="P337" s="36" t="s">
        <v>6</v>
      </c>
      <c r="Q337" s="36" t="s">
        <v>6</v>
      </c>
      <c r="R337" s="36" t="s">
        <v>6</v>
      </c>
      <c r="S337" s="36" t="s">
        <v>6</v>
      </c>
      <c r="T337" s="36" t="s">
        <v>6</v>
      </c>
      <c r="U337" s="36" t="s">
        <v>6</v>
      </c>
      <c r="V337" s="4" t="s">
        <v>1</v>
      </c>
      <c r="W337" s="4">
        <v>1</v>
      </c>
      <c r="X337" s="4">
        <v>3</v>
      </c>
      <c r="Y337" s="4">
        <v>2</v>
      </c>
      <c r="Z337" s="5">
        <v>3</v>
      </c>
      <c r="AA337" s="4">
        <v>3</v>
      </c>
      <c r="AB337" s="4" t="s">
        <v>6</v>
      </c>
      <c r="AC337" s="4" t="s">
        <v>6</v>
      </c>
      <c r="AD337" s="4" t="s">
        <v>6</v>
      </c>
      <c r="AE337" s="5" t="s">
        <v>6</v>
      </c>
      <c r="AF337" s="4">
        <v>3</v>
      </c>
      <c r="AG337" s="5" t="s">
        <v>6</v>
      </c>
      <c r="AH337" s="4">
        <v>3</v>
      </c>
      <c r="AI337" s="4" t="s">
        <v>6</v>
      </c>
      <c r="AJ337" s="4" t="s">
        <v>6</v>
      </c>
      <c r="AK337" s="4" t="s">
        <v>6</v>
      </c>
      <c r="AL337" s="4" t="s">
        <v>6</v>
      </c>
      <c r="AM337" s="4" t="s">
        <v>6</v>
      </c>
      <c r="AN337" s="5" t="s">
        <v>6</v>
      </c>
    </row>
    <row r="338" spans="1:40" x14ac:dyDescent="0.2">
      <c r="A338" s="15">
        <v>1784</v>
      </c>
      <c r="B338" s="36" t="s">
        <v>6</v>
      </c>
      <c r="C338" s="36" t="s">
        <v>6</v>
      </c>
      <c r="D338" s="36" t="s">
        <v>6</v>
      </c>
      <c r="E338" s="36" t="s">
        <v>6</v>
      </c>
      <c r="F338" s="36" t="s">
        <v>6</v>
      </c>
      <c r="G338" s="36" t="s">
        <v>6</v>
      </c>
      <c r="H338" s="36" t="s">
        <v>6</v>
      </c>
      <c r="I338" s="36" t="s">
        <v>6</v>
      </c>
      <c r="J338" s="36" t="s">
        <v>6</v>
      </c>
      <c r="K338" s="36" t="s">
        <v>6</v>
      </c>
      <c r="L338" s="36" t="s">
        <v>6</v>
      </c>
      <c r="M338" s="36" t="s">
        <v>6</v>
      </c>
      <c r="N338" s="36" t="s">
        <v>6</v>
      </c>
      <c r="O338" s="36" t="s">
        <v>6</v>
      </c>
      <c r="P338" s="36" t="s">
        <v>6</v>
      </c>
      <c r="Q338" s="36" t="s">
        <v>6</v>
      </c>
      <c r="R338" s="36" t="s">
        <v>6</v>
      </c>
      <c r="S338" s="36" t="s">
        <v>6</v>
      </c>
      <c r="T338" s="36" t="s">
        <v>6</v>
      </c>
      <c r="U338" s="36" t="s">
        <v>6</v>
      </c>
      <c r="V338" s="4" t="s">
        <v>1</v>
      </c>
      <c r="W338" s="4">
        <v>1</v>
      </c>
      <c r="X338" s="4">
        <v>3</v>
      </c>
      <c r="Y338" s="4">
        <v>2</v>
      </c>
      <c r="Z338" s="5">
        <v>3</v>
      </c>
      <c r="AA338" s="4">
        <v>3</v>
      </c>
      <c r="AB338" s="4" t="s">
        <v>6</v>
      </c>
      <c r="AC338" s="4" t="s">
        <v>6</v>
      </c>
      <c r="AD338" s="4" t="s">
        <v>6</v>
      </c>
      <c r="AE338" s="5" t="s">
        <v>6</v>
      </c>
      <c r="AF338" s="4">
        <v>3</v>
      </c>
      <c r="AG338" s="5" t="s">
        <v>6</v>
      </c>
      <c r="AH338" s="4">
        <v>3</v>
      </c>
      <c r="AI338" s="4" t="s">
        <v>6</v>
      </c>
      <c r="AJ338" s="4" t="s">
        <v>6</v>
      </c>
      <c r="AK338" s="4" t="s">
        <v>6</v>
      </c>
      <c r="AL338" s="4" t="s">
        <v>6</v>
      </c>
      <c r="AM338" s="4" t="s">
        <v>6</v>
      </c>
      <c r="AN338" s="5" t="s">
        <v>6</v>
      </c>
    </row>
    <row r="339" spans="1:40" x14ac:dyDescent="0.2">
      <c r="A339" s="15">
        <v>1797</v>
      </c>
      <c r="B339" s="36" t="s">
        <v>6</v>
      </c>
      <c r="C339" s="36" t="s">
        <v>6</v>
      </c>
      <c r="D339" s="36" t="s">
        <v>6</v>
      </c>
      <c r="E339" s="36" t="s">
        <v>6</v>
      </c>
      <c r="F339" s="36" t="s">
        <v>6</v>
      </c>
      <c r="G339" s="36" t="s">
        <v>6</v>
      </c>
      <c r="H339" s="36" t="s">
        <v>6</v>
      </c>
      <c r="I339" s="36" t="s">
        <v>6</v>
      </c>
      <c r="J339" s="36" t="s">
        <v>6</v>
      </c>
      <c r="K339" s="36" t="s">
        <v>6</v>
      </c>
      <c r="L339" s="36" t="s">
        <v>6</v>
      </c>
      <c r="M339" s="36" t="s">
        <v>6</v>
      </c>
      <c r="N339" s="36" t="s">
        <v>6</v>
      </c>
      <c r="O339" s="36" t="s">
        <v>6</v>
      </c>
      <c r="P339" s="36" t="s">
        <v>6</v>
      </c>
      <c r="Q339" s="36" t="s">
        <v>6</v>
      </c>
      <c r="R339" s="36" t="s">
        <v>6</v>
      </c>
      <c r="S339" s="36" t="s">
        <v>6</v>
      </c>
      <c r="T339" s="36" t="s">
        <v>6</v>
      </c>
      <c r="U339" s="36" t="s">
        <v>6</v>
      </c>
      <c r="V339" s="4" t="s">
        <v>1</v>
      </c>
      <c r="W339" s="4">
        <v>1</v>
      </c>
      <c r="X339" s="4">
        <v>3</v>
      </c>
      <c r="Y339" s="4">
        <v>2</v>
      </c>
      <c r="Z339" s="5">
        <v>3</v>
      </c>
      <c r="AA339" s="4">
        <v>3</v>
      </c>
      <c r="AB339" s="4" t="s">
        <v>6</v>
      </c>
      <c r="AC339" s="4" t="s">
        <v>6</v>
      </c>
      <c r="AD339" s="4" t="s">
        <v>6</v>
      </c>
      <c r="AE339" s="5" t="s">
        <v>6</v>
      </c>
      <c r="AF339" s="4">
        <v>3</v>
      </c>
      <c r="AG339" s="5" t="s">
        <v>6</v>
      </c>
      <c r="AH339" s="4">
        <v>3</v>
      </c>
      <c r="AI339" s="4" t="s">
        <v>6</v>
      </c>
      <c r="AJ339" s="4" t="s">
        <v>6</v>
      </c>
      <c r="AK339" s="4" t="s">
        <v>6</v>
      </c>
      <c r="AL339" s="4" t="s">
        <v>6</v>
      </c>
      <c r="AM339" s="4" t="s">
        <v>6</v>
      </c>
      <c r="AN339" s="5" t="s">
        <v>6</v>
      </c>
    </row>
    <row r="340" spans="1:40" x14ac:dyDescent="0.2">
      <c r="A340" s="15">
        <v>1800</v>
      </c>
      <c r="B340" s="36" t="s">
        <v>6</v>
      </c>
      <c r="C340" s="36" t="s">
        <v>6</v>
      </c>
      <c r="D340" s="36" t="s">
        <v>6</v>
      </c>
      <c r="E340" s="36" t="s">
        <v>6</v>
      </c>
      <c r="F340" s="36" t="s">
        <v>6</v>
      </c>
      <c r="G340" s="36" t="s">
        <v>6</v>
      </c>
      <c r="H340" s="36" t="s">
        <v>6</v>
      </c>
      <c r="I340" s="36" t="s">
        <v>6</v>
      </c>
      <c r="J340" s="36" t="s">
        <v>6</v>
      </c>
      <c r="K340" s="36" t="s">
        <v>6</v>
      </c>
      <c r="L340" s="36" t="s">
        <v>6</v>
      </c>
      <c r="M340" s="36" t="s">
        <v>6</v>
      </c>
      <c r="N340" s="36" t="s">
        <v>6</v>
      </c>
      <c r="O340" s="36" t="s">
        <v>6</v>
      </c>
      <c r="P340" s="36" t="s">
        <v>6</v>
      </c>
      <c r="Q340" s="36" t="s">
        <v>6</v>
      </c>
      <c r="R340" s="36" t="s">
        <v>6</v>
      </c>
      <c r="S340" s="36" t="s">
        <v>6</v>
      </c>
      <c r="T340" s="36" t="s">
        <v>6</v>
      </c>
      <c r="U340" s="36" t="s">
        <v>6</v>
      </c>
      <c r="V340" s="4" t="s">
        <v>1</v>
      </c>
      <c r="W340" s="4">
        <v>1</v>
      </c>
      <c r="X340" s="4">
        <v>3</v>
      </c>
      <c r="Y340" s="4">
        <v>2</v>
      </c>
      <c r="Z340" s="5">
        <v>3</v>
      </c>
      <c r="AA340" s="4">
        <v>3</v>
      </c>
      <c r="AB340" s="4" t="s">
        <v>6</v>
      </c>
      <c r="AC340" s="4" t="s">
        <v>6</v>
      </c>
      <c r="AD340" s="4" t="s">
        <v>6</v>
      </c>
      <c r="AE340" s="5" t="s">
        <v>6</v>
      </c>
      <c r="AF340" s="4">
        <v>3</v>
      </c>
      <c r="AG340" s="5" t="s">
        <v>6</v>
      </c>
      <c r="AH340" s="4">
        <v>3</v>
      </c>
      <c r="AI340" s="4" t="s">
        <v>6</v>
      </c>
      <c r="AJ340" s="4" t="s">
        <v>6</v>
      </c>
      <c r="AK340" s="4" t="s">
        <v>6</v>
      </c>
      <c r="AL340" s="4" t="s">
        <v>6</v>
      </c>
      <c r="AM340" s="4" t="s">
        <v>6</v>
      </c>
      <c r="AN340" s="5" t="s">
        <v>6</v>
      </c>
    </row>
    <row r="341" spans="1:40" x14ac:dyDescent="0.2">
      <c r="A341" s="15">
        <v>1854</v>
      </c>
      <c r="B341" s="36" t="s">
        <v>6</v>
      </c>
      <c r="C341" s="36" t="s">
        <v>6</v>
      </c>
      <c r="D341" s="36" t="s">
        <v>6</v>
      </c>
      <c r="E341" s="36" t="s">
        <v>6</v>
      </c>
      <c r="F341" s="36" t="s">
        <v>6</v>
      </c>
      <c r="G341" s="36" t="s">
        <v>6</v>
      </c>
      <c r="H341" s="36" t="s">
        <v>6</v>
      </c>
      <c r="I341" s="36" t="s">
        <v>6</v>
      </c>
      <c r="J341" s="36" t="s">
        <v>6</v>
      </c>
      <c r="K341" s="36" t="s">
        <v>6</v>
      </c>
      <c r="L341" s="36" t="s">
        <v>6</v>
      </c>
      <c r="M341" s="36" t="s">
        <v>6</v>
      </c>
      <c r="N341" s="36" t="s">
        <v>6</v>
      </c>
      <c r="O341" s="36" t="s">
        <v>6</v>
      </c>
      <c r="P341" s="36" t="s">
        <v>6</v>
      </c>
      <c r="Q341" s="36" t="s">
        <v>6</v>
      </c>
      <c r="R341" s="36" t="s">
        <v>6</v>
      </c>
      <c r="S341" s="36" t="s">
        <v>6</v>
      </c>
      <c r="T341" s="36" t="s">
        <v>6</v>
      </c>
      <c r="U341" s="36" t="s">
        <v>6</v>
      </c>
      <c r="V341" s="4" t="s">
        <v>1</v>
      </c>
      <c r="W341" s="4">
        <v>1</v>
      </c>
      <c r="X341" s="4">
        <v>3</v>
      </c>
      <c r="Y341" s="4">
        <v>2</v>
      </c>
      <c r="Z341" s="5">
        <v>3</v>
      </c>
      <c r="AA341" s="4">
        <v>3</v>
      </c>
      <c r="AB341" s="4" t="s">
        <v>6</v>
      </c>
      <c r="AC341" s="4" t="s">
        <v>6</v>
      </c>
      <c r="AD341" s="4" t="s">
        <v>6</v>
      </c>
      <c r="AE341" s="5" t="s">
        <v>6</v>
      </c>
      <c r="AF341" s="4">
        <v>3</v>
      </c>
      <c r="AG341" s="5" t="s">
        <v>6</v>
      </c>
      <c r="AH341" s="4">
        <v>3</v>
      </c>
      <c r="AI341" s="4" t="s">
        <v>6</v>
      </c>
      <c r="AJ341" s="4" t="s">
        <v>6</v>
      </c>
      <c r="AK341" s="4" t="s">
        <v>6</v>
      </c>
      <c r="AL341" s="4" t="s">
        <v>6</v>
      </c>
      <c r="AM341" s="4" t="s">
        <v>6</v>
      </c>
      <c r="AN341" s="5" t="s">
        <v>6</v>
      </c>
    </row>
    <row r="342" spans="1:40" x14ac:dyDescent="0.2">
      <c r="A342" s="15">
        <v>1856</v>
      </c>
      <c r="B342" s="36" t="s">
        <v>6</v>
      </c>
      <c r="C342" s="36" t="s">
        <v>6</v>
      </c>
      <c r="D342" s="36" t="s">
        <v>6</v>
      </c>
      <c r="E342" s="36" t="s">
        <v>6</v>
      </c>
      <c r="F342" s="36" t="s">
        <v>6</v>
      </c>
      <c r="G342" s="36" t="s">
        <v>6</v>
      </c>
      <c r="H342" s="36" t="s">
        <v>6</v>
      </c>
      <c r="I342" s="36" t="s">
        <v>6</v>
      </c>
      <c r="J342" s="36" t="s">
        <v>6</v>
      </c>
      <c r="K342" s="36" t="s">
        <v>6</v>
      </c>
      <c r="L342" s="36" t="s">
        <v>6</v>
      </c>
      <c r="M342" s="36" t="s">
        <v>6</v>
      </c>
      <c r="N342" s="36" t="s">
        <v>6</v>
      </c>
      <c r="O342" s="36" t="s">
        <v>6</v>
      </c>
      <c r="P342" s="36" t="s">
        <v>6</v>
      </c>
      <c r="Q342" s="36" t="s">
        <v>6</v>
      </c>
      <c r="R342" s="36" t="s">
        <v>6</v>
      </c>
      <c r="S342" s="36" t="s">
        <v>6</v>
      </c>
      <c r="T342" s="36" t="s">
        <v>6</v>
      </c>
      <c r="U342" s="36" t="s">
        <v>6</v>
      </c>
      <c r="V342" s="4" t="s">
        <v>1</v>
      </c>
      <c r="W342" s="4">
        <v>1</v>
      </c>
      <c r="X342" s="4">
        <v>3</v>
      </c>
      <c r="Y342" s="4">
        <v>2</v>
      </c>
      <c r="Z342" s="5">
        <v>3</v>
      </c>
      <c r="AA342" s="4">
        <v>3</v>
      </c>
      <c r="AB342" s="4" t="s">
        <v>6</v>
      </c>
      <c r="AC342" s="4" t="s">
        <v>6</v>
      </c>
      <c r="AD342" s="4" t="s">
        <v>6</v>
      </c>
      <c r="AE342" s="5" t="s">
        <v>6</v>
      </c>
      <c r="AF342" s="4">
        <v>3</v>
      </c>
      <c r="AG342" s="5" t="s">
        <v>6</v>
      </c>
      <c r="AH342" s="4">
        <v>3</v>
      </c>
      <c r="AI342" s="4" t="s">
        <v>6</v>
      </c>
      <c r="AJ342" s="4" t="s">
        <v>6</v>
      </c>
      <c r="AK342" s="4" t="s">
        <v>6</v>
      </c>
      <c r="AL342" s="4" t="s">
        <v>6</v>
      </c>
      <c r="AM342" s="4" t="s">
        <v>6</v>
      </c>
      <c r="AN342" s="5" t="s">
        <v>6</v>
      </c>
    </row>
    <row r="343" spans="1:40" x14ac:dyDescent="0.2">
      <c r="A343" s="15">
        <v>1860</v>
      </c>
      <c r="B343" s="36" t="s">
        <v>6</v>
      </c>
      <c r="C343" s="36" t="s">
        <v>6</v>
      </c>
      <c r="D343" s="36" t="s">
        <v>6</v>
      </c>
      <c r="E343" s="36" t="s">
        <v>6</v>
      </c>
      <c r="F343" s="36" t="s">
        <v>6</v>
      </c>
      <c r="G343" s="36" t="s">
        <v>6</v>
      </c>
      <c r="H343" s="36" t="s">
        <v>6</v>
      </c>
      <c r="I343" s="36" t="s">
        <v>6</v>
      </c>
      <c r="J343" s="36" t="s">
        <v>6</v>
      </c>
      <c r="K343" s="36" t="s">
        <v>6</v>
      </c>
      <c r="L343" s="36" t="s">
        <v>6</v>
      </c>
      <c r="M343" s="36" t="s">
        <v>6</v>
      </c>
      <c r="N343" s="36" t="s">
        <v>6</v>
      </c>
      <c r="O343" s="36" t="s">
        <v>6</v>
      </c>
      <c r="P343" s="36" t="s">
        <v>6</v>
      </c>
      <c r="Q343" s="36" t="s">
        <v>6</v>
      </c>
      <c r="R343" s="36" t="s">
        <v>6</v>
      </c>
      <c r="S343" s="36" t="s">
        <v>6</v>
      </c>
      <c r="T343" s="36" t="s">
        <v>6</v>
      </c>
      <c r="U343" s="36" t="s">
        <v>6</v>
      </c>
      <c r="V343" s="4" t="s">
        <v>1</v>
      </c>
      <c r="W343" s="4">
        <v>1</v>
      </c>
      <c r="X343" s="4">
        <v>3</v>
      </c>
      <c r="Y343" s="4">
        <v>2</v>
      </c>
      <c r="Z343" s="5">
        <v>3</v>
      </c>
      <c r="AA343" s="4">
        <v>3</v>
      </c>
      <c r="AB343" s="4" t="s">
        <v>6</v>
      </c>
      <c r="AC343" s="4" t="s">
        <v>6</v>
      </c>
      <c r="AD343" s="4" t="s">
        <v>6</v>
      </c>
      <c r="AE343" s="5" t="s">
        <v>6</v>
      </c>
      <c r="AF343" s="4">
        <v>3</v>
      </c>
      <c r="AG343" s="5" t="s">
        <v>6</v>
      </c>
      <c r="AH343" s="4">
        <v>3</v>
      </c>
      <c r="AI343" s="4" t="s">
        <v>6</v>
      </c>
      <c r="AJ343" s="4" t="s">
        <v>6</v>
      </c>
      <c r="AK343" s="4" t="s">
        <v>6</v>
      </c>
      <c r="AL343" s="4" t="s">
        <v>6</v>
      </c>
      <c r="AM343" s="4" t="s">
        <v>6</v>
      </c>
      <c r="AN343" s="5" t="s">
        <v>6</v>
      </c>
    </row>
    <row r="344" spans="1:40" x14ac:dyDescent="0.2">
      <c r="A344" s="15">
        <v>1862</v>
      </c>
      <c r="B344" s="36" t="s">
        <v>6</v>
      </c>
      <c r="C344" s="36" t="s">
        <v>6</v>
      </c>
      <c r="D344" s="36" t="s">
        <v>6</v>
      </c>
      <c r="E344" s="36" t="s">
        <v>6</v>
      </c>
      <c r="F344" s="36" t="s">
        <v>6</v>
      </c>
      <c r="G344" s="36" t="s">
        <v>6</v>
      </c>
      <c r="H344" s="36" t="s">
        <v>6</v>
      </c>
      <c r="I344" s="36" t="s">
        <v>6</v>
      </c>
      <c r="J344" s="36" t="s">
        <v>6</v>
      </c>
      <c r="K344" s="36" t="s">
        <v>6</v>
      </c>
      <c r="L344" s="36" t="s">
        <v>6</v>
      </c>
      <c r="M344" s="36" t="s">
        <v>6</v>
      </c>
      <c r="N344" s="36" t="s">
        <v>6</v>
      </c>
      <c r="O344" s="36" t="s">
        <v>6</v>
      </c>
      <c r="P344" s="36" t="s">
        <v>6</v>
      </c>
      <c r="Q344" s="36" t="s">
        <v>6</v>
      </c>
      <c r="R344" s="36" t="s">
        <v>6</v>
      </c>
      <c r="S344" s="36" t="s">
        <v>6</v>
      </c>
      <c r="T344" s="36" t="s">
        <v>6</v>
      </c>
      <c r="U344" s="36" t="s">
        <v>6</v>
      </c>
      <c r="V344" s="4" t="s">
        <v>1</v>
      </c>
      <c r="W344" s="4">
        <v>1</v>
      </c>
      <c r="X344" s="4">
        <v>3</v>
      </c>
      <c r="Y344" s="4">
        <v>2</v>
      </c>
      <c r="Z344" s="5">
        <v>3</v>
      </c>
      <c r="AA344" s="4">
        <v>3</v>
      </c>
      <c r="AB344" s="4" t="s">
        <v>6</v>
      </c>
      <c r="AC344" s="4" t="s">
        <v>6</v>
      </c>
      <c r="AD344" s="4" t="s">
        <v>6</v>
      </c>
      <c r="AE344" s="5" t="s">
        <v>6</v>
      </c>
      <c r="AF344" s="4">
        <v>3</v>
      </c>
      <c r="AG344" s="5" t="s">
        <v>6</v>
      </c>
      <c r="AH344" s="4">
        <v>3</v>
      </c>
      <c r="AI344" s="4" t="s">
        <v>6</v>
      </c>
      <c r="AJ344" s="4" t="s">
        <v>6</v>
      </c>
      <c r="AK344" s="4" t="s">
        <v>6</v>
      </c>
      <c r="AL344" s="4" t="s">
        <v>6</v>
      </c>
      <c r="AM344" s="4" t="s">
        <v>6</v>
      </c>
      <c r="AN344" s="5" t="s">
        <v>6</v>
      </c>
    </row>
    <row r="345" spans="1:40" x14ac:dyDescent="0.2">
      <c r="A345" s="15">
        <v>1864</v>
      </c>
      <c r="B345" s="36" t="s">
        <v>6</v>
      </c>
      <c r="C345" s="36" t="s">
        <v>6</v>
      </c>
      <c r="D345" s="36" t="s">
        <v>6</v>
      </c>
      <c r="E345" s="36" t="s">
        <v>6</v>
      </c>
      <c r="F345" s="36" t="s">
        <v>6</v>
      </c>
      <c r="G345" s="36" t="s">
        <v>6</v>
      </c>
      <c r="H345" s="36" t="s">
        <v>6</v>
      </c>
      <c r="I345" s="36" t="s">
        <v>6</v>
      </c>
      <c r="J345" s="36" t="s">
        <v>6</v>
      </c>
      <c r="K345" s="36" t="s">
        <v>6</v>
      </c>
      <c r="L345" s="36" t="s">
        <v>6</v>
      </c>
      <c r="M345" s="36" t="s">
        <v>6</v>
      </c>
      <c r="N345" s="36" t="s">
        <v>6</v>
      </c>
      <c r="O345" s="36" t="s">
        <v>6</v>
      </c>
      <c r="P345" s="36" t="s">
        <v>6</v>
      </c>
      <c r="Q345" s="36" t="s">
        <v>6</v>
      </c>
      <c r="R345" s="36" t="s">
        <v>6</v>
      </c>
      <c r="S345" s="36" t="s">
        <v>6</v>
      </c>
      <c r="T345" s="36" t="s">
        <v>6</v>
      </c>
      <c r="U345" s="36" t="s">
        <v>6</v>
      </c>
      <c r="V345" s="4" t="s">
        <v>1</v>
      </c>
      <c r="W345" s="4">
        <v>1</v>
      </c>
      <c r="X345" s="4">
        <v>3</v>
      </c>
      <c r="Y345" s="4">
        <v>2</v>
      </c>
      <c r="Z345" s="5">
        <v>3</v>
      </c>
      <c r="AA345" s="4">
        <v>3</v>
      </c>
      <c r="AB345" s="4" t="s">
        <v>6</v>
      </c>
      <c r="AC345" s="4" t="s">
        <v>6</v>
      </c>
      <c r="AD345" s="4" t="s">
        <v>6</v>
      </c>
      <c r="AE345" s="5" t="s">
        <v>6</v>
      </c>
      <c r="AF345" s="4">
        <v>3</v>
      </c>
      <c r="AG345" s="5" t="s">
        <v>6</v>
      </c>
      <c r="AH345" s="4">
        <v>3</v>
      </c>
      <c r="AI345" s="4" t="s">
        <v>6</v>
      </c>
      <c r="AJ345" s="4" t="s">
        <v>6</v>
      </c>
      <c r="AK345" s="4" t="s">
        <v>6</v>
      </c>
      <c r="AL345" s="4" t="s">
        <v>6</v>
      </c>
      <c r="AM345" s="4" t="s">
        <v>6</v>
      </c>
      <c r="AN345" s="5" t="s">
        <v>6</v>
      </c>
    </row>
    <row r="346" spans="1:40" x14ac:dyDescent="0.2">
      <c r="A346" s="15">
        <v>1866</v>
      </c>
      <c r="B346" s="36" t="s">
        <v>6</v>
      </c>
      <c r="C346" s="36" t="s">
        <v>6</v>
      </c>
      <c r="D346" s="36" t="s">
        <v>6</v>
      </c>
      <c r="E346" s="36" t="s">
        <v>6</v>
      </c>
      <c r="F346" s="36" t="s">
        <v>6</v>
      </c>
      <c r="G346" s="36" t="s">
        <v>6</v>
      </c>
      <c r="H346" s="36" t="s">
        <v>6</v>
      </c>
      <c r="I346" s="36" t="s">
        <v>6</v>
      </c>
      <c r="J346" s="36" t="s">
        <v>6</v>
      </c>
      <c r="K346" s="36" t="s">
        <v>6</v>
      </c>
      <c r="L346" s="36" t="s">
        <v>6</v>
      </c>
      <c r="M346" s="36" t="s">
        <v>6</v>
      </c>
      <c r="N346" s="36" t="s">
        <v>6</v>
      </c>
      <c r="O346" s="36" t="s">
        <v>6</v>
      </c>
      <c r="P346" s="36" t="s">
        <v>6</v>
      </c>
      <c r="Q346" s="36" t="s">
        <v>6</v>
      </c>
      <c r="R346" s="36" t="s">
        <v>6</v>
      </c>
      <c r="S346" s="36" t="s">
        <v>6</v>
      </c>
      <c r="T346" s="36" t="s">
        <v>6</v>
      </c>
      <c r="U346" s="36" t="s">
        <v>6</v>
      </c>
      <c r="V346" s="4" t="s">
        <v>1</v>
      </c>
      <c r="W346" s="4">
        <v>1</v>
      </c>
      <c r="X346" s="4">
        <v>3</v>
      </c>
      <c r="Y346" s="4">
        <v>2</v>
      </c>
      <c r="Z346" s="5">
        <v>3</v>
      </c>
      <c r="AA346" s="4">
        <v>3</v>
      </c>
      <c r="AB346" s="4" t="s">
        <v>6</v>
      </c>
      <c r="AC346" s="4" t="s">
        <v>6</v>
      </c>
      <c r="AD346" s="4" t="s">
        <v>6</v>
      </c>
      <c r="AE346" s="5" t="s">
        <v>6</v>
      </c>
      <c r="AF346" s="4">
        <v>3</v>
      </c>
      <c r="AG346" s="5" t="s">
        <v>6</v>
      </c>
      <c r="AH346" s="4">
        <v>3</v>
      </c>
      <c r="AI346" s="4" t="s">
        <v>6</v>
      </c>
      <c r="AJ346" s="4" t="s">
        <v>6</v>
      </c>
      <c r="AK346" s="4" t="s">
        <v>6</v>
      </c>
      <c r="AL346" s="4" t="s">
        <v>6</v>
      </c>
      <c r="AM346" s="4" t="s">
        <v>6</v>
      </c>
      <c r="AN346" s="5" t="s">
        <v>6</v>
      </c>
    </row>
    <row r="347" spans="1:40" x14ac:dyDescent="0.2">
      <c r="A347" s="15">
        <v>1868</v>
      </c>
      <c r="B347" s="36" t="s">
        <v>6</v>
      </c>
      <c r="C347" s="36" t="s">
        <v>6</v>
      </c>
      <c r="D347" s="36" t="s">
        <v>6</v>
      </c>
      <c r="E347" s="36" t="s">
        <v>6</v>
      </c>
      <c r="F347" s="36" t="s">
        <v>6</v>
      </c>
      <c r="G347" s="36" t="s">
        <v>6</v>
      </c>
      <c r="H347" s="36" t="s">
        <v>6</v>
      </c>
      <c r="I347" s="36" t="s">
        <v>6</v>
      </c>
      <c r="J347" s="36" t="s">
        <v>6</v>
      </c>
      <c r="K347" s="36" t="s">
        <v>6</v>
      </c>
      <c r="L347" s="36" t="s">
        <v>6</v>
      </c>
      <c r="M347" s="36" t="s">
        <v>6</v>
      </c>
      <c r="N347" s="36" t="s">
        <v>6</v>
      </c>
      <c r="O347" s="36" t="s">
        <v>6</v>
      </c>
      <c r="P347" s="36" t="s">
        <v>6</v>
      </c>
      <c r="Q347" s="36" t="s">
        <v>6</v>
      </c>
      <c r="R347" s="36" t="s">
        <v>6</v>
      </c>
      <c r="S347" s="36" t="s">
        <v>6</v>
      </c>
      <c r="T347" s="36" t="s">
        <v>6</v>
      </c>
      <c r="U347" s="36" t="s">
        <v>6</v>
      </c>
      <c r="V347" s="4" t="s">
        <v>1</v>
      </c>
      <c r="W347" s="4">
        <v>1</v>
      </c>
      <c r="X347" s="4">
        <v>3</v>
      </c>
      <c r="Y347" s="4">
        <v>2</v>
      </c>
      <c r="Z347" s="5">
        <v>3</v>
      </c>
      <c r="AA347" s="4">
        <v>3</v>
      </c>
      <c r="AB347" s="4" t="s">
        <v>6</v>
      </c>
      <c r="AC347" s="4" t="s">
        <v>6</v>
      </c>
      <c r="AD347" s="4" t="s">
        <v>6</v>
      </c>
      <c r="AE347" s="5" t="s">
        <v>6</v>
      </c>
      <c r="AF347" s="4">
        <v>3</v>
      </c>
      <c r="AG347" s="5" t="s">
        <v>6</v>
      </c>
      <c r="AH347" s="4">
        <v>3</v>
      </c>
      <c r="AI347" s="4" t="s">
        <v>6</v>
      </c>
      <c r="AJ347" s="4" t="s">
        <v>6</v>
      </c>
      <c r="AK347" s="4" t="s">
        <v>6</v>
      </c>
      <c r="AL347" s="4" t="s">
        <v>6</v>
      </c>
      <c r="AM347" s="4" t="s">
        <v>6</v>
      </c>
      <c r="AN347" s="5" t="s">
        <v>6</v>
      </c>
    </row>
    <row r="348" spans="1:40" x14ac:dyDescent="0.2">
      <c r="A348" s="15">
        <v>1869</v>
      </c>
      <c r="B348" s="36" t="s">
        <v>6</v>
      </c>
      <c r="C348" s="36" t="s">
        <v>6</v>
      </c>
      <c r="D348" s="36" t="s">
        <v>6</v>
      </c>
      <c r="E348" s="36" t="s">
        <v>6</v>
      </c>
      <c r="F348" s="36" t="s">
        <v>6</v>
      </c>
      <c r="G348" s="36" t="s">
        <v>6</v>
      </c>
      <c r="H348" s="36" t="s">
        <v>6</v>
      </c>
      <c r="I348" s="36" t="s">
        <v>6</v>
      </c>
      <c r="J348" s="36" t="s">
        <v>6</v>
      </c>
      <c r="K348" s="36" t="s">
        <v>6</v>
      </c>
      <c r="L348" s="36" t="s">
        <v>6</v>
      </c>
      <c r="M348" s="36" t="s">
        <v>6</v>
      </c>
      <c r="N348" s="36" t="s">
        <v>6</v>
      </c>
      <c r="O348" s="36" t="s">
        <v>6</v>
      </c>
      <c r="P348" s="36" t="s">
        <v>6</v>
      </c>
      <c r="Q348" s="36" t="s">
        <v>6</v>
      </c>
      <c r="R348" s="36" t="s">
        <v>6</v>
      </c>
      <c r="S348" s="36" t="s">
        <v>6</v>
      </c>
      <c r="T348" s="36" t="s">
        <v>6</v>
      </c>
      <c r="U348" s="36" t="s">
        <v>6</v>
      </c>
      <c r="V348" s="4" t="s">
        <v>1</v>
      </c>
      <c r="W348" s="4">
        <v>1</v>
      </c>
      <c r="X348" s="4">
        <v>3</v>
      </c>
      <c r="Y348" s="4">
        <v>2</v>
      </c>
      <c r="Z348" s="5">
        <v>3</v>
      </c>
      <c r="AA348" s="4">
        <v>3</v>
      </c>
      <c r="AB348" s="4" t="s">
        <v>6</v>
      </c>
      <c r="AC348" s="4" t="s">
        <v>6</v>
      </c>
      <c r="AD348" s="4" t="s">
        <v>6</v>
      </c>
      <c r="AE348" s="5" t="s">
        <v>6</v>
      </c>
      <c r="AF348" s="4">
        <v>3</v>
      </c>
      <c r="AG348" s="5" t="s">
        <v>6</v>
      </c>
      <c r="AH348" s="4">
        <v>3</v>
      </c>
      <c r="AI348" s="4" t="s">
        <v>6</v>
      </c>
      <c r="AJ348" s="4" t="s">
        <v>6</v>
      </c>
      <c r="AK348" s="4" t="s">
        <v>6</v>
      </c>
      <c r="AL348" s="4" t="s">
        <v>6</v>
      </c>
      <c r="AM348" s="4" t="s">
        <v>6</v>
      </c>
      <c r="AN348" s="5" t="s">
        <v>6</v>
      </c>
    </row>
    <row r="349" spans="1:40" x14ac:dyDescent="0.2">
      <c r="A349" s="15">
        <v>1874</v>
      </c>
      <c r="B349" s="36" t="s">
        <v>6</v>
      </c>
      <c r="C349" s="36" t="s">
        <v>6</v>
      </c>
      <c r="D349" s="36" t="s">
        <v>6</v>
      </c>
      <c r="E349" s="36" t="s">
        <v>6</v>
      </c>
      <c r="F349" s="36" t="s">
        <v>6</v>
      </c>
      <c r="G349" s="36" t="s">
        <v>6</v>
      </c>
      <c r="H349" s="36" t="s">
        <v>6</v>
      </c>
      <c r="I349" s="36" t="s">
        <v>6</v>
      </c>
      <c r="J349" s="36" t="s">
        <v>6</v>
      </c>
      <c r="K349" s="36" t="s">
        <v>6</v>
      </c>
      <c r="L349" s="36" t="s">
        <v>6</v>
      </c>
      <c r="M349" s="36" t="s">
        <v>6</v>
      </c>
      <c r="N349" s="36" t="s">
        <v>6</v>
      </c>
      <c r="O349" s="36" t="s">
        <v>6</v>
      </c>
      <c r="P349" s="36" t="s">
        <v>6</v>
      </c>
      <c r="Q349" s="36" t="s">
        <v>6</v>
      </c>
      <c r="R349" s="36" t="s">
        <v>6</v>
      </c>
      <c r="S349" s="36" t="s">
        <v>6</v>
      </c>
      <c r="T349" s="36" t="s">
        <v>6</v>
      </c>
      <c r="U349" s="36" t="s">
        <v>6</v>
      </c>
      <c r="V349" s="4" t="s">
        <v>1</v>
      </c>
      <c r="W349" s="4">
        <v>1</v>
      </c>
      <c r="X349" s="4">
        <v>3</v>
      </c>
      <c r="Y349" s="4">
        <v>2</v>
      </c>
      <c r="Z349" s="5">
        <v>3</v>
      </c>
      <c r="AA349" s="4">
        <v>3</v>
      </c>
      <c r="AB349" s="4" t="s">
        <v>6</v>
      </c>
      <c r="AC349" s="4" t="s">
        <v>6</v>
      </c>
      <c r="AD349" s="4" t="s">
        <v>6</v>
      </c>
      <c r="AE349" s="5" t="s">
        <v>6</v>
      </c>
      <c r="AF349" s="4">
        <v>3</v>
      </c>
      <c r="AG349" s="5" t="s">
        <v>6</v>
      </c>
      <c r="AH349" s="4">
        <v>3</v>
      </c>
      <c r="AI349" s="4" t="s">
        <v>6</v>
      </c>
      <c r="AJ349" s="4" t="s">
        <v>6</v>
      </c>
      <c r="AK349" s="4" t="s">
        <v>6</v>
      </c>
      <c r="AL349" s="4" t="s">
        <v>6</v>
      </c>
      <c r="AM349" s="4" t="s">
        <v>6</v>
      </c>
      <c r="AN349" s="5" t="s">
        <v>6</v>
      </c>
    </row>
    <row r="350" spans="1:40" x14ac:dyDescent="0.2">
      <c r="A350" s="15">
        <v>1882</v>
      </c>
      <c r="B350" s="36" t="s">
        <v>6</v>
      </c>
      <c r="C350" s="36" t="s">
        <v>6</v>
      </c>
      <c r="D350" s="36" t="s">
        <v>6</v>
      </c>
      <c r="E350" s="36" t="s">
        <v>6</v>
      </c>
      <c r="F350" s="36" t="s">
        <v>6</v>
      </c>
      <c r="G350" s="36" t="s">
        <v>6</v>
      </c>
      <c r="H350" s="36" t="s">
        <v>6</v>
      </c>
      <c r="I350" s="36" t="s">
        <v>6</v>
      </c>
      <c r="J350" s="36" t="s">
        <v>6</v>
      </c>
      <c r="K350" s="36" t="s">
        <v>6</v>
      </c>
      <c r="L350" s="36" t="s">
        <v>6</v>
      </c>
      <c r="M350" s="36" t="s">
        <v>6</v>
      </c>
      <c r="N350" s="36" t="s">
        <v>6</v>
      </c>
      <c r="O350" s="36" t="s">
        <v>6</v>
      </c>
      <c r="P350" s="36" t="s">
        <v>6</v>
      </c>
      <c r="Q350" s="36" t="s">
        <v>6</v>
      </c>
      <c r="R350" s="36" t="s">
        <v>6</v>
      </c>
      <c r="S350" s="36" t="s">
        <v>6</v>
      </c>
      <c r="T350" s="36" t="s">
        <v>6</v>
      </c>
      <c r="U350" s="36" t="s">
        <v>6</v>
      </c>
      <c r="V350" s="4" t="s">
        <v>1</v>
      </c>
      <c r="W350" s="4">
        <v>1</v>
      </c>
      <c r="X350" s="4">
        <v>3</v>
      </c>
      <c r="Y350" s="4">
        <v>2</v>
      </c>
      <c r="Z350" s="5">
        <v>3</v>
      </c>
      <c r="AA350" s="4">
        <v>3</v>
      </c>
      <c r="AB350" s="4" t="s">
        <v>6</v>
      </c>
      <c r="AC350" s="4" t="s">
        <v>6</v>
      </c>
      <c r="AD350" s="4" t="s">
        <v>6</v>
      </c>
      <c r="AE350" s="5" t="s">
        <v>6</v>
      </c>
      <c r="AF350" s="4">
        <v>3</v>
      </c>
      <c r="AG350" s="5" t="s">
        <v>6</v>
      </c>
      <c r="AH350" s="4">
        <v>3</v>
      </c>
      <c r="AI350" s="4" t="s">
        <v>6</v>
      </c>
      <c r="AJ350" s="4" t="s">
        <v>6</v>
      </c>
      <c r="AK350" s="4" t="s">
        <v>6</v>
      </c>
      <c r="AL350" s="4" t="s">
        <v>6</v>
      </c>
      <c r="AM350" s="4" t="s">
        <v>6</v>
      </c>
      <c r="AN350" s="5" t="s">
        <v>6</v>
      </c>
    </row>
    <row r="351" spans="1:40" x14ac:dyDescent="0.2">
      <c r="A351" s="15">
        <v>1886</v>
      </c>
      <c r="B351" s="36" t="s">
        <v>6</v>
      </c>
      <c r="C351" s="36" t="s">
        <v>6</v>
      </c>
      <c r="D351" s="36" t="s">
        <v>6</v>
      </c>
      <c r="E351" s="36" t="s">
        <v>6</v>
      </c>
      <c r="F351" s="36" t="s">
        <v>6</v>
      </c>
      <c r="G351" s="36" t="s">
        <v>6</v>
      </c>
      <c r="H351" s="36" t="s">
        <v>6</v>
      </c>
      <c r="I351" s="36" t="s">
        <v>6</v>
      </c>
      <c r="J351" s="36" t="s">
        <v>6</v>
      </c>
      <c r="K351" s="36" t="s">
        <v>6</v>
      </c>
      <c r="L351" s="36" t="s">
        <v>6</v>
      </c>
      <c r="M351" s="36" t="s">
        <v>6</v>
      </c>
      <c r="N351" s="36" t="s">
        <v>6</v>
      </c>
      <c r="O351" s="36" t="s">
        <v>6</v>
      </c>
      <c r="P351" s="36" t="s">
        <v>6</v>
      </c>
      <c r="Q351" s="36" t="s">
        <v>6</v>
      </c>
      <c r="R351" s="36" t="s">
        <v>6</v>
      </c>
      <c r="S351" s="36" t="s">
        <v>6</v>
      </c>
      <c r="T351" s="36" t="s">
        <v>6</v>
      </c>
      <c r="U351" s="36" t="s">
        <v>6</v>
      </c>
      <c r="V351" s="4" t="s">
        <v>1</v>
      </c>
      <c r="W351" s="4">
        <v>1</v>
      </c>
      <c r="X351" s="4">
        <v>3</v>
      </c>
      <c r="Y351" s="4">
        <v>2</v>
      </c>
      <c r="Z351" s="5">
        <v>3</v>
      </c>
      <c r="AA351" s="4">
        <v>3</v>
      </c>
      <c r="AB351" s="4" t="s">
        <v>6</v>
      </c>
      <c r="AC351" s="4" t="s">
        <v>6</v>
      </c>
      <c r="AD351" s="4" t="s">
        <v>6</v>
      </c>
      <c r="AE351" s="5" t="s">
        <v>6</v>
      </c>
      <c r="AF351" s="4">
        <v>3</v>
      </c>
      <c r="AG351" s="5" t="s">
        <v>6</v>
      </c>
      <c r="AH351" s="4">
        <v>3</v>
      </c>
      <c r="AI351" s="4" t="s">
        <v>6</v>
      </c>
      <c r="AJ351" s="4" t="s">
        <v>6</v>
      </c>
      <c r="AK351" s="4" t="s">
        <v>6</v>
      </c>
      <c r="AL351" s="4" t="s">
        <v>6</v>
      </c>
      <c r="AM351" s="4" t="s">
        <v>6</v>
      </c>
      <c r="AN351" s="5" t="s">
        <v>6</v>
      </c>
    </row>
    <row r="352" spans="1:40" x14ac:dyDescent="0.2">
      <c r="A352" s="15">
        <v>1915</v>
      </c>
      <c r="B352" s="36" t="s">
        <v>6</v>
      </c>
      <c r="C352" s="36" t="s">
        <v>6</v>
      </c>
      <c r="D352" s="36" t="s">
        <v>6</v>
      </c>
      <c r="E352" s="36" t="s">
        <v>6</v>
      </c>
      <c r="F352" s="36" t="s">
        <v>6</v>
      </c>
      <c r="G352" s="36" t="s">
        <v>6</v>
      </c>
      <c r="H352" s="36" t="s">
        <v>6</v>
      </c>
      <c r="I352" s="36" t="s">
        <v>6</v>
      </c>
      <c r="J352" s="36" t="s">
        <v>6</v>
      </c>
      <c r="K352" s="36" t="s">
        <v>6</v>
      </c>
      <c r="L352" s="36" t="s">
        <v>6</v>
      </c>
      <c r="M352" s="36" t="s">
        <v>6</v>
      </c>
      <c r="N352" s="36" t="s">
        <v>6</v>
      </c>
      <c r="O352" s="36" t="s">
        <v>6</v>
      </c>
      <c r="P352" s="36" t="s">
        <v>6</v>
      </c>
      <c r="Q352" s="36" t="s">
        <v>6</v>
      </c>
      <c r="R352" s="36" t="s">
        <v>6</v>
      </c>
      <c r="S352" s="36" t="s">
        <v>6</v>
      </c>
      <c r="T352" s="36" t="s">
        <v>6</v>
      </c>
      <c r="U352" s="36" t="s">
        <v>6</v>
      </c>
      <c r="V352" s="4" t="s">
        <v>1</v>
      </c>
      <c r="W352" s="4">
        <v>1</v>
      </c>
      <c r="X352" s="4">
        <v>3</v>
      </c>
      <c r="Y352" s="4">
        <v>2</v>
      </c>
      <c r="Z352" s="5">
        <v>3</v>
      </c>
      <c r="AA352" s="4">
        <v>3</v>
      </c>
      <c r="AB352" s="4" t="s">
        <v>6</v>
      </c>
      <c r="AC352" s="4" t="s">
        <v>6</v>
      </c>
      <c r="AD352" s="4" t="s">
        <v>6</v>
      </c>
      <c r="AE352" s="5" t="s">
        <v>6</v>
      </c>
      <c r="AF352" s="4">
        <v>3</v>
      </c>
      <c r="AG352" s="5" t="s">
        <v>6</v>
      </c>
      <c r="AH352" s="4">
        <v>3</v>
      </c>
      <c r="AI352" s="4" t="s">
        <v>6</v>
      </c>
      <c r="AJ352" s="4" t="s">
        <v>6</v>
      </c>
      <c r="AK352" s="4" t="s">
        <v>6</v>
      </c>
      <c r="AL352" s="4" t="s">
        <v>6</v>
      </c>
      <c r="AM352" s="4" t="s">
        <v>6</v>
      </c>
      <c r="AN352" s="5" t="s">
        <v>6</v>
      </c>
    </row>
    <row r="353" spans="1:40" x14ac:dyDescent="0.2">
      <c r="A353" s="15">
        <v>1919</v>
      </c>
      <c r="B353" s="36" t="s">
        <v>6</v>
      </c>
      <c r="C353" s="36" t="s">
        <v>6</v>
      </c>
      <c r="D353" s="36" t="s">
        <v>6</v>
      </c>
      <c r="E353" s="36" t="s">
        <v>6</v>
      </c>
      <c r="F353" s="36" t="s">
        <v>6</v>
      </c>
      <c r="G353" s="36" t="s">
        <v>6</v>
      </c>
      <c r="H353" s="36" t="s">
        <v>6</v>
      </c>
      <c r="I353" s="36" t="s">
        <v>6</v>
      </c>
      <c r="J353" s="36" t="s">
        <v>6</v>
      </c>
      <c r="K353" s="36" t="s">
        <v>6</v>
      </c>
      <c r="L353" s="36" t="s">
        <v>6</v>
      </c>
      <c r="M353" s="36" t="s">
        <v>6</v>
      </c>
      <c r="N353" s="36" t="s">
        <v>6</v>
      </c>
      <c r="O353" s="36" t="s">
        <v>6</v>
      </c>
      <c r="P353" s="36" t="s">
        <v>6</v>
      </c>
      <c r="Q353" s="36" t="s">
        <v>6</v>
      </c>
      <c r="R353" s="36" t="s">
        <v>6</v>
      </c>
      <c r="S353" s="36" t="s">
        <v>6</v>
      </c>
      <c r="T353" s="36" t="s">
        <v>6</v>
      </c>
      <c r="U353" s="36" t="s">
        <v>6</v>
      </c>
      <c r="V353" s="4" t="s">
        <v>1</v>
      </c>
      <c r="W353" s="4">
        <v>1</v>
      </c>
      <c r="X353" s="4">
        <v>3</v>
      </c>
      <c r="Y353" s="4">
        <v>2</v>
      </c>
      <c r="Z353" s="5">
        <v>3</v>
      </c>
      <c r="AA353" s="4">
        <v>3</v>
      </c>
      <c r="AB353" s="4" t="s">
        <v>6</v>
      </c>
      <c r="AC353" s="4" t="s">
        <v>6</v>
      </c>
      <c r="AD353" s="4" t="s">
        <v>6</v>
      </c>
      <c r="AE353" s="5" t="s">
        <v>6</v>
      </c>
      <c r="AF353" s="4">
        <v>3</v>
      </c>
      <c r="AG353" s="5" t="s">
        <v>6</v>
      </c>
      <c r="AH353" s="4">
        <v>3</v>
      </c>
      <c r="AI353" s="4" t="s">
        <v>6</v>
      </c>
      <c r="AJ353" s="4" t="s">
        <v>6</v>
      </c>
      <c r="AK353" s="4" t="s">
        <v>6</v>
      </c>
      <c r="AL353" s="4" t="s">
        <v>6</v>
      </c>
      <c r="AM353" s="4" t="s">
        <v>6</v>
      </c>
      <c r="AN353" s="5" t="s">
        <v>6</v>
      </c>
    </row>
    <row r="354" spans="1:40" x14ac:dyDescent="0.2">
      <c r="A354" s="15">
        <v>1926</v>
      </c>
      <c r="B354" s="36" t="s">
        <v>6</v>
      </c>
      <c r="C354" s="36" t="s">
        <v>6</v>
      </c>
      <c r="D354" s="36" t="s">
        <v>6</v>
      </c>
      <c r="E354" s="36" t="s">
        <v>6</v>
      </c>
      <c r="F354" s="36" t="s">
        <v>6</v>
      </c>
      <c r="G354" s="36" t="s">
        <v>6</v>
      </c>
      <c r="H354" s="36" t="s">
        <v>6</v>
      </c>
      <c r="I354" s="36" t="s">
        <v>6</v>
      </c>
      <c r="J354" s="36" t="s">
        <v>6</v>
      </c>
      <c r="K354" s="36" t="s">
        <v>6</v>
      </c>
      <c r="L354" s="36" t="s">
        <v>6</v>
      </c>
      <c r="M354" s="36" t="s">
        <v>6</v>
      </c>
      <c r="N354" s="36" t="s">
        <v>6</v>
      </c>
      <c r="O354" s="36" t="s">
        <v>6</v>
      </c>
      <c r="P354" s="36" t="s">
        <v>6</v>
      </c>
      <c r="Q354" s="36" t="s">
        <v>6</v>
      </c>
      <c r="R354" s="36" t="s">
        <v>6</v>
      </c>
      <c r="S354" s="36" t="s">
        <v>6</v>
      </c>
      <c r="T354" s="36" t="s">
        <v>6</v>
      </c>
      <c r="U354" s="36" t="s">
        <v>6</v>
      </c>
      <c r="V354" s="4" t="s">
        <v>1</v>
      </c>
      <c r="W354" s="4">
        <v>1</v>
      </c>
      <c r="X354" s="4">
        <v>3</v>
      </c>
      <c r="Y354" s="4">
        <v>2</v>
      </c>
      <c r="Z354" s="5">
        <v>3</v>
      </c>
      <c r="AA354" s="4">
        <v>3</v>
      </c>
      <c r="AB354" s="4" t="s">
        <v>6</v>
      </c>
      <c r="AC354" s="4" t="s">
        <v>6</v>
      </c>
      <c r="AD354" s="4" t="s">
        <v>6</v>
      </c>
      <c r="AE354" s="5" t="s">
        <v>6</v>
      </c>
      <c r="AF354" s="4">
        <v>3</v>
      </c>
      <c r="AG354" s="5" t="s">
        <v>6</v>
      </c>
      <c r="AH354" s="4">
        <v>3</v>
      </c>
      <c r="AI354" s="4" t="s">
        <v>6</v>
      </c>
      <c r="AJ354" s="4" t="s">
        <v>6</v>
      </c>
      <c r="AK354" s="4" t="s">
        <v>6</v>
      </c>
      <c r="AL354" s="4" t="s">
        <v>6</v>
      </c>
      <c r="AM354" s="4" t="s">
        <v>6</v>
      </c>
      <c r="AN354" s="5" t="s">
        <v>6</v>
      </c>
    </row>
    <row r="355" spans="1:40" x14ac:dyDescent="0.2">
      <c r="A355" s="15">
        <v>1928</v>
      </c>
      <c r="B355" s="36" t="s">
        <v>6</v>
      </c>
      <c r="C355" s="36" t="s">
        <v>6</v>
      </c>
      <c r="D355" s="36" t="s">
        <v>6</v>
      </c>
      <c r="E355" s="36" t="s">
        <v>6</v>
      </c>
      <c r="F355" s="36" t="s">
        <v>6</v>
      </c>
      <c r="G355" s="36" t="s">
        <v>6</v>
      </c>
      <c r="H355" s="36" t="s">
        <v>6</v>
      </c>
      <c r="I355" s="36" t="s">
        <v>6</v>
      </c>
      <c r="J355" s="36" t="s">
        <v>6</v>
      </c>
      <c r="K355" s="36" t="s">
        <v>6</v>
      </c>
      <c r="L355" s="36" t="s">
        <v>6</v>
      </c>
      <c r="M355" s="36" t="s">
        <v>6</v>
      </c>
      <c r="N355" s="36" t="s">
        <v>6</v>
      </c>
      <c r="O355" s="36" t="s">
        <v>6</v>
      </c>
      <c r="P355" s="36" t="s">
        <v>6</v>
      </c>
      <c r="Q355" s="36" t="s">
        <v>6</v>
      </c>
      <c r="R355" s="36" t="s">
        <v>6</v>
      </c>
      <c r="S355" s="36" t="s">
        <v>6</v>
      </c>
      <c r="T355" s="36" t="s">
        <v>6</v>
      </c>
      <c r="U355" s="36" t="s">
        <v>6</v>
      </c>
      <c r="V355" s="4" t="s">
        <v>1</v>
      </c>
      <c r="W355" s="4">
        <v>1</v>
      </c>
      <c r="X355" s="4">
        <v>3</v>
      </c>
      <c r="Y355" s="4">
        <v>2</v>
      </c>
      <c r="Z355" s="5">
        <v>3</v>
      </c>
      <c r="AA355" s="4">
        <v>3</v>
      </c>
      <c r="AB355" s="4" t="s">
        <v>6</v>
      </c>
      <c r="AC355" s="4" t="s">
        <v>6</v>
      </c>
      <c r="AD355" s="4" t="s">
        <v>6</v>
      </c>
      <c r="AE355" s="5" t="s">
        <v>6</v>
      </c>
      <c r="AF355" s="4">
        <v>3</v>
      </c>
      <c r="AG355" s="5" t="s">
        <v>6</v>
      </c>
      <c r="AH355" s="4">
        <v>3</v>
      </c>
      <c r="AI355" s="4" t="s">
        <v>6</v>
      </c>
      <c r="AJ355" s="4" t="s">
        <v>6</v>
      </c>
      <c r="AK355" s="4" t="s">
        <v>6</v>
      </c>
      <c r="AL355" s="4" t="s">
        <v>6</v>
      </c>
      <c r="AM355" s="4" t="s">
        <v>6</v>
      </c>
      <c r="AN355" s="5" t="s">
        <v>6</v>
      </c>
    </row>
    <row r="356" spans="1:40" x14ac:dyDescent="0.2">
      <c r="A356" s="15">
        <v>1933</v>
      </c>
      <c r="B356" s="36" t="s">
        <v>6</v>
      </c>
      <c r="C356" s="36" t="s">
        <v>6</v>
      </c>
      <c r="D356" s="36" t="s">
        <v>6</v>
      </c>
      <c r="E356" s="36" t="s">
        <v>6</v>
      </c>
      <c r="F356" s="36" t="s">
        <v>6</v>
      </c>
      <c r="G356" s="36" t="s">
        <v>6</v>
      </c>
      <c r="H356" s="36" t="s">
        <v>6</v>
      </c>
      <c r="I356" s="36" t="s">
        <v>6</v>
      </c>
      <c r="J356" s="36" t="s">
        <v>6</v>
      </c>
      <c r="K356" s="36" t="s">
        <v>6</v>
      </c>
      <c r="L356" s="36" t="s">
        <v>6</v>
      </c>
      <c r="M356" s="36" t="s">
        <v>6</v>
      </c>
      <c r="N356" s="36" t="s">
        <v>6</v>
      </c>
      <c r="O356" s="36" t="s">
        <v>6</v>
      </c>
      <c r="P356" s="36" t="s">
        <v>6</v>
      </c>
      <c r="Q356" s="36" t="s">
        <v>6</v>
      </c>
      <c r="R356" s="36" t="s">
        <v>6</v>
      </c>
      <c r="S356" s="36" t="s">
        <v>6</v>
      </c>
      <c r="T356" s="36" t="s">
        <v>6</v>
      </c>
      <c r="U356" s="36" t="s">
        <v>6</v>
      </c>
      <c r="V356" s="4" t="s">
        <v>1</v>
      </c>
      <c r="W356" s="4">
        <v>1</v>
      </c>
      <c r="X356" s="4">
        <v>3</v>
      </c>
      <c r="Y356" s="4">
        <v>2</v>
      </c>
      <c r="Z356" s="5">
        <v>3</v>
      </c>
      <c r="AA356" s="4">
        <v>3</v>
      </c>
      <c r="AB356" s="4" t="s">
        <v>6</v>
      </c>
      <c r="AC356" s="4" t="s">
        <v>6</v>
      </c>
      <c r="AD356" s="4" t="s">
        <v>6</v>
      </c>
      <c r="AE356" s="5" t="s">
        <v>6</v>
      </c>
      <c r="AF356" s="4">
        <v>3</v>
      </c>
      <c r="AG356" s="5" t="s">
        <v>6</v>
      </c>
      <c r="AH356" s="4">
        <v>3</v>
      </c>
      <c r="AI356" s="4" t="s">
        <v>6</v>
      </c>
      <c r="AJ356" s="4" t="s">
        <v>6</v>
      </c>
      <c r="AK356" s="4" t="s">
        <v>6</v>
      </c>
      <c r="AL356" s="4" t="s">
        <v>6</v>
      </c>
      <c r="AM356" s="4" t="s">
        <v>6</v>
      </c>
      <c r="AN356" s="5" t="s">
        <v>6</v>
      </c>
    </row>
    <row r="357" spans="1:40" x14ac:dyDescent="0.2">
      <c r="A357" s="15">
        <v>1978</v>
      </c>
      <c r="B357" s="36" t="s">
        <v>6</v>
      </c>
      <c r="C357" s="36" t="s">
        <v>6</v>
      </c>
      <c r="D357" s="36" t="s">
        <v>6</v>
      </c>
      <c r="E357" s="36" t="s">
        <v>6</v>
      </c>
      <c r="F357" s="36" t="s">
        <v>6</v>
      </c>
      <c r="G357" s="36" t="s">
        <v>6</v>
      </c>
      <c r="H357" s="36" t="s">
        <v>6</v>
      </c>
      <c r="I357" s="36" t="s">
        <v>6</v>
      </c>
      <c r="J357" s="36" t="s">
        <v>6</v>
      </c>
      <c r="K357" s="36" t="s">
        <v>6</v>
      </c>
      <c r="L357" s="36" t="s">
        <v>6</v>
      </c>
      <c r="M357" s="36" t="s">
        <v>6</v>
      </c>
      <c r="N357" s="36" t="s">
        <v>6</v>
      </c>
      <c r="O357" s="36" t="s">
        <v>6</v>
      </c>
      <c r="P357" s="36" t="s">
        <v>6</v>
      </c>
      <c r="Q357" s="36" t="s">
        <v>6</v>
      </c>
      <c r="R357" s="36" t="s">
        <v>6</v>
      </c>
      <c r="S357" s="36" t="s">
        <v>6</v>
      </c>
      <c r="T357" s="36" t="s">
        <v>6</v>
      </c>
      <c r="U357" s="36" t="s">
        <v>6</v>
      </c>
      <c r="V357" s="4" t="s">
        <v>1</v>
      </c>
      <c r="W357" s="4">
        <v>1</v>
      </c>
      <c r="X357" s="4">
        <v>3</v>
      </c>
      <c r="Y357" s="4">
        <v>2</v>
      </c>
      <c r="Z357" s="5">
        <v>3</v>
      </c>
      <c r="AA357" s="4">
        <v>3</v>
      </c>
      <c r="AB357" s="4" t="s">
        <v>6</v>
      </c>
      <c r="AC357" s="4" t="s">
        <v>6</v>
      </c>
      <c r="AD357" s="4" t="s">
        <v>6</v>
      </c>
      <c r="AE357" s="5" t="s">
        <v>6</v>
      </c>
      <c r="AF357" s="4">
        <v>3</v>
      </c>
      <c r="AG357" s="5" t="s">
        <v>6</v>
      </c>
      <c r="AH357" s="4">
        <v>3</v>
      </c>
      <c r="AI357" s="4" t="s">
        <v>6</v>
      </c>
      <c r="AJ357" s="4" t="s">
        <v>6</v>
      </c>
      <c r="AK357" s="4" t="s">
        <v>6</v>
      </c>
      <c r="AL357" s="4" t="s">
        <v>6</v>
      </c>
      <c r="AM357" s="4" t="s">
        <v>6</v>
      </c>
      <c r="AN357" s="5" t="s">
        <v>6</v>
      </c>
    </row>
    <row r="358" spans="1:40" x14ac:dyDescent="0.2">
      <c r="A358" s="15">
        <v>2031</v>
      </c>
      <c r="B358" s="36" t="s">
        <v>6</v>
      </c>
      <c r="C358" s="36" t="s">
        <v>6</v>
      </c>
      <c r="D358" s="36" t="s">
        <v>6</v>
      </c>
      <c r="E358" s="36" t="s">
        <v>6</v>
      </c>
      <c r="F358" s="36" t="s">
        <v>6</v>
      </c>
      <c r="G358" s="36" t="s">
        <v>6</v>
      </c>
      <c r="H358" s="36" t="s">
        <v>6</v>
      </c>
      <c r="I358" s="36" t="s">
        <v>6</v>
      </c>
      <c r="J358" s="36" t="s">
        <v>6</v>
      </c>
      <c r="K358" s="36" t="s">
        <v>6</v>
      </c>
      <c r="L358" s="36" t="s">
        <v>6</v>
      </c>
      <c r="M358" s="36" t="s">
        <v>6</v>
      </c>
      <c r="N358" s="36" t="s">
        <v>6</v>
      </c>
      <c r="O358" s="36" t="s">
        <v>6</v>
      </c>
      <c r="P358" s="36" t="s">
        <v>6</v>
      </c>
      <c r="Q358" s="36" t="s">
        <v>6</v>
      </c>
      <c r="R358" s="36" t="s">
        <v>6</v>
      </c>
      <c r="S358" s="36" t="s">
        <v>6</v>
      </c>
      <c r="T358" s="36" t="s">
        <v>6</v>
      </c>
      <c r="U358" s="36" t="s">
        <v>6</v>
      </c>
      <c r="V358" s="4" t="s">
        <v>1</v>
      </c>
      <c r="W358" s="4">
        <v>1</v>
      </c>
      <c r="X358" s="4">
        <v>3</v>
      </c>
      <c r="Y358" s="4">
        <v>2</v>
      </c>
      <c r="Z358" s="5">
        <v>3</v>
      </c>
      <c r="AA358" s="4">
        <v>3</v>
      </c>
      <c r="AB358" s="4" t="s">
        <v>6</v>
      </c>
      <c r="AC358" s="4" t="s">
        <v>6</v>
      </c>
      <c r="AD358" s="4" t="s">
        <v>6</v>
      </c>
      <c r="AE358" s="5" t="s">
        <v>6</v>
      </c>
      <c r="AF358" s="4">
        <v>3</v>
      </c>
      <c r="AG358" s="5" t="s">
        <v>6</v>
      </c>
      <c r="AH358" s="4">
        <v>3</v>
      </c>
      <c r="AI358" s="4" t="s">
        <v>6</v>
      </c>
      <c r="AJ358" s="4" t="s">
        <v>6</v>
      </c>
      <c r="AK358" s="4" t="s">
        <v>6</v>
      </c>
      <c r="AL358" s="4" t="s">
        <v>6</v>
      </c>
      <c r="AM358" s="4" t="s">
        <v>6</v>
      </c>
      <c r="AN358" s="5" t="s">
        <v>6</v>
      </c>
    </row>
    <row r="359" spans="1:40" x14ac:dyDescent="0.2">
      <c r="A359" s="15">
        <v>2034</v>
      </c>
      <c r="B359" s="36" t="s">
        <v>6</v>
      </c>
      <c r="C359" s="36" t="s">
        <v>6</v>
      </c>
      <c r="D359" s="36" t="s">
        <v>6</v>
      </c>
      <c r="E359" s="36" t="s">
        <v>6</v>
      </c>
      <c r="F359" s="36" t="s">
        <v>6</v>
      </c>
      <c r="G359" s="36" t="s">
        <v>6</v>
      </c>
      <c r="H359" s="36" t="s">
        <v>6</v>
      </c>
      <c r="I359" s="36" t="s">
        <v>6</v>
      </c>
      <c r="J359" s="36" t="s">
        <v>6</v>
      </c>
      <c r="K359" s="36" t="s">
        <v>6</v>
      </c>
      <c r="L359" s="36" t="s">
        <v>6</v>
      </c>
      <c r="M359" s="36" t="s">
        <v>6</v>
      </c>
      <c r="N359" s="36" t="s">
        <v>6</v>
      </c>
      <c r="O359" s="36" t="s">
        <v>6</v>
      </c>
      <c r="P359" s="36" t="s">
        <v>6</v>
      </c>
      <c r="Q359" s="36" t="s">
        <v>6</v>
      </c>
      <c r="R359" s="36" t="s">
        <v>6</v>
      </c>
      <c r="S359" s="36" t="s">
        <v>6</v>
      </c>
      <c r="T359" s="36" t="s">
        <v>6</v>
      </c>
      <c r="U359" s="36" t="s">
        <v>6</v>
      </c>
      <c r="V359" s="4" t="s">
        <v>1</v>
      </c>
      <c r="W359" s="4">
        <v>1</v>
      </c>
      <c r="X359" s="4">
        <v>3</v>
      </c>
      <c r="Y359" s="4">
        <v>2</v>
      </c>
      <c r="Z359" s="5">
        <v>3</v>
      </c>
      <c r="AA359" s="4">
        <v>3</v>
      </c>
      <c r="AB359" s="4" t="s">
        <v>6</v>
      </c>
      <c r="AC359" s="4" t="s">
        <v>6</v>
      </c>
      <c r="AD359" s="4" t="s">
        <v>6</v>
      </c>
      <c r="AE359" s="5" t="s">
        <v>6</v>
      </c>
      <c r="AF359" s="4">
        <v>3</v>
      </c>
      <c r="AG359" s="5" t="s">
        <v>6</v>
      </c>
      <c r="AH359" s="4">
        <v>3</v>
      </c>
      <c r="AI359" s="4" t="s">
        <v>6</v>
      </c>
      <c r="AJ359" s="4" t="s">
        <v>6</v>
      </c>
      <c r="AK359" s="4" t="s">
        <v>6</v>
      </c>
      <c r="AL359" s="4" t="s">
        <v>6</v>
      </c>
      <c r="AM359" s="4" t="s">
        <v>6</v>
      </c>
      <c r="AN359" s="5" t="s">
        <v>6</v>
      </c>
    </row>
    <row r="360" spans="1:40" x14ac:dyDescent="0.2">
      <c r="A360" s="15">
        <v>2044</v>
      </c>
      <c r="B360" s="36" t="s">
        <v>6</v>
      </c>
      <c r="C360" s="36" t="s">
        <v>6</v>
      </c>
      <c r="D360" s="36" t="s">
        <v>6</v>
      </c>
      <c r="E360" s="36" t="s">
        <v>6</v>
      </c>
      <c r="F360" s="36" t="s">
        <v>6</v>
      </c>
      <c r="G360" s="36" t="s">
        <v>6</v>
      </c>
      <c r="H360" s="36" t="s">
        <v>6</v>
      </c>
      <c r="I360" s="36" t="s">
        <v>6</v>
      </c>
      <c r="J360" s="36" t="s">
        <v>6</v>
      </c>
      <c r="K360" s="36" t="s">
        <v>6</v>
      </c>
      <c r="L360" s="36" t="s">
        <v>6</v>
      </c>
      <c r="M360" s="36" t="s">
        <v>6</v>
      </c>
      <c r="N360" s="36" t="s">
        <v>6</v>
      </c>
      <c r="O360" s="36" t="s">
        <v>6</v>
      </c>
      <c r="P360" s="36" t="s">
        <v>6</v>
      </c>
      <c r="Q360" s="36" t="s">
        <v>6</v>
      </c>
      <c r="R360" s="36" t="s">
        <v>6</v>
      </c>
      <c r="S360" s="36" t="s">
        <v>6</v>
      </c>
      <c r="T360" s="36" t="s">
        <v>6</v>
      </c>
      <c r="U360" s="36" t="s">
        <v>6</v>
      </c>
      <c r="V360" s="4" t="s">
        <v>1</v>
      </c>
      <c r="W360" s="4">
        <v>1</v>
      </c>
      <c r="X360" s="4">
        <v>3</v>
      </c>
      <c r="Y360" s="4">
        <v>2</v>
      </c>
      <c r="Z360" s="5">
        <v>3</v>
      </c>
      <c r="AA360" s="4">
        <v>3</v>
      </c>
      <c r="AB360" s="4" t="s">
        <v>6</v>
      </c>
      <c r="AC360" s="4" t="s">
        <v>6</v>
      </c>
      <c r="AD360" s="4" t="s">
        <v>6</v>
      </c>
      <c r="AE360" s="5" t="s">
        <v>6</v>
      </c>
      <c r="AF360" s="4">
        <v>3</v>
      </c>
      <c r="AG360" s="5" t="s">
        <v>6</v>
      </c>
      <c r="AH360" s="4">
        <v>3</v>
      </c>
      <c r="AI360" s="4" t="s">
        <v>6</v>
      </c>
      <c r="AJ360" s="4" t="s">
        <v>6</v>
      </c>
      <c r="AK360" s="4" t="s">
        <v>6</v>
      </c>
      <c r="AL360" s="4" t="s">
        <v>6</v>
      </c>
      <c r="AM360" s="4" t="s">
        <v>6</v>
      </c>
      <c r="AN360" s="5" t="s">
        <v>6</v>
      </c>
    </row>
    <row r="361" spans="1:40" x14ac:dyDescent="0.2">
      <c r="A361" s="15">
        <v>2053</v>
      </c>
      <c r="B361" s="36" t="s">
        <v>6</v>
      </c>
      <c r="C361" s="36" t="s">
        <v>6</v>
      </c>
      <c r="D361" s="36" t="s">
        <v>6</v>
      </c>
      <c r="E361" s="36" t="s">
        <v>6</v>
      </c>
      <c r="F361" s="36" t="s">
        <v>6</v>
      </c>
      <c r="G361" s="36" t="s">
        <v>6</v>
      </c>
      <c r="H361" s="36" t="s">
        <v>6</v>
      </c>
      <c r="I361" s="36" t="s">
        <v>6</v>
      </c>
      <c r="J361" s="36" t="s">
        <v>6</v>
      </c>
      <c r="K361" s="36" t="s">
        <v>6</v>
      </c>
      <c r="L361" s="36" t="s">
        <v>6</v>
      </c>
      <c r="M361" s="36" t="s">
        <v>6</v>
      </c>
      <c r="N361" s="36" t="s">
        <v>6</v>
      </c>
      <c r="O361" s="36" t="s">
        <v>6</v>
      </c>
      <c r="P361" s="36" t="s">
        <v>6</v>
      </c>
      <c r="Q361" s="36" t="s">
        <v>6</v>
      </c>
      <c r="R361" s="36" t="s">
        <v>6</v>
      </c>
      <c r="S361" s="36" t="s">
        <v>6</v>
      </c>
      <c r="T361" s="36" t="s">
        <v>6</v>
      </c>
      <c r="U361" s="36" t="s">
        <v>6</v>
      </c>
      <c r="V361" s="4" t="s">
        <v>1</v>
      </c>
      <c r="W361" s="4">
        <v>1</v>
      </c>
      <c r="X361" s="4">
        <v>3</v>
      </c>
      <c r="Y361" s="4">
        <v>2</v>
      </c>
      <c r="Z361" s="5">
        <v>3</v>
      </c>
      <c r="AA361" s="4">
        <v>3</v>
      </c>
      <c r="AB361" s="4" t="s">
        <v>6</v>
      </c>
      <c r="AC361" s="4" t="s">
        <v>6</v>
      </c>
      <c r="AD361" s="4" t="s">
        <v>6</v>
      </c>
      <c r="AE361" s="5" t="s">
        <v>6</v>
      </c>
      <c r="AF361" s="4">
        <v>3</v>
      </c>
      <c r="AG361" s="5" t="s">
        <v>6</v>
      </c>
      <c r="AH361" s="4">
        <v>3</v>
      </c>
      <c r="AI361" s="4" t="s">
        <v>6</v>
      </c>
      <c r="AJ361" s="4" t="s">
        <v>6</v>
      </c>
      <c r="AK361" s="4" t="s">
        <v>6</v>
      </c>
      <c r="AL361" s="4" t="s">
        <v>6</v>
      </c>
      <c r="AM361" s="4" t="s">
        <v>6</v>
      </c>
      <c r="AN361" s="5" t="s">
        <v>6</v>
      </c>
    </row>
    <row r="362" spans="1:40" x14ac:dyDescent="0.2">
      <c r="A362" s="15">
        <v>2054</v>
      </c>
      <c r="B362" s="36" t="s">
        <v>6</v>
      </c>
      <c r="C362" s="36" t="s">
        <v>6</v>
      </c>
      <c r="D362" s="36" t="s">
        <v>6</v>
      </c>
      <c r="E362" s="36" t="s">
        <v>6</v>
      </c>
      <c r="F362" s="36" t="s">
        <v>6</v>
      </c>
      <c r="G362" s="36" t="s">
        <v>6</v>
      </c>
      <c r="H362" s="36" t="s">
        <v>6</v>
      </c>
      <c r="I362" s="36" t="s">
        <v>6</v>
      </c>
      <c r="J362" s="36" t="s">
        <v>6</v>
      </c>
      <c r="K362" s="36" t="s">
        <v>6</v>
      </c>
      <c r="L362" s="36" t="s">
        <v>6</v>
      </c>
      <c r="M362" s="36" t="s">
        <v>6</v>
      </c>
      <c r="N362" s="36" t="s">
        <v>6</v>
      </c>
      <c r="O362" s="36" t="s">
        <v>6</v>
      </c>
      <c r="P362" s="36" t="s">
        <v>6</v>
      </c>
      <c r="Q362" s="36" t="s">
        <v>6</v>
      </c>
      <c r="R362" s="36" t="s">
        <v>6</v>
      </c>
      <c r="S362" s="36" t="s">
        <v>6</v>
      </c>
      <c r="T362" s="36" t="s">
        <v>6</v>
      </c>
      <c r="U362" s="36" t="s">
        <v>6</v>
      </c>
      <c r="V362" s="4" t="s">
        <v>1</v>
      </c>
      <c r="W362" s="4">
        <v>1</v>
      </c>
      <c r="X362" s="4">
        <v>3</v>
      </c>
      <c r="Y362" s="4">
        <v>2</v>
      </c>
      <c r="Z362" s="5">
        <v>3</v>
      </c>
      <c r="AA362" s="4">
        <v>3</v>
      </c>
      <c r="AB362" s="4" t="s">
        <v>6</v>
      </c>
      <c r="AC362" s="4" t="s">
        <v>6</v>
      </c>
      <c r="AD362" s="4" t="s">
        <v>6</v>
      </c>
      <c r="AE362" s="5" t="s">
        <v>6</v>
      </c>
      <c r="AF362" s="4">
        <v>3</v>
      </c>
      <c r="AG362" s="5" t="s">
        <v>6</v>
      </c>
      <c r="AH362" s="4">
        <v>3</v>
      </c>
      <c r="AI362" s="4" t="s">
        <v>6</v>
      </c>
      <c r="AJ362" s="4" t="s">
        <v>6</v>
      </c>
      <c r="AK362" s="4" t="s">
        <v>6</v>
      </c>
      <c r="AL362" s="4" t="s">
        <v>6</v>
      </c>
      <c r="AM362" s="4" t="s">
        <v>6</v>
      </c>
      <c r="AN362" s="5" t="s">
        <v>6</v>
      </c>
    </row>
    <row r="363" spans="1:40" x14ac:dyDescent="0.2">
      <c r="A363" s="15">
        <v>2058</v>
      </c>
      <c r="B363" s="36" t="s">
        <v>6</v>
      </c>
      <c r="C363" s="36" t="s">
        <v>6</v>
      </c>
      <c r="D363" s="36" t="s">
        <v>6</v>
      </c>
      <c r="E363" s="36" t="s">
        <v>6</v>
      </c>
      <c r="F363" s="36" t="s">
        <v>6</v>
      </c>
      <c r="G363" s="36" t="s">
        <v>6</v>
      </c>
      <c r="H363" s="36" t="s">
        <v>6</v>
      </c>
      <c r="I363" s="36" t="s">
        <v>6</v>
      </c>
      <c r="J363" s="36" t="s">
        <v>6</v>
      </c>
      <c r="K363" s="36" t="s">
        <v>6</v>
      </c>
      <c r="L363" s="36" t="s">
        <v>6</v>
      </c>
      <c r="M363" s="36" t="s">
        <v>6</v>
      </c>
      <c r="N363" s="36" t="s">
        <v>6</v>
      </c>
      <c r="O363" s="36" t="s">
        <v>6</v>
      </c>
      <c r="P363" s="36" t="s">
        <v>6</v>
      </c>
      <c r="Q363" s="36" t="s">
        <v>6</v>
      </c>
      <c r="R363" s="36" t="s">
        <v>6</v>
      </c>
      <c r="S363" s="36" t="s">
        <v>6</v>
      </c>
      <c r="T363" s="36" t="s">
        <v>6</v>
      </c>
      <c r="U363" s="36" t="s">
        <v>6</v>
      </c>
      <c r="V363" s="4" t="s">
        <v>1</v>
      </c>
      <c r="W363" s="4">
        <v>1</v>
      </c>
      <c r="X363" s="4">
        <v>3</v>
      </c>
      <c r="Y363" s="4">
        <v>2</v>
      </c>
      <c r="Z363" s="5">
        <v>3</v>
      </c>
      <c r="AA363" s="4">
        <v>3</v>
      </c>
      <c r="AB363" s="4" t="s">
        <v>6</v>
      </c>
      <c r="AC363" s="4" t="s">
        <v>6</v>
      </c>
      <c r="AD363" s="4" t="s">
        <v>6</v>
      </c>
      <c r="AE363" s="5" t="s">
        <v>6</v>
      </c>
      <c r="AF363" s="4">
        <v>3</v>
      </c>
      <c r="AG363" s="5" t="s">
        <v>6</v>
      </c>
      <c r="AH363" s="4">
        <v>3</v>
      </c>
      <c r="AI363" s="4" t="s">
        <v>6</v>
      </c>
      <c r="AJ363" s="4" t="s">
        <v>6</v>
      </c>
      <c r="AK363" s="4" t="s">
        <v>6</v>
      </c>
      <c r="AL363" s="4" t="s">
        <v>6</v>
      </c>
      <c r="AM363" s="4" t="s">
        <v>6</v>
      </c>
      <c r="AN363" s="5" t="s">
        <v>6</v>
      </c>
    </row>
    <row r="364" spans="1:40" x14ac:dyDescent="0.2">
      <c r="A364" s="15">
        <v>2062</v>
      </c>
      <c r="B364" s="36" t="s">
        <v>6</v>
      </c>
      <c r="C364" s="36" t="s">
        <v>6</v>
      </c>
      <c r="D364" s="36" t="s">
        <v>6</v>
      </c>
      <c r="E364" s="36" t="s">
        <v>6</v>
      </c>
      <c r="F364" s="36" t="s">
        <v>6</v>
      </c>
      <c r="G364" s="36" t="s">
        <v>6</v>
      </c>
      <c r="H364" s="36" t="s">
        <v>6</v>
      </c>
      <c r="I364" s="36" t="s">
        <v>6</v>
      </c>
      <c r="J364" s="36" t="s">
        <v>6</v>
      </c>
      <c r="K364" s="36" t="s">
        <v>6</v>
      </c>
      <c r="L364" s="36" t="s">
        <v>6</v>
      </c>
      <c r="M364" s="36" t="s">
        <v>6</v>
      </c>
      <c r="N364" s="36" t="s">
        <v>6</v>
      </c>
      <c r="O364" s="36" t="s">
        <v>6</v>
      </c>
      <c r="P364" s="36" t="s">
        <v>6</v>
      </c>
      <c r="Q364" s="36" t="s">
        <v>6</v>
      </c>
      <c r="R364" s="36" t="s">
        <v>6</v>
      </c>
      <c r="S364" s="36" t="s">
        <v>6</v>
      </c>
      <c r="T364" s="36" t="s">
        <v>6</v>
      </c>
      <c r="U364" s="36" t="s">
        <v>6</v>
      </c>
      <c r="V364" s="4" t="s">
        <v>1</v>
      </c>
      <c r="W364" s="4">
        <v>1</v>
      </c>
      <c r="X364" s="4">
        <v>3</v>
      </c>
      <c r="Y364" s="4">
        <v>2</v>
      </c>
      <c r="Z364" s="5">
        <v>3</v>
      </c>
      <c r="AA364" s="4">
        <v>3</v>
      </c>
      <c r="AB364" s="4" t="s">
        <v>6</v>
      </c>
      <c r="AC364" s="4" t="s">
        <v>6</v>
      </c>
      <c r="AD364" s="4" t="s">
        <v>6</v>
      </c>
      <c r="AE364" s="5" t="s">
        <v>6</v>
      </c>
      <c r="AF364" s="4">
        <v>3</v>
      </c>
      <c r="AG364" s="5" t="s">
        <v>6</v>
      </c>
      <c r="AH364" s="4">
        <v>3</v>
      </c>
      <c r="AI364" s="4" t="s">
        <v>6</v>
      </c>
      <c r="AJ364" s="4" t="s">
        <v>6</v>
      </c>
      <c r="AK364" s="4" t="s">
        <v>6</v>
      </c>
      <c r="AL364" s="4" t="s">
        <v>6</v>
      </c>
      <c r="AM364" s="4" t="s">
        <v>6</v>
      </c>
      <c r="AN364" s="5" t="s">
        <v>6</v>
      </c>
    </row>
    <row r="365" spans="1:40" x14ac:dyDescent="0.2">
      <c r="A365" s="15">
        <v>2064</v>
      </c>
      <c r="B365" s="36" t="s">
        <v>6</v>
      </c>
      <c r="C365" s="36" t="s">
        <v>6</v>
      </c>
      <c r="D365" s="36" t="s">
        <v>6</v>
      </c>
      <c r="E365" s="36" t="s">
        <v>6</v>
      </c>
      <c r="F365" s="36" t="s">
        <v>6</v>
      </c>
      <c r="G365" s="36" t="s">
        <v>6</v>
      </c>
      <c r="H365" s="36" t="s">
        <v>6</v>
      </c>
      <c r="I365" s="36" t="s">
        <v>6</v>
      </c>
      <c r="J365" s="36" t="s">
        <v>6</v>
      </c>
      <c r="K365" s="36" t="s">
        <v>6</v>
      </c>
      <c r="L365" s="36" t="s">
        <v>6</v>
      </c>
      <c r="M365" s="36" t="s">
        <v>6</v>
      </c>
      <c r="N365" s="36" t="s">
        <v>6</v>
      </c>
      <c r="O365" s="36" t="s">
        <v>6</v>
      </c>
      <c r="P365" s="36" t="s">
        <v>6</v>
      </c>
      <c r="Q365" s="36" t="s">
        <v>6</v>
      </c>
      <c r="R365" s="36" t="s">
        <v>6</v>
      </c>
      <c r="S365" s="36" t="s">
        <v>6</v>
      </c>
      <c r="T365" s="36" t="s">
        <v>6</v>
      </c>
      <c r="U365" s="36" t="s">
        <v>6</v>
      </c>
      <c r="V365" s="4" t="s">
        <v>1</v>
      </c>
      <c r="W365" s="4">
        <v>1</v>
      </c>
      <c r="X365" s="4">
        <v>3</v>
      </c>
      <c r="Y365" s="4">
        <v>2</v>
      </c>
      <c r="Z365" s="5">
        <v>3</v>
      </c>
      <c r="AA365" s="4">
        <v>3</v>
      </c>
      <c r="AB365" s="4" t="s">
        <v>6</v>
      </c>
      <c r="AC365" s="4" t="s">
        <v>6</v>
      </c>
      <c r="AD365" s="4" t="s">
        <v>6</v>
      </c>
      <c r="AE365" s="5" t="s">
        <v>6</v>
      </c>
      <c r="AF365" s="4">
        <v>3</v>
      </c>
      <c r="AG365" s="5" t="s">
        <v>6</v>
      </c>
      <c r="AH365" s="4">
        <v>3</v>
      </c>
      <c r="AI365" s="4" t="s">
        <v>6</v>
      </c>
      <c r="AJ365" s="4" t="s">
        <v>6</v>
      </c>
      <c r="AK365" s="4" t="s">
        <v>6</v>
      </c>
      <c r="AL365" s="4" t="s">
        <v>6</v>
      </c>
      <c r="AM365" s="4" t="s">
        <v>6</v>
      </c>
      <c r="AN365" s="5" t="s">
        <v>6</v>
      </c>
    </row>
    <row r="366" spans="1:40" x14ac:dyDescent="0.2">
      <c r="A366" s="15">
        <v>2067</v>
      </c>
      <c r="B366" s="36" t="s">
        <v>6</v>
      </c>
      <c r="C366" s="36" t="s">
        <v>6</v>
      </c>
      <c r="D366" s="36" t="s">
        <v>6</v>
      </c>
      <c r="E366" s="36" t="s">
        <v>6</v>
      </c>
      <c r="F366" s="36" t="s">
        <v>6</v>
      </c>
      <c r="G366" s="36" t="s">
        <v>6</v>
      </c>
      <c r="H366" s="36" t="s">
        <v>6</v>
      </c>
      <c r="I366" s="36" t="s">
        <v>6</v>
      </c>
      <c r="J366" s="36" t="s">
        <v>6</v>
      </c>
      <c r="K366" s="36" t="s">
        <v>6</v>
      </c>
      <c r="L366" s="36" t="s">
        <v>6</v>
      </c>
      <c r="M366" s="36" t="s">
        <v>6</v>
      </c>
      <c r="N366" s="36" t="s">
        <v>6</v>
      </c>
      <c r="O366" s="36" t="s">
        <v>6</v>
      </c>
      <c r="P366" s="36" t="s">
        <v>6</v>
      </c>
      <c r="Q366" s="36" t="s">
        <v>6</v>
      </c>
      <c r="R366" s="36" t="s">
        <v>6</v>
      </c>
      <c r="S366" s="36" t="s">
        <v>6</v>
      </c>
      <c r="T366" s="36" t="s">
        <v>6</v>
      </c>
      <c r="U366" s="36" t="s">
        <v>6</v>
      </c>
      <c r="V366" s="4" t="s">
        <v>1</v>
      </c>
      <c r="W366" s="4">
        <v>1</v>
      </c>
      <c r="X366" s="4">
        <v>3</v>
      </c>
      <c r="Y366" s="4">
        <v>2</v>
      </c>
      <c r="Z366" s="5">
        <v>3</v>
      </c>
      <c r="AA366" s="4">
        <v>3</v>
      </c>
      <c r="AB366" s="4" t="s">
        <v>6</v>
      </c>
      <c r="AC366" s="4" t="s">
        <v>6</v>
      </c>
      <c r="AD366" s="4" t="s">
        <v>6</v>
      </c>
      <c r="AE366" s="5" t="s">
        <v>6</v>
      </c>
      <c r="AF366" s="4">
        <v>3</v>
      </c>
      <c r="AG366" s="5" t="s">
        <v>6</v>
      </c>
      <c r="AH366" s="4">
        <v>3</v>
      </c>
      <c r="AI366" s="4" t="s">
        <v>6</v>
      </c>
      <c r="AJ366" s="4" t="s">
        <v>6</v>
      </c>
      <c r="AK366" s="4" t="s">
        <v>6</v>
      </c>
      <c r="AL366" s="4" t="s">
        <v>6</v>
      </c>
      <c r="AM366" s="4" t="s">
        <v>6</v>
      </c>
      <c r="AN366" s="5" t="s">
        <v>6</v>
      </c>
    </row>
    <row r="367" spans="1:40" x14ac:dyDescent="0.2">
      <c r="A367" s="15">
        <v>2085</v>
      </c>
      <c r="B367" s="36" t="s">
        <v>6</v>
      </c>
      <c r="C367" s="36" t="s">
        <v>6</v>
      </c>
      <c r="D367" s="36" t="s">
        <v>6</v>
      </c>
      <c r="E367" s="36" t="s">
        <v>6</v>
      </c>
      <c r="F367" s="36" t="s">
        <v>6</v>
      </c>
      <c r="G367" s="36" t="s">
        <v>6</v>
      </c>
      <c r="H367" s="36" t="s">
        <v>6</v>
      </c>
      <c r="I367" s="36" t="s">
        <v>6</v>
      </c>
      <c r="J367" s="36" t="s">
        <v>6</v>
      </c>
      <c r="K367" s="36" t="s">
        <v>6</v>
      </c>
      <c r="L367" s="36" t="s">
        <v>6</v>
      </c>
      <c r="M367" s="36" t="s">
        <v>6</v>
      </c>
      <c r="N367" s="36" t="s">
        <v>6</v>
      </c>
      <c r="O367" s="36" t="s">
        <v>6</v>
      </c>
      <c r="P367" s="36" t="s">
        <v>6</v>
      </c>
      <c r="Q367" s="36" t="s">
        <v>6</v>
      </c>
      <c r="R367" s="36" t="s">
        <v>6</v>
      </c>
      <c r="S367" s="36" t="s">
        <v>6</v>
      </c>
      <c r="T367" s="36" t="s">
        <v>6</v>
      </c>
      <c r="U367" s="36" t="s">
        <v>6</v>
      </c>
      <c r="V367" s="4" t="s">
        <v>1</v>
      </c>
      <c r="W367" s="4">
        <v>1</v>
      </c>
      <c r="X367" s="4">
        <v>3</v>
      </c>
      <c r="Y367" s="4">
        <v>2</v>
      </c>
      <c r="Z367" s="5">
        <v>3</v>
      </c>
      <c r="AA367" s="4">
        <v>3</v>
      </c>
      <c r="AB367" s="4" t="s">
        <v>6</v>
      </c>
      <c r="AC367" s="4" t="s">
        <v>6</v>
      </c>
      <c r="AD367" s="4" t="s">
        <v>6</v>
      </c>
      <c r="AE367" s="5" t="s">
        <v>6</v>
      </c>
      <c r="AF367" s="4">
        <v>3</v>
      </c>
      <c r="AG367" s="5" t="s">
        <v>6</v>
      </c>
      <c r="AH367" s="4">
        <v>3</v>
      </c>
      <c r="AI367" s="4" t="s">
        <v>6</v>
      </c>
      <c r="AJ367" s="4" t="s">
        <v>6</v>
      </c>
      <c r="AK367" s="4" t="s">
        <v>6</v>
      </c>
      <c r="AL367" s="4" t="s">
        <v>6</v>
      </c>
      <c r="AM367" s="4" t="s">
        <v>6</v>
      </c>
      <c r="AN367" s="5" t="s">
        <v>6</v>
      </c>
    </row>
    <row r="368" spans="1:40" x14ac:dyDescent="0.2">
      <c r="A368" s="15">
        <v>2126</v>
      </c>
      <c r="B368" s="36" t="s">
        <v>6</v>
      </c>
      <c r="C368" s="36" t="s">
        <v>6</v>
      </c>
      <c r="D368" s="36" t="s">
        <v>6</v>
      </c>
      <c r="E368" s="36" t="s">
        <v>6</v>
      </c>
      <c r="F368" s="36" t="s">
        <v>6</v>
      </c>
      <c r="G368" s="36" t="s">
        <v>6</v>
      </c>
      <c r="H368" s="36" t="s">
        <v>6</v>
      </c>
      <c r="I368" s="36" t="s">
        <v>6</v>
      </c>
      <c r="J368" s="36" t="s">
        <v>6</v>
      </c>
      <c r="K368" s="36" t="s">
        <v>6</v>
      </c>
      <c r="L368" s="36" t="s">
        <v>6</v>
      </c>
      <c r="M368" s="36" t="s">
        <v>6</v>
      </c>
      <c r="N368" s="36" t="s">
        <v>6</v>
      </c>
      <c r="O368" s="36" t="s">
        <v>6</v>
      </c>
      <c r="P368" s="36" t="s">
        <v>6</v>
      </c>
      <c r="Q368" s="36" t="s">
        <v>6</v>
      </c>
      <c r="R368" s="36" t="s">
        <v>6</v>
      </c>
      <c r="S368" s="36" t="s">
        <v>6</v>
      </c>
      <c r="T368" s="36" t="s">
        <v>6</v>
      </c>
      <c r="U368" s="36" t="s">
        <v>6</v>
      </c>
      <c r="V368" s="4" t="s">
        <v>1</v>
      </c>
      <c r="W368" s="4">
        <v>1</v>
      </c>
      <c r="X368" s="4">
        <v>3</v>
      </c>
      <c r="Y368" s="4">
        <v>2</v>
      </c>
      <c r="Z368" s="5">
        <v>3</v>
      </c>
      <c r="AA368" s="4">
        <v>3</v>
      </c>
      <c r="AB368" s="4" t="s">
        <v>6</v>
      </c>
      <c r="AC368" s="4" t="s">
        <v>6</v>
      </c>
      <c r="AD368" s="4" t="s">
        <v>6</v>
      </c>
      <c r="AE368" s="5" t="s">
        <v>6</v>
      </c>
      <c r="AF368" s="4">
        <v>3</v>
      </c>
      <c r="AG368" s="5" t="s">
        <v>6</v>
      </c>
      <c r="AH368" s="4">
        <v>3</v>
      </c>
      <c r="AI368" s="4" t="s">
        <v>6</v>
      </c>
      <c r="AJ368" s="4" t="s">
        <v>6</v>
      </c>
      <c r="AK368" s="4" t="s">
        <v>6</v>
      </c>
      <c r="AL368" s="4" t="s">
        <v>6</v>
      </c>
      <c r="AM368" s="4" t="s">
        <v>6</v>
      </c>
      <c r="AN368" s="5" t="s">
        <v>6</v>
      </c>
    </row>
    <row r="369" spans="1:40" x14ac:dyDescent="0.2">
      <c r="A369" s="15">
        <v>2127</v>
      </c>
      <c r="B369" s="36" t="s">
        <v>6</v>
      </c>
      <c r="C369" s="36" t="s">
        <v>6</v>
      </c>
      <c r="D369" s="36" t="s">
        <v>6</v>
      </c>
      <c r="E369" s="36" t="s">
        <v>6</v>
      </c>
      <c r="F369" s="36" t="s">
        <v>6</v>
      </c>
      <c r="G369" s="36" t="s">
        <v>6</v>
      </c>
      <c r="H369" s="36" t="s">
        <v>6</v>
      </c>
      <c r="I369" s="36" t="s">
        <v>6</v>
      </c>
      <c r="J369" s="36" t="s">
        <v>6</v>
      </c>
      <c r="K369" s="36" t="s">
        <v>6</v>
      </c>
      <c r="L369" s="36" t="s">
        <v>6</v>
      </c>
      <c r="M369" s="36" t="s">
        <v>6</v>
      </c>
      <c r="N369" s="36" t="s">
        <v>6</v>
      </c>
      <c r="O369" s="36" t="s">
        <v>6</v>
      </c>
      <c r="P369" s="36" t="s">
        <v>6</v>
      </c>
      <c r="Q369" s="36" t="s">
        <v>6</v>
      </c>
      <c r="R369" s="36" t="s">
        <v>6</v>
      </c>
      <c r="S369" s="36" t="s">
        <v>6</v>
      </c>
      <c r="T369" s="36" t="s">
        <v>6</v>
      </c>
      <c r="U369" s="36" t="s">
        <v>6</v>
      </c>
      <c r="V369" s="4" t="s">
        <v>1</v>
      </c>
      <c r="W369" s="4">
        <v>1</v>
      </c>
      <c r="X369" s="4">
        <v>3</v>
      </c>
      <c r="Y369" s="4">
        <v>2</v>
      </c>
      <c r="Z369" s="5">
        <v>3</v>
      </c>
      <c r="AA369" s="4">
        <v>3</v>
      </c>
      <c r="AB369" s="4" t="s">
        <v>6</v>
      </c>
      <c r="AC369" s="4" t="s">
        <v>6</v>
      </c>
      <c r="AD369" s="4" t="s">
        <v>6</v>
      </c>
      <c r="AE369" s="5" t="s">
        <v>6</v>
      </c>
      <c r="AF369" s="4">
        <v>3</v>
      </c>
      <c r="AG369" s="5" t="s">
        <v>6</v>
      </c>
      <c r="AH369" s="4">
        <v>3</v>
      </c>
      <c r="AI369" s="4" t="s">
        <v>6</v>
      </c>
      <c r="AJ369" s="4" t="s">
        <v>6</v>
      </c>
      <c r="AK369" s="4" t="s">
        <v>6</v>
      </c>
      <c r="AL369" s="4" t="s">
        <v>6</v>
      </c>
      <c r="AM369" s="4" t="s">
        <v>6</v>
      </c>
      <c r="AN369" s="5" t="s">
        <v>6</v>
      </c>
    </row>
    <row r="370" spans="1:40" x14ac:dyDescent="0.2">
      <c r="A370" s="15">
        <v>2133</v>
      </c>
      <c r="B370" s="36" t="s">
        <v>6</v>
      </c>
      <c r="C370" s="36" t="s">
        <v>6</v>
      </c>
      <c r="D370" s="36" t="s">
        <v>6</v>
      </c>
      <c r="E370" s="36" t="s">
        <v>6</v>
      </c>
      <c r="F370" s="36" t="s">
        <v>6</v>
      </c>
      <c r="G370" s="36" t="s">
        <v>6</v>
      </c>
      <c r="H370" s="36" t="s">
        <v>6</v>
      </c>
      <c r="I370" s="36" t="s">
        <v>6</v>
      </c>
      <c r="J370" s="36" t="s">
        <v>6</v>
      </c>
      <c r="K370" s="36" t="s">
        <v>6</v>
      </c>
      <c r="L370" s="36" t="s">
        <v>6</v>
      </c>
      <c r="M370" s="36" t="s">
        <v>6</v>
      </c>
      <c r="N370" s="36" t="s">
        <v>6</v>
      </c>
      <c r="O370" s="36" t="s">
        <v>6</v>
      </c>
      <c r="P370" s="36" t="s">
        <v>6</v>
      </c>
      <c r="Q370" s="36" t="s">
        <v>6</v>
      </c>
      <c r="R370" s="36" t="s">
        <v>6</v>
      </c>
      <c r="S370" s="36" t="s">
        <v>6</v>
      </c>
      <c r="T370" s="36" t="s">
        <v>6</v>
      </c>
      <c r="U370" s="36" t="s">
        <v>6</v>
      </c>
      <c r="V370" s="4" t="s">
        <v>1</v>
      </c>
      <c r="W370" s="4">
        <v>1</v>
      </c>
      <c r="X370" s="4">
        <v>3</v>
      </c>
      <c r="Y370" s="4">
        <v>2</v>
      </c>
      <c r="Z370" s="5">
        <v>3</v>
      </c>
      <c r="AA370" s="4">
        <v>3</v>
      </c>
      <c r="AB370" s="4" t="s">
        <v>6</v>
      </c>
      <c r="AC370" s="4" t="s">
        <v>6</v>
      </c>
      <c r="AD370" s="4" t="s">
        <v>6</v>
      </c>
      <c r="AE370" s="5" t="s">
        <v>6</v>
      </c>
      <c r="AF370" s="4">
        <v>3</v>
      </c>
      <c r="AG370" s="5" t="s">
        <v>6</v>
      </c>
      <c r="AH370" s="4">
        <v>3</v>
      </c>
      <c r="AI370" s="4" t="s">
        <v>6</v>
      </c>
      <c r="AJ370" s="4" t="s">
        <v>6</v>
      </c>
      <c r="AK370" s="4" t="s">
        <v>6</v>
      </c>
      <c r="AL370" s="4" t="s">
        <v>6</v>
      </c>
      <c r="AM370" s="4" t="s">
        <v>6</v>
      </c>
      <c r="AN370" s="5" t="s">
        <v>6</v>
      </c>
    </row>
    <row r="371" spans="1:40" x14ac:dyDescent="0.2">
      <c r="A371" s="15">
        <v>2152</v>
      </c>
      <c r="B371" s="36" t="s">
        <v>6</v>
      </c>
      <c r="C371" s="36" t="s">
        <v>6</v>
      </c>
      <c r="D371" s="36" t="s">
        <v>6</v>
      </c>
      <c r="E371" s="36" t="s">
        <v>6</v>
      </c>
      <c r="F371" s="36" t="s">
        <v>6</v>
      </c>
      <c r="G371" s="36" t="s">
        <v>6</v>
      </c>
      <c r="H371" s="36" t="s">
        <v>6</v>
      </c>
      <c r="I371" s="36" t="s">
        <v>6</v>
      </c>
      <c r="J371" s="36" t="s">
        <v>6</v>
      </c>
      <c r="K371" s="36" t="s">
        <v>6</v>
      </c>
      <c r="L371" s="36" t="s">
        <v>6</v>
      </c>
      <c r="M371" s="36" t="s">
        <v>6</v>
      </c>
      <c r="N371" s="36" t="s">
        <v>6</v>
      </c>
      <c r="O371" s="36" t="s">
        <v>6</v>
      </c>
      <c r="P371" s="36" t="s">
        <v>6</v>
      </c>
      <c r="Q371" s="36" t="s">
        <v>6</v>
      </c>
      <c r="R371" s="36" t="s">
        <v>6</v>
      </c>
      <c r="S371" s="36" t="s">
        <v>6</v>
      </c>
      <c r="T371" s="36" t="s">
        <v>6</v>
      </c>
      <c r="U371" s="36" t="s">
        <v>6</v>
      </c>
      <c r="V371" s="4" t="s">
        <v>1</v>
      </c>
      <c r="W371" s="4">
        <v>1</v>
      </c>
      <c r="X371" s="4">
        <v>3</v>
      </c>
      <c r="Y371" s="4">
        <v>2</v>
      </c>
      <c r="Z371" s="5">
        <v>3</v>
      </c>
      <c r="AA371" s="4">
        <v>3</v>
      </c>
      <c r="AB371" s="4" t="s">
        <v>6</v>
      </c>
      <c r="AC371" s="4" t="s">
        <v>6</v>
      </c>
      <c r="AD371" s="4" t="s">
        <v>6</v>
      </c>
      <c r="AE371" s="5" t="s">
        <v>6</v>
      </c>
      <c r="AF371" s="4">
        <v>3</v>
      </c>
      <c r="AG371" s="5" t="s">
        <v>6</v>
      </c>
      <c r="AH371" s="4">
        <v>3</v>
      </c>
      <c r="AI371" s="4" t="s">
        <v>6</v>
      </c>
      <c r="AJ371" s="4" t="s">
        <v>6</v>
      </c>
      <c r="AK371" s="4" t="s">
        <v>6</v>
      </c>
      <c r="AL371" s="4" t="s">
        <v>6</v>
      </c>
      <c r="AM371" s="4" t="s">
        <v>6</v>
      </c>
      <c r="AN371" s="5" t="s">
        <v>6</v>
      </c>
    </row>
    <row r="372" spans="1:40" x14ac:dyDescent="0.2">
      <c r="A372" s="15">
        <v>2205</v>
      </c>
      <c r="B372" s="36" t="s">
        <v>6</v>
      </c>
      <c r="C372" s="36" t="s">
        <v>6</v>
      </c>
      <c r="D372" s="36" t="s">
        <v>6</v>
      </c>
      <c r="E372" s="36" t="s">
        <v>6</v>
      </c>
      <c r="F372" s="36" t="s">
        <v>6</v>
      </c>
      <c r="G372" s="36" t="s">
        <v>6</v>
      </c>
      <c r="H372" s="36" t="s">
        <v>6</v>
      </c>
      <c r="I372" s="36" t="s">
        <v>6</v>
      </c>
      <c r="J372" s="36" t="s">
        <v>6</v>
      </c>
      <c r="K372" s="36" t="s">
        <v>6</v>
      </c>
      <c r="L372" s="36" t="s">
        <v>6</v>
      </c>
      <c r="M372" s="36" t="s">
        <v>6</v>
      </c>
      <c r="N372" s="36" t="s">
        <v>6</v>
      </c>
      <c r="O372" s="36" t="s">
        <v>6</v>
      </c>
      <c r="P372" s="36" t="s">
        <v>6</v>
      </c>
      <c r="Q372" s="36" t="s">
        <v>6</v>
      </c>
      <c r="R372" s="36" t="s">
        <v>6</v>
      </c>
      <c r="S372" s="36" t="s">
        <v>6</v>
      </c>
      <c r="T372" s="36" t="s">
        <v>6</v>
      </c>
      <c r="U372" s="36" t="s">
        <v>6</v>
      </c>
      <c r="V372" s="4" t="s">
        <v>1</v>
      </c>
      <c r="W372" s="4">
        <v>1</v>
      </c>
      <c r="X372" s="4">
        <v>3</v>
      </c>
      <c r="Y372" s="4">
        <v>2</v>
      </c>
      <c r="Z372" s="5">
        <v>3</v>
      </c>
      <c r="AA372" s="4">
        <v>3</v>
      </c>
      <c r="AB372" s="4" t="s">
        <v>6</v>
      </c>
      <c r="AC372" s="4" t="s">
        <v>6</v>
      </c>
      <c r="AD372" s="4" t="s">
        <v>6</v>
      </c>
      <c r="AE372" s="5" t="s">
        <v>6</v>
      </c>
      <c r="AF372" s="4">
        <v>3</v>
      </c>
      <c r="AG372" s="5" t="s">
        <v>6</v>
      </c>
      <c r="AH372" s="4">
        <v>3</v>
      </c>
      <c r="AI372" s="4" t="s">
        <v>6</v>
      </c>
      <c r="AJ372" s="4" t="s">
        <v>6</v>
      </c>
      <c r="AK372" s="4" t="s">
        <v>6</v>
      </c>
      <c r="AL372" s="4" t="s">
        <v>6</v>
      </c>
      <c r="AM372" s="4" t="s">
        <v>6</v>
      </c>
      <c r="AN372" s="5" t="s">
        <v>6</v>
      </c>
    </row>
    <row r="373" spans="1:40" x14ac:dyDescent="0.2">
      <c r="A373" s="15">
        <v>2210</v>
      </c>
      <c r="B373" s="36" t="s">
        <v>6</v>
      </c>
      <c r="C373" s="36" t="s">
        <v>6</v>
      </c>
      <c r="D373" s="36" t="s">
        <v>6</v>
      </c>
      <c r="E373" s="36" t="s">
        <v>6</v>
      </c>
      <c r="F373" s="36" t="s">
        <v>6</v>
      </c>
      <c r="G373" s="36" t="s">
        <v>6</v>
      </c>
      <c r="H373" s="36" t="s">
        <v>6</v>
      </c>
      <c r="I373" s="36" t="s">
        <v>6</v>
      </c>
      <c r="J373" s="36" t="s">
        <v>6</v>
      </c>
      <c r="K373" s="36" t="s">
        <v>6</v>
      </c>
      <c r="L373" s="36" t="s">
        <v>6</v>
      </c>
      <c r="M373" s="36" t="s">
        <v>6</v>
      </c>
      <c r="N373" s="36" t="s">
        <v>6</v>
      </c>
      <c r="O373" s="36" t="s">
        <v>6</v>
      </c>
      <c r="P373" s="36" t="s">
        <v>6</v>
      </c>
      <c r="Q373" s="36" t="s">
        <v>6</v>
      </c>
      <c r="R373" s="36" t="s">
        <v>6</v>
      </c>
      <c r="S373" s="36" t="s">
        <v>6</v>
      </c>
      <c r="T373" s="36" t="s">
        <v>6</v>
      </c>
      <c r="U373" s="36" t="s">
        <v>6</v>
      </c>
      <c r="V373" s="4" t="s">
        <v>1</v>
      </c>
      <c r="W373" s="4">
        <v>1</v>
      </c>
      <c r="X373" s="4">
        <v>3</v>
      </c>
      <c r="Y373" s="4">
        <v>2</v>
      </c>
      <c r="Z373" s="5">
        <v>3</v>
      </c>
      <c r="AA373" s="4">
        <v>3</v>
      </c>
      <c r="AB373" s="4" t="s">
        <v>6</v>
      </c>
      <c r="AC373" s="4" t="s">
        <v>6</v>
      </c>
      <c r="AD373" s="4" t="s">
        <v>6</v>
      </c>
      <c r="AE373" s="5" t="s">
        <v>6</v>
      </c>
      <c r="AF373" s="4">
        <v>3</v>
      </c>
      <c r="AG373" s="5" t="s">
        <v>6</v>
      </c>
      <c r="AH373" s="4">
        <v>3</v>
      </c>
      <c r="AI373" s="4" t="s">
        <v>6</v>
      </c>
      <c r="AJ373" s="4" t="s">
        <v>6</v>
      </c>
      <c r="AK373" s="4" t="s">
        <v>6</v>
      </c>
      <c r="AL373" s="4" t="s">
        <v>6</v>
      </c>
      <c r="AM373" s="4" t="s">
        <v>6</v>
      </c>
      <c r="AN373" s="5" t="s">
        <v>6</v>
      </c>
    </row>
    <row r="374" spans="1:40" x14ac:dyDescent="0.2">
      <c r="A374" s="15">
        <v>2220</v>
      </c>
      <c r="B374" s="36" t="s">
        <v>6</v>
      </c>
      <c r="C374" s="36" t="s">
        <v>6</v>
      </c>
      <c r="D374" s="36" t="s">
        <v>6</v>
      </c>
      <c r="E374" s="36" t="s">
        <v>6</v>
      </c>
      <c r="F374" s="36" t="s">
        <v>6</v>
      </c>
      <c r="G374" s="36" t="s">
        <v>6</v>
      </c>
      <c r="H374" s="36" t="s">
        <v>6</v>
      </c>
      <c r="I374" s="36" t="s">
        <v>6</v>
      </c>
      <c r="J374" s="36" t="s">
        <v>6</v>
      </c>
      <c r="K374" s="36" t="s">
        <v>6</v>
      </c>
      <c r="L374" s="36" t="s">
        <v>6</v>
      </c>
      <c r="M374" s="36" t="s">
        <v>6</v>
      </c>
      <c r="N374" s="36" t="s">
        <v>6</v>
      </c>
      <c r="O374" s="36" t="s">
        <v>6</v>
      </c>
      <c r="P374" s="36" t="s">
        <v>6</v>
      </c>
      <c r="Q374" s="36" t="s">
        <v>6</v>
      </c>
      <c r="R374" s="36" t="s">
        <v>6</v>
      </c>
      <c r="S374" s="36" t="s">
        <v>6</v>
      </c>
      <c r="T374" s="36" t="s">
        <v>6</v>
      </c>
      <c r="U374" s="36" t="s">
        <v>6</v>
      </c>
      <c r="V374" s="4" t="s">
        <v>1</v>
      </c>
      <c r="W374" s="4">
        <v>1</v>
      </c>
      <c r="X374" s="4">
        <v>3</v>
      </c>
      <c r="Y374" s="4">
        <v>2</v>
      </c>
      <c r="Z374" s="5">
        <v>3</v>
      </c>
      <c r="AA374" s="4">
        <v>3</v>
      </c>
      <c r="AB374" s="4" t="s">
        <v>6</v>
      </c>
      <c r="AC374" s="4" t="s">
        <v>6</v>
      </c>
      <c r="AD374" s="4" t="s">
        <v>6</v>
      </c>
      <c r="AE374" s="5" t="s">
        <v>6</v>
      </c>
      <c r="AF374" s="4">
        <v>3</v>
      </c>
      <c r="AG374" s="5" t="s">
        <v>6</v>
      </c>
      <c r="AH374" s="4">
        <v>3</v>
      </c>
      <c r="AI374" s="4" t="s">
        <v>6</v>
      </c>
      <c r="AJ374" s="4" t="s">
        <v>6</v>
      </c>
      <c r="AK374" s="4" t="s">
        <v>6</v>
      </c>
      <c r="AL374" s="4" t="s">
        <v>6</v>
      </c>
      <c r="AM374" s="4" t="s">
        <v>6</v>
      </c>
      <c r="AN374" s="5" t="s">
        <v>6</v>
      </c>
    </row>
    <row r="375" spans="1:40" x14ac:dyDescent="0.2">
      <c r="A375" s="15">
        <v>2231</v>
      </c>
      <c r="B375" s="36" t="s">
        <v>6</v>
      </c>
      <c r="C375" s="36" t="s">
        <v>6</v>
      </c>
      <c r="D375" s="36" t="s">
        <v>6</v>
      </c>
      <c r="E375" s="36" t="s">
        <v>6</v>
      </c>
      <c r="F375" s="36" t="s">
        <v>6</v>
      </c>
      <c r="G375" s="36" t="s">
        <v>6</v>
      </c>
      <c r="H375" s="36" t="s">
        <v>6</v>
      </c>
      <c r="I375" s="36" t="s">
        <v>6</v>
      </c>
      <c r="J375" s="36" t="s">
        <v>6</v>
      </c>
      <c r="K375" s="36" t="s">
        <v>6</v>
      </c>
      <c r="L375" s="36" t="s">
        <v>6</v>
      </c>
      <c r="M375" s="36" t="s">
        <v>6</v>
      </c>
      <c r="N375" s="36" t="s">
        <v>6</v>
      </c>
      <c r="O375" s="36" t="s">
        <v>6</v>
      </c>
      <c r="P375" s="36" t="s">
        <v>6</v>
      </c>
      <c r="Q375" s="36" t="s">
        <v>6</v>
      </c>
      <c r="R375" s="36" t="s">
        <v>6</v>
      </c>
      <c r="S375" s="36" t="s">
        <v>6</v>
      </c>
      <c r="T375" s="36" t="s">
        <v>6</v>
      </c>
      <c r="U375" s="36" t="s">
        <v>6</v>
      </c>
      <c r="V375" s="4" t="s">
        <v>1</v>
      </c>
      <c r="W375" s="4">
        <v>1</v>
      </c>
      <c r="X375" s="4">
        <v>3</v>
      </c>
      <c r="Y375" s="4">
        <v>2</v>
      </c>
      <c r="Z375" s="5">
        <v>3</v>
      </c>
      <c r="AA375" s="4">
        <v>3</v>
      </c>
      <c r="AB375" s="4" t="s">
        <v>6</v>
      </c>
      <c r="AC375" s="4" t="s">
        <v>6</v>
      </c>
      <c r="AD375" s="4" t="s">
        <v>6</v>
      </c>
      <c r="AE375" s="5" t="s">
        <v>6</v>
      </c>
      <c r="AF375" s="4">
        <v>3</v>
      </c>
      <c r="AG375" s="5" t="s">
        <v>6</v>
      </c>
      <c r="AH375" s="4">
        <v>3</v>
      </c>
      <c r="AI375" s="4" t="s">
        <v>6</v>
      </c>
      <c r="AJ375" s="4" t="s">
        <v>6</v>
      </c>
      <c r="AK375" s="4" t="s">
        <v>6</v>
      </c>
      <c r="AL375" s="4" t="s">
        <v>6</v>
      </c>
      <c r="AM375" s="4" t="s">
        <v>6</v>
      </c>
      <c r="AN375" s="5" t="s">
        <v>6</v>
      </c>
    </row>
    <row r="376" spans="1:40" x14ac:dyDescent="0.2">
      <c r="A376" s="15">
        <v>2327</v>
      </c>
      <c r="B376" s="36" t="s">
        <v>6</v>
      </c>
      <c r="C376" s="36" t="s">
        <v>6</v>
      </c>
      <c r="D376" s="36" t="s">
        <v>6</v>
      </c>
      <c r="E376" s="36" t="s">
        <v>6</v>
      </c>
      <c r="F376" s="36" t="s">
        <v>6</v>
      </c>
      <c r="G376" s="36" t="s">
        <v>6</v>
      </c>
      <c r="H376" s="36" t="s">
        <v>6</v>
      </c>
      <c r="I376" s="36" t="s">
        <v>6</v>
      </c>
      <c r="J376" s="36" t="s">
        <v>6</v>
      </c>
      <c r="K376" s="36" t="s">
        <v>6</v>
      </c>
      <c r="L376" s="36" t="s">
        <v>6</v>
      </c>
      <c r="M376" s="36" t="s">
        <v>6</v>
      </c>
      <c r="N376" s="36" t="s">
        <v>6</v>
      </c>
      <c r="O376" s="36" t="s">
        <v>6</v>
      </c>
      <c r="P376" s="36" t="s">
        <v>6</v>
      </c>
      <c r="Q376" s="36" t="s">
        <v>6</v>
      </c>
      <c r="R376" s="36" t="s">
        <v>6</v>
      </c>
      <c r="S376" s="36" t="s">
        <v>6</v>
      </c>
      <c r="T376" s="36" t="s">
        <v>6</v>
      </c>
      <c r="U376" s="36" t="s">
        <v>6</v>
      </c>
      <c r="V376" s="4" t="s">
        <v>1</v>
      </c>
      <c r="W376" s="4">
        <v>1</v>
      </c>
      <c r="X376" s="4">
        <v>3</v>
      </c>
      <c r="Y376" s="4">
        <v>2</v>
      </c>
      <c r="Z376" s="5">
        <v>3</v>
      </c>
      <c r="AA376" s="4">
        <v>3</v>
      </c>
      <c r="AB376" s="4" t="s">
        <v>6</v>
      </c>
      <c r="AC376" s="4" t="s">
        <v>6</v>
      </c>
      <c r="AD376" s="4" t="s">
        <v>6</v>
      </c>
      <c r="AE376" s="5" t="s">
        <v>6</v>
      </c>
      <c r="AF376" s="4">
        <v>3</v>
      </c>
      <c r="AG376" s="5" t="s">
        <v>6</v>
      </c>
      <c r="AH376" s="4">
        <v>3</v>
      </c>
      <c r="AI376" s="4" t="s">
        <v>6</v>
      </c>
      <c r="AJ376" s="4" t="s">
        <v>6</v>
      </c>
      <c r="AK376" s="4" t="s">
        <v>6</v>
      </c>
      <c r="AL376" s="4" t="s">
        <v>6</v>
      </c>
      <c r="AM376" s="4" t="s">
        <v>6</v>
      </c>
      <c r="AN376" s="5" t="s">
        <v>6</v>
      </c>
    </row>
    <row r="377" spans="1:40" x14ac:dyDescent="0.2">
      <c r="A377" s="15">
        <v>2543</v>
      </c>
      <c r="B377" s="36" t="s">
        <v>6</v>
      </c>
      <c r="C377" s="36" t="s">
        <v>6</v>
      </c>
      <c r="D377" s="36" t="s">
        <v>6</v>
      </c>
      <c r="E377" s="36" t="s">
        <v>6</v>
      </c>
      <c r="F377" s="36" t="s">
        <v>6</v>
      </c>
      <c r="G377" s="36" t="s">
        <v>6</v>
      </c>
      <c r="H377" s="36" t="s">
        <v>6</v>
      </c>
      <c r="I377" s="36" t="s">
        <v>6</v>
      </c>
      <c r="J377" s="36" t="s">
        <v>6</v>
      </c>
      <c r="K377" s="36" t="s">
        <v>6</v>
      </c>
      <c r="L377" s="36" t="s">
        <v>6</v>
      </c>
      <c r="M377" s="36" t="s">
        <v>6</v>
      </c>
      <c r="N377" s="36" t="s">
        <v>6</v>
      </c>
      <c r="O377" s="36" t="s">
        <v>6</v>
      </c>
      <c r="P377" s="36" t="s">
        <v>6</v>
      </c>
      <c r="Q377" s="36" t="s">
        <v>6</v>
      </c>
      <c r="R377" s="36" t="s">
        <v>6</v>
      </c>
      <c r="S377" s="36" t="s">
        <v>6</v>
      </c>
      <c r="T377" s="36" t="s">
        <v>6</v>
      </c>
      <c r="U377" s="36" t="s">
        <v>6</v>
      </c>
      <c r="V377" s="4" t="s">
        <v>1</v>
      </c>
      <c r="W377" s="4">
        <v>1</v>
      </c>
      <c r="X377" s="4">
        <v>3</v>
      </c>
      <c r="Y377" s="4">
        <v>2</v>
      </c>
      <c r="Z377" s="5">
        <v>3</v>
      </c>
      <c r="AA377" s="4">
        <v>3</v>
      </c>
      <c r="AB377" s="4" t="s">
        <v>6</v>
      </c>
      <c r="AC377" s="4" t="s">
        <v>6</v>
      </c>
      <c r="AD377" s="4" t="s">
        <v>6</v>
      </c>
      <c r="AE377" s="5" t="s">
        <v>6</v>
      </c>
      <c r="AF377" s="4">
        <v>3</v>
      </c>
      <c r="AG377" s="5" t="s">
        <v>6</v>
      </c>
      <c r="AH377" s="4">
        <v>3</v>
      </c>
      <c r="AI377" s="4" t="s">
        <v>6</v>
      </c>
      <c r="AJ377" s="4" t="s">
        <v>6</v>
      </c>
      <c r="AK377" s="4" t="s">
        <v>6</v>
      </c>
      <c r="AL377" s="4" t="s">
        <v>6</v>
      </c>
      <c r="AM377" s="4" t="s">
        <v>6</v>
      </c>
      <c r="AN377" s="5" t="s">
        <v>6</v>
      </c>
    </row>
    <row r="378" spans="1:40" x14ac:dyDescent="0.2">
      <c r="A378" s="15">
        <v>2740</v>
      </c>
      <c r="B378" s="36" t="s">
        <v>6</v>
      </c>
      <c r="C378" s="36" t="s">
        <v>6</v>
      </c>
      <c r="D378" s="36" t="s">
        <v>6</v>
      </c>
      <c r="E378" s="36" t="s">
        <v>6</v>
      </c>
      <c r="F378" s="36" t="s">
        <v>6</v>
      </c>
      <c r="G378" s="36" t="s">
        <v>6</v>
      </c>
      <c r="H378" s="36" t="s">
        <v>6</v>
      </c>
      <c r="I378" s="36" t="s">
        <v>6</v>
      </c>
      <c r="J378" s="36" t="s">
        <v>6</v>
      </c>
      <c r="K378" s="36" t="s">
        <v>6</v>
      </c>
      <c r="L378" s="36" t="s">
        <v>6</v>
      </c>
      <c r="M378" s="36" t="s">
        <v>6</v>
      </c>
      <c r="N378" s="36" t="s">
        <v>6</v>
      </c>
      <c r="O378" s="36" t="s">
        <v>6</v>
      </c>
      <c r="P378" s="36" t="s">
        <v>6</v>
      </c>
      <c r="Q378" s="36" t="s">
        <v>6</v>
      </c>
      <c r="R378" s="36" t="s">
        <v>6</v>
      </c>
      <c r="S378" s="36" t="s">
        <v>6</v>
      </c>
      <c r="T378" s="36" t="s">
        <v>6</v>
      </c>
      <c r="U378" s="36" t="s">
        <v>6</v>
      </c>
      <c r="V378" s="4" t="s">
        <v>1</v>
      </c>
      <c r="W378" s="4">
        <v>1</v>
      </c>
      <c r="X378" s="4">
        <v>3</v>
      </c>
      <c r="Y378" s="4">
        <v>2</v>
      </c>
      <c r="Z378" s="5">
        <v>3</v>
      </c>
      <c r="AA378" s="4">
        <v>3</v>
      </c>
      <c r="AB378" s="4" t="s">
        <v>6</v>
      </c>
      <c r="AC378" s="4" t="s">
        <v>6</v>
      </c>
      <c r="AD378" s="4" t="s">
        <v>6</v>
      </c>
      <c r="AE378" s="5" t="s">
        <v>6</v>
      </c>
      <c r="AF378" s="4">
        <v>3</v>
      </c>
      <c r="AG378" s="5" t="s">
        <v>6</v>
      </c>
      <c r="AH378" s="4">
        <v>3</v>
      </c>
      <c r="AI378" s="4" t="s">
        <v>6</v>
      </c>
      <c r="AJ378" s="4" t="s">
        <v>6</v>
      </c>
      <c r="AK378" s="4" t="s">
        <v>6</v>
      </c>
      <c r="AL378" s="4" t="s">
        <v>6</v>
      </c>
      <c r="AM378" s="4" t="s">
        <v>6</v>
      </c>
      <c r="AN378" s="5" t="s">
        <v>6</v>
      </c>
    </row>
    <row r="379" spans="1:40" x14ac:dyDescent="0.2">
      <c r="A379" s="15">
        <v>2743</v>
      </c>
      <c r="B379" s="36" t="s">
        <v>6</v>
      </c>
      <c r="C379" s="36" t="s">
        <v>6</v>
      </c>
      <c r="D379" s="36" t="s">
        <v>6</v>
      </c>
      <c r="E379" s="36" t="s">
        <v>6</v>
      </c>
      <c r="F379" s="36" t="s">
        <v>6</v>
      </c>
      <c r="G379" s="36" t="s">
        <v>6</v>
      </c>
      <c r="H379" s="36" t="s">
        <v>6</v>
      </c>
      <c r="I379" s="36" t="s">
        <v>6</v>
      </c>
      <c r="J379" s="36" t="s">
        <v>6</v>
      </c>
      <c r="K379" s="36" t="s">
        <v>6</v>
      </c>
      <c r="L379" s="36" t="s">
        <v>6</v>
      </c>
      <c r="M379" s="36" t="s">
        <v>6</v>
      </c>
      <c r="N379" s="36" t="s">
        <v>6</v>
      </c>
      <c r="O379" s="36" t="s">
        <v>6</v>
      </c>
      <c r="P379" s="36" t="s">
        <v>6</v>
      </c>
      <c r="Q379" s="36" t="s">
        <v>6</v>
      </c>
      <c r="R379" s="36" t="s">
        <v>6</v>
      </c>
      <c r="S379" s="36" t="s">
        <v>6</v>
      </c>
      <c r="T379" s="36" t="s">
        <v>6</v>
      </c>
      <c r="U379" s="36" t="s">
        <v>6</v>
      </c>
      <c r="V379" s="4" t="s">
        <v>1</v>
      </c>
      <c r="W379" s="4">
        <v>1</v>
      </c>
      <c r="X379" s="4">
        <v>3</v>
      </c>
      <c r="Y379" s="4">
        <v>2</v>
      </c>
      <c r="Z379" s="5">
        <v>3</v>
      </c>
      <c r="AA379" s="4">
        <v>3</v>
      </c>
      <c r="AB379" s="4" t="s">
        <v>6</v>
      </c>
      <c r="AC379" s="4" t="s">
        <v>6</v>
      </c>
      <c r="AD379" s="4" t="s">
        <v>6</v>
      </c>
      <c r="AE379" s="5" t="s">
        <v>6</v>
      </c>
      <c r="AF379" s="4">
        <v>3</v>
      </c>
      <c r="AG379" s="5" t="s">
        <v>6</v>
      </c>
      <c r="AH379" s="4">
        <v>3</v>
      </c>
      <c r="AI379" s="4" t="s">
        <v>6</v>
      </c>
      <c r="AJ379" s="4" t="s">
        <v>6</v>
      </c>
      <c r="AK379" s="4" t="s">
        <v>6</v>
      </c>
      <c r="AL379" s="4" t="s">
        <v>6</v>
      </c>
      <c r="AM379" s="4" t="s">
        <v>6</v>
      </c>
      <c r="AN379" s="5" t="s">
        <v>6</v>
      </c>
    </row>
    <row r="380" spans="1:40" x14ac:dyDescent="0.2">
      <c r="A380" s="15">
        <v>2813</v>
      </c>
      <c r="B380" s="36" t="s">
        <v>6</v>
      </c>
      <c r="C380" s="36" t="s">
        <v>6</v>
      </c>
      <c r="D380" s="36" t="s">
        <v>6</v>
      </c>
      <c r="E380" s="36" t="s">
        <v>6</v>
      </c>
      <c r="F380" s="36" t="s">
        <v>6</v>
      </c>
      <c r="G380" s="36" t="s">
        <v>6</v>
      </c>
      <c r="H380" s="36" t="s">
        <v>6</v>
      </c>
      <c r="I380" s="36" t="s">
        <v>6</v>
      </c>
      <c r="J380" s="36" t="s">
        <v>6</v>
      </c>
      <c r="K380" s="36" t="s">
        <v>6</v>
      </c>
      <c r="L380" s="36" t="s">
        <v>6</v>
      </c>
      <c r="M380" s="36" t="s">
        <v>6</v>
      </c>
      <c r="N380" s="36" t="s">
        <v>6</v>
      </c>
      <c r="O380" s="36" t="s">
        <v>6</v>
      </c>
      <c r="P380" s="36" t="s">
        <v>6</v>
      </c>
      <c r="Q380" s="36" t="s">
        <v>6</v>
      </c>
      <c r="R380" s="36" t="s">
        <v>6</v>
      </c>
      <c r="S380" s="36" t="s">
        <v>6</v>
      </c>
      <c r="T380" s="36" t="s">
        <v>6</v>
      </c>
      <c r="U380" s="36" t="s">
        <v>6</v>
      </c>
      <c r="V380" s="4" t="s">
        <v>1</v>
      </c>
      <c r="W380" s="4">
        <v>1</v>
      </c>
      <c r="X380" s="4">
        <v>3</v>
      </c>
      <c r="Y380" s="4">
        <v>2</v>
      </c>
      <c r="Z380" s="5">
        <v>3</v>
      </c>
      <c r="AA380" s="4">
        <v>3</v>
      </c>
      <c r="AB380" s="4" t="s">
        <v>6</v>
      </c>
      <c r="AC380" s="4" t="s">
        <v>6</v>
      </c>
      <c r="AD380" s="4" t="s">
        <v>6</v>
      </c>
      <c r="AE380" s="5" t="s">
        <v>6</v>
      </c>
      <c r="AF380" s="4">
        <v>3</v>
      </c>
      <c r="AG380" s="5" t="s">
        <v>6</v>
      </c>
      <c r="AH380" s="4">
        <v>3</v>
      </c>
      <c r="AI380" s="4" t="s">
        <v>6</v>
      </c>
      <c r="AJ380" s="4" t="s">
        <v>6</v>
      </c>
      <c r="AK380" s="4" t="s">
        <v>6</v>
      </c>
      <c r="AL380" s="4" t="s">
        <v>6</v>
      </c>
      <c r="AM380" s="4" t="s">
        <v>6</v>
      </c>
      <c r="AN380" s="5" t="s">
        <v>6</v>
      </c>
    </row>
    <row r="381" spans="1:40" x14ac:dyDescent="0.2">
      <c r="A381" s="15">
        <v>2819</v>
      </c>
      <c r="B381" s="36" t="s">
        <v>6</v>
      </c>
      <c r="C381" s="36" t="s">
        <v>6</v>
      </c>
      <c r="D381" s="36" t="s">
        <v>6</v>
      </c>
      <c r="E381" s="36" t="s">
        <v>6</v>
      </c>
      <c r="F381" s="36" t="s">
        <v>6</v>
      </c>
      <c r="G381" s="36" t="s">
        <v>6</v>
      </c>
      <c r="H381" s="36" t="s">
        <v>6</v>
      </c>
      <c r="I381" s="36" t="s">
        <v>6</v>
      </c>
      <c r="J381" s="36" t="s">
        <v>6</v>
      </c>
      <c r="K381" s="36" t="s">
        <v>6</v>
      </c>
      <c r="L381" s="36" t="s">
        <v>6</v>
      </c>
      <c r="M381" s="36" t="s">
        <v>6</v>
      </c>
      <c r="N381" s="36" t="s">
        <v>6</v>
      </c>
      <c r="O381" s="36" t="s">
        <v>6</v>
      </c>
      <c r="P381" s="36" t="s">
        <v>6</v>
      </c>
      <c r="Q381" s="36" t="s">
        <v>6</v>
      </c>
      <c r="R381" s="36" t="s">
        <v>6</v>
      </c>
      <c r="S381" s="36" t="s">
        <v>6</v>
      </c>
      <c r="T381" s="36" t="s">
        <v>6</v>
      </c>
      <c r="U381" s="36" t="s">
        <v>6</v>
      </c>
      <c r="V381" s="4" t="s">
        <v>1</v>
      </c>
      <c r="W381" s="4">
        <v>1</v>
      </c>
      <c r="X381" s="4">
        <v>3</v>
      </c>
      <c r="Y381" s="4">
        <v>2</v>
      </c>
      <c r="Z381" s="5">
        <v>3</v>
      </c>
      <c r="AA381" s="4">
        <v>3</v>
      </c>
      <c r="AB381" s="4" t="s">
        <v>6</v>
      </c>
      <c r="AC381" s="4" t="s">
        <v>6</v>
      </c>
      <c r="AD381" s="4" t="s">
        <v>6</v>
      </c>
      <c r="AE381" s="5" t="s">
        <v>6</v>
      </c>
      <c r="AF381" s="4">
        <v>3</v>
      </c>
      <c r="AG381" s="5" t="s">
        <v>6</v>
      </c>
      <c r="AH381" s="4">
        <v>3</v>
      </c>
      <c r="AI381" s="4" t="s">
        <v>6</v>
      </c>
      <c r="AJ381" s="4" t="s">
        <v>6</v>
      </c>
      <c r="AK381" s="4" t="s">
        <v>6</v>
      </c>
      <c r="AL381" s="4" t="s">
        <v>6</v>
      </c>
      <c r="AM381" s="4" t="s">
        <v>6</v>
      </c>
      <c r="AN381" s="5" t="s">
        <v>6</v>
      </c>
    </row>
    <row r="382" spans="1:40" x14ac:dyDescent="0.2">
      <c r="A382" s="15">
        <v>2852</v>
      </c>
      <c r="B382" s="36" t="s">
        <v>6</v>
      </c>
      <c r="C382" s="36" t="s">
        <v>6</v>
      </c>
      <c r="D382" s="36" t="s">
        <v>6</v>
      </c>
      <c r="E382" s="36" t="s">
        <v>6</v>
      </c>
      <c r="F382" s="36" t="s">
        <v>6</v>
      </c>
      <c r="G382" s="36" t="s">
        <v>6</v>
      </c>
      <c r="H382" s="36" t="s">
        <v>6</v>
      </c>
      <c r="I382" s="36" t="s">
        <v>6</v>
      </c>
      <c r="J382" s="36" t="s">
        <v>6</v>
      </c>
      <c r="K382" s="36" t="s">
        <v>6</v>
      </c>
      <c r="L382" s="36" t="s">
        <v>6</v>
      </c>
      <c r="M382" s="36" t="s">
        <v>6</v>
      </c>
      <c r="N382" s="36" t="s">
        <v>6</v>
      </c>
      <c r="O382" s="36" t="s">
        <v>6</v>
      </c>
      <c r="P382" s="36" t="s">
        <v>6</v>
      </c>
      <c r="Q382" s="36" t="s">
        <v>6</v>
      </c>
      <c r="R382" s="36" t="s">
        <v>6</v>
      </c>
      <c r="S382" s="36" t="s">
        <v>6</v>
      </c>
      <c r="T382" s="36" t="s">
        <v>6</v>
      </c>
      <c r="U382" s="36" t="s">
        <v>6</v>
      </c>
      <c r="V382" s="4" t="s">
        <v>1</v>
      </c>
      <c r="W382" s="4">
        <v>1</v>
      </c>
      <c r="X382" s="4">
        <v>3</v>
      </c>
      <c r="Y382" s="4">
        <v>2</v>
      </c>
      <c r="Z382" s="5">
        <v>3</v>
      </c>
      <c r="AA382" s="4">
        <v>3</v>
      </c>
      <c r="AB382" s="4" t="s">
        <v>6</v>
      </c>
      <c r="AC382" s="4" t="s">
        <v>6</v>
      </c>
      <c r="AD382" s="4" t="s">
        <v>6</v>
      </c>
      <c r="AE382" s="5" t="s">
        <v>6</v>
      </c>
      <c r="AF382" s="4">
        <v>3</v>
      </c>
      <c r="AG382" s="5" t="s">
        <v>6</v>
      </c>
      <c r="AH382" s="4">
        <v>3</v>
      </c>
      <c r="AI382" s="4" t="s">
        <v>6</v>
      </c>
      <c r="AJ382" s="4" t="s">
        <v>6</v>
      </c>
      <c r="AK382" s="4" t="s">
        <v>6</v>
      </c>
      <c r="AL382" s="4" t="s">
        <v>6</v>
      </c>
      <c r="AM382" s="4" t="s">
        <v>6</v>
      </c>
      <c r="AN382" s="5" t="s">
        <v>6</v>
      </c>
    </row>
    <row r="383" spans="1:40" x14ac:dyDescent="0.2">
      <c r="A383" s="16">
        <v>2872</v>
      </c>
      <c r="B383" s="36" t="s">
        <v>6</v>
      </c>
      <c r="C383" s="36" t="s">
        <v>6</v>
      </c>
      <c r="D383" s="36" t="s">
        <v>6</v>
      </c>
      <c r="E383" s="36" t="s">
        <v>6</v>
      </c>
      <c r="F383" s="36" t="s">
        <v>6</v>
      </c>
      <c r="G383" s="36" t="s">
        <v>6</v>
      </c>
      <c r="H383" s="36" t="s">
        <v>6</v>
      </c>
      <c r="I383" s="36" t="s">
        <v>6</v>
      </c>
      <c r="J383" s="36" t="s">
        <v>6</v>
      </c>
      <c r="K383" s="36" t="s">
        <v>6</v>
      </c>
      <c r="L383" s="36" t="s">
        <v>6</v>
      </c>
      <c r="M383" s="36" t="s">
        <v>6</v>
      </c>
      <c r="N383" s="36" t="s">
        <v>6</v>
      </c>
      <c r="O383" s="36" t="s">
        <v>6</v>
      </c>
      <c r="P383" s="36" t="s">
        <v>6</v>
      </c>
      <c r="Q383" s="36" t="s">
        <v>6</v>
      </c>
      <c r="R383" s="36" t="s">
        <v>6</v>
      </c>
      <c r="S383" s="36" t="s">
        <v>6</v>
      </c>
      <c r="T383" s="36" t="s">
        <v>6</v>
      </c>
      <c r="U383" s="36" t="s">
        <v>6</v>
      </c>
      <c r="V383" s="4" t="s">
        <v>1</v>
      </c>
      <c r="W383" s="4">
        <v>1</v>
      </c>
      <c r="X383" s="4">
        <v>3</v>
      </c>
      <c r="Y383" s="4">
        <v>2</v>
      </c>
      <c r="Z383" s="5">
        <v>3</v>
      </c>
      <c r="AA383" s="4">
        <v>3</v>
      </c>
      <c r="AB383" s="4" t="s">
        <v>6</v>
      </c>
      <c r="AC383" s="4" t="s">
        <v>6</v>
      </c>
      <c r="AD383" s="4" t="s">
        <v>6</v>
      </c>
      <c r="AE383" s="5" t="s">
        <v>6</v>
      </c>
      <c r="AF383" s="4">
        <v>3</v>
      </c>
      <c r="AG383" s="5" t="s">
        <v>6</v>
      </c>
      <c r="AH383" s="4">
        <v>3</v>
      </c>
      <c r="AI383" s="4" t="s">
        <v>6</v>
      </c>
      <c r="AJ383" s="4" t="s">
        <v>6</v>
      </c>
      <c r="AK383" s="4" t="s">
        <v>6</v>
      </c>
      <c r="AL383" s="4" t="s">
        <v>6</v>
      </c>
      <c r="AM383" s="4" t="s">
        <v>6</v>
      </c>
      <c r="AN383" s="5" t="s">
        <v>6</v>
      </c>
    </row>
    <row r="384" spans="1:40" x14ac:dyDescent="0.2">
      <c r="A384" s="15">
        <v>2889</v>
      </c>
      <c r="B384" s="36" t="s">
        <v>6</v>
      </c>
      <c r="C384" s="36" t="s">
        <v>6</v>
      </c>
      <c r="D384" s="36" t="s">
        <v>6</v>
      </c>
      <c r="E384" s="36" t="s">
        <v>6</v>
      </c>
      <c r="F384" s="36" t="s">
        <v>6</v>
      </c>
      <c r="G384" s="36" t="s">
        <v>6</v>
      </c>
      <c r="H384" s="36" t="s">
        <v>6</v>
      </c>
      <c r="I384" s="36" t="s">
        <v>6</v>
      </c>
      <c r="J384" s="36" t="s">
        <v>6</v>
      </c>
      <c r="K384" s="36" t="s">
        <v>6</v>
      </c>
      <c r="L384" s="36" t="s">
        <v>6</v>
      </c>
      <c r="M384" s="36" t="s">
        <v>6</v>
      </c>
      <c r="N384" s="36" t="s">
        <v>6</v>
      </c>
      <c r="O384" s="36" t="s">
        <v>6</v>
      </c>
      <c r="P384" s="36" t="s">
        <v>6</v>
      </c>
      <c r="Q384" s="36" t="s">
        <v>6</v>
      </c>
      <c r="R384" s="36" t="s">
        <v>6</v>
      </c>
      <c r="S384" s="36" t="s">
        <v>6</v>
      </c>
      <c r="T384" s="36" t="s">
        <v>6</v>
      </c>
      <c r="U384" s="36" t="s">
        <v>6</v>
      </c>
      <c r="V384" s="4" t="s">
        <v>1</v>
      </c>
      <c r="W384" s="4">
        <v>1</v>
      </c>
      <c r="X384" s="4">
        <v>3</v>
      </c>
      <c r="Y384" s="4">
        <v>2</v>
      </c>
      <c r="Z384" s="5">
        <v>3</v>
      </c>
      <c r="AA384" s="4">
        <v>3</v>
      </c>
      <c r="AB384" s="4" t="s">
        <v>6</v>
      </c>
      <c r="AC384" s="4" t="s">
        <v>6</v>
      </c>
      <c r="AD384" s="4" t="s">
        <v>6</v>
      </c>
      <c r="AE384" s="5" t="s">
        <v>6</v>
      </c>
      <c r="AF384" s="4">
        <v>3</v>
      </c>
      <c r="AG384" s="5" t="s">
        <v>6</v>
      </c>
      <c r="AH384" s="4">
        <v>3</v>
      </c>
      <c r="AI384" s="4" t="s">
        <v>6</v>
      </c>
      <c r="AJ384" s="4" t="s">
        <v>6</v>
      </c>
      <c r="AK384" s="4" t="s">
        <v>6</v>
      </c>
      <c r="AL384" s="4" t="s">
        <v>6</v>
      </c>
      <c r="AM384" s="4" t="s">
        <v>6</v>
      </c>
      <c r="AN384" s="5" t="s">
        <v>6</v>
      </c>
    </row>
    <row r="385" spans="1:40" x14ac:dyDescent="0.2">
      <c r="A385" s="15">
        <v>2893</v>
      </c>
      <c r="B385" s="36" t="s">
        <v>6</v>
      </c>
      <c r="C385" s="36" t="s">
        <v>6</v>
      </c>
      <c r="D385" s="36" t="s">
        <v>6</v>
      </c>
      <c r="E385" s="36" t="s">
        <v>6</v>
      </c>
      <c r="F385" s="36" t="s">
        <v>6</v>
      </c>
      <c r="G385" s="36" t="s">
        <v>6</v>
      </c>
      <c r="H385" s="36" t="s">
        <v>6</v>
      </c>
      <c r="I385" s="36" t="s">
        <v>6</v>
      </c>
      <c r="J385" s="36" t="s">
        <v>6</v>
      </c>
      <c r="K385" s="36" t="s">
        <v>6</v>
      </c>
      <c r="L385" s="36" t="s">
        <v>6</v>
      </c>
      <c r="M385" s="36" t="s">
        <v>6</v>
      </c>
      <c r="N385" s="36" t="s">
        <v>6</v>
      </c>
      <c r="O385" s="36" t="s">
        <v>6</v>
      </c>
      <c r="P385" s="36" t="s">
        <v>6</v>
      </c>
      <c r="Q385" s="36" t="s">
        <v>6</v>
      </c>
      <c r="R385" s="36" t="s">
        <v>6</v>
      </c>
      <c r="S385" s="36" t="s">
        <v>6</v>
      </c>
      <c r="T385" s="36" t="s">
        <v>6</v>
      </c>
      <c r="U385" s="36" t="s">
        <v>6</v>
      </c>
      <c r="V385" s="4" t="s">
        <v>1</v>
      </c>
      <c r="W385" s="4">
        <v>1</v>
      </c>
      <c r="X385" s="4">
        <v>3</v>
      </c>
      <c r="Y385" s="4">
        <v>2</v>
      </c>
      <c r="Z385" s="5">
        <v>3</v>
      </c>
      <c r="AA385" s="4">
        <v>3</v>
      </c>
      <c r="AB385" s="4" t="s">
        <v>6</v>
      </c>
      <c r="AC385" s="4" t="s">
        <v>6</v>
      </c>
      <c r="AD385" s="4" t="s">
        <v>6</v>
      </c>
      <c r="AE385" s="5" t="s">
        <v>6</v>
      </c>
      <c r="AF385" s="4">
        <v>3</v>
      </c>
      <c r="AG385" s="5" t="s">
        <v>6</v>
      </c>
      <c r="AH385" s="4">
        <v>3</v>
      </c>
      <c r="AI385" s="4" t="s">
        <v>6</v>
      </c>
      <c r="AJ385" s="4" t="s">
        <v>6</v>
      </c>
      <c r="AK385" s="4" t="s">
        <v>6</v>
      </c>
      <c r="AL385" s="4" t="s">
        <v>6</v>
      </c>
      <c r="AM385" s="4" t="s">
        <v>6</v>
      </c>
      <c r="AN385" s="5" t="s">
        <v>6</v>
      </c>
    </row>
    <row r="386" spans="1:40" x14ac:dyDescent="0.2">
      <c r="A386" s="16">
        <v>2909</v>
      </c>
      <c r="B386" s="36" t="s">
        <v>6</v>
      </c>
      <c r="C386" s="36" t="s">
        <v>6</v>
      </c>
      <c r="D386" s="36" t="s">
        <v>6</v>
      </c>
      <c r="E386" s="36" t="s">
        <v>6</v>
      </c>
      <c r="F386" s="36" t="s">
        <v>6</v>
      </c>
      <c r="G386" s="36" t="s">
        <v>6</v>
      </c>
      <c r="H386" s="36" t="s">
        <v>6</v>
      </c>
      <c r="I386" s="36" t="s">
        <v>6</v>
      </c>
      <c r="J386" s="36" t="s">
        <v>6</v>
      </c>
      <c r="K386" s="36" t="s">
        <v>6</v>
      </c>
      <c r="L386" s="36" t="s">
        <v>6</v>
      </c>
      <c r="M386" s="36" t="s">
        <v>6</v>
      </c>
      <c r="N386" s="36" t="s">
        <v>6</v>
      </c>
      <c r="O386" s="36" t="s">
        <v>6</v>
      </c>
      <c r="P386" s="36" t="s">
        <v>6</v>
      </c>
      <c r="Q386" s="36" t="s">
        <v>6</v>
      </c>
      <c r="R386" s="36" t="s">
        <v>6</v>
      </c>
      <c r="S386" s="36" t="s">
        <v>6</v>
      </c>
      <c r="T386" s="36" t="s">
        <v>6</v>
      </c>
      <c r="U386" s="36" t="s">
        <v>6</v>
      </c>
      <c r="V386" s="4" t="s">
        <v>1</v>
      </c>
      <c r="W386" s="4">
        <v>1</v>
      </c>
      <c r="X386" s="4">
        <v>3</v>
      </c>
      <c r="Y386" s="4">
        <v>2</v>
      </c>
      <c r="Z386" s="5">
        <v>3</v>
      </c>
      <c r="AA386" s="4">
        <v>3</v>
      </c>
      <c r="AB386" s="4" t="s">
        <v>6</v>
      </c>
      <c r="AC386" s="4" t="s">
        <v>6</v>
      </c>
      <c r="AD386" s="4" t="s">
        <v>6</v>
      </c>
      <c r="AE386" s="5" t="s">
        <v>6</v>
      </c>
      <c r="AF386" s="4">
        <v>3</v>
      </c>
      <c r="AG386" s="5" t="s">
        <v>6</v>
      </c>
      <c r="AH386" s="4">
        <v>3</v>
      </c>
      <c r="AI386" s="4" t="s">
        <v>6</v>
      </c>
      <c r="AJ386" s="4" t="s">
        <v>6</v>
      </c>
      <c r="AK386" s="4" t="s">
        <v>6</v>
      </c>
      <c r="AL386" s="4" t="s">
        <v>6</v>
      </c>
      <c r="AM386" s="4" t="s">
        <v>6</v>
      </c>
      <c r="AN386" s="5" t="s">
        <v>6</v>
      </c>
    </row>
    <row r="387" spans="1:40" x14ac:dyDescent="0.2">
      <c r="A387" s="15">
        <v>2939</v>
      </c>
      <c r="B387" s="36" t="s">
        <v>6</v>
      </c>
      <c r="C387" s="36" t="s">
        <v>6</v>
      </c>
      <c r="D387" s="36" t="s">
        <v>6</v>
      </c>
      <c r="E387" s="36" t="s">
        <v>6</v>
      </c>
      <c r="F387" s="36" t="s">
        <v>6</v>
      </c>
      <c r="G387" s="36" t="s">
        <v>6</v>
      </c>
      <c r="H387" s="36" t="s">
        <v>6</v>
      </c>
      <c r="I387" s="36" t="s">
        <v>6</v>
      </c>
      <c r="J387" s="36" t="s">
        <v>6</v>
      </c>
      <c r="K387" s="36" t="s">
        <v>6</v>
      </c>
      <c r="L387" s="36" t="s">
        <v>6</v>
      </c>
      <c r="M387" s="36" t="s">
        <v>6</v>
      </c>
      <c r="N387" s="36" t="s">
        <v>6</v>
      </c>
      <c r="O387" s="36" t="s">
        <v>6</v>
      </c>
      <c r="P387" s="36" t="s">
        <v>6</v>
      </c>
      <c r="Q387" s="36" t="s">
        <v>6</v>
      </c>
      <c r="R387" s="36" t="s">
        <v>6</v>
      </c>
      <c r="S387" s="36" t="s">
        <v>6</v>
      </c>
      <c r="T387" s="36" t="s">
        <v>6</v>
      </c>
      <c r="U387" s="36" t="s">
        <v>6</v>
      </c>
      <c r="V387" s="4" t="s">
        <v>1</v>
      </c>
      <c r="W387" s="4">
        <v>1</v>
      </c>
      <c r="X387" s="4">
        <v>3</v>
      </c>
      <c r="Y387" s="4">
        <v>2</v>
      </c>
      <c r="Z387" s="5">
        <v>3</v>
      </c>
      <c r="AA387" s="4">
        <v>3</v>
      </c>
      <c r="AB387" s="4" t="s">
        <v>6</v>
      </c>
      <c r="AC387" s="4" t="s">
        <v>6</v>
      </c>
      <c r="AD387" s="4" t="s">
        <v>6</v>
      </c>
      <c r="AE387" s="5" t="s">
        <v>6</v>
      </c>
      <c r="AF387" s="4">
        <v>3</v>
      </c>
      <c r="AG387" s="5" t="s">
        <v>6</v>
      </c>
      <c r="AH387" s="4">
        <v>3</v>
      </c>
      <c r="AI387" s="4" t="s">
        <v>6</v>
      </c>
      <c r="AJ387" s="4" t="s">
        <v>6</v>
      </c>
      <c r="AK387" s="4" t="s">
        <v>6</v>
      </c>
      <c r="AL387" s="4" t="s">
        <v>6</v>
      </c>
      <c r="AM387" s="4" t="s">
        <v>6</v>
      </c>
      <c r="AN387" s="5" t="s">
        <v>6</v>
      </c>
    </row>
    <row r="388" spans="1:40" x14ac:dyDescent="0.2">
      <c r="A388" s="15">
        <v>2974</v>
      </c>
      <c r="B388" s="36" t="s">
        <v>6</v>
      </c>
      <c r="C388" s="36" t="s">
        <v>6</v>
      </c>
      <c r="D388" s="36" t="s">
        <v>6</v>
      </c>
      <c r="E388" s="36" t="s">
        <v>6</v>
      </c>
      <c r="F388" s="36" t="s">
        <v>6</v>
      </c>
      <c r="G388" s="36" t="s">
        <v>6</v>
      </c>
      <c r="H388" s="36" t="s">
        <v>6</v>
      </c>
      <c r="I388" s="36" t="s">
        <v>6</v>
      </c>
      <c r="J388" s="36" t="s">
        <v>6</v>
      </c>
      <c r="K388" s="36" t="s">
        <v>6</v>
      </c>
      <c r="L388" s="36" t="s">
        <v>6</v>
      </c>
      <c r="M388" s="36" t="s">
        <v>6</v>
      </c>
      <c r="N388" s="36" t="s">
        <v>6</v>
      </c>
      <c r="O388" s="36" t="s">
        <v>6</v>
      </c>
      <c r="P388" s="36" t="s">
        <v>6</v>
      </c>
      <c r="Q388" s="36" t="s">
        <v>6</v>
      </c>
      <c r="R388" s="36" t="s">
        <v>6</v>
      </c>
      <c r="S388" s="36" t="s">
        <v>6</v>
      </c>
      <c r="T388" s="36" t="s">
        <v>6</v>
      </c>
      <c r="U388" s="36" t="s">
        <v>6</v>
      </c>
      <c r="V388" s="4" t="s">
        <v>1</v>
      </c>
      <c r="W388" s="4">
        <v>1</v>
      </c>
      <c r="X388" s="4">
        <v>3</v>
      </c>
      <c r="Y388" s="4">
        <v>2</v>
      </c>
      <c r="Z388" s="5">
        <v>3</v>
      </c>
      <c r="AA388" s="4">
        <v>3</v>
      </c>
      <c r="AB388" s="4" t="s">
        <v>6</v>
      </c>
      <c r="AC388" s="4" t="s">
        <v>6</v>
      </c>
      <c r="AD388" s="4" t="s">
        <v>6</v>
      </c>
      <c r="AE388" s="5" t="s">
        <v>6</v>
      </c>
      <c r="AF388" s="4">
        <v>3</v>
      </c>
      <c r="AG388" s="5" t="s">
        <v>6</v>
      </c>
      <c r="AH388" s="4">
        <v>3</v>
      </c>
      <c r="AI388" s="4" t="s">
        <v>6</v>
      </c>
      <c r="AJ388" s="4" t="s">
        <v>6</v>
      </c>
      <c r="AK388" s="4" t="s">
        <v>6</v>
      </c>
      <c r="AL388" s="4" t="s">
        <v>6</v>
      </c>
      <c r="AM388" s="4" t="s">
        <v>6</v>
      </c>
      <c r="AN388" s="5" t="s">
        <v>6</v>
      </c>
    </row>
    <row r="389" spans="1:40" x14ac:dyDescent="0.2">
      <c r="A389" s="15">
        <v>3003</v>
      </c>
      <c r="B389" s="36" t="s">
        <v>6</v>
      </c>
      <c r="C389" s="36" t="s">
        <v>6</v>
      </c>
      <c r="D389" s="36" t="s">
        <v>6</v>
      </c>
      <c r="E389" s="36" t="s">
        <v>6</v>
      </c>
      <c r="F389" s="36" t="s">
        <v>6</v>
      </c>
      <c r="G389" s="36" t="s">
        <v>6</v>
      </c>
      <c r="H389" s="36" t="s">
        <v>6</v>
      </c>
      <c r="I389" s="36" t="s">
        <v>6</v>
      </c>
      <c r="J389" s="36" t="s">
        <v>6</v>
      </c>
      <c r="K389" s="36" t="s">
        <v>6</v>
      </c>
      <c r="L389" s="36" t="s">
        <v>6</v>
      </c>
      <c r="M389" s="36" t="s">
        <v>6</v>
      </c>
      <c r="N389" s="36" t="s">
        <v>6</v>
      </c>
      <c r="O389" s="36" t="s">
        <v>6</v>
      </c>
      <c r="P389" s="36" t="s">
        <v>6</v>
      </c>
      <c r="Q389" s="36" t="s">
        <v>6</v>
      </c>
      <c r="R389" s="36" t="s">
        <v>6</v>
      </c>
      <c r="S389" s="36" t="s">
        <v>6</v>
      </c>
      <c r="T389" s="36" t="s">
        <v>6</v>
      </c>
      <c r="U389" s="36" t="s">
        <v>6</v>
      </c>
      <c r="V389" s="4" t="s">
        <v>1</v>
      </c>
      <c r="W389" s="4">
        <v>1</v>
      </c>
      <c r="X389" s="4">
        <v>3</v>
      </c>
      <c r="Y389" s="4">
        <v>2</v>
      </c>
      <c r="Z389" s="5">
        <v>3</v>
      </c>
      <c r="AA389" s="4">
        <v>3</v>
      </c>
      <c r="AB389" s="4" t="s">
        <v>6</v>
      </c>
      <c r="AC389" s="4" t="s">
        <v>6</v>
      </c>
      <c r="AD389" s="4" t="s">
        <v>6</v>
      </c>
      <c r="AE389" s="5" t="s">
        <v>6</v>
      </c>
      <c r="AF389" s="4">
        <v>3</v>
      </c>
      <c r="AG389" s="5" t="s">
        <v>6</v>
      </c>
      <c r="AH389" s="4">
        <v>3</v>
      </c>
      <c r="AI389" s="4" t="s">
        <v>6</v>
      </c>
      <c r="AJ389" s="4" t="s">
        <v>6</v>
      </c>
      <c r="AK389" s="4" t="s">
        <v>6</v>
      </c>
      <c r="AL389" s="4" t="s">
        <v>6</v>
      </c>
      <c r="AM389" s="4" t="s">
        <v>6</v>
      </c>
      <c r="AN389" s="5" t="s">
        <v>6</v>
      </c>
    </row>
    <row r="390" spans="1:40" x14ac:dyDescent="0.2">
      <c r="A390" s="15">
        <v>3005</v>
      </c>
      <c r="B390" s="36" t="s">
        <v>6</v>
      </c>
      <c r="C390" s="36" t="s">
        <v>6</v>
      </c>
      <c r="D390" s="36" t="s">
        <v>6</v>
      </c>
      <c r="E390" s="36" t="s">
        <v>6</v>
      </c>
      <c r="F390" s="36" t="s">
        <v>6</v>
      </c>
      <c r="G390" s="36" t="s">
        <v>6</v>
      </c>
      <c r="H390" s="36" t="s">
        <v>6</v>
      </c>
      <c r="I390" s="36" t="s">
        <v>6</v>
      </c>
      <c r="J390" s="36" t="s">
        <v>6</v>
      </c>
      <c r="K390" s="36" t="s">
        <v>6</v>
      </c>
      <c r="L390" s="36" t="s">
        <v>6</v>
      </c>
      <c r="M390" s="36" t="s">
        <v>6</v>
      </c>
      <c r="N390" s="36" t="s">
        <v>6</v>
      </c>
      <c r="O390" s="36" t="s">
        <v>6</v>
      </c>
      <c r="P390" s="36" t="s">
        <v>6</v>
      </c>
      <c r="Q390" s="36" t="s">
        <v>6</v>
      </c>
      <c r="R390" s="36" t="s">
        <v>6</v>
      </c>
      <c r="S390" s="36" t="s">
        <v>6</v>
      </c>
      <c r="T390" s="36" t="s">
        <v>6</v>
      </c>
      <c r="U390" s="36" t="s">
        <v>6</v>
      </c>
      <c r="V390" s="4" t="s">
        <v>1</v>
      </c>
      <c r="W390" s="4">
        <v>1</v>
      </c>
      <c r="X390" s="4">
        <v>3</v>
      </c>
      <c r="Y390" s="4">
        <v>2</v>
      </c>
      <c r="Z390" s="5">
        <v>3</v>
      </c>
      <c r="AA390" s="4">
        <v>3</v>
      </c>
      <c r="AB390" s="4" t="s">
        <v>6</v>
      </c>
      <c r="AC390" s="4" t="s">
        <v>6</v>
      </c>
      <c r="AD390" s="4" t="s">
        <v>6</v>
      </c>
      <c r="AE390" s="5" t="s">
        <v>6</v>
      </c>
      <c r="AF390" s="4">
        <v>3</v>
      </c>
      <c r="AG390" s="5" t="s">
        <v>6</v>
      </c>
      <c r="AH390" s="4">
        <v>3</v>
      </c>
      <c r="AI390" s="4" t="s">
        <v>6</v>
      </c>
      <c r="AJ390" s="4" t="s">
        <v>6</v>
      </c>
      <c r="AK390" s="4" t="s">
        <v>6</v>
      </c>
      <c r="AL390" s="4" t="s">
        <v>6</v>
      </c>
      <c r="AM390" s="4" t="s">
        <v>6</v>
      </c>
      <c r="AN390" s="5" t="s">
        <v>6</v>
      </c>
    </row>
    <row r="391" spans="1:40" x14ac:dyDescent="0.2">
      <c r="A391" s="15">
        <v>3006</v>
      </c>
      <c r="B391" s="36" t="s">
        <v>6</v>
      </c>
      <c r="C391" s="36" t="s">
        <v>6</v>
      </c>
      <c r="D391" s="36" t="s">
        <v>6</v>
      </c>
      <c r="E391" s="36" t="s">
        <v>6</v>
      </c>
      <c r="F391" s="36" t="s">
        <v>6</v>
      </c>
      <c r="G391" s="36" t="s">
        <v>6</v>
      </c>
      <c r="H391" s="36" t="s">
        <v>6</v>
      </c>
      <c r="I391" s="36" t="s">
        <v>6</v>
      </c>
      <c r="J391" s="36" t="s">
        <v>6</v>
      </c>
      <c r="K391" s="36" t="s">
        <v>6</v>
      </c>
      <c r="L391" s="36" t="s">
        <v>6</v>
      </c>
      <c r="M391" s="36" t="s">
        <v>6</v>
      </c>
      <c r="N391" s="36" t="s">
        <v>6</v>
      </c>
      <c r="O391" s="36" t="s">
        <v>6</v>
      </c>
      <c r="P391" s="36" t="s">
        <v>6</v>
      </c>
      <c r="Q391" s="36" t="s">
        <v>6</v>
      </c>
      <c r="R391" s="36" t="s">
        <v>6</v>
      </c>
      <c r="S391" s="36" t="s">
        <v>6</v>
      </c>
      <c r="T391" s="36" t="s">
        <v>6</v>
      </c>
      <c r="U391" s="36" t="s">
        <v>6</v>
      </c>
      <c r="V391" s="4" t="s">
        <v>1</v>
      </c>
      <c r="W391" s="4">
        <v>1</v>
      </c>
      <c r="X391" s="4">
        <v>3</v>
      </c>
      <c r="Y391" s="4">
        <v>2</v>
      </c>
      <c r="Z391" s="5">
        <v>3</v>
      </c>
      <c r="AA391" s="4">
        <v>3</v>
      </c>
      <c r="AB391" s="4" t="s">
        <v>6</v>
      </c>
      <c r="AC391" s="4" t="s">
        <v>6</v>
      </c>
      <c r="AD391" s="4" t="s">
        <v>6</v>
      </c>
      <c r="AE391" s="5" t="s">
        <v>6</v>
      </c>
      <c r="AF391" s="4">
        <v>3</v>
      </c>
      <c r="AG391" s="5" t="s">
        <v>6</v>
      </c>
      <c r="AH391" s="4">
        <v>3</v>
      </c>
      <c r="AI391" s="4" t="s">
        <v>6</v>
      </c>
      <c r="AJ391" s="4" t="s">
        <v>6</v>
      </c>
      <c r="AK391" s="4" t="s">
        <v>6</v>
      </c>
      <c r="AL391" s="4" t="s">
        <v>6</v>
      </c>
      <c r="AM391" s="4" t="s">
        <v>6</v>
      </c>
      <c r="AN391" s="5" t="s">
        <v>6</v>
      </c>
    </row>
    <row r="392" spans="1:40" x14ac:dyDescent="0.2">
      <c r="A392" s="15">
        <v>3010</v>
      </c>
      <c r="B392" s="36" t="s">
        <v>6</v>
      </c>
      <c r="C392" s="36" t="s">
        <v>6</v>
      </c>
      <c r="D392" s="36" t="s">
        <v>6</v>
      </c>
      <c r="E392" s="36" t="s">
        <v>6</v>
      </c>
      <c r="F392" s="36" t="s">
        <v>6</v>
      </c>
      <c r="G392" s="36" t="s">
        <v>6</v>
      </c>
      <c r="H392" s="36" t="s">
        <v>6</v>
      </c>
      <c r="I392" s="36" t="s">
        <v>6</v>
      </c>
      <c r="J392" s="36" t="s">
        <v>6</v>
      </c>
      <c r="K392" s="36" t="s">
        <v>6</v>
      </c>
      <c r="L392" s="36" t="s">
        <v>6</v>
      </c>
      <c r="M392" s="36" t="s">
        <v>6</v>
      </c>
      <c r="N392" s="36" t="s">
        <v>6</v>
      </c>
      <c r="O392" s="36" t="s">
        <v>6</v>
      </c>
      <c r="P392" s="36" t="s">
        <v>6</v>
      </c>
      <c r="Q392" s="36" t="s">
        <v>6</v>
      </c>
      <c r="R392" s="36" t="s">
        <v>6</v>
      </c>
      <c r="S392" s="36" t="s">
        <v>6</v>
      </c>
      <c r="T392" s="36" t="s">
        <v>6</v>
      </c>
      <c r="U392" s="36" t="s">
        <v>6</v>
      </c>
      <c r="V392" s="4" t="s">
        <v>1</v>
      </c>
      <c r="W392" s="4">
        <v>1</v>
      </c>
      <c r="X392" s="4">
        <v>3</v>
      </c>
      <c r="Y392" s="4">
        <v>2</v>
      </c>
      <c r="Z392" s="5">
        <v>3</v>
      </c>
      <c r="AA392" s="4">
        <v>3</v>
      </c>
      <c r="AB392" s="4" t="s">
        <v>6</v>
      </c>
      <c r="AC392" s="4" t="s">
        <v>6</v>
      </c>
      <c r="AD392" s="4" t="s">
        <v>6</v>
      </c>
      <c r="AE392" s="5" t="s">
        <v>6</v>
      </c>
      <c r="AF392" s="4">
        <v>3</v>
      </c>
      <c r="AG392" s="5" t="s">
        <v>6</v>
      </c>
      <c r="AH392" s="4">
        <v>3</v>
      </c>
      <c r="AI392" s="4" t="s">
        <v>6</v>
      </c>
      <c r="AJ392" s="4" t="s">
        <v>6</v>
      </c>
      <c r="AK392" s="4" t="s">
        <v>6</v>
      </c>
      <c r="AL392" s="4" t="s">
        <v>6</v>
      </c>
      <c r="AM392" s="4" t="s">
        <v>6</v>
      </c>
      <c r="AN392" s="5" t="s">
        <v>6</v>
      </c>
    </row>
    <row r="393" spans="1:40" x14ac:dyDescent="0.2">
      <c r="A393" s="15">
        <v>3053</v>
      </c>
      <c r="B393" s="36" t="s">
        <v>6</v>
      </c>
      <c r="C393" s="36" t="s">
        <v>6</v>
      </c>
      <c r="D393" s="36" t="s">
        <v>6</v>
      </c>
      <c r="E393" s="36" t="s">
        <v>6</v>
      </c>
      <c r="F393" s="36" t="s">
        <v>6</v>
      </c>
      <c r="G393" s="36" t="s">
        <v>6</v>
      </c>
      <c r="H393" s="36" t="s">
        <v>6</v>
      </c>
      <c r="I393" s="36" t="s">
        <v>6</v>
      </c>
      <c r="J393" s="36" t="s">
        <v>6</v>
      </c>
      <c r="K393" s="36" t="s">
        <v>6</v>
      </c>
      <c r="L393" s="36" t="s">
        <v>6</v>
      </c>
      <c r="M393" s="36" t="s">
        <v>6</v>
      </c>
      <c r="N393" s="36" t="s">
        <v>6</v>
      </c>
      <c r="O393" s="36" t="s">
        <v>6</v>
      </c>
      <c r="P393" s="36" t="s">
        <v>6</v>
      </c>
      <c r="Q393" s="36" t="s">
        <v>6</v>
      </c>
      <c r="R393" s="36" t="s">
        <v>6</v>
      </c>
      <c r="S393" s="36" t="s">
        <v>6</v>
      </c>
      <c r="T393" s="36" t="s">
        <v>6</v>
      </c>
      <c r="U393" s="36" t="s">
        <v>6</v>
      </c>
      <c r="V393" s="4" t="s">
        <v>1</v>
      </c>
      <c r="W393" s="4">
        <v>1</v>
      </c>
      <c r="X393" s="4">
        <v>3</v>
      </c>
      <c r="Y393" s="4">
        <v>2</v>
      </c>
      <c r="Z393" s="5">
        <v>3</v>
      </c>
      <c r="AA393" s="4">
        <v>3</v>
      </c>
      <c r="AB393" s="4" t="s">
        <v>6</v>
      </c>
      <c r="AC393" s="4" t="s">
        <v>6</v>
      </c>
      <c r="AD393" s="4" t="s">
        <v>6</v>
      </c>
      <c r="AE393" s="5" t="s">
        <v>6</v>
      </c>
      <c r="AF393" s="4">
        <v>3</v>
      </c>
      <c r="AG393" s="5" t="s">
        <v>6</v>
      </c>
      <c r="AH393" s="4">
        <v>3</v>
      </c>
      <c r="AI393" s="4" t="s">
        <v>6</v>
      </c>
      <c r="AJ393" s="4" t="s">
        <v>6</v>
      </c>
      <c r="AK393" s="4" t="s">
        <v>6</v>
      </c>
      <c r="AL393" s="4" t="s">
        <v>6</v>
      </c>
      <c r="AM393" s="4" t="s">
        <v>6</v>
      </c>
      <c r="AN393" s="5" t="s">
        <v>6</v>
      </c>
    </row>
    <row r="394" spans="1:40" x14ac:dyDescent="0.2">
      <c r="A394" s="15">
        <v>3086</v>
      </c>
      <c r="B394" s="36" t="s">
        <v>6</v>
      </c>
      <c r="C394" s="36" t="s">
        <v>6</v>
      </c>
      <c r="D394" s="36" t="s">
        <v>6</v>
      </c>
      <c r="E394" s="36" t="s">
        <v>6</v>
      </c>
      <c r="F394" s="36" t="s">
        <v>6</v>
      </c>
      <c r="G394" s="36" t="s">
        <v>6</v>
      </c>
      <c r="H394" s="36" t="s">
        <v>6</v>
      </c>
      <c r="I394" s="36" t="s">
        <v>6</v>
      </c>
      <c r="J394" s="36" t="s">
        <v>6</v>
      </c>
      <c r="K394" s="36" t="s">
        <v>6</v>
      </c>
      <c r="L394" s="36" t="s">
        <v>6</v>
      </c>
      <c r="M394" s="36" t="s">
        <v>6</v>
      </c>
      <c r="N394" s="36" t="s">
        <v>6</v>
      </c>
      <c r="O394" s="36" t="s">
        <v>6</v>
      </c>
      <c r="P394" s="36" t="s">
        <v>6</v>
      </c>
      <c r="Q394" s="36" t="s">
        <v>6</v>
      </c>
      <c r="R394" s="36" t="s">
        <v>6</v>
      </c>
      <c r="S394" s="36" t="s">
        <v>6</v>
      </c>
      <c r="T394" s="36" t="s">
        <v>6</v>
      </c>
      <c r="U394" s="36" t="s">
        <v>6</v>
      </c>
      <c r="V394" s="4" t="s">
        <v>1</v>
      </c>
      <c r="W394" s="4">
        <v>1</v>
      </c>
      <c r="X394" s="4">
        <v>3</v>
      </c>
      <c r="Y394" s="4">
        <v>2</v>
      </c>
      <c r="Z394" s="5">
        <v>3</v>
      </c>
      <c r="AA394" s="4">
        <v>3</v>
      </c>
      <c r="AB394" s="4" t="s">
        <v>6</v>
      </c>
      <c r="AC394" s="4" t="s">
        <v>6</v>
      </c>
      <c r="AD394" s="4" t="s">
        <v>6</v>
      </c>
      <c r="AE394" s="5" t="s">
        <v>6</v>
      </c>
      <c r="AF394" s="4">
        <v>3</v>
      </c>
      <c r="AG394" s="5" t="s">
        <v>6</v>
      </c>
      <c r="AH394" s="4">
        <v>3</v>
      </c>
      <c r="AI394" s="4" t="s">
        <v>6</v>
      </c>
      <c r="AJ394" s="4" t="s">
        <v>6</v>
      </c>
      <c r="AK394" s="4" t="s">
        <v>6</v>
      </c>
      <c r="AL394" s="4" t="s">
        <v>6</v>
      </c>
      <c r="AM394" s="4" t="s">
        <v>6</v>
      </c>
      <c r="AN394" s="5" t="s">
        <v>6</v>
      </c>
    </row>
    <row r="395" spans="1:40" x14ac:dyDescent="0.2">
      <c r="A395" s="15">
        <v>3108</v>
      </c>
      <c r="B395" s="36" t="s">
        <v>6</v>
      </c>
      <c r="C395" s="36" t="s">
        <v>6</v>
      </c>
      <c r="D395" s="36" t="s">
        <v>6</v>
      </c>
      <c r="E395" s="36" t="s">
        <v>6</v>
      </c>
      <c r="F395" s="36" t="s">
        <v>6</v>
      </c>
      <c r="G395" s="36" t="s">
        <v>6</v>
      </c>
      <c r="H395" s="36" t="s">
        <v>6</v>
      </c>
      <c r="I395" s="36" t="s">
        <v>6</v>
      </c>
      <c r="J395" s="36" t="s">
        <v>6</v>
      </c>
      <c r="K395" s="36" t="s">
        <v>6</v>
      </c>
      <c r="L395" s="36" t="s">
        <v>6</v>
      </c>
      <c r="M395" s="36" t="s">
        <v>6</v>
      </c>
      <c r="N395" s="36" t="s">
        <v>6</v>
      </c>
      <c r="O395" s="36" t="s">
        <v>6</v>
      </c>
      <c r="P395" s="36" t="s">
        <v>6</v>
      </c>
      <c r="Q395" s="36" t="s">
        <v>6</v>
      </c>
      <c r="R395" s="36" t="s">
        <v>6</v>
      </c>
      <c r="S395" s="36" t="s">
        <v>6</v>
      </c>
      <c r="T395" s="36" t="s">
        <v>6</v>
      </c>
      <c r="U395" s="36" t="s">
        <v>6</v>
      </c>
      <c r="V395" s="4" t="s">
        <v>1</v>
      </c>
      <c r="W395" s="4">
        <v>1</v>
      </c>
      <c r="X395" s="4">
        <v>3</v>
      </c>
      <c r="Y395" s="4">
        <v>2</v>
      </c>
      <c r="Z395" s="5">
        <v>3</v>
      </c>
      <c r="AA395" s="4">
        <v>3</v>
      </c>
      <c r="AB395" s="4" t="s">
        <v>6</v>
      </c>
      <c r="AC395" s="4" t="s">
        <v>6</v>
      </c>
      <c r="AD395" s="4" t="s">
        <v>6</v>
      </c>
      <c r="AE395" s="5" t="s">
        <v>6</v>
      </c>
      <c r="AF395" s="4">
        <v>3</v>
      </c>
      <c r="AG395" s="5" t="s">
        <v>6</v>
      </c>
      <c r="AH395" s="4">
        <v>3</v>
      </c>
      <c r="AI395" s="4" t="s">
        <v>6</v>
      </c>
      <c r="AJ395" s="4" t="s">
        <v>6</v>
      </c>
      <c r="AK395" s="4" t="s">
        <v>6</v>
      </c>
      <c r="AL395" s="4" t="s">
        <v>6</v>
      </c>
      <c r="AM395" s="4" t="s">
        <v>6</v>
      </c>
      <c r="AN395" s="5" t="s">
        <v>6</v>
      </c>
    </row>
    <row r="396" spans="1:40" x14ac:dyDescent="0.2">
      <c r="A396" s="15">
        <v>3137</v>
      </c>
      <c r="B396" s="36" t="s">
        <v>6</v>
      </c>
      <c r="C396" s="36" t="s">
        <v>6</v>
      </c>
      <c r="D396" s="36" t="s">
        <v>6</v>
      </c>
      <c r="E396" s="36" t="s">
        <v>6</v>
      </c>
      <c r="F396" s="36" t="s">
        <v>6</v>
      </c>
      <c r="G396" s="36" t="s">
        <v>6</v>
      </c>
      <c r="H396" s="36" t="s">
        <v>6</v>
      </c>
      <c r="I396" s="36" t="s">
        <v>6</v>
      </c>
      <c r="J396" s="36" t="s">
        <v>6</v>
      </c>
      <c r="K396" s="36" t="s">
        <v>6</v>
      </c>
      <c r="L396" s="36" t="s">
        <v>6</v>
      </c>
      <c r="M396" s="36" t="s">
        <v>6</v>
      </c>
      <c r="N396" s="36" t="s">
        <v>6</v>
      </c>
      <c r="O396" s="36" t="s">
        <v>6</v>
      </c>
      <c r="P396" s="36" t="s">
        <v>6</v>
      </c>
      <c r="Q396" s="36" t="s">
        <v>6</v>
      </c>
      <c r="R396" s="36" t="s">
        <v>6</v>
      </c>
      <c r="S396" s="36" t="s">
        <v>6</v>
      </c>
      <c r="T396" s="36" t="s">
        <v>6</v>
      </c>
      <c r="U396" s="36" t="s">
        <v>6</v>
      </c>
      <c r="V396" s="4" t="s">
        <v>1</v>
      </c>
      <c r="W396" s="4">
        <v>1</v>
      </c>
      <c r="X396" s="4">
        <v>3</v>
      </c>
      <c r="Y396" s="4">
        <v>2</v>
      </c>
      <c r="Z396" s="5">
        <v>3</v>
      </c>
      <c r="AA396" s="4">
        <v>3</v>
      </c>
      <c r="AB396" s="4" t="s">
        <v>6</v>
      </c>
      <c r="AC396" s="4" t="s">
        <v>6</v>
      </c>
      <c r="AD396" s="4" t="s">
        <v>6</v>
      </c>
      <c r="AE396" s="5" t="s">
        <v>6</v>
      </c>
      <c r="AF396" s="4">
        <v>3</v>
      </c>
      <c r="AG396" s="5" t="s">
        <v>6</v>
      </c>
      <c r="AH396" s="4">
        <v>3</v>
      </c>
      <c r="AI396" s="4" t="s">
        <v>6</v>
      </c>
      <c r="AJ396" s="4" t="s">
        <v>6</v>
      </c>
      <c r="AK396" s="4" t="s">
        <v>6</v>
      </c>
      <c r="AL396" s="4" t="s">
        <v>6</v>
      </c>
      <c r="AM396" s="4" t="s">
        <v>6</v>
      </c>
      <c r="AN396" s="5" t="s">
        <v>6</v>
      </c>
    </row>
    <row r="397" spans="1:40" x14ac:dyDescent="0.2">
      <c r="A397" s="15">
        <v>3182</v>
      </c>
      <c r="B397" s="36" t="s">
        <v>6</v>
      </c>
      <c r="C397" s="36" t="s">
        <v>6</v>
      </c>
      <c r="D397" s="36" t="s">
        <v>6</v>
      </c>
      <c r="E397" s="36" t="s">
        <v>6</v>
      </c>
      <c r="F397" s="36" t="s">
        <v>6</v>
      </c>
      <c r="G397" s="36" t="s">
        <v>6</v>
      </c>
      <c r="H397" s="36" t="s">
        <v>6</v>
      </c>
      <c r="I397" s="36" t="s">
        <v>6</v>
      </c>
      <c r="J397" s="36" t="s">
        <v>6</v>
      </c>
      <c r="K397" s="36" t="s">
        <v>6</v>
      </c>
      <c r="L397" s="36" t="s">
        <v>6</v>
      </c>
      <c r="M397" s="36" t="s">
        <v>6</v>
      </c>
      <c r="N397" s="36" t="s">
        <v>6</v>
      </c>
      <c r="O397" s="36" t="s">
        <v>6</v>
      </c>
      <c r="P397" s="36" t="s">
        <v>6</v>
      </c>
      <c r="Q397" s="36" t="s">
        <v>6</v>
      </c>
      <c r="R397" s="36" t="s">
        <v>6</v>
      </c>
      <c r="S397" s="36" t="s">
        <v>6</v>
      </c>
      <c r="T397" s="36" t="s">
        <v>6</v>
      </c>
      <c r="U397" s="36" t="s">
        <v>6</v>
      </c>
      <c r="V397" s="4" t="s">
        <v>1</v>
      </c>
      <c r="W397" s="4">
        <v>1</v>
      </c>
      <c r="X397" s="4">
        <v>3</v>
      </c>
      <c r="Y397" s="4">
        <v>2</v>
      </c>
      <c r="Z397" s="5">
        <v>3</v>
      </c>
      <c r="AA397" s="4">
        <v>3</v>
      </c>
      <c r="AB397" s="4" t="s">
        <v>6</v>
      </c>
      <c r="AC397" s="4" t="s">
        <v>6</v>
      </c>
      <c r="AD397" s="4" t="s">
        <v>6</v>
      </c>
      <c r="AE397" s="5" t="s">
        <v>6</v>
      </c>
      <c r="AF397" s="4">
        <v>3</v>
      </c>
      <c r="AG397" s="5" t="s">
        <v>6</v>
      </c>
      <c r="AH397" s="4">
        <v>3</v>
      </c>
      <c r="AI397" s="4" t="s">
        <v>6</v>
      </c>
      <c r="AJ397" s="4" t="s">
        <v>6</v>
      </c>
      <c r="AK397" s="4" t="s">
        <v>6</v>
      </c>
      <c r="AL397" s="4" t="s">
        <v>6</v>
      </c>
      <c r="AM397" s="4" t="s">
        <v>6</v>
      </c>
      <c r="AN397" s="5" t="s">
        <v>6</v>
      </c>
    </row>
    <row r="398" spans="1:40" x14ac:dyDescent="0.2">
      <c r="A398" s="15">
        <v>3212</v>
      </c>
      <c r="B398" s="36" t="s">
        <v>6</v>
      </c>
      <c r="C398" s="36" t="s">
        <v>6</v>
      </c>
      <c r="D398" s="36" t="s">
        <v>6</v>
      </c>
      <c r="E398" s="36" t="s">
        <v>6</v>
      </c>
      <c r="F398" s="36" t="s">
        <v>6</v>
      </c>
      <c r="G398" s="36" t="s">
        <v>6</v>
      </c>
      <c r="H398" s="36" t="s">
        <v>6</v>
      </c>
      <c r="I398" s="36" t="s">
        <v>6</v>
      </c>
      <c r="J398" s="36" t="s">
        <v>6</v>
      </c>
      <c r="K398" s="36" t="s">
        <v>6</v>
      </c>
      <c r="L398" s="36" t="s">
        <v>6</v>
      </c>
      <c r="M398" s="36" t="s">
        <v>6</v>
      </c>
      <c r="N398" s="36" t="s">
        <v>6</v>
      </c>
      <c r="O398" s="36" t="s">
        <v>6</v>
      </c>
      <c r="P398" s="36" t="s">
        <v>6</v>
      </c>
      <c r="Q398" s="36" t="s">
        <v>6</v>
      </c>
      <c r="R398" s="36" t="s">
        <v>6</v>
      </c>
      <c r="S398" s="36" t="s">
        <v>6</v>
      </c>
      <c r="T398" s="36" t="s">
        <v>6</v>
      </c>
      <c r="U398" s="36" t="s">
        <v>6</v>
      </c>
      <c r="V398" s="4" t="s">
        <v>1</v>
      </c>
      <c r="W398" s="4">
        <v>1</v>
      </c>
      <c r="X398" s="4">
        <v>3</v>
      </c>
      <c r="Y398" s="4">
        <v>2</v>
      </c>
      <c r="Z398" s="5">
        <v>3</v>
      </c>
      <c r="AA398" s="4">
        <v>3</v>
      </c>
      <c r="AB398" s="4" t="s">
        <v>6</v>
      </c>
      <c r="AC398" s="4" t="s">
        <v>6</v>
      </c>
      <c r="AD398" s="4" t="s">
        <v>6</v>
      </c>
      <c r="AE398" s="5" t="s">
        <v>6</v>
      </c>
      <c r="AF398" s="4">
        <v>3</v>
      </c>
      <c r="AG398" s="5" t="s">
        <v>6</v>
      </c>
      <c r="AH398" s="4">
        <v>3</v>
      </c>
      <c r="AI398" s="4" t="s">
        <v>6</v>
      </c>
      <c r="AJ398" s="4" t="s">
        <v>6</v>
      </c>
      <c r="AK398" s="4" t="s">
        <v>6</v>
      </c>
      <c r="AL398" s="4" t="s">
        <v>6</v>
      </c>
      <c r="AM398" s="4" t="s">
        <v>6</v>
      </c>
      <c r="AN398" s="5" t="s">
        <v>6</v>
      </c>
    </row>
    <row r="399" spans="1:40" x14ac:dyDescent="0.2">
      <c r="A399" s="15">
        <v>3242</v>
      </c>
      <c r="B399" s="36" t="s">
        <v>6</v>
      </c>
      <c r="C399" s="36" t="s">
        <v>6</v>
      </c>
      <c r="D399" s="36" t="s">
        <v>6</v>
      </c>
      <c r="E399" s="36" t="s">
        <v>6</v>
      </c>
      <c r="F399" s="36" t="s">
        <v>6</v>
      </c>
      <c r="G399" s="36" t="s">
        <v>6</v>
      </c>
      <c r="H399" s="36" t="s">
        <v>6</v>
      </c>
      <c r="I399" s="36" t="s">
        <v>6</v>
      </c>
      <c r="J399" s="36" t="s">
        <v>6</v>
      </c>
      <c r="K399" s="36" t="s">
        <v>6</v>
      </c>
      <c r="L399" s="36" t="s">
        <v>6</v>
      </c>
      <c r="M399" s="36" t="s">
        <v>6</v>
      </c>
      <c r="N399" s="36" t="s">
        <v>6</v>
      </c>
      <c r="O399" s="36" t="s">
        <v>6</v>
      </c>
      <c r="P399" s="36" t="s">
        <v>6</v>
      </c>
      <c r="Q399" s="36" t="s">
        <v>6</v>
      </c>
      <c r="R399" s="36" t="s">
        <v>6</v>
      </c>
      <c r="S399" s="36" t="s">
        <v>6</v>
      </c>
      <c r="T399" s="36" t="s">
        <v>6</v>
      </c>
      <c r="U399" s="36" t="s">
        <v>6</v>
      </c>
      <c r="V399" s="4" t="s">
        <v>1</v>
      </c>
      <c r="W399" s="4">
        <v>1</v>
      </c>
      <c r="X399" s="4">
        <v>3</v>
      </c>
      <c r="Y399" s="4">
        <v>2</v>
      </c>
      <c r="Z399" s="5">
        <v>3</v>
      </c>
      <c r="AA399" s="4">
        <v>3</v>
      </c>
      <c r="AB399" s="4" t="s">
        <v>6</v>
      </c>
      <c r="AC399" s="4" t="s">
        <v>6</v>
      </c>
      <c r="AD399" s="4" t="s">
        <v>6</v>
      </c>
      <c r="AE399" s="5" t="s">
        <v>6</v>
      </c>
      <c r="AF399" s="4">
        <v>3</v>
      </c>
      <c r="AG399" s="5" t="s">
        <v>6</v>
      </c>
      <c r="AH399" s="4">
        <v>3</v>
      </c>
      <c r="AI399" s="4" t="s">
        <v>6</v>
      </c>
      <c r="AJ399" s="4" t="s">
        <v>6</v>
      </c>
      <c r="AK399" s="4" t="s">
        <v>6</v>
      </c>
      <c r="AL399" s="4" t="s">
        <v>6</v>
      </c>
      <c r="AM399" s="4" t="s">
        <v>6</v>
      </c>
      <c r="AN399" s="5" t="s">
        <v>6</v>
      </c>
    </row>
    <row r="400" spans="1:40" x14ac:dyDescent="0.2">
      <c r="A400" s="15">
        <v>3331</v>
      </c>
      <c r="B400" s="36" t="s">
        <v>6</v>
      </c>
      <c r="C400" s="36" t="s">
        <v>6</v>
      </c>
      <c r="D400" s="36" t="s">
        <v>6</v>
      </c>
      <c r="E400" s="36" t="s">
        <v>6</v>
      </c>
      <c r="F400" s="36" t="s">
        <v>6</v>
      </c>
      <c r="G400" s="36" t="s">
        <v>6</v>
      </c>
      <c r="H400" s="36" t="s">
        <v>6</v>
      </c>
      <c r="I400" s="36" t="s">
        <v>6</v>
      </c>
      <c r="J400" s="36" t="s">
        <v>6</v>
      </c>
      <c r="K400" s="36" t="s">
        <v>6</v>
      </c>
      <c r="L400" s="36" t="s">
        <v>6</v>
      </c>
      <c r="M400" s="36" t="s">
        <v>6</v>
      </c>
      <c r="N400" s="36" t="s">
        <v>6</v>
      </c>
      <c r="O400" s="36" t="s">
        <v>6</v>
      </c>
      <c r="P400" s="36" t="s">
        <v>6</v>
      </c>
      <c r="Q400" s="36" t="s">
        <v>6</v>
      </c>
      <c r="R400" s="36" t="s">
        <v>6</v>
      </c>
      <c r="S400" s="36" t="s">
        <v>6</v>
      </c>
      <c r="T400" s="36" t="s">
        <v>6</v>
      </c>
      <c r="U400" s="36" t="s">
        <v>6</v>
      </c>
      <c r="V400" s="4" t="s">
        <v>1</v>
      </c>
      <c r="W400" s="4">
        <v>1</v>
      </c>
      <c r="X400" s="4">
        <v>3</v>
      </c>
      <c r="Y400" s="4">
        <v>2</v>
      </c>
      <c r="Z400" s="5">
        <v>3</v>
      </c>
      <c r="AA400" s="4">
        <v>3</v>
      </c>
      <c r="AB400" s="4" t="s">
        <v>6</v>
      </c>
      <c r="AC400" s="4" t="s">
        <v>6</v>
      </c>
      <c r="AD400" s="4" t="s">
        <v>6</v>
      </c>
      <c r="AE400" s="5" t="s">
        <v>6</v>
      </c>
      <c r="AF400" s="4">
        <v>3</v>
      </c>
      <c r="AG400" s="5" t="s">
        <v>6</v>
      </c>
      <c r="AH400" s="4">
        <v>3</v>
      </c>
      <c r="AI400" s="4" t="s">
        <v>6</v>
      </c>
      <c r="AJ400" s="4" t="s">
        <v>6</v>
      </c>
      <c r="AK400" s="4" t="s">
        <v>6</v>
      </c>
      <c r="AL400" s="4" t="s">
        <v>6</v>
      </c>
      <c r="AM400" s="4" t="s">
        <v>6</v>
      </c>
      <c r="AN400" s="5" t="s">
        <v>6</v>
      </c>
    </row>
    <row r="401" spans="1:40" x14ac:dyDescent="0.2">
      <c r="A401" s="15">
        <v>3344</v>
      </c>
      <c r="B401" s="36" t="s">
        <v>6</v>
      </c>
      <c r="C401" s="36" t="s">
        <v>6</v>
      </c>
      <c r="D401" s="36" t="s">
        <v>6</v>
      </c>
      <c r="E401" s="36" t="s">
        <v>6</v>
      </c>
      <c r="F401" s="36" t="s">
        <v>6</v>
      </c>
      <c r="G401" s="36" t="s">
        <v>6</v>
      </c>
      <c r="H401" s="36" t="s">
        <v>6</v>
      </c>
      <c r="I401" s="36" t="s">
        <v>6</v>
      </c>
      <c r="J401" s="36" t="s">
        <v>6</v>
      </c>
      <c r="K401" s="36" t="s">
        <v>6</v>
      </c>
      <c r="L401" s="36" t="s">
        <v>6</v>
      </c>
      <c r="M401" s="36" t="s">
        <v>6</v>
      </c>
      <c r="N401" s="36" t="s">
        <v>6</v>
      </c>
      <c r="O401" s="36" t="s">
        <v>6</v>
      </c>
      <c r="P401" s="36" t="s">
        <v>6</v>
      </c>
      <c r="Q401" s="36" t="s">
        <v>6</v>
      </c>
      <c r="R401" s="36" t="s">
        <v>6</v>
      </c>
      <c r="S401" s="36" t="s">
        <v>6</v>
      </c>
      <c r="T401" s="36" t="s">
        <v>6</v>
      </c>
      <c r="U401" s="36" t="s">
        <v>6</v>
      </c>
      <c r="V401" s="4" t="s">
        <v>1</v>
      </c>
      <c r="W401" s="4">
        <v>1</v>
      </c>
      <c r="X401" s="4">
        <v>3</v>
      </c>
      <c r="Y401" s="4">
        <v>2</v>
      </c>
      <c r="Z401" s="5">
        <v>3</v>
      </c>
      <c r="AA401" s="4">
        <v>3</v>
      </c>
      <c r="AB401" s="4" t="s">
        <v>6</v>
      </c>
      <c r="AC401" s="4" t="s">
        <v>6</v>
      </c>
      <c r="AD401" s="4" t="s">
        <v>6</v>
      </c>
      <c r="AE401" s="5" t="s">
        <v>6</v>
      </c>
      <c r="AF401" s="4">
        <v>3</v>
      </c>
      <c r="AG401" s="5" t="s">
        <v>6</v>
      </c>
      <c r="AH401" s="4">
        <v>3</v>
      </c>
      <c r="AI401" s="4" t="s">
        <v>6</v>
      </c>
      <c r="AJ401" s="4" t="s">
        <v>6</v>
      </c>
      <c r="AK401" s="4" t="s">
        <v>6</v>
      </c>
      <c r="AL401" s="4" t="s">
        <v>6</v>
      </c>
      <c r="AM401" s="4" t="s">
        <v>6</v>
      </c>
      <c r="AN401" s="5" t="s">
        <v>6</v>
      </c>
    </row>
    <row r="402" spans="1:40" x14ac:dyDescent="0.2">
      <c r="A402" s="15">
        <v>3350</v>
      </c>
      <c r="B402" s="36" t="s">
        <v>6</v>
      </c>
      <c r="C402" s="36" t="s">
        <v>6</v>
      </c>
      <c r="D402" s="36" t="s">
        <v>6</v>
      </c>
      <c r="E402" s="36" t="s">
        <v>6</v>
      </c>
      <c r="F402" s="36" t="s">
        <v>6</v>
      </c>
      <c r="G402" s="36" t="s">
        <v>6</v>
      </c>
      <c r="H402" s="36" t="s">
        <v>6</v>
      </c>
      <c r="I402" s="36" t="s">
        <v>6</v>
      </c>
      <c r="J402" s="36" t="s">
        <v>6</v>
      </c>
      <c r="K402" s="36" t="s">
        <v>6</v>
      </c>
      <c r="L402" s="36" t="s">
        <v>6</v>
      </c>
      <c r="M402" s="36" t="s">
        <v>6</v>
      </c>
      <c r="N402" s="36" t="s">
        <v>6</v>
      </c>
      <c r="O402" s="36" t="s">
        <v>6</v>
      </c>
      <c r="P402" s="36" t="s">
        <v>6</v>
      </c>
      <c r="Q402" s="36" t="s">
        <v>6</v>
      </c>
      <c r="R402" s="36" t="s">
        <v>6</v>
      </c>
      <c r="S402" s="36" t="s">
        <v>6</v>
      </c>
      <c r="T402" s="36" t="s">
        <v>6</v>
      </c>
      <c r="U402" s="36" t="s">
        <v>6</v>
      </c>
      <c r="V402" s="4" t="s">
        <v>1</v>
      </c>
      <c r="W402" s="4">
        <v>1</v>
      </c>
      <c r="X402" s="4">
        <v>3</v>
      </c>
      <c r="Y402" s="4">
        <v>2</v>
      </c>
      <c r="Z402" s="5">
        <v>3</v>
      </c>
      <c r="AA402" s="4">
        <v>3</v>
      </c>
      <c r="AB402" s="4" t="s">
        <v>6</v>
      </c>
      <c r="AC402" s="4" t="s">
        <v>6</v>
      </c>
      <c r="AD402" s="4" t="s">
        <v>6</v>
      </c>
      <c r="AE402" s="5" t="s">
        <v>6</v>
      </c>
      <c r="AF402" s="4">
        <v>3</v>
      </c>
      <c r="AG402" s="5" t="s">
        <v>6</v>
      </c>
      <c r="AH402" s="4">
        <v>3</v>
      </c>
      <c r="AI402" s="4" t="s">
        <v>6</v>
      </c>
      <c r="AJ402" s="4" t="s">
        <v>6</v>
      </c>
      <c r="AK402" s="4" t="s">
        <v>6</v>
      </c>
      <c r="AL402" s="4" t="s">
        <v>6</v>
      </c>
      <c r="AM402" s="4" t="s">
        <v>6</v>
      </c>
      <c r="AN402" s="5" t="s">
        <v>6</v>
      </c>
    </row>
    <row r="403" spans="1:40" x14ac:dyDescent="0.2">
      <c r="A403" s="15">
        <v>3377</v>
      </c>
      <c r="B403" s="36" t="s">
        <v>6</v>
      </c>
      <c r="C403" s="36" t="s">
        <v>6</v>
      </c>
      <c r="D403" s="36" t="s">
        <v>6</v>
      </c>
      <c r="E403" s="36" t="s">
        <v>6</v>
      </c>
      <c r="F403" s="36" t="s">
        <v>6</v>
      </c>
      <c r="G403" s="36" t="s">
        <v>6</v>
      </c>
      <c r="H403" s="36" t="s">
        <v>6</v>
      </c>
      <c r="I403" s="36" t="s">
        <v>6</v>
      </c>
      <c r="J403" s="36" t="s">
        <v>6</v>
      </c>
      <c r="K403" s="36" t="s">
        <v>6</v>
      </c>
      <c r="L403" s="36" t="s">
        <v>6</v>
      </c>
      <c r="M403" s="36" t="s">
        <v>6</v>
      </c>
      <c r="N403" s="36" t="s">
        <v>6</v>
      </c>
      <c r="O403" s="36" t="s">
        <v>6</v>
      </c>
      <c r="P403" s="36" t="s">
        <v>6</v>
      </c>
      <c r="Q403" s="36" t="s">
        <v>6</v>
      </c>
      <c r="R403" s="36" t="s">
        <v>6</v>
      </c>
      <c r="S403" s="36" t="s">
        <v>6</v>
      </c>
      <c r="T403" s="36" t="s">
        <v>6</v>
      </c>
      <c r="U403" s="36" t="s">
        <v>6</v>
      </c>
      <c r="V403" s="4" t="s">
        <v>1</v>
      </c>
      <c r="W403" s="4">
        <v>1</v>
      </c>
      <c r="X403" s="4">
        <v>3</v>
      </c>
      <c r="Y403" s="4">
        <v>2</v>
      </c>
      <c r="Z403" s="5">
        <v>3</v>
      </c>
      <c r="AA403" s="4">
        <v>3</v>
      </c>
      <c r="AB403" s="4" t="s">
        <v>6</v>
      </c>
      <c r="AC403" s="4" t="s">
        <v>6</v>
      </c>
      <c r="AD403" s="4" t="s">
        <v>6</v>
      </c>
      <c r="AE403" s="5" t="s">
        <v>6</v>
      </c>
      <c r="AF403" s="4">
        <v>3</v>
      </c>
      <c r="AG403" s="5" t="s">
        <v>6</v>
      </c>
      <c r="AH403" s="4">
        <v>3</v>
      </c>
      <c r="AI403" s="4" t="s">
        <v>6</v>
      </c>
      <c r="AJ403" s="4" t="s">
        <v>6</v>
      </c>
      <c r="AK403" s="4" t="s">
        <v>6</v>
      </c>
      <c r="AL403" s="4" t="s">
        <v>6</v>
      </c>
      <c r="AM403" s="4" t="s">
        <v>6</v>
      </c>
      <c r="AN403" s="5" t="s">
        <v>6</v>
      </c>
    </row>
    <row r="404" spans="1:40" x14ac:dyDescent="0.2">
      <c r="A404" s="15">
        <v>3392</v>
      </c>
      <c r="B404" s="36" t="s">
        <v>6</v>
      </c>
      <c r="C404" s="36" t="s">
        <v>6</v>
      </c>
      <c r="D404" s="36" t="s">
        <v>6</v>
      </c>
      <c r="E404" s="36" t="s">
        <v>6</v>
      </c>
      <c r="F404" s="36" t="s">
        <v>6</v>
      </c>
      <c r="G404" s="36" t="s">
        <v>6</v>
      </c>
      <c r="H404" s="36" t="s">
        <v>6</v>
      </c>
      <c r="I404" s="36" t="s">
        <v>6</v>
      </c>
      <c r="J404" s="36" t="s">
        <v>6</v>
      </c>
      <c r="K404" s="36" t="s">
        <v>6</v>
      </c>
      <c r="L404" s="36" t="s">
        <v>6</v>
      </c>
      <c r="M404" s="36" t="s">
        <v>6</v>
      </c>
      <c r="N404" s="36" t="s">
        <v>6</v>
      </c>
      <c r="O404" s="36" t="s">
        <v>6</v>
      </c>
      <c r="P404" s="36" t="s">
        <v>6</v>
      </c>
      <c r="Q404" s="36" t="s">
        <v>6</v>
      </c>
      <c r="R404" s="36" t="s">
        <v>6</v>
      </c>
      <c r="S404" s="36" t="s">
        <v>6</v>
      </c>
      <c r="T404" s="36" t="s">
        <v>6</v>
      </c>
      <c r="U404" s="36" t="s">
        <v>6</v>
      </c>
      <c r="V404" s="4" t="s">
        <v>1</v>
      </c>
      <c r="W404" s="4">
        <v>1</v>
      </c>
      <c r="X404" s="4">
        <v>3</v>
      </c>
      <c r="Y404" s="4">
        <v>2</v>
      </c>
      <c r="Z404" s="5">
        <v>3</v>
      </c>
      <c r="AA404" s="4">
        <v>3</v>
      </c>
      <c r="AB404" s="4" t="s">
        <v>6</v>
      </c>
      <c r="AC404" s="4" t="s">
        <v>6</v>
      </c>
      <c r="AD404" s="4" t="s">
        <v>6</v>
      </c>
      <c r="AE404" s="5" t="s">
        <v>6</v>
      </c>
      <c r="AF404" s="4">
        <v>3</v>
      </c>
      <c r="AG404" s="5" t="s">
        <v>6</v>
      </c>
      <c r="AH404" s="4">
        <v>3</v>
      </c>
      <c r="AI404" s="4" t="s">
        <v>6</v>
      </c>
      <c r="AJ404" s="4" t="s">
        <v>6</v>
      </c>
      <c r="AK404" s="4" t="s">
        <v>6</v>
      </c>
      <c r="AL404" s="4" t="s">
        <v>6</v>
      </c>
      <c r="AM404" s="4" t="s">
        <v>6</v>
      </c>
      <c r="AN404" s="5" t="s">
        <v>6</v>
      </c>
    </row>
    <row r="405" spans="1:40" x14ac:dyDescent="0.2">
      <c r="A405" s="15">
        <v>3406</v>
      </c>
      <c r="B405" s="36" t="s">
        <v>6</v>
      </c>
      <c r="C405" s="36" t="s">
        <v>6</v>
      </c>
      <c r="D405" s="36" t="s">
        <v>6</v>
      </c>
      <c r="E405" s="36" t="s">
        <v>6</v>
      </c>
      <c r="F405" s="36" t="s">
        <v>6</v>
      </c>
      <c r="G405" s="36" t="s">
        <v>6</v>
      </c>
      <c r="H405" s="36" t="s">
        <v>6</v>
      </c>
      <c r="I405" s="36" t="s">
        <v>6</v>
      </c>
      <c r="J405" s="36" t="s">
        <v>6</v>
      </c>
      <c r="K405" s="36" t="s">
        <v>6</v>
      </c>
      <c r="L405" s="36" t="s">
        <v>6</v>
      </c>
      <c r="M405" s="36" t="s">
        <v>6</v>
      </c>
      <c r="N405" s="36" t="s">
        <v>6</v>
      </c>
      <c r="O405" s="36" t="s">
        <v>6</v>
      </c>
      <c r="P405" s="36" t="s">
        <v>6</v>
      </c>
      <c r="Q405" s="36" t="s">
        <v>6</v>
      </c>
      <c r="R405" s="36" t="s">
        <v>6</v>
      </c>
      <c r="S405" s="36" t="s">
        <v>6</v>
      </c>
      <c r="T405" s="36" t="s">
        <v>6</v>
      </c>
      <c r="U405" s="36" t="s">
        <v>6</v>
      </c>
      <c r="V405" s="4" t="s">
        <v>1</v>
      </c>
      <c r="W405" s="4">
        <v>1</v>
      </c>
      <c r="X405" s="4">
        <v>3</v>
      </c>
      <c r="Y405" s="4">
        <v>2</v>
      </c>
      <c r="Z405" s="5">
        <v>3</v>
      </c>
      <c r="AA405" s="4">
        <v>3</v>
      </c>
      <c r="AB405" s="4" t="s">
        <v>6</v>
      </c>
      <c r="AC405" s="4" t="s">
        <v>6</v>
      </c>
      <c r="AD405" s="4" t="s">
        <v>6</v>
      </c>
      <c r="AE405" s="5" t="s">
        <v>6</v>
      </c>
      <c r="AF405" s="4">
        <v>3</v>
      </c>
      <c r="AG405" s="5" t="s">
        <v>6</v>
      </c>
      <c r="AH405" s="4">
        <v>3</v>
      </c>
      <c r="AI405" s="4" t="s">
        <v>6</v>
      </c>
      <c r="AJ405" s="4" t="s">
        <v>6</v>
      </c>
      <c r="AK405" s="4" t="s">
        <v>6</v>
      </c>
      <c r="AL405" s="4" t="s">
        <v>6</v>
      </c>
      <c r="AM405" s="4" t="s">
        <v>6</v>
      </c>
      <c r="AN405" s="5" t="s">
        <v>6</v>
      </c>
    </row>
    <row r="406" spans="1:40" x14ac:dyDescent="0.2">
      <c r="A406" s="15">
        <v>3446</v>
      </c>
      <c r="B406" s="36" t="s">
        <v>6</v>
      </c>
      <c r="C406" s="36" t="s">
        <v>6</v>
      </c>
      <c r="D406" s="36" t="s">
        <v>6</v>
      </c>
      <c r="E406" s="36" t="s">
        <v>6</v>
      </c>
      <c r="F406" s="36" t="s">
        <v>6</v>
      </c>
      <c r="G406" s="36" t="s">
        <v>6</v>
      </c>
      <c r="H406" s="36" t="s">
        <v>6</v>
      </c>
      <c r="I406" s="36" t="s">
        <v>6</v>
      </c>
      <c r="J406" s="36" t="s">
        <v>6</v>
      </c>
      <c r="K406" s="36" t="s">
        <v>6</v>
      </c>
      <c r="L406" s="36" t="s">
        <v>6</v>
      </c>
      <c r="M406" s="36" t="s">
        <v>6</v>
      </c>
      <c r="N406" s="36" t="s">
        <v>6</v>
      </c>
      <c r="O406" s="36" t="s">
        <v>6</v>
      </c>
      <c r="P406" s="36" t="s">
        <v>6</v>
      </c>
      <c r="Q406" s="36" t="s">
        <v>6</v>
      </c>
      <c r="R406" s="36" t="s">
        <v>6</v>
      </c>
      <c r="S406" s="36" t="s">
        <v>6</v>
      </c>
      <c r="T406" s="36" t="s">
        <v>6</v>
      </c>
      <c r="U406" s="36" t="s">
        <v>6</v>
      </c>
      <c r="V406" s="4" t="s">
        <v>1</v>
      </c>
      <c r="W406" s="4">
        <v>1</v>
      </c>
      <c r="X406" s="4">
        <v>3</v>
      </c>
      <c r="Y406" s="4">
        <v>2</v>
      </c>
      <c r="Z406" s="5">
        <v>3</v>
      </c>
      <c r="AA406" s="4">
        <v>3</v>
      </c>
      <c r="AB406" s="4" t="s">
        <v>6</v>
      </c>
      <c r="AC406" s="4" t="s">
        <v>6</v>
      </c>
      <c r="AD406" s="4" t="s">
        <v>6</v>
      </c>
      <c r="AE406" s="5" t="s">
        <v>6</v>
      </c>
      <c r="AF406" s="4">
        <v>3</v>
      </c>
      <c r="AG406" s="5" t="s">
        <v>6</v>
      </c>
      <c r="AH406" s="4">
        <v>3</v>
      </c>
      <c r="AI406" s="4" t="s">
        <v>6</v>
      </c>
      <c r="AJ406" s="4" t="s">
        <v>6</v>
      </c>
      <c r="AK406" s="4" t="s">
        <v>6</v>
      </c>
      <c r="AL406" s="4" t="s">
        <v>6</v>
      </c>
      <c r="AM406" s="4" t="s">
        <v>6</v>
      </c>
      <c r="AN406" s="5" t="s">
        <v>6</v>
      </c>
    </row>
    <row r="407" spans="1:40" x14ac:dyDescent="0.2">
      <c r="A407" s="15">
        <v>3462</v>
      </c>
      <c r="B407" s="36" t="s">
        <v>6</v>
      </c>
      <c r="C407" s="36" t="s">
        <v>6</v>
      </c>
      <c r="D407" s="36" t="s">
        <v>6</v>
      </c>
      <c r="E407" s="36" t="s">
        <v>6</v>
      </c>
      <c r="F407" s="36" t="s">
        <v>6</v>
      </c>
      <c r="G407" s="36" t="s">
        <v>6</v>
      </c>
      <c r="H407" s="36" t="s">
        <v>6</v>
      </c>
      <c r="I407" s="36" t="s">
        <v>6</v>
      </c>
      <c r="J407" s="36" t="s">
        <v>6</v>
      </c>
      <c r="K407" s="36" t="s">
        <v>6</v>
      </c>
      <c r="L407" s="36" t="s">
        <v>6</v>
      </c>
      <c r="M407" s="36" t="s">
        <v>6</v>
      </c>
      <c r="N407" s="36" t="s">
        <v>6</v>
      </c>
      <c r="O407" s="36" t="s">
        <v>6</v>
      </c>
      <c r="P407" s="36" t="s">
        <v>6</v>
      </c>
      <c r="Q407" s="36" t="s">
        <v>6</v>
      </c>
      <c r="R407" s="36" t="s">
        <v>6</v>
      </c>
      <c r="S407" s="36" t="s">
        <v>6</v>
      </c>
      <c r="T407" s="36" t="s">
        <v>6</v>
      </c>
      <c r="U407" s="36" t="s">
        <v>6</v>
      </c>
      <c r="V407" s="4" t="s">
        <v>1</v>
      </c>
      <c r="W407" s="4">
        <v>1</v>
      </c>
      <c r="X407" s="4">
        <v>3</v>
      </c>
      <c r="Y407" s="4">
        <v>2</v>
      </c>
      <c r="Z407" s="5">
        <v>3</v>
      </c>
      <c r="AA407" s="4">
        <v>3</v>
      </c>
      <c r="AB407" s="4" t="s">
        <v>6</v>
      </c>
      <c r="AC407" s="4" t="s">
        <v>6</v>
      </c>
      <c r="AD407" s="4" t="s">
        <v>6</v>
      </c>
      <c r="AE407" s="5" t="s">
        <v>6</v>
      </c>
      <c r="AF407" s="4">
        <v>3</v>
      </c>
      <c r="AG407" s="5" t="s">
        <v>6</v>
      </c>
      <c r="AH407" s="4">
        <v>3</v>
      </c>
      <c r="AI407" s="4" t="s">
        <v>6</v>
      </c>
      <c r="AJ407" s="4" t="s">
        <v>6</v>
      </c>
      <c r="AK407" s="4" t="s">
        <v>6</v>
      </c>
      <c r="AL407" s="4" t="s">
        <v>6</v>
      </c>
      <c r="AM407" s="4" t="s">
        <v>6</v>
      </c>
      <c r="AN407" s="5" t="s">
        <v>6</v>
      </c>
    </row>
    <row r="408" spans="1:40" x14ac:dyDescent="0.2">
      <c r="A408" s="15">
        <v>3535</v>
      </c>
      <c r="B408" s="36" t="s">
        <v>6</v>
      </c>
      <c r="C408" s="36" t="s">
        <v>6</v>
      </c>
      <c r="D408" s="36" t="s">
        <v>6</v>
      </c>
      <c r="E408" s="36" t="s">
        <v>6</v>
      </c>
      <c r="F408" s="36" t="s">
        <v>6</v>
      </c>
      <c r="G408" s="36" t="s">
        <v>6</v>
      </c>
      <c r="H408" s="36" t="s">
        <v>6</v>
      </c>
      <c r="I408" s="36" t="s">
        <v>6</v>
      </c>
      <c r="J408" s="36" t="s">
        <v>6</v>
      </c>
      <c r="K408" s="36" t="s">
        <v>6</v>
      </c>
      <c r="L408" s="36" t="s">
        <v>6</v>
      </c>
      <c r="M408" s="36" t="s">
        <v>6</v>
      </c>
      <c r="N408" s="36" t="s">
        <v>6</v>
      </c>
      <c r="O408" s="36" t="s">
        <v>6</v>
      </c>
      <c r="P408" s="36" t="s">
        <v>6</v>
      </c>
      <c r="Q408" s="36" t="s">
        <v>6</v>
      </c>
      <c r="R408" s="36" t="s">
        <v>6</v>
      </c>
      <c r="S408" s="36" t="s">
        <v>6</v>
      </c>
      <c r="T408" s="36" t="s">
        <v>6</v>
      </c>
      <c r="U408" s="36" t="s">
        <v>6</v>
      </c>
      <c r="V408" s="4" t="s">
        <v>1</v>
      </c>
      <c r="W408" s="4">
        <v>1</v>
      </c>
      <c r="X408" s="4">
        <v>3</v>
      </c>
      <c r="Y408" s="4">
        <v>2</v>
      </c>
      <c r="Z408" s="5">
        <v>3</v>
      </c>
      <c r="AA408" s="4">
        <v>3</v>
      </c>
      <c r="AB408" s="4" t="s">
        <v>6</v>
      </c>
      <c r="AC408" s="4" t="s">
        <v>6</v>
      </c>
      <c r="AD408" s="4" t="s">
        <v>6</v>
      </c>
      <c r="AE408" s="5" t="s">
        <v>6</v>
      </c>
      <c r="AF408" s="4">
        <v>3</v>
      </c>
      <c r="AG408" s="5" t="s">
        <v>6</v>
      </c>
      <c r="AH408" s="4">
        <v>3</v>
      </c>
      <c r="AI408" s="4" t="s">
        <v>6</v>
      </c>
      <c r="AJ408" s="4" t="s">
        <v>6</v>
      </c>
      <c r="AK408" s="4" t="s">
        <v>6</v>
      </c>
      <c r="AL408" s="4" t="s">
        <v>6</v>
      </c>
      <c r="AM408" s="4" t="s">
        <v>6</v>
      </c>
      <c r="AN408" s="5" t="s">
        <v>6</v>
      </c>
    </row>
    <row r="409" spans="1:40" x14ac:dyDescent="0.2">
      <c r="A409" s="15">
        <v>3621</v>
      </c>
      <c r="B409" s="36" t="s">
        <v>6</v>
      </c>
      <c r="C409" s="36" t="s">
        <v>6</v>
      </c>
      <c r="D409" s="36" t="s">
        <v>6</v>
      </c>
      <c r="E409" s="36" t="s">
        <v>6</v>
      </c>
      <c r="F409" s="36" t="s">
        <v>6</v>
      </c>
      <c r="G409" s="36" t="s">
        <v>6</v>
      </c>
      <c r="H409" s="36" t="s">
        <v>6</v>
      </c>
      <c r="I409" s="36" t="s">
        <v>6</v>
      </c>
      <c r="J409" s="36" t="s">
        <v>6</v>
      </c>
      <c r="K409" s="36" t="s">
        <v>6</v>
      </c>
      <c r="L409" s="36" t="s">
        <v>6</v>
      </c>
      <c r="M409" s="36" t="s">
        <v>6</v>
      </c>
      <c r="N409" s="36" t="s">
        <v>6</v>
      </c>
      <c r="O409" s="36" t="s">
        <v>6</v>
      </c>
      <c r="P409" s="36" t="s">
        <v>6</v>
      </c>
      <c r="Q409" s="36" t="s">
        <v>6</v>
      </c>
      <c r="R409" s="36" t="s">
        <v>6</v>
      </c>
      <c r="S409" s="36" t="s">
        <v>6</v>
      </c>
      <c r="T409" s="36" t="s">
        <v>6</v>
      </c>
      <c r="U409" s="36" t="s">
        <v>6</v>
      </c>
      <c r="V409" s="4" t="s">
        <v>1</v>
      </c>
      <c r="W409" s="4">
        <v>1</v>
      </c>
      <c r="X409" s="4">
        <v>3</v>
      </c>
      <c r="Y409" s="4">
        <v>2</v>
      </c>
      <c r="Z409" s="5">
        <v>3</v>
      </c>
      <c r="AA409" s="4">
        <v>3</v>
      </c>
      <c r="AB409" s="4" t="s">
        <v>6</v>
      </c>
      <c r="AC409" s="4" t="s">
        <v>6</v>
      </c>
      <c r="AD409" s="4" t="s">
        <v>6</v>
      </c>
      <c r="AE409" s="5" t="s">
        <v>6</v>
      </c>
      <c r="AF409" s="4">
        <v>3</v>
      </c>
      <c r="AG409" s="5" t="s">
        <v>6</v>
      </c>
      <c r="AH409" s="4">
        <v>3</v>
      </c>
      <c r="AI409" s="4" t="s">
        <v>6</v>
      </c>
      <c r="AJ409" s="4" t="s">
        <v>6</v>
      </c>
      <c r="AK409" s="4" t="s">
        <v>6</v>
      </c>
      <c r="AL409" s="4" t="s">
        <v>6</v>
      </c>
      <c r="AM409" s="4" t="s">
        <v>6</v>
      </c>
      <c r="AN409" s="5" t="s">
        <v>6</v>
      </c>
    </row>
    <row r="410" spans="1:40" x14ac:dyDescent="0.2">
      <c r="A410" s="15">
        <v>3639</v>
      </c>
      <c r="B410" s="36" t="s">
        <v>6</v>
      </c>
      <c r="C410" s="36" t="s">
        <v>6</v>
      </c>
      <c r="D410" s="36" t="s">
        <v>6</v>
      </c>
      <c r="E410" s="36" t="s">
        <v>6</v>
      </c>
      <c r="F410" s="36" t="s">
        <v>6</v>
      </c>
      <c r="G410" s="36" t="s">
        <v>6</v>
      </c>
      <c r="H410" s="36" t="s">
        <v>6</v>
      </c>
      <c r="I410" s="36" t="s">
        <v>6</v>
      </c>
      <c r="J410" s="36" t="s">
        <v>6</v>
      </c>
      <c r="K410" s="36" t="s">
        <v>6</v>
      </c>
      <c r="L410" s="36" t="s">
        <v>6</v>
      </c>
      <c r="M410" s="36" t="s">
        <v>6</v>
      </c>
      <c r="N410" s="36" t="s">
        <v>6</v>
      </c>
      <c r="O410" s="36" t="s">
        <v>6</v>
      </c>
      <c r="P410" s="36" t="s">
        <v>6</v>
      </c>
      <c r="Q410" s="36" t="s">
        <v>6</v>
      </c>
      <c r="R410" s="36" t="s">
        <v>6</v>
      </c>
      <c r="S410" s="36" t="s">
        <v>6</v>
      </c>
      <c r="T410" s="36" t="s">
        <v>6</v>
      </c>
      <c r="U410" s="36" t="s">
        <v>6</v>
      </c>
      <c r="V410" s="4" t="s">
        <v>1</v>
      </c>
      <c r="W410" s="4">
        <v>1</v>
      </c>
      <c r="X410" s="4">
        <v>3</v>
      </c>
      <c r="Y410" s="4">
        <v>2</v>
      </c>
      <c r="Z410" s="5">
        <v>3</v>
      </c>
      <c r="AA410" s="4">
        <v>3</v>
      </c>
      <c r="AB410" s="4" t="s">
        <v>6</v>
      </c>
      <c r="AC410" s="4" t="s">
        <v>6</v>
      </c>
      <c r="AD410" s="4" t="s">
        <v>6</v>
      </c>
      <c r="AE410" s="5" t="s">
        <v>6</v>
      </c>
      <c r="AF410" s="4">
        <v>3</v>
      </c>
      <c r="AG410" s="5" t="s">
        <v>6</v>
      </c>
      <c r="AH410" s="4">
        <v>3</v>
      </c>
      <c r="AI410" s="4" t="s">
        <v>6</v>
      </c>
      <c r="AJ410" s="4" t="s">
        <v>6</v>
      </c>
      <c r="AK410" s="4" t="s">
        <v>6</v>
      </c>
      <c r="AL410" s="4" t="s">
        <v>6</v>
      </c>
      <c r="AM410" s="4" t="s">
        <v>6</v>
      </c>
      <c r="AN410" s="5" t="s">
        <v>6</v>
      </c>
    </row>
    <row r="411" spans="1:40" x14ac:dyDescent="0.2">
      <c r="A411" s="15">
        <v>3727</v>
      </c>
      <c r="B411" s="36" t="s">
        <v>6</v>
      </c>
      <c r="C411" s="36" t="s">
        <v>6</v>
      </c>
      <c r="D411" s="36" t="s">
        <v>6</v>
      </c>
      <c r="E411" s="36" t="s">
        <v>6</v>
      </c>
      <c r="F411" s="36" t="s">
        <v>6</v>
      </c>
      <c r="G411" s="36" t="s">
        <v>6</v>
      </c>
      <c r="H411" s="36" t="s">
        <v>6</v>
      </c>
      <c r="I411" s="36" t="s">
        <v>6</v>
      </c>
      <c r="J411" s="36" t="s">
        <v>6</v>
      </c>
      <c r="K411" s="36" t="s">
        <v>6</v>
      </c>
      <c r="L411" s="36" t="s">
        <v>6</v>
      </c>
      <c r="M411" s="36" t="s">
        <v>6</v>
      </c>
      <c r="N411" s="36" t="s">
        <v>6</v>
      </c>
      <c r="O411" s="36" t="s">
        <v>6</v>
      </c>
      <c r="P411" s="36" t="s">
        <v>6</v>
      </c>
      <c r="Q411" s="36" t="s">
        <v>6</v>
      </c>
      <c r="R411" s="36" t="s">
        <v>6</v>
      </c>
      <c r="S411" s="36" t="s">
        <v>6</v>
      </c>
      <c r="T411" s="36" t="s">
        <v>6</v>
      </c>
      <c r="U411" s="36" t="s">
        <v>6</v>
      </c>
      <c r="V411" s="4" t="s">
        <v>1</v>
      </c>
      <c r="W411" s="4">
        <v>1</v>
      </c>
      <c r="X411" s="4">
        <v>3</v>
      </c>
      <c r="Y411" s="4">
        <v>2</v>
      </c>
      <c r="Z411" s="5">
        <v>3</v>
      </c>
      <c r="AA411" s="4">
        <v>3</v>
      </c>
      <c r="AB411" s="4" t="s">
        <v>6</v>
      </c>
      <c r="AC411" s="4" t="s">
        <v>6</v>
      </c>
      <c r="AD411" s="4" t="s">
        <v>6</v>
      </c>
      <c r="AE411" s="5" t="s">
        <v>6</v>
      </c>
      <c r="AF411" s="4">
        <v>3</v>
      </c>
      <c r="AG411" s="5" t="s">
        <v>6</v>
      </c>
      <c r="AH411" s="4">
        <v>3</v>
      </c>
      <c r="AI411" s="4" t="s">
        <v>6</v>
      </c>
      <c r="AJ411" s="4" t="s">
        <v>6</v>
      </c>
      <c r="AK411" s="4" t="s">
        <v>6</v>
      </c>
      <c r="AL411" s="4" t="s">
        <v>6</v>
      </c>
      <c r="AM411" s="4" t="s">
        <v>6</v>
      </c>
      <c r="AN411" s="5" t="s">
        <v>6</v>
      </c>
    </row>
    <row r="412" spans="1:40" x14ac:dyDescent="0.2">
      <c r="A412" s="15">
        <v>3737</v>
      </c>
      <c r="B412" s="36" t="s">
        <v>6</v>
      </c>
      <c r="C412" s="36" t="s">
        <v>6</v>
      </c>
      <c r="D412" s="36" t="s">
        <v>6</v>
      </c>
      <c r="E412" s="36" t="s">
        <v>6</v>
      </c>
      <c r="F412" s="36" t="s">
        <v>6</v>
      </c>
      <c r="G412" s="36" t="s">
        <v>6</v>
      </c>
      <c r="H412" s="36" t="s">
        <v>6</v>
      </c>
      <c r="I412" s="36" t="s">
        <v>6</v>
      </c>
      <c r="J412" s="36" t="s">
        <v>6</v>
      </c>
      <c r="K412" s="36" t="s">
        <v>6</v>
      </c>
      <c r="L412" s="36" t="s">
        <v>6</v>
      </c>
      <c r="M412" s="36" t="s">
        <v>6</v>
      </c>
      <c r="N412" s="36" t="s">
        <v>6</v>
      </c>
      <c r="O412" s="36" t="s">
        <v>6</v>
      </c>
      <c r="P412" s="36" t="s">
        <v>6</v>
      </c>
      <c r="Q412" s="36" t="s">
        <v>6</v>
      </c>
      <c r="R412" s="36" t="s">
        <v>6</v>
      </c>
      <c r="S412" s="36" t="s">
        <v>6</v>
      </c>
      <c r="T412" s="36" t="s">
        <v>6</v>
      </c>
      <c r="U412" s="36" t="s">
        <v>6</v>
      </c>
      <c r="V412" s="4" t="s">
        <v>1</v>
      </c>
      <c r="W412" s="4">
        <v>1</v>
      </c>
      <c r="X412" s="4">
        <v>3</v>
      </c>
      <c r="Y412" s="4">
        <v>2</v>
      </c>
      <c r="Z412" s="5">
        <v>3</v>
      </c>
      <c r="AA412" s="4">
        <v>3</v>
      </c>
      <c r="AB412" s="4" t="s">
        <v>6</v>
      </c>
      <c r="AC412" s="4" t="s">
        <v>6</v>
      </c>
      <c r="AD412" s="4" t="s">
        <v>6</v>
      </c>
      <c r="AE412" s="5" t="s">
        <v>6</v>
      </c>
      <c r="AF412" s="4">
        <v>3</v>
      </c>
      <c r="AG412" s="5" t="s">
        <v>6</v>
      </c>
      <c r="AH412" s="4">
        <v>3</v>
      </c>
      <c r="AI412" s="4" t="s">
        <v>6</v>
      </c>
      <c r="AJ412" s="4" t="s">
        <v>6</v>
      </c>
      <c r="AK412" s="4" t="s">
        <v>6</v>
      </c>
      <c r="AL412" s="4" t="s">
        <v>6</v>
      </c>
      <c r="AM412" s="4" t="s">
        <v>6</v>
      </c>
      <c r="AN412" s="5" t="s">
        <v>6</v>
      </c>
    </row>
    <row r="413" spans="1:40" x14ac:dyDescent="0.2">
      <c r="A413" s="15">
        <v>3799</v>
      </c>
      <c r="B413" s="36" t="s">
        <v>6</v>
      </c>
      <c r="C413" s="36" t="s">
        <v>6</v>
      </c>
      <c r="D413" s="36" t="s">
        <v>6</v>
      </c>
      <c r="E413" s="36" t="s">
        <v>6</v>
      </c>
      <c r="F413" s="36" t="s">
        <v>6</v>
      </c>
      <c r="G413" s="36" t="s">
        <v>6</v>
      </c>
      <c r="H413" s="36" t="s">
        <v>6</v>
      </c>
      <c r="I413" s="36" t="s">
        <v>6</v>
      </c>
      <c r="J413" s="36" t="s">
        <v>6</v>
      </c>
      <c r="K413" s="36" t="s">
        <v>6</v>
      </c>
      <c r="L413" s="36" t="s">
        <v>6</v>
      </c>
      <c r="M413" s="36" t="s">
        <v>6</v>
      </c>
      <c r="N413" s="36" t="s">
        <v>6</v>
      </c>
      <c r="O413" s="36" t="s">
        <v>6</v>
      </c>
      <c r="P413" s="36" t="s">
        <v>6</v>
      </c>
      <c r="Q413" s="36" t="s">
        <v>6</v>
      </c>
      <c r="R413" s="36" t="s">
        <v>6</v>
      </c>
      <c r="S413" s="36" t="s">
        <v>6</v>
      </c>
      <c r="T413" s="36" t="s">
        <v>6</v>
      </c>
      <c r="U413" s="36" t="s">
        <v>6</v>
      </c>
      <c r="V413" s="4" t="s">
        <v>1</v>
      </c>
      <c r="W413" s="4">
        <v>1</v>
      </c>
      <c r="X413" s="4">
        <v>3</v>
      </c>
      <c r="Y413" s="4">
        <v>2</v>
      </c>
      <c r="Z413" s="5">
        <v>3</v>
      </c>
      <c r="AA413" s="4">
        <v>3</v>
      </c>
      <c r="AB413" s="4" t="s">
        <v>6</v>
      </c>
      <c r="AC413" s="4" t="s">
        <v>6</v>
      </c>
      <c r="AD413" s="4" t="s">
        <v>6</v>
      </c>
      <c r="AE413" s="5" t="s">
        <v>6</v>
      </c>
      <c r="AF413" s="4">
        <v>3</v>
      </c>
      <c r="AG413" s="5" t="s">
        <v>6</v>
      </c>
      <c r="AH413" s="4">
        <v>3</v>
      </c>
      <c r="AI413" s="4" t="s">
        <v>6</v>
      </c>
      <c r="AJ413" s="4" t="s">
        <v>6</v>
      </c>
      <c r="AK413" s="4" t="s">
        <v>6</v>
      </c>
      <c r="AL413" s="4" t="s">
        <v>6</v>
      </c>
      <c r="AM413" s="4" t="s">
        <v>6</v>
      </c>
      <c r="AN413" s="5" t="s">
        <v>6</v>
      </c>
    </row>
    <row r="414" spans="1:40" x14ac:dyDescent="0.2">
      <c r="A414" s="15">
        <v>3841</v>
      </c>
      <c r="B414" s="36" t="s">
        <v>6</v>
      </c>
      <c r="C414" s="36" t="s">
        <v>6</v>
      </c>
      <c r="D414" s="36" t="s">
        <v>6</v>
      </c>
      <c r="E414" s="36" t="s">
        <v>6</v>
      </c>
      <c r="F414" s="36" t="s">
        <v>6</v>
      </c>
      <c r="G414" s="36" t="s">
        <v>6</v>
      </c>
      <c r="H414" s="36" t="s">
        <v>6</v>
      </c>
      <c r="I414" s="36" t="s">
        <v>6</v>
      </c>
      <c r="J414" s="36" t="s">
        <v>6</v>
      </c>
      <c r="K414" s="36" t="s">
        <v>6</v>
      </c>
      <c r="L414" s="36" t="s">
        <v>6</v>
      </c>
      <c r="M414" s="36" t="s">
        <v>6</v>
      </c>
      <c r="N414" s="36" t="s">
        <v>6</v>
      </c>
      <c r="O414" s="36" t="s">
        <v>6</v>
      </c>
      <c r="P414" s="36" t="s">
        <v>6</v>
      </c>
      <c r="Q414" s="36" t="s">
        <v>6</v>
      </c>
      <c r="R414" s="36" t="s">
        <v>6</v>
      </c>
      <c r="S414" s="36" t="s">
        <v>6</v>
      </c>
      <c r="T414" s="36" t="s">
        <v>6</v>
      </c>
      <c r="U414" s="36" t="s">
        <v>6</v>
      </c>
      <c r="V414" s="4" t="s">
        <v>1</v>
      </c>
      <c r="W414" s="4">
        <v>1</v>
      </c>
      <c r="X414" s="4">
        <v>3</v>
      </c>
      <c r="Y414" s="4">
        <v>2</v>
      </c>
      <c r="Z414" s="5">
        <v>3</v>
      </c>
      <c r="AA414" s="4">
        <v>3</v>
      </c>
      <c r="AB414" s="4" t="s">
        <v>6</v>
      </c>
      <c r="AC414" s="4" t="s">
        <v>6</v>
      </c>
      <c r="AD414" s="4" t="s">
        <v>6</v>
      </c>
      <c r="AE414" s="5" t="s">
        <v>6</v>
      </c>
      <c r="AF414" s="4">
        <v>3</v>
      </c>
      <c r="AG414" s="5" t="s">
        <v>6</v>
      </c>
      <c r="AH414" s="4">
        <v>3</v>
      </c>
      <c r="AI414" s="4" t="s">
        <v>6</v>
      </c>
      <c r="AJ414" s="4" t="s">
        <v>6</v>
      </c>
      <c r="AK414" s="4" t="s">
        <v>6</v>
      </c>
      <c r="AL414" s="4" t="s">
        <v>6</v>
      </c>
      <c r="AM414" s="4" t="s">
        <v>6</v>
      </c>
      <c r="AN414" s="5" t="s">
        <v>6</v>
      </c>
    </row>
    <row r="415" spans="1:40" x14ac:dyDescent="0.2">
      <c r="A415" s="15">
        <v>3846</v>
      </c>
      <c r="B415" s="36" t="s">
        <v>6</v>
      </c>
      <c r="C415" s="36" t="s">
        <v>6</v>
      </c>
      <c r="D415" s="36" t="s">
        <v>6</v>
      </c>
      <c r="E415" s="36" t="s">
        <v>6</v>
      </c>
      <c r="F415" s="36" t="s">
        <v>6</v>
      </c>
      <c r="G415" s="36" t="s">
        <v>6</v>
      </c>
      <c r="H415" s="36" t="s">
        <v>6</v>
      </c>
      <c r="I415" s="36" t="s">
        <v>6</v>
      </c>
      <c r="J415" s="36" t="s">
        <v>6</v>
      </c>
      <c r="K415" s="36" t="s">
        <v>6</v>
      </c>
      <c r="L415" s="36" t="s">
        <v>6</v>
      </c>
      <c r="M415" s="36" t="s">
        <v>6</v>
      </c>
      <c r="N415" s="36" t="s">
        <v>6</v>
      </c>
      <c r="O415" s="36" t="s">
        <v>6</v>
      </c>
      <c r="P415" s="36" t="s">
        <v>6</v>
      </c>
      <c r="Q415" s="36" t="s">
        <v>6</v>
      </c>
      <c r="R415" s="36" t="s">
        <v>6</v>
      </c>
      <c r="S415" s="36" t="s">
        <v>6</v>
      </c>
      <c r="T415" s="36" t="s">
        <v>6</v>
      </c>
      <c r="U415" s="36" t="s">
        <v>6</v>
      </c>
      <c r="V415" s="4" t="s">
        <v>1</v>
      </c>
      <c r="W415" s="4">
        <v>1</v>
      </c>
      <c r="X415" s="4">
        <v>3</v>
      </c>
      <c r="Y415" s="4">
        <v>2</v>
      </c>
      <c r="Z415" s="5">
        <v>3</v>
      </c>
      <c r="AA415" s="4">
        <v>3</v>
      </c>
      <c r="AB415" s="4" t="s">
        <v>6</v>
      </c>
      <c r="AC415" s="4" t="s">
        <v>6</v>
      </c>
      <c r="AD415" s="4" t="s">
        <v>6</v>
      </c>
      <c r="AE415" s="5" t="s">
        <v>6</v>
      </c>
      <c r="AF415" s="4">
        <v>3</v>
      </c>
      <c r="AG415" s="5" t="s">
        <v>6</v>
      </c>
      <c r="AH415" s="4">
        <v>3</v>
      </c>
      <c r="AI415" s="4" t="s">
        <v>6</v>
      </c>
      <c r="AJ415" s="4" t="s">
        <v>6</v>
      </c>
      <c r="AK415" s="4" t="s">
        <v>6</v>
      </c>
      <c r="AL415" s="4" t="s">
        <v>6</v>
      </c>
      <c r="AM415" s="4" t="s">
        <v>6</v>
      </c>
      <c r="AN415" s="5" t="s">
        <v>6</v>
      </c>
    </row>
    <row r="416" spans="1:40" x14ac:dyDescent="0.2">
      <c r="A416" s="15">
        <v>3898</v>
      </c>
      <c r="B416" s="36" t="s">
        <v>6</v>
      </c>
      <c r="C416" s="36" t="s">
        <v>6</v>
      </c>
      <c r="D416" s="36" t="s">
        <v>6</v>
      </c>
      <c r="E416" s="36" t="s">
        <v>6</v>
      </c>
      <c r="F416" s="36" t="s">
        <v>6</v>
      </c>
      <c r="G416" s="36" t="s">
        <v>6</v>
      </c>
      <c r="H416" s="36" t="s">
        <v>6</v>
      </c>
      <c r="I416" s="36" t="s">
        <v>6</v>
      </c>
      <c r="J416" s="36" t="s">
        <v>6</v>
      </c>
      <c r="K416" s="36" t="s">
        <v>6</v>
      </c>
      <c r="L416" s="36" t="s">
        <v>6</v>
      </c>
      <c r="M416" s="36" t="s">
        <v>6</v>
      </c>
      <c r="N416" s="36" t="s">
        <v>6</v>
      </c>
      <c r="O416" s="36" t="s">
        <v>6</v>
      </c>
      <c r="P416" s="36" t="s">
        <v>6</v>
      </c>
      <c r="Q416" s="36" t="s">
        <v>6</v>
      </c>
      <c r="R416" s="36" t="s">
        <v>6</v>
      </c>
      <c r="S416" s="36" t="s">
        <v>6</v>
      </c>
      <c r="T416" s="36" t="s">
        <v>6</v>
      </c>
      <c r="U416" s="36" t="s">
        <v>6</v>
      </c>
      <c r="V416" s="4" t="s">
        <v>1</v>
      </c>
      <c r="W416" s="4">
        <v>1</v>
      </c>
      <c r="X416" s="4">
        <v>3</v>
      </c>
      <c r="Y416" s="4">
        <v>2</v>
      </c>
      <c r="Z416" s="5">
        <v>3</v>
      </c>
      <c r="AA416" s="4">
        <v>3</v>
      </c>
      <c r="AB416" s="4" t="s">
        <v>6</v>
      </c>
      <c r="AC416" s="4" t="s">
        <v>6</v>
      </c>
      <c r="AD416" s="4" t="s">
        <v>6</v>
      </c>
      <c r="AE416" s="5" t="s">
        <v>6</v>
      </c>
      <c r="AF416" s="4">
        <v>3</v>
      </c>
      <c r="AG416" s="5" t="s">
        <v>6</v>
      </c>
      <c r="AH416" s="4">
        <v>3</v>
      </c>
      <c r="AI416" s="4" t="s">
        <v>6</v>
      </c>
      <c r="AJ416" s="4" t="s">
        <v>6</v>
      </c>
      <c r="AK416" s="4" t="s">
        <v>6</v>
      </c>
      <c r="AL416" s="4" t="s">
        <v>6</v>
      </c>
      <c r="AM416" s="4" t="s">
        <v>6</v>
      </c>
      <c r="AN416" s="5" t="s">
        <v>6</v>
      </c>
    </row>
    <row r="417" spans="1:40" x14ac:dyDescent="0.2">
      <c r="A417" s="15">
        <v>3899</v>
      </c>
      <c r="B417" s="36" t="s">
        <v>6</v>
      </c>
      <c r="C417" s="36" t="s">
        <v>6</v>
      </c>
      <c r="D417" s="36" t="s">
        <v>6</v>
      </c>
      <c r="E417" s="36" t="s">
        <v>6</v>
      </c>
      <c r="F417" s="36" t="s">
        <v>6</v>
      </c>
      <c r="G417" s="36" t="s">
        <v>6</v>
      </c>
      <c r="H417" s="36" t="s">
        <v>6</v>
      </c>
      <c r="I417" s="36" t="s">
        <v>6</v>
      </c>
      <c r="J417" s="36" t="s">
        <v>6</v>
      </c>
      <c r="K417" s="36" t="s">
        <v>6</v>
      </c>
      <c r="L417" s="36" t="s">
        <v>6</v>
      </c>
      <c r="M417" s="36" t="s">
        <v>6</v>
      </c>
      <c r="N417" s="36" t="s">
        <v>6</v>
      </c>
      <c r="O417" s="36" t="s">
        <v>6</v>
      </c>
      <c r="P417" s="36" t="s">
        <v>6</v>
      </c>
      <c r="Q417" s="36" t="s">
        <v>6</v>
      </c>
      <c r="R417" s="36" t="s">
        <v>6</v>
      </c>
      <c r="S417" s="36" t="s">
        <v>6</v>
      </c>
      <c r="T417" s="36" t="s">
        <v>6</v>
      </c>
      <c r="U417" s="36" t="s">
        <v>6</v>
      </c>
      <c r="V417" s="4" t="s">
        <v>1</v>
      </c>
      <c r="W417" s="4">
        <v>1</v>
      </c>
      <c r="X417" s="4">
        <v>3</v>
      </c>
      <c r="Y417" s="4">
        <v>2</v>
      </c>
      <c r="Z417" s="5">
        <v>3</v>
      </c>
      <c r="AA417" s="4">
        <v>3</v>
      </c>
      <c r="AB417" s="4" t="s">
        <v>6</v>
      </c>
      <c r="AC417" s="4" t="s">
        <v>6</v>
      </c>
      <c r="AD417" s="4" t="s">
        <v>6</v>
      </c>
      <c r="AE417" s="5" t="s">
        <v>6</v>
      </c>
      <c r="AF417" s="4">
        <v>3</v>
      </c>
      <c r="AG417" s="5" t="s">
        <v>6</v>
      </c>
      <c r="AH417" s="4">
        <v>3</v>
      </c>
      <c r="AI417" s="4" t="s">
        <v>6</v>
      </c>
      <c r="AJ417" s="4" t="s">
        <v>6</v>
      </c>
      <c r="AK417" s="4" t="s">
        <v>6</v>
      </c>
      <c r="AL417" s="4" t="s">
        <v>6</v>
      </c>
      <c r="AM417" s="4" t="s">
        <v>6</v>
      </c>
      <c r="AN417" s="5" t="s">
        <v>6</v>
      </c>
    </row>
    <row r="418" spans="1:40" x14ac:dyDescent="0.2">
      <c r="A418" s="15">
        <v>3907</v>
      </c>
      <c r="B418" s="36" t="s">
        <v>6</v>
      </c>
      <c r="C418" s="36" t="s">
        <v>6</v>
      </c>
      <c r="D418" s="36" t="s">
        <v>6</v>
      </c>
      <c r="E418" s="36" t="s">
        <v>6</v>
      </c>
      <c r="F418" s="36" t="s">
        <v>6</v>
      </c>
      <c r="G418" s="36" t="s">
        <v>6</v>
      </c>
      <c r="H418" s="36" t="s">
        <v>6</v>
      </c>
      <c r="I418" s="36" t="s">
        <v>6</v>
      </c>
      <c r="J418" s="36" t="s">
        <v>6</v>
      </c>
      <c r="K418" s="36" t="s">
        <v>6</v>
      </c>
      <c r="L418" s="36" t="s">
        <v>6</v>
      </c>
      <c r="M418" s="36" t="s">
        <v>6</v>
      </c>
      <c r="N418" s="36" t="s">
        <v>6</v>
      </c>
      <c r="O418" s="36" t="s">
        <v>6</v>
      </c>
      <c r="P418" s="36" t="s">
        <v>6</v>
      </c>
      <c r="Q418" s="36" t="s">
        <v>6</v>
      </c>
      <c r="R418" s="36" t="s">
        <v>6</v>
      </c>
      <c r="S418" s="36" t="s">
        <v>6</v>
      </c>
      <c r="T418" s="36" t="s">
        <v>6</v>
      </c>
      <c r="U418" s="36" t="s">
        <v>6</v>
      </c>
      <c r="V418" s="4" t="s">
        <v>1</v>
      </c>
      <c r="W418" s="4">
        <v>1</v>
      </c>
      <c r="X418" s="4">
        <v>3</v>
      </c>
      <c r="Y418" s="4">
        <v>2</v>
      </c>
      <c r="Z418" s="5">
        <v>3</v>
      </c>
      <c r="AA418" s="4">
        <v>3</v>
      </c>
      <c r="AB418" s="4" t="s">
        <v>6</v>
      </c>
      <c r="AC418" s="4" t="s">
        <v>6</v>
      </c>
      <c r="AD418" s="4" t="s">
        <v>6</v>
      </c>
      <c r="AE418" s="5" t="s">
        <v>6</v>
      </c>
      <c r="AF418" s="4">
        <v>3</v>
      </c>
      <c r="AG418" s="5" t="s">
        <v>6</v>
      </c>
      <c r="AH418" s="4">
        <v>3</v>
      </c>
      <c r="AI418" s="4" t="s">
        <v>6</v>
      </c>
      <c r="AJ418" s="4" t="s">
        <v>6</v>
      </c>
      <c r="AK418" s="4" t="s">
        <v>6</v>
      </c>
      <c r="AL418" s="4" t="s">
        <v>6</v>
      </c>
      <c r="AM418" s="4" t="s">
        <v>6</v>
      </c>
      <c r="AN418" s="5" t="s">
        <v>6</v>
      </c>
    </row>
    <row r="419" spans="1:40" x14ac:dyDescent="0.2">
      <c r="A419" s="15">
        <v>3983</v>
      </c>
      <c r="B419" s="36" t="s">
        <v>6</v>
      </c>
      <c r="C419" s="36" t="s">
        <v>6</v>
      </c>
      <c r="D419" s="36" t="s">
        <v>6</v>
      </c>
      <c r="E419" s="36" t="s">
        <v>6</v>
      </c>
      <c r="F419" s="36" t="s">
        <v>6</v>
      </c>
      <c r="G419" s="36" t="s">
        <v>6</v>
      </c>
      <c r="H419" s="36" t="s">
        <v>6</v>
      </c>
      <c r="I419" s="36" t="s">
        <v>6</v>
      </c>
      <c r="J419" s="36" t="s">
        <v>6</v>
      </c>
      <c r="K419" s="36" t="s">
        <v>6</v>
      </c>
      <c r="L419" s="36" t="s">
        <v>6</v>
      </c>
      <c r="M419" s="36" t="s">
        <v>6</v>
      </c>
      <c r="N419" s="36" t="s">
        <v>6</v>
      </c>
      <c r="O419" s="36" t="s">
        <v>6</v>
      </c>
      <c r="P419" s="36" t="s">
        <v>6</v>
      </c>
      <c r="Q419" s="36" t="s">
        <v>6</v>
      </c>
      <c r="R419" s="36" t="s">
        <v>6</v>
      </c>
      <c r="S419" s="36" t="s">
        <v>6</v>
      </c>
      <c r="T419" s="36" t="s">
        <v>6</v>
      </c>
      <c r="U419" s="36" t="s">
        <v>6</v>
      </c>
      <c r="V419" s="4" t="s">
        <v>1</v>
      </c>
      <c r="W419" s="4">
        <v>1</v>
      </c>
      <c r="X419" s="4">
        <v>3</v>
      </c>
      <c r="Y419" s="4">
        <v>2</v>
      </c>
      <c r="Z419" s="5">
        <v>3</v>
      </c>
      <c r="AA419" s="4">
        <v>3</v>
      </c>
      <c r="AB419" s="4" t="s">
        <v>6</v>
      </c>
      <c r="AC419" s="4" t="s">
        <v>6</v>
      </c>
      <c r="AD419" s="4" t="s">
        <v>6</v>
      </c>
      <c r="AE419" s="5" t="s">
        <v>6</v>
      </c>
      <c r="AF419" s="4">
        <v>3</v>
      </c>
      <c r="AG419" s="5" t="s">
        <v>6</v>
      </c>
      <c r="AH419" s="4">
        <v>3</v>
      </c>
      <c r="AI419" s="4" t="s">
        <v>6</v>
      </c>
      <c r="AJ419" s="4" t="s">
        <v>6</v>
      </c>
      <c r="AK419" s="4" t="s">
        <v>6</v>
      </c>
      <c r="AL419" s="4" t="s">
        <v>6</v>
      </c>
      <c r="AM419" s="4" t="s">
        <v>6</v>
      </c>
      <c r="AN419" s="5" t="s">
        <v>6</v>
      </c>
    </row>
    <row r="420" spans="1:40" x14ac:dyDescent="0.2">
      <c r="A420" s="15">
        <v>3999</v>
      </c>
      <c r="B420" s="36" t="s">
        <v>6</v>
      </c>
      <c r="C420" s="36" t="s">
        <v>6</v>
      </c>
      <c r="D420" s="36" t="s">
        <v>6</v>
      </c>
      <c r="E420" s="36" t="s">
        <v>6</v>
      </c>
      <c r="F420" s="36" t="s">
        <v>6</v>
      </c>
      <c r="G420" s="36" t="s">
        <v>6</v>
      </c>
      <c r="H420" s="36" t="s">
        <v>6</v>
      </c>
      <c r="I420" s="36" t="s">
        <v>6</v>
      </c>
      <c r="J420" s="36" t="s">
        <v>6</v>
      </c>
      <c r="K420" s="36" t="s">
        <v>6</v>
      </c>
      <c r="L420" s="36" t="s">
        <v>6</v>
      </c>
      <c r="M420" s="36" t="s">
        <v>6</v>
      </c>
      <c r="N420" s="36" t="s">
        <v>6</v>
      </c>
      <c r="O420" s="36" t="s">
        <v>6</v>
      </c>
      <c r="P420" s="36" t="s">
        <v>6</v>
      </c>
      <c r="Q420" s="36" t="s">
        <v>6</v>
      </c>
      <c r="R420" s="36" t="s">
        <v>6</v>
      </c>
      <c r="S420" s="36" t="s">
        <v>6</v>
      </c>
      <c r="T420" s="36" t="s">
        <v>6</v>
      </c>
      <c r="U420" s="36" t="s">
        <v>6</v>
      </c>
      <c r="V420" s="4" t="s">
        <v>1</v>
      </c>
      <c r="W420" s="4">
        <v>1</v>
      </c>
      <c r="X420" s="4">
        <v>3</v>
      </c>
      <c r="Y420" s="4">
        <v>2</v>
      </c>
      <c r="Z420" s="5">
        <v>3</v>
      </c>
      <c r="AA420" s="4">
        <v>3</v>
      </c>
      <c r="AB420" s="4" t="s">
        <v>6</v>
      </c>
      <c r="AC420" s="4" t="s">
        <v>6</v>
      </c>
      <c r="AD420" s="4" t="s">
        <v>6</v>
      </c>
      <c r="AE420" s="5" t="s">
        <v>6</v>
      </c>
      <c r="AF420" s="4">
        <v>3</v>
      </c>
      <c r="AG420" s="5" t="s">
        <v>6</v>
      </c>
      <c r="AH420" s="4">
        <v>3</v>
      </c>
      <c r="AI420" s="4" t="s">
        <v>6</v>
      </c>
      <c r="AJ420" s="4" t="s">
        <v>6</v>
      </c>
      <c r="AK420" s="4" t="s">
        <v>6</v>
      </c>
      <c r="AL420" s="4" t="s">
        <v>6</v>
      </c>
      <c r="AM420" s="4" t="s">
        <v>6</v>
      </c>
      <c r="AN420" s="5" t="s">
        <v>6</v>
      </c>
    </row>
    <row r="421" spans="1:40" x14ac:dyDescent="0.2">
      <c r="A421" s="15">
        <v>4030</v>
      </c>
      <c r="B421" s="36" t="s">
        <v>6</v>
      </c>
      <c r="C421" s="36" t="s">
        <v>6</v>
      </c>
      <c r="D421" s="36" t="s">
        <v>6</v>
      </c>
      <c r="E421" s="36" t="s">
        <v>6</v>
      </c>
      <c r="F421" s="36" t="s">
        <v>6</v>
      </c>
      <c r="G421" s="36" t="s">
        <v>6</v>
      </c>
      <c r="H421" s="36" t="s">
        <v>6</v>
      </c>
      <c r="I421" s="36" t="s">
        <v>6</v>
      </c>
      <c r="J421" s="36" t="s">
        <v>6</v>
      </c>
      <c r="K421" s="36" t="s">
        <v>6</v>
      </c>
      <c r="L421" s="36" t="s">
        <v>6</v>
      </c>
      <c r="M421" s="36" t="s">
        <v>6</v>
      </c>
      <c r="N421" s="36" t="s">
        <v>6</v>
      </c>
      <c r="O421" s="36" t="s">
        <v>6</v>
      </c>
      <c r="P421" s="36" t="s">
        <v>6</v>
      </c>
      <c r="Q421" s="36" t="s">
        <v>6</v>
      </c>
      <c r="R421" s="36" t="s">
        <v>6</v>
      </c>
      <c r="S421" s="36" t="s">
        <v>6</v>
      </c>
      <c r="T421" s="36" t="s">
        <v>6</v>
      </c>
      <c r="U421" s="36" t="s">
        <v>6</v>
      </c>
      <c r="V421" s="4" t="s">
        <v>1</v>
      </c>
      <c r="W421" s="4">
        <v>1</v>
      </c>
      <c r="X421" s="4">
        <v>3</v>
      </c>
      <c r="Y421" s="4">
        <v>2</v>
      </c>
      <c r="Z421" s="5">
        <v>3</v>
      </c>
      <c r="AA421" s="4">
        <v>3</v>
      </c>
      <c r="AB421" s="4" t="s">
        <v>6</v>
      </c>
      <c r="AC421" s="4" t="s">
        <v>6</v>
      </c>
      <c r="AD421" s="4" t="s">
        <v>6</v>
      </c>
      <c r="AE421" s="5" t="s">
        <v>6</v>
      </c>
      <c r="AF421" s="4">
        <v>3</v>
      </c>
      <c r="AG421" s="5" t="s">
        <v>6</v>
      </c>
      <c r="AH421" s="4">
        <v>3</v>
      </c>
      <c r="AI421" s="4" t="s">
        <v>6</v>
      </c>
      <c r="AJ421" s="4" t="s">
        <v>6</v>
      </c>
      <c r="AK421" s="4" t="s">
        <v>6</v>
      </c>
      <c r="AL421" s="4" t="s">
        <v>6</v>
      </c>
      <c r="AM421" s="4" t="s">
        <v>6</v>
      </c>
      <c r="AN421" s="5" t="s">
        <v>6</v>
      </c>
    </row>
    <row r="422" spans="1:40" x14ac:dyDescent="0.2">
      <c r="A422" s="15">
        <v>4033</v>
      </c>
      <c r="B422" s="36" t="s">
        <v>6</v>
      </c>
      <c r="C422" s="36" t="s">
        <v>6</v>
      </c>
      <c r="D422" s="36" t="s">
        <v>6</v>
      </c>
      <c r="E422" s="36" t="s">
        <v>6</v>
      </c>
      <c r="F422" s="36" t="s">
        <v>6</v>
      </c>
      <c r="G422" s="36" t="s">
        <v>6</v>
      </c>
      <c r="H422" s="36" t="s">
        <v>6</v>
      </c>
      <c r="I422" s="36" t="s">
        <v>6</v>
      </c>
      <c r="J422" s="36" t="s">
        <v>6</v>
      </c>
      <c r="K422" s="36" t="s">
        <v>6</v>
      </c>
      <c r="L422" s="36" t="s">
        <v>6</v>
      </c>
      <c r="M422" s="36" t="s">
        <v>6</v>
      </c>
      <c r="N422" s="36" t="s">
        <v>6</v>
      </c>
      <c r="O422" s="36" t="s">
        <v>6</v>
      </c>
      <c r="P422" s="36" t="s">
        <v>6</v>
      </c>
      <c r="Q422" s="36" t="s">
        <v>6</v>
      </c>
      <c r="R422" s="36" t="s">
        <v>6</v>
      </c>
      <c r="S422" s="36" t="s">
        <v>6</v>
      </c>
      <c r="T422" s="36" t="s">
        <v>6</v>
      </c>
      <c r="U422" s="36" t="s">
        <v>6</v>
      </c>
      <c r="V422" s="4" t="s">
        <v>1</v>
      </c>
      <c r="W422" s="4">
        <v>1</v>
      </c>
      <c r="X422" s="4">
        <v>3</v>
      </c>
      <c r="Y422" s="4">
        <v>2</v>
      </c>
      <c r="Z422" s="5">
        <v>3</v>
      </c>
      <c r="AA422" s="4">
        <v>3</v>
      </c>
      <c r="AB422" s="4" t="s">
        <v>6</v>
      </c>
      <c r="AC422" s="4" t="s">
        <v>6</v>
      </c>
      <c r="AD422" s="4" t="s">
        <v>6</v>
      </c>
      <c r="AE422" s="5" t="s">
        <v>6</v>
      </c>
      <c r="AF422" s="4">
        <v>3</v>
      </c>
      <c r="AG422" s="5" t="s">
        <v>6</v>
      </c>
      <c r="AH422" s="4">
        <v>3</v>
      </c>
      <c r="AI422" s="4" t="s">
        <v>6</v>
      </c>
      <c r="AJ422" s="4" t="s">
        <v>6</v>
      </c>
      <c r="AK422" s="4" t="s">
        <v>6</v>
      </c>
      <c r="AL422" s="4" t="s">
        <v>6</v>
      </c>
      <c r="AM422" s="4" t="s">
        <v>6</v>
      </c>
      <c r="AN422" s="5" t="s">
        <v>6</v>
      </c>
    </row>
    <row r="423" spans="1:40" x14ac:dyDescent="0.2">
      <c r="A423" s="15">
        <v>4104</v>
      </c>
      <c r="B423" s="36" t="s">
        <v>6</v>
      </c>
      <c r="C423" s="36" t="s">
        <v>6</v>
      </c>
      <c r="D423" s="36" t="s">
        <v>6</v>
      </c>
      <c r="E423" s="36" t="s">
        <v>6</v>
      </c>
      <c r="F423" s="36" t="s">
        <v>6</v>
      </c>
      <c r="G423" s="36" t="s">
        <v>6</v>
      </c>
      <c r="H423" s="36" t="s">
        <v>6</v>
      </c>
      <c r="I423" s="36" t="s">
        <v>6</v>
      </c>
      <c r="J423" s="36" t="s">
        <v>6</v>
      </c>
      <c r="K423" s="36" t="s">
        <v>6</v>
      </c>
      <c r="L423" s="36" t="s">
        <v>6</v>
      </c>
      <c r="M423" s="36" t="s">
        <v>6</v>
      </c>
      <c r="N423" s="36" t="s">
        <v>6</v>
      </c>
      <c r="O423" s="36" t="s">
        <v>6</v>
      </c>
      <c r="P423" s="36" t="s">
        <v>6</v>
      </c>
      <c r="Q423" s="36" t="s">
        <v>6</v>
      </c>
      <c r="R423" s="36" t="s">
        <v>6</v>
      </c>
      <c r="S423" s="36" t="s">
        <v>6</v>
      </c>
      <c r="T423" s="36" t="s">
        <v>6</v>
      </c>
      <c r="U423" s="36" t="s">
        <v>6</v>
      </c>
      <c r="V423" s="4" t="s">
        <v>1</v>
      </c>
      <c r="W423" s="4">
        <v>1</v>
      </c>
      <c r="X423" s="4">
        <v>3</v>
      </c>
      <c r="Y423" s="4">
        <v>2</v>
      </c>
      <c r="Z423" s="5">
        <v>3</v>
      </c>
      <c r="AA423" s="4">
        <v>3</v>
      </c>
      <c r="AB423" s="4" t="s">
        <v>6</v>
      </c>
      <c r="AC423" s="4" t="s">
        <v>6</v>
      </c>
      <c r="AD423" s="4" t="s">
        <v>6</v>
      </c>
      <c r="AE423" s="5" t="s">
        <v>6</v>
      </c>
      <c r="AF423" s="4">
        <v>3</v>
      </c>
      <c r="AG423" s="5" t="s">
        <v>6</v>
      </c>
      <c r="AH423" s="4">
        <v>3</v>
      </c>
      <c r="AI423" s="4" t="s">
        <v>6</v>
      </c>
      <c r="AJ423" s="4" t="s">
        <v>6</v>
      </c>
      <c r="AK423" s="4" t="s">
        <v>6</v>
      </c>
      <c r="AL423" s="4" t="s">
        <v>6</v>
      </c>
      <c r="AM423" s="4" t="s">
        <v>6</v>
      </c>
      <c r="AN423" s="5" t="s">
        <v>6</v>
      </c>
    </row>
    <row r="424" spans="1:40" x14ac:dyDescent="0.2">
      <c r="A424" s="15">
        <v>4129</v>
      </c>
      <c r="B424" s="36" t="s">
        <v>6</v>
      </c>
      <c r="C424" s="36" t="s">
        <v>6</v>
      </c>
      <c r="D424" s="36" t="s">
        <v>6</v>
      </c>
      <c r="E424" s="36" t="s">
        <v>6</v>
      </c>
      <c r="F424" s="36" t="s">
        <v>6</v>
      </c>
      <c r="G424" s="36" t="s">
        <v>6</v>
      </c>
      <c r="H424" s="36" t="s">
        <v>6</v>
      </c>
      <c r="I424" s="36" t="s">
        <v>6</v>
      </c>
      <c r="J424" s="36" t="s">
        <v>6</v>
      </c>
      <c r="K424" s="36" t="s">
        <v>6</v>
      </c>
      <c r="L424" s="36" t="s">
        <v>6</v>
      </c>
      <c r="M424" s="36" t="s">
        <v>6</v>
      </c>
      <c r="N424" s="36" t="s">
        <v>6</v>
      </c>
      <c r="O424" s="36" t="s">
        <v>6</v>
      </c>
      <c r="P424" s="36" t="s">
        <v>6</v>
      </c>
      <c r="Q424" s="36" t="s">
        <v>6</v>
      </c>
      <c r="R424" s="36" t="s">
        <v>6</v>
      </c>
      <c r="S424" s="36" t="s">
        <v>6</v>
      </c>
      <c r="T424" s="36" t="s">
        <v>6</v>
      </c>
      <c r="U424" s="36" t="s">
        <v>6</v>
      </c>
      <c r="V424" s="4" t="s">
        <v>1</v>
      </c>
      <c r="W424" s="4">
        <v>1</v>
      </c>
      <c r="X424" s="4">
        <v>3</v>
      </c>
      <c r="Y424" s="4">
        <v>2</v>
      </c>
      <c r="Z424" s="5">
        <v>3</v>
      </c>
      <c r="AA424" s="4">
        <v>3</v>
      </c>
      <c r="AB424" s="4" t="s">
        <v>6</v>
      </c>
      <c r="AC424" s="4" t="s">
        <v>6</v>
      </c>
      <c r="AD424" s="4" t="s">
        <v>6</v>
      </c>
      <c r="AE424" s="5" t="s">
        <v>6</v>
      </c>
      <c r="AF424" s="4">
        <v>3</v>
      </c>
      <c r="AG424" s="5" t="s">
        <v>6</v>
      </c>
      <c r="AH424" s="4">
        <v>3</v>
      </c>
      <c r="AI424" s="4" t="s">
        <v>6</v>
      </c>
      <c r="AJ424" s="4" t="s">
        <v>6</v>
      </c>
      <c r="AK424" s="4" t="s">
        <v>6</v>
      </c>
      <c r="AL424" s="4" t="s">
        <v>6</v>
      </c>
      <c r="AM424" s="4" t="s">
        <v>6</v>
      </c>
      <c r="AN424" s="5" t="s">
        <v>6</v>
      </c>
    </row>
    <row r="425" spans="1:40" x14ac:dyDescent="0.2">
      <c r="A425" s="15">
        <v>4165</v>
      </c>
      <c r="B425" s="36" t="s">
        <v>6</v>
      </c>
      <c r="C425" s="36" t="s">
        <v>6</v>
      </c>
      <c r="D425" s="36" t="s">
        <v>6</v>
      </c>
      <c r="E425" s="36" t="s">
        <v>6</v>
      </c>
      <c r="F425" s="36" t="s">
        <v>6</v>
      </c>
      <c r="G425" s="36" t="s">
        <v>6</v>
      </c>
      <c r="H425" s="36" t="s">
        <v>6</v>
      </c>
      <c r="I425" s="36" t="s">
        <v>6</v>
      </c>
      <c r="J425" s="36" t="s">
        <v>6</v>
      </c>
      <c r="K425" s="36" t="s">
        <v>6</v>
      </c>
      <c r="L425" s="36" t="s">
        <v>6</v>
      </c>
      <c r="M425" s="36" t="s">
        <v>6</v>
      </c>
      <c r="N425" s="36" t="s">
        <v>6</v>
      </c>
      <c r="O425" s="36" t="s">
        <v>6</v>
      </c>
      <c r="P425" s="36" t="s">
        <v>6</v>
      </c>
      <c r="Q425" s="36" t="s">
        <v>6</v>
      </c>
      <c r="R425" s="36" t="s">
        <v>6</v>
      </c>
      <c r="S425" s="36" t="s">
        <v>6</v>
      </c>
      <c r="T425" s="36" t="s">
        <v>6</v>
      </c>
      <c r="U425" s="36" t="s">
        <v>6</v>
      </c>
      <c r="V425" s="4" t="s">
        <v>1</v>
      </c>
      <c r="W425" s="4">
        <v>1</v>
      </c>
      <c r="X425" s="4">
        <v>3</v>
      </c>
      <c r="Y425" s="4">
        <v>2</v>
      </c>
      <c r="Z425" s="5">
        <v>3</v>
      </c>
      <c r="AA425" s="4">
        <v>3</v>
      </c>
      <c r="AB425" s="4" t="s">
        <v>6</v>
      </c>
      <c r="AC425" s="4" t="s">
        <v>6</v>
      </c>
      <c r="AD425" s="4" t="s">
        <v>6</v>
      </c>
      <c r="AE425" s="5" t="s">
        <v>6</v>
      </c>
      <c r="AF425" s="4">
        <v>3</v>
      </c>
      <c r="AG425" s="5" t="s">
        <v>6</v>
      </c>
      <c r="AH425" s="4">
        <v>3</v>
      </c>
      <c r="AI425" s="4" t="s">
        <v>6</v>
      </c>
      <c r="AJ425" s="4" t="s">
        <v>6</v>
      </c>
      <c r="AK425" s="4" t="s">
        <v>6</v>
      </c>
      <c r="AL425" s="4" t="s">
        <v>6</v>
      </c>
      <c r="AM425" s="4" t="s">
        <v>6</v>
      </c>
      <c r="AN425" s="5" t="s">
        <v>6</v>
      </c>
    </row>
    <row r="426" spans="1:40" x14ac:dyDescent="0.2">
      <c r="A426" s="15">
        <v>4169</v>
      </c>
      <c r="B426" s="36" t="s">
        <v>6</v>
      </c>
      <c r="C426" s="36" t="s">
        <v>6</v>
      </c>
      <c r="D426" s="36" t="s">
        <v>6</v>
      </c>
      <c r="E426" s="36" t="s">
        <v>6</v>
      </c>
      <c r="F426" s="36" t="s">
        <v>6</v>
      </c>
      <c r="G426" s="36" t="s">
        <v>6</v>
      </c>
      <c r="H426" s="36" t="s">
        <v>6</v>
      </c>
      <c r="I426" s="36" t="s">
        <v>6</v>
      </c>
      <c r="J426" s="36" t="s">
        <v>6</v>
      </c>
      <c r="K426" s="36" t="s">
        <v>6</v>
      </c>
      <c r="L426" s="36" t="s">
        <v>6</v>
      </c>
      <c r="M426" s="36" t="s">
        <v>6</v>
      </c>
      <c r="N426" s="36" t="s">
        <v>6</v>
      </c>
      <c r="O426" s="36" t="s">
        <v>6</v>
      </c>
      <c r="P426" s="36" t="s">
        <v>6</v>
      </c>
      <c r="Q426" s="36" t="s">
        <v>6</v>
      </c>
      <c r="R426" s="36" t="s">
        <v>6</v>
      </c>
      <c r="S426" s="36" t="s">
        <v>6</v>
      </c>
      <c r="T426" s="36" t="s">
        <v>6</v>
      </c>
      <c r="U426" s="36" t="s">
        <v>6</v>
      </c>
      <c r="V426" s="4" t="s">
        <v>1</v>
      </c>
      <c r="W426" s="4">
        <v>1</v>
      </c>
      <c r="X426" s="4">
        <v>3</v>
      </c>
      <c r="Y426" s="4">
        <v>2</v>
      </c>
      <c r="Z426" s="5">
        <v>3</v>
      </c>
      <c r="AA426" s="4">
        <v>3</v>
      </c>
      <c r="AB426" s="4" t="s">
        <v>6</v>
      </c>
      <c r="AC426" s="4" t="s">
        <v>6</v>
      </c>
      <c r="AD426" s="4" t="s">
        <v>6</v>
      </c>
      <c r="AE426" s="5" t="s">
        <v>6</v>
      </c>
      <c r="AF426" s="4">
        <v>3</v>
      </c>
      <c r="AG426" s="5" t="s">
        <v>6</v>
      </c>
      <c r="AH426" s="4">
        <v>3</v>
      </c>
      <c r="AI426" s="4" t="s">
        <v>6</v>
      </c>
      <c r="AJ426" s="4" t="s">
        <v>6</v>
      </c>
      <c r="AK426" s="4" t="s">
        <v>6</v>
      </c>
      <c r="AL426" s="4" t="s">
        <v>6</v>
      </c>
      <c r="AM426" s="4" t="s">
        <v>6</v>
      </c>
      <c r="AN426" s="5" t="s">
        <v>6</v>
      </c>
    </row>
    <row r="427" spans="1:40" x14ac:dyDescent="0.2">
      <c r="A427" s="15">
        <v>4172</v>
      </c>
      <c r="B427" s="36" t="s">
        <v>6</v>
      </c>
      <c r="C427" s="36" t="s">
        <v>6</v>
      </c>
      <c r="D427" s="36" t="s">
        <v>6</v>
      </c>
      <c r="E427" s="36" t="s">
        <v>6</v>
      </c>
      <c r="F427" s="36" t="s">
        <v>6</v>
      </c>
      <c r="G427" s="36" t="s">
        <v>6</v>
      </c>
      <c r="H427" s="36" t="s">
        <v>6</v>
      </c>
      <c r="I427" s="36" t="s">
        <v>6</v>
      </c>
      <c r="J427" s="36" t="s">
        <v>6</v>
      </c>
      <c r="K427" s="36" t="s">
        <v>6</v>
      </c>
      <c r="L427" s="36" t="s">
        <v>6</v>
      </c>
      <c r="M427" s="36" t="s">
        <v>6</v>
      </c>
      <c r="N427" s="36" t="s">
        <v>6</v>
      </c>
      <c r="O427" s="36" t="s">
        <v>6</v>
      </c>
      <c r="P427" s="36" t="s">
        <v>6</v>
      </c>
      <c r="Q427" s="36" t="s">
        <v>6</v>
      </c>
      <c r="R427" s="36" t="s">
        <v>6</v>
      </c>
      <c r="S427" s="36" t="s">
        <v>6</v>
      </c>
      <c r="T427" s="36" t="s">
        <v>6</v>
      </c>
      <c r="U427" s="36" t="s">
        <v>6</v>
      </c>
      <c r="V427" s="4" t="s">
        <v>1</v>
      </c>
      <c r="W427" s="4">
        <v>1</v>
      </c>
      <c r="X427" s="4">
        <v>3</v>
      </c>
      <c r="Y427" s="4">
        <v>2</v>
      </c>
      <c r="Z427" s="5">
        <v>3</v>
      </c>
      <c r="AA427" s="4">
        <v>3</v>
      </c>
      <c r="AB427" s="4" t="s">
        <v>6</v>
      </c>
      <c r="AC427" s="4" t="s">
        <v>6</v>
      </c>
      <c r="AD427" s="4" t="s">
        <v>6</v>
      </c>
      <c r="AE427" s="5" t="s">
        <v>6</v>
      </c>
      <c r="AF427" s="4">
        <v>3</v>
      </c>
      <c r="AG427" s="5" t="s">
        <v>6</v>
      </c>
      <c r="AH427" s="4">
        <v>3</v>
      </c>
      <c r="AI427" s="4" t="s">
        <v>6</v>
      </c>
      <c r="AJ427" s="4" t="s">
        <v>6</v>
      </c>
      <c r="AK427" s="4" t="s">
        <v>6</v>
      </c>
      <c r="AL427" s="4" t="s">
        <v>6</v>
      </c>
      <c r="AM427" s="4" t="s">
        <v>6</v>
      </c>
      <c r="AN427" s="5" t="s">
        <v>6</v>
      </c>
    </row>
    <row r="428" spans="1:40" x14ac:dyDescent="0.2">
      <c r="A428" s="15">
        <v>4195</v>
      </c>
      <c r="B428" s="36" t="s">
        <v>6</v>
      </c>
      <c r="C428" s="36" t="s">
        <v>6</v>
      </c>
      <c r="D428" s="36" t="s">
        <v>6</v>
      </c>
      <c r="E428" s="36" t="s">
        <v>6</v>
      </c>
      <c r="F428" s="36" t="s">
        <v>6</v>
      </c>
      <c r="G428" s="36" t="s">
        <v>6</v>
      </c>
      <c r="H428" s="36" t="s">
        <v>6</v>
      </c>
      <c r="I428" s="36" t="s">
        <v>6</v>
      </c>
      <c r="J428" s="36" t="s">
        <v>6</v>
      </c>
      <c r="K428" s="36" t="s">
        <v>6</v>
      </c>
      <c r="L428" s="36" t="s">
        <v>6</v>
      </c>
      <c r="M428" s="36" t="s">
        <v>6</v>
      </c>
      <c r="N428" s="36" t="s">
        <v>6</v>
      </c>
      <c r="O428" s="36" t="s">
        <v>6</v>
      </c>
      <c r="P428" s="36" t="s">
        <v>6</v>
      </c>
      <c r="Q428" s="36" t="s">
        <v>6</v>
      </c>
      <c r="R428" s="36" t="s">
        <v>6</v>
      </c>
      <c r="S428" s="36" t="s">
        <v>6</v>
      </c>
      <c r="T428" s="36" t="s">
        <v>6</v>
      </c>
      <c r="U428" s="36" t="s">
        <v>6</v>
      </c>
      <c r="V428" s="4" t="s">
        <v>1</v>
      </c>
      <c r="W428" s="4">
        <v>1</v>
      </c>
      <c r="X428" s="4">
        <v>3</v>
      </c>
      <c r="Y428" s="4">
        <v>2</v>
      </c>
      <c r="Z428" s="5">
        <v>3</v>
      </c>
      <c r="AA428" s="4">
        <v>3</v>
      </c>
      <c r="AB428" s="4" t="s">
        <v>6</v>
      </c>
      <c r="AC428" s="4" t="s">
        <v>6</v>
      </c>
      <c r="AD428" s="4" t="s">
        <v>6</v>
      </c>
      <c r="AE428" s="5" t="s">
        <v>6</v>
      </c>
      <c r="AF428" s="4">
        <v>3</v>
      </c>
      <c r="AG428" s="5" t="s">
        <v>6</v>
      </c>
      <c r="AH428" s="4">
        <v>3</v>
      </c>
      <c r="AI428" s="4" t="s">
        <v>6</v>
      </c>
      <c r="AJ428" s="4" t="s">
        <v>6</v>
      </c>
      <c r="AK428" s="4" t="s">
        <v>6</v>
      </c>
      <c r="AL428" s="4" t="s">
        <v>6</v>
      </c>
      <c r="AM428" s="4" t="s">
        <v>6</v>
      </c>
      <c r="AN428" s="5" t="s">
        <v>6</v>
      </c>
    </row>
    <row r="429" spans="1:40" x14ac:dyDescent="0.2">
      <c r="A429" s="15">
        <v>4240</v>
      </c>
      <c r="B429" s="36" t="s">
        <v>6</v>
      </c>
      <c r="C429" s="36" t="s">
        <v>6</v>
      </c>
      <c r="D429" s="36" t="s">
        <v>6</v>
      </c>
      <c r="E429" s="36" t="s">
        <v>6</v>
      </c>
      <c r="F429" s="36" t="s">
        <v>6</v>
      </c>
      <c r="G429" s="36" t="s">
        <v>6</v>
      </c>
      <c r="H429" s="36" t="s">
        <v>6</v>
      </c>
      <c r="I429" s="36" t="s">
        <v>6</v>
      </c>
      <c r="J429" s="36" t="s">
        <v>6</v>
      </c>
      <c r="K429" s="36" t="s">
        <v>6</v>
      </c>
      <c r="L429" s="36" t="s">
        <v>6</v>
      </c>
      <c r="M429" s="36" t="s">
        <v>6</v>
      </c>
      <c r="N429" s="36" t="s">
        <v>6</v>
      </c>
      <c r="O429" s="36" t="s">
        <v>6</v>
      </c>
      <c r="P429" s="36" t="s">
        <v>6</v>
      </c>
      <c r="Q429" s="36" t="s">
        <v>6</v>
      </c>
      <c r="R429" s="36" t="s">
        <v>6</v>
      </c>
      <c r="S429" s="36" t="s">
        <v>6</v>
      </c>
      <c r="T429" s="36" t="s">
        <v>6</v>
      </c>
      <c r="U429" s="36" t="s">
        <v>6</v>
      </c>
      <c r="V429" s="4" t="s">
        <v>1</v>
      </c>
      <c r="W429" s="4">
        <v>1</v>
      </c>
      <c r="X429" s="4">
        <v>3</v>
      </c>
      <c r="Y429" s="4">
        <v>2</v>
      </c>
      <c r="Z429" s="5">
        <v>3</v>
      </c>
      <c r="AA429" s="4">
        <v>3</v>
      </c>
      <c r="AB429" s="4" t="s">
        <v>6</v>
      </c>
      <c r="AC429" s="4" t="s">
        <v>6</v>
      </c>
      <c r="AD429" s="4" t="s">
        <v>6</v>
      </c>
      <c r="AE429" s="5" t="s">
        <v>6</v>
      </c>
      <c r="AF429" s="4">
        <v>3</v>
      </c>
      <c r="AG429" s="5" t="s">
        <v>6</v>
      </c>
      <c r="AH429" s="4">
        <v>3</v>
      </c>
      <c r="AI429" s="4" t="s">
        <v>6</v>
      </c>
      <c r="AJ429" s="4" t="s">
        <v>6</v>
      </c>
      <c r="AK429" s="4" t="s">
        <v>6</v>
      </c>
      <c r="AL429" s="4" t="s">
        <v>6</v>
      </c>
      <c r="AM429" s="4" t="s">
        <v>6</v>
      </c>
      <c r="AN429" s="5" t="s">
        <v>6</v>
      </c>
    </row>
    <row r="430" spans="1:40" x14ac:dyDescent="0.2">
      <c r="A430" s="15">
        <v>4245</v>
      </c>
      <c r="B430" s="36" t="s">
        <v>6</v>
      </c>
      <c r="C430" s="36" t="s">
        <v>6</v>
      </c>
      <c r="D430" s="36" t="s">
        <v>6</v>
      </c>
      <c r="E430" s="36" t="s">
        <v>6</v>
      </c>
      <c r="F430" s="36" t="s">
        <v>6</v>
      </c>
      <c r="G430" s="36" t="s">
        <v>6</v>
      </c>
      <c r="H430" s="36" t="s">
        <v>6</v>
      </c>
      <c r="I430" s="36" t="s">
        <v>6</v>
      </c>
      <c r="J430" s="36" t="s">
        <v>6</v>
      </c>
      <c r="K430" s="36" t="s">
        <v>6</v>
      </c>
      <c r="L430" s="36" t="s">
        <v>6</v>
      </c>
      <c r="M430" s="36" t="s">
        <v>6</v>
      </c>
      <c r="N430" s="36" t="s">
        <v>6</v>
      </c>
      <c r="O430" s="36" t="s">
        <v>6</v>
      </c>
      <c r="P430" s="36" t="s">
        <v>6</v>
      </c>
      <c r="Q430" s="36" t="s">
        <v>6</v>
      </c>
      <c r="R430" s="36" t="s">
        <v>6</v>
      </c>
      <c r="S430" s="36" t="s">
        <v>6</v>
      </c>
      <c r="T430" s="36" t="s">
        <v>6</v>
      </c>
      <c r="U430" s="36" t="s">
        <v>6</v>
      </c>
      <c r="V430" s="4" t="s">
        <v>1</v>
      </c>
      <c r="W430" s="4">
        <v>1</v>
      </c>
      <c r="X430" s="4">
        <v>3</v>
      </c>
      <c r="Y430" s="4">
        <v>2</v>
      </c>
      <c r="Z430" s="5">
        <v>3</v>
      </c>
      <c r="AA430" s="4">
        <v>3</v>
      </c>
      <c r="AB430" s="4" t="s">
        <v>6</v>
      </c>
      <c r="AC430" s="4" t="s">
        <v>6</v>
      </c>
      <c r="AD430" s="4" t="s">
        <v>6</v>
      </c>
      <c r="AE430" s="5" t="s">
        <v>6</v>
      </c>
      <c r="AF430" s="4">
        <v>3</v>
      </c>
      <c r="AG430" s="5" t="s">
        <v>6</v>
      </c>
      <c r="AH430" s="4">
        <v>3</v>
      </c>
      <c r="AI430" s="4" t="s">
        <v>6</v>
      </c>
      <c r="AJ430" s="4" t="s">
        <v>6</v>
      </c>
      <c r="AK430" s="4" t="s">
        <v>6</v>
      </c>
      <c r="AL430" s="4" t="s">
        <v>6</v>
      </c>
      <c r="AM430" s="4" t="s">
        <v>6</v>
      </c>
      <c r="AN430" s="5" t="s">
        <v>6</v>
      </c>
    </row>
    <row r="431" spans="1:40" x14ac:dyDescent="0.2">
      <c r="A431" s="15">
        <v>4265</v>
      </c>
      <c r="B431" s="36" t="s">
        <v>6</v>
      </c>
      <c r="C431" s="36" t="s">
        <v>6</v>
      </c>
      <c r="D431" s="36" t="s">
        <v>6</v>
      </c>
      <c r="E431" s="36" t="s">
        <v>6</v>
      </c>
      <c r="F431" s="36" t="s">
        <v>6</v>
      </c>
      <c r="G431" s="36" t="s">
        <v>6</v>
      </c>
      <c r="H431" s="36" t="s">
        <v>6</v>
      </c>
      <c r="I431" s="36" t="s">
        <v>6</v>
      </c>
      <c r="J431" s="36" t="s">
        <v>6</v>
      </c>
      <c r="K431" s="36" t="s">
        <v>6</v>
      </c>
      <c r="L431" s="36" t="s">
        <v>6</v>
      </c>
      <c r="M431" s="36" t="s">
        <v>6</v>
      </c>
      <c r="N431" s="36" t="s">
        <v>6</v>
      </c>
      <c r="O431" s="36" t="s">
        <v>6</v>
      </c>
      <c r="P431" s="36" t="s">
        <v>6</v>
      </c>
      <c r="Q431" s="36" t="s">
        <v>6</v>
      </c>
      <c r="R431" s="36" t="s">
        <v>6</v>
      </c>
      <c r="S431" s="36" t="s">
        <v>6</v>
      </c>
      <c r="T431" s="36" t="s">
        <v>6</v>
      </c>
      <c r="U431" s="36" t="s">
        <v>6</v>
      </c>
      <c r="V431" s="4" t="s">
        <v>1</v>
      </c>
      <c r="W431" s="4">
        <v>1</v>
      </c>
      <c r="X431" s="4">
        <v>3</v>
      </c>
      <c r="Y431" s="4">
        <v>2</v>
      </c>
      <c r="Z431" s="5">
        <v>3</v>
      </c>
      <c r="AA431" s="4">
        <v>3</v>
      </c>
      <c r="AB431" s="4" t="s">
        <v>6</v>
      </c>
      <c r="AC431" s="4" t="s">
        <v>6</v>
      </c>
      <c r="AD431" s="4" t="s">
        <v>6</v>
      </c>
      <c r="AE431" s="5" t="s">
        <v>6</v>
      </c>
      <c r="AF431" s="4">
        <v>3</v>
      </c>
      <c r="AG431" s="5" t="s">
        <v>6</v>
      </c>
      <c r="AH431" s="4">
        <v>3</v>
      </c>
      <c r="AI431" s="4" t="s">
        <v>6</v>
      </c>
      <c r="AJ431" s="4" t="s">
        <v>6</v>
      </c>
      <c r="AK431" s="4" t="s">
        <v>6</v>
      </c>
      <c r="AL431" s="4" t="s">
        <v>6</v>
      </c>
      <c r="AM431" s="4" t="s">
        <v>6</v>
      </c>
      <c r="AN431" s="5" t="s">
        <v>6</v>
      </c>
    </row>
    <row r="432" spans="1:40" x14ac:dyDescent="0.2">
      <c r="A432" s="15">
        <v>4301</v>
      </c>
      <c r="B432" s="36" t="s">
        <v>6</v>
      </c>
      <c r="C432" s="36" t="s">
        <v>6</v>
      </c>
      <c r="D432" s="36" t="s">
        <v>6</v>
      </c>
      <c r="E432" s="36" t="s">
        <v>6</v>
      </c>
      <c r="F432" s="36" t="s">
        <v>6</v>
      </c>
      <c r="G432" s="36" t="s">
        <v>6</v>
      </c>
      <c r="H432" s="36" t="s">
        <v>6</v>
      </c>
      <c r="I432" s="36" t="s">
        <v>6</v>
      </c>
      <c r="J432" s="36" t="s">
        <v>6</v>
      </c>
      <c r="K432" s="36" t="s">
        <v>6</v>
      </c>
      <c r="L432" s="36" t="s">
        <v>6</v>
      </c>
      <c r="M432" s="36" t="s">
        <v>6</v>
      </c>
      <c r="N432" s="36" t="s">
        <v>6</v>
      </c>
      <c r="O432" s="36" t="s">
        <v>6</v>
      </c>
      <c r="P432" s="36" t="s">
        <v>6</v>
      </c>
      <c r="Q432" s="36" t="s">
        <v>6</v>
      </c>
      <c r="R432" s="36" t="s">
        <v>6</v>
      </c>
      <c r="S432" s="36" t="s">
        <v>6</v>
      </c>
      <c r="T432" s="36" t="s">
        <v>6</v>
      </c>
      <c r="U432" s="36" t="s">
        <v>6</v>
      </c>
      <c r="V432" s="4" t="s">
        <v>1</v>
      </c>
      <c r="W432" s="4">
        <v>1</v>
      </c>
      <c r="X432" s="4">
        <v>3</v>
      </c>
      <c r="Y432" s="4">
        <v>2</v>
      </c>
      <c r="Z432" s="5">
        <v>3</v>
      </c>
      <c r="AA432" s="4">
        <v>3</v>
      </c>
      <c r="AB432" s="4" t="s">
        <v>6</v>
      </c>
      <c r="AC432" s="4" t="s">
        <v>6</v>
      </c>
      <c r="AD432" s="4" t="s">
        <v>6</v>
      </c>
      <c r="AE432" s="5" t="s">
        <v>6</v>
      </c>
      <c r="AF432" s="4">
        <v>3</v>
      </c>
      <c r="AG432" s="5" t="s">
        <v>6</v>
      </c>
      <c r="AH432" s="4">
        <v>3</v>
      </c>
      <c r="AI432" s="4" t="s">
        <v>6</v>
      </c>
      <c r="AJ432" s="4" t="s">
        <v>6</v>
      </c>
      <c r="AK432" s="4" t="s">
        <v>6</v>
      </c>
      <c r="AL432" s="4" t="s">
        <v>6</v>
      </c>
      <c r="AM432" s="4" t="s">
        <v>6</v>
      </c>
      <c r="AN432" s="5" t="s">
        <v>6</v>
      </c>
    </row>
    <row r="433" spans="1:40" x14ac:dyDescent="0.2">
      <c r="A433" s="15">
        <v>4329</v>
      </c>
      <c r="B433" s="36" t="s">
        <v>6</v>
      </c>
      <c r="C433" s="36" t="s">
        <v>6</v>
      </c>
      <c r="D433" s="36" t="s">
        <v>6</v>
      </c>
      <c r="E433" s="36" t="s">
        <v>6</v>
      </c>
      <c r="F433" s="36" t="s">
        <v>6</v>
      </c>
      <c r="G433" s="36" t="s">
        <v>6</v>
      </c>
      <c r="H433" s="36" t="s">
        <v>6</v>
      </c>
      <c r="I433" s="36" t="s">
        <v>6</v>
      </c>
      <c r="J433" s="36" t="s">
        <v>6</v>
      </c>
      <c r="K433" s="36" t="s">
        <v>6</v>
      </c>
      <c r="L433" s="36" t="s">
        <v>6</v>
      </c>
      <c r="M433" s="36" t="s">
        <v>6</v>
      </c>
      <c r="N433" s="36" t="s">
        <v>6</v>
      </c>
      <c r="O433" s="36" t="s">
        <v>6</v>
      </c>
      <c r="P433" s="36" t="s">
        <v>6</v>
      </c>
      <c r="Q433" s="36" t="s">
        <v>6</v>
      </c>
      <c r="R433" s="36" t="s">
        <v>6</v>
      </c>
      <c r="S433" s="36" t="s">
        <v>6</v>
      </c>
      <c r="T433" s="36" t="s">
        <v>6</v>
      </c>
      <c r="U433" s="36" t="s">
        <v>6</v>
      </c>
      <c r="V433" s="4" t="s">
        <v>1</v>
      </c>
      <c r="W433" s="4">
        <v>1</v>
      </c>
      <c r="X433" s="4">
        <v>3</v>
      </c>
      <c r="Y433" s="4">
        <v>2</v>
      </c>
      <c r="Z433" s="5">
        <v>3</v>
      </c>
      <c r="AA433" s="4">
        <v>3</v>
      </c>
      <c r="AB433" s="4" t="s">
        <v>6</v>
      </c>
      <c r="AC433" s="4" t="s">
        <v>6</v>
      </c>
      <c r="AD433" s="4" t="s">
        <v>6</v>
      </c>
      <c r="AE433" s="5" t="s">
        <v>6</v>
      </c>
      <c r="AF433" s="4">
        <v>3</v>
      </c>
      <c r="AG433" s="5" t="s">
        <v>6</v>
      </c>
      <c r="AH433" s="4">
        <v>3</v>
      </c>
      <c r="AI433" s="4" t="s">
        <v>6</v>
      </c>
      <c r="AJ433" s="4" t="s">
        <v>6</v>
      </c>
      <c r="AK433" s="4" t="s">
        <v>6</v>
      </c>
      <c r="AL433" s="4" t="s">
        <v>6</v>
      </c>
      <c r="AM433" s="4" t="s">
        <v>6</v>
      </c>
      <c r="AN433" s="5" t="s">
        <v>6</v>
      </c>
    </row>
    <row r="434" spans="1:40" x14ac:dyDescent="0.2">
      <c r="A434" s="15">
        <v>4362</v>
      </c>
      <c r="B434" s="36" t="s">
        <v>6</v>
      </c>
      <c r="C434" s="36" t="s">
        <v>6</v>
      </c>
      <c r="D434" s="36" t="s">
        <v>6</v>
      </c>
      <c r="E434" s="36" t="s">
        <v>6</v>
      </c>
      <c r="F434" s="36" t="s">
        <v>6</v>
      </c>
      <c r="G434" s="36" t="s">
        <v>6</v>
      </c>
      <c r="H434" s="36" t="s">
        <v>6</v>
      </c>
      <c r="I434" s="36" t="s">
        <v>6</v>
      </c>
      <c r="J434" s="36" t="s">
        <v>6</v>
      </c>
      <c r="K434" s="36" t="s">
        <v>6</v>
      </c>
      <c r="L434" s="36" t="s">
        <v>6</v>
      </c>
      <c r="M434" s="36" t="s">
        <v>6</v>
      </c>
      <c r="N434" s="36" t="s">
        <v>6</v>
      </c>
      <c r="O434" s="36" t="s">
        <v>6</v>
      </c>
      <c r="P434" s="36" t="s">
        <v>6</v>
      </c>
      <c r="Q434" s="36" t="s">
        <v>6</v>
      </c>
      <c r="R434" s="36" t="s">
        <v>6</v>
      </c>
      <c r="S434" s="36" t="s">
        <v>6</v>
      </c>
      <c r="T434" s="36" t="s">
        <v>6</v>
      </c>
      <c r="U434" s="36" t="s">
        <v>6</v>
      </c>
      <c r="V434" s="4" t="s">
        <v>1</v>
      </c>
      <c r="W434" s="4">
        <v>1</v>
      </c>
      <c r="X434" s="4">
        <v>3</v>
      </c>
      <c r="Y434" s="4">
        <v>2</v>
      </c>
      <c r="Z434" s="5">
        <v>3</v>
      </c>
      <c r="AA434" s="4">
        <v>3</v>
      </c>
      <c r="AB434" s="4" t="s">
        <v>6</v>
      </c>
      <c r="AC434" s="4" t="s">
        <v>6</v>
      </c>
      <c r="AD434" s="4" t="s">
        <v>6</v>
      </c>
      <c r="AE434" s="5" t="s">
        <v>6</v>
      </c>
      <c r="AF434" s="4">
        <v>3</v>
      </c>
      <c r="AG434" s="5" t="s">
        <v>6</v>
      </c>
      <c r="AH434" s="4">
        <v>3</v>
      </c>
      <c r="AI434" s="4" t="s">
        <v>6</v>
      </c>
      <c r="AJ434" s="4" t="s">
        <v>6</v>
      </c>
      <c r="AK434" s="4" t="s">
        <v>6</v>
      </c>
      <c r="AL434" s="4" t="s">
        <v>6</v>
      </c>
      <c r="AM434" s="4" t="s">
        <v>6</v>
      </c>
      <c r="AN434" s="5" t="s">
        <v>6</v>
      </c>
    </row>
    <row r="435" spans="1:40" x14ac:dyDescent="0.2">
      <c r="A435" s="15">
        <v>4398</v>
      </c>
      <c r="B435" s="36" t="s">
        <v>6</v>
      </c>
      <c r="C435" s="36" t="s">
        <v>6</v>
      </c>
      <c r="D435" s="36" t="s">
        <v>6</v>
      </c>
      <c r="E435" s="36" t="s">
        <v>6</v>
      </c>
      <c r="F435" s="36" t="s">
        <v>6</v>
      </c>
      <c r="G435" s="36" t="s">
        <v>6</v>
      </c>
      <c r="H435" s="36" t="s">
        <v>6</v>
      </c>
      <c r="I435" s="36" t="s">
        <v>6</v>
      </c>
      <c r="J435" s="36" t="s">
        <v>6</v>
      </c>
      <c r="K435" s="36" t="s">
        <v>6</v>
      </c>
      <c r="L435" s="36" t="s">
        <v>6</v>
      </c>
      <c r="M435" s="36" t="s">
        <v>6</v>
      </c>
      <c r="N435" s="36" t="s">
        <v>6</v>
      </c>
      <c r="O435" s="36" t="s">
        <v>6</v>
      </c>
      <c r="P435" s="36" t="s">
        <v>6</v>
      </c>
      <c r="Q435" s="36" t="s">
        <v>6</v>
      </c>
      <c r="R435" s="36" t="s">
        <v>6</v>
      </c>
      <c r="S435" s="36" t="s">
        <v>6</v>
      </c>
      <c r="T435" s="36" t="s">
        <v>6</v>
      </c>
      <c r="U435" s="36" t="s">
        <v>6</v>
      </c>
      <c r="V435" s="4" t="s">
        <v>1</v>
      </c>
      <c r="W435" s="4">
        <v>1</v>
      </c>
      <c r="X435" s="4">
        <v>3</v>
      </c>
      <c r="Y435" s="4">
        <v>2</v>
      </c>
      <c r="Z435" s="5">
        <v>3</v>
      </c>
      <c r="AA435" s="4">
        <v>3</v>
      </c>
      <c r="AB435" s="4" t="s">
        <v>6</v>
      </c>
      <c r="AC435" s="4" t="s">
        <v>6</v>
      </c>
      <c r="AD435" s="4" t="s">
        <v>6</v>
      </c>
      <c r="AE435" s="5" t="s">
        <v>6</v>
      </c>
      <c r="AF435" s="4">
        <v>3</v>
      </c>
      <c r="AG435" s="5" t="s">
        <v>6</v>
      </c>
      <c r="AH435" s="4">
        <v>3</v>
      </c>
      <c r="AI435" s="4" t="s">
        <v>6</v>
      </c>
      <c r="AJ435" s="4" t="s">
        <v>6</v>
      </c>
      <c r="AK435" s="4" t="s">
        <v>6</v>
      </c>
      <c r="AL435" s="4" t="s">
        <v>6</v>
      </c>
      <c r="AM435" s="4" t="s">
        <v>6</v>
      </c>
      <c r="AN435" s="5" t="s">
        <v>6</v>
      </c>
    </row>
    <row r="436" spans="1:40" x14ac:dyDescent="0.2">
      <c r="A436" s="15">
        <v>4467</v>
      </c>
      <c r="B436" s="36" t="s">
        <v>6</v>
      </c>
      <c r="C436" s="36" t="s">
        <v>6</v>
      </c>
      <c r="D436" s="36" t="s">
        <v>6</v>
      </c>
      <c r="E436" s="36" t="s">
        <v>6</v>
      </c>
      <c r="F436" s="36" t="s">
        <v>6</v>
      </c>
      <c r="G436" s="36" t="s">
        <v>6</v>
      </c>
      <c r="H436" s="36" t="s">
        <v>6</v>
      </c>
      <c r="I436" s="36" t="s">
        <v>6</v>
      </c>
      <c r="J436" s="36" t="s">
        <v>6</v>
      </c>
      <c r="K436" s="36" t="s">
        <v>6</v>
      </c>
      <c r="L436" s="36" t="s">
        <v>6</v>
      </c>
      <c r="M436" s="36" t="s">
        <v>6</v>
      </c>
      <c r="N436" s="36" t="s">
        <v>6</v>
      </c>
      <c r="O436" s="36" t="s">
        <v>6</v>
      </c>
      <c r="P436" s="36" t="s">
        <v>6</v>
      </c>
      <c r="Q436" s="36" t="s">
        <v>6</v>
      </c>
      <c r="R436" s="36" t="s">
        <v>6</v>
      </c>
      <c r="S436" s="36" t="s">
        <v>6</v>
      </c>
      <c r="T436" s="36" t="s">
        <v>6</v>
      </c>
      <c r="U436" s="36" t="s">
        <v>6</v>
      </c>
      <c r="V436" s="4" t="s">
        <v>1</v>
      </c>
      <c r="W436" s="4">
        <v>1</v>
      </c>
      <c r="X436" s="4">
        <v>3</v>
      </c>
      <c r="Y436" s="4">
        <v>2</v>
      </c>
      <c r="Z436" s="5">
        <v>3</v>
      </c>
      <c r="AA436" s="4">
        <v>3</v>
      </c>
      <c r="AB436" s="4" t="s">
        <v>6</v>
      </c>
      <c r="AC436" s="4" t="s">
        <v>6</v>
      </c>
      <c r="AD436" s="4" t="s">
        <v>6</v>
      </c>
      <c r="AE436" s="5" t="s">
        <v>6</v>
      </c>
      <c r="AF436" s="4">
        <v>3</v>
      </c>
      <c r="AG436" s="5" t="s">
        <v>6</v>
      </c>
      <c r="AH436" s="4">
        <v>3</v>
      </c>
      <c r="AI436" s="4" t="s">
        <v>6</v>
      </c>
      <c r="AJ436" s="4" t="s">
        <v>6</v>
      </c>
      <c r="AK436" s="4" t="s">
        <v>6</v>
      </c>
      <c r="AL436" s="4" t="s">
        <v>6</v>
      </c>
      <c r="AM436" s="4" t="s">
        <v>6</v>
      </c>
      <c r="AN436" s="5" t="s">
        <v>6</v>
      </c>
    </row>
    <row r="437" spans="1:40" x14ac:dyDescent="0.2">
      <c r="A437" s="15">
        <v>4507</v>
      </c>
      <c r="B437" s="36" t="s">
        <v>6</v>
      </c>
      <c r="C437" s="36" t="s">
        <v>6</v>
      </c>
      <c r="D437" s="36" t="s">
        <v>6</v>
      </c>
      <c r="E437" s="36" t="s">
        <v>6</v>
      </c>
      <c r="F437" s="36" t="s">
        <v>6</v>
      </c>
      <c r="G437" s="36" t="s">
        <v>6</v>
      </c>
      <c r="H437" s="36" t="s">
        <v>6</v>
      </c>
      <c r="I437" s="36" t="s">
        <v>6</v>
      </c>
      <c r="J437" s="36" t="s">
        <v>6</v>
      </c>
      <c r="K437" s="36" t="s">
        <v>6</v>
      </c>
      <c r="L437" s="36" t="s">
        <v>6</v>
      </c>
      <c r="M437" s="36" t="s">
        <v>6</v>
      </c>
      <c r="N437" s="36" t="s">
        <v>6</v>
      </c>
      <c r="O437" s="36" t="s">
        <v>6</v>
      </c>
      <c r="P437" s="36" t="s">
        <v>6</v>
      </c>
      <c r="Q437" s="36" t="s">
        <v>6</v>
      </c>
      <c r="R437" s="36" t="s">
        <v>6</v>
      </c>
      <c r="S437" s="36" t="s">
        <v>6</v>
      </c>
      <c r="T437" s="36" t="s">
        <v>6</v>
      </c>
      <c r="U437" s="36" t="s">
        <v>6</v>
      </c>
      <c r="V437" s="4" t="s">
        <v>1</v>
      </c>
      <c r="W437" s="4">
        <v>1</v>
      </c>
      <c r="X437" s="4">
        <v>3</v>
      </c>
      <c r="Y437" s="4">
        <v>2</v>
      </c>
      <c r="Z437" s="5">
        <v>3</v>
      </c>
      <c r="AA437" s="4">
        <v>3</v>
      </c>
      <c r="AB437" s="4" t="s">
        <v>6</v>
      </c>
      <c r="AC437" s="4" t="s">
        <v>6</v>
      </c>
      <c r="AD437" s="4" t="s">
        <v>6</v>
      </c>
      <c r="AE437" s="5" t="s">
        <v>6</v>
      </c>
      <c r="AF437" s="4">
        <v>3</v>
      </c>
      <c r="AG437" s="5" t="s">
        <v>6</v>
      </c>
      <c r="AH437" s="4">
        <v>3</v>
      </c>
      <c r="AI437" s="4" t="s">
        <v>6</v>
      </c>
      <c r="AJ437" s="4" t="s">
        <v>6</v>
      </c>
      <c r="AK437" s="4" t="s">
        <v>6</v>
      </c>
      <c r="AL437" s="4" t="s">
        <v>6</v>
      </c>
      <c r="AM437" s="4" t="s">
        <v>6</v>
      </c>
      <c r="AN437" s="5" t="s">
        <v>6</v>
      </c>
    </row>
    <row r="438" spans="1:40" x14ac:dyDescent="0.2">
      <c r="A438" s="15">
        <v>4539</v>
      </c>
      <c r="B438" s="36" t="s">
        <v>6</v>
      </c>
      <c r="C438" s="36" t="s">
        <v>6</v>
      </c>
      <c r="D438" s="36" t="s">
        <v>6</v>
      </c>
      <c r="E438" s="36" t="s">
        <v>6</v>
      </c>
      <c r="F438" s="36" t="s">
        <v>6</v>
      </c>
      <c r="G438" s="36" t="s">
        <v>6</v>
      </c>
      <c r="H438" s="36" t="s">
        <v>6</v>
      </c>
      <c r="I438" s="36" t="s">
        <v>6</v>
      </c>
      <c r="J438" s="36" t="s">
        <v>6</v>
      </c>
      <c r="K438" s="36" t="s">
        <v>6</v>
      </c>
      <c r="L438" s="36" t="s">
        <v>6</v>
      </c>
      <c r="M438" s="36" t="s">
        <v>6</v>
      </c>
      <c r="N438" s="36" t="s">
        <v>6</v>
      </c>
      <c r="O438" s="36" t="s">
        <v>6</v>
      </c>
      <c r="P438" s="36" t="s">
        <v>6</v>
      </c>
      <c r="Q438" s="36" t="s">
        <v>6</v>
      </c>
      <c r="R438" s="36" t="s">
        <v>6</v>
      </c>
      <c r="S438" s="36" t="s">
        <v>6</v>
      </c>
      <c r="T438" s="36" t="s">
        <v>6</v>
      </c>
      <c r="U438" s="36" t="s">
        <v>6</v>
      </c>
      <c r="V438" s="4" t="s">
        <v>1</v>
      </c>
      <c r="W438" s="4">
        <v>1</v>
      </c>
      <c r="X438" s="4">
        <v>3</v>
      </c>
      <c r="Y438" s="4">
        <v>2</v>
      </c>
      <c r="Z438" s="5">
        <v>3</v>
      </c>
      <c r="AA438" s="4">
        <v>3</v>
      </c>
      <c r="AB438" s="4" t="s">
        <v>6</v>
      </c>
      <c r="AC438" s="4" t="s">
        <v>6</v>
      </c>
      <c r="AD438" s="4" t="s">
        <v>6</v>
      </c>
      <c r="AE438" s="5" t="s">
        <v>6</v>
      </c>
      <c r="AF438" s="4">
        <v>3</v>
      </c>
      <c r="AG438" s="5" t="s">
        <v>6</v>
      </c>
      <c r="AH438" s="4">
        <v>3</v>
      </c>
      <c r="AI438" s="4" t="s">
        <v>6</v>
      </c>
      <c r="AJ438" s="4" t="s">
        <v>6</v>
      </c>
      <c r="AK438" s="4" t="s">
        <v>6</v>
      </c>
      <c r="AL438" s="4" t="s">
        <v>6</v>
      </c>
      <c r="AM438" s="4" t="s">
        <v>6</v>
      </c>
      <c r="AN438" s="5" t="s">
        <v>6</v>
      </c>
    </row>
    <row r="439" spans="1:40" x14ac:dyDescent="0.2">
      <c r="A439" s="15">
        <v>4556</v>
      </c>
      <c r="B439" s="36" t="s">
        <v>6</v>
      </c>
      <c r="C439" s="36" t="s">
        <v>6</v>
      </c>
      <c r="D439" s="36" t="s">
        <v>6</v>
      </c>
      <c r="E439" s="36" t="s">
        <v>6</v>
      </c>
      <c r="F439" s="36" t="s">
        <v>6</v>
      </c>
      <c r="G439" s="36" t="s">
        <v>6</v>
      </c>
      <c r="H439" s="36" t="s">
        <v>6</v>
      </c>
      <c r="I439" s="36" t="s">
        <v>6</v>
      </c>
      <c r="J439" s="36" t="s">
        <v>6</v>
      </c>
      <c r="K439" s="36" t="s">
        <v>6</v>
      </c>
      <c r="L439" s="36" t="s">
        <v>6</v>
      </c>
      <c r="M439" s="36" t="s">
        <v>6</v>
      </c>
      <c r="N439" s="36" t="s">
        <v>6</v>
      </c>
      <c r="O439" s="36" t="s">
        <v>6</v>
      </c>
      <c r="P439" s="36" t="s">
        <v>6</v>
      </c>
      <c r="Q439" s="36" t="s">
        <v>6</v>
      </c>
      <c r="R439" s="36" t="s">
        <v>6</v>
      </c>
      <c r="S439" s="36" t="s">
        <v>6</v>
      </c>
      <c r="T439" s="36" t="s">
        <v>6</v>
      </c>
      <c r="U439" s="36" t="s">
        <v>6</v>
      </c>
      <c r="V439" s="4" t="s">
        <v>1</v>
      </c>
      <c r="W439" s="4">
        <v>1</v>
      </c>
      <c r="X439" s="4">
        <v>3</v>
      </c>
      <c r="Y439" s="4">
        <v>2</v>
      </c>
      <c r="Z439" s="5">
        <v>3</v>
      </c>
      <c r="AA439" s="4">
        <v>3</v>
      </c>
      <c r="AB439" s="4" t="s">
        <v>6</v>
      </c>
      <c r="AC439" s="4" t="s">
        <v>6</v>
      </c>
      <c r="AD439" s="4" t="s">
        <v>6</v>
      </c>
      <c r="AE439" s="5" t="s">
        <v>6</v>
      </c>
      <c r="AF439" s="4">
        <v>3</v>
      </c>
      <c r="AG439" s="5" t="s">
        <v>6</v>
      </c>
      <c r="AH439" s="4">
        <v>3</v>
      </c>
      <c r="AI439" s="4" t="s">
        <v>6</v>
      </c>
      <c r="AJ439" s="4" t="s">
        <v>6</v>
      </c>
      <c r="AK439" s="4" t="s">
        <v>6</v>
      </c>
      <c r="AL439" s="4" t="s">
        <v>6</v>
      </c>
      <c r="AM439" s="4" t="s">
        <v>6</v>
      </c>
      <c r="AN439" s="5" t="s">
        <v>6</v>
      </c>
    </row>
    <row r="440" spans="1:40" x14ac:dyDescent="0.2">
      <c r="A440" s="15">
        <v>4565</v>
      </c>
      <c r="B440" s="36" t="s">
        <v>6</v>
      </c>
      <c r="C440" s="36" t="s">
        <v>6</v>
      </c>
      <c r="D440" s="36" t="s">
        <v>6</v>
      </c>
      <c r="E440" s="36" t="s">
        <v>6</v>
      </c>
      <c r="F440" s="36" t="s">
        <v>6</v>
      </c>
      <c r="G440" s="36" t="s">
        <v>6</v>
      </c>
      <c r="H440" s="36" t="s">
        <v>6</v>
      </c>
      <c r="I440" s="36" t="s">
        <v>6</v>
      </c>
      <c r="J440" s="36" t="s">
        <v>6</v>
      </c>
      <c r="K440" s="36" t="s">
        <v>6</v>
      </c>
      <c r="L440" s="36" t="s">
        <v>6</v>
      </c>
      <c r="M440" s="36" t="s">
        <v>6</v>
      </c>
      <c r="N440" s="36" t="s">
        <v>6</v>
      </c>
      <c r="O440" s="36" t="s">
        <v>6</v>
      </c>
      <c r="P440" s="36" t="s">
        <v>6</v>
      </c>
      <c r="Q440" s="36" t="s">
        <v>6</v>
      </c>
      <c r="R440" s="36" t="s">
        <v>6</v>
      </c>
      <c r="S440" s="36" t="s">
        <v>6</v>
      </c>
      <c r="T440" s="36" t="s">
        <v>6</v>
      </c>
      <c r="U440" s="36" t="s">
        <v>6</v>
      </c>
      <c r="V440" s="4" t="s">
        <v>1</v>
      </c>
      <c r="W440" s="4">
        <v>1</v>
      </c>
      <c r="X440" s="4">
        <v>3</v>
      </c>
      <c r="Y440" s="4">
        <v>2</v>
      </c>
      <c r="Z440" s="5">
        <v>3</v>
      </c>
      <c r="AA440" s="4">
        <v>3</v>
      </c>
      <c r="AB440" s="4" t="s">
        <v>6</v>
      </c>
      <c r="AC440" s="4" t="s">
        <v>6</v>
      </c>
      <c r="AD440" s="4" t="s">
        <v>6</v>
      </c>
      <c r="AE440" s="5" t="s">
        <v>6</v>
      </c>
      <c r="AF440" s="4">
        <v>3</v>
      </c>
      <c r="AG440" s="5" t="s">
        <v>6</v>
      </c>
      <c r="AH440" s="4">
        <v>3</v>
      </c>
      <c r="AI440" s="4" t="s">
        <v>6</v>
      </c>
      <c r="AJ440" s="4" t="s">
        <v>6</v>
      </c>
      <c r="AK440" s="4" t="s">
        <v>6</v>
      </c>
      <c r="AL440" s="4" t="s">
        <v>6</v>
      </c>
      <c r="AM440" s="4" t="s">
        <v>6</v>
      </c>
      <c r="AN440" s="5" t="s">
        <v>6</v>
      </c>
    </row>
    <row r="441" spans="1:40" x14ac:dyDescent="0.2">
      <c r="A441" s="15">
        <v>4575</v>
      </c>
      <c r="B441" s="36" t="s">
        <v>6</v>
      </c>
      <c r="C441" s="36" t="s">
        <v>6</v>
      </c>
      <c r="D441" s="36" t="s">
        <v>6</v>
      </c>
      <c r="E441" s="36" t="s">
        <v>6</v>
      </c>
      <c r="F441" s="36" t="s">
        <v>6</v>
      </c>
      <c r="G441" s="36" t="s">
        <v>6</v>
      </c>
      <c r="H441" s="36" t="s">
        <v>6</v>
      </c>
      <c r="I441" s="36" t="s">
        <v>6</v>
      </c>
      <c r="J441" s="36" t="s">
        <v>6</v>
      </c>
      <c r="K441" s="36" t="s">
        <v>6</v>
      </c>
      <c r="L441" s="36" t="s">
        <v>6</v>
      </c>
      <c r="M441" s="36" t="s">
        <v>6</v>
      </c>
      <c r="N441" s="36" t="s">
        <v>6</v>
      </c>
      <c r="O441" s="36" t="s">
        <v>6</v>
      </c>
      <c r="P441" s="36" t="s">
        <v>6</v>
      </c>
      <c r="Q441" s="36" t="s">
        <v>6</v>
      </c>
      <c r="R441" s="36" t="s">
        <v>6</v>
      </c>
      <c r="S441" s="36" t="s">
        <v>6</v>
      </c>
      <c r="T441" s="36" t="s">
        <v>6</v>
      </c>
      <c r="U441" s="36" t="s">
        <v>6</v>
      </c>
      <c r="V441" s="4" t="s">
        <v>1</v>
      </c>
      <c r="W441" s="4">
        <v>1</v>
      </c>
      <c r="X441" s="4">
        <v>3</v>
      </c>
      <c r="Y441" s="4">
        <v>2</v>
      </c>
      <c r="Z441" s="5">
        <v>3</v>
      </c>
      <c r="AA441" s="4">
        <v>3</v>
      </c>
      <c r="AB441" s="4" t="s">
        <v>6</v>
      </c>
      <c r="AC441" s="4" t="s">
        <v>6</v>
      </c>
      <c r="AD441" s="4" t="s">
        <v>6</v>
      </c>
      <c r="AE441" s="5" t="s">
        <v>6</v>
      </c>
      <c r="AF441" s="4">
        <v>3</v>
      </c>
      <c r="AG441" s="5" t="s">
        <v>6</v>
      </c>
      <c r="AH441" s="4">
        <v>3</v>
      </c>
      <c r="AI441" s="4" t="s">
        <v>6</v>
      </c>
      <c r="AJ441" s="4" t="s">
        <v>6</v>
      </c>
      <c r="AK441" s="4" t="s">
        <v>6</v>
      </c>
      <c r="AL441" s="4" t="s">
        <v>6</v>
      </c>
      <c r="AM441" s="4" t="s">
        <v>6</v>
      </c>
      <c r="AN441" s="5" t="s">
        <v>6</v>
      </c>
    </row>
    <row r="442" spans="1:40" x14ac:dyDescent="0.2">
      <c r="A442" s="15">
        <v>4586</v>
      </c>
      <c r="B442" s="36" t="s">
        <v>6</v>
      </c>
      <c r="C442" s="36" t="s">
        <v>6</v>
      </c>
      <c r="D442" s="36" t="s">
        <v>6</v>
      </c>
      <c r="E442" s="36" t="s">
        <v>6</v>
      </c>
      <c r="F442" s="36" t="s">
        <v>6</v>
      </c>
      <c r="G442" s="36" t="s">
        <v>6</v>
      </c>
      <c r="H442" s="36" t="s">
        <v>6</v>
      </c>
      <c r="I442" s="36" t="s">
        <v>6</v>
      </c>
      <c r="J442" s="36" t="s">
        <v>6</v>
      </c>
      <c r="K442" s="36" t="s">
        <v>6</v>
      </c>
      <c r="L442" s="36" t="s">
        <v>6</v>
      </c>
      <c r="M442" s="36" t="s">
        <v>6</v>
      </c>
      <c r="N442" s="36" t="s">
        <v>6</v>
      </c>
      <c r="O442" s="36" t="s">
        <v>6</v>
      </c>
      <c r="P442" s="36" t="s">
        <v>6</v>
      </c>
      <c r="Q442" s="36" t="s">
        <v>6</v>
      </c>
      <c r="R442" s="36" t="s">
        <v>6</v>
      </c>
      <c r="S442" s="36" t="s">
        <v>6</v>
      </c>
      <c r="T442" s="36" t="s">
        <v>6</v>
      </c>
      <c r="U442" s="36" t="s">
        <v>6</v>
      </c>
      <c r="V442" s="4" t="s">
        <v>1</v>
      </c>
      <c r="W442" s="4">
        <v>1</v>
      </c>
      <c r="X442" s="4">
        <v>3</v>
      </c>
      <c r="Y442" s="4">
        <v>2</v>
      </c>
      <c r="Z442" s="5">
        <v>3</v>
      </c>
      <c r="AA442" s="4">
        <v>3</v>
      </c>
      <c r="AB442" s="4" t="s">
        <v>6</v>
      </c>
      <c r="AC442" s="4" t="s">
        <v>6</v>
      </c>
      <c r="AD442" s="4" t="s">
        <v>6</v>
      </c>
      <c r="AE442" s="5" t="s">
        <v>6</v>
      </c>
      <c r="AF442" s="4">
        <v>3</v>
      </c>
      <c r="AG442" s="5" t="s">
        <v>6</v>
      </c>
      <c r="AH442" s="4">
        <v>3</v>
      </c>
      <c r="AI442" s="4" t="s">
        <v>6</v>
      </c>
      <c r="AJ442" s="4" t="s">
        <v>6</v>
      </c>
      <c r="AK442" s="4" t="s">
        <v>6</v>
      </c>
      <c r="AL442" s="4" t="s">
        <v>6</v>
      </c>
      <c r="AM442" s="4" t="s">
        <v>6</v>
      </c>
      <c r="AN442" s="5" t="s">
        <v>6</v>
      </c>
    </row>
    <row r="443" spans="1:40" x14ac:dyDescent="0.2">
      <c r="A443" s="15">
        <v>4607</v>
      </c>
      <c r="B443" s="36" t="s">
        <v>6</v>
      </c>
      <c r="C443" s="36" t="s">
        <v>6</v>
      </c>
      <c r="D443" s="36" t="s">
        <v>6</v>
      </c>
      <c r="E443" s="36" t="s">
        <v>6</v>
      </c>
      <c r="F443" s="36" t="s">
        <v>6</v>
      </c>
      <c r="G443" s="36" t="s">
        <v>6</v>
      </c>
      <c r="H443" s="36" t="s">
        <v>6</v>
      </c>
      <c r="I443" s="36" t="s">
        <v>6</v>
      </c>
      <c r="J443" s="36" t="s">
        <v>6</v>
      </c>
      <c r="K443" s="36" t="s">
        <v>6</v>
      </c>
      <c r="L443" s="36" t="s">
        <v>6</v>
      </c>
      <c r="M443" s="36" t="s">
        <v>6</v>
      </c>
      <c r="N443" s="36" t="s">
        <v>6</v>
      </c>
      <c r="O443" s="36" t="s">
        <v>6</v>
      </c>
      <c r="P443" s="36" t="s">
        <v>6</v>
      </c>
      <c r="Q443" s="36" t="s">
        <v>6</v>
      </c>
      <c r="R443" s="36" t="s">
        <v>6</v>
      </c>
      <c r="S443" s="36" t="s">
        <v>6</v>
      </c>
      <c r="T443" s="36" t="s">
        <v>6</v>
      </c>
      <c r="U443" s="36" t="s">
        <v>6</v>
      </c>
      <c r="V443" s="4" t="s">
        <v>1</v>
      </c>
      <c r="W443" s="4">
        <v>1</v>
      </c>
      <c r="X443" s="4">
        <v>3</v>
      </c>
      <c r="Y443" s="4">
        <v>2</v>
      </c>
      <c r="Z443" s="5">
        <v>3</v>
      </c>
      <c r="AA443" s="4">
        <v>3</v>
      </c>
      <c r="AB443" s="4" t="s">
        <v>6</v>
      </c>
      <c r="AC443" s="4" t="s">
        <v>6</v>
      </c>
      <c r="AD443" s="4" t="s">
        <v>6</v>
      </c>
      <c r="AE443" s="5" t="s">
        <v>6</v>
      </c>
      <c r="AF443" s="4">
        <v>3</v>
      </c>
      <c r="AG443" s="5" t="s">
        <v>6</v>
      </c>
      <c r="AH443" s="4">
        <v>3</v>
      </c>
      <c r="AI443" s="4" t="s">
        <v>6</v>
      </c>
      <c r="AJ443" s="4" t="s">
        <v>6</v>
      </c>
      <c r="AK443" s="4" t="s">
        <v>6</v>
      </c>
      <c r="AL443" s="4" t="s">
        <v>6</v>
      </c>
      <c r="AM443" s="4" t="s">
        <v>6</v>
      </c>
      <c r="AN443" s="5" t="s">
        <v>6</v>
      </c>
    </row>
    <row r="444" spans="1:40" x14ac:dyDescent="0.2">
      <c r="A444" s="15">
        <v>4613</v>
      </c>
      <c r="B444" s="36" t="s">
        <v>6</v>
      </c>
      <c r="C444" s="36" t="s">
        <v>6</v>
      </c>
      <c r="D444" s="36" t="s">
        <v>6</v>
      </c>
      <c r="E444" s="36" t="s">
        <v>6</v>
      </c>
      <c r="F444" s="36" t="s">
        <v>6</v>
      </c>
      <c r="G444" s="36" t="s">
        <v>6</v>
      </c>
      <c r="H444" s="36" t="s">
        <v>6</v>
      </c>
      <c r="I444" s="36" t="s">
        <v>6</v>
      </c>
      <c r="J444" s="36" t="s">
        <v>6</v>
      </c>
      <c r="K444" s="36" t="s">
        <v>6</v>
      </c>
      <c r="L444" s="36" t="s">
        <v>6</v>
      </c>
      <c r="M444" s="36" t="s">
        <v>6</v>
      </c>
      <c r="N444" s="36" t="s">
        <v>6</v>
      </c>
      <c r="O444" s="36" t="s">
        <v>6</v>
      </c>
      <c r="P444" s="36" t="s">
        <v>6</v>
      </c>
      <c r="Q444" s="36" t="s">
        <v>6</v>
      </c>
      <c r="R444" s="36" t="s">
        <v>6</v>
      </c>
      <c r="S444" s="36" t="s">
        <v>6</v>
      </c>
      <c r="T444" s="36" t="s">
        <v>6</v>
      </c>
      <c r="U444" s="36" t="s">
        <v>6</v>
      </c>
      <c r="V444" s="4" t="s">
        <v>1</v>
      </c>
      <c r="W444" s="4">
        <v>1</v>
      </c>
      <c r="X444" s="4">
        <v>3</v>
      </c>
      <c r="Y444" s="4">
        <v>2</v>
      </c>
      <c r="Z444" s="5">
        <v>3</v>
      </c>
      <c r="AA444" s="4">
        <v>3</v>
      </c>
      <c r="AB444" s="4" t="s">
        <v>6</v>
      </c>
      <c r="AC444" s="4" t="s">
        <v>6</v>
      </c>
      <c r="AD444" s="4" t="s">
        <v>6</v>
      </c>
      <c r="AE444" s="5" t="s">
        <v>6</v>
      </c>
      <c r="AF444" s="4">
        <v>3</v>
      </c>
      <c r="AG444" s="5" t="s">
        <v>6</v>
      </c>
      <c r="AH444" s="4">
        <v>3</v>
      </c>
      <c r="AI444" s="4" t="s">
        <v>6</v>
      </c>
      <c r="AJ444" s="4" t="s">
        <v>6</v>
      </c>
      <c r="AK444" s="4" t="s">
        <v>6</v>
      </c>
      <c r="AL444" s="4" t="s">
        <v>6</v>
      </c>
      <c r="AM444" s="4" t="s">
        <v>6</v>
      </c>
      <c r="AN444" s="5" t="s">
        <v>6</v>
      </c>
    </row>
    <row r="445" spans="1:40" x14ac:dyDescent="0.2">
      <c r="A445" s="15">
        <v>4615</v>
      </c>
      <c r="B445" s="36" t="s">
        <v>6</v>
      </c>
      <c r="C445" s="36" t="s">
        <v>6</v>
      </c>
      <c r="D445" s="36" t="s">
        <v>6</v>
      </c>
      <c r="E445" s="36" t="s">
        <v>6</v>
      </c>
      <c r="F445" s="36" t="s">
        <v>6</v>
      </c>
      <c r="G445" s="36" t="s">
        <v>6</v>
      </c>
      <c r="H445" s="36" t="s">
        <v>6</v>
      </c>
      <c r="I445" s="36" t="s">
        <v>6</v>
      </c>
      <c r="J445" s="36" t="s">
        <v>6</v>
      </c>
      <c r="K445" s="36" t="s">
        <v>6</v>
      </c>
      <c r="L445" s="36" t="s">
        <v>6</v>
      </c>
      <c r="M445" s="36" t="s">
        <v>6</v>
      </c>
      <c r="N445" s="36" t="s">
        <v>6</v>
      </c>
      <c r="O445" s="36" t="s">
        <v>6</v>
      </c>
      <c r="P445" s="36" t="s">
        <v>6</v>
      </c>
      <c r="Q445" s="36" t="s">
        <v>6</v>
      </c>
      <c r="R445" s="36" t="s">
        <v>6</v>
      </c>
      <c r="S445" s="36" t="s">
        <v>6</v>
      </c>
      <c r="T445" s="36" t="s">
        <v>6</v>
      </c>
      <c r="U445" s="36" t="s">
        <v>6</v>
      </c>
      <c r="V445" s="4" t="s">
        <v>1</v>
      </c>
      <c r="W445" s="4">
        <v>1</v>
      </c>
      <c r="X445" s="4">
        <v>3</v>
      </c>
      <c r="Y445" s="4">
        <v>2</v>
      </c>
      <c r="Z445" s="5">
        <v>3</v>
      </c>
      <c r="AA445" s="4">
        <v>3</v>
      </c>
      <c r="AB445" s="4" t="s">
        <v>6</v>
      </c>
      <c r="AC445" s="4" t="s">
        <v>6</v>
      </c>
      <c r="AD445" s="4" t="s">
        <v>6</v>
      </c>
      <c r="AE445" s="5" t="s">
        <v>6</v>
      </c>
      <c r="AF445" s="4">
        <v>3</v>
      </c>
      <c r="AG445" s="5" t="s">
        <v>6</v>
      </c>
      <c r="AH445" s="4">
        <v>3</v>
      </c>
      <c r="AI445" s="4" t="s">
        <v>6</v>
      </c>
      <c r="AJ445" s="4" t="s">
        <v>6</v>
      </c>
      <c r="AK445" s="4" t="s">
        <v>6</v>
      </c>
      <c r="AL445" s="4" t="s">
        <v>6</v>
      </c>
      <c r="AM445" s="4" t="s">
        <v>6</v>
      </c>
      <c r="AN445" s="5" t="s">
        <v>6</v>
      </c>
    </row>
    <row r="446" spans="1:40" x14ac:dyDescent="0.2">
      <c r="A446" s="15">
        <v>4629</v>
      </c>
      <c r="B446" s="36" t="s">
        <v>6</v>
      </c>
      <c r="C446" s="36" t="s">
        <v>6</v>
      </c>
      <c r="D446" s="36" t="s">
        <v>6</v>
      </c>
      <c r="E446" s="36" t="s">
        <v>6</v>
      </c>
      <c r="F446" s="36" t="s">
        <v>6</v>
      </c>
      <c r="G446" s="36" t="s">
        <v>6</v>
      </c>
      <c r="H446" s="36" t="s">
        <v>6</v>
      </c>
      <c r="I446" s="36" t="s">
        <v>6</v>
      </c>
      <c r="J446" s="36" t="s">
        <v>6</v>
      </c>
      <c r="K446" s="36" t="s">
        <v>6</v>
      </c>
      <c r="L446" s="36" t="s">
        <v>6</v>
      </c>
      <c r="M446" s="36" t="s">
        <v>6</v>
      </c>
      <c r="N446" s="36" t="s">
        <v>6</v>
      </c>
      <c r="O446" s="36" t="s">
        <v>6</v>
      </c>
      <c r="P446" s="36" t="s">
        <v>6</v>
      </c>
      <c r="Q446" s="36" t="s">
        <v>6</v>
      </c>
      <c r="R446" s="36" t="s">
        <v>6</v>
      </c>
      <c r="S446" s="36" t="s">
        <v>6</v>
      </c>
      <c r="T446" s="36" t="s">
        <v>6</v>
      </c>
      <c r="U446" s="36" t="s">
        <v>6</v>
      </c>
      <c r="V446" s="4" t="s">
        <v>1</v>
      </c>
      <c r="W446" s="4">
        <v>1</v>
      </c>
      <c r="X446" s="4">
        <v>3</v>
      </c>
      <c r="Y446" s="4">
        <v>2</v>
      </c>
      <c r="Z446" s="5">
        <v>3</v>
      </c>
      <c r="AA446" s="4">
        <v>3</v>
      </c>
      <c r="AB446" s="4" t="s">
        <v>6</v>
      </c>
      <c r="AC446" s="4" t="s">
        <v>6</v>
      </c>
      <c r="AD446" s="4" t="s">
        <v>6</v>
      </c>
      <c r="AE446" s="5" t="s">
        <v>6</v>
      </c>
      <c r="AF446" s="4">
        <v>3</v>
      </c>
      <c r="AG446" s="5" t="s">
        <v>6</v>
      </c>
      <c r="AH446" s="4">
        <v>3</v>
      </c>
      <c r="AI446" s="4" t="s">
        <v>6</v>
      </c>
      <c r="AJ446" s="4" t="s">
        <v>6</v>
      </c>
      <c r="AK446" s="4" t="s">
        <v>6</v>
      </c>
      <c r="AL446" s="4" t="s">
        <v>6</v>
      </c>
      <c r="AM446" s="4" t="s">
        <v>6</v>
      </c>
      <c r="AN446" s="5" t="s">
        <v>6</v>
      </c>
    </row>
    <row r="447" spans="1:40" x14ac:dyDescent="0.2">
      <c r="A447" s="15">
        <v>4659</v>
      </c>
      <c r="B447" s="36" t="s">
        <v>6</v>
      </c>
      <c r="C447" s="36" t="s">
        <v>6</v>
      </c>
      <c r="D447" s="36" t="s">
        <v>6</v>
      </c>
      <c r="E447" s="36" t="s">
        <v>6</v>
      </c>
      <c r="F447" s="36" t="s">
        <v>6</v>
      </c>
      <c r="G447" s="36" t="s">
        <v>6</v>
      </c>
      <c r="H447" s="36" t="s">
        <v>6</v>
      </c>
      <c r="I447" s="36" t="s">
        <v>6</v>
      </c>
      <c r="J447" s="36" t="s">
        <v>6</v>
      </c>
      <c r="K447" s="36" t="s">
        <v>6</v>
      </c>
      <c r="L447" s="36" t="s">
        <v>6</v>
      </c>
      <c r="M447" s="36" t="s">
        <v>6</v>
      </c>
      <c r="N447" s="36" t="s">
        <v>6</v>
      </c>
      <c r="O447" s="36" t="s">
        <v>6</v>
      </c>
      <c r="P447" s="36" t="s">
        <v>6</v>
      </c>
      <c r="Q447" s="36" t="s">
        <v>6</v>
      </c>
      <c r="R447" s="36" t="s">
        <v>6</v>
      </c>
      <c r="S447" s="36" t="s">
        <v>6</v>
      </c>
      <c r="T447" s="36" t="s">
        <v>6</v>
      </c>
      <c r="U447" s="36" t="s">
        <v>6</v>
      </c>
      <c r="V447" s="4" t="s">
        <v>1</v>
      </c>
      <c r="W447" s="4">
        <v>1</v>
      </c>
      <c r="X447" s="4">
        <v>3</v>
      </c>
      <c r="Y447" s="4">
        <v>2</v>
      </c>
      <c r="Z447" s="5">
        <v>3</v>
      </c>
      <c r="AA447" s="4">
        <v>3</v>
      </c>
      <c r="AB447" s="4" t="s">
        <v>6</v>
      </c>
      <c r="AC447" s="4" t="s">
        <v>6</v>
      </c>
      <c r="AD447" s="4" t="s">
        <v>6</v>
      </c>
      <c r="AE447" s="5" t="s">
        <v>6</v>
      </c>
      <c r="AF447" s="4">
        <v>3</v>
      </c>
      <c r="AG447" s="5" t="s">
        <v>6</v>
      </c>
      <c r="AH447" s="4">
        <v>3</v>
      </c>
      <c r="AI447" s="4" t="s">
        <v>6</v>
      </c>
      <c r="AJ447" s="4" t="s">
        <v>6</v>
      </c>
      <c r="AK447" s="4" t="s">
        <v>6</v>
      </c>
      <c r="AL447" s="4" t="s">
        <v>6</v>
      </c>
      <c r="AM447" s="4" t="s">
        <v>6</v>
      </c>
      <c r="AN447" s="5" t="s">
        <v>6</v>
      </c>
    </row>
    <row r="448" spans="1:40" x14ac:dyDescent="0.2">
      <c r="A448" s="15">
        <v>4660</v>
      </c>
      <c r="B448" s="36" t="s">
        <v>6</v>
      </c>
      <c r="C448" s="36" t="s">
        <v>6</v>
      </c>
      <c r="D448" s="36" t="s">
        <v>6</v>
      </c>
      <c r="E448" s="36" t="s">
        <v>6</v>
      </c>
      <c r="F448" s="36" t="s">
        <v>6</v>
      </c>
      <c r="G448" s="36" t="s">
        <v>6</v>
      </c>
      <c r="H448" s="36" t="s">
        <v>6</v>
      </c>
      <c r="I448" s="36" t="s">
        <v>6</v>
      </c>
      <c r="J448" s="36" t="s">
        <v>6</v>
      </c>
      <c r="K448" s="36" t="s">
        <v>6</v>
      </c>
      <c r="L448" s="36" t="s">
        <v>6</v>
      </c>
      <c r="M448" s="36" t="s">
        <v>6</v>
      </c>
      <c r="N448" s="36" t="s">
        <v>6</v>
      </c>
      <c r="O448" s="36" t="s">
        <v>6</v>
      </c>
      <c r="P448" s="36" t="s">
        <v>6</v>
      </c>
      <c r="Q448" s="36" t="s">
        <v>6</v>
      </c>
      <c r="R448" s="36" t="s">
        <v>6</v>
      </c>
      <c r="S448" s="36" t="s">
        <v>6</v>
      </c>
      <c r="T448" s="36" t="s">
        <v>6</v>
      </c>
      <c r="U448" s="36" t="s">
        <v>6</v>
      </c>
      <c r="V448" s="4" t="s">
        <v>1</v>
      </c>
      <c r="W448" s="4">
        <v>1</v>
      </c>
      <c r="X448" s="4">
        <v>3</v>
      </c>
      <c r="Y448" s="4">
        <v>2</v>
      </c>
      <c r="Z448" s="5">
        <v>3</v>
      </c>
      <c r="AA448" s="4">
        <v>3</v>
      </c>
      <c r="AB448" s="4" t="s">
        <v>6</v>
      </c>
      <c r="AC448" s="4" t="s">
        <v>6</v>
      </c>
      <c r="AD448" s="4" t="s">
        <v>6</v>
      </c>
      <c r="AE448" s="5" t="s">
        <v>6</v>
      </c>
      <c r="AF448" s="4">
        <v>3</v>
      </c>
      <c r="AG448" s="5" t="s">
        <v>6</v>
      </c>
      <c r="AH448" s="4">
        <v>3</v>
      </c>
      <c r="AI448" s="4" t="s">
        <v>6</v>
      </c>
      <c r="AJ448" s="4" t="s">
        <v>6</v>
      </c>
      <c r="AK448" s="4" t="s">
        <v>6</v>
      </c>
      <c r="AL448" s="4" t="s">
        <v>6</v>
      </c>
      <c r="AM448" s="4" t="s">
        <v>6</v>
      </c>
      <c r="AN448" s="5" t="s">
        <v>6</v>
      </c>
    </row>
    <row r="449" spans="1:40" x14ac:dyDescent="0.2">
      <c r="A449" s="15">
        <v>4664</v>
      </c>
      <c r="B449" s="36" t="s">
        <v>6</v>
      </c>
      <c r="C449" s="36" t="s">
        <v>6</v>
      </c>
      <c r="D449" s="36" t="s">
        <v>6</v>
      </c>
      <c r="E449" s="36" t="s">
        <v>6</v>
      </c>
      <c r="F449" s="36" t="s">
        <v>6</v>
      </c>
      <c r="G449" s="36" t="s">
        <v>6</v>
      </c>
      <c r="H449" s="36" t="s">
        <v>6</v>
      </c>
      <c r="I449" s="36" t="s">
        <v>6</v>
      </c>
      <c r="J449" s="36" t="s">
        <v>6</v>
      </c>
      <c r="K449" s="36" t="s">
        <v>6</v>
      </c>
      <c r="L449" s="36" t="s">
        <v>6</v>
      </c>
      <c r="M449" s="36" t="s">
        <v>6</v>
      </c>
      <c r="N449" s="36" t="s">
        <v>6</v>
      </c>
      <c r="O449" s="36" t="s">
        <v>6</v>
      </c>
      <c r="P449" s="36" t="s">
        <v>6</v>
      </c>
      <c r="Q449" s="36" t="s">
        <v>6</v>
      </c>
      <c r="R449" s="36" t="s">
        <v>6</v>
      </c>
      <c r="S449" s="36" t="s">
        <v>6</v>
      </c>
      <c r="T449" s="36" t="s">
        <v>6</v>
      </c>
      <c r="U449" s="36" t="s">
        <v>6</v>
      </c>
      <c r="V449" s="4" t="s">
        <v>1</v>
      </c>
      <c r="W449" s="4">
        <v>1</v>
      </c>
      <c r="X449" s="4">
        <v>3</v>
      </c>
      <c r="Y449" s="4">
        <v>2</v>
      </c>
      <c r="Z449" s="5">
        <v>3</v>
      </c>
      <c r="AA449" s="4">
        <v>3</v>
      </c>
      <c r="AB449" s="4" t="s">
        <v>6</v>
      </c>
      <c r="AC449" s="4" t="s">
        <v>6</v>
      </c>
      <c r="AD449" s="4" t="s">
        <v>6</v>
      </c>
      <c r="AE449" s="5" t="s">
        <v>6</v>
      </c>
      <c r="AF449" s="4">
        <v>3</v>
      </c>
      <c r="AG449" s="5" t="s">
        <v>6</v>
      </c>
      <c r="AH449" s="4">
        <v>3</v>
      </c>
      <c r="AI449" s="4" t="s">
        <v>6</v>
      </c>
      <c r="AJ449" s="4" t="s">
        <v>6</v>
      </c>
      <c r="AK449" s="4" t="s">
        <v>6</v>
      </c>
      <c r="AL449" s="4" t="s">
        <v>6</v>
      </c>
      <c r="AM449" s="4" t="s">
        <v>6</v>
      </c>
      <c r="AN449" s="5" t="s">
        <v>6</v>
      </c>
    </row>
    <row r="450" spans="1:40" x14ac:dyDescent="0.2">
      <c r="A450" s="15">
        <v>4682</v>
      </c>
      <c r="B450" s="36" t="s">
        <v>6</v>
      </c>
      <c r="C450" s="36" t="s">
        <v>6</v>
      </c>
      <c r="D450" s="36" t="s">
        <v>6</v>
      </c>
      <c r="E450" s="36" t="s">
        <v>6</v>
      </c>
      <c r="F450" s="36" t="s">
        <v>6</v>
      </c>
      <c r="G450" s="36" t="s">
        <v>6</v>
      </c>
      <c r="H450" s="36" t="s">
        <v>6</v>
      </c>
      <c r="I450" s="36" t="s">
        <v>6</v>
      </c>
      <c r="J450" s="36" t="s">
        <v>6</v>
      </c>
      <c r="K450" s="36" t="s">
        <v>6</v>
      </c>
      <c r="L450" s="36" t="s">
        <v>6</v>
      </c>
      <c r="M450" s="36" t="s">
        <v>6</v>
      </c>
      <c r="N450" s="36" t="s">
        <v>6</v>
      </c>
      <c r="O450" s="36" t="s">
        <v>6</v>
      </c>
      <c r="P450" s="36" t="s">
        <v>6</v>
      </c>
      <c r="Q450" s="36" t="s">
        <v>6</v>
      </c>
      <c r="R450" s="36" t="s">
        <v>6</v>
      </c>
      <c r="S450" s="36" t="s">
        <v>6</v>
      </c>
      <c r="T450" s="36" t="s">
        <v>6</v>
      </c>
      <c r="U450" s="36" t="s">
        <v>6</v>
      </c>
      <c r="V450" s="4" t="s">
        <v>1</v>
      </c>
      <c r="W450" s="4">
        <v>1</v>
      </c>
      <c r="X450" s="4">
        <v>3</v>
      </c>
      <c r="Y450" s="4">
        <v>2</v>
      </c>
      <c r="Z450" s="5">
        <v>3</v>
      </c>
      <c r="AA450" s="4">
        <v>3</v>
      </c>
      <c r="AB450" s="4" t="s">
        <v>6</v>
      </c>
      <c r="AC450" s="4" t="s">
        <v>6</v>
      </c>
      <c r="AD450" s="4" t="s">
        <v>6</v>
      </c>
      <c r="AE450" s="5" t="s">
        <v>6</v>
      </c>
      <c r="AF450" s="4">
        <v>3</v>
      </c>
      <c r="AG450" s="5" t="s">
        <v>6</v>
      </c>
      <c r="AH450" s="4">
        <v>3</v>
      </c>
      <c r="AI450" s="4" t="s">
        <v>6</v>
      </c>
      <c r="AJ450" s="4" t="s">
        <v>6</v>
      </c>
      <c r="AK450" s="4" t="s">
        <v>6</v>
      </c>
      <c r="AL450" s="4" t="s">
        <v>6</v>
      </c>
      <c r="AM450" s="4" t="s">
        <v>6</v>
      </c>
      <c r="AN450" s="5" t="s">
        <v>6</v>
      </c>
    </row>
    <row r="451" spans="1:40" x14ac:dyDescent="0.2">
      <c r="A451" s="15">
        <v>4691</v>
      </c>
      <c r="B451" s="36" t="s">
        <v>6</v>
      </c>
      <c r="C451" s="36" t="s">
        <v>6</v>
      </c>
      <c r="D451" s="36" t="s">
        <v>6</v>
      </c>
      <c r="E451" s="36" t="s">
        <v>6</v>
      </c>
      <c r="F451" s="36" t="s">
        <v>6</v>
      </c>
      <c r="G451" s="36" t="s">
        <v>6</v>
      </c>
      <c r="H451" s="36" t="s">
        <v>6</v>
      </c>
      <c r="I451" s="36" t="s">
        <v>6</v>
      </c>
      <c r="J451" s="36" t="s">
        <v>6</v>
      </c>
      <c r="K451" s="36" t="s">
        <v>6</v>
      </c>
      <c r="L451" s="36" t="s">
        <v>6</v>
      </c>
      <c r="M451" s="36" t="s">
        <v>6</v>
      </c>
      <c r="N451" s="36" t="s">
        <v>6</v>
      </c>
      <c r="O451" s="36" t="s">
        <v>6</v>
      </c>
      <c r="P451" s="36" t="s">
        <v>6</v>
      </c>
      <c r="Q451" s="36" t="s">
        <v>6</v>
      </c>
      <c r="R451" s="36" t="s">
        <v>6</v>
      </c>
      <c r="S451" s="36" t="s">
        <v>6</v>
      </c>
      <c r="T451" s="36" t="s">
        <v>6</v>
      </c>
      <c r="U451" s="36" t="s">
        <v>6</v>
      </c>
      <c r="V451" s="4" t="s">
        <v>1</v>
      </c>
      <c r="W451" s="4">
        <v>1</v>
      </c>
      <c r="X451" s="4">
        <v>3</v>
      </c>
      <c r="Y451" s="4">
        <v>2</v>
      </c>
      <c r="Z451" s="5">
        <v>3</v>
      </c>
      <c r="AA451" s="4">
        <v>3</v>
      </c>
      <c r="AB451" s="4" t="s">
        <v>6</v>
      </c>
      <c r="AC451" s="4" t="s">
        <v>6</v>
      </c>
      <c r="AD451" s="4" t="s">
        <v>6</v>
      </c>
      <c r="AE451" s="5" t="s">
        <v>6</v>
      </c>
      <c r="AF451" s="4">
        <v>3</v>
      </c>
      <c r="AG451" s="5" t="s">
        <v>6</v>
      </c>
      <c r="AH451" s="4">
        <v>3</v>
      </c>
      <c r="AI451" s="4" t="s">
        <v>6</v>
      </c>
      <c r="AJ451" s="4" t="s">
        <v>6</v>
      </c>
      <c r="AK451" s="4" t="s">
        <v>6</v>
      </c>
      <c r="AL451" s="4" t="s">
        <v>6</v>
      </c>
      <c r="AM451" s="4" t="s">
        <v>6</v>
      </c>
      <c r="AN451" s="5" t="s">
        <v>6</v>
      </c>
    </row>
    <row r="452" spans="1:40" x14ac:dyDescent="0.2">
      <c r="A452" s="15">
        <v>4722</v>
      </c>
      <c r="B452" s="36" t="s">
        <v>6</v>
      </c>
      <c r="C452" s="36" t="s">
        <v>6</v>
      </c>
      <c r="D452" s="36" t="s">
        <v>6</v>
      </c>
      <c r="E452" s="36" t="s">
        <v>6</v>
      </c>
      <c r="F452" s="36" t="s">
        <v>6</v>
      </c>
      <c r="G452" s="36" t="s">
        <v>6</v>
      </c>
      <c r="H452" s="36" t="s">
        <v>6</v>
      </c>
      <c r="I452" s="36" t="s">
        <v>6</v>
      </c>
      <c r="J452" s="36" t="s">
        <v>6</v>
      </c>
      <c r="K452" s="36" t="s">
        <v>6</v>
      </c>
      <c r="L452" s="36" t="s">
        <v>6</v>
      </c>
      <c r="M452" s="36" t="s">
        <v>6</v>
      </c>
      <c r="N452" s="36" t="s">
        <v>6</v>
      </c>
      <c r="O452" s="36" t="s">
        <v>6</v>
      </c>
      <c r="P452" s="36" t="s">
        <v>6</v>
      </c>
      <c r="Q452" s="36" t="s">
        <v>6</v>
      </c>
      <c r="R452" s="36" t="s">
        <v>6</v>
      </c>
      <c r="S452" s="36" t="s">
        <v>6</v>
      </c>
      <c r="T452" s="36" t="s">
        <v>6</v>
      </c>
      <c r="U452" s="36" t="s">
        <v>6</v>
      </c>
      <c r="V452" s="4" t="s">
        <v>1</v>
      </c>
      <c r="W452" s="4">
        <v>1</v>
      </c>
      <c r="X452" s="4">
        <v>3</v>
      </c>
      <c r="Y452" s="4">
        <v>2</v>
      </c>
      <c r="Z452" s="5">
        <v>3</v>
      </c>
      <c r="AA452" s="4">
        <v>3</v>
      </c>
      <c r="AB452" s="4" t="s">
        <v>6</v>
      </c>
      <c r="AC452" s="4" t="s">
        <v>6</v>
      </c>
      <c r="AD452" s="4" t="s">
        <v>6</v>
      </c>
      <c r="AE452" s="5" t="s">
        <v>6</v>
      </c>
      <c r="AF452" s="4">
        <v>3</v>
      </c>
      <c r="AG452" s="5" t="s">
        <v>6</v>
      </c>
      <c r="AH452" s="4">
        <v>3</v>
      </c>
      <c r="AI452" s="4" t="s">
        <v>6</v>
      </c>
      <c r="AJ452" s="4" t="s">
        <v>6</v>
      </c>
      <c r="AK452" s="4" t="s">
        <v>6</v>
      </c>
      <c r="AL452" s="4" t="s">
        <v>6</v>
      </c>
      <c r="AM452" s="4" t="s">
        <v>6</v>
      </c>
      <c r="AN452" s="5" t="s">
        <v>6</v>
      </c>
    </row>
    <row r="453" spans="1:40" x14ac:dyDescent="0.2">
      <c r="A453" s="15">
        <v>4727</v>
      </c>
      <c r="B453" s="36" t="s">
        <v>6</v>
      </c>
      <c r="C453" s="36" t="s">
        <v>6</v>
      </c>
      <c r="D453" s="36" t="s">
        <v>6</v>
      </c>
      <c r="E453" s="36" t="s">
        <v>6</v>
      </c>
      <c r="F453" s="36" t="s">
        <v>6</v>
      </c>
      <c r="G453" s="36" t="s">
        <v>6</v>
      </c>
      <c r="H453" s="36" t="s">
        <v>6</v>
      </c>
      <c r="I453" s="36" t="s">
        <v>6</v>
      </c>
      <c r="J453" s="36" t="s">
        <v>6</v>
      </c>
      <c r="K453" s="36" t="s">
        <v>6</v>
      </c>
      <c r="L453" s="36" t="s">
        <v>6</v>
      </c>
      <c r="M453" s="36" t="s">
        <v>6</v>
      </c>
      <c r="N453" s="36" t="s">
        <v>6</v>
      </c>
      <c r="O453" s="36" t="s">
        <v>6</v>
      </c>
      <c r="P453" s="36" t="s">
        <v>6</v>
      </c>
      <c r="Q453" s="36" t="s">
        <v>6</v>
      </c>
      <c r="R453" s="36" t="s">
        <v>6</v>
      </c>
      <c r="S453" s="36" t="s">
        <v>6</v>
      </c>
      <c r="T453" s="36" t="s">
        <v>6</v>
      </c>
      <c r="U453" s="36" t="s">
        <v>6</v>
      </c>
      <c r="V453" s="4" t="s">
        <v>1</v>
      </c>
      <c r="W453" s="4">
        <v>1</v>
      </c>
      <c r="X453" s="4">
        <v>3</v>
      </c>
      <c r="Y453" s="4">
        <v>2</v>
      </c>
      <c r="Z453" s="5">
        <v>3</v>
      </c>
      <c r="AA453" s="4">
        <v>3</v>
      </c>
      <c r="AB453" s="4" t="s">
        <v>6</v>
      </c>
      <c r="AC453" s="4" t="s">
        <v>6</v>
      </c>
      <c r="AD453" s="4" t="s">
        <v>6</v>
      </c>
      <c r="AE453" s="5" t="s">
        <v>6</v>
      </c>
      <c r="AF453" s="4">
        <v>3</v>
      </c>
      <c r="AG453" s="5" t="s">
        <v>6</v>
      </c>
      <c r="AH453" s="4">
        <v>3</v>
      </c>
      <c r="AI453" s="4" t="s">
        <v>6</v>
      </c>
      <c r="AJ453" s="4" t="s">
        <v>6</v>
      </c>
      <c r="AK453" s="4" t="s">
        <v>6</v>
      </c>
      <c r="AL453" s="4" t="s">
        <v>6</v>
      </c>
      <c r="AM453" s="4" t="s">
        <v>6</v>
      </c>
      <c r="AN453" s="5" t="s">
        <v>6</v>
      </c>
    </row>
    <row r="454" spans="1:40" x14ac:dyDescent="0.2">
      <c r="A454" s="15">
        <v>4737</v>
      </c>
      <c r="B454" s="36" t="s">
        <v>6</v>
      </c>
      <c r="C454" s="36" t="s">
        <v>6</v>
      </c>
      <c r="D454" s="36" t="s">
        <v>6</v>
      </c>
      <c r="E454" s="36" t="s">
        <v>6</v>
      </c>
      <c r="F454" s="36" t="s">
        <v>6</v>
      </c>
      <c r="G454" s="36" t="s">
        <v>6</v>
      </c>
      <c r="H454" s="36" t="s">
        <v>6</v>
      </c>
      <c r="I454" s="36" t="s">
        <v>6</v>
      </c>
      <c r="J454" s="36" t="s">
        <v>6</v>
      </c>
      <c r="K454" s="36" t="s">
        <v>6</v>
      </c>
      <c r="L454" s="36" t="s">
        <v>6</v>
      </c>
      <c r="M454" s="36" t="s">
        <v>6</v>
      </c>
      <c r="N454" s="36" t="s">
        <v>6</v>
      </c>
      <c r="O454" s="36" t="s">
        <v>6</v>
      </c>
      <c r="P454" s="36" t="s">
        <v>6</v>
      </c>
      <c r="Q454" s="36" t="s">
        <v>6</v>
      </c>
      <c r="R454" s="36" t="s">
        <v>6</v>
      </c>
      <c r="S454" s="36" t="s">
        <v>6</v>
      </c>
      <c r="T454" s="36" t="s">
        <v>6</v>
      </c>
      <c r="U454" s="36" t="s">
        <v>6</v>
      </c>
      <c r="V454" s="4" t="s">
        <v>1</v>
      </c>
      <c r="W454" s="4">
        <v>1</v>
      </c>
      <c r="X454" s="4">
        <v>3</v>
      </c>
      <c r="Y454" s="4">
        <v>2</v>
      </c>
      <c r="Z454" s="5">
        <v>3</v>
      </c>
      <c r="AA454" s="4">
        <v>3</v>
      </c>
      <c r="AB454" s="4" t="s">
        <v>6</v>
      </c>
      <c r="AC454" s="4" t="s">
        <v>6</v>
      </c>
      <c r="AD454" s="4" t="s">
        <v>6</v>
      </c>
      <c r="AE454" s="5" t="s">
        <v>6</v>
      </c>
      <c r="AF454" s="4">
        <v>3</v>
      </c>
      <c r="AG454" s="5" t="s">
        <v>6</v>
      </c>
      <c r="AH454" s="4">
        <v>3</v>
      </c>
      <c r="AI454" s="4" t="s">
        <v>6</v>
      </c>
      <c r="AJ454" s="4" t="s">
        <v>6</v>
      </c>
      <c r="AK454" s="4" t="s">
        <v>6</v>
      </c>
      <c r="AL454" s="4" t="s">
        <v>6</v>
      </c>
      <c r="AM454" s="4" t="s">
        <v>6</v>
      </c>
      <c r="AN454" s="5" t="s">
        <v>6</v>
      </c>
    </row>
    <row r="455" spans="1:40" x14ac:dyDescent="0.2">
      <c r="A455" s="15">
        <v>4743</v>
      </c>
      <c r="B455" s="36" t="s">
        <v>6</v>
      </c>
      <c r="C455" s="36" t="s">
        <v>6</v>
      </c>
      <c r="D455" s="36" t="s">
        <v>6</v>
      </c>
      <c r="E455" s="36" t="s">
        <v>6</v>
      </c>
      <c r="F455" s="36" t="s">
        <v>6</v>
      </c>
      <c r="G455" s="36" t="s">
        <v>6</v>
      </c>
      <c r="H455" s="36" t="s">
        <v>6</v>
      </c>
      <c r="I455" s="36" t="s">
        <v>6</v>
      </c>
      <c r="J455" s="36" t="s">
        <v>6</v>
      </c>
      <c r="K455" s="36" t="s">
        <v>6</v>
      </c>
      <c r="L455" s="36" t="s">
        <v>6</v>
      </c>
      <c r="M455" s="36" t="s">
        <v>6</v>
      </c>
      <c r="N455" s="36" t="s">
        <v>6</v>
      </c>
      <c r="O455" s="36" t="s">
        <v>6</v>
      </c>
      <c r="P455" s="36" t="s">
        <v>6</v>
      </c>
      <c r="Q455" s="36" t="s">
        <v>6</v>
      </c>
      <c r="R455" s="36" t="s">
        <v>6</v>
      </c>
      <c r="S455" s="36" t="s">
        <v>6</v>
      </c>
      <c r="T455" s="36" t="s">
        <v>6</v>
      </c>
      <c r="U455" s="36" t="s">
        <v>6</v>
      </c>
      <c r="V455" s="4" t="s">
        <v>1</v>
      </c>
      <c r="W455" s="4">
        <v>1</v>
      </c>
      <c r="X455" s="4">
        <v>3</v>
      </c>
      <c r="Y455" s="4">
        <v>2</v>
      </c>
      <c r="Z455" s="5">
        <v>3</v>
      </c>
      <c r="AA455" s="4">
        <v>3</v>
      </c>
      <c r="AB455" s="4" t="s">
        <v>6</v>
      </c>
      <c r="AC455" s="4" t="s">
        <v>6</v>
      </c>
      <c r="AD455" s="4" t="s">
        <v>6</v>
      </c>
      <c r="AE455" s="5" t="s">
        <v>6</v>
      </c>
      <c r="AF455" s="4">
        <v>3</v>
      </c>
      <c r="AG455" s="5" t="s">
        <v>6</v>
      </c>
      <c r="AH455" s="4">
        <v>3</v>
      </c>
      <c r="AI455" s="4" t="s">
        <v>6</v>
      </c>
      <c r="AJ455" s="4" t="s">
        <v>6</v>
      </c>
      <c r="AK455" s="4" t="s">
        <v>6</v>
      </c>
      <c r="AL455" s="4" t="s">
        <v>6</v>
      </c>
      <c r="AM455" s="4" t="s">
        <v>6</v>
      </c>
      <c r="AN455" s="5" t="s">
        <v>6</v>
      </c>
    </row>
    <row r="456" spans="1:40" x14ac:dyDescent="0.2">
      <c r="A456" s="15">
        <v>4749</v>
      </c>
      <c r="B456" s="36" t="s">
        <v>6</v>
      </c>
      <c r="C456" s="36" t="s">
        <v>6</v>
      </c>
      <c r="D456" s="36" t="s">
        <v>6</v>
      </c>
      <c r="E456" s="36" t="s">
        <v>6</v>
      </c>
      <c r="F456" s="36" t="s">
        <v>6</v>
      </c>
      <c r="G456" s="36" t="s">
        <v>6</v>
      </c>
      <c r="H456" s="36" t="s">
        <v>6</v>
      </c>
      <c r="I456" s="36" t="s">
        <v>6</v>
      </c>
      <c r="J456" s="36" t="s">
        <v>6</v>
      </c>
      <c r="K456" s="36" t="s">
        <v>6</v>
      </c>
      <c r="L456" s="36" t="s">
        <v>6</v>
      </c>
      <c r="M456" s="36" t="s">
        <v>6</v>
      </c>
      <c r="N456" s="36" t="s">
        <v>6</v>
      </c>
      <c r="O456" s="36" t="s">
        <v>6</v>
      </c>
      <c r="P456" s="36" t="s">
        <v>6</v>
      </c>
      <c r="Q456" s="36" t="s">
        <v>6</v>
      </c>
      <c r="R456" s="36" t="s">
        <v>6</v>
      </c>
      <c r="S456" s="36" t="s">
        <v>6</v>
      </c>
      <c r="T456" s="36" t="s">
        <v>6</v>
      </c>
      <c r="U456" s="36" t="s">
        <v>6</v>
      </c>
      <c r="V456" s="4" t="s">
        <v>1</v>
      </c>
      <c r="W456" s="4">
        <v>1</v>
      </c>
      <c r="X456" s="4">
        <v>3</v>
      </c>
      <c r="Y456" s="4">
        <v>2</v>
      </c>
      <c r="Z456" s="5">
        <v>3</v>
      </c>
      <c r="AA456" s="4">
        <v>3</v>
      </c>
      <c r="AB456" s="4" t="s">
        <v>6</v>
      </c>
      <c r="AC456" s="4" t="s">
        <v>6</v>
      </c>
      <c r="AD456" s="4" t="s">
        <v>6</v>
      </c>
      <c r="AE456" s="5" t="s">
        <v>6</v>
      </c>
      <c r="AF456" s="4">
        <v>3</v>
      </c>
      <c r="AG456" s="5" t="s">
        <v>6</v>
      </c>
      <c r="AH456" s="4">
        <v>3</v>
      </c>
      <c r="AI456" s="4" t="s">
        <v>6</v>
      </c>
      <c r="AJ456" s="4" t="s">
        <v>6</v>
      </c>
      <c r="AK456" s="4" t="s">
        <v>6</v>
      </c>
      <c r="AL456" s="4" t="s">
        <v>6</v>
      </c>
      <c r="AM456" s="4" t="s">
        <v>6</v>
      </c>
      <c r="AN456" s="5" t="s">
        <v>6</v>
      </c>
    </row>
    <row r="457" spans="1:40" x14ac:dyDescent="0.2">
      <c r="A457" s="15">
        <v>4754</v>
      </c>
      <c r="B457" s="36" t="s">
        <v>6</v>
      </c>
      <c r="C457" s="36" t="s">
        <v>6</v>
      </c>
      <c r="D457" s="36" t="s">
        <v>6</v>
      </c>
      <c r="E457" s="36" t="s">
        <v>6</v>
      </c>
      <c r="F457" s="36" t="s">
        <v>6</v>
      </c>
      <c r="G457" s="36" t="s">
        <v>6</v>
      </c>
      <c r="H457" s="36" t="s">
        <v>6</v>
      </c>
      <c r="I457" s="36" t="s">
        <v>6</v>
      </c>
      <c r="J457" s="36" t="s">
        <v>6</v>
      </c>
      <c r="K457" s="36" t="s">
        <v>6</v>
      </c>
      <c r="L457" s="36" t="s">
        <v>6</v>
      </c>
      <c r="M457" s="36" t="s">
        <v>6</v>
      </c>
      <c r="N457" s="36" t="s">
        <v>6</v>
      </c>
      <c r="O457" s="36" t="s">
        <v>6</v>
      </c>
      <c r="P457" s="36" t="s">
        <v>6</v>
      </c>
      <c r="Q457" s="36" t="s">
        <v>6</v>
      </c>
      <c r="R457" s="36" t="s">
        <v>6</v>
      </c>
      <c r="S457" s="36" t="s">
        <v>6</v>
      </c>
      <c r="T457" s="36" t="s">
        <v>6</v>
      </c>
      <c r="U457" s="36" t="s">
        <v>6</v>
      </c>
      <c r="V457" s="4" t="s">
        <v>1</v>
      </c>
      <c r="W457" s="4">
        <v>1</v>
      </c>
      <c r="X457" s="4">
        <v>3</v>
      </c>
      <c r="Y457" s="4">
        <v>2</v>
      </c>
      <c r="Z457" s="5">
        <v>3</v>
      </c>
      <c r="AA457" s="4">
        <v>3</v>
      </c>
      <c r="AB457" s="4" t="s">
        <v>6</v>
      </c>
      <c r="AC457" s="4" t="s">
        <v>6</v>
      </c>
      <c r="AD457" s="4" t="s">
        <v>6</v>
      </c>
      <c r="AE457" s="5" t="s">
        <v>6</v>
      </c>
      <c r="AF457" s="4">
        <v>3</v>
      </c>
      <c r="AG457" s="5" t="s">
        <v>6</v>
      </c>
      <c r="AH457" s="4">
        <v>3</v>
      </c>
      <c r="AI457" s="4" t="s">
        <v>6</v>
      </c>
      <c r="AJ457" s="4" t="s">
        <v>6</v>
      </c>
      <c r="AK457" s="4" t="s">
        <v>6</v>
      </c>
      <c r="AL457" s="4" t="s">
        <v>6</v>
      </c>
      <c r="AM457" s="4" t="s">
        <v>6</v>
      </c>
      <c r="AN457" s="5" t="s">
        <v>6</v>
      </c>
    </row>
    <row r="458" spans="1:40" x14ac:dyDescent="0.2">
      <c r="A458" s="15">
        <v>4788</v>
      </c>
      <c r="B458" s="36" t="s">
        <v>6</v>
      </c>
      <c r="C458" s="36" t="s">
        <v>6</v>
      </c>
      <c r="D458" s="36" t="s">
        <v>6</v>
      </c>
      <c r="E458" s="36" t="s">
        <v>6</v>
      </c>
      <c r="F458" s="36" t="s">
        <v>6</v>
      </c>
      <c r="G458" s="36" t="s">
        <v>6</v>
      </c>
      <c r="H458" s="36" t="s">
        <v>6</v>
      </c>
      <c r="I458" s="36" t="s">
        <v>6</v>
      </c>
      <c r="J458" s="36" t="s">
        <v>6</v>
      </c>
      <c r="K458" s="36" t="s">
        <v>6</v>
      </c>
      <c r="L458" s="36" t="s">
        <v>6</v>
      </c>
      <c r="M458" s="36" t="s">
        <v>6</v>
      </c>
      <c r="N458" s="36" t="s">
        <v>6</v>
      </c>
      <c r="O458" s="36" t="s">
        <v>6</v>
      </c>
      <c r="P458" s="36" t="s">
        <v>6</v>
      </c>
      <c r="Q458" s="36" t="s">
        <v>6</v>
      </c>
      <c r="R458" s="36" t="s">
        <v>6</v>
      </c>
      <c r="S458" s="36" t="s">
        <v>6</v>
      </c>
      <c r="T458" s="36" t="s">
        <v>6</v>
      </c>
      <c r="U458" s="36" t="s">
        <v>6</v>
      </c>
      <c r="V458" s="4" t="s">
        <v>1</v>
      </c>
      <c r="W458" s="4">
        <v>1</v>
      </c>
      <c r="X458" s="4">
        <v>3</v>
      </c>
      <c r="Y458" s="4">
        <v>2</v>
      </c>
      <c r="Z458" s="5">
        <v>3</v>
      </c>
      <c r="AA458" s="4">
        <v>3</v>
      </c>
      <c r="AB458" s="4" t="s">
        <v>6</v>
      </c>
      <c r="AC458" s="4" t="s">
        <v>6</v>
      </c>
      <c r="AD458" s="4" t="s">
        <v>6</v>
      </c>
      <c r="AE458" s="5" t="s">
        <v>6</v>
      </c>
      <c r="AF458" s="4">
        <v>3</v>
      </c>
      <c r="AG458" s="5" t="s">
        <v>6</v>
      </c>
      <c r="AH458" s="4">
        <v>3</v>
      </c>
      <c r="AI458" s="4" t="s">
        <v>6</v>
      </c>
      <c r="AJ458" s="4" t="s">
        <v>6</v>
      </c>
      <c r="AK458" s="4" t="s">
        <v>6</v>
      </c>
      <c r="AL458" s="4" t="s">
        <v>6</v>
      </c>
      <c r="AM458" s="4" t="s">
        <v>6</v>
      </c>
      <c r="AN458" s="5" t="s">
        <v>6</v>
      </c>
    </row>
    <row r="459" spans="1:40" x14ac:dyDescent="0.2">
      <c r="A459" s="15">
        <v>4791</v>
      </c>
      <c r="B459" s="36" t="s">
        <v>6</v>
      </c>
      <c r="C459" s="36" t="s">
        <v>6</v>
      </c>
      <c r="D459" s="36" t="s">
        <v>6</v>
      </c>
      <c r="E459" s="36" t="s">
        <v>6</v>
      </c>
      <c r="F459" s="36" t="s">
        <v>6</v>
      </c>
      <c r="G459" s="36" t="s">
        <v>6</v>
      </c>
      <c r="H459" s="36" t="s">
        <v>6</v>
      </c>
      <c r="I459" s="36" t="s">
        <v>6</v>
      </c>
      <c r="J459" s="36" t="s">
        <v>6</v>
      </c>
      <c r="K459" s="36" t="s">
        <v>6</v>
      </c>
      <c r="L459" s="36" t="s">
        <v>6</v>
      </c>
      <c r="M459" s="36" t="s">
        <v>6</v>
      </c>
      <c r="N459" s="36" t="s">
        <v>6</v>
      </c>
      <c r="O459" s="36" t="s">
        <v>6</v>
      </c>
      <c r="P459" s="36" t="s">
        <v>6</v>
      </c>
      <c r="Q459" s="36" t="s">
        <v>6</v>
      </c>
      <c r="R459" s="36" t="s">
        <v>6</v>
      </c>
      <c r="S459" s="36" t="s">
        <v>6</v>
      </c>
      <c r="T459" s="36" t="s">
        <v>6</v>
      </c>
      <c r="U459" s="36" t="s">
        <v>6</v>
      </c>
      <c r="V459" s="4" t="s">
        <v>1</v>
      </c>
      <c r="W459" s="4">
        <v>1</v>
      </c>
      <c r="X459" s="4">
        <v>3</v>
      </c>
      <c r="Y459" s="4">
        <v>2</v>
      </c>
      <c r="Z459" s="5">
        <v>3</v>
      </c>
      <c r="AA459" s="4">
        <v>3</v>
      </c>
      <c r="AB459" s="4" t="s">
        <v>6</v>
      </c>
      <c r="AC459" s="4" t="s">
        <v>6</v>
      </c>
      <c r="AD459" s="4" t="s">
        <v>6</v>
      </c>
      <c r="AE459" s="5" t="s">
        <v>6</v>
      </c>
      <c r="AF459" s="4">
        <v>3</v>
      </c>
      <c r="AG459" s="5" t="s">
        <v>6</v>
      </c>
      <c r="AH459" s="4">
        <v>3</v>
      </c>
      <c r="AI459" s="4" t="s">
        <v>6</v>
      </c>
      <c r="AJ459" s="4" t="s">
        <v>6</v>
      </c>
      <c r="AK459" s="4" t="s">
        <v>6</v>
      </c>
      <c r="AL459" s="4" t="s">
        <v>6</v>
      </c>
      <c r="AM459" s="4" t="s">
        <v>6</v>
      </c>
      <c r="AN459" s="5" t="s">
        <v>6</v>
      </c>
    </row>
    <row r="460" spans="1:40" x14ac:dyDescent="0.2">
      <c r="A460" s="15">
        <v>4794</v>
      </c>
      <c r="B460" s="36" t="s">
        <v>6</v>
      </c>
      <c r="C460" s="36" t="s">
        <v>6</v>
      </c>
      <c r="D460" s="36" t="s">
        <v>6</v>
      </c>
      <c r="E460" s="36" t="s">
        <v>6</v>
      </c>
      <c r="F460" s="36" t="s">
        <v>6</v>
      </c>
      <c r="G460" s="36" t="s">
        <v>6</v>
      </c>
      <c r="H460" s="36" t="s">
        <v>6</v>
      </c>
      <c r="I460" s="36" t="s">
        <v>6</v>
      </c>
      <c r="J460" s="36" t="s">
        <v>6</v>
      </c>
      <c r="K460" s="36" t="s">
        <v>6</v>
      </c>
      <c r="L460" s="36" t="s">
        <v>6</v>
      </c>
      <c r="M460" s="36" t="s">
        <v>6</v>
      </c>
      <c r="N460" s="36" t="s">
        <v>6</v>
      </c>
      <c r="O460" s="36" t="s">
        <v>6</v>
      </c>
      <c r="P460" s="36" t="s">
        <v>6</v>
      </c>
      <c r="Q460" s="36" t="s">
        <v>6</v>
      </c>
      <c r="R460" s="36" t="s">
        <v>6</v>
      </c>
      <c r="S460" s="36" t="s">
        <v>6</v>
      </c>
      <c r="T460" s="36" t="s">
        <v>6</v>
      </c>
      <c r="U460" s="36" t="s">
        <v>6</v>
      </c>
      <c r="V460" s="4" t="s">
        <v>1</v>
      </c>
      <c r="W460" s="4">
        <v>1</v>
      </c>
      <c r="X460" s="4">
        <v>3</v>
      </c>
      <c r="Y460" s="4">
        <v>2</v>
      </c>
      <c r="Z460" s="5">
        <v>3</v>
      </c>
      <c r="AA460" s="4">
        <v>3</v>
      </c>
      <c r="AB460" s="4" t="s">
        <v>6</v>
      </c>
      <c r="AC460" s="4" t="s">
        <v>6</v>
      </c>
      <c r="AD460" s="4" t="s">
        <v>6</v>
      </c>
      <c r="AE460" s="5" t="s">
        <v>6</v>
      </c>
      <c r="AF460" s="4">
        <v>3</v>
      </c>
      <c r="AG460" s="5" t="s">
        <v>6</v>
      </c>
      <c r="AH460" s="4">
        <v>3</v>
      </c>
      <c r="AI460" s="4" t="s">
        <v>6</v>
      </c>
      <c r="AJ460" s="4" t="s">
        <v>6</v>
      </c>
      <c r="AK460" s="4" t="s">
        <v>6</v>
      </c>
      <c r="AL460" s="4" t="s">
        <v>6</v>
      </c>
      <c r="AM460" s="4" t="s">
        <v>6</v>
      </c>
      <c r="AN460" s="5" t="s">
        <v>6</v>
      </c>
    </row>
    <row r="461" spans="1:40" x14ac:dyDescent="0.2">
      <c r="A461" s="15">
        <v>4799</v>
      </c>
      <c r="B461" s="36" t="s">
        <v>6</v>
      </c>
      <c r="C461" s="36" t="s">
        <v>6</v>
      </c>
      <c r="D461" s="36" t="s">
        <v>6</v>
      </c>
      <c r="E461" s="36" t="s">
        <v>6</v>
      </c>
      <c r="F461" s="36" t="s">
        <v>6</v>
      </c>
      <c r="G461" s="36" t="s">
        <v>6</v>
      </c>
      <c r="H461" s="36" t="s">
        <v>6</v>
      </c>
      <c r="I461" s="36" t="s">
        <v>6</v>
      </c>
      <c r="J461" s="36" t="s">
        <v>6</v>
      </c>
      <c r="K461" s="36" t="s">
        <v>6</v>
      </c>
      <c r="L461" s="36" t="s">
        <v>6</v>
      </c>
      <c r="M461" s="36" t="s">
        <v>6</v>
      </c>
      <c r="N461" s="36" t="s">
        <v>6</v>
      </c>
      <c r="O461" s="36" t="s">
        <v>6</v>
      </c>
      <c r="P461" s="36" t="s">
        <v>6</v>
      </c>
      <c r="Q461" s="36" t="s">
        <v>6</v>
      </c>
      <c r="R461" s="36" t="s">
        <v>6</v>
      </c>
      <c r="S461" s="36" t="s">
        <v>6</v>
      </c>
      <c r="T461" s="36" t="s">
        <v>6</v>
      </c>
      <c r="U461" s="36" t="s">
        <v>6</v>
      </c>
      <c r="V461" s="4" t="s">
        <v>1</v>
      </c>
      <c r="W461" s="4">
        <v>1</v>
      </c>
      <c r="X461" s="4">
        <v>3</v>
      </c>
      <c r="Y461" s="4">
        <v>2</v>
      </c>
      <c r="Z461" s="5">
        <v>3</v>
      </c>
      <c r="AA461" s="4">
        <v>3</v>
      </c>
      <c r="AB461" s="4" t="s">
        <v>6</v>
      </c>
      <c r="AC461" s="4" t="s">
        <v>6</v>
      </c>
      <c r="AD461" s="4" t="s">
        <v>6</v>
      </c>
      <c r="AE461" s="5" t="s">
        <v>6</v>
      </c>
      <c r="AF461" s="4">
        <v>3</v>
      </c>
      <c r="AG461" s="5" t="s">
        <v>6</v>
      </c>
      <c r="AH461" s="4">
        <v>3</v>
      </c>
      <c r="AI461" s="4" t="s">
        <v>6</v>
      </c>
      <c r="AJ461" s="4" t="s">
        <v>6</v>
      </c>
      <c r="AK461" s="4" t="s">
        <v>6</v>
      </c>
      <c r="AL461" s="4" t="s">
        <v>6</v>
      </c>
      <c r="AM461" s="4" t="s">
        <v>6</v>
      </c>
      <c r="AN461" s="5" t="s">
        <v>6</v>
      </c>
    </row>
    <row r="462" spans="1:40" x14ac:dyDescent="0.2">
      <c r="A462" s="15">
        <v>4800</v>
      </c>
      <c r="B462" s="36" t="s">
        <v>6</v>
      </c>
      <c r="C462" s="36" t="s">
        <v>6</v>
      </c>
      <c r="D462" s="36" t="s">
        <v>6</v>
      </c>
      <c r="E462" s="36" t="s">
        <v>6</v>
      </c>
      <c r="F462" s="36" t="s">
        <v>6</v>
      </c>
      <c r="G462" s="36" t="s">
        <v>6</v>
      </c>
      <c r="H462" s="36" t="s">
        <v>6</v>
      </c>
      <c r="I462" s="36" t="s">
        <v>6</v>
      </c>
      <c r="J462" s="36" t="s">
        <v>6</v>
      </c>
      <c r="K462" s="36" t="s">
        <v>6</v>
      </c>
      <c r="L462" s="36" t="s">
        <v>6</v>
      </c>
      <c r="M462" s="36" t="s">
        <v>6</v>
      </c>
      <c r="N462" s="36" t="s">
        <v>6</v>
      </c>
      <c r="O462" s="36" t="s">
        <v>6</v>
      </c>
      <c r="P462" s="36" t="s">
        <v>6</v>
      </c>
      <c r="Q462" s="36" t="s">
        <v>6</v>
      </c>
      <c r="R462" s="36" t="s">
        <v>6</v>
      </c>
      <c r="S462" s="36" t="s">
        <v>6</v>
      </c>
      <c r="T462" s="36" t="s">
        <v>6</v>
      </c>
      <c r="U462" s="36" t="s">
        <v>6</v>
      </c>
      <c r="V462" s="4" t="s">
        <v>1</v>
      </c>
      <c r="W462" s="4">
        <v>1</v>
      </c>
      <c r="X462" s="4">
        <v>3</v>
      </c>
      <c r="Y462" s="4">
        <v>2</v>
      </c>
      <c r="Z462" s="5">
        <v>3</v>
      </c>
      <c r="AA462" s="4">
        <v>3</v>
      </c>
      <c r="AB462" s="4" t="s">
        <v>6</v>
      </c>
      <c r="AC462" s="4" t="s">
        <v>6</v>
      </c>
      <c r="AD462" s="4" t="s">
        <v>6</v>
      </c>
      <c r="AE462" s="5" t="s">
        <v>6</v>
      </c>
      <c r="AF462" s="4">
        <v>3</v>
      </c>
      <c r="AG462" s="5" t="s">
        <v>6</v>
      </c>
      <c r="AH462" s="4">
        <v>3</v>
      </c>
      <c r="AI462" s="4" t="s">
        <v>6</v>
      </c>
      <c r="AJ462" s="4" t="s">
        <v>6</v>
      </c>
      <c r="AK462" s="4" t="s">
        <v>6</v>
      </c>
      <c r="AL462" s="4" t="s">
        <v>6</v>
      </c>
      <c r="AM462" s="4" t="s">
        <v>6</v>
      </c>
      <c r="AN462" s="5" t="s">
        <v>6</v>
      </c>
    </row>
    <row r="463" spans="1:40" x14ac:dyDescent="0.2">
      <c r="A463" s="15">
        <v>4805</v>
      </c>
      <c r="B463" s="36" t="s">
        <v>6</v>
      </c>
      <c r="C463" s="36" t="s">
        <v>6</v>
      </c>
      <c r="D463" s="36" t="s">
        <v>6</v>
      </c>
      <c r="E463" s="36" t="s">
        <v>6</v>
      </c>
      <c r="F463" s="36" t="s">
        <v>6</v>
      </c>
      <c r="G463" s="36" t="s">
        <v>6</v>
      </c>
      <c r="H463" s="36" t="s">
        <v>6</v>
      </c>
      <c r="I463" s="36" t="s">
        <v>6</v>
      </c>
      <c r="J463" s="36" t="s">
        <v>6</v>
      </c>
      <c r="K463" s="36" t="s">
        <v>6</v>
      </c>
      <c r="L463" s="36" t="s">
        <v>6</v>
      </c>
      <c r="M463" s="36" t="s">
        <v>6</v>
      </c>
      <c r="N463" s="36" t="s">
        <v>6</v>
      </c>
      <c r="O463" s="36" t="s">
        <v>6</v>
      </c>
      <c r="P463" s="36" t="s">
        <v>6</v>
      </c>
      <c r="Q463" s="36" t="s">
        <v>6</v>
      </c>
      <c r="R463" s="36" t="s">
        <v>6</v>
      </c>
      <c r="S463" s="36" t="s">
        <v>6</v>
      </c>
      <c r="T463" s="36" t="s">
        <v>6</v>
      </c>
      <c r="U463" s="36" t="s">
        <v>6</v>
      </c>
      <c r="V463" s="4" t="s">
        <v>1</v>
      </c>
      <c r="W463" s="4">
        <v>1</v>
      </c>
      <c r="X463" s="4">
        <v>3</v>
      </c>
      <c r="Y463" s="4">
        <v>2</v>
      </c>
      <c r="Z463" s="5">
        <v>3</v>
      </c>
      <c r="AA463" s="4">
        <v>3</v>
      </c>
      <c r="AB463" s="4" t="s">
        <v>6</v>
      </c>
      <c r="AC463" s="4" t="s">
        <v>6</v>
      </c>
      <c r="AD463" s="4" t="s">
        <v>6</v>
      </c>
      <c r="AE463" s="5" t="s">
        <v>6</v>
      </c>
      <c r="AF463" s="4">
        <v>3</v>
      </c>
      <c r="AG463" s="5" t="s">
        <v>6</v>
      </c>
      <c r="AH463" s="4">
        <v>3</v>
      </c>
      <c r="AI463" s="4" t="s">
        <v>6</v>
      </c>
      <c r="AJ463" s="4" t="s">
        <v>6</v>
      </c>
      <c r="AK463" s="4" t="s">
        <v>6</v>
      </c>
      <c r="AL463" s="4" t="s">
        <v>6</v>
      </c>
      <c r="AM463" s="4" t="s">
        <v>6</v>
      </c>
      <c r="AN463" s="5" t="s">
        <v>6</v>
      </c>
    </row>
    <row r="464" spans="1:40" x14ac:dyDescent="0.2">
      <c r="A464" s="15">
        <v>4828</v>
      </c>
      <c r="B464" s="36" t="s">
        <v>6</v>
      </c>
      <c r="C464" s="36" t="s">
        <v>6</v>
      </c>
      <c r="D464" s="36" t="s">
        <v>6</v>
      </c>
      <c r="E464" s="36" t="s">
        <v>6</v>
      </c>
      <c r="F464" s="36" t="s">
        <v>6</v>
      </c>
      <c r="G464" s="36" t="s">
        <v>6</v>
      </c>
      <c r="H464" s="36" t="s">
        <v>6</v>
      </c>
      <c r="I464" s="36" t="s">
        <v>6</v>
      </c>
      <c r="J464" s="36" t="s">
        <v>6</v>
      </c>
      <c r="K464" s="36" t="s">
        <v>6</v>
      </c>
      <c r="L464" s="36" t="s">
        <v>6</v>
      </c>
      <c r="M464" s="36" t="s">
        <v>6</v>
      </c>
      <c r="N464" s="36" t="s">
        <v>6</v>
      </c>
      <c r="O464" s="36" t="s">
        <v>6</v>
      </c>
      <c r="P464" s="36" t="s">
        <v>6</v>
      </c>
      <c r="Q464" s="36" t="s">
        <v>6</v>
      </c>
      <c r="R464" s="36" t="s">
        <v>6</v>
      </c>
      <c r="S464" s="36" t="s">
        <v>6</v>
      </c>
      <c r="T464" s="36" t="s">
        <v>6</v>
      </c>
      <c r="U464" s="36" t="s">
        <v>6</v>
      </c>
      <c r="V464" s="4" t="s">
        <v>1</v>
      </c>
      <c r="W464" s="4">
        <v>1</v>
      </c>
      <c r="X464" s="4">
        <v>3</v>
      </c>
      <c r="Y464" s="4">
        <v>2</v>
      </c>
      <c r="Z464" s="5">
        <v>3</v>
      </c>
      <c r="AA464" s="4">
        <v>3</v>
      </c>
      <c r="AB464" s="4" t="s">
        <v>6</v>
      </c>
      <c r="AC464" s="4" t="s">
        <v>6</v>
      </c>
      <c r="AD464" s="4" t="s">
        <v>6</v>
      </c>
      <c r="AE464" s="5" t="s">
        <v>6</v>
      </c>
      <c r="AF464" s="4">
        <v>3</v>
      </c>
      <c r="AG464" s="5" t="s">
        <v>6</v>
      </c>
      <c r="AH464" s="4">
        <v>3</v>
      </c>
      <c r="AI464" s="4" t="s">
        <v>6</v>
      </c>
      <c r="AJ464" s="4" t="s">
        <v>6</v>
      </c>
      <c r="AK464" s="4" t="s">
        <v>6</v>
      </c>
      <c r="AL464" s="4" t="s">
        <v>6</v>
      </c>
      <c r="AM464" s="4" t="s">
        <v>6</v>
      </c>
      <c r="AN464" s="5" t="s">
        <v>6</v>
      </c>
    </row>
    <row r="465" spans="1:40" s="46" customFormat="1" ht="17" thickBot="1" x14ac:dyDescent="0.25">
      <c r="A465" s="42">
        <v>4841</v>
      </c>
      <c r="B465" s="41" t="s">
        <v>6</v>
      </c>
      <c r="C465" s="41" t="s">
        <v>6</v>
      </c>
      <c r="D465" s="41" t="s">
        <v>6</v>
      </c>
      <c r="E465" s="41" t="s">
        <v>6</v>
      </c>
      <c r="F465" s="41" t="s">
        <v>6</v>
      </c>
      <c r="G465" s="41" t="s">
        <v>6</v>
      </c>
      <c r="H465" s="41" t="s">
        <v>6</v>
      </c>
      <c r="I465" s="41" t="s">
        <v>6</v>
      </c>
      <c r="J465" s="41" t="s">
        <v>6</v>
      </c>
      <c r="K465" s="41" t="s">
        <v>6</v>
      </c>
      <c r="L465" s="41" t="s">
        <v>6</v>
      </c>
      <c r="M465" s="41" t="s">
        <v>6</v>
      </c>
      <c r="N465" s="41" t="s">
        <v>6</v>
      </c>
      <c r="O465" s="41" t="s">
        <v>6</v>
      </c>
      <c r="P465" s="41" t="s">
        <v>6</v>
      </c>
      <c r="Q465" s="41" t="s">
        <v>6</v>
      </c>
      <c r="R465" s="41" t="s">
        <v>6</v>
      </c>
      <c r="S465" s="41" t="s">
        <v>6</v>
      </c>
      <c r="T465" s="41" t="s">
        <v>6</v>
      </c>
      <c r="U465" s="41" t="s">
        <v>6</v>
      </c>
      <c r="V465" s="40" t="s">
        <v>1</v>
      </c>
      <c r="W465" s="40">
        <v>1</v>
      </c>
      <c r="X465" s="40">
        <v>3</v>
      </c>
      <c r="Y465" s="40">
        <v>2</v>
      </c>
      <c r="Z465" s="44">
        <v>3</v>
      </c>
      <c r="AA465" s="40">
        <f t="shared" ref="AA465" si="4">IF(OR(AE465="NA", AE465="xx"), 3, 1)</f>
        <v>3</v>
      </c>
      <c r="AB465" s="40" t="s">
        <v>6</v>
      </c>
      <c r="AC465" s="40" t="s">
        <v>6</v>
      </c>
      <c r="AD465" s="40" t="s">
        <v>6</v>
      </c>
      <c r="AE465" s="44" t="s">
        <v>6</v>
      </c>
      <c r="AF465" s="45">
        <f t="shared" ref="AF465" si="5">IF(OR(AG465="NA", AG465="xx"), 3,1)</f>
        <v>3</v>
      </c>
      <c r="AG465" s="44" t="s">
        <v>6</v>
      </c>
      <c r="AH465" s="45">
        <v>3</v>
      </c>
      <c r="AI465" s="40" t="s">
        <v>6</v>
      </c>
      <c r="AJ465" s="40" t="s">
        <v>6</v>
      </c>
      <c r="AK465" s="40" t="s">
        <v>6</v>
      </c>
      <c r="AL465" s="40" t="s">
        <v>6</v>
      </c>
      <c r="AM465" s="40" t="s">
        <v>6</v>
      </c>
      <c r="AN465" s="44" t="s">
        <v>6</v>
      </c>
    </row>
    <row r="466" spans="1:40" x14ac:dyDescent="0.2">
      <c r="C466" s="36"/>
      <c r="D466" s="36"/>
      <c r="E466" s="36"/>
      <c r="F466" s="55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</row>
    <row r="467" spans="1:40" x14ac:dyDescent="0.2">
      <c r="C467" s="36"/>
      <c r="D467" s="36"/>
      <c r="E467" s="36"/>
      <c r="F467" s="55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</row>
    <row r="468" spans="1:40" x14ac:dyDescent="0.2">
      <c r="C468" s="36"/>
      <c r="D468" s="36"/>
      <c r="E468" s="36"/>
      <c r="F468" s="55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</row>
    <row r="469" spans="1:40" x14ac:dyDescent="0.2">
      <c r="C469" s="36"/>
      <c r="D469" s="36"/>
      <c r="E469" s="36"/>
      <c r="F469" s="55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</row>
    <row r="470" spans="1:40" x14ac:dyDescent="0.2">
      <c r="C470" s="36"/>
      <c r="D470" s="36"/>
      <c r="E470" s="36"/>
      <c r="F470" s="55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</row>
    <row r="471" spans="1:40" x14ac:dyDescent="0.2">
      <c r="C471" s="36"/>
      <c r="D471" s="36"/>
      <c r="E471" s="36"/>
      <c r="F471" s="55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</row>
    <row r="472" spans="1:40" x14ac:dyDescent="0.2">
      <c r="C472" s="36"/>
      <c r="D472" s="36"/>
      <c r="E472" s="36"/>
      <c r="F472" s="55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</row>
    <row r="473" spans="1:40" x14ac:dyDescent="0.2">
      <c r="C473" s="36"/>
      <c r="D473" s="36"/>
      <c r="E473" s="36"/>
      <c r="F473" s="55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</row>
    <row r="474" spans="1:40" x14ac:dyDescent="0.2">
      <c r="C474" s="36"/>
      <c r="D474" s="36"/>
      <c r="E474" s="36"/>
      <c r="F474" s="55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</row>
    <row r="475" spans="1:40" x14ac:dyDescent="0.2">
      <c r="C475" s="36"/>
      <c r="D475" s="36"/>
      <c r="E475" s="36"/>
      <c r="F475" s="55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</row>
    <row r="476" spans="1:40" x14ac:dyDescent="0.2">
      <c r="C476" s="36"/>
      <c r="D476" s="36"/>
      <c r="E476" s="36"/>
      <c r="F476" s="55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</row>
    <row r="477" spans="1:40" x14ac:dyDescent="0.2">
      <c r="C477" s="36"/>
      <c r="D477" s="36"/>
      <c r="E477" s="36"/>
      <c r="F477" s="55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</row>
    <row r="478" spans="1:40" x14ac:dyDescent="0.2">
      <c r="C478" s="36"/>
      <c r="D478" s="36"/>
      <c r="E478" s="36"/>
      <c r="F478" s="55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</row>
    <row r="479" spans="1:40" x14ac:dyDescent="0.2">
      <c r="C479" s="36"/>
      <c r="D479" s="36"/>
      <c r="E479" s="36"/>
      <c r="F479" s="55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</row>
    <row r="480" spans="1:40" x14ac:dyDescent="0.2">
      <c r="C480" s="36"/>
      <c r="D480" s="36"/>
      <c r="E480" s="36"/>
      <c r="F480" s="55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</row>
    <row r="481" spans="3:19" x14ac:dyDescent="0.2">
      <c r="C481" s="36"/>
      <c r="D481" s="36"/>
      <c r="E481" s="36"/>
      <c r="F481" s="55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</row>
    <row r="482" spans="3:19" x14ac:dyDescent="0.2">
      <c r="C482" s="36"/>
      <c r="D482" s="36"/>
      <c r="E482" s="36"/>
      <c r="F482" s="55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</row>
    <row r="483" spans="3:19" x14ac:dyDescent="0.2">
      <c r="C483" s="36"/>
      <c r="D483" s="36"/>
      <c r="E483" s="36"/>
      <c r="F483" s="55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</row>
    <row r="484" spans="3:19" x14ac:dyDescent="0.2">
      <c r="C484" s="36"/>
      <c r="D484" s="36"/>
      <c r="E484" s="36"/>
      <c r="F484" s="55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</row>
    <row r="485" spans="3:19" x14ac:dyDescent="0.2">
      <c r="C485" s="36"/>
      <c r="D485" s="36"/>
      <c r="E485" s="36"/>
      <c r="F485" s="55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</row>
    <row r="486" spans="3:19" x14ac:dyDescent="0.2">
      <c r="C486" s="36"/>
      <c r="D486" s="36"/>
      <c r="E486" s="36"/>
      <c r="F486" s="55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</row>
    <row r="487" spans="3:19" x14ac:dyDescent="0.2">
      <c r="C487" s="36"/>
      <c r="D487" s="36"/>
      <c r="E487" s="36"/>
      <c r="F487" s="55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</row>
    <row r="488" spans="3:19" x14ac:dyDescent="0.2">
      <c r="C488" s="36"/>
      <c r="D488" s="36"/>
      <c r="E488" s="36"/>
      <c r="F488" s="55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</row>
    <row r="489" spans="3:19" x14ac:dyDescent="0.2">
      <c r="C489" s="36"/>
      <c r="D489" s="36"/>
      <c r="E489" s="36"/>
      <c r="F489" s="55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</row>
    <row r="490" spans="3:19" x14ac:dyDescent="0.2">
      <c r="C490" s="36"/>
      <c r="D490" s="36"/>
      <c r="E490" s="36"/>
      <c r="F490" s="55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</row>
    <row r="491" spans="3:19" x14ac:dyDescent="0.2">
      <c r="C491" s="36"/>
      <c r="D491" s="36"/>
      <c r="E491" s="36"/>
      <c r="F491" s="55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</row>
    <row r="492" spans="3:19" x14ac:dyDescent="0.2">
      <c r="C492" s="36"/>
      <c r="D492" s="36"/>
      <c r="E492" s="36"/>
      <c r="F492" s="55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</row>
    <row r="493" spans="3:19" x14ac:dyDescent="0.2">
      <c r="C493" s="36"/>
      <c r="D493" s="36"/>
      <c r="E493" s="36"/>
      <c r="F493" s="55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</row>
    <row r="494" spans="3:19" x14ac:dyDescent="0.2">
      <c r="C494" s="36"/>
      <c r="D494" s="36"/>
      <c r="E494" s="36"/>
      <c r="F494" s="55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</row>
    <row r="495" spans="3:19" x14ac:dyDescent="0.2">
      <c r="C495" s="36"/>
      <c r="D495" s="36"/>
      <c r="E495" s="36"/>
      <c r="F495" s="55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</row>
    <row r="496" spans="3:19" x14ac:dyDescent="0.2">
      <c r="C496" s="36"/>
      <c r="D496" s="36"/>
      <c r="E496" s="36"/>
      <c r="F496" s="55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</row>
    <row r="497" spans="3:19" x14ac:dyDescent="0.2">
      <c r="C497" s="36"/>
      <c r="D497" s="36"/>
      <c r="E497" s="36"/>
      <c r="F497" s="55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</row>
    <row r="498" spans="3:19" x14ac:dyDescent="0.2">
      <c r="C498" s="36"/>
      <c r="D498" s="36"/>
      <c r="E498" s="36"/>
      <c r="F498" s="55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</row>
    <row r="499" spans="3:19" x14ac:dyDescent="0.2">
      <c r="C499" s="36"/>
      <c r="D499" s="36"/>
      <c r="E499" s="36"/>
      <c r="F499" s="55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</row>
    <row r="500" spans="3:19" x14ac:dyDescent="0.2">
      <c r="C500" s="36"/>
      <c r="D500" s="36"/>
      <c r="E500" s="36"/>
      <c r="F500" s="55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</row>
    <row r="501" spans="3:19" x14ac:dyDescent="0.2">
      <c r="C501" s="36"/>
      <c r="D501" s="36"/>
      <c r="E501" s="36"/>
      <c r="F501" s="55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</row>
    <row r="502" spans="3:19" x14ac:dyDescent="0.2">
      <c r="C502" s="36"/>
      <c r="D502" s="36"/>
      <c r="E502" s="36"/>
      <c r="F502" s="55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</row>
    <row r="503" spans="3:19" x14ac:dyDescent="0.2">
      <c r="C503" s="36"/>
      <c r="D503" s="36"/>
      <c r="E503" s="36"/>
      <c r="F503" s="55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</row>
    <row r="504" spans="3:19" x14ac:dyDescent="0.2">
      <c r="C504" s="36"/>
      <c r="D504" s="36"/>
      <c r="E504" s="36"/>
      <c r="F504" s="55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</row>
    <row r="505" spans="3:19" x14ac:dyDescent="0.2">
      <c r="C505" s="36"/>
      <c r="D505" s="36"/>
      <c r="E505" s="36"/>
      <c r="F505" s="55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</row>
    <row r="506" spans="3:19" x14ac:dyDescent="0.2">
      <c r="C506" s="36"/>
      <c r="D506" s="36"/>
      <c r="E506" s="36"/>
      <c r="F506" s="55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</row>
    <row r="507" spans="3:19" x14ac:dyDescent="0.2">
      <c r="C507" s="36"/>
      <c r="D507" s="36"/>
      <c r="E507" s="36"/>
      <c r="F507" s="55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</row>
    <row r="508" spans="3:19" x14ac:dyDescent="0.2">
      <c r="C508" s="36"/>
      <c r="D508" s="36"/>
      <c r="E508" s="36"/>
      <c r="F508" s="55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</row>
    <row r="509" spans="3:19" x14ac:dyDescent="0.2">
      <c r="C509" s="36"/>
      <c r="D509" s="36"/>
      <c r="E509" s="36"/>
      <c r="F509" s="55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</row>
    <row r="510" spans="3:19" x14ac:dyDescent="0.2">
      <c r="C510" s="36"/>
      <c r="D510" s="36"/>
      <c r="E510" s="36"/>
      <c r="F510" s="55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</row>
    <row r="511" spans="3:19" x14ac:dyDescent="0.2">
      <c r="C511" s="36"/>
      <c r="D511" s="36"/>
      <c r="E511" s="36"/>
      <c r="F511" s="55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</row>
    <row r="512" spans="3:19" x14ac:dyDescent="0.2">
      <c r="C512" s="36"/>
      <c r="D512" s="36"/>
      <c r="E512" s="36"/>
      <c r="F512" s="55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</row>
    <row r="513" spans="3:19" x14ac:dyDescent="0.2">
      <c r="C513" s="36"/>
      <c r="D513" s="36"/>
      <c r="E513" s="36"/>
      <c r="F513" s="55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</row>
    <row r="514" spans="3:19" x14ac:dyDescent="0.2">
      <c r="C514" s="36"/>
      <c r="D514" s="36"/>
      <c r="E514" s="36"/>
      <c r="F514" s="55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</row>
    <row r="515" spans="3:19" x14ac:dyDescent="0.2">
      <c r="C515" s="36"/>
      <c r="D515" s="36"/>
      <c r="E515" s="36"/>
      <c r="F515" s="55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</row>
    <row r="516" spans="3:19" x14ac:dyDescent="0.2">
      <c r="C516" s="36"/>
      <c r="D516" s="36"/>
      <c r="E516" s="36"/>
      <c r="F516" s="55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</row>
    <row r="517" spans="3:19" x14ac:dyDescent="0.2">
      <c r="C517" s="36"/>
      <c r="D517" s="36"/>
      <c r="E517" s="36"/>
      <c r="F517" s="55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</row>
    <row r="518" spans="3:19" x14ac:dyDescent="0.2">
      <c r="C518" s="36"/>
      <c r="D518" s="36"/>
      <c r="E518" s="36"/>
      <c r="F518" s="55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</row>
    <row r="519" spans="3:19" x14ac:dyDescent="0.2">
      <c r="C519" s="36"/>
      <c r="D519" s="36"/>
      <c r="E519" s="36"/>
      <c r="F519" s="55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</row>
    <row r="520" spans="3:19" x14ac:dyDescent="0.2">
      <c r="C520" s="36"/>
      <c r="D520" s="36"/>
      <c r="E520" s="36"/>
      <c r="F520" s="55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</row>
    <row r="521" spans="3:19" x14ac:dyDescent="0.2">
      <c r="C521" s="36"/>
      <c r="D521" s="36"/>
      <c r="E521" s="36"/>
      <c r="F521" s="55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</row>
    <row r="522" spans="3:19" x14ac:dyDescent="0.2">
      <c r="C522" s="36"/>
      <c r="D522" s="36"/>
      <c r="E522" s="36"/>
      <c r="F522" s="55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</row>
    <row r="523" spans="3:19" x14ac:dyDescent="0.2">
      <c r="C523" s="36"/>
      <c r="D523" s="36"/>
      <c r="E523" s="36"/>
      <c r="F523" s="55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</row>
    <row r="524" spans="3:19" x14ac:dyDescent="0.2">
      <c r="C524" s="36"/>
      <c r="D524" s="36"/>
      <c r="E524" s="36"/>
      <c r="F524" s="55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</row>
    <row r="525" spans="3:19" x14ac:dyDescent="0.2">
      <c r="C525" s="36"/>
      <c r="D525" s="36"/>
      <c r="E525" s="36"/>
      <c r="F525" s="55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</row>
    <row r="526" spans="3:19" x14ac:dyDescent="0.2">
      <c r="C526" s="36"/>
      <c r="D526" s="36"/>
      <c r="E526" s="36"/>
      <c r="F526" s="55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</row>
    <row r="527" spans="3:19" x14ac:dyDescent="0.2">
      <c r="C527" s="36"/>
      <c r="D527" s="36"/>
      <c r="E527" s="36"/>
      <c r="F527" s="55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</row>
    <row r="528" spans="3:19" x14ac:dyDescent="0.2">
      <c r="C528" s="36"/>
      <c r="D528" s="36"/>
      <c r="E528" s="36"/>
      <c r="F528" s="55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</row>
    <row r="529" spans="3:19" x14ac:dyDescent="0.2">
      <c r="C529" s="36"/>
      <c r="D529" s="36"/>
      <c r="E529" s="36"/>
      <c r="F529" s="55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</row>
    <row r="530" spans="3:19" x14ac:dyDescent="0.2">
      <c r="C530" s="36"/>
      <c r="D530" s="36"/>
      <c r="E530" s="36"/>
      <c r="F530" s="55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</row>
    <row r="531" spans="3:19" x14ac:dyDescent="0.2">
      <c r="C531" s="36"/>
      <c r="D531" s="36"/>
      <c r="E531" s="36"/>
      <c r="F531" s="55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</row>
    <row r="532" spans="3:19" x14ac:dyDescent="0.2">
      <c r="C532" s="36"/>
      <c r="D532" s="36"/>
      <c r="E532" s="36"/>
      <c r="F532" s="55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</row>
    <row r="533" spans="3:19" x14ac:dyDescent="0.2">
      <c r="C533" s="36"/>
      <c r="D533" s="36"/>
      <c r="E533" s="36"/>
      <c r="F533" s="55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</row>
    <row r="534" spans="3:19" x14ac:dyDescent="0.2">
      <c r="C534" s="36"/>
      <c r="D534" s="36"/>
      <c r="E534" s="36"/>
      <c r="F534" s="55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</row>
    <row r="535" spans="3:19" x14ac:dyDescent="0.2">
      <c r="C535" s="36"/>
      <c r="D535" s="36"/>
      <c r="E535" s="36"/>
      <c r="F535" s="55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</row>
    <row r="536" spans="3:19" x14ac:dyDescent="0.2">
      <c r="C536" s="36"/>
      <c r="D536" s="36"/>
      <c r="E536" s="36"/>
      <c r="F536" s="55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</row>
    <row r="537" spans="3:19" x14ac:dyDescent="0.2">
      <c r="C537" s="36"/>
      <c r="D537" s="36"/>
      <c r="E537" s="36"/>
      <c r="F537" s="55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</row>
    <row r="538" spans="3:19" x14ac:dyDescent="0.2">
      <c r="C538" s="36"/>
      <c r="D538" s="36"/>
      <c r="E538" s="36"/>
      <c r="F538" s="55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</row>
    <row r="539" spans="3:19" x14ac:dyDescent="0.2">
      <c r="C539" s="36"/>
      <c r="D539" s="36"/>
      <c r="E539" s="36"/>
      <c r="F539" s="55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</row>
    <row r="540" spans="3:19" x14ac:dyDescent="0.2">
      <c r="C540" s="36"/>
      <c r="D540" s="36"/>
      <c r="E540" s="36"/>
      <c r="F540" s="55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</row>
    <row r="541" spans="3:19" x14ac:dyDescent="0.2">
      <c r="C541" s="36"/>
      <c r="D541" s="36"/>
      <c r="E541" s="36"/>
      <c r="F541" s="55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</row>
    <row r="542" spans="3:19" x14ac:dyDescent="0.2">
      <c r="C542" s="36"/>
      <c r="D542" s="36"/>
      <c r="E542" s="36"/>
      <c r="F542" s="55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</row>
    <row r="543" spans="3:19" x14ac:dyDescent="0.2">
      <c r="C543" s="36"/>
      <c r="D543" s="36"/>
      <c r="E543" s="36"/>
      <c r="F543" s="55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</row>
    <row r="544" spans="3:19" x14ac:dyDescent="0.2">
      <c r="C544" s="36"/>
      <c r="D544" s="36"/>
      <c r="E544" s="36"/>
      <c r="F544" s="55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</row>
    <row r="545" spans="3:19" x14ac:dyDescent="0.2">
      <c r="C545" s="36"/>
      <c r="D545" s="36"/>
      <c r="E545" s="36"/>
      <c r="F545" s="55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</row>
    <row r="546" spans="3:19" x14ac:dyDescent="0.2">
      <c r="C546" s="36"/>
      <c r="D546" s="36"/>
      <c r="E546" s="36"/>
      <c r="F546" s="55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</row>
    <row r="547" spans="3:19" x14ac:dyDescent="0.2">
      <c r="C547" s="36"/>
      <c r="D547" s="36"/>
      <c r="E547" s="36"/>
      <c r="F547" s="55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</row>
    <row r="548" spans="3:19" x14ac:dyDescent="0.2">
      <c r="C548" s="36"/>
      <c r="D548" s="36"/>
      <c r="E548" s="36"/>
      <c r="F548" s="55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</row>
    <row r="549" spans="3:19" x14ac:dyDescent="0.2">
      <c r="C549" s="36"/>
      <c r="D549" s="36"/>
      <c r="E549" s="36"/>
      <c r="F549" s="55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</row>
    <row r="550" spans="3:19" x14ac:dyDescent="0.2">
      <c r="C550" s="36"/>
      <c r="D550" s="36"/>
      <c r="E550" s="36"/>
      <c r="F550" s="55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</row>
    <row r="551" spans="3:19" x14ac:dyDescent="0.2">
      <c r="C551" s="36"/>
      <c r="D551" s="36"/>
      <c r="E551" s="36"/>
      <c r="F551" s="55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</row>
    <row r="552" spans="3:19" x14ac:dyDescent="0.2">
      <c r="C552" s="36"/>
      <c r="D552" s="36"/>
      <c r="E552" s="36"/>
      <c r="F552" s="55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</row>
    <row r="553" spans="3:19" x14ac:dyDescent="0.2">
      <c r="C553" s="36"/>
      <c r="D553" s="36"/>
      <c r="E553" s="36"/>
      <c r="F553" s="55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</row>
    <row r="554" spans="3:19" x14ac:dyDescent="0.2">
      <c r="C554" s="36"/>
      <c r="D554" s="36"/>
      <c r="E554" s="36"/>
      <c r="F554" s="55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</row>
    <row r="555" spans="3:19" x14ac:dyDescent="0.2">
      <c r="C555" s="36"/>
      <c r="D555" s="36"/>
      <c r="E555" s="36"/>
      <c r="F555" s="55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</row>
    <row r="556" spans="3:19" x14ac:dyDescent="0.2">
      <c r="C556" s="36"/>
      <c r="D556" s="36"/>
      <c r="E556" s="36"/>
      <c r="F556" s="55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</row>
    <row r="557" spans="3:19" x14ac:dyDescent="0.2">
      <c r="C557" s="36"/>
      <c r="D557" s="36"/>
      <c r="E557" s="36"/>
      <c r="F557" s="55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</row>
    <row r="558" spans="3:19" x14ac:dyDescent="0.2">
      <c r="C558" s="36"/>
      <c r="D558" s="36"/>
      <c r="E558" s="36"/>
      <c r="F558" s="55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</row>
    <row r="559" spans="3:19" x14ac:dyDescent="0.2">
      <c r="C559" s="36"/>
      <c r="D559" s="36"/>
      <c r="E559" s="36"/>
      <c r="F559" s="55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</row>
    <row r="560" spans="3:19" x14ac:dyDescent="0.2">
      <c r="C560" s="36"/>
      <c r="D560" s="36"/>
      <c r="E560" s="36"/>
      <c r="F560" s="55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</row>
    <row r="561" spans="3:19" x14ac:dyDescent="0.2">
      <c r="C561" s="36"/>
      <c r="D561" s="36"/>
      <c r="E561" s="36"/>
      <c r="F561" s="55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</row>
    <row r="562" spans="3:19" x14ac:dyDescent="0.2">
      <c r="C562" s="36"/>
      <c r="D562" s="36"/>
      <c r="E562" s="36"/>
      <c r="F562" s="55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</row>
    <row r="563" spans="3:19" x14ac:dyDescent="0.2">
      <c r="C563" s="36"/>
      <c r="D563" s="36"/>
      <c r="E563" s="36"/>
      <c r="F563" s="55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</row>
    <row r="564" spans="3:19" x14ac:dyDescent="0.2">
      <c r="C564" s="36"/>
      <c r="D564" s="36"/>
      <c r="E564" s="36"/>
      <c r="F564" s="55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</row>
    <row r="565" spans="3:19" x14ac:dyDescent="0.2">
      <c r="C565" s="36"/>
      <c r="D565" s="36"/>
      <c r="E565" s="36"/>
      <c r="F565" s="55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</row>
    <row r="566" spans="3:19" x14ac:dyDescent="0.2">
      <c r="C566" s="36"/>
      <c r="D566" s="36"/>
      <c r="E566" s="36"/>
      <c r="F566" s="55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</row>
    <row r="567" spans="3:19" x14ac:dyDescent="0.2">
      <c r="C567" s="36"/>
      <c r="D567" s="36"/>
      <c r="E567" s="36"/>
      <c r="F567" s="55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</row>
    <row r="568" spans="3:19" x14ac:dyDescent="0.2">
      <c r="C568" s="36"/>
      <c r="D568" s="36"/>
      <c r="E568" s="36"/>
      <c r="F568" s="55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</row>
    <row r="569" spans="3:19" x14ac:dyDescent="0.2">
      <c r="C569" s="36"/>
      <c r="D569" s="36"/>
      <c r="E569" s="36"/>
      <c r="F569" s="55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</row>
    <row r="570" spans="3:19" x14ac:dyDescent="0.2">
      <c r="C570" s="36"/>
      <c r="D570" s="36"/>
      <c r="E570" s="36"/>
      <c r="F570" s="55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</row>
    <row r="571" spans="3:19" x14ac:dyDescent="0.2">
      <c r="C571" s="36"/>
      <c r="D571" s="36"/>
      <c r="E571" s="36"/>
      <c r="F571" s="55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</row>
    <row r="572" spans="3:19" x14ac:dyDescent="0.2">
      <c r="C572" s="36"/>
      <c r="D572" s="36"/>
      <c r="E572" s="36"/>
      <c r="F572" s="55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</row>
    <row r="573" spans="3:19" x14ac:dyDescent="0.2">
      <c r="C573" s="36"/>
      <c r="D573" s="36"/>
      <c r="E573" s="36"/>
      <c r="F573" s="55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</row>
    <row r="574" spans="3:19" x14ac:dyDescent="0.2">
      <c r="C574" s="36"/>
      <c r="D574" s="36"/>
      <c r="E574" s="36"/>
      <c r="F574" s="55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</row>
    <row r="575" spans="3:19" x14ac:dyDescent="0.2">
      <c r="C575" s="36"/>
      <c r="D575" s="36"/>
      <c r="E575" s="36"/>
      <c r="F575" s="55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</row>
    <row r="576" spans="3:19" x14ac:dyDescent="0.2">
      <c r="C576" s="36"/>
      <c r="D576" s="36"/>
      <c r="E576" s="36"/>
      <c r="F576" s="55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</row>
    <row r="577" spans="3:19" x14ac:dyDescent="0.2">
      <c r="C577" s="36"/>
      <c r="D577" s="36"/>
      <c r="E577" s="36"/>
      <c r="F577" s="55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</row>
    <row r="578" spans="3:19" x14ac:dyDescent="0.2">
      <c r="C578" s="36"/>
      <c r="D578" s="36"/>
      <c r="E578" s="36"/>
      <c r="F578" s="55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</row>
    <row r="579" spans="3:19" x14ac:dyDescent="0.2">
      <c r="C579" s="36"/>
      <c r="D579" s="36"/>
      <c r="E579" s="36"/>
      <c r="F579" s="55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</row>
    <row r="580" spans="3:19" x14ac:dyDescent="0.2">
      <c r="C580" s="36"/>
      <c r="D580" s="36"/>
      <c r="E580" s="36"/>
      <c r="F580" s="55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</row>
    <row r="581" spans="3:19" x14ac:dyDescent="0.2">
      <c r="C581" s="36"/>
      <c r="D581" s="36"/>
      <c r="E581" s="36"/>
      <c r="F581" s="55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</row>
    <row r="582" spans="3:19" x14ac:dyDescent="0.2">
      <c r="C582" s="36"/>
      <c r="D582" s="36"/>
      <c r="E582" s="36"/>
      <c r="F582" s="55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</row>
    <row r="583" spans="3:19" x14ac:dyDescent="0.2">
      <c r="C583" s="36"/>
      <c r="D583" s="36"/>
      <c r="E583" s="36"/>
      <c r="F583" s="55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</row>
    <row r="584" spans="3:19" x14ac:dyDescent="0.2">
      <c r="C584" s="36"/>
      <c r="D584" s="36"/>
      <c r="E584" s="36"/>
      <c r="F584" s="55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</row>
    <row r="585" spans="3:19" x14ac:dyDescent="0.2">
      <c r="C585" s="36"/>
      <c r="D585" s="36"/>
      <c r="E585" s="36"/>
      <c r="F585" s="55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</row>
    <row r="586" spans="3:19" x14ac:dyDescent="0.2">
      <c r="C586" s="36"/>
      <c r="D586" s="36"/>
      <c r="E586" s="36"/>
      <c r="F586" s="55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</row>
    <row r="587" spans="3:19" x14ac:dyDescent="0.2">
      <c r="C587" s="36"/>
      <c r="D587" s="36"/>
      <c r="E587" s="36"/>
      <c r="F587" s="55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</row>
    <row r="588" spans="3:19" x14ac:dyDescent="0.2">
      <c r="C588" s="36"/>
      <c r="D588" s="36"/>
      <c r="E588" s="36"/>
      <c r="F588" s="55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</row>
    <row r="589" spans="3:19" x14ac:dyDescent="0.2">
      <c r="C589" s="36"/>
      <c r="D589" s="36"/>
      <c r="E589" s="36"/>
      <c r="F589" s="55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</row>
    <row r="590" spans="3:19" x14ac:dyDescent="0.2">
      <c r="C590" s="36"/>
      <c r="D590" s="36"/>
      <c r="E590" s="36"/>
      <c r="F590" s="55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</row>
    <row r="591" spans="3:19" x14ac:dyDescent="0.2">
      <c r="C591" s="36"/>
      <c r="D591" s="36"/>
      <c r="E591" s="36"/>
      <c r="F591" s="55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</row>
    <row r="592" spans="3:19" x14ac:dyDescent="0.2">
      <c r="C592" s="36"/>
      <c r="D592" s="36"/>
      <c r="E592" s="36"/>
      <c r="F592" s="55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</row>
    <row r="593" spans="3:19" x14ac:dyDescent="0.2">
      <c r="C593" s="36"/>
      <c r="D593" s="36"/>
      <c r="E593" s="36"/>
      <c r="F593" s="55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</row>
    <row r="594" spans="3:19" x14ac:dyDescent="0.2">
      <c r="C594" s="36"/>
      <c r="D594" s="36"/>
      <c r="E594" s="36"/>
      <c r="F594" s="55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</row>
    <row r="595" spans="3:19" x14ac:dyDescent="0.2">
      <c r="C595" s="36"/>
      <c r="D595" s="36"/>
      <c r="E595" s="36"/>
      <c r="F595" s="55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</row>
    <row r="596" spans="3:19" x14ac:dyDescent="0.2">
      <c r="C596" s="36"/>
      <c r="D596" s="36"/>
      <c r="E596" s="36"/>
      <c r="F596" s="55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</row>
    <row r="597" spans="3:19" x14ac:dyDescent="0.2">
      <c r="C597" s="36"/>
      <c r="D597" s="36"/>
      <c r="E597" s="36"/>
      <c r="F597" s="55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</row>
    <row r="598" spans="3:19" x14ac:dyDescent="0.2">
      <c r="C598" s="36"/>
      <c r="D598" s="36"/>
      <c r="E598" s="36"/>
      <c r="F598" s="55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</row>
    <row r="599" spans="3:19" x14ac:dyDescent="0.2">
      <c r="C599" s="36"/>
      <c r="D599" s="36"/>
      <c r="E599" s="36"/>
      <c r="F599" s="55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</row>
    <row r="600" spans="3:19" x14ac:dyDescent="0.2">
      <c r="C600" s="36"/>
      <c r="D600" s="36"/>
      <c r="E600" s="36"/>
      <c r="F600" s="55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</row>
    <row r="601" spans="3:19" x14ac:dyDescent="0.2">
      <c r="C601" s="36"/>
      <c r="D601" s="36"/>
      <c r="E601" s="36"/>
      <c r="F601" s="55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</row>
    <row r="602" spans="3:19" x14ac:dyDescent="0.2">
      <c r="C602" s="36"/>
      <c r="D602" s="36"/>
      <c r="E602" s="36"/>
      <c r="F602" s="55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</row>
    <row r="603" spans="3:19" x14ac:dyDescent="0.2">
      <c r="C603" s="36"/>
      <c r="D603" s="36"/>
      <c r="E603" s="36"/>
      <c r="F603" s="55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</row>
    <row r="604" spans="3:19" x14ac:dyDescent="0.2">
      <c r="C604" s="36"/>
      <c r="D604" s="36"/>
      <c r="E604" s="36"/>
      <c r="F604" s="55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</row>
    <row r="605" spans="3:19" x14ac:dyDescent="0.2">
      <c r="C605" s="36"/>
      <c r="D605" s="36"/>
      <c r="E605" s="36"/>
      <c r="F605" s="55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</row>
    <row r="606" spans="3:19" x14ac:dyDescent="0.2">
      <c r="C606" s="36"/>
      <c r="D606" s="36"/>
      <c r="E606" s="36"/>
      <c r="F606" s="55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</row>
    <row r="607" spans="3:19" x14ac:dyDescent="0.2">
      <c r="C607" s="36"/>
      <c r="D607" s="36"/>
      <c r="E607" s="36"/>
      <c r="F607" s="55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</row>
    <row r="608" spans="3:19" x14ac:dyDescent="0.2">
      <c r="C608" s="36"/>
      <c r="D608" s="36"/>
      <c r="E608" s="36"/>
      <c r="F608" s="55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</row>
    <row r="609" spans="3:19" x14ac:dyDescent="0.2">
      <c r="C609" s="36"/>
      <c r="D609" s="36"/>
      <c r="E609" s="36"/>
      <c r="F609" s="55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</row>
    <row r="610" spans="3:19" x14ac:dyDescent="0.2">
      <c r="C610" s="36"/>
      <c r="D610" s="36"/>
      <c r="E610" s="36"/>
      <c r="F610" s="55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</row>
    <row r="611" spans="3:19" x14ac:dyDescent="0.2">
      <c r="C611" s="36"/>
      <c r="D611" s="36"/>
      <c r="E611" s="36"/>
      <c r="F611" s="55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</row>
    <row r="612" spans="3:19" x14ac:dyDescent="0.2">
      <c r="C612" s="36"/>
      <c r="D612" s="36"/>
      <c r="E612" s="36"/>
      <c r="F612" s="55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</row>
    <row r="613" spans="3:19" x14ac:dyDescent="0.2">
      <c r="C613" s="36"/>
      <c r="D613" s="36"/>
      <c r="E613" s="36"/>
      <c r="F613" s="55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</row>
    <row r="614" spans="3:19" x14ac:dyDescent="0.2">
      <c r="C614" s="36"/>
      <c r="D614" s="36"/>
      <c r="E614" s="36"/>
      <c r="F614" s="55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</row>
    <row r="615" spans="3:19" x14ac:dyDescent="0.2">
      <c r="C615" s="36"/>
      <c r="D615" s="36"/>
      <c r="E615" s="36"/>
      <c r="F615" s="55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</row>
    <row r="616" spans="3:19" x14ac:dyDescent="0.2">
      <c r="C616" s="36"/>
      <c r="D616" s="36"/>
      <c r="E616" s="36"/>
      <c r="F616" s="55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</row>
    <row r="617" spans="3:19" x14ac:dyDescent="0.2">
      <c r="C617" s="36"/>
      <c r="D617" s="36"/>
      <c r="E617" s="36"/>
      <c r="F617" s="55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</row>
    <row r="618" spans="3:19" x14ac:dyDescent="0.2">
      <c r="C618" s="36"/>
      <c r="D618" s="36"/>
      <c r="E618" s="36"/>
      <c r="F618" s="55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</row>
    <row r="619" spans="3:19" x14ac:dyDescent="0.2">
      <c r="C619" s="36"/>
      <c r="D619" s="36"/>
      <c r="E619" s="36"/>
      <c r="F619" s="55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</row>
    <row r="620" spans="3:19" x14ac:dyDescent="0.2">
      <c r="C620" s="36"/>
      <c r="D620" s="36"/>
      <c r="E620" s="36"/>
      <c r="F620" s="55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</row>
    <row r="621" spans="3:19" x14ac:dyDescent="0.2">
      <c r="C621" s="36"/>
      <c r="D621" s="36"/>
      <c r="E621" s="36"/>
      <c r="F621" s="55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</row>
    <row r="622" spans="3:19" x14ac:dyDescent="0.2">
      <c r="C622" s="36"/>
      <c r="D622" s="36"/>
      <c r="E622" s="36"/>
      <c r="F622" s="55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</row>
    <row r="623" spans="3:19" x14ac:dyDescent="0.2">
      <c r="C623" s="36"/>
      <c r="D623" s="36"/>
      <c r="E623" s="36"/>
      <c r="F623" s="55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</row>
    <row r="624" spans="3:19" x14ac:dyDescent="0.2">
      <c r="C624" s="36"/>
      <c r="D624" s="36"/>
      <c r="E624" s="36"/>
      <c r="F624" s="55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</row>
    <row r="625" spans="3:19" x14ac:dyDescent="0.2">
      <c r="C625" s="36"/>
      <c r="D625" s="36"/>
      <c r="E625" s="36"/>
      <c r="F625" s="55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</row>
    <row r="626" spans="3:19" x14ac:dyDescent="0.2">
      <c r="C626" s="36"/>
      <c r="D626" s="36"/>
      <c r="E626" s="36"/>
      <c r="F626" s="55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</row>
    <row r="627" spans="3:19" x14ac:dyDescent="0.2">
      <c r="C627" s="36"/>
      <c r="D627" s="36"/>
      <c r="E627" s="36"/>
      <c r="F627" s="55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</row>
    <row r="628" spans="3:19" x14ac:dyDescent="0.2">
      <c r="C628" s="36"/>
      <c r="D628" s="36"/>
      <c r="E628" s="36"/>
      <c r="F628" s="55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</row>
    <row r="629" spans="3:19" x14ac:dyDescent="0.2">
      <c r="C629" s="36"/>
      <c r="D629" s="36"/>
      <c r="E629" s="36"/>
      <c r="F629" s="55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</row>
    <row r="630" spans="3:19" x14ac:dyDescent="0.2">
      <c r="C630" s="36"/>
      <c r="D630" s="36"/>
      <c r="E630" s="36"/>
      <c r="F630" s="55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</row>
    <row r="631" spans="3:19" x14ac:dyDescent="0.2">
      <c r="C631" s="36"/>
      <c r="D631" s="36"/>
      <c r="E631" s="36"/>
      <c r="F631" s="55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</row>
    <row r="632" spans="3:19" x14ac:dyDescent="0.2">
      <c r="C632" s="36"/>
      <c r="D632" s="36"/>
      <c r="E632" s="36"/>
      <c r="F632" s="55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</row>
    <row r="633" spans="3:19" x14ac:dyDescent="0.2">
      <c r="C633" s="36"/>
      <c r="D633" s="36"/>
      <c r="E633" s="36"/>
      <c r="F633" s="55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</row>
    <row r="634" spans="3:19" x14ac:dyDescent="0.2">
      <c r="C634" s="36"/>
      <c r="D634" s="36"/>
      <c r="E634" s="36"/>
      <c r="F634" s="55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</row>
    <row r="635" spans="3:19" x14ac:dyDescent="0.2">
      <c r="C635" s="36"/>
      <c r="D635" s="36"/>
      <c r="E635" s="36"/>
      <c r="F635" s="55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</row>
    <row r="636" spans="3:19" x14ac:dyDescent="0.2">
      <c r="C636" s="36"/>
      <c r="D636" s="36"/>
      <c r="E636" s="36"/>
      <c r="F636" s="55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</row>
    <row r="637" spans="3:19" x14ac:dyDescent="0.2">
      <c r="C637" s="36"/>
      <c r="D637" s="36"/>
      <c r="E637" s="36"/>
      <c r="F637" s="55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</row>
    <row r="638" spans="3:19" x14ac:dyDescent="0.2">
      <c r="C638" s="36"/>
      <c r="D638" s="36"/>
      <c r="E638" s="36"/>
      <c r="F638" s="55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</row>
    <row r="639" spans="3:19" x14ac:dyDescent="0.2">
      <c r="C639" s="36"/>
      <c r="D639" s="36"/>
      <c r="E639" s="36"/>
      <c r="F639" s="55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</row>
    <row r="640" spans="3:19" x14ac:dyDescent="0.2">
      <c r="C640" s="36"/>
      <c r="D640" s="36"/>
      <c r="E640" s="36"/>
      <c r="F640" s="55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</row>
    <row r="641" spans="3:19" x14ac:dyDescent="0.2">
      <c r="C641" s="36"/>
      <c r="D641" s="36"/>
      <c r="E641" s="36"/>
      <c r="F641" s="55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</row>
    <row r="642" spans="3:19" x14ac:dyDescent="0.2">
      <c r="C642" s="36"/>
      <c r="D642" s="36"/>
      <c r="E642" s="36"/>
      <c r="F642" s="55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</row>
    <row r="643" spans="3:19" x14ac:dyDescent="0.2">
      <c r="C643" s="36"/>
      <c r="D643" s="36"/>
      <c r="E643" s="36"/>
      <c r="F643" s="55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</row>
    <row r="644" spans="3:19" x14ac:dyDescent="0.2">
      <c r="C644" s="36"/>
      <c r="D644" s="36"/>
      <c r="E644" s="36"/>
      <c r="F644" s="55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</row>
    <row r="645" spans="3:19" x14ac:dyDescent="0.2">
      <c r="C645" s="36"/>
      <c r="D645" s="36"/>
      <c r="E645" s="36"/>
      <c r="F645" s="55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</row>
    <row r="646" spans="3:19" x14ac:dyDescent="0.2">
      <c r="C646" s="36"/>
      <c r="D646" s="36"/>
      <c r="E646" s="36"/>
      <c r="F646" s="55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</row>
    <row r="647" spans="3:19" x14ac:dyDescent="0.2">
      <c r="C647" s="36"/>
      <c r="D647" s="36"/>
      <c r="E647" s="36"/>
      <c r="F647" s="55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</row>
    <row r="648" spans="3:19" x14ac:dyDescent="0.2">
      <c r="C648" s="36"/>
      <c r="D648" s="36"/>
      <c r="E648" s="36"/>
      <c r="F648" s="55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</row>
    <row r="649" spans="3:19" x14ac:dyDescent="0.2">
      <c r="C649" s="36"/>
      <c r="D649" s="36"/>
      <c r="E649" s="36"/>
      <c r="F649" s="55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</row>
    <row r="650" spans="3:19" x14ac:dyDescent="0.2">
      <c r="C650" s="36"/>
      <c r="D650" s="36"/>
      <c r="E650" s="36"/>
      <c r="F650" s="55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</row>
    <row r="651" spans="3:19" x14ac:dyDescent="0.2">
      <c r="C651" s="36"/>
      <c r="D651" s="36"/>
      <c r="E651" s="36"/>
      <c r="F651" s="55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</row>
    <row r="652" spans="3:19" x14ac:dyDescent="0.2">
      <c r="C652" s="36"/>
      <c r="D652" s="36"/>
      <c r="E652" s="36"/>
      <c r="F652" s="55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</row>
    <row r="653" spans="3:19" x14ac:dyDescent="0.2">
      <c r="C653" s="36"/>
      <c r="D653" s="36"/>
      <c r="E653" s="36"/>
      <c r="F653" s="55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</row>
    <row r="654" spans="3:19" x14ac:dyDescent="0.2">
      <c r="C654" s="36"/>
      <c r="D654" s="36"/>
      <c r="E654" s="36"/>
      <c r="F654" s="55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</row>
    <row r="655" spans="3:19" x14ac:dyDescent="0.2">
      <c r="C655" s="36"/>
      <c r="D655" s="36"/>
      <c r="E655" s="36"/>
      <c r="F655" s="55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</row>
    <row r="656" spans="3:19" x14ac:dyDescent="0.2">
      <c r="C656" s="36"/>
      <c r="D656" s="36"/>
      <c r="E656" s="36"/>
      <c r="F656" s="55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</row>
    <row r="657" spans="3:19" x14ac:dyDescent="0.2">
      <c r="C657" s="36"/>
      <c r="D657" s="36"/>
      <c r="E657" s="36"/>
      <c r="F657" s="55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</row>
    <row r="658" spans="3:19" x14ac:dyDescent="0.2">
      <c r="C658" s="36"/>
      <c r="D658" s="36"/>
      <c r="E658" s="36"/>
      <c r="F658" s="55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</row>
    <row r="659" spans="3:19" x14ac:dyDescent="0.2">
      <c r="C659" s="36"/>
      <c r="D659" s="36"/>
      <c r="E659" s="36"/>
      <c r="F659" s="55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</row>
    <row r="660" spans="3:19" x14ac:dyDescent="0.2">
      <c r="C660" s="36"/>
      <c r="D660" s="36"/>
      <c r="E660" s="36"/>
      <c r="F660" s="55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</row>
    <row r="661" spans="3:19" x14ac:dyDescent="0.2">
      <c r="C661" s="36"/>
      <c r="D661" s="36"/>
      <c r="E661" s="36"/>
      <c r="F661" s="55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</row>
    <row r="662" spans="3:19" x14ac:dyDescent="0.2">
      <c r="C662" s="36"/>
      <c r="D662" s="36"/>
      <c r="E662" s="36"/>
      <c r="F662" s="55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</row>
    <row r="663" spans="3:19" x14ac:dyDescent="0.2">
      <c r="C663" s="36"/>
      <c r="D663" s="36"/>
      <c r="E663" s="36"/>
      <c r="F663" s="55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</row>
    <row r="664" spans="3:19" x14ac:dyDescent="0.2">
      <c r="C664" s="36"/>
      <c r="D664" s="36"/>
      <c r="E664" s="36"/>
      <c r="F664" s="55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</row>
    <row r="665" spans="3:19" x14ac:dyDescent="0.2">
      <c r="C665" s="36"/>
      <c r="D665" s="36"/>
      <c r="E665" s="36"/>
      <c r="F665" s="55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</row>
    <row r="666" spans="3:19" x14ac:dyDescent="0.2">
      <c r="C666" s="36"/>
      <c r="D666" s="36"/>
      <c r="E666" s="36"/>
      <c r="F666" s="55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</row>
    <row r="667" spans="3:19" x14ac:dyDescent="0.2">
      <c r="C667" s="36"/>
      <c r="D667" s="36"/>
      <c r="E667" s="36"/>
      <c r="F667" s="55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</row>
    <row r="668" spans="3:19" x14ac:dyDescent="0.2">
      <c r="C668" s="36"/>
      <c r="D668" s="36"/>
      <c r="E668" s="36"/>
      <c r="F668" s="55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</row>
    <row r="669" spans="3:19" x14ac:dyDescent="0.2">
      <c r="C669" s="36"/>
      <c r="D669" s="36"/>
      <c r="E669" s="36"/>
      <c r="F669" s="55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</row>
    <row r="670" spans="3:19" x14ac:dyDescent="0.2">
      <c r="C670" s="36"/>
      <c r="D670" s="36"/>
      <c r="E670" s="36"/>
      <c r="F670" s="55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</row>
    <row r="671" spans="3:19" x14ac:dyDescent="0.2">
      <c r="C671" s="36"/>
      <c r="D671" s="36"/>
      <c r="E671" s="36"/>
      <c r="F671" s="55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</row>
    <row r="672" spans="3:19" x14ac:dyDescent="0.2">
      <c r="C672" s="36"/>
      <c r="D672" s="36"/>
      <c r="E672" s="36"/>
      <c r="F672" s="55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</row>
    <row r="673" spans="3:19" x14ac:dyDescent="0.2">
      <c r="C673" s="36"/>
      <c r="D673" s="36"/>
      <c r="E673" s="36"/>
      <c r="F673" s="55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</row>
    <row r="674" spans="3:19" x14ac:dyDescent="0.2">
      <c r="C674" s="36"/>
      <c r="D674" s="36"/>
      <c r="E674" s="36"/>
      <c r="F674" s="55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</row>
    <row r="675" spans="3:19" x14ac:dyDescent="0.2">
      <c r="C675" s="36"/>
      <c r="D675" s="36"/>
      <c r="E675" s="36"/>
      <c r="F675" s="55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</row>
    <row r="676" spans="3:19" x14ac:dyDescent="0.2">
      <c r="C676" s="36"/>
      <c r="D676" s="36"/>
      <c r="E676" s="36"/>
      <c r="F676" s="55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</row>
    <row r="677" spans="3:19" x14ac:dyDescent="0.2">
      <c r="C677" s="36"/>
      <c r="D677" s="36"/>
      <c r="E677" s="36"/>
      <c r="F677" s="55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</row>
    <row r="678" spans="3:19" x14ac:dyDescent="0.2">
      <c r="C678" s="36"/>
      <c r="D678" s="36"/>
      <c r="E678" s="36"/>
      <c r="F678" s="55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</row>
    <row r="679" spans="3:19" x14ac:dyDescent="0.2">
      <c r="C679" s="36"/>
      <c r="D679" s="36"/>
      <c r="E679" s="36"/>
      <c r="F679" s="55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</row>
    <row r="680" spans="3:19" x14ac:dyDescent="0.2">
      <c r="C680" s="36"/>
      <c r="D680" s="36"/>
      <c r="E680" s="36"/>
      <c r="F680" s="55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</row>
    <row r="681" spans="3:19" x14ac:dyDescent="0.2">
      <c r="C681" s="36"/>
      <c r="D681" s="36"/>
      <c r="E681" s="36"/>
      <c r="F681" s="55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</row>
    <row r="682" spans="3:19" x14ac:dyDescent="0.2">
      <c r="C682" s="36"/>
      <c r="D682" s="36"/>
      <c r="E682" s="36"/>
      <c r="F682" s="55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</row>
    <row r="683" spans="3:19" x14ac:dyDescent="0.2">
      <c r="C683" s="36"/>
      <c r="D683" s="36"/>
      <c r="E683" s="36"/>
      <c r="F683" s="55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</row>
    <row r="684" spans="3:19" x14ac:dyDescent="0.2">
      <c r="C684" s="36"/>
      <c r="D684" s="36"/>
      <c r="E684" s="36"/>
      <c r="F684" s="55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</row>
    <row r="685" spans="3:19" x14ac:dyDescent="0.2">
      <c r="C685" s="36"/>
      <c r="D685" s="36"/>
      <c r="E685" s="36"/>
      <c r="F685" s="55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</row>
    <row r="686" spans="3:19" x14ac:dyDescent="0.2">
      <c r="C686" s="36"/>
      <c r="D686" s="36"/>
      <c r="E686" s="36"/>
      <c r="F686" s="55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</row>
    <row r="687" spans="3:19" x14ac:dyDescent="0.2">
      <c r="C687" s="36"/>
      <c r="D687" s="36"/>
      <c r="E687" s="36"/>
      <c r="F687" s="55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</row>
    <row r="688" spans="3:19" x14ac:dyDescent="0.2">
      <c r="C688" s="36"/>
      <c r="D688" s="36"/>
      <c r="E688" s="36"/>
      <c r="F688" s="55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</row>
    <row r="689" spans="3:19" x14ac:dyDescent="0.2">
      <c r="C689" s="36"/>
      <c r="D689" s="36"/>
      <c r="E689" s="36"/>
      <c r="F689" s="55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</row>
    <row r="690" spans="3:19" x14ac:dyDescent="0.2">
      <c r="C690" s="36"/>
      <c r="D690" s="36"/>
      <c r="E690" s="36"/>
      <c r="F690" s="55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</row>
    <row r="691" spans="3:19" x14ac:dyDescent="0.2">
      <c r="C691" s="36"/>
      <c r="D691" s="36"/>
      <c r="E691" s="36"/>
      <c r="F691" s="55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</row>
    <row r="692" spans="3:19" x14ac:dyDescent="0.2">
      <c r="C692" s="36"/>
      <c r="D692" s="36"/>
      <c r="E692" s="36"/>
      <c r="F692" s="55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</row>
    <row r="693" spans="3:19" x14ac:dyDescent="0.2">
      <c r="C693" s="36"/>
      <c r="D693" s="36"/>
      <c r="E693" s="36"/>
      <c r="F693" s="55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</row>
    <row r="694" spans="3:19" x14ac:dyDescent="0.2">
      <c r="C694" s="36"/>
      <c r="D694" s="36"/>
      <c r="E694" s="36"/>
      <c r="F694" s="55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</row>
    <row r="695" spans="3:19" x14ac:dyDescent="0.2">
      <c r="C695" s="36"/>
      <c r="D695" s="36"/>
      <c r="E695" s="36"/>
      <c r="F695" s="55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</row>
    <row r="696" spans="3:19" x14ac:dyDescent="0.2">
      <c r="C696" s="36"/>
      <c r="D696" s="36"/>
      <c r="E696" s="36"/>
      <c r="F696" s="55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</row>
    <row r="697" spans="3:19" x14ac:dyDescent="0.2">
      <c r="C697" s="36"/>
      <c r="D697" s="36"/>
      <c r="E697" s="36"/>
      <c r="F697" s="55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</row>
    <row r="698" spans="3:19" x14ac:dyDescent="0.2">
      <c r="C698" s="36"/>
      <c r="D698" s="36"/>
      <c r="E698" s="36"/>
      <c r="F698" s="55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</row>
    <row r="699" spans="3:19" x14ac:dyDescent="0.2">
      <c r="C699" s="36"/>
      <c r="D699" s="36"/>
      <c r="E699" s="36"/>
      <c r="F699" s="55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</row>
    <row r="700" spans="3:19" x14ac:dyDescent="0.2">
      <c r="C700" s="36"/>
      <c r="D700" s="36"/>
      <c r="E700" s="36"/>
      <c r="F700" s="55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</row>
    <row r="701" spans="3:19" x14ac:dyDescent="0.2">
      <c r="C701" s="36"/>
      <c r="D701" s="36"/>
      <c r="E701" s="36"/>
      <c r="F701" s="55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</row>
    <row r="702" spans="3:19" x14ac:dyDescent="0.2">
      <c r="C702" s="36"/>
      <c r="D702" s="36"/>
      <c r="E702" s="36"/>
      <c r="F702" s="55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</row>
    <row r="703" spans="3:19" x14ac:dyDescent="0.2">
      <c r="C703" s="36"/>
      <c r="D703" s="36"/>
      <c r="E703" s="36"/>
      <c r="F703" s="55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</row>
    <row r="704" spans="3:19" x14ac:dyDescent="0.2">
      <c r="C704" s="36"/>
      <c r="D704" s="36"/>
      <c r="E704" s="36"/>
      <c r="F704" s="55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</row>
    <row r="705" spans="3:19" x14ac:dyDescent="0.2">
      <c r="C705" s="36"/>
      <c r="D705" s="36"/>
      <c r="E705" s="36"/>
      <c r="F705" s="55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</row>
    <row r="706" spans="3:19" x14ac:dyDescent="0.2">
      <c r="C706" s="36"/>
      <c r="D706" s="36"/>
      <c r="E706" s="36"/>
      <c r="F706" s="55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</row>
    <row r="707" spans="3:19" x14ac:dyDescent="0.2">
      <c r="C707" s="36"/>
      <c r="D707" s="36"/>
      <c r="E707" s="36"/>
      <c r="F707" s="55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</row>
    <row r="708" spans="3:19" x14ac:dyDescent="0.2">
      <c r="C708" s="36"/>
      <c r="D708" s="36"/>
      <c r="E708" s="36"/>
      <c r="F708" s="55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</row>
    <row r="709" spans="3:19" x14ac:dyDescent="0.2">
      <c r="C709" s="36"/>
      <c r="D709" s="36"/>
      <c r="E709" s="36"/>
      <c r="F709" s="55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</row>
    <row r="710" spans="3:19" x14ac:dyDescent="0.2">
      <c r="C710" s="36"/>
      <c r="D710" s="36"/>
      <c r="E710" s="36"/>
      <c r="F710" s="55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</row>
    <row r="711" spans="3:19" x14ac:dyDescent="0.2">
      <c r="C711" s="36"/>
      <c r="D711" s="36"/>
      <c r="E711" s="36"/>
      <c r="F711" s="55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</row>
    <row r="712" spans="3:19" x14ac:dyDescent="0.2">
      <c r="C712" s="36"/>
      <c r="D712" s="36"/>
      <c r="E712" s="36"/>
      <c r="F712" s="55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</row>
    <row r="713" spans="3:19" x14ac:dyDescent="0.2">
      <c r="C713" s="36"/>
      <c r="D713" s="36"/>
      <c r="E713" s="36"/>
      <c r="F713" s="55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</row>
    <row r="714" spans="3:19" x14ac:dyDescent="0.2">
      <c r="C714" s="36"/>
      <c r="D714" s="36"/>
      <c r="E714" s="36"/>
      <c r="F714" s="55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</row>
    <row r="715" spans="3:19" x14ac:dyDescent="0.2">
      <c r="C715" s="36"/>
      <c r="D715" s="36"/>
      <c r="E715" s="36"/>
      <c r="F715" s="55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</row>
    <row r="716" spans="3:19" x14ac:dyDescent="0.2">
      <c r="C716" s="36"/>
      <c r="D716" s="36"/>
      <c r="E716" s="36"/>
      <c r="F716" s="55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</row>
    <row r="717" spans="3:19" x14ac:dyDescent="0.2">
      <c r="C717" s="36"/>
      <c r="D717" s="36"/>
      <c r="E717" s="36"/>
      <c r="F717" s="55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</row>
    <row r="718" spans="3:19" x14ac:dyDescent="0.2">
      <c r="C718" s="36"/>
      <c r="D718" s="36"/>
      <c r="E718" s="36"/>
      <c r="F718" s="55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</row>
    <row r="719" spans="3:19" x14ac:dyDescent="0.2">
      <c r="C719" s="36"/>
      <c r="D719" s="36"/>
      <c r="E719" s="36"/>
      <c r="F719" s="55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</row>
    <row r="720" spans="3:19" x14ac:dyDescent="0.2">
      <c r="C720" s="36"/>
      <c r="D720" s="36"/>
      <c r="E720" s="36"/>
      <c r="F720" s="55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</row>
    <row r="721" spans="3:19" x14ac:dyDescent="0.2">
      <c r="C721" s="36"/>
      <c r="D721" s="36"/>
      <c r="E721" s="36"/>
      <c r="F721" s="55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</row>
    <row r="722" spans="3:19" x14ac:dyDescent="0.2">
      <c r="C722" s="36"/>
      <c r="D722" s="36"/>
      <c r="E722" s="36"/>
      <c r="F722" s="55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</row>
    <row r="723" spans="3:19" x14ac:dyDescent="0.2">
      <c r="C723" s="36"/>
      <c r="D723" s="36"/>
      <c r="E723" s="36"/>
      <c r="F723" s="55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</row>
    <row r="724" spans="3:19" x14ac:dyDescent="0.2">
      <c r="C724" s="36"/>
      <c r="D724" s="36"/>
      <c r="E724" s="36"/>
      <c r="F724" s="55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</row>
    <row r="725" spans="3:19" x14ac:dyDescent="0.2">
      <c r="C725" s="36"/>
      <c r="D725" s="36"/>
      <c r="E725" s="36"/>
      <c r="F725" s="55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</row>
    <row r="726" spans="3:19" x14ac:dyDescent="0.2">
      <c r="C726" s="36"/>
      <c r="D726" s="36"/>
      <c r="E726" s="36"/>
      <c r="F726" s="55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</row>
    <row r="727" spans="3:19" x14ac:dyDescent="0.2">
      <c r="C727" s="36"/>
      <c r="D727" s="36"/>
      <c r="E727" s="36"/>
      <c r="F727" s="55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</row>
    <row r="728" spans="3:19" x14ac:dyDescent="0.2">
      <c r="C728" s="36"/>
      <c r="D728" s="36"/>
      <c r="E728" s="36"/>
      <c r="F728" s="55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</row>
    <row r="729" spans="3:19" x14ac:dyDescent="0.2">
      <c r="C729" s="36"/>
      <c r="D729" s="36"/>
      <c r="E729" s="36"/>
      <c r="F729" s="55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</row>
    <row r="730" spans="3:19" x14ac:dyDescent="0.2">
      <c r="C730" s="36"/>
      <c r="D730" s="36"/>
      <c r="E730" s="36"/>
      <c r="F730" s="55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</row>
    <row r="731" spans="3:19" x14ac:dyDescent="0.2">
      <c r="C731" s="36"/>
      <c r="D731" s="36"/>
      <c r="E731" s="36"/>
      <c r="F731" s="55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</row>
    <row r="732" spans="3:19" x14ac:dyDescent="0.2">
      <c r="C732" s="36"/>
      <c r="D732" s="36"/>
      <c r="E732" s="36"/>
      <c r="F732" s="55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</row>
    <row r="733" spans="3:19" x14ac:dyDescent="0.2">
      <c r="C733" s="36"/>
      <c r="D733" s="36"/>
      <c r="E733" s="36"/>
      <c r="F733" s="55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</row>
    <row r="734" spans="3:19" x14ac:dyDescent="0.2">
      <c r="C734" s="36"/>
      <c r="D734" s="36"/>
      <c r="E734" s="36"/>
      <c r="F734" s="55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</row>
    <row r="735" spans="3:19" x14ac:dyDescent="0.2">
      <c r="C735" s="36"/>
      <c r="D735" s="36"/>
      <c r="E735" s="36"/>
      <c r="F735" s="55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</row>
    <row r="736" spans="3:19" x14ac:dyDescent="0.2">
      <c r="C736" s="36"/>
      <c r="D736" s="36"/>
      <c r="E736" s="36"/>
      <c r="F736" s="55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</row>
    <row r="737" spans="3:19" x14ac:dyDescent="0.2">
      <c r="C737" s="36"/>
      <c r="D737" s="36"/>
      <c r="E737" s="36"/>
      <c r="F737" s="55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</row>
    <row r="738" spans="3:19" x14ac:dyDescent="0.2">
      <c r="C738" s="36"/>
      <c r="D738" s="36"/>
      <c r="E738" s="36"/>
      <c r="F738" s="55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</row>
    <row r="739" spans="3:19" x14ac:dyDescent="0.2">
      <c r="C739" s="36"/>
      <c r="D739" s="36"/>
      <c r="E739" s="36"/>
      <c r="F739" s="55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</row>
    <row r="740" spans="3:19" x14ac:dyDescent="0.2">
      <c r="C740" s="36"/>
      <c r="D740" s="36"/>
      <c r="E740" s="36"/>
      <c r="F740" s="55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</row>
    <row r="741" spans="3:19" x14ac:dyDescent="0.2">
      <c r="C741" s="36"/>
      <c r="D741" s="36"/>
      <c r="E741" s="36"/>
      <c r="F741" s="55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</row>
    <row r="742" spans="3:19" x14ac:dyDescent="0.2">
      <c r="C742" s="36"/>
      <c r="D742" s="36"/>
      <c r="E742" s="36"/>
      <c r="F742" s="55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</row>
    <row r="743" spans="3:19" x14ac:dyDescent="0.2">
      <c r="C743" s="36"/>
      <c r="D743" s="36"/>
      <c r="E743" s="36"/>
      <c r="F743" s="55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</row>
    <row r="744" spans="3:19" x14ac:dyDescent="0.2">
      <c r="C744" s="36"/>
      <c r="D744" s="36"/>
      <c r="E744" s="36"/>
      <c r="F744" s="55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</row>
    <row r="745" spans="3:19" x14ac:dyDescent="0.2">
      <c r="C745" s="36"/>
      <c r="D745" s="36"/>
      <c r="E745" s="36"/>
      <c r="F745" s="55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</row>
    <row r="746" spans="3:19" x14ac:dyDescent="0.2">
      <c r="C746" s="36"/>
      <c r="D746" s="36"/>
      <c r="E746" s="36"/>
      <c r="F746" s="55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</row>
    <row r="747" spans="3:19" x14ac:dyDescent="0.2">
      <c r="C747" s="36"/>
      <c r="D747" s="36"/>
      <c r="E747" s="36"/>
      <c r="F747" s="55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</row>
    <row r="748" spans="3:19" x14ac:dyDescent="0.2">
      <c r="C748" s="36"/>
      <c r="D748" s="36"/>
      <c r="E748" s="36"/>
      <c r="F748" s="55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</row>
    <row r="749" spans="3:19" x14ac:dyDescent="0.2">
      <c r="C749" s="36"/>
      <c r="D749" s="36"/>
      <c r="E749" s="36"/>
      <c r="F749" s="55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</row>
    <row r="750" spans="3:19" x14ac:dyDescent="0.2">
      <c r="C750" s="36"/>
      <c r="D750" s="36"/>
      <c r="E750" s="36"/>
      <c r="F750" s="55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</row>
    <row r="751" spans="3:19" x14ac:dyDescent="0.2">
      <c r="C751" s="36"/>
      <c r="D751" s="36"/>
      <c r="E751" s="36"/>
      <c r="F751" s="55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</row>
    <row r="752" spans="3:19" x14ac:dyDescent="0.2">
      <c r="C752" s="36"/>
      <c r="D752" s="36"/>
      <c r="E752" s="36"/>
      <c r="F752" s="55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</row>
    <row r="753" spans="3:19" x14ac:dyDescent="0.2">
      <c r="C753" s="36"/>
      <c r="D753" s="36"/>
      <c r="E753" s="36"/>
      <c r="F753" s="55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</row>
    <row r="754" spans="3:19" x14ac:dyDescent="0.2">
      <c r="F754" s="55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</row>
    <row r="755" spans="3:19" x14ac:dyDescent="0.2">
      <c r="F755" s="55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</row>
    <row r="756" spans="3:19" x14ac:dyDescent="0.2">
      <c r="F756" s="55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</row>
    <row r="757" spans="3:19" x14ac:dyDescent="0.2">
      <c r="F757" s="55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</row>
    <row r="758" spans="3:19" x14ac:dyDescent="0.2">
      <c r="F758" s="55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</row>
    <row r="759" spans="3:19" x14ac:dyDescent="0.2">
      <c r="F759" s="55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</row>
    <row r="760" spans="3:19" x14ac:dyDescent="0.2">
      <c r="F760" s="55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</row>
    <row r="761" spans="3:19" x14ac:dyDescent="0.2">
      <c r="F761" s="55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</row>
    <row r="762" spans="3:19" x14ac:dyDescent="0.2">
      <c r="F762" s="55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</row>
    <row r="763" spans="3:19" x14ac:dyDescent="0.2">
      <c r="F763" s="55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</row>
    <row r="764" spans="3:19" x14ac:dyDescent="0.2">
      <c r="F764" s="55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</row>
    <row r="765" spans="3:19" x14ac:dyDescent="0.2">
      <c r="F765" s="55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</row>
    <row r="766" spans="3:19" x14ac:dyDescent="0.2">
      <c r="F766" s="55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</row>
    <row r="767" spans="3:19" x14ac:dyDescent="0.2">
      <c r="F767" s="55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</row>
    <row r="768" spans="3:19" x14ac:dyDescent="0.2">
      <c r="F768" s="55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</row>
    <row r="769" spans="6:19" x14ac:dyDescent="0.2">
      <c r="F769" s="55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</row>
    <row r="770" spans="6:19" x14ac:dyDescent="0.2">
      <c r="F770" s="55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</row>
    <row r="771" spans="6:19" x14ac:dyDescent="0.2">
      <c r="F771" s="55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</row>
    <row r="772" spans="6:19" x14ac:dyDescent="0.2">
      <c r="F772" s="55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</row>
    <row r="773" spans="6:19" x14ac:dyDescent="0.2">
      <c r="F773" s="55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</row>
    <row r="774" spans="6:19" x14ac:dyDescent="0.2">
      <c r="F774" s="55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</row>
    <row r="775" spans="6:19" x14ac:dyDescent="0.2">
      <c r="F775" s="55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</row>
    <row r="776" spans="6:19" x14ac:dyDescent="0.2">
      <c r="F776" s="55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</row>
    <row r="777" spans="6:19" x14ac:dyDescent="0.2">
      <c r="F777" s="55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</row>
    <row r="778" spans="6:19" x14ac:dyDescent="0.2">
      <c r="F778" s="55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</row>
    <row r="779" spans="6:19" x14ac:dyDescent="0.2">
      <c r="F779" s="55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</row>
    <row r="780" spans="6:19" x14ac:dyDescent="0.2">
      <c r="F780" s="55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</row>
    <row r="781" spans="6:19" x14ac:dyDescent="0.2">
      <c r="F781" s="55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</row>
    <row r="782" spans="6:19" x14ac:dyDescent="0.2">
      <c r="F782" s="55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</row>
    <row r="783" spans="6:19" x14ac:dyDescent="0.2">
      <c r="F783" s="55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</row>
    <row r="784" spans="6:19" x14ac:dyDescent="0.2">
      <c r="F784" s="55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</row>
    <row r="785" spans="6:19" x14ac:dyDescent="0.2">
      <c r="F785" s="55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</row>
    <row r="786" spans="6:19" x14ac:dyDescent="0.2">
      <c r="F786" s="55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</row>
    <row r="787" spans="6:19" x14ac:dyDescent="0.2">
      <c r="F787" s="55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</row>
    <row r="788" spans="6:19" x14ac:dyDescent="0.2">
      <c r="F788" s="55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</row>
    <row r="789" spans="6:19" x14ac:dyDescent="0.2">
      <c r="F789" s="55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</row>
    <row r="790" spans="6:19" x14ac:dyDescent="0.2">
      <c r="F790" s="55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</row>
    <row r="791" spans="6:19" x14ac:dyDescent="0.2">
      <c r="F791" s="55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</row>
    <row r="792" spans="6:19" x14ac:dyDescent="0.2">
      <c r="F792" s="55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</row>
    <row r="793" spans="6:19" x14ac:dyDescent="0.2">
      <c r="F793" s="55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</row>
    <row r="794" spans="6:19" x14ac:dyDescent="0.2">
      <c r="F794" s="55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</row>
    <row r="795" spans="6:19" x14ac:dyDescent="0.2">
      <c r="F795" s="55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</row>
    <row r="796" spans="6:19" x14ac:dyDescent="0.2">
      <c r="F796" s="55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</row>
    <row r="797" spans="6:19" x14ac:dyDescent="0.2">
      <c r="F797" s="55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</row>
    <row r="798" spans="6:19" x14ac:dyDescent="0.2">
      <c r="F798" s="55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</row>
    <row r="799" spans="6:19" x14ac:dyDescent="0.2">
      <c r="F799" s="55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</row>
    <row r="800" spans="6:19" x14ac:dyDescent="0.2">
      <c r="F800" s="55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</row>
    <row r="801" spans="6:19" x14ac:dyDescent="0.2">
      <c r="F801" s="55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</row>
    <row r="802" spans="6:19" x14ac:dyDescent="0.2">
      <c r="F802" s="55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</row>
    <row r="803" spans="6:19" x14ac:dyDescent="0.2">
      <c r="F803" s="55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</row>
    <row r="804" spans="6:19" x14ac:dyDescent="0.2">
      <c r="F804" s="55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</row>
    <row r="805" spans="6:19" x14ac:dyDescent="0.2">
      <c r="F805" s="55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</row>
    <row r="806" spans="6:19" x14ac:dyDescent="0.2">
      <c r="F806" s="55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</row>
    <row r="807" spans="6:19" x14ac:dyDescent="0.2">
      <c r="F807" s="55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</row>
    <row r="808" spans="6:19" x14ac:dyDescent="0.2">
      <c r="F808" s="55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</row>
    <row r="809" spans="6:19" x14ac:dyDescent="0.2">
      <c r="F809" s="55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</row>
    <row r="810" spans="6:19" x14ac:dyDescent="0.2">
      <c r="F810" s="55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</row>
    <row r="811" spans="6:19" x14ac:dyDescent="0.2">
      <c r="F811" s="55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</row>
    <row r="812" spans="6:19" x14ac:dyDescent="0.2">
      <c r="F812" s="55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</row>
    <row r="813" spans="6:19" x14ac:dyDescent="0.2">
      <c r="F813" s="55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</row>
    <row r="814" spans="6:19" x14ac:dyDescent="0.2">
      <c r="F814" s="55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</row>
    <row r="815" spans="6:19" x14ac:dyDescent="0.2">
      <c r="F815" s="55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</row>
    <row r="816" spans="6:19" x14ac:dyDescent="0.2">
      <c r="F816" s="55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</row>
    <row r="817" spans="6:19" x14ac:dyDescent="0.2">
      <c r="F817" s="55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</row>
    <row r="818" spans="6:19" x14ac:dyDescent="0.2">
      <c r="F818" s="55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</row>
    <row r="819" spans="6:19" x14ac:dyDescent="0.2">
      <c r="F819" s="55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</row>
    <row r="820" spans="6:19" x14ac:dyDescent="0.2">
      <c r="F820" s="55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</row>
    <row r="821" spans="6:19" x14ac:dyDescent="0.2">
      <c r="F821" s="55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</row>
    <row r="822" spans="6:19" x14ac:dyDescent="0.2">
      <c r="F822" s="55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</row>
    <row r="823" spans="6:19" x14ac:dyDescent="0.2">
      <c r="F823" s="55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</row>
    <row r="824" spans="6:19" x14ac:dyDescent="0.2">
      <c r="F824" s="55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</row>
    <row r="825" spans="6:19" x14ac:dyDescent="0.2">
      <c r="F825" s="55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</row>
    <row r="826" spans="6:19" x14ac:dyDescent="0.2">
      <c r="F826" s="55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</row>
    <row r="827" spans="6:19" x14ac:dyDescent="0.2">
      <c r="F827" s="55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</row>
    <row r="828" spans="6:19" x14ac:dyDescent="0.2">
      <c r="F828" s="55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</row>
    <row r="829" spans="6:19" x14ac:dyDescent="0.2">
      <c r="F829" s="55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</row>
    <row r="830" spans="6:19" x14ac:dyDescent="0.2">
      <c r="F830" s="55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</row>
    <row r="831" spans="6:19" x14ac:dyDescent="0.2">
      <c r="F831" s="55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</row>
    <row r="832" spans="6:19" x14ac:dyDescent="0.2">
      <c r="F832" s="55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</row>
    <row r="833" spans="6:19" x14ac:dyDescent="0.2">
      <c r="F833" s="55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</row>
    <row r="834" spans="6:19" x14ac:dyDescent="0.2">
      <c r="F834" s="55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</row>
    <row r="835" spans="6:19" x14ac:dyDescent="0.2">
      <c r="F835" s="55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</row>
    <row r="836" spans="6:19" x14ac:dyDescent="0.2">
      <c r="F836" s="55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</row>
    <row r="837" spans="6:19" x14ac:dyDescent="0.2">
      <c r="F837" s="55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</row>
    <row r="838" spans="6:19" x14ac:dyDescent="0.2">
      <c r="F838" s="55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</row>
    <row r="839" spans="6:19" x14ac:dyDescent="0.2">
      <c r="F839" s="55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</row>
    <row r="840" spans="6:19" x14ac:dyDescent="0.2">
      <c r="F840" s="55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</row>
    <row r="841" spans="6:19" x14ac:dyDescent="0.2">
      <c r="F841" s="55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</row>
    <row r="842" spans="6:19" x14ac:dyDescent="0.2">
      <c r="F842" s="55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</row>
    <row r="843" spans="6:19" x14ac:dyDescent="0.2">
      <c r="F843" s="55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</row>
    <row r="844" spans="6:19" x14ac:dyDescent="0.2">
      <c r="F844" s="55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</row>
    <row r="845" spans="6:19" x14ac:dyDescent="0.2">
      <c r="F845" s="55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</row>
    <row r="846" spans="6:19" x14ac:dyDescent="0.2">
      <c r="F846" s="55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</row>
    <row r="847" spans="6:19" x14ac:dyDescent="0.2">
      <c r="F847" s="55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</row>
    <row r="848" spans="6:19" x14ac:dyDescent="0.2">
      <c r="F848" s="55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</row>
    <row r="849" spans="6:19" x14ac:dyDescent="0.2">
      <c r="F849" s="55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</row>
    <row r="850" spans="6:19" x14ac:dyDescent="0.2">
      <c r="F850" s="55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</row>
    <row r="851" spans="6:19" x14ac:dyDescent="0.2">
      <c r="F851" s="55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</row>
    <row r="852" spans="6:19" x14ac:dyDescent="0.2">
      <c r="F852" s="55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</row>
    <row r="853" spans="6:19" x14ac:dyDescent="0.2">
      <c r="F853" s="55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</row>
    <row r="854" spans="6:19" x14ac:dyDescent="0.2">
      <c r="F854" s="55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</row>
    <row r="855" spans="6:19" x14ac:dyDescent="0.2">
      <c r="F855" s="55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</row>
    <row r="856" spans="6:19" x14ac:dyDescent="0.2">
      <c r="F856" s="55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</row>
    <row r="857" spans="6:19" x14ac:dyDescent="0.2">
      <c r="F857" s="55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</row>
    <row r="858" spans="6:19" x14ac:dyDescent="0.2">
      <c r="F858" s="55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</row>
    <row r="859" spans="6:19" x14ac:dyDescent="0.2">
      <c r="F859" s="55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</row>
    <row r="860" spans="6:19" x14ac:dyDescent="0.2">
      <c r="F860" s="55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</row>
    <row r="861" spans="6:19" x14ac:dyDescent="0.2">
      <c r="F861" s="55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</row>
    <row r="862" spans="6:19" x14ac:dyDescent="0.2">
      <c r="F862" s="55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</row>
    <row r="863" spans="6:19" x14ac:dyDescent="0.2">
      <c r="F863" s="55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</row>
    <row r="864" spans="6:19" x14ac:dyDescent="0.2">
      <c r="F864" s="55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</row>
    <row r="865" spans="6:19" x14ac:dyDescent="0.2">
      <c r="F865" s="55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</row>
    <row r="866" spans="6:19" x14ac:dyDescent="0.2">
      <c r="F866" s="55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</row>
    <row r="867" spans="6:19" x14ac:dyDescent="0.2">
      <c r="F867" s="55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</row>
    <row r="868" spans="6:19" x14ac:dyDescent="0.2">
      <c r="F868" s="55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</row>
    <row r="869" spans="6:19" x14ac:dyDescent="0.2">
      <c r="F869" s="55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</row>
    <row r="870" spans="6:19" x14ac:dyDescent="0.2">
      <c r="F870" s="55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</row>
    <row r="871" spans="6:19" x14ac:dyDescent="0.2">
      <c r="F871" s="55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</row>
    <row r="872" spans="6:19" x14ac:dyDescent="0.2">
      <c r="F872" s="55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</row>
    <row r="873" spans="6:19" x14ac:dyDescent="0.2">
      <c r="F873" s="55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</row>
    <row r="874" spans="6:19" x14ac:dyDescent="0.2">
      <c r="F874" s="55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</row>
    <row r="875" spans="6:19" x14ac:dyDescent="0.2">
      <c r="F875" s="55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</row>
    <row r="876" spans="6:19" x14ac:dyDescent="0.2">
      <c r="F876" s="55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</row>
    <row r="877" spans="6:19" x14ac:dyDescent="0.2">
      <c r="F877" s="55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</row>
    <row r="878" spans="6:19" x14ac:dyDescent="0.2">
      <c r="F878" s="55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</row>
    <row r="879" spans="6:19" x14ac:dyDescent="0.2">
      <c r="F879" s="55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</row>
    <row r="880" spans="6:19" x14ac:dyDescent="0.2">
      <c r="F880" s="55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</row>
    <row r="881" spans="6:19" x14ac:dyDescent="0.2">
      <c r="F881" s="55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</row>
    <row r="882" spans="6:19" x14ac:dyDescent="0.2">
      <c r="F882" s="55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</row>
    <row r="883" spans="6:19" x14ac:dyDescent="0.2">
      <c r="F883" s="55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</row>
    <row r="884" spans="6:19" x14ac:dyDescent="0.2">
      <c r="F884" s="55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</row>
    <row r="885" spans="6:19" x14ac:dyDescent="0.2">
      <c r="F885" s="55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</row>
    <row r="886" spans="6:19" x14ac:dyDescent="0.2">
      <c r="F886" s="55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</row>
    <row r="887" spans="6:19" x14ac:dyDescent="0.2">
      <c r="F887" s="55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</row>
    <row r="888" spans="6:19" x14ac:dyDescent="0.2">
      <c r="F888" s="55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</row>
    <row r="889" spans="6:19" x14ac:dyDescent="0.2">
      <c r="F889" s="55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</row>
    <row r="890" spans="6:19" x14ac:dyDescent="0.2">
      <c r="F890" s="55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</row>
    <row r="891" spans="6:19" x14ac:dyDescent="0.2">
      <c r="F891" s="55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</row>
    <row r="892" spans="6:19" x14ac:dyDescent="0.2">
      <c r="F892" s="55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</row>
    <row r="893" spans="6:19" x14ac:dyDescent="0.2">
      <c r="F893" s="55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</row>
    <row r="894" spans="6:19" x14ac:dyDescent="0.2">
      <c r="F894" s="55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</row>
    <row r="895" spans="6:19" x14ac:dyDescent="0.2">
      <c r="F895" s="55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</row>
    <row r="896" spans="6:19" x14ac:dyDescent="0.2">
      <c r="F896" s="55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</row>
    <row r="897" spans="6:19" x14ac:dyDescent="0.2">
      <c r="F897" s="55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</row>
    <row r="898" spans="6:19" x14ac:dyDescent="0.2">
      <c r="F898" s="55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</row>
    <row r="899" spans="6:19" x14ac:dyDescent="0.2">
      <c r="F899" s="55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</row>
    <row r="900" spans="6:19" x14ac:dyDescent="0.2">
      <c r="F900" s="55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</row>
    <row r="901" spans="6:19" x14ac:dyDescent="0.2">
      <c r="F901" s="55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</row>
    <row r="902" spans="6:19" x14ac:dyDescent="0.2">
      <c r="F902" s="55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</row>
    <row r="903" spans="6:19" x14ac:dyDescent="0.2">
      <c r="F903" s="55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</row>
    <row r="904" spans="6:19" x14ac:dyDescent="0.2">
      <c r="F904" s="55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</row>
    <row r="905" spans="6:19" x14ac:dyDescent="0.2">
      <c r="F905" s="55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</row>
    <row r="906" spans="6:19" x14ac:dyDescent="0.2">
      <c r="F906" s="55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</row>
    <row r="907" spans="6:19" x14ac:dyDescent="0.2">
      <c r="F907" s="55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</row>
    <row r="908" spans="6:19" x14ac:dyDescent="0.2">
      <c r="F908" s="55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</row>
    <row r="909" spans="6:19" x14ac:dyDescent="0.2">
      <c r="F909" s="55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</row>
    <row r="910" spans="6:19" x14ac:dyDescent="0.2">
      <c r="F910" s="55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</row>
    <row r="911" spans="6:19" x14ac:dyDescent="0.2">
      <c r="F911" s="55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</row>
    <row r="912" spans="6:19" x14ac:dyDescent="0.2">
      <c r="F912" s="55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</row>
    <row r="913" spans="6:19" x14ac:dyDescent="0.2">
      <c r="F913" s="55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</row>
    <row r="914" spans="6:19" x14ac:dyDescent="0.2">
      <c r="F914" s="55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</row>
    <row r="915" spans="6:19" x14ac:dyDescent="0.2">
      <c r="F915" s="55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</row>
    <row r="916" spans="6:19" x14ac:dyDescent="0.2">
      <c r="F916" s="55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</row>
    <row r="917" spans="6:19" x14ac:dyDescent="0.2">
      <c r="F917" s="55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</row>
    <row r="918" spans="6:19" x14ac:dyDescent="0.2">
      <c r="F918" s="55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</row>
    <row r="919" spans="6:19" x14ac:dyDescent="0.2">
      <c r="F919" s="55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</row>
    <row r="920" spans="6:19" x14ac:dyDescent="0.2">
      <c r="F920" s="55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</row>
    <row r="921" spans="6:19" x14ac:dyDescent="0.2">
      <c r="F921" s="55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</row>
    <row r="922" spans="6:19" x14ac:dyDescent="0.2">
      <c r="F922" s="55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</row>
    <row r="923" spans="6:19" x14ac:dyDescent="0.2">
      <c r="F923" s="55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</row>
    <row r="924" spans="6:19" x14ac:dyDescent="0.2">
      <c r="F924" s="55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</row>
    <row r="925" spans="6:19" x14ac:dyDescent="0.2">
      <c r="F925" s="55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</row>
    <row r="926" spans="6:19" x14ac:dyDescent="0.2">
      <c r="F926" s="55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</row>
    <row r="927" spans="6:19" x14ac:dyDescent="0.2">
      <c r="F927" s="55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</row>
    <row r="928" spans="6:19" x14ac:dyDescent="0.2">
      <c r="F928" s="55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</row>
    <row r="929" spans="6:19" x14ac:dyDescent="0.2">
      <c r="F929" s="55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</row>
    <row r="930" spans="6:19" x14ac:dyDescent="0.2">
      <c r="F930" s="55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</row>
    <row r="931" spans="6:19" x14ac:dyDescent="0.2">
      <c r="F931" s="55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</row>
    <row r="932" spans="6:19" x14ac:dyDescent="0.2">
      <c r="F932" s="55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</row>
    <row r="933" spans="6:19" x14ac:dyDescent="0.2">
      <c r="F933" s="55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</row>
    <row r="934" spans="6:19" x14ac:dyDescent="0.2">
      <c r="F934" s="55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</row>
    <row r="935" spans="6:19" x14ac:dyDescent="0.2">
      <c r="F935" s="55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</row>
    <row r="936" spans="6:19" x14ac:dyDescent="0.2">
      <c r="F936" s="55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</row>
    <row r="937" spans="6:19" x14ac:dyDescent="0.2">
      <c r="F937" s="55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</row>
    <row r="938" spans="6:19" x14ac:dyDescent="0.2">
      <c r="F938" s="55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</row>
    <row r="939" spans="6:19" x14ac:dyDescent="0.2">
      <c r="F939" s="55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</row>
    <row r="940" spans="6:19" x14ac:dyDescent="0.2">
      <c r="F940" s="55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</row>
    <row r="941" spans="6:19" x14ac:dyDescent="0.2">
      <c r="F941" s="55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</row>
    <row r="942" spans="6:19" x14ac:dyDescent="0.2">
      <c r="F942" s="55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</row>
    <row r="943" spans="6:19" x14ac:dyDescent="0.2">
      <c r="F943" s="55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</row>
    <row r="944" spans="6:19" x14ac:dyDescent="0.2">
      <c r="F944" s="55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</row>
    <row r="945" spans="6:19" x14ac:dyDescent="0.2">
      <c r="F945" s="55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</row>
    <row r="946" spans="6:19" x14ac:dyDescent="0.2">
      <c r="F946" s="55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</row>
    <row r="947" spans="6:19" x14ac:dyDescent="0.2">
      <c r="F947" s="55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</row>
    <row r="948" spans="6:19" x14ac:dyDescent="0.2">
      <c r="F948" s="55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</row>
    <row r="949" spans="6:19" x14ac:dyDescent="0.2">
      <c r="F949" s="55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</row>
    <row r="950" spans="6:19" x14ac:dyDescent="0.2">
      <c r="F950" s="55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</row>
    <row r="951" spans="6:19" x14ac:dyDescent="0.2">
      <c r="F951" s="55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</row>
    <row r="952" spans="6:19" x14ac:dyDescent="0.2">
      <c r="F952" s="55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</row>
    <row r="953" spans="6:19" x14ac:dyDescent="0.2">
      <c r="F953" s="55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</row>
    <row r="954" spans="6:19" x14ac:dyDescent="0.2">
      <c r="F954" s="55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</row>
    <row r="955" spans="6:19" x14ac:dyDescent="0.2">
      <c r="F955" s="55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</row>
    <row r="956" spans="6:19" x14ac:dyDescent="0.2">
      <c r="F956" s="55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</row>
    <row r="957" spans="6:19" x14ac:dyDescent="0.2">
      <c r="F957" s="55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</row>
    <row r="958" spans="6:19" x14ac:dyDescent="0.2">
      <c r="F958" s="55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</row>
    <row r="959" spans="6:19" x14ac:dyDescent="0.2">
      <c r="F959" s="55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</row>
    <row r="960" spans="6:19" x14ac:dyDescent="0.2">
      <c r="F960" s="55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</row>
    <row r="961" spans="6:19" x14ac:dyDescent="0.2">
      <c r="F961" s="55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</row>
    <row r="962" spans="6:19" x14ac:dyDescent="0.2">
      <c r="F962" s="55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</row>
    <row r="963" spans="6:19" x14ac:dyDescent="0.2">
      <c r="F963" s="55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</row>
    <row r="964" spans="6:19" x14ac:dyDescent="0.2">
      <c r="F964" s="55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</row>
    <row r="965" spans="6:19" x14ac:dyDescent="0.2">
      <c r="F965" s="55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</row>
    <row r="966" spans="6:19" x14ac:dyDescent="0.2">
      <c r="F966" s="55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</row>
    <row r="967" spans="6:19" x14ac:dyDescent="0.2">
      <c r="F967" s="55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</row>
    <row r="968" spans="6:19" x14ac:dyDescent="0.2">
      <c r="F968" s="55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</row>
    <row r="969" spans="6:19" x14ac:dyDescent="0.2">
      <c r="F969" s="55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</row>
    <row r="970" spans="6:19" x14ac:dyDescent="0.2">
      <c r="F970" s="55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</row>
    <row r="971" spans="6:19" x14ac:dyDescent="0.2">
      <c r="F971" s="55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</row>
    <row r="972" spans="6:19" x14ac:dyDescent="0.2">
      <c r="F972" s="55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</row>
    <row r="973" spans="6:19" x14ac:dyDescent="0.2">
      <c r="F973" s="55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</row>
    <row r="974" spans="6:19" x14ac:dyDescent="0.2">
      <c r="F974" s="55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</row>
    <row r="975" spans="6:19" x14ac:dyDescent="0.2">
      <c r="F975" s="55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</row>
    <row r="976" spans="6:19" x14ac:dyDescent="0.2">
      <c r="F976" s="55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</row>
    <row r="977" spans="6:19" x14ac:dyDescent="0.2">
      <c r="F977" s="55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</row>
    <row r="978" spans="6:19" x14ac:dyDescent="0.2">
      <c r="F978" s="55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</row>
    <row r="979" spans="6:19" x14ac:dyDescent="0.2">
      <c r="F979" s="55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</row>
    <row r="980" spans="6:19" x14ac:dyDescent="0.2">
      <c r="F980" s="55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</row>
    <row r="981" spans="6:19" x14ac:dyDescent="0.2">
      <c r="F981" s="55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</row>
    <row r="982" spans="6:19" x14ac:dyDescent="0.2">
      <c r="F982" s="55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</row>
    <row r="983" spans="6:19" x14ac:dyDescent="0.2">
      <c r="F983" s="55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</row>
    <row r="984" spans="6:19" x14ac:dyDescent="0.2">
      <c r="F984" s="55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</row>
    <row r="985" spans="6:19" x14ac:dyDescent="0.2">
      <c r="F985" s="55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</row>
    <row r="986" spans="6:19" x14ac:dyDescent="0.2">
      <c r="F986" s="55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</row>
    <row r="987" spans="6:19" x14ac:dyDescent="0.2">
      <c r="F987" s="55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</row>
    <row r="988" spans="6:19" x14ac:dyDescent="0.2">
      <c r="F988" s="55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</row>
    <row r="989" spans="6:19" x14ac:dyDescent="0.2">
      <c r="F989" s="55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</row>
    <row r="990" spans="6:19" x14ac:dyDescent="0.2">
      <c r="F990" s="55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</row>
    <row r="991" spans="6:19" x14ac:dyDescent="0.2">
      <c r="F991" s="55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</row>
    <row r="992" spans="6:19" x14ac:dyDescent="0.2">
      <c r="F992" s="55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</row>
    <row r="993" spans="6:19" x14ac:dyDescent="0.2">
      <c r="F993" s="55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</row>
  </sheetData>
  <sortState xmlns:xlrd2="http://schemas.microsoft.com/office/spreadsheetml/2017/richdata2" ref="A2:AR993">
    <sortCondition ref="Y2:Y993"/>
    <sortCondition ref="A2:A993"/>
  </sortState>
  <pageMargins left="0.7" right="0.7" top="0.75" bottom="0.75" header="0.3" footer="0.3"/>
  <pageSetup scale="10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Speed of Processing-W1</vt:lpstr>
      <vt:lpstr>Speed of Processing-W2</vt:lpstr>
      <vt:lpstr>Speed of Processing-W3</vt:lpstr>
      <vt:lpstr>'Speed of Processing-W1'!Print_Titles</vt:lpstr>
      <vt:lpstr>'Speed of Processing-W2'!Print_Titles</vt:lpstr>
      <vt:lpstr>'Speed of Processing-W3'!Print_Titles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Hennessee, Joseph</dc:creator>
  <cp:lastModifiedBy>Microsoft Office User</cp:lastModifiedBy>
  <dcterms:created xsi:type="dcterms:W3CDTF">2020-10-20T18:04:47Z</dcterms:created>
  <dcterms:modified xsi:type="dcterms:W3CDTF">2023-03-03T20:41:54Z</dcterms:modified>
</cp:coreProperties>
</file>