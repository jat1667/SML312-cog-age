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xh180038/Desktop/Current_Research/KTTK Updating/Cognition/Corrected/"/>
    </mc:Choice>
  </mc:AlternateContent>
  <xr:revisionPtr revIDLastSave="0" documentId="13_ncr:1_{542D8FB5-1075-C14B-A9AF-16B536C5D70A}" xr6:coauthVersionLast="47" xr6:coauthVersionMax="47" xr10:uidLastSave="{00000000-0000-0000-0000-000000000000}"/>
  <bookViews>
    <workbookView xWindow="29460" yWindow="540" windowWidth="25160" windowHeight="17500" activeTab="1" xr2:uid="{E96EDE63-1406-A14B-A9B1-0E9AADA03A85}"/>
  </bookViews>
  <sheets>
    <sheet name="Reasoning-w1" sheetId="10" r:id="rId1"/>
    <sheet name="Reasoning-w2" sheetId="11" r:id="rId2"/>
    <sheet name="Reasoning-w3" sheetId="12" r:id="rId3"/>
  </sheets>
  <definedNames>
    <definedName name="_xlnm._FilterDatabase" localSheetId="0" hidden="1">'Reasoning-w1'!$A$1:$BE$507</definedName>
    <definedName name="_xlnm._FilterDatabase" localSheetId="2" hidden="1">'Reasoning-w3'!$A$1:$BE$465</definedName>
    <definedName name="_xlnm.Print_Area" localSheetId="0">'Reasoning-w1'!$A$1:$BB$8</definedName>
    <definedName name="_xlnm.Print_Area" localSheetId="1">'Reasoning-w2'!$A$1:$BB$8</definedName>
    <definedName name="_xlnm.Print_Area" localSheetId="2">'Reasoning-w3'!$A$1:$BB$8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A3" i="11" l="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33" i="11"/>
  <c r="BA34" i="11"/>
  <c r="BA35" i="11"/>
  <c r="BA36" i="11"/>
  <c r="BA37" i="11"/>
  <c r="BA38" i="11"/>
  <c r="BA39" i="11"/>
  <c r="BA40" i="11"/>
  <c r="BA41" i="11"/>
  <c r="BA42" i="11"/>
  <c r="BA43" i="11"/>
  <c r="BA44" i="11"/>
  <c r="BA45" i="11"/>
  <c r="BA46" i="11"/>
  <c r="BA47" i="11"/>
  <c r="BA48" i="11"/>
  <c r="BA49" i="11"/>
  <c r="BA50" i="11"/>
  <c r="BA51" i="11"/>
  <c r="BA52" i="11"/>
  <c r="BA53" i="11"/>
  <c r="BA54" i="11"/>
  <c r="BA55" i="11"/>
  <c r="BA56" i="11"/>
  <c r="BA57" i="11"/>
  <c r="BA58" i="11"/>
  <c r="BA59" i="11"/>
  <c r="BA60" i="11"/>
  <c r="BA61" i="11"/>
  <c r="BA62" i="11"/>
  <c r="BA63" i="11"/>
  <c r="BA64" i="11"/>
  <c r="BA65" i="11"/>
  <c r="BA66" i="11"/>
  <c r="BA67" i="11"/>
  <c r="BA68" i="11"/>
  <c r="BA69" i="11"/>
  <c r="BA70" i="11"/>
  <c r="BA71" i="11"/>
  <c r="BA72" i="11"/>
  <c r="BA73" i="11"/>
  <c r="BA74" i="11"/>
  <c r="BA75" i="11"/>
  <c r="BA76" i="11"/>
  <c r="BA77" i="11"/>
  <c r="BA78" i="11"/>
  <c r="BA79" i="11"/>
  <c r="BA80" i="11"/>
  <c r="BA81" i="11"/>
  <c r="BA82" i="11"/>
  <c r="BA83" i="11"/>
  <c r="BA84" i="11"/>
  <c r="BA85" i="11"/>
  <c r="BA86" i="11"/>
  <c r="BA87" i="11"/>
  <c r="BA88" i="11"/>
  <c r="BA89" i="11"/>
  <c r="BA90" i="11"/>
  <c r="BA91" i="11"/>
  <c r="BA92" i="11"/>
  <c r="BA93" i="11"/>
  <c r="BA94" i="11"/>
  <c r="BA95" i="11"/>
  <c r="BA96" i="11"/>
  <c r="BA97" i="11"/>
  <c r="BA98" i="11"/>
  <c r="BA99" i="11"/>
  <c r="BA100" i="11"/>
  <c r="BA101" i="11"/>
  <c r="BA102" i="11"/>
  <c r="BA103" i="11"/>
  <c r="BA104" i="11"/>
  <c r="BA105" i="11"/>
  <c r="BA106" i="11"/>
  <c r="BA107" i="11"/>
  <c r="BA108" i="11"/>
  <c r="BA109" i="11"/>
  <c r="BA110" i="11"/>
  <c r="BA111" i="11"/>
  <c r="BA112" i="11"/>
  <c r="BA113" i="11"/>
  <c r="BA114" i="11"/>
  <c r="BA115" i="11"/>
  <c r="BA116" i="11"/>
  <c r="BA117" i="11"/>
  <c r="BA118" i="11"/>
  <c r="BA119" i="11"/>
  <c r="BA120" i="11"/>
  <c r="BA121" i="11"/>
  <c r="BA122" i="11"/>
  <c r="BA123" i="11"/>
  <c r="BA124" i="11"/>
  <c r="BA125" i="11"/>
  <c r="BA126" i="11"/>
  <c r="BA127" i="11"/>
  <c r="BA128" i="11"/>
  <c r="BA129" i="11"/>
  <c r="BA130" i="11"/>
  <c r="BA131" i="11"/>
  <c r="BA132" i="11"/>
  <c r="BA133" i="11"/>
  <c r="BA134" i="11"/>
  <c r="BA135" i="11"/>
  <c r="BA136" i="11"/>
  <c r="BA137" i="11"/>
  <c r="BA138" i="11"/>
  <c r="BA139" i="11"/>
  <c r="BA140" i="11"/>
  <c r="BA141" i="11"/>
  <c r="BA142" i="11"/>
  <c r="BA143" i="11"/>
  <c r="BA144" i="11"/>
  <c r="BA145" i="11"/>
  <c r="BA146" i="11"/>
  <c r="BA147" i="11"/>
  <c r="BA148" i="11"/>
  <c r="BA149" i="11"/>
  <c r="BA150" i="11"/>
  <c r="BA151" i="11"/>
  <c r="BA152" i="11"/>
  <c r="BA153" i="11"/>
  <c r="BA154" i="11"/>
  <c r="BA155" i="11"/>
  <c r="BA156" i="11"/>
  <c r="BA157" i="11"/>
  <c r="BA158" i="11"/>
  <c r="BA159" i="11"/>
  <c r="BA160" i="11"/>
  <c r="BA161" i="11"/>
  <c r="BA162" i="11"/>
  <c r="BA163" i="11"/>
  <c r="BA164" i="11"/>
  <c r="BA165" i="11"/>
  <c r="BA166" i="11"/>
  <c r="BA167" i="11"/>
  <c r="BA168" i="11"/>
  <c r="BA169" i="11"/>
  <c r="BA170" i="11"/>
  <c r="BA171" i="11"/>
  <c r="BA172" i="11"/>
  <c r="BA173" i="11"/>
  <c r="BA174" i="11"/>
  <c r="BA175" i="11"/>
  <c r="BA176" i="11"/>
  <c r="BA177" i="11"/>
  <c r="BA178" i="11"/>
  <c r="BA179" i="11"/>
  <c r="BA180" i="11"/>
  <c r="BA181" i="11"/>
  <c r="BA182" i="11"/>
  <c r="BA183" i="11"/>
  <c r="BA184" i="11"/>
  <c r="BA185" i="11"/>
  <c r="BA186" i="11"/>
  <c r="BA187" i="11"/>
  <c r="BA188" i="11"/>
  <c r="BA189" i="11"/>
  <c r="BA190" i="11"/>
  <c r="BA191" i="11"/>
  <c r="BA192" i="11"/>
  <c r="BA193" i="11"/>
  <c r="BA194" i="11"/>
  <c r="BA195" i="11"/>
  <c r="BA196" i="11"/>
  <c r="BA197" i="11"/>
  <c r="BA198" i="11"/>
  <c r="BA199" i="11"/>
  <c r="BA200" i="11"/>
  <c r="BA201" i="11"/>
  <c r="BA202" i="11"/>
  <c r="BA203" i="11"/>
  <c r="BA204" i="11"/>
  <c r="BA205" i="11"/>
  <c r="BA206" i="11"/>
  <c r="BA207" i="11"/>
  <c r="BA208" i="11"/>
  <c r="BA209" i="11"/>
  <c r="BA210" i="11"/>
  <c r="BA211" i="11"/>
  <c r="BA212" i="11"/>
  <c r="BA213" i="11"/>
  <c r="BA214" i="11"/>
  <c r="BA215" i="11"/>
  <c r="BA216" i="11"/>
  <c r="BA217" i="11"/>
  <c r="BA218" i="11"/>
  <c r="BA219" i="11"/>
  <c r="BA220" i="11"/>
  <c r="BA221" i="11"/>
  <c r="BA222" i="11"/>
  <c r="BA223" i="11"/>
  <c r="BA224" i="11"/>
  <c r="BA225" i="11"/>
  <c r="BA226" i="11"/>
  <c r="BA227" i="11"/>
  <c r="BA228" i="11"/>
  <c r="BA229" i="11"/>
  <c r="BA230" i="11"/>
  <c r="BA231" i="11"/>
  <c r="BA232" i="11"/>
  <c r="BA233" i="11"/>
  <c r="BA234" i="11"/>
  <c r="BA235" i="11"/>
  <c r="BA236" i="11"/>
  <c r="BA237" i="11"/>
  <c r="BA238" i="11"/>
  <c r="BA239" i="11"/>
  <c r="BA240" i="11"/>
  <c r="BA241" i="11"/>
  <c r="BA242" i="11"/>
  <c r="BA243" i="11"/>
  <c r="BA244" i="11"/>
  <c r="BA245" i="11"/>
  <c r="BA246" i="11"/>
  <c r="BA247" i="11"/>
  <c r="BA248" i="11"/>
  <c r="BA249" i="11"/>
  <c r="BA250" i="11"/>
  <c r="BA251" i="11"/>
  <c r="BA252" i="11"/>
  <c r="BA253" i="11"/>
  <c r="BA254" i="11"/>
  <c r="BA255" i="11"/>
  <c r="BA256" i="11"/>
  <c r="BA257" i="11"/>
  <c r="BA258" i="11"/>
  <c r="BA259" i="11"/>
  <c r="BA260" i="11"/>
  <c r="BA261" i="11"/>
  <c r="BA262" i="11"/>
  <c r="BA263" i="11"/>
  <c r="BA264" i="11"/>
  <c r="BA265" i="11"/>
  <c r="BA266" i="11"/>
  <c r="BA267" i="11"/>
  <c r="BA268" i="11"/>
  <c r="BA269" i="11"/>
  <c r="BA270" i="11"/>
  <c r="BA271" i="11"/>
  <c r="BA272" i="11"/>
  <c r="BA273" i="11"/>
  <c r="BA274" i="11"/>
  <c r="BA275" i="11"/>
  <c r="BA276" i="11"/>
  <c r="BA277" i="11"/>
  <c r="BA278" i="11"/>
  <c r="BA279" i="11"/>
  <c r="BA280" i="11"/>
  <c r="BA281" i="11"/>
  <c r="BA282" i="11"/>
  <c r="BA283" i="11"/>
  <c r="BA284" i="11"/>
  <c r="BA285" i="11"/>
  <c r="BA286" i="11"/>
  <c r="BA287" i="11"/>
  <c r="BA288" i="11"/>
  <c r="BA289" i="11"/>
  <c r="BA290" i="11"/>
  <c r="BA291" i="11"/>
  <c r="BA292" i="11"/>
  <c r="BA293" i="11"/>
  <c r="BA294" i="11"/>
  <c r="BA295" i="11"/>
  <c r="BA296" i="11"/>
  <c r="BA297" i="11"/>
  <c r="BA298" i="11"/>
  <c r="BA299" i="11"/>
  <c r="BA300" i="11"/>
  <c r="BA301" i="11"/>
  <c r="BA302" i="11"/>
  <c r="BA303" i="11"/>
  <c r="BA304" i="11"/>
  <c r="BA305" i="11"/>
  <c r="BA306" i="11"/>
  <c r="BA307" i="11"/>
  <c r="BA308" i="11"/>
  <c r="BA309" i="11"/>
  <c r="BA310" i="11"/>
  <c r="BA311" i="11"/>
  <c r="BA312" i="11"/>
  <c r="BA313" i="11"/>
  <c r="BA314" i="11"/>
  <c r="BA315" i="11"/>
  <c r="BA316" i="11"/>
  <c r="BA317" i="11"/>
  <c r="BA318" i="11"/>
  <c r="BA319" i="11"/>
  <c r="BA320" i="11"/>
  <c r="BA321" i="11"/>
  <c r="BA322" i="11"/>
  <c r="BA323" i="11"/>
  <c r="BA324" i="11"/>
  <c r="BA325" i="11"/>
  <c r="BA326" i="11"/>
  <c r="BA327" i="11"/>
  <c r="BA328" i="11"/>
  <c r="BA329" i="11"/>
  <c r="BA330" i="11"/>
  <c r="BA331" i="11"/>
  <c r="BA332" i="11"/>
  <c r="BA333" i="11"/>
  <c r="BA334" i="11"/>
  <c r="BA335" i="11"/>
  <c r="BA336" i="11"/>
  <c r="BA337" i="11"/>
  <c r="BA338" i="11"/>
  <c r="BA2" i="11"/>
  <c r="AM3" i="10" a="1"/>
  <c r="AM3" i="10" s="1"/>
  <c r="AM4" i="10" a="1"/>
  <c r="AM4" i="10"/>
  <c r="AM5" i="10" a="1"/>
  <c r="AM5" i="10" s="1"/>
  <c r="AM6" i="10" a="1"/>
  <c r="AM6" i="10"/>
  <c r="AM7" i="10" a="1"/>
  <c r="AM7" i="10" s="1"/>
  <c r="AM8" i="10" a="1"/>
  <c r="AM8" i="10" s="1"/>
  <c r="AM9" i="10" a="1"/>
  <c r="AM9" i="10" s="1"/>
  <c r="AM10" i="10" a="1"/>
  <c r="AM10" i="10" s="1"/>
  <c r="AM11" i="10" a="1"/>
  <c r="AM11" i="10" s="1"/>
  <c r="AM12" i="10" a="1"/>
  <c r="AM12" i="10" s="1"/>
  <c r="AM13" i="10" a="1"/>
  <c r="AM13" i="10" s="1"/>
  <c r="AM14" i="10" a="1"/>
  <c r="AM14" i="10" s="1"/>
  <c r="AM15" i="10" a="1"/>
  <c r="AM15" i="10" s="1"/>
  <c r="AM16" i="10" a="1"/>
  <c r="AM16" i="10" s="1"/>
  <c r="AM17" i="10" a="1"/>
  <c r="AM17" i="10" s="1"/>
  <c r="AM18" i="10" a="1"/>
  <c r="AM18" i="10" s="1"/>
  <c r="AM19" i="10" a="1"/>
  <c r="AM19" i="10" s="1"/>
  <c r="AM20" i="10" a="1"/>
  <c r="AM20" i="10" s="1"/>
  <c r="AM21" i="10" a="1"/>
  <c r="AM21" i="10" s="1"/>
  <c r="AM22" i="10" a="1"/>
  <c r="AM22" i="10" s="1"/>
  <c r="AM23" i="10" a="1"/>
  <c r="AM23" i="10" s="1"/>
  <c r="AM24" i="10" a="1"/>
  <c r="AM24" i="10" s="1"/>
  <c r="AM25" i="10" a="1"/>
  <c r="AM25" i="10" s="1"/>
  <c r="AM26" i="10" a="1"/>
  <c r="AM26" i="10" s="1"/>
  <c r="AM27" i="10" a="1"/>
  <c r="AM27" i="10" s="1"/>
  <c r="AM28" i="10" a="1"/>
  <c r="AM28" i="10" s="1"/>
  <c r="AM29" i="10" a="1"/>
  <c r="AM29" i="10" s="1"/>
  <c r="AM30" i="10" a="1"/>
  <c r="AM30" i="10" s="1"/>
  <c r="AM31" i="10" a="1"/>
  <c r="AM31" i="10" s="1"/>
  <c r="AM32" i="10" a="1"/>
  <c r="AM32" i="10" s="1"/>
  <c r="AM33" i="10" a="1"/>
  <c r="AM33" i="10" s="1"/>
  <c r="AM34" i="10" a="1"/>
  <c r="AM34" i="10" s="1"/>
  <c r="AM35" i="10" a="1"/>
  <c r="AM35" i="10" s="1"/>
  <c r="AM36" i="10" a="1"/>
  <c r="AM36" i="10"/>
  <c r="AM37" i="10" a="1"/>
  <c r="AM37" i="10" s="1"/>
  <c r="AM38" i="10" a="1"/>
  <c r="AM38" i="10"/>
  <c r="AM39" i="10" a="1"/>
  <c r="AM39" i="10" s="1"/>
  <c r="AM40" i="10" a="1"/>
  <c r="AM40" i="10" s="1"/>
  <c r="AM41" i="10" a="1"/>
  <c r="AM41" i="10" s="1"/>
  <c r="AM42" i="10" a="1"/>
  <c r="AM42" i="10" s="1"/>
  <c r="AM43" i="10" a="1"/>
  <c r="AM43" i="10" s="1"/>
  <c r="AM44" i="10" a="1"/>
  <c r="AM44" i="10"/>
  <c r="AM45" i="10" a="1"/>
  <c r="AM45" i="10" s="1"/>
  <c r="AM46" i="10" a="1"/>
  <c r="AM46" i="10"/>
  <c r="AM47" i="10" a="1"/>
  <c r="AM47" i="10" s="1"/>
  <c r="AM48" i="10" a="1"/>
  <c r="AM48" i="10" s="1"/>
  <c r="AM49" i="10" a="1"/>
  <c r="AM49" i="10" s="1"/>
  <c r="AM50" i="10" a="1"/>
  <c r="AM50" i="10" s="1"/>
  <c r="AM51" i="10" a="1"/>
  <c r="AM51" i="10" s="1"/>
  <c r="AM52" i="10" a="1"/>
  <c r="AM52" i="10"/>
  <c r="AM53" i="10" a="1"/>
  <c r="AM53" i="10" s="1"/>
  <c r="AM54" i="10" a="1"/>
  <c r="AM54" i="10"/>
  <c r="AM55" i="10" a="1"/>
  <c r="AM55" i="10" s="1"/>
  <c r="AM56" i="10" a="1"/>
  <c r="AM56" i="10" s="1"/>
  <c r="AM57" i="10" a="1"/>
  <c r="AM57" i="10" s="1"/>
  <c r="AM58" i="10" a="1"/>
  <c r="AM58" i="10" s="1"/>
  <c r="AM59" i="10" a="1"/>
  <c r="AM59" i="10" s="1"/>
  <c r="AM60" i="10" a="1"/>
  <c r="AM60" i="10"/>
  <c r="AM61" i="10" a="1"/>
  <c r="AM61" i="10" s="1"/>
  <c r="AM62" i="10" a="1"/>
  <c r="AM62" i="10"/>
  <c r="AM63" i="10" a="1"/>
  <c r="AM63" i="10" s="1"/>
  <c r="AM64" i="10" a="1"/>
  <c r="AM64" i="10" s="1"/>
  <c r="AM65" i="10" a="1"/>
  <c r="AM65" i="10" s="1"/>
  <c r="AM66" i="10" a="1"/>
  <c r="AM66" i="10" s="1"/>
  <c r="AM67" i="10" a="1"/>
  <c r="AM67" i="10" s="1"/>
  <c r="AM68" i="10" a="1"/>
  <c r="AM68" i="10"/>
  <c r="AM69" i="10" a="1"/>
  <c r="AM69" i="10" s="1"/>
  <c r="AM70" i="10" a="1"/>
  <c r="AM70" i="10"/>
  <c r="AM71" i="10" a="1"/>
  <c r="AM71" i="10" s="1"/>
  <c r="AM72" i="10" a="1"/>
  <c r="AM72" i="10" s="1"/>
  <c r="AM73" i="10" a="1"/>
  <c r="AM73" i="10" s="1"/>
  <c r="AM74" i="10" a="1"/>
  <c r="AM74" i="10" s="1"/>
  <c r="AM75" i="10" a="1"/>
  <c r="AM75" i="10" s="1"/>
  <c r="AM76" i="10" a="1"/>
  <c r="AM76" i="10"/>
  <c r="AM77" i="10" a="1"/>
  <c r="AM77" i="10" s="1"/>
  <c r="AM78" i="10" a="1"/>
  <c r="AM78" i="10"/>
  <c r="AM79" i="10" a="1"/>
  <c r="AM79" i="10" s="1"/>
  <c r="AM80" i="10" a="1"/>
  <c r="AM80" i="10" s="1"/>
  <c r="AM81" i="10" a="1"/>
  <c r="AM81" i="10" s="1"/>
  <c r="AM82" i="10" a="1"/>
  <c r="AM82" i="10" s="1"/>
  <c r="AM83" i="10" a="1"/>
  <c r="AM83" i="10" s="1"/>
  <c r="AM84" i="10" a="1"/>
  <c r="AM84" i="10"/>
  <c r="AM85" i="10" a="1"/>
  <c r="AM85" i="10" s="1"/>
  <c r="AM86" i="10" a="1"/>
  <c r="AM86" i="10"/>
  <c r="AM87" i="10" a="1"/>
  <c r="AM87" i="10" s="1"/>
  <c r="AM88" i="10" a="1"/>
  <c r="AM88" i="10" s="1"/>
  <c r="AM89" i="10" a="1"/>
  <c r="AM89" i="10" s="1"/>
  <c r="AM90" i="10" a="1"/>
  <c r="AM90" i="10" s="1"/>
  <c r="AM91" i="10" a="1"/>
  <c r="AM91" i="10" s="1"/>
  <c r="AM92" i="10" a="1"/>
  <c r="AM92" i="10"/>
  <c r="AM93" i="10" a="1"/>
  <c r="AM93" i="10" s="1"/>
  <c r="AM94" i="10" a="1"/>
  <c r="AM94" i="10"/>
  <c r="AM95" i="10" a="1"/>
  <c r="AM95" i="10" s="1"/>
  <c r="AM96" i="10" a="1"/>
  <c r="AM96" i="10" s="1"/>
  <c r="AM97" i="10" a="1"/>
  <c r="AM97" i="10" s="1"/>
  <c r="AM98" i="10" a="1"/>
  <c r="AM98" i="10" s="1"/>
  <c r="AM99" i="10" a="1"/>
  <c r="AM99" i="10" s="1"/>
  <c r="AM100" i="10" a="1"/>
  <c r="AM100" i="10"/>
  <c r="AM101" i="10" a="1"/>
  <c r="AM101" i="10" s="1"/>
  <c r="AM102" i="10" a="1"/>
  <c r="AM102" i="10"/>
  <c r="AM103" i="10" a="1"/>
  <c r="AM103" i="10" s="1"/>
  <c r="AM104" i="10" a="1"/>
  <c r="AM104" i="10" s="1"/>
  <c r="AM105" i="10" a="1"/>
  <c r="AM105" i="10" s="1"/>
  <c r="AM106" i="10" a="1"/>
  <c r="AM106" i="10" s="1"/>
  <c r="AM107" i="10" a="1"/>
  <c r="AM107" i="10" s="1"/>
  <c r="AM108" i="10" a="1"/>
  <c r="AM108" i="10"/>
  <c r="AM109" i="10" a="1"/>
  <c r="AM109" i="10" s="1"/>
  <c r="AM110" i="10" a="1"/>
  <c r="AM110" i="10"/>
  <c r="AM111" i="10" a="1"/>
  <c r="AM111" i="10" s="1"/>
  <c r="AM112" i="10" a="1"/>
  <c r="AM112" i="10" s="1"/>
  <c r="AM113" i="10" a="1"/>
  <c r="AM113" i="10" s="1"/>
  <c r="AM114" i="10" a="1"/>
  <c r="AM114" i="10" s="1"/>
  <c r="AM115" i="10" a="1"/>
  <c r="AM115" i="10" s="1"/>
  <c r="AM116" i="10" a="1"/>
  <c r="AM116" i="10"/>
  <c r="AM117" i="10" a="1"/>
  <c r="AM117" i="10" s="1"/>
  <c r="AM118" i="10" a="1"/>
  <c r="AM118" i="10"/>
  <c r="AM119" i="10" a="1"/>
  <c r="AM119" i="10" s="1"/>
  <c r="AM120" i="10" a="1"/>
  <c r="AM120" i="10" s="1"/>
  <c r="AM121" i="10" a="1"/>
  <c r="AM121" i="10" s="1"/>
  <c r="AM122" i="10" a="1"/>
  <c r="AM122" i="10" s="1"/>
  <c r="AM123" i="10" a="1"/>
  <c r="AM123" i="10" s="1"/>
  <c r="AM124" i="10" a="1"/>
  <c r="AM124" i="10"/>
  <c r="AM125" i="10" a="1"/>
  <c r="AM125" i="10" s="1"/>
  <c r="AM126" i="10" a="1"/>
  <c r="AM126" i="10"/>
  <c r="AM127" i="10" a="1"/>
  <c r="AM127" i="10" s="1"/>
  <c r="AM128" i="10" a="1"/>
  <c r="AM128" i="10" s="1"/>
  <c r="AM129" i="10" a="1"/>
  <c r="AM129" i="10" s="1"/>
  <c r="AM130" i="10" a="1"/>
  <c r="AM130" i="10" s="1"/>
  <c r="AM131" i="10" a="1"/>
  <c r="AM131" i="10" s="1"/>
  <c r="AM132" i="10" a="1"/>
  <c r="AM132" i="10"/>
  <c r="AM133" i="10" a="1"/>
  <c r="AM133" i="10" s="1"/>
  <c r="AM134" i="10" a="1"/>
  <c r="AM134" i="10"/>
  <c r="AM135" i="10" a="1"/>
  <c r="AM135" i="10" s="1"/>
  <c r="AM136" i="10" a="1"/>
  <c r="AM136" i="10" s="1"/>
  <c r="AM137" i="10" a="1"/>
  <c r="AM137" i="10" s="1"/>
  <c r="AM138" i="10" a="1"/>
  <c r="AM138" i="10" s="1"/>
  <c r="AM139" i="10" a="1"/>
  <c r="AM139" i="10" s="1"/>
  <c r="AM140" i="10" a="1"/>
  <c r="AM140" i="10"/>
  <c r="AM141" i="10" a="1"/>
  <c r="AM141" i="10" s="1"/>
  <c r="AM142" i="10" a="1"/>
  <c r="AM142" i="10"/>
  <c r="AM143" i="10" a="1"/>
  <c r="AM143" i="10" s="1"/>
  <c r="AM144" i="10" a="1"/>
  <c r="AM144" i="10" s="1"/>
  <c r="AM145" i="10" a="1"/>
  <c r="AM145" i="10" s="1"/>
  <c r="AM146" i="10" a="1"/>
  <c r="AM146" i="10" s="1"/>
  <c r="AM147" i="10" a="1"/>
  <c r="AM147" i="10" s="1"/>
  <c r="AM148" i="10" a="1"/>
  <c r="AM148" i="10"/>
  <c r="AM149" i="10" a="1"/>
  <c r="AM149" i="10" s="1"/>
  <c r="AM150" i="10" a="1"/>
  <c r="AM150" i="10"/>
  <c r="AM151" i="10" a="1"/>
  <c r="AM151" i="10" s="1"/>
  <c r="AM152" i="10" a="1"/>
  <c r="AM152" i="10" s="1"/>
  <c r="AM153" i="10" a="1"/>
  <c r="AM153" i="10" s="1"/>
  <c r="AM154" i="10" a="1"/>
  <c r="AM154" i="10" s="1"/>
  <c r="AM155" i="10" a="1"/>
  <c r="AM155" i="10" s="1"/>
  <c r="AM156" i="10" a="1"/>
  <c r="AM156" i="10"/>
  <c r="AM157" i="10" a="1"/>
  <c r="AM157" i="10" s="1"/>
  <c r="AM158" i="10" a="1"/>
  <c r="AM158" i="10"/>
  <c r="AM159" i="10" a="1"/>
  <c r="AM159" i="10" s="1"/>
  <c r="AM160" i="10" a="1"/>
  <c r="AM160" i="10" s="1"/>
  <c r="AM161" i="10" a="1"/>
  <c r="AM161" i="10" s="1"/>
  <c r="AM162" i="10" a="1"/>
  <c r="AM162" i="10" s="1"/>
  <c r="AM163" i="10" a="1"/>
  <c r="AM163" i="10" s="1"/>
  <c r="AM164" i="10" a="1"/>
  <c r="AM164" i="10"/>
  <c r="AM165" i="10" a="1"/>
  <c r="AM165" i="10" s="1"/>
  <c r="AM166" i="10" a="1"/>
  <c r="AM166" i="10"/>
  <c r="AM167" i="10" a="1"/>
  <c r="AM167" i="10" s="1"/>
  <c r="AM168" i="10" a="1"/>
  <c r="AM168" i="10" s="1"/>
  <c r="AM169" i="10" a="1"/>
  <c r="AM169" i="10" s="1"/>
  <c r="AM170" i="10" a="1"/>
  <c r="AM170" i="10" s="1"/>
  <c r="AM171" i="10" a="1"/>
  <c r="AM171" i="10" s="1"/>
  <c r="AM172" i="10" a="1"/>
  <c r="AM172" i="10"/>
  <c r="AM173" i="10" a="1"/>
  <c r="AM173" i="10" s="1"/>
  <c r="AM174" i="10" a="1"/>
  <c r="AM174" i="10"/>
  <c r="AM175" i="10" a="1"/>
  <c r="AM175" i="10" s="1"/>
  <c r="AM176" i="10" a="1"/>
  <c r="AM176" i="10"/>
  <c r="AM177" i="10" a="1"/>
  <c r="AM177" i="10" s="1"/>
  <c r="AM178" i="10" a="1"/>
  <c r="AM178" i="10" s="1"/>
  <c r="AM179" i="10" a="1"/>
  <c r="AM179" i="10" s="1"/>
  <c r="AM180" i="10" a="1"/>
  <c r="AM180" i="10"/>
  <c r="AM181" i="10" a="1"/>
  <c r="AM181" i="10" s="1"/>
  <c r="AM182" i="10" a="1"/>
  <c r="AM182" i="10" s="1"/>
  <c r="AM183" i="10" a="1"/>
  <c r="AM183" i="10" s="1"/>
  <c r="AM184" i="10" a="1"/>
  <c r="AM184" i="10"/>
  <c r="AM185" i="10" a="1"/>
  <c r="AM185" i="10" s="1"/>
  <c r="AM186" i="10" a="1"/>
  <c r="AM186" i="10" s="1"/>
  <c r="AM187" i="10" a="1"/>
  <c r="AM187" i="10" s="1"/>
  <c r="AM188" i="10" a="1"/>
  <c r="AM188" i="10"/>
  <c r="AM189" i="10" a="1"/>
  <c r="AM189" i="10" s="1"/>
  <c r="AM190" i="10" a="1"/>
  <c r="AM190" i="10" s="1"/>
  <c r="AM191" i="10" a="1"/>
  <c r="AM191" i="10" s="1"/>
  <c r="AM192" i="10" a="1"/>
  <c r="AM192" i="10"/>
  <c r="AM193" i="10" a="1"/>
  <c r="AM193" i="10" s="1"/>
  <c r="AM194" i="10" a="1"/>
  <c r="AM194" i="10" s="1"/>
  <c r="AM195" i="10" a="1"/>
  <c r="AM195" i="10" s="1"/>
  <c r="AM196" i="10" a="1"/>
  <c r="AM196" i="10"/>
  <c r="AM197" i="10" a="1"/>
  <c r="AM197" i="10" s="1"/>
  <c r="AM198" i="10" a="1"/>
  <c r="AM198" i="10" s="1"/>
  <c r="AM199" i="10" a="1"/>
  <c r="AM199" i="10" s="1"/>
  <c r="AM200" i="10" a="1"/>
  <c r="AM200" i="10"/>
  <c r="AM201" i="10" a="1"/>
  <c r="AM201" i="10" s="1"/>
  <c r="AM202" i="10" a="1"/>
  <c r="AM202" i="10" s="1"/>
  <c r="AM203" i="10" a="1"/>
  <c r="AM203" i="10" s="1"/>
  <c r="AM204" i="10" a="1"/>
  <c r="AM204" i="10"/>
  <c r="AM205" i="10" a="1"/>
  <c r="AM205" i="10" s="1"/>
  <c r="AM206" i="10" a="1"/>
  <c r="AM206" i="10" s="1"/>
  <c r="AM207" i="10" a="1"/>
  <c r="AM207" i="10" s="1"/>
  <c r="AM208" i="10" a="1"/>
  <c r="AM208" i="10"/>
  <c r="AM209" i="10" a="1"/>
  <c r="AM209" i="10" s="1"/>
  <c r="AM210" i="10" a="1"/>
  <c r="AM210" i="10" s="1"/>
  <c r="AM211" i="10" a="1"/>
  <c r="AM211" i="10" s="1"/>
  <c r="AM212" i="10" a="1"/>
  <c r="AM212" i="10"/>
  <c r="AM213" i="10" a="1"/>
  <c r="AM213" i="10" s="1"/>
  <c r="AM214" i="10" a="1"/>
  <c r="AM214" i="10" s="1"/>
  <c r="AM215" i="10" a="1"/>
  <c r="AM215" i="10" s="1"/>
  <c r="AM216" i="10" a="1"/>
  <c r="AM216" i="10"/>
  <c r="AM217" i="10" a="1"/>
  <c r="AM217" i="10" s="1"/>
  <c r="AM218" i="10" a="1"/>
  <c r="AM218" i="10" s="1"/>
  <c r="AM219" i="10" a="1"/>
  <c r="AM219" i="10" s="1"/>
  <c r="AM220" i="10" a="1"/>
  <c r="AM220" i="10"/>
  <c r="AM221" i="10" a="1"/>
  <c r="AM221" i="10" s="1"/>
  <c r="AM222" i="10" a="1"/>
  <c r="AM222" i="10" s="1"/>
  <c r="AM223" i="10" a="1"/>
  <c r="AM223" i="10" s="1"/>
  <c r="AM224" i="10" a="1"/>
  <c r="AM224" i="10"/>
  <c r="AM225" i="10" a="1"/>
  <c r="AM225" i="10" s="1"/>
  <c r="AM226" i="10" a="1"/>
  <c r="AM226" i="10" s="1"/>
  <c r="AM227" i="10" a="1"/>
  <c r="AM227" i="10" s="1"/>
  <c r="AM228" i="10" a="1"/>
  <c r="AM228" i="10"/>
  <c r="AM229" i="10" a="1"/>
  <c r="AM229" i="10" s="1"/>
  <c r="AM230" i="10" a="1"/>
  <c r="AM230" i="10" s="1"/>
  <c r="AM231" i="10" a="1"/>
  <c r="AM231" i="10" s="1"/>
  <c r="AM232" i="10" a="1"/>
  <c r="AM232" i="10"/>
  <c r="AM233" i="10" a="1"/>
  <c r="AM233" i="10" s="1"/>
  <c r="AM234" i="10" a="1"/>
  <c r="AM234" i="10" s="1"/>
  <c r="AM235" i="10" a="1"/>
  <c r="AM235" i="10" s="1"/>
  <c r="AM236" i="10" a="1"/>
  <c r="AM236" i="10"/>
  <c r="AM237" i="10" a="1"/>
  <c r="AM237" i="10" s="1"/>
  <c r="AM238" i="10" a="1"/>
  <c r="AM238" i="10" s="1"/>
  <c r="AM239" i="10" a="1"/>
  <c r="AM239" i="10" s="1"/>
  <c r="AM240" i="10" a="1"/>
  <c r="AM240" i="10"/>
  <c r="AM241" i="10" a="1"/>
  <c r="AM241" i="10" s="1"/>
  <c r="AM242" i="10" a="1"/>
  <c r="AM242" i="10" s="1"/>
  <c r="AM243" i="10" a="1"/>
  <c r="AM243" i="10" s="1"/>
  <c r="AM244" i="10" a="1"/>
  <c r="AM244" i="10"/>
  <c r="AM245" i="10" a="1"/>
  <c r="AM245" i="10" s="1"/>
  <c r="AM246" i="10" a="1"/>
  <c r="AM246" i="10" s="1"/>
  <c r="AM247" i="10" a="1"/>
  <c r="AM247" i="10" s="1"/>
  <c r="AM248" i="10" a="1"/>
  <c r="AM248" i="10"/>
  <c r="AM249" i="10" a="1"/>
  <c r="AM249" i="10" s="1"/>
  <c r="AM250" i="10" a="1"/>
  <c r="AM250" i="10" s="1"/>
  <c r="AM251" i="10" a="1"/>
  <c r="AM251" i="10" s="1"/>
  <c r="AM252" i="10" a="1"/>
  <c r="AM252" i="10"/>
  <c r="AM253" i="10" a="1"/>
  <c r="AM253" i="10" s="1"/>
  <c r="AM254" i="10" a="1"/>
  <c r="AM254" i="10" s="1"/>
  <c r="AM255" i="10" a="1"/>
  <c r="AM255" i="10" s="1"/>
  <c r="AM256" i="10" a="1"/>
  <c r="AM256" i="10"/>
  <c r="AM257" i="10" a="1"/>
  <c r="AM257" i="10" s="1"/>
  <c r="AM258" i="10" a="1"/>
  <c r="AM258" i="10" s="1"/>
  <c r="AM259" i="10" a="1"/>
  <c r="AM259" i="10" s="1"/>
  <c r="AM260" i="10" a="1"/>
  <c r="AM260" i="10"/>
  <c r="AM261" i="10" a="1"/>
  <c r="AM261" i="10" s="1"/>
  <c r="AM262" i="10" a="1"/>
  <c r="AM262" i="10" s="1"/>
  <c r="AM263" i="10" a="1"/>
  <c r="AM263" i="10" s="1"/>
  <c r="AM264" i="10" a="1"/>
  <c r="AM264" i="10"/>
  <c r="AM265" i="10" a="1"/>
  <c r="AM265" i="10" s="1"/>
  <c r="AM266" i="10" a="1"/>
  <c r="AM266" i="10" s="1"/>
  <c r="AM267" i="10" a="1"/>
  <c r="AM267" i="10" s="1"/>
  <c r="AM268" i="10" a="1"/>
  <c r="AM268" i="10"/>
  <c r="AM269" i="10" a="1"/>
  <c r="AM269" i="10" s="1"/>
  <c r="AM270" i="10" a="1"/>
  <c r="AM270" i="10" s="1"/>
  <c r="AM271" i="10" a="1"/>
  <c r="AM271" i="10" s="1"/>
  <c r="AM272" i="10" a="1"/>
  <c r="AM272" i="10"/>
  <c r="AM273" i="10" a="1"/>
  <c r="AM273" i="10" s="1"/>
  <c r="AM274" i="10" a="1"/>
  <c r="AM274" i="10" s="1"/>
  <c r="AM275" i="10" a="1"/>
  <c r="AM275" i="10" s="1"/>
  <c r="AM276" i="10" a="1"/>
  <c r="AM276" i="10"/>
  <c r="AM277" i="10" a="1"/>
  <c r="AM277" i="10" s="1"/>
  <c r="AM278" i="10" a="1"/>
  <c r="AM278" i="10" s="1"/>
  <c r="AM279" i="10" a="1"/>
  <c r="AM279" i="10" s="1"/>
  <c r="AM280" i="10" a="1"/>
  <c r="AM280" i="10"/>
  <c r="AM281" i="10" a="1"/>
  <c r="AM281" i="10" s="1"/>
  <c r="AM282" i="10" a="1"/>
  <c r="AM282" i="10" s="1"/>
  <c r="AM283" i="10" a="1"/>
  <c r="AM283" i="10" s="1"/>
  <c r="AM284" i="10" a="1"/>
  <c r="AM284" i="10"/>
  <c r="AM285" i="10" a="1"/>
  <c r="AM285" i="10" s="1"/>
  <c r="AM286" i="10" a="1"/>
  <c r="AM286" i="10" s="1"/>
  <c r="AM287" i="10" a="1"/>
  <c r="AM287" i="10" s="1"/>
  <c r="AM288" i="10" a="1"/>
  <c r="AM288" i="10"/>
  <c r="AM289" i="10" a="1"/>
  <c r="AM289" i="10" s="1"/>
  <c r="AM290" i="10" a="1"/>
  <c r="AM290" i="10" s="1"/>
  <c r="AM291" i="10" a="1"/>
  <c r="AM291" i="10" s="1"/>
  <c r="AM292" i="10" a="1"/>
  <c r="AM292" i="10"/>
  <c r="AM293" i="10" a="1"/>
  <c r="AM293" i="10" s="1"/>
  <c r="AM294" i="10" a="1"/>
  <c r="AM294" i="10" s="1"/>
  <c r="AM295" i="10" a="1"/>
  <c r="AM295" i="10" s="1"/>
  <c r="AM296" i="10" a="1"/>
  <c r="AM296" i="10"/>
  <c r="AM297" i="10" a="1"/>
  <c r="AM297" i="10" s="1"/>
  <c r="AM298" i="10" a="1"/>
  <c r="AM298" i="10" s="1"/>
  <c r="AM299" i="10" a="1"/>
  <c r="AM299" i="10" s="1"/>
  <c r="AM300" i="10" a="1"/>
  <c r="AM300" i="10"/>
  <c r="AM301" i="10" a="1"/>
  <c r="AM301" i="10" s="1"/>
  <c r="AM302" i="10" a="1"/>
  <c r="AM302" i="10" s="1"/>
  <c r="AM303" i="10" a="1"/>
  <c r="AM303" i="10" s="1"/>
  <c r="AM304" i="10" a="1"/>
  <c r="AM304" i="10"/>
  <c r="AM305" i="10" a="1"/>
  <c r="AM305" i="10" s="1"/>
  <c r="AM306" i="10" a="1"/>
  <c r="AM306" i="10" s="1"/>
  <c r="AM307" i="10" a="1"/>
  <c r="AM307" i="10" s="1"/>
  <c r="AM308" i="10" a="1"/>
  <c r="AM308" i="10" s="1"/>
  <c r="AM309" i="10" a="1"/>
  <c r="AM309" i="10" s="1"/>
  <c r="AM310" i="10" a="1"/>
  <c r="AM310" i="10" s="1"/>
  <c r="AM311" i="10" a="1"/>
  <c r="AM311" i="10" s="1"/>
  <c r="AM312" i="10" a="1"/>
  <c r="AM312" i="10" s="1"/>
  <c r="AM313" i="10" a="1"/>
  <c r="AM313" i="10" s="1"/>
  <c r="AM314" i="10" a="1"/>
  <c r="AM314" i="10" s="1"/>
  <c r="AM315" i="10" a="1"/>
  <c r="AM315" i="10" s="1"/>
  <c r="AM316" i="10" a="1"/>
  <c r="AM316" i="10" s="1"/>
  <c r="AM317" i="10" a="1"/>
  <c r="AM317" i="10" s="1"/>
  <c r="AM318" i="10" a="1"/>
  <c r="AM318" i="10" s="1"/>
  <c r="AM319" i="10" a="1"/>
  <c r="AM319" i="10" s="1"/>
  <c r="AM320" i="10" a="1"/>
  <c r="AM320" i="10" s="1"/>
  <c r="AM321" i="10" a="1"/>
  <c r="AM321" i="10" s="1"/>
  <c r="AM322" i="10" a="1"/>
  <c r="AM322" i="10" s="1"/>
  <c r="AM323" i="10" a="1"/>
  <c r="AM323" i="10" s="1"/>
  <c r="AM324" i="10" a="1"/>
  <c r="AM324" i="10" s="1"/>
  <c r="AM325" i="10" a="1"/>
  <c r="AM325" i="10" s="1"/>
  <c r="AM326" i="10" a="1"/>
  <c r="AM326" i="10" s="1"/>
  <c r="AM327" i="10" a="1"/>
  <c r="AM327" i="10" s="1"/>
  <c r="AM328" i="10" a="1"/>
  <c r="AM328" i="10" s="1"/>
  <c r="AM329" i="10" a="1"/>
  <c r="AM329" i="10" s="1"/>
  <c r="AM330" i="10" a="1"/>
  <c r="AM330" i="10" s="1"/>
  <c r="AM331" i="10" a="1"/>
  <c r="AM331" i="10" s="1"/>
  <c r="AM332" i="10" a="1"/>
  <c r="AM332" i="10" s="1"/>
  <c r="AM333" i="10" a="1"/>
  <c r="AM333" i="10" s="1"/>
  <c r="AM334" i="10" a="1"/>
  <c r="AM334" i="10" s="1"/>
  <c r="AM335" i="10" a="1"/>
  <c r="AM335" i="10" s="1"/>
  <c r="AM336" i="10" a="1"/>
  <c r="AM336" i="10" s="1"/>
  <c r="AM337" i="10" a="1"/>
  <c r="AM337" i="10" s="1"/>
  <c r="AM338" i="10" a="1"/>
  <c r="AM338" i="10" s="1"/>
  <c r="AM339" i="10" a="1"/>
  <c r="AM339" i="10" s="1"/>
  <c r="AM340" i="10" a="1"/>
  <c r="AM340" i="10" s="1"/>
  <c r="AM341" i="10" a="1"/>
  <c r="AM341" i="10" s="1"/>
  <c r="AM342" i="10" a="1"/>
  <c r="AM342" i="10" s="1"/>
  <c r="AM343" i="10" a="1"/>
  <c r="AM343" i="10" s="1"/>
  <c r="AM344" i="10" a="1"/>
  <c r="AM344" i="10" s="1"/>
  <c r="AM345" i="10" a="1"/>
  <c r="AM345" i="10" s="1"/>
  <c r="AM346" i="10" a="1"/>
  <c r="AM346" i="10" s="1"/>
  <c r="AM347" i="10" a="1"/>
  <c r="AM347" i="10" s="1"/>
  <c r="AM348" i="10" a="1"/>
  <c r="AM348" i="10" s="1"/>
  <c r="AM349" i="10" a="1"/>
  <c r="AM349" i="10" s="1"/>
  <c r="AM350" i="10" a="1"/>
  <c r="AM350" i="10" s="1"/>
  <c r="AM351" i="10" a="1"/>
  <c r="AM351" i="10" s="1"/>
  <c r="AM352" i="10" a="1"/>
  <c r="AM352" i="10" s="1"/>
  <c r="AM353" i="10" a="1"/>
  <c r="AM353" i="10" s="1"/>
  <c r="AM354" i="10" a="1"/>
  <c r="AM354" i="10" s="1"/>
  <c r="AM355" i="10" a="1"/>
  <c r="AM355" i="10" s="1"/>
  <c r="AM356" i="10" a="1"/>
  <c r="AM356" i="10" s="1"/>
  <c r="AM357" i="10" a="1"/>
  <c r="AM357" i="10" s="1"/>
  <c r="AM358" i="10" a="1"/>
  <c r="AM358" i="10" s="1"/>
  <c r="AM359" i="10" a="1"/>
  <c r="AM359" i="10" s="1"/>
  <c r="AM360" i="10" a="1"/>
  <c r="AM360" i="10" s="1"/>
  <c r="AM361" i="10" a="1"/>
  <c r="AM361" i="10" s="1"/>
  <c r="AM362" i="10" a="1"/>
  <c r="AM362" i="10" s="1"/>
  <c r="AM363" i="10" a="1"/>
  <c r="AM363" i="10" s="1"/>
  <c r="AM364" i="10" a="1"/>
  <c r="AM364" i="10" s="1"/>
  <c r="AM365" i="10" a="1"/>
  <c r="AM365" i="10" s="1"/>
  <c r="AM366" i="10" a="1"/>
  <c r="AM366" i="10" s="1"/>
  <c r="AM367" i="10" a="1"/>
  <c r="AM367" i="10" s="1"/>
  <c r="AM368" i="10" a="1"/>
  <c r="AM368" i="10" s="1"/>
  <c r="AM369" i="10" a="1"/>
  <c r="AM369" i="10" s="1"/>
  <c r="AM370" i="10" a="1"/>
  <c r="AM370" i="10" s="1"/>
  <c r="AM371" i="10" a="1"/>
  <c r="AM371" i="10" s="1"/>
  <c r="AM372" i="10" a="1"/>
  <c r="AM372" i="10" s="1"/>
  <c r="AM373" i="10" a="1"/>
  <c r="AM373" i="10" s="1"/>
  <c r="AM374" i="10" a="1"/>
  <c r="AM374" i="10" s="1"/>
  <c r="AM375" i="10" a="1"/>
  <c r="AM375" i="10" s="1"/>
  <c r="AM376" i="10" a="1"/>
  <c r="AM376" i="10" s="1"/>
  <c r="AM377" i="10" a="1"/>
  <c r="AM377" i="10" s="1"/>
  <c r="AM378" i="10" a="1"/>
  <c r="AM378" i="10" s="1"/>
  <c r="AM379" i="10" a="1"/>
  <c r="AM379" i="10" s="1"/>
  <c r="AM380" i="10" a="1"/>
  <c r="AM380" i="10" s="1"/>
  <c r="AM381" i="10" a="1"/>
  <c r="AM381" i="10" s="1"/>
  <c r="AM382" i="10" a="1"/>
  <c r="AM382" i="10" s="1"/>
  <c r="AM383" i="10" a="1"/>
  <c r="AM383" i="10" s="1"/>
  <c r="AM384" i="10" a="1"/>
  <c r="AM384" i="10" s="1"/>
  <c r="AM385" i="10" a="1"/>
  <c r="AM385" i="10" s="1"/>
  <c r="AM386" i="10" a="1"/>
  <c r="AM386" i="10" s="1"/>
  <c r="AM387" i="10" a="1"/>
  <c r="AM387" i="10" s="1"/>
  <c r="AM388" i="10" a="1"/>
  <c r="AM388" i="10" s="1"/>
  <c r="AM389" i="10" a="1"/>
  <c r="AM389" i="10" s="1"/>
  <c r="AM390" i="10" a="1"/>
  <c r="AM390" i="10" s="1"/>
  <c r="AM391" i="10" a="1"/>
  <c r="AM391" i="10" s="1"/>
  <c r="AM392" i="10" a="1"/>
  <c r="AM392" i="10" s="1"/>
  <c r="AM393" i="10" a="1"/>
  <c r="AM393" i="10" s="1"/>
  <c r="AM394" i="10" a="1"/>
  <c r="AM394" i="10" s="1"/>
  <c r="AM395" i="10" a="1"/>
  <c r="AM395" i="10" s="1"/>
  <c r="AM396" i="10" a="1"/>
  <c r="AM396" i="10" s="1"/>
  <c r="AM397" i="10" a="1"/>
  <c r="AM397" i="10" s="1"/>
  <c r="AM398" i="10" a="1"/>
  <c r="AM398" i="10" s="1"/>
  <c r="AM399" i="10" a="1"/>
  <c r="AM399" i="10" s="1"/>
  <c r="AM400" i="10" a="1"/>
  <c r="AM400" i="10" s="1"/>
  <c r="AM401" i="10" a="1"/>
  <c r="AM401" i="10" s="1"/>
  <c r="AM402" i="10" a="1"/>
  <c r="AM402" i="10" s="1"/>
  <c r="AM403" i="10" a="1"/>
  <c r="AM403" i="10" s="1"/>
  <c r="AM404" i="10" a="1"/>
  <c r="AM404" i="10" s="1"/>
  <c r="AM405" i="10" a="1"/>
  <c r="AM405" i="10" s="1"/>
  <c r="AM406" i="10" a="1"/>
  <c r="AM406" i="10" s="1"/>
  <c r="AM407" i="10" a="1"/>
  <c r="AM407" i="10" s="1"/>
  <c r="AM408" i="10" a="1"/>
  <c r="AM408" i="10" s="1"/>
  <c r="AM409" i="10" a="1"/>
  <c r="AM409" i="10" s="1"/>
  <c r="AM410" i="10" a="1"/>
  <c r="AM410" i="10" s="1"/>
  <c r="AM411" i="10" a="1"/>
  <c r="AM411" i="10" s="1"/>
  <c r="AM412" i="10" a="1"/>
  <c r="AM412" i="10" s="1"/>
  <c r="AM413" i="10" a="1"/>
  <c r="AM413" i="10" s="1"/>
  <c r="AM414" i="10" a="1"/>
  <c r="AM414" i="10" s="1"/>
  <c r="AM415" i="10" a="1"/>
  <c r="AM415" i="10" s="1"/>
  <c r="AM416" i="10" a="1"/>
  <c r="AM416" i="10" s="1"/>
  <c r="AM417" i="10" a="1"/>
  <c r="AM417" i="10" s="1"/>
  <c r="AM418" i="10" a="1"/>
  <c r="AM418" i="10" s="1"/>
  <c r="AM419" i="10" a="1"/>
  <c r="AM419" i="10" s="1"/>
  <c r="AM420" i="10" a="1"/>
  <c r="AM420" i="10" s="1"/>
  <c r="AM421" i="10" a="1"/>
  <c r="AM421" i="10" s="1"/>
  <c r="AM422" i="10" a="1"/>
  <c r="AM422" i="10" s="1"/>
  <c r="AM423" i="10" a="1"/>
  <c r="AM423" i="10" s="1"/>
  <c r="AM424" i="10" a="1"/>
  <c r="AM424" i="10" s="1"/>
  <c r="AM425" i="10" a="1"/>
  <c r="AM425" i="10" s="1"/>
  <c r="AM426" i="10" a="1"/>
  <c r="AM426" i="10" s="1"/>
  <c r="AM427" i="10" a="1"/>
  <c r="AM427" i="10" s="1"/>
  <c r="AM428" i="10" a="1"/>
  <c r="AM428" i="10" s="1"/>
  <c r="AM429" i="10" a="1"/>
  <c r="AM429" i="10" s="1"/>
  <c r="AM430" i="10" a="1"/>
  <c r="AM430" i="10" s="1"/>
  <c r="AM431" i="10" a="1"/>
  <c r="AM431" i="10" s="1"/>
  <c r="AM432" i="10" a="1"/>
  <c r="AM432" i="10" s="1"/>
  <c r="AM433" i="10" a="1"/>
  <c r="AM433" i="10" s="1"/>
  <c r="AM434" i="10" a="1"/>
  <c r="AM434" i="10" s="1"/>
  <c r="AM435" i="10" a="1"/>
  <c r="AM435" i="10" s="1"/>
  <c r="AM436" i="10" a="1"/>
  <c r="AM436" i="10" s="1"/>
  <c r="AM437" i="10" a="1"/>
  <c r="AM437" i="10" s="1"/>
  <c r="AM438" i="10" a="1"/>
  <c r="AM438" i="10" s="1"/>
  <c r="AM439" i="10" a="1"/>
  <c r="AM439" i="10" s="1"/>
  <c r="AM440" i="10" a="1"/>
  <c r="AM440" i="10" s="1"/>
  <c r="AM441" i="10" a="1"/>
  <c r="AM441" i="10" s="1"/>
  <c r="AM442" i="10" a="1"/>
  <c r="AM442" i="10" s="1"/>
  <c r="AM443" i="10" a="1"/>
  <c r="AM443" i="10" s="1"/>
  <c r="AM444" i="10" a="1"/>
  <c r="AM444" i="10" s="1"/>
  <c r="AM445" i="10" a="1"/>
  <c r="AM445" i="10" s="1"/>
  <c r="AM446" i="10" a="1"/>
  <c r="AM446" i="10" s="1"/>
  <c r="AM447" i="10" a="1"/>
  <c r="AM447" i="10" s="1"/>
  <c r="AM448" i="10" a="1"/>
  <c r="AM448" i="10" s="1"/>
  <c r="AM449" i="10" a="1"/>
  <c r="AM449" i="10" s="1"/>
  <c r="AM450" i="10" a="1"/>
  <c r="AM450" i="10" s="1"/>
  <c r="AM451" i="10" a="1"/>
  <c r="AM451" i="10" s="1"/>
  <c r="AM452" i="10" a="1"/>
  <c r="AM452" i="10" s="1"/>
  <c r="AM453" i="10" a="1"/>
  <c r="AM453" i="10" s="1"/>
  <c r="AM454" i="10" a="1"/>
  <c r="AM454" i="10" s="1"/>
  <c r="AM455" i="10" a="1"/>
  <c r="AM455" i="10" s="1"/>
  <c r="AM456" i="10" a="1"/>
  <c r="AM456" i="10" s="1"/>
  <c r="AM457" i="10" a="1"/>
  <c r="AM457" i="10" s="1"/>
  <c r="AM458" i="10" a="1"/>
  <c r="AM458" i="10" s="1"/>
  <c r="AM459" i="10" a="1"/>
  <c r="AM459" i="10" s="1"/>
  <c r="AM460" i="10" a="1"/>
  <c r="AM460" i="10" s="1"/>
  <c r="AM461" i="10" a="1"/>
  <c r="AM461" i="10" s="1"/>
  <c r="AM462" i="10" a="1"/>
  <c r="AM462" i="10" s="1"/>
  <c r="AM463" i="10" a="1"/>
  <c r="AM463" i="10" s="1"/>
  <c r="AM464" i="10" a="1"/>
  <c r="AM464" i="10" s="1"/>
  <c r="AM465" i="10" a="1"/>
  <c r="AM465" i="10" s="1"/>
  <c r="AM2" i="10" a="1"/>
  <c r="AM2" i="10" s="1"/>
  <c r="AM2" i="11" a="1"/>
  <c r="AM2" i="11" s="1"/>
  <c r="AM3" i="11" a="1"/>
  <c r="AM3" i="11" s="1"/>
  <c r="AM4" i="11" a="1"/>
  <c r="AM4" i="11"/>
  <c r="AM5" i="11" a="1"/>
  <c r="AM5" i="11" s="1"/>
  <c r="AM6" i="11" a="1"/>
  <c r="AM6" i="11" s="1"/>
  <c r="AM7" i="11" a="1"/>
  <c r="AM7" i="11" s="1"/>
  <c r="AM8" i="11" a="1"/>
  <c r="AM8" i="11" s="1"/>
  <c r="AM9" i="11" a="1"/>
  <c r="AM9" i="11" s="1"/>
  <c r="AM10" i="11" a="1"/>
  <c r="AM10" i="11" s="1"/>
  <c r="AM11" i="11" a="1"/>
  <c r="AM11" i="11" s="1"/>
  <c r="AM12" i="11" a="1"/>
  <c r="AM12" i="11"/>
  <c r="AM13" i="11" a="1"/>
  <c r="AM13" i="11" s="1"/>
  <c r="AM14" i="11" a="1"/>
  <c r="AM14" i="11" s="1"/>
  <c r="AM15" i="11" a="1"/>
  <c r="AM15" i="11" s="1"/>
  <c r="AM16" i="11" a="1"/>
  <c r="AM16" i="11" s="1"/>
  <c r="AM17" i="11" a="1"/>
  <c r="AM17" i="11" s="1"/>
  <c r="AM18" i="11" a="1"/>
  <c r="AM18" i="11" s="1"/>
  <c r="AM19" i="11" a="1"/>
  <c r="AM19" i="11" s="1"/>
  <c r="AM20" i="11" a="1"/>
  <c r="AM20" i="11"/>
  <c r="AM21" i="11" a="1"/>
  <c r="AM21" i="11" s="1"/>
  <c r="AM22" i="11" a="1"/>
  <c r="AM22" i="11" s="1"/>
  <c r="AM23" i="11" a="1"/>
  <c r="AM23" i="11" s="1"/>
  <c r="AM24" i="11" a="1"/>
  <c r="AM24" i="11" s="1"/>
  <c r="AM25" i="11" a="1"/>
  <c r="AM25" i="11" s="1"/>
  <c r="AM26" i="11" a="1"/>
  <c r="AM26" i="11" s="1"/>
  <c r="AM27" i="11" a="1"/>
  <c r="AM27" i="11" s="1"/>
  <c r="AM28" i="11" a="1"/>
  <c r="AM28" i="11"/>
  <c r="AM29" i="11" a="1"/>
  <c r="AM29" i="11" s="1"/>
  <c r="AM30" i="11" a="1"/>
  <c r="AM30" i="11"/>
  <c r="AM31" i="11" a="1"/>
  <c r="AM31" i="11" s="1"/>
  <c r="AM32" i="11" a="1"/>
  <c r="AM32" i="11" s="1"/>
  <c r="AM33" i="11" a="1"/>
  <c r="AM33" i="11" s="1"/>
  <c r="AM34" i="11" a="1"/>
  <c r="AM34" i="11" s="1"/>
  <c r="AM35" i="11" a="1"/>
  <c r="AM35" i="11" s="1"/>
  <c r="AM36" i="11" a="1"/>
  <c r="AM36" i="11"/>
  <c r="AM37" i="11" a="1"/>
  <c r="AM37" i="11" s="1"/>
  <c r="AM38" i="11" a="1"/>
  <c r="AM38" i="11" s="1"/>
  <c r="AM39" i="11" a="1"/>
  <c r="AM39" i="11" s="1"/>
  <c r="AM40" i="11" a="1"/>
  <c r="AM40" i="11" s="1"/>
  <c r="AM41" i="11" a="1"/>
  <c r="AM41" i="11" s="1"/>
  <c r="AM42" i="11" a="1"/>
  <c r="AM42" i="11"/>
  <c r="AM43" i="11" a="1"/>
  <c r="AM43" i="11" s="1"/>
  <c r="AM44" i="11" a="1"/>
  <c r="AM44" i="11"/>
  <c r="AM45" i="11" a="1"/>
  <c r="AM45" i="11" s="1"/>
  <c r="AM46" i="11" a="1"/>
  <c r="AM46" i="11"/>
  <c r="AM47" i="11" a="1"/>
  <c r="AM47" i="11" s="1"/>
  <c r="AM48" i="11" a="1"/>
  <c r="AM48" i="11" s="1"/>
  <c r="AM49" i="11" a="1"/>
  <c r="AM49" i="11" s="1"/>
  <c r="AM50" i="11" a="1"/>
  <c r="AM50" i="11"/>
  <c r="AM51" i="11" a="1"/>
  <c r="AM51" i="11" s="1"/>
  <c r="AM52" i="11" a="1"/>
  <c r="AM52" i="11"/>
  <c r="AM53" i="11" a="1"/>
  <c r="AM53" i="11" s="1"/>
  <c r="AM54" i="11" a="1"/>
  <c r="AM54" i="11"/>
  <c r="AM55" i="11" a="1"/>
  <c r="AM55" i="11" s="1"/>
  <c r="AM56" i="11" a="1"/>
  <c r="AM56" i="11" s="1"/>
  <c r="AM57" i="11" a="1"/>
  <c r="AM57" i="11" s="1"/>
  <c r="AM58" i="11" a="1"/>
  <c r="AM58" i="11"/>
  <c r="AM59" i="11" a="1"/>
  <c r="AM59" i="11" s="1"/>
  <c r="AM60" i="11" a="1"/>
  <c r="AM60" i="11"/>
  <c r="AM61" i="11" a="1"/>
  <c r="AM61" i="11" s="1"/>
  <c r="AM62" i="11" a="1"/>
  <c r="AM62" i="11"/>
  <c r="AM63" i="11" a="1"/>
  <c r="AM63" i="11" s="1"/>
  <c r="AM64" i="11" a="1"/>
  <c r="AM64" i="11" s="1"/>
  <c r="AM65" i="11" a="1"/>
  <c r="AM65" i="11" s="1"/>
  <c r="AM66" i="11" a="1"/>
  <c r="AM66" i="11" s="1"/>
  <c r="AM67" i="11" a="1"/>
  <c r="AM67" i="11" s="1"/>
  <c r="AM68" i="11" a="1"/>
  <c r="AM68" i="11"/>
  <c r="AM69" i="11" a="1"/>
  <c r="AM69" i="11" s="1"/>
  <c r="AM70" i="11" a="1"/>
  <c r="AM70" i="11"/>
  <c r="AM71" i="11" a="1"/>
  <c r="AM71" i="11" s="1"/>
  <c r="AM72" i="11" a="1"/>
  <c r="AM72" i="11" s="1"/>
  <c r="AM73" i="11" a="1"/>
  <c r="AM73" i="11" s="1"/>
  <c r="AM74" i="11" a="1"/>
  <c r="AM74" i="11"/>
  <c r="AM75" i="11" a="1"/>
  <c r="AM75" i="11" s="1"/>
  <c r="AM76" i="11" a="1"/>
  <c r="AM76" i="11"/>
  <c r="AM77" i="11" a="1"/>
  <c r="AM77" i="11" s="1"/>
  <c r="AM78" i="11" a="1"/>
  <c r="AM78" i="11" s="1"/>
  <c r="AM79" i="11" a="1"/>
  <c r="AM79" i="11" s="1"/>
  <c r="AM80" i="11" a="1"/>
  <c r="AM80" i="11" s="1"/>
  <c r="AM81" i="11" a="1"/>
  <c r="AM81" i="11" s="1"/>
  <c r="AM82" i="11" a="1"/>
  <c r="AM82" i="11"/>
  <c r="AM83" i="11" a="1"/>
  <c r="AM83" i="11" s="1"/>
  <c r="AM84" i="11" a="1"/>
  <c r="AM84" i="11"/>
  <c r="AM85" i="11" a="1"/>
  <c r="AM85" i="11" s="1"/>
  <c r="AM86" i="11" a="1"/>
  <c r="AM86" i="11" s="1"/>
  <c r="AM87" i="11" a="1"/>
  <c r="AM87" i="11" s="1"/>
  <c r="AM88" i="11" a="1"/>
  <c r="AM88" i="11" s="1"/>
  <c r="AM89" i="11" a="1"/>
  <c r="AM89" i="11" s="1"/>
  <c r="AM90" i="11" a="1"/>
  <c r="AM90" i="11"/>
  <c r="AM91" i="11" a="1"/>
  <c r="AM91" i="11" s="1"/>
  <c r="AM92" i="11" a="1"/>
  <c r="AM92" i="11"/>
  <c r="AM93" i="11" a="1"/>
  <c r="AM93" i="11" s="1"/>
  <c r="AM94" i="11" a="1"/>
  <c r="AM94" i="11" s="1"/>
  <c r="AM95" i="11" a="1"/>
  <c r="AM95" i="11" s="1"/>
  <c r="AM96" i="11" a="1"/>
  <c r="AM96" i="11" s="1"/>
  <c r="AM97" i="11" a="1"/>
  <c r="AM97" i="11" s="1"/>
  <c r="AM98" i="11" a="1"/>
  <c r="AM98" i="11"/>
  <c r="AM99" i="11" a="1"/>
  <c r="AM99" i="11" s="1"/>
  <c r="AM100" i="11" a="1"/>
  <c r="AM100" i="11"/>
  <c r="AM101" i="11" a="1"/>
  <c r="AM101" i="11" s="1"/>
  <c r="AM102" i="11" a="1"/>
  <c r="AM102" i="11" s="1"/>
  <c r="AM103" i="11" a="1"/>
  <c r="AM103" i="11" s="1"/>
  <c r="AM104" i="11" a="1"/>
  <c r="AM104" i="11" s="1"/>
  <c r="AM105" i="11" a="1"/>
  <c r="AM105" i="11" s="1"/>
  <c r="AM106" i="11" a="1"/>
  <c r="AM106" i="11"/>
  <c r="AM107" i="11" a="1"/>
  <c r="AM107" i="11" s="1"/>
  <c r="AM108" i="11" a="1"/>
  <c r="AM108" i="11"/>
  <c r="AM109" i="11" a="1"/>
  <c r="AM109" i="11" s="1"/>
  <c r="AM110" i="11" a="1"/>
  <c r="AM110" i="11" s="1"/>
  <c r="AM111" i="11" a="1"/>
  <c r="AM111" i="11" s="1"/>
  <c r="AM112" i="11" a="1"/>
  <c r="AM112" i="11" s="1"/>
  <c r="AM113" i="11" a="1"/>
  <c r="AM113" i="11" s="1"/>
  <c r="AM114" i="11" a="1"/>
  <c r="AM114" i="11"/>
  <c r="AM115" i="11" a="1"/>
  <c r="AM115" i="11" s="1"/>
  <c r="AM116" i="11" a="1"/>
  <c r="AM116" i="11"/>
  <c r="AM117" i="11" a="1"/>
  <c r="AM117" i="11" s="1"/>
  <c r="AM118" i="11" a="1"/>
  <c r="AM118" i="11" s="1"/>
  <c r="AM119" i="11" a="1"/>
  <c r="AM119" i="11" s="1"/>
  <c r="AM120" i="11" a="1"/>
  <c r="AM120" i="11" s="1"/>
  <c r="AM121" i="11" a="1"/>
  <c r="AM121" i="11" s="1"/>
  <c r="AM122" i="11" a="1"/>
  <c r="AM122" i="11"/>
  <c r="AM123" i="11" a="1"/>
  <c r="AM123" i="11" s="1"/>
  <c r="AM124" i="11" a="1"/>
  <c r="AM124" i="11"/>
  <c r="AM125" i="11" a="1"/>
  <c r="AM125" i="11" s="1"/>
  <c r="AM126" i="11" a="1"/>
  <c r="AM126" i="11" s="1"/>
  <c r="AM127" i="11" a="1"/>
  <c r="AM127" i="11" s="1"/>
  <c r="AM128" i="11" a="1"/>
  <c r="AM128" i="11" s="1"/>
  <c r="AM129" i="11" a="1"/>
  <c r="AM129" i="11" s="1"/>
  <c r="AM130" i="11" a="1"/>
  <c r="AM130" i="11"/>
  <c r="AM131" i="11" a="1"/>
  <c r="AM131" i="11" s="1"/>
  <c r="AM132" i="11" a="1"/>
  <c r="AM132" i="11"/>
  <c r="AM133" i="11" a="1"/>
  <c r="AM133" i="11" s="1"/>
  <c r="AM134" i="11" a="1"/>
  <c r="AM134" i="11" s="1"/>
  <c r="AM135" i="11" a="1"/>
  <c r="AM135" i="11" s="1"/>
  <c r="AM136" i="11" a="1"/>
  <c r="AM136" i="11" s="1"/>
  <c r="AM137" i="11" a="1"/>
  <c r="AM137" i="11" s="1"/>
  <c r="AM138" i="11" a="1"/>
  <c r="AM138" i="11"/>
  <c r="AM139" i="11" a="1"/>
  <c r="AM139" i="11" s="1"/>
  <c r="AM140" i="11" a="1"/>
  <c r="AM140" i="11"/>
  <c r="AM141" i="11" a="1"/>
  <c r="AM141" i="11" s="1"/>
  <c r="AM142" i="11" a="1"/>
  <c r="AM142" i="11" s="1"/>
  <c r="AM143" i="11" a="1"/>
  <c r="AM143" i="11" s="1"/>
  <c r="AM144" i="11" a="1"/>
  <c r="AM144" i="11" s="1"/>
  <c r="AM145" i="11" a="1"/>
  <c r="AM145" i="11" s="1"/>
  <c r="AM146" i="11" a="1"/>
  <c r="AM146" i="11"/>
  <c r="AM147" i="11" a="1"/>
  <c r="AM147" i="11" s="1"/>
  <c r="AM148" i="11" a="1"/>
  <c r="AM148" i="11"/>
  <c r="AM149" i="11" a="1"/>
  <c r="AM149" i="11" s="1"/>
  <c r="AM150" i="11" a="1"/>
  <c r="AM150" i="11" s="1"/>
  <c r="AM151" i="11" a="1"/>
  <c r="AM151" i="11" s="1"/>
  <c r="AM152" i="11" a="1"/>
  <c r="AM152" i="11" s="1"/>
  <c r="AM153" i="11" a="1"/>
  <c r="AM153" i="11" s="1"/>
  <c r="AM154" i="11" a="1"/>
  <c r="AM154" i="11"/>
  <c r="AM155" i="11" a="1"/>
  <c r="AM155" i="11" s="1"/>
  <c r="AM156" i="11" a="1"/>
  <c r="AM156" i="11"/>
  <c r="AM157" i="11" a="1"/>
  <c r="AM157" i="11" s="1"/>
  <c r="AM158" i="11" a="1"/>
  <c r="AM158" i="11" s="1"/>
  <c r="AM159" i="11" a="1"/>
  <c r="AM159" i="11" s="1"/>
  <c r="AM160" i="11" a="1"/>
  <c r="AM160" i="11" s="1"/>
  <c r="AM161" i="11" a="1"/>
  <c r="AM161" i="11" s="1"/>
  <c r="AM162" i="11" a="1"/>
  <c r="AM162" i="11"/>
  <c r="AM163" i="11" a="1"/>
  <c r="AM163" i="11" s="1"/>
  <c r="AM164" i="11" a="1"/>
  <c r="AM164" i="11"/>
  <c r="AM165" i="11" a="1"/>
  <c r="AM165" i="11" s="1"/>
  <c r="AM166" i="11" a="1"/>
  <c r="AM166" i="11" s="1"/>
  <c r="AM167" i="11" a="1"/>
  <c r="AM167" i="11" s="1"/>
  <c r="AM168" i="11" a="1"/>
  <c r="AM168" i="11" s="1"/>
  <c r="AM169" i="11" a="1"/>
  <c r="AM169" i="11" s="1"/>
  <c r="AM170" i="11" a="1"/>
  <c r="AM170" i="11"/>
  <c r="AM171" i="11" a="1"/>
  <c r="AM171" i="11" s="1"/>
  <c r="AM172" i="11" a="1"/>
  <c r="AM172" i="11"/>
  <c r="AM173" i="11" a="1"/>
  <c r="AM173" i="11" s="1"/>
  <c r="AM174" i="11" a="1"/>
  <c r="AM174" i="11"/>
  <c r="AM175" i="11" a="1"/>
  <c r="AM175" i="11" s="1"/>
  <c r="AM176" i="11" a="1"/>
  <c r="AM176" i="11"/>
  <c r="AM177" i="11" a="1"/>
  <c r="AM177" i="11" s="1"/>
  <c r="AM178" i="11" a="1"/>
  <c r="AM178" i="11"/>
  <c r="AM179" i="11" a="1"/>
  <c r="AM179" i="11" s="1"/>
  <c r="AM180" i="11" a="1"/>
  <c r="AM180" i="11"/>
  <c r="AM181" i="11" a="1"/>
  <c r="AM181" i="11" s="1"/>
  <c r="AM182" i="11" a="1"/>
  <c r="AM182" i="11"/>
  <c r="AM183" i="11" a="1"/>
  <c r="AM183" i="11" s="1"/>
  <c r="AM184" i="11" a="1"/>
  <c r="AM184" i="11" s="1"/>
  <c r="AM185" i="11" a="1"/>
  <c r="AM185" i="11" s="1"/>
  <c r="AM186" i="11" a="1"/>
  <c r="AM186" i="11"/>
  <c r="AM187" i="11" a="1"/>
  <c r="AM187" i="11" s="1"/>
  <c r="AM188" i="11" a="1"/>
  <c r="AM188" i="11" s="1"/>
  <c r="AM189" i="11" a="1"/>
  <c r="AM189" i="11" s="1"/>
  <c r="AM190" i="11" a="1"/>
  <c r="AM190" i="11"/>
  <c r="AM191" i="11" a="1"/>
  <c r="AM191" i="11" s="1"/>
  <c r="AM192" i="11" a="1"/>
  <c r="AM192" i="11" s="1"/>
  <c r="AM193" i="11" a="1"/>
  <c r="AM193" i="11" s="1"/>
  <c r="AM194" i="11" a="1"/>
  <c r="AM194" i="11"/>
  <c r="AM195" i="11" a="1"/>
  <c r="AM195" i="11" s="1"/>
  <c r="AM196" i="11" a="1"/>
  <c r="AM196" i="11" s="1"/>
  <c r="AM197" i="11" a="1"/>
  <c r="AM197" i="11" s="1"/>
  <c r="AM198" i="11" a="1"/>
  <c r="AM198" i="11"/>
  <c r="AM199" i="11" a="1"/>
  <c r="AM199" i="11" s="1"/>
  <c r="AM200" i="11" a="1"/>
  <c r="AM200" i="11" s="1"/>
  <c r="AM201" i="11" a="1"/>
  <c r="AM201" i="11" s="1"/>
  <c r="AM202" i="11" a="1"/>
  <c r="AM202" i="11"/>
  <c r="AM203" i="11" a="1"/>
  <c r="AM203" i="11" s="1"/>
  <c r="AM204" i="11" a="1"/>
  <c r="AM204" i="11" s="1"/>
  <c r="AM205" i="11" a="1"/>
  <c r="AM205" i="11" s="1"/>
  <c r="AM206" i="11" a="1"/>
  <c r="AM206" i="11"/>
  <c r="AM207" i="11" a="1"/>
  <c r="AM207" i="11" s="1"/>
  <c r="AM208" i="11" a="1"/>
  <c r="AM208" i="11" s="1"/>
  <c r="AM209" i="11" a="1"/>
  <c r="AM209" i="11" s="1"/>
  <c r="AM210" i="11" a="1"/>
  <c r="AM210" i="11"/>
  <c r="AM211" i="11" a="1"/>
  <c r="AM211" i="11" s="1"/>
  <c r="AM212" i="11" a="1"/>
  <c r="AM212" i="11" s="1"/>
  <c r="AM213" i="11" a="1"/>
  <c r="AM213" i="11" s="1"/>
  <c r="AM214" i="11" a="1"/>
  <c r="AM214" i="11"/>
  <c r="AM215" i="11" a="1"/>
  <c r="AM215" i="11" s="1"/>
  <c r="AM216" i="11" a="1"/>
  <c r="AM216" i="11" s="1"/>
  <c r="AM217" i="11" a="1"/>
  <c r="AM217" i="11" s="1"/>
  <c r="AM218" i="11" a="1"/>
  <c r="AM218" i="11"/>
  <c r="AM219" i="11" a="1"/>
  <c r="AM219" i="11" s="1"/>
  <c r="AM220" i="11" a="1"/>
  <c r="AM220" i="11" s="1"/>
  <c r="AM221" i="11" a="1"/>
  <c r="AM221" i="11" s="1"/>
  <c r="AM222" i="11" a="1"/>
  <c r="AM222" i="11"/>
  <c r="AM223" i="11" a="1"/>
  <c r="AM223" i="11" s="1"/>
  <c r="AM224" i="11" a="1"/>
  <c r="AM224" i="11" s="1"/>
  <c r="AM225" i="11" a="1"/>
  <c r="AM225" i="11" s="1"/>
  <c r="AM226" i="11" a="1"/>
  <c r="AM226" i="11"/>
  <c r="AM227" i="11" a="1"/>
  <c r="AM227" i="11" s="1"/>
  <c r="AM228" i="11" a="1"/>
  <c r="AM228" i="11" s="1"/>
  <c r="AM229" i="11" a="1"/>
  <c r="AM229" i="11" s="1"/>
  <c r="AM230" i="11" a="1"/>
  <c r="AM230" i="11"/>
  <c r="AM231" i="11" a="1"/>
  <c r="AM231" i="11" s="1"/>
  <c r="AM232" i="11" a="1"/>
  <c r="AM232" i="11" s="1"/>
  <c r="AM233" i="11" a="1"/>
  <c r="AM233" i="11" s="1"/>
  <c r="AM234" i="11" a="1"/>
  <c r="AM234" i="11"/>
  <c r="AM235" i="11" a="1"/>
  <c r="AM235" i="11" s="1"/>
  <c r="AM236" i="11" a="1"/>
  <c r="AM236" i="11" s="1"/>
  <c r="AM237" i="11" a="1"/>
  <c r="AM237" i="11" s="1"/>
  <c r="AM238" i="11" a="1"/>
  <c r="AM238" i="11"/>
  <c r="AM239" i="11" a="1"/>
  <c r="AM239" i="11" s="1"/>
  <c r="AM240" i="11" a="1"/>
  <c r="AM240" i="11" s="1"/>
  <c r="AM241" i="11" a="1"/>
  <c r="AM241" i="11" s="1"/>
  <c r="AM242" i="11" a="1"/>
  <c r="AM242" i="11"/>
  <c r="AM243" i="11" a="1"/>
  <c r="AM243" i="11" s="1"/>
  <c r="AM244" i="11" a="1"/>
  <c r="AM244" i="11" s="1"/>
  <c r="AM245" i="11" a="1"/>
  <c r="AM245" i="11" s="1"/>
  <c r="AM246" i="11" a="1"/>
  <c r="AM246" i="11"/>
  <c r="AM247" i="11" a="1"/>
  <c r="AM247" i="11" s="1"/>
  <c r="AM248" i="11" a="1"/>
  <c r="AM248" i="11" s="1"/>
  <c r="AM249" i="11" a="1"/>
  <c r="AM249" i="11" s="1"/>
  <c r="AM250" i="11" a="1"/>
  <c r="AM250" i="11"/>
  <c r="AM251" i="11" a="1"/>
  <c r="AM251" i="11" s="1"/>
  <c r="AM252" i="11" a="1"/>
  <c r="AM252" i="11" s="1"/>
  <c r="AM253" i="11" a="1"/>
  <c r="AM253" i="11" s="1"/>
  <c r="AM254" i="11" a="1"/>
  <c r="AM254" i="11"/>
  <c r="AM255" i="11" a="1"/>
  <c r="AM255" i="11" s="1"/>
  <c r="AM256" i="11" a="1"/>
  <c r="AM256" i="11" s="1"/>
  <c r="AM257" i="11" a="1"/>
  <c r="AM257" i="11" s="1"/>
  <c r="AM258" i="11" a="1"/>
  <c r="AM258" i="11"/>
  <c r="AM259" i="11" a="1"/>
  <c r="AM259" i="11" s="1"/>
  <c r="AM260" i="11" a="1"/>
  <c r="AM260" i="11" s="1"/>
  <c r="AM261" i="11" a="1"/>
  <c r="AM261" i="11" s="1"/>
  <c r="AM262" i="11" a="1"/>
  <c r="AM262" i="11"/>
  <c r="AM263" i="11" a="1"/>
  <c r="AM263" i="11" s="1"/>
  <c r="AM264" i="11" a="1"/>
  <c r="AM264" i="11" s="1"/>
  <c r="AM265" i="11" a="1"/>
  <c r="AM265" i="11" s="1"/>
  <c r="AM266" i="11" a="1"/>
  <c r="AM266" i="11"/>
  <c r="AM267" i="11" a="1"/>
  <c r="AM267" i="11" s="1"/>
  <c r="AM268" i="11" a="1"/>
  <c r="AM268" i="11" s="1"/>
  <c r="AM269" i="11" a="1"/>
  <c r="AM269" i="11" s="1"/>
  <c r="AM270" i="11" a="1"/>
  <c r="AM270" i="11"/>
  <c r="AM271" i="11" a="1"/>
  <c r="AM271" i="11" s="1"/>
  <c r="AM272" i="11" a="1"/>
  <c r="AM272" i="11" s="1"/>
  <c r="AM273" i="11" a="1"/>
  <c r="AM273" i="11" s="1"/>
  <c r="AM274" i="11" a="1"/>
  <c r="AM274" i="11"/>
  <c r="AM275" i="11" a="1"/>
  <c r="AM275" i="11" s="1"/>
  <c r="AM276" i="11" a="1"/>
  <c r="AM276" i="11" s="1"/>
  <c r="AM277" i="11" a="1"/>
  <c r="AM277" i="11" s="1"/>
  <c r="AM278" i="11" a="1"/>
  <c r="AM278" i="11"/>
  <c r="AM279" i="11" a="1"/>
  <c r="AM279" i="11" s="1"/>
  <c r="AM280" i="11" a="1"/>
  <c r="AM280" i="11" s="1"/>
  <c r="AM281" i="11" a="1"/>
  <c r="AM281" i="11" s="1"/>
  <c r="AM282" i="11" a="1"/>
  <c r="AM282" i="11"/>
  <c r="AM283" i="11" a="1"/>
  <c r="AM283" i="11" s="1"/>
  <c r="AM284" i="11" a="1"/>
  <c r="AM284" i="11" s="1"/>
  <c r="AM285" i="11" a="1"/>
  <c r="AM285" i="11" s="1"/>
  <c r="AM286" i="11" a="1"/>
  <c r="AM286" i="11"/>
  <c r="AM287" i="11" a="1"/>
  <c r="AM287" i="11" s="1"/>
  <c r="AM288" i="11" a="1"/>
  <c r="AM288" i="11" s="1"/>
  <c r="AM289" i="11" a="1"/>
  <c r="AM289" i="11" s="1"/>
  <c r="AM290" i="11" a="1"/>
  <c r="AM290" i="11"/>
  <c r="AM291" i="11" a="1"/>
  <c r="AM291" i="11" s="1"/>
  <c r="AM292" i="11" a="1"/>
  <c r="AM292" i="11" s="1"/>
  <c r="AM293" i="11" a="1"/>
  <c r="AM293" i="11" s="1"/>
  <c r="AM294" i="11" a="1"/>
  <c r="AM294" i="11"/>
  <c r="AM295" i="11" a="1"/>
  <c r="AM295" i="11" s="1"/>
  <c r="AM296" i="11" a="1"/>
  <c r="AM296" i="11" s="1"/>
  <c r="AM297" i="11" a="1"/>
  <c r="AM297" i="11" s="1"/>
  <c r="AM298" i="11" a="1"/>
  <c r="AM298" i="11"/>
  <c r="AM299" i="11" a="1"/>
  <c r="AM299" i="11" s="1"/>
  <c r="AM300" i="11" a="1"/>
  <c r="AM300" i="11" s="1"/>
  <c r="AM301" i="11" a="1"/>
  <c r="AM301" i="11" s="1"/>
  <c r="AM302" i="11" a="1"/>
  <c r="AM302" i="11" s="1"/>
  <c r="AM303" i="11" a="1"/>
  <c r="AM303" i="11" s="1"/>
  <c r="AM304" i="11" a="1"/>
  <c r="AM304" i="11" s="1"/>
  <c r="AM305" i="11" a="1"/>
  <c r="AM305" i="11" s="1"/>
  <c r="AM306" i="11" a="1"/>
  <c r="AM306" i="11" s="1"/>
  <c r="AM307" i="11" a="1"/>
  <c r="AM307" i="11" s="1"/>
  <c r="AM308" i="11" a="1"/>
  <c r="AM308" i="11" s="1"/>
  <c r="AM309" i="11" a="1"/>
  <c r="AM309" i="11" s="1"/>
  <c r="AM310" i="11" a="1"/>
  <c r="AM310" i="11" s="1"/>
  <c r="AM311" i="11" a="1"/>
  <c r="AM311" i="11" s="1"/>
  <c r="AM312" i="11" a="1"/>
  <c r="AM312" i="11" s="1"/>
  <c r="AM313" i="11" a="1"/>
  <c r="AM313" i="11" s="1"/>
  <c r="AM314" i="11" a="1"/>
  <c r="AM314" i="11" s="1"/>
  <c r="AM315" i="11" a="1"/>
  <c r="AM315" i="11" s="1"/>
  <c r="AM316" i="11" a="1"/>
  <c r="AM316" i="11" s="1"/>
  <c r="AM317" i="11" a="1"/>
  <c r="AM317" i="11" s="1"/>
  <c r="AM318" i="11" a="1"/>
  <c r="AM318" i="11" s="1"/>
  <c r="AM319" i="11" a="1"/>
  <c r="AM319" i="11" s="1"/>
  <c r="AM320" i="11" a="1"/>
  <c r="AM320" i="11" s="1"/>
  <c r="AM321" i="11" a="1"/>
  <c r="AM321" i="11" s="1"/>
  <c r="AM322" i="11" a="1"/>
  <c r="AM322" i="11" s="1"/>
  <c r="AM323" i="11" a="1"/>
  <c r="AM323" i="11" s="1"/>
  <c r="AM324" i="11" a="1"/>
  <c r="AM324" i="11" s="1"/>
  <c r="AM325" i="11" a="1"/>
  <c r="AM325" i="11" s="1"/>
  <c r="AM326" i="11" a="1"/>
  <c r="AM326" i="11" s="1"/>
  <c r="AM327" i="11" a="1"/>
  <c r="AM327" i="11" s="1"/>
  <c r="AM328" i="11" a="1"/>
  <c r="AM328" i="11" s="1"/>
  <c r="AM329" i="11" a="1"/>
  <c r="AM329" i="11" s="1"/>
  <c r="AM330" i="11" a="1"/>
  <c r="AM330" i="11" s="1"/>
  <c r="AM331" i="11" a="1"/>
  <c r="AM331" i="11" s="1"/>
  <c r="AM332" i="11" a="1"/>
  <c r="AM332" i="11" s="1"/>
  <c r="AM333" i="11" a="1"/>
  <c r="AM333" i="11" s="1"/>
  <c r="AM334" i="11" a="1"/>
  <c r="AM334" i="11" s="1"/>
  <c r="AM335" i="11" a="1"/>
  <c r="AM335" i="11" s="1"/>
  <c r="AM336" i="11" a="1"/>
  <c r="AM336" i="11" s="1"/>
  <c r="AM337" i="11" a="1"/>
  <c r="AM337" i="11" s="1"/>
  <c r="AM338" i="11" a="1"/>
  <c r="AM338" i="11" s="1"/>
  <c r="AM2" i="12" a="1"/>
  <c r="AM2" i="12"/>
  <c r="AM3" i="12" a="1"/>
  <c r="AM3" i="12" s="1"/>
  <c r="AM4" i="12" a="1"/>
  <c r="AM4" i="12" s="1"/>
  <c r="AM5" i="12" a="1"/>
  <c r="AM5" i="12" s="1"/>
  <c r="AM6" i="12" a="1"/>
  <c r="AM6" i="12"/>
  <c r="AM7" i="12" a="1"/>
  <c r="AM7" i="12" s="1"/>
  <c r="AM8" i="12" a="1"/>
  <c r="AM8" i="12" s="1"/>
  <c r="AM9" i="12" a="1"/>
  <c r="AM9" i="12" s="1"/>
  <c r="AM10" i="12" a="1"/>
  <c r="AM10" i="12" s="1"/>
  <c r="AM11" i="12" a="1"/>
  <c r="AM11" i="12" s="1"/>
  <c r="AM12" i="12" a="1"/>
  <c r="AM12" i="12" s="1"/>
  <c r="AM13" i="12" a="1"/>
  <c r="AM13" i="12" s="1"/>
  <c r="AM14" i="12" a="1"/>
  <c r="AM14" i="12"/>
  <c r="AM15" i="12" a="1"/>
  <c r="AM15" i="12" s="1"/>
  <c r="AM16" i="12" a="1"/>
  <c r="AM16" i="12" s="1"/>
  <c r="AM17" i="12" a="1"/>
  <c r="AM17" i="12" s="1"/>
  <c r="AM18" i="12" a="1"/>
  <c r="AM18" i="12" s="1"/>
  <c r="AM19" i="12" a="1"/>
  <c r="AM19" i="12" s="1"/>
  <c r="AM20" i="12" a="1"/>
  <c r="AM20" i="12" s="1"/>
  <c r="AM21" i="12" a="1"/>
  <c r="AM21" i="12" s="1"/>
  <c r="AM22" i="12" a="1"/>
  <c r="AM22" i="12"/>
  <c r="AM23" i="12" a="1"/>
  <c r="AM23" i="12" s="1"/>
  <c r="AM24" i="12" a="1"/>
  <c r="AM24" i="12" s="1"/>
  <c r="AM25" i="12" a="1"/>
  <c r="AM25" i="12" s="1"/>
  <c r="AM26" i="12" a="1"/>
  <c r="AM26" i="12" s="1"/>
  <c r="AM27" i="12" a="1"/>
  <c r="AM27" i="12" s="1"/>
  <c r="AM28" i="12" a="1"/>
  <c r="AM28" i="12" s="1"/>
  <c r="AM29" i="12" a="1"/>
  <c r="AM29" i="12" s="1"/>
  <c r="AM30" i="12" a="1"/>
  <c r="AM30" i="12"/>
  <c r="AM31" i="12" a="1"/>
  <c r="AM31" i="12" s="1"/>
  <c r="AM32" i="12" a="1"/>
  <c r="AM32" i="12" s="1"/>
  <c r="AM33" i="12" a="1"/>
  <c r="AM33" i="12" s="1"/>
  <c r="AM34" i="12" a="1"/>
  <c r="AM34" i="12" s="1"/>
  <c r="AM35" i="12" a="1"/>
  <c r="AM35" i="12" s="1"/>
  <c r="AM36" i="12" a="1"/>
  <c r="AM36" i="12" s="1"/>
  <c r="AM37" i="12" a="1"/>
  <c r="AM37" i="12" s="1"/>
  <c r="AM38" i="12" a="1"/>
  <c r="AM38" i="12"/>
  <c r="AM39" i="12" a="1"/>
  <c r="AM39" i="12" s="1"/>
  <c r="AM40" i="12" a="1"/>
  <c r="AM40" i="12" s="1"/>
  <c r="AM41" i="12" a="1"/>
  <c r="AM41" i="12" s="1"/>
  <c r="AM42" i="12" a="1"/>
  <c r="AM42" i="12" s="1"/>
  <c r="AM43" i="12" a="1"/>
  <c r="AM43" i="12" s="1"/>
  <c r="AM44" i="12" a="1"/>
  <c r="AM44" i="12" s="1"/>
  <c r="AM45" i="12" a="1"/>
  <c r="AM45" i="12" s="1"/>
  <c r="AM46" i="12" a="1"/>
  <c r="AM46" i="12"/>
  <c r="AM47" i="12" a="1"/>
  <c r="AM47" i="12" s="1"/>
  <c r="AM48" i="12" a="1"/>
  <c r="AM48" i="12" s="1"/>
  <c r="AM49" i="12" a="1"/>
  <c r="AM49" i="12" s="1"/>
  <c r="AM50" i="12" a="1"/>
  <c r="AM50" i="12" s="1"/>
  <c r="AM51" i="12" a="1"/>
  <c r="AM51" i="12" s="1"/>
  <c r="AM52" i="12" a="1"/>
  <c r="AM52" i="12" s="1"/>
  <c r="AM53" i="12" a="1"/>
  <c r="AM53" i="12" s="1"/>
  <c r="AM54" i="12" a="1"/>
  <c r="AM54" i="12"/>
  <c r="AM55" i="12" a="1"/>
  <c r="AM55" i="12" s="1"/>
  <c r="AM56" i="12" a="1"/>
  <c r="AM56" i="12" s="1"/>
  <c r="AM57" i="12" a="1"/>
  <c r="AM57" i="12" s="1"/>
  <c r="AM58" i="12" a="1"/>
  <c r="AM58" i="12" s="1"/>
  <c r="AM59" i="12" a="1"/>
  <c r="AM59" i="12" s="1"/>
  <c r="AM60" i="12" a="1"/>
  <c r="AM60" i="12" s="1"/>
  <c r="AM61" i="12" a="1"/>
  <c r="AM61" i="12" s="1"/>
  <c r="AM62" i="12" a="1"/>
  <c r="AM62" i="12"/>
  <c r="AM63" i="12" a="1"/>
  <c r="AM63" i="12" s="1"/>
  <c r="AM64" i="12" a="1"/>
  <c r="AM64" i="12" s="1"/>
  <c r="AM65" i="12" a="1"/>
  <c r="AM65" i="12" s="1"/>
  <c r="AM66" i="12" a="1"/>
  <c r="AM66" i="12" s="1"/>
  <c r="AM67" i="12" a="1"/>
  <c r="AM67" i="12" s="1"/>
  <c r="AM68" i="12" a="1"/>
  <c r="AM68" i="12" s="1"/>
  <c r="AM69" i="12" a="1"/>
  <c r="AM69" i="12" s="1"/>
  <c r="AM70" i="12" a="1"/>
  <c r="AM70" i="12"/>
  <c r="AM71" i="12" a="1"/>
  <c r="AM71" i="12" s="1"/>
  <c r="AM72" i="12" a="1"/>
  <c r="AM72" i="12" s="1"/>
  <c r="AM73" i="12" a="1"/>
  <c r="AM73" i="12" s="1"/>
  <c r="AM74" i="12" a="1"/>
  <c r="AM74" i="12"/>
  <c r="AM75" i="12" a="1"/>
  <c r="AM75" i="12" s="1"/>
  <c r="AM76" i="12" a="1"/>
  <c r="AM76" i="12" s="1"/>
  <c r="AM77" i="12" a="1"/>
  <c r="AM77" i="12" s="1"/>
  <c r="AM78" i="12" a="1"/>
  <c r="AM78" i="12"/>
  <c r="AM79" i="12" a="1"/>
  <c r="AM79" i="12" s="1"/>
  <c r="AM80" i="12" a="1"/>
  <c r="AM80" i="12" s="1"/>
  <c r="AM81" i="12" a="1"/>
  <c r="AM81" i="12" s="1"/>
  <c r="AM82" i="12" a="1"/>
  <c r="AM82" i="12"/>
  <c r="AM83" i="12" a="1"/>
  <c r="AM83" i="12" s="1"/>
  <c r="AM84" i="12" a="1"/>
  <c r="AM84" i="12" s="1"/>
  <c r="AM85" i="12" a="1"/>
  <c r="AM85" i="12" s="1"/>
  <c r="AM86" i="12" a="1"/>
  <c r="AM86" i="12"/>
  <c r="AM87" i="12" a="1"/>
  <c r="AM87" i="12" s="1"/>
  <c r="AM88" i="12" a="1"/>
  <c r="AM88" i="12" s="1"/>
  <c r="AM89" i="12" a="1"/>
  <c r="AM89" i="12" s="1"/>
  <c r="AM90" i="12" a="1"/>
  <c r="AM90" i="12"/>
  <c r="AM91" i="12" a="1"/>
  <c r="AM91" i="12" s="1"/>
  <c r="AM92" i="12" a="1"/>
  <c r="AM92" i="12" s="1"/>
  <c r="AM93" i="12" a="1"/>
  <c r="AM93" i="12" s="1"/>
  <c r="AM94" i="12" a="1"/>
  <c r="AM94" i="12"/>
  <c r="AM95" i="12" a="1"/>
  <c r="AM95" i="12" s="1"/>
  <c r="AM96" i="12" a="1"/>
  <c r="AM96" i="12" s="1"/>
  <c r="AM97" i="12" a="1"/>
  <c r="AM97" i="12" s="1"/>
  <c r="AM98" i="12" a="1"/>
  <c r="AM98" i="12"/>
  <c r="AM99" i="12" a="1"/>
  <c r="AM99" i="12" s="1"/>
  <c r="AM100" i="12" a="1"/>
  <c r="AM100" i="12" s="1"/>
  <c r="AM101" i="12" a="1"/>
  <c r="AM101" i="12" s="1"/>
  <c r="AM102" i="12" a="1"/>
  <c r="AM102" i="12"/>
  <c r="AM103" i="12" a="1"/>
  <c r="AM103" i="12" s="1"/>
  <c r="AM104" i="12" a="1"/>
  <c r="AM104" i="12" s="1"/>
  <c r="AM105" i="12" a="1"/>
  <c r="AM105" i="12" s="1"/>
  <c r="AM106" i="12" a="1"/>
  <c r="AM106" i="12"/>
  <c r="AM107" i="12" a="1"/>
  <c r="AM107" i="12" s="1"/>
  <c r="AM108" i="12" a="1"/>
  <c r="AM108" i="12" s="1"/>
  <c r="AM109" i="12" a="1"/>
  <c r="AM109" i="12" s="1"/>
  <c r="AM110" i="12" a="1"/>
  <c r="AM110" i="12"/>
  <c r="AM111" i="12" a="1"/>
  <c r="AM111" i="12" s="1"/>
  <c r="AM112" i="12" a="1"/>
  <c r="AM112" i="12" s="1"/>
  <c r="AM113" i="12" a="1"/>
  <c r="AM113" i="12" s="1"/>
  <c r="AM114" i="12" a="1"/>
  <c r="AM114" i="12"/>
  <c r="AM115" i="12" a="1"/>
  <c r="AM115" i="12" s="1"/>
  <c r="AM116" i="12" a="1"/>
  <c r="AM116" i="12" s="1"/>
  <c r="AM117" i="12" a="1"/>
  <c r="AM117" i="12" s="1"/>
  <c r="AM118" i="12" a="1"/>
  <c r="AM118" i="12"/>
  <c r="AM119" i="12" a="1"/>
  <c r="AM119" i="12" s="1"/>
  <c r="AM120" i="12" a="1"/>
  <c r="AM120" i="12" s="1"/>
  <c r="AM121" i="12" a="1"/>
  <c r="AM121" i="12" s="1"/>
  <c r="AM122" i="12" a="1"/>
  <c r="AM122" i="12"/>
  <c r="AM123" i="12" a="1"/>
  <c r="AM123" i="12" s="1"/>
  <c r="AM124" i="12" a="1"/>
  <c r="AM124" i="12" s="1"/>
  <c r="AM125" i="12" a="1"/>
  <c r="AM125" i="12" s="1"/>
  <c r="AM126" i="12" a="1"/>
  <c r="AM126" i="12"/>
  <c r="AM127" i="12" a="1"/>
  <c r="AM127" i="12" s="1"/>
  <c r="AM128" i="12" a="1"/>
  <c r="AM128" i="12" s="1"/>
  <c r="AM129" i="12" a="1"/>
  <c r="AM129" i="12" s="1"/>
  <c r="AM130" i="12" a="1"/>
  <c r="AM130" i="12"/>
  <c r="AM131" i="12" a="1"/>
  <c r="AM131" i="12" s="1"/>
  <c r="AM132" i="12" a="1"/>
  <c r="AM132" i="12" s="1"/>
  <c r="AM133" i="12" a="1"/>
  <c r="AM133" i="12" s="1"/>
  <c r="AM134" i="12" a="1"/>
  <c r="AM134" i="12"/>
  <c r="AM135" i="12" a="1"/>
  <c r="AM135" i="12" s="1"/>
  <c r="AM136" i="12" a="1"/>
  <c r="AM136" i="12" s="1"/>
  <c r="AM137" i="12" a="1"/>
  <c r="AM137" i="12" s="1"/>
  <c r="AM138" i="12" a="1"/>
  <c r="AM138" i="12"/>
  <c r="AM139" i="12" a="1"/>
  <c r="AM139" i="12" s="1"/>
  <c r="AM140" i="12" a="1"/>
  <c r="AM140" i="12" s="1"/>
  <c r="AM141" i="12" a="1"/>
  <c r="AM141" i="12" s="1"/>
  <c r="AM142" i="12" a="1"/>
  <c r="AM142" i="12"/>
  <c r="AM143" i="12" a="1"/>
  <c r="AM143" i="12" s="1"/>
  <c r="AM144" i="12" a="1"/>
  <c r="AM144" i="12" s="1"/>
  <c r="AM145" i="12" a="1"/>
  <c r="AM145" i="12" s="1"/>
  <c r="AM146" i="12" a="1"/>
  <c r="AM146" i="12"/>
  <c r="AM147" i="12" a="1"/>
  <c r="AM147" i="12" s="1"/>
  <c r="AM148" i="12" a="1"/>
  <c r="AM148" i="12" s="1"/>
  <c r="AM149" i="12" a="1"/>
  <c r="AM149" i="12" s="1"/>
  <c r="AM150" i="12" a="1"/>
  <c r="AM150" i="12"/>
  <c r="AM151" i="12" a="1"/>
  <c r="AM151" i="12" s="1"/>
  <c r="AM152" i="12" a="1"/>
  <c r="AM152" i="12" s="1"/>
  <c r="AM153" i="12" a="1"/>
  <c r="AM153" i="12" s="1"/>
  <c r="AM154" i="12" a="1"/>
  <c r="AM154" i="12"/>
  <c r="AM155" i="12" a="1"/>
  <c r="AM155" i="12" s="1"/>
  <c r="AM156" i="12" a="1"/>
  <c r="AM156" i="12" s="1"/>
  <c r="AM157" i="12" a="1"/>
  <c r="AM157" i="12" s="1"/>
  <c r="AM158" i="12" a="1"/>
  <c r="AM158" i="12"/>
  <c r="AM159" i="12" a="1"/>
  <c r="AM159" i="12" s="1"/>
  <c r="AM160" i="12" a="1"/>
  <c r="AM160" i="12" s="1"/>
  <c r="AM161" i="12" a="1"/>
  <c r="AM161" i="12" s="1"/>
  <c r="AM162" i="12" a="1"/>
  <c r="AM162" i="12"/>
  <c r="AM163" i="12" a="1"/>
  <c r="AM163" i="12" s="1"/>
  <c r="AM164" i="12" a="1"/>
  <c r="AM164" i="12" s="1"/>
  <c r="AM165" i="12" a="1"/>
  <c r="AM165" i="12" s="1"/>
  <c r="AM166" i="12" a="1"/>
  <c r="AM166" i="12"/>
  <c r="AM167" i="12" a="1"/>
  <c r="AM167" i="12" s="1"/>
  <c r="AM168" i="12" a="1"/>
  <c r="AM168" i="12" s="1"/>
  <c r="AM169" i="12" a="1"/>
  <c r="AM169" i="12" s="1"/>
  <c r="AM170" i="12" a="1"/>
  <c r="AM170" i="12"/>
  <c r="AM171" i="12" a="1"/>
  <c r="AM171" i="12" s="1"/>
  <c r="AM172" i="12" a="1"/>
  <c r="AM172" i="12" s="1"/>
  <c r="AM173" i="12" a="1"/>
  <c r="AM173" i="12" s="1"/>
  <c r="AM174" i="12" a="1"/>
  <c r="AM174" i="12" s="1"/>
  <c r="AM175" i="12" a="1"/>
  <c r="AM175" i="12" s="1"/>
  <c r="AM176" i="12" a="1"/>
  <c r="AM176" i="12" s="1"/>
  <c r="AM177" i="12" a="1"/>
  <c r="AM177" i="12" s="1"/>
  <c r="AM178" i="12" a="1"/>
  <c r="AM178" i="12" s="1"/>
  <c r="AM179" i="12" a="1"/>
  <c r="AM179" i="12" s="1"/>
  <c r="AM180" i="12" a="1"/>
  <c r="AM180" i="12" s="1"/>
  <c r="AM181" i="12" a="1"/>
  <c r="AM181" i="12" s="1"/>
  <c r="AM182" i="12" a="1"/>
  <c r="AM182" i="12" s="1"/>
  <c r="AM183" i="12" a="1"/>
  <c r="AM183" i="12" s="1"/>
  <c r="AM184" i="12" a="1"/>
  <c r="AM184" i="12" s="1"/>
  <c r="AM185" i="12" a="1"/>
  <c r="AM185" i="12" s="1"/>
  <c r="AM186" i="12" a="1"/>
  <c r="AM186" i="12" s="1"/>
  <c r="AM187" i="12" a="1"/>
  <c r="AM187" i="12" s="1"/>
  <c r="AM188" i="12" a="1"/>
  <c r="AM188" i="12" s="1"/>
  <c r="AM189" i="12" a="1"/>
  <c r="AM189" i="12" s="1"/>
  <c r="AM190" i="12" a="1"/>
  <c r="AM190" i="12" s="1"/>
  <c r="AM191" i="12" a="1"/>
  <c r="AM191" i="12" s="1"/>
  <c r="AM192" i="12" a="1"/>
  <c r="AM192" i="12" s="1"/>
  <c r="AM193" i="12" a="1"/>
  <c r="AM193" i="12" s="1"/>
  <c r="AM194" i="12" a="1"/>
  <c r="AM194" i="12" s="1"/>
  <c r="AM195" i="12" a="1"/>
  <c r="AM195" i="12" s="1"/>
  <c r="AM196" i="12" a="1"/>
  <c r="AM196" i="12" s="1"/>
  <c r="AM197" i="12" a="1"/>
  <c r="AM197" i="12" s="1"/>
  <c r="AM198" i="12" a="1"/>
  <c r="AM198" i="12" s="1"/>
  <c r="AM199" i="12" a="1"/>
  <c r="AM199" i="12" s="1"/>
  <c r="AM200" i="12" a="1"/>
  <c r="AM200" i="12" s="1"/>
  <c r="AM201" i="12" a="1"/>
  <c r="AM201" i="12" s="1"/>
  <c r="AM202" i="12" a="1"/>
  <c r="AM202" i="12" s="1"/>
  <c r="AM203" i="12" a="1"/>
  <c r="AM203" i="12" s="1"/>
  <c r="AM204" i="12" a="1"/>
  <c r="AM204" i="12" s="1"/>
  <c r="AM205" i="12" a="1"/>
  <c r="AM205" i="12" s="1"/>
  <c r="AM206" i="12" a="1"/>
  <c r="AM206" i="12" s="1"/>
  <c r="AM207" i="12" a="1"/>
  <c r="AM207" i="12" s="1"/>
  <c r="AM208" i="12" a="1"/>
  <c r="AM208" i="12" s="1"/>
  <c r="AM209" i="12" a="1"/>
  <c r="AM209" i="12" s="1"/>
  <c r="AM210" i="12" a="1"/>
  <c r="AM210" i="12" s="1"/>
  <c r="AM211" i="12" a="1"/>
  <c r="AM211" i="12" s="1"/>
  <c r="AM212" i="12" a="1"/>
  <c r="AM212" i="12" s="1"/>
  <c r="AM213" i="12" a="1"/>
  <c r="AM213" i="12" s="1"/>
  <c r="AM214" i="12" a="1"/>
  <c r="AM214" i="12" s="1"/>
  <c r="AM215" i="12" a="1"/>
  <c r="AM215" i="12" s="1"/>
  <c r="AM216" i="12" a="1"/>
  <c r="AM216" i="12" s="1"/>
  <c r="AA216" i="12" l="1"/>
  <c r="AA215" i="12"/>
  <c r="AA214" i="12"/>
  <c r="AA213" i="12"/>
  <c r="AA212" i="12"/>
  <c r="AA211" i="12"/>
  <c r="AA210" i="12"/>
  <c r="AA209" i="12"/>
  <c r="AA208" i="12"/>
  <c r="AA207" i="12"/>
  <c r="AA206" i="12"/>
  <c r="AA205" i="12"/>
  <c r="AA204" i="12"/>
  <c r="AA203" i="12"/>
  <c r="AA202" i="12"/>
  <c r="AA201" i="12"/>
  <c r="AA200" i="12"/>
  <c r="AA199" i="12"/>
  <c r="AA198" i="12"/>
  <c r="AA197" i="12"/>
  <c r="AA196" i="12"/>
  <c r="AA195" i="12"/>
  <c r="AA194" i="12"/>
  <c r="AA193" i="12"/>
  <c r="AA192" i="12"/>
  <c r="AA191" i="12"/>
  <c r="AA190" i="12"/>
  <c r="AA189" i="12"/>
  <c r="AA188" i="12"/>
  <c r="AA187" i="12"/>
  <c r="AA186" i="12"/>
  <c r="AA185" i="12"/>
  <c r="AA184" i="12"/>
  <c r="AA183" i="12"/>
  <c r="AA182" i="12"/>
  <c r="AA181" i="12"/>
  <c r="AA180" i="12"/>
  <c r="AA179" i="12"/>
  <c r="AA178" i="12"/>
  <c r="AA177" i="12"/>
  <c r="AA176" i="12"/>
  <c r="AA175" i="12"/>
  <c r="AA174" i="12"/>
  <c r="AA173" i="12"/>
  <c r="AA172" i="12"/>
  <c r="AA171" i="12"/>
  <c r="AA170" i="12"/>
  <c r="AA169" i="12"/>
  <c r="AA168" i="12"/>
  <c r="AA167" i="12"/>
  <c r="AA166" i="12"/>
  <c r="AA165" i="12"/>
  <c r="AA164" i="12"/>
  <c r="AA163" i="12"/>
  <c r="AA162" i="12"/>
  <c r="AA161" i="12"/>
  <c r="AA160" i="12"/>
  <c r="AA159" i="12"/>
  <c r="AA158" i="12"/>
  <c r="AA157" i="12"/>
  <c r="AA156" i="12"/>
  <c r="AA155" i="12"/>
  <c r="AA154" i="12"/>
  <c r="AA153" i="12"/>
  <c r="AA152" i="12"/>
  <c r="AA151" i="12"/>
  <c r="AA150" i="12"/>
  <c r="AA149" i="12"/>
  <c r="AA148" i="12"/>
  <c r="AA147" i="12"/>
  <c r="AA146" i="12"/>
  <c r="AA145" i="12"/>
  <c r="AA144" i="12"/>
  <c r="AA143" i="12"/>
  <c r="AA142" i="12"/>
  <c r="AA141" i="12"/>
  <c r="AA140" i="12"/>
  <c r="AA139" i="12"/>
  <c r="AA138" i="12"/>
  <c r="AA137" i="12"/>
  <c r="AA136" i="12"/>
  <c r="AA135" i="12"/>
  <c r="AA134" i="12"/>
  <c r="AA133" i="12"/>
  <c r="AA132" i="12"/>
  <c r="AA131" i="12"/>
  <c r="AA130" i="12"/>
  <c r="AA129" i="12"/>
  <c r="AA128" i="12"/>
  <c r="AA127" i="12"/>
  <c r="AA126" i="12"/>
  <c r="AA125" i="12"/>
  <c r="AA124" i="12"/>
  <c r="AA123" i="12"/>
  <c r="AA122" i="12"/>
  <c r="AA121" i="12"/>
  <c r="AA120" i="12"/>
  <c r="AA119" i="12"/>
  <c r="AA118" i="12"/>
  <c r="AA117" i="12"/>
  <c r="AA116" i="12"/>
  <c r="AA115" i="12"/>
  <c r="AA114" i="12"/>
  <c r="AA113" i="12"/>
  <c r="AA112" i="12"/>
  <c r="AA111" i="12"/>
  <c r="AA110" i="12"/>
  <c r="AA109" i="12"/>
  <c r="AA108" i="12"/>
  <c r="AA107" i="12"/>
  <c r="AA106" i="12"/>
  <c r="AA105" i="12"/>
  <c r="AA104" i="12"/>
  <c r="AA103" i="12"/>
  <c r="AA102" i="12"/>
  <c r="AA101" i="12"/>
  <c r="AA100" i="12"/>
  <c r="AA99" i="12"/>
  <c r="AA98" i="12"/>
  <c r="AA97" i="12"/>
  <c r="AA96" i="12"/>
  <c r="AA95" i="12"/>
  <c r="AA94" i="12"/>
  <c r="AA93" i="12"/>
  <c r="AA92" i="12"/>
  <c r="AA91" i="12"/>
  <c r="AA90" i="12"/>
  <c r="AA89" i="12"/>
  <c r="AA88" i="12"/>
  <c r="AA87" i="12"/>
  <c r="AA86" i="12"/>
  <c r="AA85" i="12"/>
  <c r="AA84" i="12"/>
  <c r="AA83" i="12"/>
  <c r="AA82" i="12"/>
  <c r="AA81" i="12"/>
  <c r="AA80" i="12"/>
  <c r="AA79" i="12"/>
  <c r="AA78" i="12"/>
  <c r="AA77" i="12"/>
  <c r="AA76" i="12"/>
  <c r="AA75" i="12"/>
  <c r="AA74" i="12"/>
  <c r="AA73" i="12"/>
  <c r="AA72" i="12"/>
  <c r="AA71" i="12"/>
  <c r="AA70" i="12"/>
  <c r="AA69" i="12"/>
  <c r="AA68" i="12"/>
  <c r="AA67" i="12"/>
  <c r="AA66" i="12"/>
  <c r="AA65" i="12"/>
  <c r="AA64" i="12"/>
  <c r="AA63" i="12"/>
  <c r="AA62" i="12"/>
  <c r="AA61" i="12"/>
  <c r="AA60" i="12"/>
  <c r="AA59" i="12"/>
  <c r="AA58" i="12"/>
  <c r="AA57" i="12"/>
  <c r="AA56" i="12"/>
  <c r="AA55" i="12"/>
  <c r="AA54" i="12"/>
  <c r="AA53" i="12"/>
  <c r="AA52" i="12"/>
  <c r="AA51" i="12"/>
  <c r="AA50" i="12"/>
  <c r="AA49" i="12"/>
  <c r="AA48" i="12"/>
  <c r="AA47" i="12"/>
  <c r="AA46" i="12"/>
  <c r="AA45" i="12"/>
  <c r="AA44" i="12"/>
  <c r="AA43" i="12"/>
  <c r="AA42" i="12"/>
  <c r="AA41" i="12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25" i="12"/>
  <c r="AA24" i="12"/>
  <c r="AA23" i="12"/>
  <c r="AA22" i="12"/>
  <c r="AA21" i="12"/>
  <c r="AA20" i="12"/>
  <c r="AA19" i="12"/>
  <c r="AA18" i="12"/>
  <c r="AA17" i="12"/>
  <c r="AA16" i="12"/>
  <c r="AA15" i="12"/>
  <c r="AA14" i="12"/>
  <c r="AA13" i="12"/>
  <c r="AA12" i="12"/>
  <c r="AA11" i="12"/>
  <c r="AA10" i="12"/>
  <c r="AA9" i="12"/>
  <c r="AA8" i="12"/>
  <c r="AA7" i="12"/>
  <c r="AA6" i="12"/>
  <c r="AA5" i="12"/>
  <c r="AA4" i="12"/>
  <c r="AA3" i="12"/>
  <c r="AA2" i="12"/>
  <c r="AA338" i="11"/>
  <c r="AA337" i="11"/>
  <c r="AA336" i="11"/>
  <c r="AA335" i="11"/>
  <c r="AA334" i="11"/>
  <c r="AA333" i="11"/>
  <c r="AA332" i="11"/>
  <c r="AA331" i="11"/>
  <c r="AA330" i="11"/>
  <c r="AA329" i="11"/>
  <c r="AA328" i="11"/>
  <c r="AA327" i="11"/>
  <c r="AA326" i="11"/>
  <c r="AA325" i="11"/>
  <c r="AA324" i="11"/>
  <c r="AA323" i="11"/>
  <c r="AA322" i="11"/>
  <c r="AA321" i="11"/>
  <c r="AA320" i="11"/>
  <c r="AA319" i="11"/>
  <c r="AA318" i="11"/>
  <c r="AA317" i="11"/>
  <c r="AA316" i="11"/>
  <c r="AA315" i="11"/>
  <c r="AA314" i="11"/>
  <c r="AA313" i="11"/>
  <c r="AA312" i="11"/>
  <c r="AA311" i="11"/>
  <c r="AA310" i="11"/>
  <c r="AA309" i="11"/>
  <c r="AA308" i="11"/>
  <c r="AA307" i="11"/>
  <c r="AA306" i="11"/>
  <c r="AA305" i="11"/>
  <c r="AA304" i="11"/>
  <c r="AA303" i="11"/>
  <c r="AA302" i="11"/>
  <c r="AA301" i="11"/>
  <c r="AA300" i="11"/>
  <c r="AA299" i="11"/>
  <c r="AA298" i="11"/>
  <c r="AA297" i="11"/>
  <c r="AA296" i="11"/>
  <c r="AA295" i="11"/>
  <c r="AA294" i="11"/>
  <c r="AA293" i="11"/>
  <c r="AA292" i="11"/>
  <c r="AA291" i="11"/>
  <c r="AA290" i="11"/>
  <c r="AA289" i="11"/>
  <c r="AA288" i="11"/>
  <c r="AA287" i="11"/>
  <c r="AA286" i="11"/>
  <c r="AA285" i="11"/>
  <c r="AA284" i="11"/>
  <c r="AA283" i="11"/>
  <c r="AA282" i="11"/>
  <c r="AA281" i="11"/>
  <c r="AA280" i="11"/>
  <c r="AA279" i="11"/>
  <c r="AA278" i="11"/>
  <c r="AA277" i="11"/>
  <c r="AA276" i="11"/>
  <c r="AA275" i="11"/>
  <c r="AA274" i="11"/>
  <c r="AA273" i="11"/>
  <c r="AA272" i="11"/>
  <c r="AA271" i="11"/>
  <c r="AA270" i="11"/>
  <c r="AA269" i="11"/>
  <c r="AA268" i="11"/>
  <c r="AA267" i="11"/>
  <c r="AA266" i="11"/>
  <c r="AA265" i="11"/>
  <c r="AA264" i="11"/>
  <c r="AA263" i="11"/>
  <c r="AA262" i="11"/>
  <c r="AA261" i="11"/>
  <c r="AA260" i="11"/>
  <c r="AA259" i="11"/>
  <c r="AA258" i="11"/>
  <c r="AA257" i="11"/>
  <c r="AA256" i="11"/>
  <c r="AA255" i="11"/>
  <c r="AA254" i="11"/>
  <c r="AA253" i="11"/>
  <c r="AA252" i="11"/>
  <c r="AA251" i="11"/>
  <c r="AA250" i="11"/>
  <c r="AA249" i="11"/>
  <c r="AA248" i="11"/>
  <c r="AA247" i="11"/>
  <c r="AA246" i="11"/>
  <c r="AA245" i="11"/>
  <c r="AA244" i="11"/>
  <c r="AA243" i="11"/>
  <c r="AA242" i="11"/>
  <c r="AA241" i="11"/>
  <c r="AA240" i="11"/>
  <c r="AA239" i="11"/>
  <c r="AA238" i="11"/>
  <c r="AA237" i="11"/>
  <c r="AA236" i="11"/>
  <c r="AA235" i="11"/>
  <c r="AA234" i="11"/>
  <c r="AA233" i="11"/>
  <c r="AA232" i="11"/>
  <c r="AA231" i="11"/>
  <c r="AA230" i="11"/>
  <c r="AA229" i="11"/>
  <c r="AA228" i="11"/>
  <c r="AA227" i="11"/>
  <c r="AA226" i="11"/>
  <c r="AA225" i="11"/>
  <c r="AA224" i="11"/>
  <c r="AA223" i="11"/>
  <c r="AA222" i="11"/>
  <c r="AA221" i="11"/>
  <c r="AA220" i="11"/>
  <c r="AA219" i="11"/>
  <c r="AA218" i="11"/>
  <c r="AA217" i="11"/>
  <c r="AA216" i="11"/>
  <c r="AA215" i="11"/>
  <c r="AA214" i="11"/>
  <c r="AA213" i="11"/>
  <c r="AA212" i="11"/>
  <c r="AA211" i="11"/>
  <c r="AA210" i="11"/>
  <c r="AA209" i="11"/>
  <c r="AA208" i="11"/>
  <c r="AA207" i="11"/>
  <c r="AA206" i="11"/>
  <c r="AA205" i="11"/>
  <c r="AA204" i="11"/>
  <c r="AA203" i="11"/>
  <c r="AA202" i="11"/>
  <c r="AA201" i="11"/>
  <c r="AA200" i="11"/>
  <c r="AA199" i="11"/>
  <c r="AA198" i="11"/>
  <c r="AA197" i="11"/>
  <c r="AA196" i="11"/>
  <c r="AA195" i="11"/>
  <c r="AA194" i="11"/>
  <c r="AA193" i="11"/>
  <c r="AA192" i="11"/>
  <c r="AA191" i="11"/>
  <c r="AA190" i="11"/>
  <c r="AA189" i="11"/>
  <c r="AA188" i="11"/>
  <c r="AA187" i="11"/>
  <c r="AA186" i="11"/>
  <c r="AA185" i="11"/>
  <c r="AA184" i="11"/>
  <c r="AA183" i="11"/>
  <c r="AA182" i="11"/>
  <c r="AA181" i="11"/>
  <c r="AA180" i="11"/>
  <c r="AA179" i="11"/>
  <c r="AA178" i="11"/>
  <c r="AA177" i="11"/>
  <c r="AA176" i="11"/>
  <c r="AA175" i="11"/>
  <c r="AA174" i="11"/>
  <c r="AA173" i="11"/>
  <c r="AA172" i="11"/>
  <c r="AA171" i="11"/>
  <c r="AA170" i="11"/>
  <c r="AA169" i="11"/>
  <c r="AA168" i="11"/>
  <c r="AA167" i="11"/>
  <c r="AA166" i="11"/>
  <c r="AA165" i="11"/>
  <c r="AA164" i="11"/>
  <c r="AA163" i="11"/>
  <c r="AA162" i="11"/>
  <c r="AA161" i="11"/>
  <c r="AA160" i="11"/>
  <c r="AA159" i="11"/>
  <c r="AA158" i="11"/>
  <c r="AA157" i="11"/>
  <c r="AA156" i="11"/>
  <c r="AA155" i="11"/>
  <c r="AA154" i="11"/>
  <c r="AA153" i="11"/>
  <c r="AA152" i="11"/>
  <c r="AA151" i="11"/>
  <c r="AA150" i="11"/>
  <c r="AA149" i="11"/>
  <c r="AA148" i="11"/>
  <c r="AA147" i="11"/>
  <c r="AA146" i="11"/>
  <c r="AA145" i="11"/>
  <c r="AA144" i="11"/>
  <c r="AA143" i="11"/>
  <c r="AA142" i="11"/>
  <c r="AA141" i="11"/>
  <c r="AA140" i="11"/>
  <c r="AA139" i="11"/>
  <c r="AA138" i="11"/>
  <c r="AA137" i="11"/>
  <c r="AA136" i="11"/>
  <c r="AA135" i="11"/>
  <c r="AA134" i="11"/>
  <c r="AA133" i="11"/>
  <c r="AA132" i="11"/>
  <c r="AA131" i="11"/>
  <c r="AA130" i="11"/>
  <c r="AA129" i="11"/>
  <c r="AA128" i="11"/>
  <c r="AA127" i="11"/>
  <c r="AA126" i="11"/>
  <c r="AA125" i="11"/>
  <c r="AA124" i="11"/>
  <c r="AA123" i="11"/>
  <c r="AA122" i="11"/>
  <c r="AA121" i="11"/>
  <c r="AA120" i="11"/>
  <c r="AA119" i="11"/>
  <c r="AA118" i="11"/>
  <c r="AA117" i="11"/>
  <c r="AA116" i="11"/>
  <c r="AA115" i="11"/>
  <c r="AA114" i="11"/>
  <c r="AA113" i="11"/>
  <c r="AA112" i="11"/>
  <c r="AA111" i="11"/>
  <c r="AA110" i="11"/>
  <c r="AA109" i="11"/>
  <c r="AA108" i="11"/>
  <c r="AA107" i="11"/>
  <c r="AA106" i="11"/>
  <c r="AA105" i="11"/>
  <c r="AA104" i="11"/>
  <c r="AA103" i="11"/>
  <c r="AA102" i="11"/>
  <c r="AA101" i="11"/>
  <c r="AA100" i="11"/>
  <c r="AA99" i="11"/>
  <c r="AA98" i="11"/>
  <c r="AA97" i="11"/>
  <c r="AA96" i="11"/>
  <c r="AA95" i="11"/>
  <c r="AA94" i="11"/>
  <c r="AA93" i="11"/>
  <c r="AA92" i="11"/>
  <c r="AA91" i="11"/>
  <c r="AA90" i="11"/>
  <c r="AA89" i="11"/>
  <c r="AA88" i="11"/>
  <c r="AA87" i="11"/>
  <c r="AA86" i="11"/>
  <c r="AA85" i="11"/>
  <c r="AA84" i="11"/>
  <c r="AA83" i="11"/>
  <c r="AA82" i="11"/>
  <c r="AA81" i="11"/>
  <c r="AA80" i="11"/>
  <c r="AA79" i="11"/>
  <c r="AA78" i="11"/>
  <c r="AA77" i="11"/>
  <c r="AA76" i="11"/>
  <c r="AA75" i="11"/>
  <c r="AA74" i="11"/>
  <c r="AA73" i="11"/>
  <c r="AA72" i="11"/>
  <c r="AA71" i="11"/>
  <c r="AA70" i="11"/>
  <c r="AA69" i="11"/>
  <c r="AA68" i="11"/>
  <c r="AA67" i="11"/>
  <c r="AA66" i="11"/>
  <c r="AA65" i="11"/>
  <c r="AA64" i="11"/>
  <c r="AA63" i="11"/>
  <c r="AA62" i="11"/>
  <c r="AA61" i="11"/>
  <c r="AA60" i="11"/>
  <c r="AA59" i="11"/>
  <c r="AA58" i="11"/>
  <c r="AA57" i="11"/>
  <c r="AA56" i="11"/>
  <c r="AA55" i="11"/>
  <c r="AA54" i="11"/>
  <c r="AA53" i="11"/>
  <c r="AA52" i="11"/>
  <c r="AA51" i="11"/>
  <c r="AA50" i="11"/>
  <c r="AA49" i="11"/>
  <c r="AA48" i="11"/>
  <c r="AA47" i="11"/>
  <c r="AA46" i="11"/>
  <c r="AA45" i="11"/>
  <c r="AA44" i="11"/>
  <c r="AA43" i="11"/>
  <c r="AA42" i="11"/>
  <c r="AA41" i="11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25" i="11"/>
  <c r="AA24" i="11"/>
  <c r="AA23" i="11"/>
  <c r="AA22" i="11"/>
  <c r="AA21" i="11"/>
  <c r="AA20" i="11"/>
  <c r="AA19" i="11"/>
  <c r="AA18" i="11"/>
  <c r="AA17" i="11"/>
  <c r="AA16" i="11"/>
  <c r="AA15" i="11"/>
  <c r="AA14" i="11"/>
  <c r="AA13" i="11"/>
  <c r="AA12" i="11"/>
  <c r="AA11" i="11"/>
  <c r="AA10" i="11"/>
  <c r="AA9" i="11"/>
  <c r="AA8" i="11"/>
  <c r="AA7" i="11"/>
  <c r="AA6" i="11"/>
  <c r="AA5" i="11"/>
  <c r="AA4" i="11"/>
  <c r="AA3" i="11"/>
  <c r="AA2" i="11"/>
  <c r="AA409" i="10"/>
  <c r="AA54" i="10"/>
  <c r="AA48" i="10"/>
  <c r="AA46" i="10"/>
  <c r="AA44" i="10"/>
  <c r="AA43" i="10"/>
  <c r="AA42" i="10"/>
  <c r="AA40" i="10"/>
  <c r="AA38" i="10"/>
  <c r="AA33" i="10"/>
  <c r="AA32" i="10"/>
  <c r="AA30" i="10"/>
  <c r="AA28" i="10"/>
  <c r="AA27" i="10"/>
  <c r="AA26" i="10"/>
  <c r="AA25" i="10"/>
  <c r="AA24" i="10"/>
  <c r="AA23" i="10"/>
  <c r="AA22" i="10"/>
  <c r="AA21" i="10"/>
  <c r="AA20" i="10"/>
  <c r="AA19" i="10"/>
  <c r="AA17" i="10"/>
  <c r="AA16" i="10"/>
  <c r="AA15" i="10"/>
  <c r="AA14" i="10"/>
  <c r="AA13" i="10"/>
  <c r="AA12" i="10"/>
  <c r="AA11" i="10"/>
  <c r="AA10" i="10"/>
  <c r="AA9" i="10"/>
  <c r="AA8" i="10"/>
  <c r="AA7" i="10"/>
  <c r="AA6" i="10"/>
  <c r="AA5" i="10"/>
  <c r="AA4" i="10"/>
  <c r="AA3" i="10"/>
  <c r="AA2" i="10"/>
  <c r="AI465" i="10" l="1"/>
  <c r="AI464" i="10"/>
  <c r="AI463" i="10"/>
  <c r="AI462" i="10"/>
  <c r="AI461" i="10"/>
  <c r="AI460" i="10"/>
  <c r="AI459" i="10"/>
  <c r="AI458" i="10"/>
  <c r="AI457" i="10"/>
  <c r="AI456" i="10"/>
  <c r="AI455" i="10"/>
  <c r="AI454" i="10"/>
  <c r="AI453" i="10"/>
  <c r="AI452" i="10"/>
  <c r="AI451" i="10"/>
  <c r="AI450" i="10"/>
  <c r="AI449" i="10"/>
  <c r="AI448" i="10"/>
  <c r="AI447" i="10"/>
  <c r="AI446" i="10"/>
  <c r="AI445" i="10"/>
  <c r="AI444" i="10"/>
  <c r="AI443" i="10"/>
  <c r="AI442" i="10"/>
  <c r="AI441" i="10"/>
  <c r="AI440" i="10"/>
  <c r="AI439" i="10"/>
  <c r="AI438" i="10"/>
  <c r="AI437" i="10"/>
  <c r="AI436" i="10"/>
  <c r="AI435" i="10"/>
  <c r="AI434" i="10"/>
  <c r="AI433" i="10"/>
  <c r="AI432" i="10"/>
  <c r="AI431" i="10"/>
  <c r="AI430" i="10"/>
  <c r="AI429" i="10"/>
  <c r="AI428" i="10"/>
  <c r="AI427" i="10"/>
  <c r="AI426" i="10"/>
  <c r="AI425" i="10"/>
  <c r="AI424" i="10"/>
  <c r="AI423" i="10"/>
  <c r="AI422" i="10"/>
  <c r="AI421" i="10"/>
  <c r="AI420" i="10"/>
  <c r="AI419" i="10"/>
  <c r="AI418" i="10"/>
  <c r="AI417" i="10"/>
  <c r="AI416" i="10"/>
  <c r="AI415" i="10"/>
  <c r="AI414" i="10"/>
  <c r="AI413" i="10"/>
  <c r="AI412" i="10"/>
  <c r="AI411" i="10"/>
  <c r="AI410" i="10"/>
  <c r="AI409" i="10"/>
  <c r="AI408" i="10"/>
  <c r="AI407" i="10"/>
  <c r="AI406" i="10"/>
  <c r="AI405" i="10"/>
  <c r="AI404" i="10"/>
  <c r="AI403" i="10"/>
  <c r="AI402" i="10"/>
  <c r="AI401" i="10"/>
  <c r="AI400" i="10"/>
  <c r="AI399" i="10"/>
  <c r="AI398" i="10"/>
  <c r="AI397" i="10"/>
  <c r="AI396" i="10"/>
  <c r="AI395" i="10"/>
  <c r="AI394" i="10"/>
  <c r="AI393" i="10"/>
  <c r="AI392" i="10"/>
  <c r="AI391" i="10"/>
  <c r="AI390" i="10"/>
  <c r="AI389" i="10"/>
  <c r="AI388" i="10"/>
  <c r="AI387" i="10"/>
  <c r="AI386" i="10"/>
  <c r="AI385" i="10"/>
  <c r="AI384" i="10"/>
  <c r="AI383" i="10"/>
  <c r="AI382" i="10"/>
  <c r="AI381" i="10"/>
  <c r="AI380" i="10"/>
  <c r="AI379" i="10"/>
  <c r="AI378" i="10"/>
  <c r="AI377" i="10"/>
  <c r="AI376" i="10"/>
  <c r="AI375" i="10"/>
  <c r="AI374" i="10"/>
  <c r="AI373" i="10"/>
  <c r="AI372" i="10"/>
  <c r="AI371" i="10"/>
  <c r="AI370" i="10"/>
  <c r="AI369" i="10"/>
  <c r="AI368" i="10"/>
  <c r="AI367" i="10"/>
  <c r="AI366" i="10"/>
  <c r="AI365" i="10"/>
  <c r="AI364" i="10"/>
  <c r="AI363" i="10"/>
  <c r="AI362" i="10"/>
  <c r="AI361" i="10"/>
  <c r="AI360" i="10"/>
  <c r="AI359" i="10"/>
  <c r="AI358" i="10"/>
  <c r="AI357" i="10"/>
  <c r="AI356" i="10"/>
  <c r="AI355" i="10"/>
  <c r="AI354" i="10"/>
  <c r="AI353" i="10"/>
  <c r="AI352" i="10"/>
  <c r="AI351" i="10"/>
  <c r="AI350" i="10"/>
  <c r="AI349" i="10"/>
  <c r="AI348" i="10"/>
  <c r="AI347" i="10"/>
  <c r="AI346" i="10"/>
  <c r="AI345" i="10"/>
  <c r="AI344" i="10"/>
  <c r="AI343" i="10"/>
  <c r="AI342" i="10"/>
  <c r="AI341" i="10"/>
  <c r="AI340" i="10"/>
  <c r="AI339" i="10"/>
  <c r="AI338" i="10"/>
  <c r="AI337" i="10"/>
  <c r="AI336" i="10"/>
  <c r="AI335" i="10"/>
  <c r="AI334" i="10"/>
  <c r="AI333" i="10"/>
  <c r="AI332" i="10"/>
  <c r="AI331" i="10"/>
  <c r="AI330" i="10"/>
  <c r="AI329" i="10"/>
  <c r="AI328" i="10"/>
  <c r="AI327" i="10"/>
  <c r="AI326" i="10"/>
  <c r="AI325" i="10"/>
  <c r="AI324" i="10"/>
  <c r="AI323" i="10"/>
  <c r="AI322" i="10"/>
  <c r="AI321" i="10"/>
  <c r="AI320" i="10"/>
  <c r="AI319" i="10"/>
  <c r="AI318" i="10"/>
  <c r="AI317" i="10"/>
  <c r="AI316" i="10"/>
  <c r="AI315" i="10"/>
  <c r="AI314" i="10"/>
  <c r="AI313" i="10"/>
  <c r="AI312" i="10"/>
  <c r="AI311" i="10"/>
  <c r="AI310" i="10"/>
  <c r="AI309" i="10"/>
  <c r="AI308" i="10"/>
  <c r="AI307" i="10"/>
  <c r="AI306" i="10"/>
  <c r="AI305" i="10"/>
  <c r="AI304" i="10"/>
  <c r="AI303" i="10"/>
  <c r="AI302" i="10"/>
  <c r="AI301" i="10"/>
  <c r="AI300" i="10"/>
  <c r="AI299" i="10"/>
  <c r="AI298" i="10"/>
  <c r="AI297" i="10"/>
  <c r="AI296" i="10"/>
  <c r="AI295" i="10"/>
  <c r="AI294" i="10"/>
  <c r="AI293" i="10"/>
  <c r="AI292" i="10"/>
  <c r="AI291" i="10"/>
  <c r="AI290" i="10"/>
  <c r="AI289" i="10"/>
  <c r="AI288" i="10"/>
  <c r="AI287" i="10"/>
  <c r="AI286" i="10"/>
  <c r="AI285" i="10"/>
  <c r="AI284" i="10"/>
  <c r="AI283" i="10"/>
  <c r="AI282" i="10"/>
  <c r="AI281" i="10"/>
  <c r="AI280" i="10"/>
  <c r="AI279" i="10"/>
  <c r="AI278" i="10"/>
  <c r="AI277" i="10"/>
  <c r="AI276" i="10"/>
  <c r="AI275" i="10"/>
  <c r="AI274" i="10"/>
  <c r="AI273" i="10"/>
  <c r="AI272" i="10"/>
  <c r="AI271" i="10"/>
  <c r="AI270" i="10"/>
  <c r="AI269" i="10"/>
  <c r="AI268" i="10"/>
  <c r="AI267" i="10"/>
  <c r="AI266" i="10"/>
  <c r="AI265" i="10"/>
  <c r="AI264" i="10"/>
  <c r="AI263" i="10"/>
  <c r="AI262" i="10"/>
  <c r="AI261" i="10"/>
  <c r="AI260" i="10"/>
  <c r="AI259" i="10"/>
  <c r="AI258" i="10"/>
  <c r="AI257" i="10"/>
  <c r="AI256" i="10"/>
  <c r="AI255" i="10"/>
  <c r="AI254" i="10"/>
  <c r="AI253" i="10"/>
  <c r="AI252" i="10"/>
  <c r="AI251" i="10"/>
  <c r="AI250" i="10"/>
  <c r="AI249" i="10"/>
  <c r="AI248" i="10"/>
  <c r="AI247" i="10"/>
  <c r="AI246" i="10"/>
  <c r="AI245" i="10"/>
  <c r="AI244" i="10"/>
  <c r="AI243" i="10"/>
  <c r="AI242" i="10"/>
  <c r="AI241" i="10"/>
  <c r="AI240" i="10"/>
  <c r="AI239" i="10"/>
  <c r="AI238" i="10"/>
  <c r="AI237" i="10"/>
  <c r="AI236" i="10"/>
  <c r="AI235" i="10"/>
  <c r="AI234" i="10"/>
  <c r="AI233" i="10"/>
  <c r="AI232" i="10"/>
  <c r="AI231" i="10"/>
  <c r="AI230" i="10"/>
  <c r="AI229" i="10"/>
  <c r="AI228" i="10"/>
  <c r="AI227" i="10"/>
  <c r="AI226" i="10"/>
  <c r="AI225" i="10"/>
  <c r="AI224" i="10"/>
  <c r="AI223" i="10"/>
  <c r="AI222" i="10"/>
  <c r="AI221" i="10"/>
  <c r="AI220" i="10"/>
  <c r="AI219" i="10"/>
  <c r="AI218" i="10"/>
  <c r="AI217" i="10"/>
  <c r="AI216" i="10"/>
  <c r="AI215" i="10"/>
  <c r="AI214" i="10"/>
  <c r="AI213" i="10"/>
  <c r="AI212" i="10"/>
  <c r="AI211" i="10"/>
  <c r="AI210" i="10"/>
  <c r="AI209" i="10"/>
  <c r="AI208" i="10"/>
  <c r="AI207" i="10"/>
  <c r="AI206" i="10"/>
  <c r="AI205" i="10"/>
  <c r="AI204" i="10"/>
  <c r="AI203" i="10"/>
  <c r="AI202" i="10"/>
  <c r="AI201" i="10"/>
  <c r="AI200" i="10"/>
  <c r="AI199" i="10"/>
  <c r="AI198" i="10"/>
  <c r="AI197" i="10"/>
  <c r="AI196" i="10"/>
  <c r="AI195" i="10"/>
  <c r="AI194" i="10"/>
  <c r="AI193" i="10"/>
  <c r="AI192" i="10"/>
  <c r="AI191" i="10"/>
  <c r="AI190" i="10"/>
  <c r="AI189" i="10"/>
  <c r="AI188" i="10"/>
  <c r="AI187" i="10"/>
  <c r="AI186" i="10"/>
  <c r="AI185" i="10"/>
  <c r="AI184" i="10"/>
  <c r="AI183" i="10"/>
  <c r="AI182" i="10"/>
  <c r="AI181" i="10"/>
  <c r="AI180" i="10"/>
  <c r="AI179" i="10"/>
  <c r="AI178" i="10"/>
  <c r="AI177" i="10"/>
  <c r="AI176" i="10"/>
  <c r="AI175" i="10"/>
  <c r="AI174" i="10"/>
  <c r="AI173" i="10"/>
  <c r="AI172" i="10"/>
  <c r="AI171" i="10"/>
  <c r="AI170" i="10"/>
  <c r="AI169" i="10"/>
  <c r="AI168" i="10"/>
  <c r="AI167" i="10"/>
  <c r="AI166" i="10"/>
  <c r="AI165" i="10"/>
  <c r="AI164" i="10"/>
  <c r="AI163" i="10"/>
  <c r="AI162" i="10"/>
  <c r="AI161" i="10"/>
  <c r="AI160" i="10"/>
  <c r="AI159" i="10"/>
  <c r="AI158" i="10"/>
  <c r="AI157" i="10"/>
  <c r="AI156" i="10"/>
  <c r="AI155" i="10"/>
  <c r="AI154" i="10"/>
  <c r="AI153" i="10"/>
  <c r="AI152" i="10"/>
  <c r="AI151" i="10"/>
  <c r="AI150" i="10"/>
  <c r="AI149" i="10"/>
  <c r="AI148" i="10"/>
  <c r="AI147" i="10"/>
  <c r="AI146" i="10"/>
  <c r="AI145" i="10"/>
  <c r="AI144" i="10"/>
  <c r="AI143" i="10"/>
  <c r="AI142" i="10"/>
  <c r="AI141" i="10"/>
  <c r="AI140" i="10"/>
  <c r="AI139" i="10"/>
  <c r="AI138" i="10"/>
  <c r="AI137" i="10"/>
  <c r="AI136" i="10"/>
  <c r="AI135" i="10"/>
  <c r="AI134" i="10"/>
  <c r="AI133" i="10"/>
  <c r="AI132" i="10"/>
  <c r="AI131" i="10"/>
  <c r="AI130" i="10"/>
  <c r="AI129" i="10"/>
  <c r="AI128" i="10"/>
  <c r="AI127" i="10"/>
  <c r="AI126" i="10"/>
  <c r="AI125" i="10"/>
  <c r="AI124" i="10"/>
  <c r="AI123" i="10"/>
  <c r="AI122" i="10"/>
  <c r="AI121" i="10"/>
  <c r="AI120" i="10"/>
  <c r="AI119" i="10"/>
  <c r="AI118" i="10"/>
  <c r="AI117" i="10"/>
  <c r="AI116" i="10"/>
  <c r="AI115" i="10"/>
  <c r="AI114" i="10"/>
  <c r="AI113" i="10"/>
  <c r="AI112" i="10"/>
  <c r="AI111" i="10"/>
  <c r="AI110" i="10"/>
  <c r="AI109" i="10"/>
  <c r="AI108" i="10"/>
  <c r="AI107" i="10"/>
  <c r="AI106" i="10"/>
  <c r="AI105" i="10"/>
  <c r="AI104" i="10"/>
  <c r="AI103" i="10"/>
  <c r="AI102" i="10"/>
  <c r="AI101" i="10"/>
  <c r="AI100" i="10"/>
  <c r="AI99" i="10"/>
  <c r="AI98" i="10"/>
  <c r="AI97" i="10"/>
  <c r="AI96" i="10"/>
  <c r="AI95" i="10"/>
  <c r="AI94" i="10"/>
  <c r="AI93" i="10"/>
  <c r="AI92" i="10"/>
  <c r="AI91" i="10"/>
  <c r="AI90" i="10"/>
  <c r="AI89" i="10"/>
  <c r="AI88" i="10"/>
  <c r="AI87" i="10"/>
  <c r="AI86" i="10"/>
  <c r="AI85" i="10"/>
  <c r="AI84" i="10"/>
  <c r="AI83" i="10"/>
  <c r="AI82" i="10"/>
  <c r="AI81" i="10"/>
  <c r="AI80" i="10"/>
  <c r="AI79" i="10"/>
  <c r="AI78" i="10"/>
  <c r="AI77" i="10"/>
  <c r="AI76" i="10"/>
  <c r="AI75" i="10"/>
  <c r="AI74" i="10"/>
  <c r="AI73" i="10"/>
  <c r="AI72" i="10"/>
  <c r="AI71" i="10"/>
  <c r="AI70" i="10"/>
  <c r="AI69" i="10"/>
  <c r="AI68" i="10"/>
  <c r="AI67" i="10"/>
  <c r="AI66" i="10"/>
  <c r="AI65" i="10"/>
  <c r="AI64" i="10"/>
  <c r="AI63" i="10"/>
  <c r="AI62" i="10"/>
  <c r="AI61" i="10"/>
  <c r="AI60" i="10"/>
  <c r="AI59" i="10"/>
  <c r="AI58" i="10"/>
  <c r="AI57" i="10"/>
  <c r="AI56" i="10"/>
  <c r="AI55" i="10"/>
  <c r="AI54" i="10"/>
  <c r="AI53" i="10"/>
  <c r="AI52" i="10"/>
  <c r="AI51" i="10"/>
  <c r="AI50" i="10"/>
  <c r="AI49" i="10"/>
  <c r="AI48" i="10"/>
  <c r="AI47" i="10"/>
  <c r="AI46" i="10"/>
  <c r="AI45" i="10"/>
  <c r="AI44" i="10"/>
  <c r="AI43" i="10"/>
  <c r="AI42" i="10"/>
  <c r="AI41" i="10"/>
  <c r="AI40" i="10"/>
  <c r="AI39" i="10"/>
  <c r="AI38" i="10"/>
  <c r="AI37" i="10"/>
  <c r="AI36" i="10"/>
  <c r="AI35" i="10"/>
  <c r="AI34" i="10"/>
  <c r="AI33" i="10"/>
  <c r="AI32" i="10"/>
  <c r="AI31" i="10"/>
  <c r="AI30" i="10"/>
  <c r="AI29" i="10"/>
  <c r="AI28" i="10"/>
  <c r="AI27" i="10"/>
  <c r="AI26" i="10"/>
  <c r="AI25" i="10"/>
  <c r="AI24" i="10"/>
  <c r="AI23" i="10"/>
  <c r="AI22" i="10"/>
  <c r="AI21" i="10"/>
  <c r="AI20" i="10"/>
  <c r="AI19" i="10"/>
  <c r="AI18" i="10"/>
  <c r="AI17" i="10"/>
  <c r="AI16" i="10"/>
  <c r="AI15" i="10"/>
  <c r="AI14" i="10"/>
  <c r="AI13" i="10"/>
  <c r="AI12" i="10"/>
  <c r="AI11" i="10"/>
  <c r="AI10" i="10"/>
  <c r="AI9" i="10"/>
  <c r="AI8" i="10"/>
  <c r="AI7" i="10"/>
  <c r="AI6" i="10"/>
  <c r="AI5" i="10"/>
  <c r="AI4" i="10"/>
  <c r="AI3" i="10"/>
  <c r="AI2" i="10"/>
  <c r="AI216" i="12"/>
  <c r="AI215" i="12"/>
  <c r="AI214" i="12"/>
  <c r="AI213" i="12"/>
  <c r="AI212" i="12"/>
  <c r="AI211" i="12"/>
  <c r="AI210" i="12"/>
  <c r="AI209" i="12"/>
  <c r="AI208" i="12"/>
  <c r="AI207" i="12"/>
  <c r="AI206" i="12"/>
  <c r="AI205" i="12"/>
  <c r="AI204" i="12"/>
  <c r="AI203" i="12"/>
  <c r="AI202" i="12"/>
  <c r="AI201" i="12"/>
  <c r="AI200" i="12"/>
  <c r="AI199" i="12"/>
  <c r="AI198" i="12"/>
  <c r="AI197" i="12"/>
  <c r="AI196" i="12"/>
  <c r="AI195" i="12"/>
  <c r="AI194" i="12"/>
  <c r="AI193" i="12"/>
  <c r="AI192" i="12"/>
  <c r="AI191" i="12"/>
  <c r="AI190" i="12"/>
  <c r="AI189" i="12"/>
  <c r="AI188" i="12"/>
  <c r="AI187" i="12"/>
  <c r="AI186" i="12"/>
  <c r="AI185" i="12"/>
  <c r="AI184" i="12"/>
  <c r="AI183" i="12"/>
  <c r="AI182" i="12"/>
  <c r="AI181" i="12"/>
  <c r="AI180" i="12"/>
  <c r="AI179" i="12"/>
  <c r="AI178" i="12"/>
  <c r="AI177" i="12"/>
  <c r="AI176" i="12"/>
  <c r="AI175" i="12"/>
  <c r="AI174" i="12"/>
  <c r="AI173" i="12"/>
  <c r="AI172" i="12"/>
  <c r="AI171" i="12"/>
  <c r="AI170" i="12"/>
  <c r="AI169" i="12"/>
  <c r="AI168" i="12"/>
  <c r="AI167" i="12"/>
  <c r="AI166" i="12"/>
  <c r="AI165" i="12"/>
  <c r="AI164" i="12"/>
  <c r="AI163" i="12"/>
  <c r="AI162" i="12"/>
  <c r="AI161" i="12"/>
  <c r="AI160" i="12"/>
  <c r="AI159" i="12"/>
  <c r="AI158" i="12"/>
  <c r="AI157" i="12"/>
  <c r="AI156" i="12"/>
  <c r="AI155" i="12"/>
  <c r="AI154" i="12"/>
  <c r="AI153" i="12"/>
  <c r="AI152" i="12"/>
  <c r="AI151" i="12"/>
  <c r="AI150" i="12"/>
  <c r="AI149" i="12"/>
  <c r="AI148" i="12"/>
  <c r="AI147" i="12"/>
  <c r="AI146" i="12"/>
  <c r="AI145" i="12"/>
  <c r="AI144" i="12"/>
  <c r="AI143" i="12"/>
  <c r="AI142" i="12"/>
  <c r="AI141" i="12"/>
  <c r="AI140" i="12"/>
  <c r="AI139" i="12"/>
  <c r="AI138" i="12"/>
  <c r="AI137" i="12"/>
  <c r="AI136" i="12"/>
  <c r="AI135" i="12"/>
  <c r="AI134" i="12"/>
  <c r="AI133" i="12"/>
  <c r="AI132" i="12"/>
  <c r="AI131" i="12"/>
  <c r="AI130" i="12"/>
  <c r="AI129" i="12"/>
  <c r="AI128" i="12"/>
  <c r="AI127" i="12"/>
  <c r="AI126" i="12"/>
  <c r="AI125" i="12"/>
  <c r="AI124" i="12"/>
  <c r="AI123" i="12"/>
  <c r="AI122" i="12"/>
  <c r="AI121" i="12"/>
  <c r="AI120" i="12"/>
  <c r="AI119" i="12"/>
  <c r="AI118" i="12"/>
  <c r="AI117" i="12"/>
  <c r="AI116" i="12"/>
  <c r="AI115" i="12"/>
  <c r="AI114" i="12"/>
  <c r="AI113" i="12"/>
  <c r="AI112" i="12"/>
  <c r="AI111" i="12"/>
  <c r="AI110" i="12"/>
  <c r="AI109" i="12"/>
  <c r="AI108" i="12"/>
  <c r="AI107" i="12"/>
  <c r="AI106" i="12"/>
  <c r="AI105" i="12"/>
  <c r="AI104" i="12"/>
  <c r="AI103" i="12"/>
  <c r="AI102" i="12"/>
  <c r="AI101" i="12"/>
  <c r="AI100" i="12"/>
  <c r="AI99" i="12"/>
  <c r="AI98" i="12"/>
  <c r="AI97" i="12"/>
  <c r="AI96" i="12"/>
  <c r="AI95" i="12"/>
  <c r="AI94" i="12"/>
  <c r="AI93" i="12"/>
  <c r="AI92" i="12"/>
  <c r="AI91" i="12"/>
  <c r="AI90" i="12"/>
  <c r="AI89" i="12"/>
  <c r="AI88" i="12"/>
  <c r="AI87" i="12"/>
  <c r="AI86" i="12"/>
  <c r="AI85" i="12"/>
  <c r="AI84" i="12"/>
  <c r="AI83" i="12"/>
  <c r="AI82" i="12"/>
  <c r="AI81" i="12"/>
  <c r="AI80" i="12"/>
  <c r="AI79" i="12"/>
  <c r="AI78" i="12"/>
  <c r="AI77" i="12"/>
  <c r="AI76" i="12"/>
  <c r="AI75" i="12"/>
  <c r="AI74" i="12"/>
  <c r="AI73" i="12"/>
  <c r="AI72" i="12"/>
  <c r="AI71" i="12"/>
  <c r="AI70" i="12"/>
  <c r="AI69" i="12"/>
  <c r="AI68" i="12"/>
  <c r="AI67" i="12"/>
  <c r="AI66" i="12"/>
  <c r="AI65" i="12"/>
  <c r="AI64" i="12"/>
  <c r="AI63" i="12"/>
  <c r="AI62" i="12"/>
  <c r="AI61" i="12"/>
  <c r="AI60" i="12"/>
  <c r="AI59" i="12"/>
  <c r="AI58" i="12"/>
  <c r="AI57" i="12"/>
  <c r="AI56" i="12"/>
  <c r="AI55" i="12"/>
  <c r="AI54" i="12"/>
  <c r="AI53" i="12"/>
  <c r="AI52" i="12"/>
  <c r="AI51" i="12"/>
  <c r="AI50" i="12"/>
  <c r="AI49" i="12"/>
  <c r="AI48" i="12"/>
  <c r="AI47" i="12"/>
  <c r="AI46" i="12"/>
  <c r="AI45" i="12"/>
  <c r="AI44" i="12"/>
  <c r="AI43" i="12"/>
  <c r="AI42" i="12"/>
  <c r="AI41" i="12"/>
  <c r="AI40" i="12"/>
  <c r="AI39" i="12"/>
  <c r="AI38" i="12"/>
  <c r="AI37" i="12"/>
  <c r="AI36" i="12"/>
  <c r="AI35" i="12"/>
  <c r="AI34" i="12"/>
  <c r="AI33" i="12"/>
  <c r="AI32" i="12"/>
  <c r="AI31" i="12"/>
  <c r="AI30" i="12"/>
  <c r="AI29" i="12"/>
  <c r="AI28" i="12"/>
  <c r="AI27" i="12"/>
  <c r="AI26" i="12"/>
  <c r="AI25" i="12"/>
  <c r="AI24" i="12"/>
  <c r="AI23" i="12"/>
  <c r="AI22" i="12"/>
  <c r="AI21" i="12"/>
  <c r="AI20" i="12"/>
  <c r="AI19" i="12"/>
  <c r="AI18" i="12"/>
  <c r="AI17" i="12"/>
  <c r="AI16" i="12"/>
  <c r="AI15" i="12"/>
  <c r="AI14" i="12"/>
  <c r="AI13" i="12"/>
  <c r="AI12" i="12"/>
  <c r="AI11" i="12"/>
  <c r="AI10" i="12"/>
  <c r="AI9" i="12"/>
  <c r="AI8" i="12"/>
  <c r="AI7" i="12"/>
  <c r="AI6" i="12"/>
  <c r="AI5" i="12"/>
  <c r="AI4" i="12"/>
  <c r="AI3" i="12"/>
  <c r="AI2" i="12"/>
  <c r="AI338" i="11"/>
  <c r="AI337" i="11"/>
  <c r="AI336" i="11"/>
  <c r="AI335" i="11"/>
  <c r="AI334" i="11"/>
  <c r="AI333" i="11"/>
  <c r="AI332" i="11"/>
  <c r="AI331" i="11"/>
  <c r="AI330" i="11"/>
  <c r="AI329" i="11"/>
  <c r="AI328" i="11"/>
  <c r="AI327" i="11"/>
  <c r="AI326" i="11"/>
  <c r="AI325" i="11"/>
  <c r="AI324" i="11"/>
  <c r="AI323" i="11"/>
  <c r="AI322" i="11"/>
  <c r="AI321" i="11"/>
  <c r="AI320" i="11"/>
  <c r="AI319" i="11"/>
  <c r="AI318" i="11"/>
  <c r="AI317" i="11"/>
  <c r="AI316" i="11"/>
  <c r="AI315" i="11"/>
  <c r="AI314" i="11"/>
  <c r="AI313" i="11"/>
  <c r="AI312" i="11"/>
  <c r="AI311" i="11"/>
  <c r="AI310" i="11"/>
  <c r="AI309" i="11"/>
  <c r="AI308" i="11"/>
  <c r="AI307" i="11"/>
  <c r="AI306" i="11"/>
  <c r="AI305" i="11"/>
  <c r="AI304" i="11"/>
  <c r="AI303" i="11"/>
  <c r="AI302" i="11"/>
  <c r="AI301" i="11"/>
  <c r="AI300" i="11"/>
  <c r="AI299" i="11"/>
  <c r="AI298" i="11"/>
  <c r="AI297" i="11"/>
  <c r="AI296" i="11"/>
  <c r="AI295" i="11"/>
  <c r="AI294" i="11"/>
  <c r="AI293" i="11"/>
  <c r="AI292" i="11"/>
  <c r="AI291" i="11"/>
  <c r="AI290" i="11"/>
  <c r="AI289" i="11"/>
  <c r="AI288" i="11"/>
  <c r="AI287" i="11"/>
  <c r="AI286" i="11"/>
  <c r="AI285" i="11"/>
  <c r="AI284" i="11"/>
  <c r="AI283" i="11"/>
  <c r="AI282" i="11"/>
  <c r="AI281" i="11"/>
  <c r="AI280" i="11"/>
  <c r="AI279" i="11"/>
  <c r="AI278" i="11"/>
  <c r="AI277" i="11"/>
  <c r="AI276" i="11"/>
  <c r="AI275" i="11"/>
  <c r="AI274" i="11"/>
  <c r="AI273" i="11"/>
  <c r="AI272" i="11"/>
  <c r="AI271" i="11"/>
  <c r="AI270" i="11"/>
  <c r="AI269" i="11"/>
  <c r="AI268" i="11"/>
  <c r="AI267" i="11"/>
  <c r="AI266" i="11"/>
  <c r="AI265" i="11"/>
  <c r="AI264" i="11"/>
  <c r="AI263" i="11"/>
  <c r="AI262" i="11"/>
  <c r="AI261" i="11"/>
  <c r="AI260" i="11"/>
  <c r="AI259" i="11"/>
  <c r="AI258" i="11"/>
  <c r="AI257" i="11"/>
  <c r="AI256" i="11"/>
  <c r="AI255" i="11"/>
  <c r="AI254" i="11"/>
  <c r="AI253" i="11"/>
  <c r="AI252" i="11"/>
  <c r="AI251" i="11"/>
  <c r="AI250" i="11"/>
  <c r="AI249" i="11"/>
  <c r="AI248" i="11"/>
  <c r="AI247" i="11"/>
  <c r="AI246" i="11"/>
  <c r="AI245" i="11"/>
  <c r="AI244" i="11"/>
  <c r="AI243" i="11"/>
  <c r="AI242" i="11"/>
  <c r="AI241" i="11"/>
  <c r="AI240" i="11"/>
  <c r="AI239" i="11"/>
  <c r="AI238" i="11"/>
  <c r="AI237" i="11"/>
  <c r="AI236" i="11"/>
  <c r="AI235" i="11"/>
  <c r="AI234" i="11"/>
  <c r="AI233" i="11"/>
  <c r="AI232" i="11"/>
  <c r="AI231" i="11"/>
  <c r="AI230" i="11"/>
  <c r="AI229" i="11"/>
  <c r="AI228" i="11"/>
  <c r="AI227" i="11"/>
  <c r="AI226" i="11"/>
  <c r="AI225" i="11"/>
  <c r="AI224" i="11"/>
  <c r="AI223" i="11"/>
  <c r="AI222" i="11"/>
  <c r="AI221" i="11"/>
  <c r="AI220" i="11"/>
  <c r="AI219" i="11"/>
  <c r="AI218" i="11"/>
  <c r="AI217" i="11"/>
  <c r="AI216" i="11"/>
  <c r="AI215" i="11"/>
  <c r="AI214" i="11"/>
  <c r="AI213" i="11"/>
  <c r="AI212" i="11"/>
  <c r="AI211" i="11"/>
  <c r="AI210" i="11"/>
  <c r="AI209" i="11"/>
  <c r="AI208" i="11"/>
  <c r="AI207" i="11"/>
  <c r="AI206" i="11"/>
  <c r="AI205" i="11"/>
  <c r="AI204" i="11"/>
  <c r="AI203" i="11"/>
  <c r="AI202" i="11"/>
  <c r="AI201" i="11"/>
  <c r="AI200" i="11"/>
  <c r="AI199" i="11"/>
  <c r="AI198" i="11"/>
  <c r="AI197" i="11"/>
  <c r="AI196" i="11"/>
  <c r="AI195" i="11"/>
  <c r="AI194" i="11"/>
  <c r="AI193" i="11"/>
  <c r="AI192" i="11"/>
  <c r="AI191" i="11"/>
  <c r="AI190" i="11"/>
  <c r="AI189" i="11"/>
  <c r="AI188" i="11"/>
  <c r="AI187" i="11"/>
  <c r="AI186" i="11"/>
  <c r="AI185" i="11"/>
  <c r="AI184" i="11"/>
  <c r="AI183" i="11"/>
  <c r="AI182" i="11"/>
  <c r="AI181" i="11"/>
  <c r="AI180" i="11"/>
  <c r="AI179" i="11"/>
  <c r="AI178" i="11"/>
  <c r="AI177" i="11"/>
  <c r="AI176" i="11"/>
  <c r="AI175" i="11"/>
  <c r="AI174" i="11"/>
  <c r="AI173" i="11"/>
  <c r="AI172" i="11"/>
  <c r="AI171" i="11"/>
  <c r="AI170" i="11"/>
  <c r="AI169" i="11"/>
  <c r="AI168" i="11"/>
  <c r="AI167" i="11"/>
  <c r="AI166" i="11"/>
  <c r="AI165" i="11"/>
  <c r="AI164" i="11"/>
  <c r="AI163" i="11"/>
  <c r="AI162" i="11"/>
  <c r="AI161" i="11"/>
  <c r="AI160" i="11"/>
  <c r="AI159" i="11"/>
  <c r="AI158" i="11"/>
  <c r="AI157" i="11"/>
  <c r="AI156" i="11"/>
  <c r="AI155" i="11"/>
  <c r="AI154" i="11"/>
  <c r="AI153" i="11"/>
  <c r="AI152" i="11"/>
  <c r="AI151" i="11"/>
  <c r="AI150" i="11"/>
  <c r="AI149" i="11"/>
  <c r="AI148" i="11"/>
  <c r="AI147" i="11"/>
  <c r="AI146" i="11"/>
  <c r="AI145" i="11"/>
  <c r="AI144" i="11"/>
  <c r="AI143" i="11"/>
  <c r="AI142" i="11"/>
  <c r="AI141" i="11"/>
  <c r="AI140" i="11"/>
  <c r="AI139" i="11"/>
  <c r="AI138" i="11"/>
  <c r="AI137" i="11"/>
  <c r="AI136" i="11"/>
  <c r="AI135" i="11"/>
  <c r="AI134" i="11"/>
  <c r="AI133" i="11"/>
  <c r="AI132" i="11"/>
  <c r="AI131" i="11"/>
  <c r="AI130" i="11"/>
  <c r="AI129" i="11"/>
  <c r="AI128" i="11"/>
  <c r="AI127" i="11"/>
  <c r="AI126" i="11"/>
  <c r="AI125" i="11"/>
  <c r="AI124" i="11"/>
  <c r="AI123" i="11"/>
  <c r="AI122" i="11"/>
  <c r="AI121" i="11"/>
  <c r="AI120" i="11"/>
  <c r="AI119" i="11"/>
  <c r="AI118" i="11"/>
  <c r="AI117" i="11"/>
  <c r="AI116" i="11"/>
  <c r="AI115" i="11"/>
  <c r="AI114" i="11"/>
  <c r="AI113" i="11"/>
  <c r="AI112" i="11"/>
  <c r="AI111" i="11"/>
  <c r="AI110" i="11"/>
  <c r="AI109" i="11"/>
  <c r="AI108" i="11"/>
  <c r="AI107" i="11"/>
  <c r="AI106" i="11"/>
  <c r="AI105" i="11"/>
  <c r="AI104" i="11"/>
  <c r="AI103" i="11"/>
  <c r="AI102" i="11"/>
  <c r="AI101" i="11"/>
  <c r="AI100" i="11"/>
  <c r="AI99" i="11"/>
  <c r="AI98" i="11"/>
  <c r="AI97" i="11"/>
  <c r="AI96" i="11"/>
  <c r="AI95" i="11"/>
  <c r="AI94" i="11"/>
  <c r="AI93" i="11"/>
  <c r="AI92" i="11"/>
  <c r="AI91" i="11"/>
  <c r="AI90" i="11"/>
  <c r="AI89" i="11"/>
  <c r="AI88" i="11"/>
  <c r="AI87" i="11"/>
  <c r="AI86" i="11"/>
  <c r="AI85" i="11"/>
  <c r="AI84" i="11"/>
  <c r="AI83" i="11"/>
  <c r="AI82" i="11"/>
  <c r="AI81" i="11"/>
  <c r="AI80" i="11"/>
  <c r="AI79" i="11"/>
  <c r="AI78" i="11"/>
  <c r="AI77" i="11"/>
  <c r="AI76" i="11"/>
  <c r="AI75" i="11"/>
  <c r="AI74" i="11"/>
  <c r="AI73" i="11"/>
  <c r="AI72" i="11"/>
  <c r="AI71" i="11"/>
  <c r="AI70" i="11"/>
  <c r="AI69" i="11"/>
  <c r="AI68" i="11"/>
  <c r="AI67" i="11"/>
  <c r="AI66" i="11"/>
  <c r="AI65" i="11"/>
  <c r="AI64" i="11"/>
  <c r="AI63" i="11"/>
  <c r="AI62" i="11"/>
  <c r="AI61" i="11"/>
  <c r="AI60" i="11"/>
  <c r="AI59" i="11"/>
  <c r="AI58" i="11"/>
  <c r="AI57" i="11"/>
  <c r="AI56" i="11"/>
  <c r="AI55" i="11"/>
  <c r="AI54" i="11"/>
  <c r="AI53" i="11"/>
  <c r="AI52" i="11"/>
  <c r="AI51" i="11"/>
  <c r="AI50" i="11"/>
  <c r="AI49" i="11"/>
  <c r="AI48" i="11"/>
  <c r="AI47" i="11"/>
  <c r="AI46" i="11"/>
  <c r="AI45" i="11"/>
  <c r="AI44" i="11"/>
  <c r="AI43" i="11"/>
  <c r="AI42" i="11"/>
  <c r="AI41" i="11"/>
  <c r="AI40" i="11"/>
  <c r="AI39" i="11"/>
  <c r="AI38" i="11"/>
  <c r="AI37" i="11"/>
  <c r="AI36" i="11"/>
  <c r="AI35" i="11"/>
  <c r="AI34" i="11"/>
  <c r="AI33" i="11"/>
  <c r="AI32" i="11"/>
  <c r="AI31" i="11"/>
  <c r="AI30" i="11"/>
  <c r="AI29" i="11"/>
  <c r="AI28" i="11"/>
  <c r="AI27" i="11"/>
  <c r="AI26" i="11"/>
  <c r="AI25" i="11"/>
  <c r="AI24" i="11"/>
  <c r="AI23" i="11"/>
  <c r="AI22" i="11"/>
  <c r="AI21" i="11"/>
  <c r="AI20" i="11"/>
  <c r="AI19" i="11"/>
  <c r="AI18" i="11"/>
  <c r="AI17" i="11"/>
  <c r="AI16" i="11"/>
  <c r="AI15" i="11"/>
  <c r="AI14" i="11"/>
  <c r="AI13" i="11"/>
  <c r="AI12" i="11"/>
  <c r="AI11" i="11"/>
  <c r="AI10" i="11"/>
  <c r="AI9" i="11"/>
  <c r="AI8" i="11"/>
  <c r="AI7" i="11"/>
  <c r="AI6" i="11"/>
  <c r="AI5" i="11"/>
  <c r="AI4" i="11"/>
  <c r="AI3" i="11"/>
  <c r="AI2" i="11"/>
  <c r="AA36" i="10" l="1"/>
  <c r="AA52" i="10"/>
  <c r="AA56" i="10"/>
  <c r="AA60" i="10"/>
  <c r="AA64" i="10"/>
  <c r="AA68" i="10"/>
  <c r="AA72" i="10"/>
  <c r="AA76" i="10"/>
  <c r="AA80" i="10"/>
  <c r="AA84" i="10"/>
  <c r="AA88" i="10"/>
  <c r="AA92" i="10"/>
  <c r="AA96" i="10"/>
  <c r="AA100" i="10"/>
  <c r="AA104" i="10"/>
  <c r="AA108" i="10"/>
  <c r="AA112" i="10"/>
  <c r="AA116" i="10"/>
  <c r="AA120" i="10"/>
  <c r="AA124" i="10"/>
  <c r="AA132" i="10"/>
  <c r="AA140" i="10"/>
  <c r="AA148" i="10"/>
  <c r="AA156" i="10"/>
  <c r="AA165" i="10"/>
  <c r="AA181" i="10"/>
  <c r="AA197" i="10"/>
  <c r="AA213" i="10"/>
  <c r="AA229" i="10"/>
  <c r="AA245" i="10"/>
  <c r="AA261" i="10"/>
  <c r="AA37" i="10"/>
  <c r="AA41" i="10"/>
  <c r="AA45" i="10"/>
  <c r="AA49" i="10"/>
  <c r="AA53" i="10"/>
  <c r="AA57" i="10"/>
  <c r="AA61" i="10"/>
  <c r="AA65" i="10"/>
  <c r="AA69" i="10"/>
  <c r="AA73" i="10"/>
  <c r="AA77" i="10"/>
  <c r="AA81" i="10"/>
  <c r="AA85" i="10"/>
  <c r="AA89" i="10"/>
  <c r="AA93" i="10"/>
  <c r="AA97" i="10"/>
  <c r="AA101" i="10"/>
  <c r="AA105" i="10"/>
  <c r="AA109" i="10"/>
  <c r="AA113" i="10"/>
  <c r="AA117" i="10"/>
  <c r="AA121" i="10"/>
  <c r="AA125" i="10"/>
  <c r="AA133" i="10"/>
  <c r="AA141" i="10"/>
  <c r="AA149" i="10"/>
  <c r="AA157" i="10"/>
  <c r="AA169" i="10"/>
  <c r="AA185" i="10"/>
  <c r="AA201" i="10"/>
  <c r="AA217" i="10"/>
  <c r="AA233" i="10"/>
  <c r="AA249" i="10"/>
  <c r="AA265" i="10"/>
  <c r="AA18" i="10"/>
  <c r="AA34" i="10"/>
  <c r="AA50" i="10"/>
  <c r="AA58" i="10"/>
  <c r="AA62" i="10"/>
  <c r="AA66" i="10"/>
  <c r="AA70" i="10"/>
  <c r="AA74" i="10"/>
  <c r="AA78" i="10"/>
  <c r="AA82" i="10"/>
  <c r="AA86" i="10"/>
  <c r="AA90" i="10"/>
  <c r="AA94" i="10"/>
  <c r="AA98" i="10"/>
  <c r="AA102" i="10"/>
  <c r="AA106" i="10"/>
  <c r="AA110" i="10"/>
  <c r="AA114" i="10"/>
  <c r="AA118" i="10"/>
  <c r="AA122" i="10"/>
  <c r="AA128" i="10"/>
  <c r="AA136" i="10"/>
  <c r="AA144" i="10"/>
  <c r="AA152" i="10"/>
  <c r="AA160" i="10"/>
  <c r="AA173" i="10"/>
  <c r="AA189" i="10"/>
  <c r="AA205" i="10"/>
  <c r="AA221" i="10"/>
  <c r="AA237" i="10"/>
  <c r="AA253" i="10"/>
  <c r="AA29" i="10"/>
  <c r="AA31" i="10"/>
  <c r="AA35" i="10"/>
  <c r="AA39" i="10"/>
  <c r="AA47" i="10"/>
  <c r="AA51" i="10"/>
  <c r="AA55" i="10"/>
  <c r="AA59" i="10"/>
  <c r="AA63" i="10"/>
  <c r="AA67" i="10"/>
  <c r="AA71" i="10"/>
  <c r="AA75" i="10"/>
  <c r="AA79" i="10"/>
  <c r="AA83" i="10"/>
  <c r="AA87" i="10"/>
  <c r="AA91" i="10"/>
  <c r="AA95" i="10"/>
  <c r="AA99" i="10"/>
  <c r="AA103" i="10"/>
  <c r="AA107" i="10"/>
  <c r="AA111" i="10"/>
  <c r="AA115" i="10"/>
  <c r="AA119" i="10"/>
  <c r="AA123" i="10"/>
  <c r="AA129" i="10"/>
  <c r="AA137" i="10"/>
  <c r="AA145" i="10"/>
  <c r="AA153" i="10"/>
  <c r="AA161" i="10"/>
  <c r="AA177" i="10"/>
  <c r="AA193" i="10"/>
  <c r="AA209" i="10"/>
  <c r="AA225" i="10"/>
  <c r="AA241" i="10"/>
  <c r="AA257" i="10"/>
  <c r="AA127" i="10"/>
  <c r="AA131" i="10"/>
  <c r="AA135" i="10"/>
  <c r="AA139" i="10"/>
  <c r="AA143" i="10"/>
  <c r="AA147" i="10"/>
  <c r="AA151" i="10"/>
  <c r="AA155" i="10"/>
  <c r="AA159" i="10"/>
  <c r="AA163" i="10"/>
  <c r="AA167" i="10"/>
  <c r="AA171" i="10"/>
  <c r="AA175" i="10"/>
  <c r="AA179" i="10"/>
  <c r="AA183" i="10"/>
  <c r="AA187" i="10"/>
  <c r="AA191" i="10"/>
  <c r="AA195" i="10"/>
  <c r="AA199" i="10"/>
  <c r="AA203" i="10"/>
  <c r="AA207" i="10"/>
  <c r="AA211" i="10"/>
  <c r="AA215" i="10"/>
  <c r="AA219" i="10"/>
  <c r="AA223" i="10"/>
  <c r="AA227" i="10"/>
  <c r="AA231" i="10"/>
  <c r="AA235" i="10"/>
  <c r="AA239" i="10"/>
  <c r="AA243" i="10"/>
  <c r="AA247" i="10"/>
  <c r="AA251" i="10"/>
  <c r="AA255" i="10"/>
  <c r="AA259" i="10"/>
  <c r="AA263" i="10"/>
  <c r="AA267" i="10"/>
  <c r="AA271" i="10"/>
  <c r="AA275" i="10"/>
  <c r="AA279" i="10"/>
  <c r="AA283" i="10"/>
  <c r="AA287" i="10"/>
  <c r="AA291" i="10"/>
  <c r="AA295" i="10"/>
  <c r="AA299" i="10"/>
  <c r="AA303" i="10"/>
  <c r="AA307" i="10"/>
  <c r="AA311" i="10"/>
  <c r="AA315" i="10"/>
  <c r="AA319" i="10"/>
  <c r="AA323" i="10"/>
  <c r="AA327" i="10"/>
  <c r="AA331" i="10"/>
  <c r="AA335" i="10"/>
  <c r="AA339" i="10"/>
  <c r="AA343" i="10"/>
  <c r="AA347" i="10"/>
  <c r="AA351" i="10"/>
  <c r="AA355" i="10"/>
  <c r="AA359" i="10"/>
  <c r="AA363" i="10"/>
  <c r="AA367" i="10"/>
  <c r="AA371" i="10"/>
  <c r="AA375" i="10"/>
  <c r="AA379" i="10"/>
  <c r="AA383" i="10"/>
  <c r="AA387" i="10"/>
  <c r="AA391" i="10"/>
  <c r="AA395" i="10"/>
  <c r="AA399" i="10"/>
  <c r="AA403" i="10"/>
  <c r="AA407" i="10"/>
  <c r="AA411" i="10"/>
  <c r="AA415" i="10"/>
  <c r="AA419" i="10"/>
  <c r="AA423" i="10"/>
  <c r="AA427" i="10"/>
  <c r="AA431" i="10"/>
  <c r="AA435" i="10"/>
  <c r="AA439" i="10"/>
  <c r="AA443" i="10"/>
  <c r="AA447" i="10"/>
  <c r="AA451" i="10"/>
  <c r="AA455" i="10"/>
  <c r="AA459" i="10"/>
  <c r="AA463" i="10"/>
  <c r="AA164" i="10"/>
  <c r="AA168" i="10"/>
  <c r="AA172" i="10"/>
  <c r="AA176" i="10"/>
  <c r="AA180" i="10"/>
  <c r="AA184" i="10"/>
  <c r="AA188" i="10"/>
  <c r="AA192" i="10"/>
  <c r="AA196" i="10"/>
  <c r="AA200" i="10"/>
  <c r="AA204" i="10"/>
  <c r="AA208" i="10"/>
  <c r="AA212" i="10"/>
  <c r="AA216" i="10"/>
  <c r="AA220" i="10"/>
  <c r="AA224" i="10"/>
  <c r="AA228" i="10"/>
  <c r="AA232" i="10"/>
  <c r="AA236" i="10"/>
  <c r="AA240" i="10"/>
  <c r="AA244" i="10"/>
  <c r="AA248" i="10"/>
  <c r="AA252" i="10"/>
  <c r="AA256" i="10"/>
  <c r="AA260" i="10"/>
  <c r="AA264" i="10"/>
  <c r="AA268" i="10"/>
  <c r="AA272" i="10"/>
  <c r="AA276" i="10"/>
  <c r="AA280" i="10"/>
  <c r="AA284" i="10"/>
  <c r="AA288" i="10"/>
  <c r="AA292" i="10"/>
  <c r="AA296" i="10"/>
  <c r="AA300" i="10"/>
  <c r="AA304" i="10"/>
  <c r="AA308" i="10"/>
  <c r="AA312" i="10"/>
  <c r="AA316" i="10"/>
  <c r="AA320" i="10"/>
  <c r="AA324" i="10"/>
  <c r="AA328" i="10"/>
  <c r="AA332" i="10"/>
  <c r="AA336" i="10"/>
  <c r="AA340" i="10"/>
  <c r="AA344" i="10"/>
  <c r="AA348" i="10"/>
  <c r="AA352" i="10"/>
  <c r="AA356" i="10"/>
  <c r="AA360" i="10"/>
  <c r="AA364" i="10"/>
  <c r="AA368" i="10"/>
  <c r="AA372" i="10"/>
  <c r="AA376" i="10"/>
  <c r="AA380" i="10"/>
  <c r="AA384" i="10"/>
  <c r="AA388" i="10"/>
  <c r="AA392" i="10"/>
  <c r="AA396" i="10"/>
  <c r="AA400" i="10"/>
  <c r="AA404" i="10"/>
  <c r="AA408" i="10"/>
  <c r="AA412" i="10"/>
  <c r="AA416" i="10"/>
  <c r="AA420" i="10"/>
  <c r="AA424" i="10"/>
  <c r="AA428" i="10"/>
  <c r="AA432" i="10"/>
  <c r="AA436" i="10"/>
  <c r="AA440" i="10"/>
  <c r="AA444" i="10"/>
  <c r="AA448" i="10"/>
  <c r="AA452" i="10"/>
  <c r="AA456" i="10"/>
  <c r="AA460" i="10"/>
  <c r="AA464" i="10"/>
  <c r="AA269" i="10"/>
  <c r="AA273" i="10"/>
  <c r="AA277" i="10"/>
  <c r="AA281" i="10"/>
  <c r="AA285" i="10"/>
  <c r="AA289" i="10"/>
  <c r="AA293" i="10"/>
  <c r="AA297" i="10"/>
  <c r="AA301" i="10"/>
  <c r="AA305" i="10"/>
  <c r="AA309" i="10"/>
  <c r="AA313" i="10"/>
  <c r="AA317" i="10"/>
  <c r="AA321" i="10"/>
  <c r="AA325" i="10"/>
  <c r="AA329" i="10"/>
  <c r="AA333" i="10"/>
  <c r="AA337" i="10"/>
  <c r="AA341" i="10"/>
  <c r="AA345" i="10"/>
  <c r="AA349" i="10"/>
  <c r="AA353" i="10"/>
  <c r="AA357" i="10"/>
  <c r="AA361" i="10"/>
  <c r="AA365" i="10"/>
  <c r="AA369" i="10"/>
  <c r="AA373" i="10"/>
  <c r="AA377" i="10"/>
  <c r="AA381" i="10"/>
  <c r="AA385" i="10"/>
  <c r="AA389" i="10"/>
  <c r="AA393" i="10"/>
  <c r="AA397" i="10"/>
  <c r="AA401" i="10"/>
  <c r="AA405" i="10"/>
  <c r="AA413" i="10"/>
  <c r="AA417" i="10"/>
  <c r="AA421" i="10"/>
  <c r="AA425" i="10"/>
  <c r="AA429" i="10"/>
  <c r="AA433" i="10"/>
  <c r="AA437" i="10"/>
  <c r="AA441" i="10"/>
  <c r="AA445" i="10"/>
  <c r="AA449" i="10"/>
  <c r="AA453" i="10"/>
  <c r="AA457" i="10"/>
  <c r="AA461" i="10"/>
  <c r="AA465" i="10"/>
  <c r="AA126" i="10"/>
  <c r="AA130" i="10"/>
  <c r="AA134" i="10"/>
  <c r="AA138" i="10"/>
  <c r="AA142" i="10"/>
  <c r="AA146" i="10"/>
  <c r="AA150" i="10"/>
  <c r="AA154" i="10"/>
  <c r="AA158" i="10"/>
  <c r="AA162" i="10"/>
  <c r="AA166" i="10"/>
  <c r="AA170" i="10"/>
  <c r="AA174" i="10"/>
  <c r="AA178" i="10"/>
  <c r="AA182" i="10"/>
  <c r="AA186" i="10"/>
  <c r="AA190" i="10"/>
  <c r="AA194" i="10"/>
  <c r="AA198" i="10"/>
  <c r="AA202" i="10"/>
  <c r="AA206" i="10"/>
  <c r="AA210" i="10"/>
  <c r="AA214" i="10"/>
  <c r="AA218" i="10"/>
  <c r="AA222" i="10"/>
  <c r="AA226" i="10"/>
  <c r="AA230" i="10"/>
  <c r="AA234" i="10"/>
  <c r="AA238" i="10"/>
  <c r="AA242" i="10"/>
  <c r="AA246" i="10"/>
  <c r="AA250" i="10"/>
  <c r="AA254" i="10"/>
  <c r="AA258" i="10"/>
  <c r="AA262" i="10"/>
  <c r="AA266" i="10"/>
  <c r="AA270" i="10"/>
  <c r="AA274" i="10"/>
  <c r="AA278" i="10"/>
  <c r="AA282" i="10"/>
  <c r="AA286" i="10"/>
  <c r="AA290" i="10"/>
  <c r="AA294" i="10"/>
  <c r="AA298" i="10"/>
  <c r="AA302" i="10"/>
  <c r="AA306" i="10"/>
  <c r="AA310" i="10"/>
  <c r="AA314" i="10"/>
  <c r="AA318" i="10"/>
  <c r="AA322" i="10"/>
  <c r="AA326" i="10"/>
  <c r="AA330" i="10"/>
  <c r="AA334" i="10"/>
  <c r="AA338" i="10"/>
  <c r="AA342" i="10"/>
  <c r="AA346" i="10"/>
  <c r="AA350" i="10"/>
  <c r="AA354" i="10"/>
  <c r="AA358" i="10"/>
  <c r="AA362" i="10"/>
  <c r="AA366" i="10"/>
  <c r="AA370" i="10"/>
  <c r="AA374" i="10"/>
  <c r="AA378" i="10"/>
  <c r="AA382" i="10"/>
  <c r="AA386" i="10"/>
  <c r="AA390" i="10"/>
  <c r="AA394" i="10"/>
  <c r="AA398" i="10"/>
  <c r="AA402" i="10"/>
  <c r="AA406" i="10"/>
  <c r="AA410" i="10"/>
  <c r="AA414" i="10"/>
  <c r="AA418" i="10"/>
  <c r="AA422" i="10"/>
  <c r="AA426" i="10"/>
  <c r="AA430" i="10"/>
  <c r="AA434" i="10"/>
  <c r="AA438" i="10"/>
  <c r="AA442" i="10"/>
  <c r="AA446" i="10"/>
  <c r="AA450" i="10"/>
  <c r="AA454" i="10"/>
  <c r="AA458" i="10"/>
  <c r="AA462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<sst xmlns="http://schemas.openxmlformats.org/spreadsheetml/2006/main" count="27744" uniqueCount="88">
  <si>
    <t>Wave</t>
  </si>
  <si>
    <t>Reasoning</t>
  </si>
  <si>
    <t>S#</t>
  </si>
  <si>
    <t>ConstructName</t>
  </si>
  <si>
    <t>ConstructNumber</t>
  </si>
  <si>
    <t>HasData</t>
  </si>
  <si>
    <t>NumTasks</t>
  </si>
  <si>
    <t>Has Data</t>
  </si>
  <si>
    <t>NA</t>
  </si>
  <si>
    <t>xx</t>
  </si>
  <si>
    <t>CantabSOCMinMov22</t>
  </si>
  <si>
    <t>CantabSOCMeanMove2_22</t>
  </si>
  <si>
    <t>CantabSOCMeanMove3_22</t>
  </si>
  <si>
    <t>CantabSOCMeanMove4_22</t>
  </si>
  <si>
    <t>CantabSOCMeanMove5_22</t>
  </si>
  <si>
    <t>CantabSOCIntialTime2_22</t>
  </si>
  <si>
    <t>CantabSOCIntialTime3_22</t>
  </si>
  <si>
    <t>CantabSOCIntialTime4_22</t>
  </si>
  <si>
    <t>CantabSOCIntialTime5_22</t>
  </si>
  <si>
    <t>CantabSOCSubsequentTime2_22</t>
  </si>
  <si>
    <t>CantabSOCSubsequentTime3_22</t>
  </si>
  <si>
    <t>CantabSOCSubsequentTime4_22</t>
  </si>
  <si>
    <t>CantabSOCSubsequentTime5_22</t>
  </si>
  <si>
    <t>Eps23</t>
  </si>
  <si>
    <t>EtsLsTOTAL21</t>
  </si>
  <si>
    <t>EtsLsP2_21</t>
  </si>
  <si>
    <t>EtsLsP1_21</t>
  </si>
  <si>
    <t>RavenAccE20</t>
  </si>
  <si>
    <t>RavenAccM20</t>
  </si>
  <si>
    <t>RavenAccH20</t>
  </si>
  <si>
    <t>RavenNumCor20</t>
  </si>
  <si>
    <t>RavenTime20</t>
  </si>
  <si>
    <t>RavenNumAnswer20</t>
  </si>
  <si>
    <t>RavenAccAll20</t>
  </si>
  <si>
    <t>N/A</t>
  </si>
  <si>
    <t>Sex</t>
  </si>
  <si>
    <t>Race</t>
  </si>
  <si>
    <t>Ethnicity</t>
  </si>
  <si>
    <t>HandednessScore</t>
  </si>
  <si>
    <t>MMSE</t>
  </si>
  <si>
    <t>CogW1toW2</t>
  </si>
  <si>
    <t>CogW2toW3</t>
  </si>
  <si>
    <t>CogW1toW3</t>
  </si>
  <si>
    <t>TakeHomeW1toW2</t>
  </si>
  <si>
    <t>TakeHomeW2toW3</t>
  </si>
  <si>
    <t>TakeHomeW1toW3</t>
  </si>
  <si>
    <t>MRIW1toW2</t>
  </si>
  <si>
    <t>MRIW2toW3</t>
  </si>
  <si>
    <t>MRIW1toW3</t>
  </si>
  <si>
    <t>PETAmyW1toW2</t>
  </si>
  <si>
    <t>PETAmyW2toW3</t>
  </si>
  <si>
    <t>PETAmyW1toW3</t>
  </si>
  <si>
    <t>EduComp5</t>
  </si>
  <si>
    <t>EduYrsEstCap5</t>
  </si>
  <si>
    <t>f</t>
  </si>
  <si>
    <t>m</t>
  </si>
  <si>
    <t xml:space="preserve">Ethnicity </t>
  </si>
  <si>
    <t>Task20</t>
  </si>
  <si>
    <t>Task21</t>
  </si>
  <si>
    <t>Task22</t>
  </si>
  <si>
    <t>Task23</t>
  </si>
  <si>
    <t>AgeInterval</t>
  </si>
  <si>
    <t>53-55</t>
  </si>
  <si>
    <t>71-73</t>
  </si>
  <si>
    <t>68-70</t>
  </si>
  <si>
    <t>38-40</t>
  </si>
  <si>
    <t>50-52</t>
  </si>
  <si>
    <t>44-46</t>
  </si>
  <si>
    <t>77-79</t>
  </si>
  <si>
    <t>20-22</t>
  </si>
  <si>
    <t>59-61</t>
  </si>
  <si>
    <t>29-31</t>
  </si>
  <si>
    <t>23-25</t>
  </si>
  <si>
    <t>41-43</t>
  </si>
  <si>
    <t>65-67</t>
  </si>
  <si>
    <t>62-64</t>
  </si>
  <si>
    <t>35-37</t>
  </si>
  <si>
    <t>47-49</t>
  </si>
  <si>
    <t>56-58</t>
  </si>
  <si>
    <t>32-34</t>
  </si>
  <si>
    <t>83-85</t>
  </si>
  <si>
    <t>80-82</t>
  </si>
  <si>
    <t>74-76</t>
  </si>
  <si>
    <t>86-88</t>
  </si>
  <si>
    <t>26-28</t>
  </si>
  <si>
    <t>89-91</t>
  </si>
  <si>
    <t>92-94</t>
  </si>
  <si>
    <t>95-97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</si>
</sst>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4" xfId="0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1" fontId="0" fillId="0" borderId="1" xfId="0" applyNumberForma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6" xfId="0" applyFont="1" applyBorder="1" applyAlignment="1">
      <alignment horizontal="center"/>
    </xf>
    <xf numFmtId="2" fontId="4" fillId="0" borderId="6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11262-194E-4A42-A526-9BBD3E6B7D02}">
  <sheetPr>
    <pageSetUpPr fitToPage="1"/>
  </sheetPr>
  <dimension ref="A1:BE992"/>
  <sheetViews>
    <sheetView zoomScaleNormal="100" workbookViewId="0">
      <pane ySplit="1" topLeftCell="A2" activePane="bottomLeft" state="frozen"/>
      <selection pane="bottomLeft" activeCell="AM3" sqref="AM3"/>
    </sheetView>
  </sheetViews>
  <sheetFormatPr baseColWidth="10" defaultRowHeight="16" x14ac:dyDescent="0.2"/>
  <cols>
    <col min="1" max="2" width="10.83203125" style="20"/>
    <col min="3" max="3" width="11" style="20"/>
    <col min="4" max="4" width="11.1640625" style="20" customWidth="1"/>
    <col min="5" max="5" width="12" style="20" customWidth="1"/>
    <col min="6" max="6" width="15.6640625" style="24" bestFit="1" customWidth="1"/>
    <col min="7" max="7" width="12.83203125" style="20" customWidth="1"/>
    <col min="8" max="10" width="15" style="20" bestFit="1" customWidth="1"/>
    <col min="11" max="13" width="21.1640625" style="20" bestFit="1" customWidth="1"/>
    <col min="14" max="16" width="15.33203125" style="20" bestFit="1" customWidth="1"/>
    <col min="17" max="19" width="19.1640625" style="20" bestFit="1" customWidth="1"/>
    <col min="20" max="20" width="16.1640625" style="20" customWidth="1"/>
    <col min="21" max="21" width="17.83203125" style="20" customWidth="1"/>
    <col min="22" max="22" width="17.6640625" style="20" bestFit="1" customWidth="1"/>
    <col min="23" max="23" width="16.6640625" style="20" bestFit="1" customWidth="1"/>
    <col min="24" max="24" width="10.83203125" style="20"/>
    <col min="25" max="25" width="10.33203125" style="20" bestFit="1" customWidth="1"/>
    <col min="26" max="27" width="10.83203125" style="20"/>
    <col min="28" max="28" width="27.1640625" style="15" bestFit="1" customWidth="1"/>
    <col min="29" max="29" width="32.83203125" style="15" bestFit="1" customWidth="1"/>
    <col min="30" max="30" width="20.6640625" style="15" bestFit="1" customWidth="1"/>
    <col min="31" max="31" width="25.6640625" style="15" bestFit="1" customWidth="1"/>
    <col min="32" max="32" width="29.5" style="20" bestFit="1" customWidth="1"/>
    <col min="33" max="33" width="16.5" style="20" customWidth="1"/>
    <col min="34" max="34" width="31.83203125" style="20" bestFit="1" customWidth="1"/>
    <col min="35" max="35" width="10.83203125" style="20"/>
    <col min="36" max="36" width="14.6640625" style="15" bestFit="1" customWidth="1"/>
    <col min="37" max="37" width="16.5" style="15" bestFit="1" customWidth="1"/>
    <col min="38" max="38" width="17.5" style="15" bestFit="1" customWidth="1"/>
    <col min="39" max="39" width="17.5" style="20" customWidth="1"/>
    <col min="40" max="40" width="18.1640625" style="20" bestFit="1" customWidth="1"/>
    <col min="41" max="41" width="18.1640625" style="20" customWidth="1"/>
    <col min="42" max="44" width="18.1640625" style="15" customWidth="1"/>
    <col min="45" max="52" width="18.1640625" style="26" customWidth="1"/>
    <col min="53" max="53" width="18.1640625" style="20" customWidth="1"/>
    <col min="54" max="54" width="10.83203125" style="20"/>
    <col min="55" max="57" width="12.6640625" style="20" customWidth="1"/>
    <col min="58" max="16384" width="10.83203125" style="20"/>
  </cols>
  <sheetData>
    <row r="1" spans="1:57" ht="17" thickBot="1" x14ac:dyDescent="0.25">
      <c r="A1" s="2" t="s">
        <v>2</v>
      </c>
      <c r="B1" s="6" t="s">
        <v>61</v>
      </c>
      <c r="C1" s="16" t="s">
        <v>35</v>
      </c>
      <c r="D1" s="16" t="s">
        <v>36</v>
      </c>
      <c r="E1" s="16" t="s">
        <v>37</v>
      </c>
      <c r="F1" s="16" t="s">
        <v>38</v>
      </c>
      <c r="G1" s="50" t="s">
        <v>39</v>
      </c>
      <c r="H1" s="6" t="s">
        <v>40</v>
      </c>
      <c r="I1" s="6" t="s">
        <v>41</v>
      </c>
      <c r="J1" s="6" t="s">
        <v>42</v>
      </c>
      <c r="K1" s="6" t="s">
        <v>43</v>
      </c>
      <c r="L1" s="6" t="s">
        <v>44</v>
      </c>
      <c r="M1" s="6" t="s">
        <v>45</v>
      </c>
      <c r="N1" s="6" t="s">
        <v>46</v>
      </c>
      <c r="O1" s="6" t="s">
        <v>47</v>
      </c>
      <c r="P1" s="6" t="s">
        <v>48</v>
      </c>
      <c r="Q1" s="6" t="s">
        <v>49</v>
      </c>
      <c r="R1" s="6" t="s">
        <v>50</v>
      </c>
      <c r="S1" s="6" t="s">
        <v>51</v>
      </c>
      <c r="T1" s="6" t="s">
        <v>52</v>
      </c>
      <c r="U1" s="6" t="s">
        <v>53</v>
      </c>
      <c r="V1" s="1" t="s">
        <v>3</v>
      </c>
      <c r="W1" s="1" t="s">
        <v>4</v>
      </c>
      <c r="X1" s="1" t="s">
        <v>0</v>
      </c>
      <c r="Y1" s="1" t="s">
        <v>5</v>
      </c>
      <c r="Z1" s="1" t="s">
        <v>6</v>
      </c>
      <c r="AA1" s="2" t="s">
        <v>57</v>
      </c>
      <c r="AB1" s="12" t="s">
        <v>27</v>
      </c>
      <c r="AC1" s="12" t="s">
        <v>28</v>
      </c>
      <c r="AD1" s="12" t="s">
        <v>29</v>
      </c>
      <c r="AE1" s="12" t="s">
        <v>33</v>
      </c>
      <c r="AF1" s="1" t="s">
        <v>30</v>
      </c>
      <c r="AG1" s="1" t="s">
        <v>31</v>
      </c>
      <c r="AH1" s="3" t="s">
        <v>32</v>
      </c>
      <c r="AI1" s="2" t="s">
        <v>58</v>
      </c>
      <c r="AJ1" s="12" t="s">
        <v>26</v>
      </c>
      <c r="AK1" s="12" t="s">
        <v>25</v>
      </c>
      <c r="AL1" s="13" t="s">
        <v>24</v>
      </c>
      <c r="AM1" s="2" t="s">
        <v>59</v>
      </c>
      <c r="AN1" s="1" t="s">
        <v>10</v>
      </c>
      <c r="AO1" s="6" t="s">
        <v>11</v>
      </c>
      <c r="AP1" s="7" t="s">
        <v>12</v>
      </c>
      <c r="AQ1" s="7" t="s">
        <v>13</v>
      </c>
      <c r="AR1" s="7" t="s">
        <v>14</v>
      </c>
      <c r="AS1" s="8" t="s">
        <v>15</v>
      </c>
      <c r="AT1" s="8" t="s">
        <v>16</v>
      </c>
      <c r="AU1" s="8" t="s">
        <v>17</v>
      </c>
      <c r="AV1" s="8" t="s">
        <v>18</v>
      </c>
      <c r="AW1" s="8" t="s">
        <v>19</v>
      </c>
      <c r="AX1" s="8" t="s">
        <v>20</v>
      </c>
      <c r="AY1" s="8" t="s">
        <v>21</v>
      </c>
      <c r="AZ1" s="9" t="s">
        <v>22</v>
      </c>
      <c r="BA1" s="2" t="s">
        <v>60</v>
      </c>
      <c r="BB1" s="3" t="s">
        <v>23</v>
      </c>
      <c r="BC1" s="4"/>
      <c r="BD1" s="4"/>
      <c r="BE1" s="4"/>
    </row>
    <row r="2" spans="1:57" x14ac:dyDescent="0.2">
      <c r="A2" s="5">
        <v>12</v>
      </c>
      <c r="B2" s="20" t="s">
        <v>62</v>
      </c>
      <c r="C2" s="18" t="s">
        <v>54</v>
      </c>
      <c r="D2" s="18">
        <v>5</v>
      </c>
      <c r="E2" s="18">
        <v>0</v>
      </c>
      <c r="F2" s="20">
        <v>3.2730000000000001</v>
      </c>
      <c r="G2" s="18">
        <v>30</v>
      </c>
      <c r="H2" s="22">
        <v>4.3750855578370977</v>
      </c>
      <c r="I2" s="22">
        <v>6.2724161533196439</v>
      </c>
      <c r="J2" s="22">
        <v>10.647501711156742</v>
      </c>
      <c r="K2" s="22">
        <v>4.4134154688569476</v>
      </c>
      <c r="L2" s="22">
        <v>6.2340862422997949</v>
      </c>
      <c r="M2" s="22">
        <v>10.647501711156742</v>
      </c>
      <c r="N2" s="22">
        <v>4.3203285420944555</v>
      </c>
      <c r="O2" s="22">
        <v>6.2669404517453797</v>
      </c>
      <c r="P2" s="22">
        <v>10.587268993839835</v>
      </c>
      <c r="Q2" s="22" t="s">
        <v>8</v>
      </c>
      <c r="R2" s="22" t="s">
        <v>8</v>
      </c>
      <c r="S2" s="22" t="s">
        <v>8</v>
      </c>
      <c r="T2" s="5">
        <v>5</v>
      </c>
      <c r="U2" s="5">
        <v>19</v>
      </c>
      <c r="V2" s="20" t="s">
        <v>1</v>
      </c>
      <c r="W2" s="20">
        <v>5</v>
      </c>
      <c r="X2" s="20">
        <v>1</v>
      </c>
      <c r="Y2" s="5">
        <v>1</v>
      </c>
      <c r="Z2" s="20">
        <v>4</v>
      </c>
      <c r="AA2" s="23">
        <f>IF(AND(ISNUMBER(AB2), ISNUMBER(AC2),ISNUMBER(AD2), ISNUMBER(AE2), ISNUMBER(AF2),ISNUMBER(AG2), ISNUMBER(AH2)), 1, IF(AND(AB2="NA", AC2="NA", AD2="na", AE2="na", AF2="na", AG2="na", AH2="na"), 3, 2))</f>
        <v>3</v>
      </c>
      <c r="AB2" s="15" t="s">
        <v>8</v>
      </c>
      <c r="AC2" s="15" t="s">
        <v>8</v>
      </c>
      <c r="AD2" s="15" t="s">
        <v>8</v>
      </c>
      <c r="AE2" s="15" t="s">
        <v>8</v>
      </c>
      <c r="AF2" s="20" t="s">
        <v>8</v>
      </c>
      <c r="AG2" s="20" t="s">
        <v>8</v>
      </c>
      <c r="AH2" s="24" t="s">
        <v>8</v>
      </c>
      <c r="AI2" s="23">
        <f>IF(AND(ISNUMBER(AJ2), ISNUMBER(AK2),ISNUMBER(AL2)), 1, IF(AND(AJ2="NA", AK2="NA", AL2="na"), 3, 2))</f>
        <v>1</v>
      </c>
      <c r="AJ2" s="17">
        <v>6.75</v>
      </c>
      <c r="AK2" s="17">
        <v>10</v>
      </c>
      <c r="AL2" s="14">
        <v>16.75</v>
      </c>
      <c r="AM2" s="23" cm="1">
        <f t="array" ref="AM2">IF(OR(AN2:AZ2=""),"BLANK",IF(AND(AN2:AZ2&lt;9999999),1,IF(AND(AN2:AZ2="NA"),3,2)))</f>
        <v>1</v>
      </c>
      <c r="AN2" s="5">
        <v>6</v>
      </c>
      <c r="AO2" s="5">
        <v>2</v>
      </c>
      <c r="AP2" s="10">
        <v>3.5</v>
      </c>
      <c r="AQ2" s="10">
        <v>7</v>
      </c>
      <c r="AR2" s="10">
        <v>7.25</v>
      </c>
      <c r="AS2" s="11">
        <v>1230</v>
      </c>
      <c r="AT2" s="11">
        <v>2516</v>
      </c>
      <c r="AU2" s="11">
        <v>2640.75</v>
      </c>
      <c r="AV2" s="11">
        <v>9131.75</v>
      </c>
      <c r="AW2" s="11">
        <v>0</v>
      </c>
      <c r="AX2" s="11">
        <v>0</v>
      </c>
      <c r="AY2" s="11">
        <v>5734.5138888888996</v>
      </c>
      <c r="AZ2" s="11">
        <v>3880.4732142857001</v>
      </c>
      <c r="BA2" s="23">
        <v>3</v>
      </c>
      <c r="BB2" s="24" t="s">
        <v>8</v>
      </c>
    </row>
    <row r="3" spans="1:57" x14ac:dyDescent="0.2">
      <c r="A3" s="5">
        <v>21</v>
      </c>
      <c r="B3" s="20" t="s">
        <v>63</v>
      </c>
      <c r="C3" s="18" t="s">
        <v>54</v>
      </c>
      <c r="D3" s="18">
        <v>5</v>
      </c>
      <c r="E3" s="18">
        <v>0</v>
      </c>
      <c r="F3" s="20">
        <v>3.9089999999999998</v>
      </c>
      <c r="G3" s="18">
        <v>29</v>
      </c>
      <c r="H3" s="22" t="s">
        <v>8</v>
      </c>
      <c r="I3" s="22" t="s">
        <v>8</v>
      </c>
      <c r="J3" s="22" t="s">
        <v>8</v>
      </c>
      <c r="K3" s="22" t="s">
        <v>8</v>
      </c>
      <c r="L3" s="22" t="s">
        <v>8</v>
      </c>
      <c r="M3" s="22" t="s">
        <v>8</v>
      </c>
      <c r="N3" s="22" t="s">
        <v>8</v>
      </c>
      <c r="O3" s="22" t="s">
        <v>8</v>
      </c>
      <c r="P3" s="22" t="s">
        <v>8</v>
      </c>
      <c r="Q3" s="22" t="s">
        <v>8</v>
      </c>
      <c r="R3" s="22" t="s">
        <v>8</v>
      </c>
      <c r="S3" s="22" t="s">
        <v>8</v>
      </c>
      <c r="T3" s="5">
        <v>6</v>
      </c>
      <c r="U3" s="5">
        <v>18</v>
      </c>
      <c r="V3" s="20" t="s">
        <v>1</v>
      </c>
      <c r="W3" s="20">
        <v>5</v>
      </c>
      <c r="X3" s="20">
        <v>1</v>
      </c>
      <c r="Y3" s="5">
        <v>1</v>
      </c>
      <c r="Z3" s="20">
        <v>4</v>
      </c>
      <c r="AA3" s="23">
        <f t="shared" ref="AA3:AA66" si="0">IF(AND(ISNUMBER(AB3), ISNUMBER(AC3),ISNUMBER(AD3), ISNUMBER(AE3), ISNUMBER(AF3),ISNUMBER(AG3), ISNUMBER(AH3)), 1, IF(AND(AB3="NA", AC3="NA", AD3="na", AE3="na", AF3="na", AG3="na", AH3="na"), 3, 2))</f>
        <v>3</v>
      </c>
      <c r="AB3" s="15" t="s">
        <v>8</v>
      </c>
      <c r="AC3" s="15" t="s">
        <v>8</v>
      </c>
      <c r="AD3" s="15" t="s">
        <v>8</v>
      </c>
      <c r="AE3" s="15" t="s">
        <v>8</v>
      </c>
      <c r="AF3" s="20" t="s">
        <v>8</v>
      </c>
      <c r="AG3" s="20" t="s">
        <v>8</v>
      </c>
      <c r="AH3" s="24" t="s">
        <v>8</v>
      </c>
      <c r="AI3" s="23">
        <f t="shared" ref="AI3:AI66" si="1">IF(AND(ISNUMBER(AJ3), ISNUMBER(AK3),ISNUMBER(AL3)), 1, IF(AND(AJ3="NA", AK3="NA", AL3="na"), 3, 2))</f>
        <v>1</v>
      </c>
      <c r="AJ3" s="17">
        <v>4.75</v>
      </c>
      <c r="AK3" s="17">
        <v>2.5</v>
      </c>
      <c r="AL3" s="14">
        <v>7.25</v>
      </c>
      <c r="AM3" s="23" cm="1">
        <f t="array" ref="AM3">IF(OR(AN3:AZ3=""),"BLANK",IF(AND(AN3:AZ3&lt;9999999),1,IF(AND(AN3:AZ3="NA"),3,2)))</f>
        <v>1</v>
      </c>
      <c r="AN3" s="5">
        <v>8</v>
      </c>
      <c r="AO3" s="5">
        <v>2</v>
      </c>
      <c r="AP3" s="10">
        <v>4</v>
      </c>
      <c r="AQ3" s="10">
        <v>5.75</v>
      </c>
      <c r="AR3" s="10">
        <v>5.25</v>
      </c>
      <c r="AS3" s="11">
        <v>1203.5</v>
      </c>
      <c r="AT3" s="11">
        <v>5209</v>
      </c>
      <c r="AU3" s="11">
        <v>1928.75</v>
      </c>
      <c r="AV3" s="11">
        <v>5962.25</v>
      </c>
      <c r="AW3" s="11">
        <v>0</v>
      </c>
      <c r="AX3" s="11">
        <v>0</v>
      </c>
      <c r="AY3" s="11">
        <v>2161.4236111110999</v>
      </c>
      <c r="AZ3" s="11">
        <v>729.2</v>
      </c>
      <c r="BA3" s="23">
        <v>3</v>
      </c>
      <c r="BB3" s="24" t="s">
        <v>8</v>
      </c>
    </row>
    <row r="4" spans="1:57" x14ac:dyDescent="0.2">
      <c r="A4" s="5">
        <v>49</v>
      </c>
      <c r="B4" s="20" t="s">
        <v>64</v>
      </c>
      <c r="C4" s="18" t="s">
        <v>54</v>
      </c>
      <c r="D4" s="18">
        <v>5</v>
      </c>
      <c r="E4" s="18">
        <v>0</v>
      </c>
      <c r="F4" s="20">
        <v>3.6360000000000001</v>
      </c>
      <c r="G4" s="18">
        <v>27</v>
      </c>
      <c r="H4" s="22">
        <v>4.5667351129363452</v>
      </c>
      <c r="I4" s="22">
        <v>5.6153319644079396</v>
      </c>
      <c r="J4" s="22">
        <v>10.182067077344286</v>
      </c>
      <c r="K4" s="22">
        <v>4.8651608487337441</v>
      </c>
      <c r="L4" s="22">
        <v>5.3086926762491444</v>
      </c>
      <c r="M4" s="22">
        <v>10.173853524982889</v>
      </c>
      <c r="N4" s="22">
        <v>4.1779603011635862</v>
      </c>
      <c r="O4" s="22" t="s">
        <v>8</v>
      </c>
      <c r="P4" s="22" t="s">
        <v>8</v>
      </c>
      <c r="Q4" s="22" t="s">
        <v>8</v>
      </c>
      <c r="R4" s="22" t="s">
        <v>8</v>
      </c>
      <c r="S4" s="22" t="s">
        <v>8</v>
      </c>
      <c r="T4" s="5">
        <v>2</v>
      </c>
      <c r="U4" s="5">
        <v>12</v>
      </c>
      <c r="V4" s="20" t="s">
        <v>1</v>
      </c>
      <c r="W4" s="20">
        <v>5</v>
      </c>
      <c r="X4" s="20">
        <v>1</v>
      </c>
      <c r="Y4" s="5">
        <v>1</v>
      </c>
      <c r="Z4" s="20">
        <v>4</v>
      </c>
      <c r="AA4" s="23">
        <f t="shared" si="0"/>
        <v>3</v>
      </c>
      <c r="AB4" s="15" t="s">
        <v>8</v>
      </c>
      <c r="AC4" s="15" t="s">
        <v>8</v>
      </c>
      <c r="AD4" s="15" t="s">
        <v>8</v>
      </c>
      <c r="AE4" s="15" t="s">
        <v>8</v>
      </c>
      <c r="AF4" s="20" t="s">
        <v>8</v>
      </c>
      <c r="AG4" s="20" t="s">
        <v>8</v>
      </c>
      <c r="AH4" s="24" t="s">
        <v>8</v>
      </c>
      <c r="AI4" s="23">
        <f t="shared" si="1"/>
        <v>1</v>
      </c>
      <c r="AJ4" s="17">
        <v>6</v>
      </c>
      <c r="AK4" s="17">
        <v>10.75</v>
      </c>
      <c r="AL4" s="14">
        <v>16.75</v>
      </c>
      <c r="AM4" s="23" cm="1">
        <f t="array" ref="AM4">IF(OR(AN4:AZ4=""),"BLANK",IF(AND(AN4:AZ4&lt;9999999),1,IF(AND(AN4:AZ4="NA"),3,2)))</f>
        <v>1</v>
      </c>
      <c r="AN4" s="5">
        <v>9</v>
      </c>
      <c r="AO4" s="5">
        <v>2</v>
      </c>
      <c r="AP4" s="10">
        <v>3</v>
      </c>
      <c r="AQ4" s="10">
        <v>5.25</v>
      </c>
      <c r="AR4" s="10">
        <v>6</v>
      </c>
      <c r="AS4" s="11">
        <v>1047</v>
      </c>
      <c r="AT4" s="11">
        <v>12539</v>
      </c>
      <c r="AU4" s="11">
        <v>15141.25</v>
      </c>
      <c r="AV4" s="11">
        <v>9098.75</v>
      </c>
      <c r="AW4" s="11">
        <v>0</v>
      </c>
      <c r="AX4" s="11">
        <v>0</v>
      </c>
      <c r="AY4" s="11">
        <v>8819.7152777777992</v>
      </c>
      <c r="AZ4" s="11">
        <v>2218.6642857143001</v>
      </c>
      <c r="BA4" s="23">
        <v>3</v>
      </c>
      <c r="BB4" s="24" t="s">
        <v>8</v>
      </c>
    </row>
    <row r="5" spans="1:57" x14ac:dyDescent="0.2">
      <c r="A5" s="5">
        <v>61</v>
      </c>
      <c r="B5" s="20" t="s">
        <v>62</v>
      </c>
      <c r="C5" s="18" t="s">
        <v>54</v>
      </c>
      <c r="D5" s="18">
        <v>2</v>
      </c>
      <c r="E5" s="18">
        <v>0</v>
      </c>
      <c r="F5" s="20" t="s">
        <v>8</v>
      </c>
      <c r="G5" s="18">
        <v>30</v>
      </c>
      <c r="H5" s="22">
        <v>4.1232032854209448</v>
      </c>
      <c r="I5" s="22" t="s">
        <v>8</v>
      </c>
      <c r="J5" s="22" t="s">
        <v>8</v>
      </c>
      <c r="K5" s="22" t="s">
        <v>8</v>
      </c>
      <c r="L5" s="22" t="s">
        <v>8</v>
      </c>
      <c r="M5" s="22" t="s">
        <v>8</v>
      </c>
      <c r="N5" s="22">
        <v>4.1971252566735116</v>
      </c>
      <c r="O5" s="22" t="s">
        <v>8</v>
      </c>
      <c r="P5" s="22" t="s">
        <v>8</v>
      </c>
      <c r="Q5" s="22" t="s">
        <v>8</v>
      </c>
      <c r="R5" s="22" t="s">
        <v>8</v>
      </c>
      <c r="S5" s="22" t="s">
        <v>8</v>
      </c>
      <c r="T5" s="5">
        <v>6</v>
      </c>
      <c r="U5" s="5">
        <v>18</v>
      </c>
      <c r="V5" s="20" t="s">
        <v>1</v>
      </c>
      <c r="W5" s="20">
        <v>5</v>
      </c>
      <c r="X5" s="20">
        <v>1</v>
      </c>
      <c r="Y5" s="5">
        <v>1</v>
      </c>
      <c r="Z5" s="20">
        <v>4</v>
      </c>
      <c r="AA5" s="23">
        <f t="shared" si="0"/>
        <v>3</v>
      </c>
      <c r="AB5" s="15" t="s">
        <v>8</v>
      </c>
      <c r="AC5" s="15" t="s">
        <v>8</v>
      </c>
      <c r="AD5" s="15" t="s">
        <v>8</v>
      </c>
      <c r="AE5" s="15" t="s">
        <v>8</v>
      </c>
      <c r="AF5" s="20" t="s">
        <v>8</v>
      </c>
      <c r="AG5" s="20" t="s">
        <v>8</v>
      </c>
      <c r="AH5" s="24" t="s">
        <v>8</v>
      </c>
      <c r="AI5" s="23">
        <f t="shared" si="1"/>
        <v>1</v>
      </c>
      <c r="AJ5" s="17">
        <v>6.25</v>
      </c>
      <c r="AK5" s="17">
        <v>7.25</v>
      </c>
      <c r="AL5" s="14">
        <v>13.5</v>
      </c>
      <c r="AM5" s="23" cm="1">
        <f t="array" ref="AM5">IF(OR(AN5:AZ5=""),"BLANK",IF(AND(AN5:AZ5&lt;9999999),1,IF(AND(AN5:AZ5="NA"),3,2)))</f>
        <v>1</v>
      </c>
      <c r="AN5" s="5">
        <v>6</v>
      </c>
      <c r="AO5" s="5">
        <v>2</v>
      </c>
      <c r="AP5" s="10">
        <v>4</v>
      </c>
      <c r="AQ5" s="10">
        <v>6.25</v>
      </c>
      <c r="AR5" s="10">
        <v>6.5</v>
      </c>
      <c r="AS5" s="11">
        <v>2896.5</v>
      </c>
      <c r="AT5" s="11">
        <v>4871</v>
      </c>
      <c r="AU5" s="11">
        <v>6907</v>
      </c>
      <c r="AV5" s="11">
        <v>3153.75</v>
      </c>
      <c r="AW5" s="11">
        <v>0</v>
      </c>
      <c r="AX5" s="11">
        <v>1211.3666666667</v>
      </c>
      <c r="AY5" s="11">
        <v>4046.8680555556002</v>
      </c>
      <c r="AZ5" s="11">
        <v>2981.0592261904999</v>
      </c>
      <c r="BA5" s="23">
        <v>3</v>
      </c>
      <c r="BB5" s="24" t="s">
        <v>8</v>
      </c>
    </row>
    <row r="6" spans="1:57" x14ac:dyDescent="0.2">
      <c r="A6" s="5">
        <v>80</v>
      </c>
      <c r="B6" s="20" t="s">
        <v>65</v>
      </c>
      <c r="C6" s="18" t="s">
        <v>55</v>
      </c>
      <c r="D6" s="18">
        <v>5</v>
      </c>
      <c r="E6" s="18">
        <v>0</v>
      </c>
      <c r="F6" s="20">
        <v>3.5449999999999999</v>
      </c>
      <c r="G6" s="18">
        <v>28</v>
      </c>
      <c r="H6" s="22">
        <v>4.2272416153319643</v>
      </c>
      <c r="I6" s="22" t="s">
        <v>8</v>
      </c>
      <c r="J6" s="22" t="s">
        <v>8</v>
      </c>
      <c r="K6" s="22">
        <v>4.2409308692676246</v>
      </c>
      <c r="L6" s="22" t="s">
        <v>8</v>
      </c>
      <c r="M6" s="22" t="s">
        <v>8</v>
      </c>
      <c r="N6" s="22">
        <v>4.2080766598220398</v>
      </c>
      <c r="O6" s="22" t="s">
        <v>8</v>
      </c>
      <c r="P6" s="22" t="s">
        <v>8</v>
      </c>
      <c r="Q6" s="22" t="s">
        <v>8</v>
      </c>
      <c r="R6" s="22" t="s">
        <v>8</v>
      </c>
      <c r="S6" s="22" t="s">
        <v>8</v>
      </c>
      <c r="T6" s="5">
        <v>3</v>
      </c>
      <c r="U6" s="5">
        <v>12</v>
      </c>
      <c r="V6" s="20" t="s">
        <v>1</v>
      </c>
      <c r="W6" s="20">
        <v>5</v>
      </c>
      <c r="X6" s="20">
        <v>1</v>
      </c>
      <c r="Y6" s="5">
        <v>1</v>
      </c>
      <c r="Z6" s="20">
        <v>4</v>
      </c>
      <c r="AA6" s="23">
        <f t="shared" si="0"/>
        <v>3</v>
      </c>
      <c r="AB6" s="15" t="s">
        <v>8</v>
      </c>
      <c r="AC6" s="15" t="s">
        <v>8</v>
      </c>
      <c r="AD6" s="15" t="s">
        <v>8</v>
      </c>
      <c r="AE6" s="15" t="s">
        <v>8</v>
      </c>
      <c r="AF6" s="20" t="s">
        <v>8</v>
      </c>
      <c r="AG6" s="20" t="s">
        <v>8</v>
      </c>
      <c r="AH6" s="24" t="s">
        <v>8</v>
      </c>
      <c r="AI6" s="23">
        <f t="shared" si="1"/>
        <v>1</v>
      </c>
      <c r="AJ6" s="17">
        <v>13.75</v>
      </c>
      <c r="AK6" s="17">
        <v>11</v>
      </c>
      <c r="AL6" s="14">
        <v>24.75</v>
      </c>
      <c r="AM6" s="23" cm="1">
        <f t="array" ref="AM6">IF(OR(AN6:AZ6=""),"BLANK",IF(AND(AN6:AZ6&lt;9999999),1,IF(AND(AN6:AZ6="NA"),3,2)))</f>
        <v>1</v>
      </c>
      <c r="AN6" s="5">
        <v>11</v>
      </c>
      <c r="AO6" s="5">
        <v>2</v>
      </c>
      <c r="AP6" s="10">
        <v>3</v>
      </c>
      <c r="AQ6" s="10">
        <v>5.25</v>
      </c>
      <c r="AR6" s="10">
        <v>5</v>
      </c>
      <c r="AS6" s="11">
        <v>1105</v>
      </c>
      <c r="AT6" s="11">
        <v>6005.5</v>
      </c>
      <c r="AU6" s="11">
        <v>8251.75</v>
      </c>
      <c r="AV6" s="11">
        <v>6063</v>
      </c>
      <c r="AW6" s="11">
        <v>0</v>
      </c>
      <c r="AX6" s="11">
        <v>0</v>
      </c>
      <c r="AY6" s="11">
        <v>1893.7986111110999</v>
      </c>
      <c r="AZ6" s="11">
        <v>322.45</v>
      </c>
      <c r="BA6" s="23">
        <v>3</v>
      </c>
      <c r="BB6" s="24" t="s">
        <v>8</v>
      </c>
    </row>
    <row r="7" spans="1:57" x14ac:dyDescent="0.2">
      <c r="A7" s="5">
        <v>81</v>
      </c>
      <c r="B7" s="20" t="s">
        <v>65</v>
      </c>
      <c r="C7" s="18" t="s">
        <v>54</v>
      </c>
      <c r="D7" s="18">
        <v>5</v>
      </c>
      <c r="E7" s="18">
        <v>0</v>
      </c>
      <c r="F7" s="20">
        <v>3.6360000000000001</v>
      </c>
      <c r="G7" s="18">
        <v>30</v>
      </c>
      <c r="H7" s="22">
        <v>5.2867898699520879</v>
      </c>
      <c r="I7" s="22" t="s">
        <v>8</v>
      </c>
      <c r="J7" s="22" t="s">
        <v>8</v>
      </c>
      <c r="K7" s="22">
        <v>5.2867898699520879</v>
      </c>
      <c r="L7" s="22" t="s">
        <v>8</v>
      </c>
      <c r="M7" s="22" t="s">
        <v>8</v>
      </c>
      <c r="N7" s="22">
        <v>4.8104038329911019</v>
      </c>
      <c r="O7" s="22" t="s">
        <v>8</v>
      </c>
      <c r="P7" s="22" t="s">
        <v>8</v>
      </c>
      <c r="Q7" s="22" t="s">
        <v>8</v>
      </c>
      <c r="R7" s="22" t="s">
        <v>8</v>
      </c>
      <c r="S7" s="22" t="s">
        <v>8</v>
      </c>
      <c r="T7" s="5">
        <v>4</v>
      </c>
      <c r="U7" s="5">
        <v>16</v>
      </c>
      <c r="V7" s="20" t="s">
        <v>1</v>
      </c>
      <c r="W7" s="20">
        <v>5</v>
      </c>
      <c r="X7" s="20">
        <v>1</v>
      </c>
      <c r="Y7" s="5">
        <v>1</v>
      </c>
      <c r="Z7" s="20">
        <v>4</v>
      </c>
      <c r="AA7" s="23">
        <f t="shared" si="0"/>
        <v>3</v>
      </c>
      <c r="AB7" s="15" t="s">
        <v>8</v>
      </c>
      <c r="AC7" s="15" t="s">
        <v>8</v>
      </c>
      <c r="AD7" s="15" t="s">
        <v>8</v>
      </c>
      <c r="AE7" s="15" t="s">
        <v>8</v>
      </c>
      <c r="AF7" s="20" t="s">
        <v>8</v>
      </c>
      <c r="AG7" s="20" t="s">
        <v>8</v>
      </c>
      <c r="AH7" s="24" t="s">
        <v>8</v>
      </c>
      <c r="AI7" s="23">
        <f t="shared" si="1"/>
        <v>1</v>
      </c>
      <c r="AJ7" s="17">
        <v>14</v>
      </c>
      <c r="AK7" s="17">
        <v>11.5</v>
      </c>
      <c r="AL7" s="14">
        <v>25.5</v>
      </c>
      <c r="AM7" s="23" cm="1">
        <f t="array" ref="AM7">IF(OR(AN7:AZ7=""),"BLANK",IF(AND(AN7:AZ7&lt;9999999),1,IF(AND(AN7:AZ7="NA"),3,2)))</f>
        <v>1</v>
      </c>
      <c r="AN7" s="5">
        <v>11</v>
      </c>
      <c r="AO7" s="5">
        <v>2</v>
      </c>
      <c r="AP7" s="10">
        <v>3</v>
      </c>
      <c r="AQ7" s="10">
        <v>4</v>
      </c>
      <c r="AR7" s="10">
        <v>5.25</v>
      </c>
      <c r="AS7" s="11">
        <v>1640.5</v>
      </c>
      <c r="AT7" s="11">
        <v>7957.5</v>
      </c>
      <c r="AU7" s="11">
        <v>8876</v>
      </c>
      <c r="AV7" s="11">
        <v>12237</v>
      </c>
      <c r="AW7" s="11">
        <v>0</v>
      </c>
      <c r="AX7" s="11">
        <v>0</v>
      </c>
      <c r="AY7" s="11">
        <v>0</v>
      </c>
      <c r="AZ7" s="11">
        <v>0</v>
      </c>
      <c r="BA7" s="23">
        <v>3</v>
      </c>
      <c r="BB7" s="24" t="s">
        <v>8</v>
      </c>
    </row>
    <row r="8" spans="1:57" x14ac:dyDescent="0.2">
      <c r="A8" s="5">
        <v>92</v>
      </c>
      <c r="B8" s="20" t="s">
        <v>66</v>
      </c>
      <c r="C8" s="18" t="s">
        <v>55</v>
      </c>
      <c r="D8" s="18">
        <v>5</v>
      </c>
      <c r="E8" s="18">
        <v>0</v>
      </c>
      <c r="F8" s="20">
        <v>3.7269999999999999</v>
      </c>
      <c r="G8" s="18">
        <v>29</v>
      </c>
      <c r="H8" s="22">
        <v>4.3531827515400412</v>
      </c>
      <c r="I8" s="22">
        <v>5.7850787132101305</v>
      </c>
      <c r="J8" s="22">
        <v>10.138261464750171</v>
      </c>
      <c r="K8" s="22">
        <v>4.3778234086242298</v>
      </c>
      <c r="L8" s="22">
        <v>5.7549623545516768</v>
      </c>
      <c r="M8" s="22">
        <v>10.132785763175907</v>
      </c>
      <c r="N8" s="22">
        <v>4.3367556468172488</v>
      </c>
      <c r="O8" s="22">
        <v>5.4866529774127306</v>
      </c>
      <c r="P8" s="22">
        <v>9.8234086242299803</v>
      </c>
      <c r="Q8" s="22" t="s">
        <v>8</v>
      </c>
      <c r="R8" s="22" t="s">
        <v>8</v>
      </c>
      <c r="S8" s="22" t="s">
        <v>8</v>
      </c>
      <c r="T8" s="5">
        <v>4</v>
      </c>
      <c r="U8" s="5">
        <v>16</v>
      </c>
      <c r="V8" s="20" t="s">
        <v>1</v>
      </c>
      <c r="W8" s="20">
        <v>5</v>
      </c>
      <c r="X8" s="20">
        <v>1</v>
      </c>
      <c r="Y8" s="5">
        <v>1</v>
      </c>
      <c r="Z8" s="20">
        <v>4</v>
      </c>
      <c r="AA8" s="23">
        <f t="shared" si="0"/>
        <v>3</v>
      </c>
      <c r="AB8" s="15" t="s">
        <v>8</v>
      </c>
      <c r="AC8" s="15" t="s">
        <v>8</v>
      </c>
      <c r="AD8" s="15" t="s">
        <v>8</v>
      </c>
      <c r="AE8" s="15" t="s">
        <v>8</v>
      </c>
      <c r="AF8" s="20" t="s">
        <v>8</v>
      </c>
      <c r="AG8" s="20" t="s">
        <v>8</v>
      </c>
      <c r="AH8" s="24" t="s">
        <v>8</v>
      </c>
      <c r="AI8" s="23">
        <f t="shared" si="1"/>
        <v>1</v>
      </c>
      <c r="AJ8" s="17">
        <v>15</v>
      </c>
      <c r="AK8" s="17">
        <v>13.75</v>
      </c>
      <c r="AL8" s="14">
        <v>28.75</v>
      </c>
      <c r="AM8" s="23" cm="1">
        <f t="array" ref="AM8">IF(OR(AN8:AZ8=""),"BLANK",IF(AND(AN8:AZ8&lt;9999999),1,IF(AND(AN8:AZ8="NA"),3,2)))</f>
        <v>1</v>
      </c>
      <c r="AN8" s="5">
        <v>7</v>
      </c>
      <c r="AO8" s="5">
        <v>2</v>
      </c>
      <c r="AP8" s="10">
        <v>3</v>
      </c>
      <c r="AQ8" s="10">
        <v>5</v>
      </c>
      <c r="AR8" s="10">
        <v>7</v>
      </c>
      <c r="AS8" s="11">
        <v>1894.5</v>
      </c>
      <c r="AT8" s="11">
        <v>1976</v>
      </c>
      <c r="AU8" s="11">
        <v>2851.25</v>
      </c>
      <c r="AV8" s="11">
        <v>1887</v>
      </c>
      <c r="AW8" s="11">
        <v>0</v>
      </c>
      <c r="AX8" s="11">
        <v>0</v>
      </c>
      <c r="AY8" s="11">
        <v>626.5</v>
      </c>
      <c r="AZ8" s="11">
        <v>611.33630952379997</v>
      </c>
      <c r="BA8" s="23">
        <v>3</v>
      </c>
      <c r="BB8" s="24" t="s">
        <v>8</v>
      </c>
    </row>
    <row r="9" spans="1:57" x14ac:dyDescent="0.2">
      <c r="A9" s="5">
        <v>101</v>
      </c>
      <c r="B9" s="20" t="s">
        <v>67</v>
      </c>
      <c r="C9" s="18" t="s">
        <v>54</v>
      </c>
      <c r="D9" s="18">
        <v>5</v>
      </c>
      <c r="E9" s="18">
        <v>0</v>
      </c>
      <c r="F9" s="20">
        <v>3.7269999999999999</v>
      </c>
      <c r="G9" s="18">
        <v>28</v>
      </c>
      <c r="H9" s="22" t="s">
        <v>8</v>
      </c>
      <c r="I9" s="22" t="s">
        <v>8</v>
      </c>
      <c r="J9" s="22" t="s">
        <v>8</v>
      </c>
      <c r="K9" s="22" t="s">
        <v>8</v>
      </c>
      <c r="L9" s="22" t="s">
        <v>8</v>
      </c>
      <c r="M9" s="22" t="s">
        <v>8</v>
      </c>
      <c r="N9" s="22" t="s">
        <v>8</v>
      </c>
      <c r="O9" s="22" t="s">
        <v>8</v>
      </c>
      <c r="P9" s="22" t="s">
        <v>8</v>
      </c>
      <c r="Q9" s="22" t="s">
        <v>8</v>
      </c>
      <c r="R9" s="22" t="s">
        <v>8</v>
      </c>
      <c r="S9" s="22" t="s">
        <v>8</v>
      </c>
      <c r="T9" s="5">
        <v>6</v>
      </c>
      <c r="U9" s="5">
        <v>18</v>
      </c>
      <c r="V9" s="20" t="s">
        <v>1</v>
      </c>
      <c r="W9" s="20">
        <v>5</v>
      </c>
      <c r="X9" s="20">
        <v>1</v>
      </c>
      <c r="Y9" s="5">
        <v>1</v>
      </c>
      <c r="Z9" s="20">
        <v>4</v>
      </c>
      <c r="AA9" s="23">
        <f t="shared" si="0"/>
        <v>3</v>
      </c>
      <c r="AB9" s="15" t="s">
        <v>8</v>
      </c>
      <c r="AC9" s="15" t="s">
        <v>8</v>
      </c>
      <c r="AD9" s="15" t="s">
        <v>8</v>
      </c>
      <c r="AE9" s="15" t="s">
        <v>8</v>
      </c>
      <c r="AF9" s="20" t="s">
        <v>8</v>
      </c>
      <c r="AG9" s="20" t="s">
        <v>8</v>
      </c>
      <c r="AH9" s="24" t="s">
        <v>8</v>
      </c>
      <c r="AI9" s="23">
        <f t="shared" si="1"/>
        <v>1</v>
      </c>
      <c r="AJ9" s="17">
        <v>13</v>
      </c>
      <c r="AK9" s="17">
        <v>11</v>
      </c>
      <c r="AL9" s="14">
        <v>24</v>
      </c>
      <c r="AM9" s="23" cm="1">
        <f t="array" ref="AM9">IF(OR(AN9:AZ9=""),"BLANK",IF(AND(AN9:AZ9&lt;9999999),1,IF(AND(AN9:AZ9="NA"),3,2)))</f>
        <v>1</v>
      </c>
      <c r="AN9" s="5">
        <v>9</v>
      </c>
      <c r="AO9" s="5">
        <v>2</v>
      </c>
      <c r="AP9" s="10">
        <v>4</v>
      </c>
      <c r="AQ9" s="10">
        <v>5.25</v>
      </c>
      <c r="AR9" s="10">
        <v>5.25</v>
      </c>
      <c r="AS9" s="11">
        <v>689.5</v>
      </c>
      <c r="AT9" s="11">
        <v>9609</v>
      </c>
      <c r="AU9" s="11">
        <v>20741.5</v>
      </c>
      <c r="AV9" s="11">
        <v>6227.25</v>
      </c>
      <c r="AW9" s="11">
        <v>50.75</v>
      </c>
      <c r="AX9" s="11">
        <v>1530.9333333333</v>
      </c>
      <c r="AY9" s="11">
        <v>2666.75</v>
      </c>
      <c r="AZ9" s="11">
        <v>0</v>
      </c>
      <c r="BA9" s="23">
        <v>3</v>
      </c>
      <c r="BB9" s="24" t="s">
        <v>8</v>
      </c>
    </row>
    <row r="10" spans="1:57" x14ac:dyDescent="0.2">
      <c r="A10" s="5">
        <v>103</v>
      </c>
      <c r="B10" s="20" t="s">
        <v>65</v>
      </c>
      <c r="C10" s="18" t="s">
        <v>54</v>
      </c>
      <c r="D10" s="18">
        <v>5</v>
      </c>
      <c r="E10" s="18">
        <v>0</v>
      </c>
      <c r="F10" s="20">
        <v>4</v>
      </c>
      <c r="G10" s="18">
        <v>30</v>
      </c>
      <c r="H10" s="22">
        <v>4.3942505133470222</v>
      </c>
      <c r="I10" s="22">
        <v>5.8617385352498292</v>
      </c>
      <c r="J10" s="22">
        <v>10.255989048596852</v>
      </c>
      <c r="K10" s="22">
        <v>4.4079397672826834</v>
      </c>
      <c r="L10" s="22">
        <v>5.848049281314168</v>
      </c>
      <c r="M10" s="22">
        <v>10.255989048596852</v>
      </c>
      <c r="N10" s="22">
        <v>4.2381930184804926</v>
      </c>
      <c r="O10" s="22">
        <v>5.5989048596851472</v>
      </c>
      <c r="P10" s="22">
        <v>9.8370978781656397</v>
      </c>
      <c r="Q10" s="22" t="s">
        <v>8</v>
      </c>
      <c r="R10" s="22" t="s">
        <v>8</v>
      </c>
      <c r="S10" s="22" t="s">
        <v>8</v>
      </c>
      <c r="T10" s="5">
        <v>6</v>
      </c>
      <c r="U10" s="5">
        <v>18</v>
      </c>
      <c r="V10" s="20" t="s">
        <v>1</v>
      </c>
      <c r="W10" s="20">
        <v>5</v>
      </c>
      <c r="X10" s="20">
        <v>1</v>
      </c>
      <c r="Y10" s="5">
        <v>1</v>
      </c>
      <c r="Z10" s="20">
        <v>4</v>
      </c>
      <c r="AA10" s="23">
        <f t="shared" si="0"/>
        <v>3</v>
      </c>
      <c r="AB10" s="15" t="s">
        <v>8</v>
      </c>
      <c r="AC10" s="15" t="s">
        <v>8</v>
      </c>
      <c r="AD10" s="15" t="s">
        <v>8</v>
      </c>
      <c r="AE10" s="15" t="s">
        <v>8</v>
      </c>
      <c r="AF10" s="20" t="s">
        <v>8</v>
      </c>
      <c r="AG10" s="20" t="s">
        <v>8</v>
      </c>
      <c r="AH10" s="24" t="s">
        <v>8</v>
      </c>
      <c r="AI10" s="23">
        <f t="shared" si="1"/>
        <v>1</v>
      </c>
      <c r="AJ10" s="17">
        <v>13</v>
      </c>
      <c r="AK10" s="17">
        <v>11.75</v>
      </c>
      <c r="AL10" s="14">
        <v>24.75</v>
      </c>
      <c r="AM10" s="23" cm="1">
        <f t="array" ref="AM10">IF(OR(AN10:AZ10=""),"BLANK",IF(AND(AN10:AZ10&lt;9999999),1,IF(AND(AN10:AZ10="NA"),3,2)))</f>
        <v>1</v>
      </c>
      <c r="AN10" s="5">
        <v>8</v>
      </c>
      <c r="AO10" s="5">
        <v>2</v>
      </c>
      <c r="AP10" s="10">
        <v>5</v>
      </c>
      <c r="AQ10" s="10">
        <v>4.75</v>
      </c>
      <c r="AR10" s="10">
        <v>5.25</v>
      </c>
      <c r="AS10" s="11">
        <v>734.5</v>
      </c>
      <c r="AT10" s="11">
        <v>2507.5</v>
      </c>
      <c r="AU10" s="11">
        <v>2402.5</v>
      </c>
      <c r="AV10" s="11">
        <v>11033.5</v>
      </c>
      <c r="AW10" s="11">
        <v>0</v>
      </c>
      <c r="AX10" s="11">
        <v>3102.0238095238001</v>
      </c>
      <c r="AY10" s="11">
        <v>1197.1916666667</v>
      </c>
      <c r="AZ10" s="11">
        <v>0</v>
      </c>
      <c r="BA10" s="23">
        <v>3</v>
      </c>
      <c r="BB10" s="24" t="s">
        <v>8</v>
      </c>
    </row>
    <row r="11" spans="1:57" x14ac:dyDescent="0.2">
      <c r="A11" s="5">
        <v>110</v>
      </c>
      <c r="B11" s="20" t="s">
        <v>68</v>
      </c>
      <c r="C11" s="18" t="s">
        <v>54</v>
      </c>
      <c r="D11" s="18">
        <v>5</v>
      </c>
      <c r="E11" s="18">
        <v>0</v>
      </c>
      <c r="F11" s="20">
        <v>4</v>
      </c>
      <c r="G11" s="18">
        <v>28</v>
      </c>
      <c r="H11" s="22">
        <v>4.3039014373716631</v>
      </c>
      <c r="I11" s="22" t="s">
        <v>8</v>
      </c>
      <c r="J11" s="22" t="s">
        <v>8</v>
      </c>
      <c r="K11" s="22">
        <v>4</v>
      </c>
      <c r="L11" s="22" t="s">
        <v>8</v>
      </c>
      <c r="M11" s="22" t="s">
        <v>8</v>
      </c>
      <c r="N11" s="22">
        <v>4.2546201232032859</v>
      </c>
      <c r="O11" s="22" t="s">
        <v>8</v>
      </c>
      <c r="P11" s="22" t="s">
        <v>8</v>
      </c>
      <c r="Q11" s="22" t="s">
        <v>8</v>
      </c>
      <c r="R11" s="22" t="s">
        <v>8</v>
      </c>
      <c r="S11" s="22" t="s">
        <v>8</v>
      </c>
      <c r="T11" s="5">
        <v>3</v>
      </c>
      <c r="U11" s="5">
        <v>14</v>
      </c>
      <c r="V11" s="20" t="s">
        <v>1</v>
      </c>
      <c r="W11" s="20">
        <v>5</v>
      </c>
      <c r="X11" s="20">
        <v>1</v>
      </c>
      <c r="Y11" s="5">
        <v>1</v>
      </c>
      <c r="Z11" s="20">
        <v>4</v>
      </c>
      <c r="AA11" s="23">
        <f t="shared" si="0"/>
        <v>3</v>
      </c>
      <c r="AB11" s="15" t="s">
        <v>8</v>
      </c>
      <c r="AC11" s="15" t="s">
        <v>8</v>
      </c>
      <c r="AD11" s="15" t="s">
        <v>8</v>
      </c>
      <c r="AE11" s="15" t="s">
        <v>8</v>
      </c>
      <c r="AF11" s="20" t="s">
        <v>8</v>
      </c>
      <c r="AG11" s="20" t="s">
        <v>8</v>
      </c>
      <c r="AH11" s="24" t="s">
        <v>8</v>
      </c>
      <c r="AI11" s="23">
        <f t="shared" si="1"/>
        <v>1</v>
      </c>
      <c r="AJ11" s="17">
        <v>2.5</v>
      </c>
      <c r="AK11" s="17">
        <v>6.5</v>
      </c>
      <c r="AL11" s="14">
        <v>9</v>
      </c>
      <c r="AM11" s="23" cm="1">
        <f t="array" ref="AM11">IF(OR(AN11:AZ11=""),"BLANK",IF(AND(AN11:AZ11&lt;9999999),1,IF(AND(AN11:AZ11="NA"),3,2)))</f>
        <v>1</v>
      </c>
      <c r="AN11" s="5">
        <v>6</v>
      </c>
      <c r="AO11" s="5">
        <v>2</v>
      </c>
      <c r="AP11" s="10">
        <v>3</v>
      </c>
      <c r="AQ11" s="10">
        <v>7.75</v>
      </c>
      <c r="AR11" s="10">
        <v>7.75</v>
      </c>
      <c r="AS11" s="11">
        <v>1646</v>
      </c>
      <c r="AT11" s="11">
        <v>13793.5</v>
      </c>
      <c r="AU11" s="11">
        <v>17099.25</v>
      </c>
      <c r="AV11" s="11">
        <v>19951.75</v>
      </c>
      <c r="AW11" s="11">
        <v>535.5</v>
      </c>
      <c r="AX11" s="11">
        <v>0</v>
      </c>
      <c r="AY11" s="11">
        <v>26708.361111111099</v>
      </c>
      <c r="AZ11" s="11">
        <v>8325.2875000000004</v>
      </c>
      <c r="BA11" s="23">
        <v>3</v>
      </c>
      <c r="BB11" s="24" t="s">
        <v>8</v>
      </c>
    </row>
    <row r="12" spans="1:57" x14ac:dyDescent="0.2">
      <c r="A12" s="5">
        <v>133</v>
      </c>
      <c r="B12" s="20" t="s">
        <v>69</v>
      </c>
      <c r="C12" s="18" t="s">
        <v>54</v>
      </c>
      <c r="D12" s="18">
        <v>5</v>
      </c>
      <c r="E12" s="18">
        <v>0</v>
      </c>
      <c r="F12" s="20">
        <v>3.2730000000000001</v>
      </c>
      <c r="G12" s="18">
        <v>29</v>
      </c>
      <c r="H12" s="22">
        <v>4.3285420944558526</v>
      </c>
      <c r="I12" s="22" t="s">
        <v>8</v>
      </c>
      <c r="J12" s="22" t="s">
        <v>8</v>
      </c>
      <c r="K12" s="22">
        <v>4.3696098562628336</v>
      </c>
      <c r="L12" s="22" t="s">
        <v>8</v>
      </c>
      <c r="M12" s="22" t="s">
        <v>8</v>
      </c>
      <c r="N12" s="22">
        <v>4.2737850787132103</v>
      </c>
      <c r="O12" s="22" t="s">
        <v>8</v>
      </c>
      <c r="P12" s="22" t="s">
        <v>8</v>
      </c>
      <c r="Q12" s="22" t="s">
        <v>8</v>
      </c>
      <c r="R12" s="22" t="s">
        <v>8</v>
      </c>
      <c r="S12" s="22" t="s">
        <v>8</v>
      </c>
      <c r="T12" s="5">
        <v>5</v>
      </c>
      <c r="U12" s="5">
        <v>17</v>
      </c>
      <c r="V12" s="20" t="s">
        <v>1</v>
      </c>
      <c r="W12" s="20">
        <v>5</v>
      </c>
      <c r="X12" s="20">
        <v>1</v>
      </c>
      <c r="Y12" s="5">
        <v>1</v>
      </c>
      <c r="Z12" s="20">
        <v>4</v>
      </c>
      <c r="AA12" s="23">
        <f t="shared" si="0"/>
        <v>3</v>
      </c>
      <c r="AB12" s="15" t="s">
        <v>8</v>
      </c>
      <c r="AC12" s="15" t="s">
        <v>8</v>
      </c>
      <c r="AD12" s="15" t="s">
        <v>8</v>
      </c>
      <c r="AE12" s="15" t="s">
        <v>8</v>
      </c>
      <c r="AF12" s="20" t="s">
        <v>8</v>
      </c>
      <c r="AG12" s="20" t="s">
        <v>8</v>
      </c>
      <c r="AH12" s="24" t="s">
        <v>8</v>
      </c>
      <c r="AI12" s="23">
        <f t="shared" si="1"/>
        <v>1</v>
      </c>
      <c r="AJ12" s="17">
        <v>11</v>
      </c>
      <c r="AK12" s="17">
        <v>11</v>
      </c>
      <c r="AL12" s="14">
        <v>22</v>
      </c>
      <c r="AM12" s="23" cm="1">
        <f t="array" ref="AM12">IF(OR(AN12:AZ12=""),"BLANK",IF(AND(AN12:AZ12&lt;9999999),1,IF(AND(AN12:AZ12="NA"),3,2)))</f>
        <v>1</v>
      </c>
      <c r="AN12" s="5">
        <v>9</v>
      </c>
      <c r="AO12" s="5">
        <v>2</v>
      </c>
      <c r="AP12" s="10">
        <v>3</v>
      </c>
      <c r="AQ12" s="10">
        <v>4</v>
      </c>
      <c r="AR12" s="10">
        <v>9</v>
      </c>
      <c r="AS12" s="11">
        <v>755</v>
      </c>
      <c r="AT12" s="11">
        <v>2311.5</v>
      </c>
      <c r="AU12" s="11">
        <v>1234.75</v>
      </c>
      <c r="AV12" s="11">
        <v>8563</v>
      </c>
      <c r="AW12" s="11">
        <v>0</v>
      </c>
      <c r="AX12" s="11">
        <v>0</v>
      </c>
      <c r="AY12" s="11">
        <v>0</v>
      </c>
      <c r="AZ12" s="11">
        <v>1403.5928571428999</v>
      </c>
      <c r="BA12" s="23">
        <v>3</v>
      </c>
      <c r="BB12" s="24" t="s">
        <v>8</v>
      </c>
    </row>
    <row r="13" spans="1:57" x14ac:dyDescent="0.2">
      <c r="A13" s="5">
        <v>135</v>
      </c>
      <c r="B13" s="20" t="s">
        <v>70</v>
      </c>
      <c r="C13" s="18" t="s">
        <v>54</v>
      </c>
      <c r="D13" s="18">
        <v>5</v>
      </c>
      <c r="E13" s="18">
        <v>0</v>
      </c>
      <c r="F13" s="20">
        <v>3.6360000000000001</v>
      </c>
      <c r="G13" s="18">
        <v>30</v>
      </c>
      <c r="H13" s="22">
        <v>4.2929500342231348</v>
      </c>
      <c r="I13" s="22" t="s">
        <v>8</v>
      </c>
      <c r="J13" s="22" t="s">
        <v>8</v>
      </c>
      <c r="K13" s="22">
        <v>4.3696098562628336</v>
      </c>
      <c r="L13" s="22" t="s">
        <v>8</v>
      </c>
      <c r="M13" s="22" t="s">
        <v>8</v>
      </c>
      <c r="N13" s="22">
        <v>4.1396303901437372</v>
      </c>
      <c r="O13" s="22" t="s">
        <v>8</v>
      </c>
      <c r="P13" s="22" t="s">
        <v>8</v>
      </c>
      <c r="Q13" s="22" t="s">
        <v>8</v>
      </c>
      <c r="R13" s="22" t="s">
        <v>8</v>
      </c>
      <c r="S13" s="22" t="s">
        <v>8</v>
      </c>
      <c r="T13" s="5">
        <v>6</v>
      </c>
      <c r="U13" s="5">
        <v>18</v>
      </c>
      <c r="V13" s="20" t="s">
        <v>1</v>
      </c>
      <c r="W13" s="20">
        <v>5</v>
      </c>
      <c r="X13" s="20">
        <v>1</v>
      </c>
      <c r="Y13" s="5">
        <v>1</v>
      </c>
      <c r="Z13" s="20">
        <v>4</v>
      </c>
      <c r="AA13" s="23">
        <f t="shared" si="0"/>
        <v>3</v>
      </c>
      <c r="AB13" s="15" t="s">
        <v>8</v>
      </c>
      <c r="AC13" s="15" t="s">
        <v>8</v>
      </c>
      <c r="AD13" s="15" t="s">
        <v>8</v>
      </c>
      <c r="AE13" s="15" t="s">
        <v>8</v>
      </c>
      <c r="AF13" s="20" t="s">
        <v>8</v>
      </c>
      <c r="AG13" s="20" t="s">
        <v>8</v>
      </c>
      <c r="AH13" s="24" t="s">
        <v>8</v>
      </c>
      <c r="AI13" s="23">
        <f t="shared" si="1"/>
        <v>1</v>
      </c>
      <c r="AJ13" s="17">
        <v>4.75</v>
      </c>
      <c r="AK13" s="17">
        <v>7.25</v>
      </c>
      <c r="AL13" s="14">
        <v>12</v>
      </c>
      <c r="AM13" s="23" cm="1">
        <f t="array" ref="AM13">IF(OR(AN13:AZ13=""),"BLANK",IF(AND(AN13:AZ13&lt;9999999),1,IF(AND(AN13:AZ13="NA"),3,2)))</f>
        <v>1</v>
      </c>
      <c r="AN13" s="5">
        <v>7</v>
      </c>
      <c r="AO13" s="5">
        <v>2</v>
      </c>
      <c r="AP13" s="10">
        <v>3</v>
      </c>
      <c r="AQ13" s="10">
        <v>6.5</v>
      </c>
      <c r="AR13" s="10">
        <v>8.25</v>
      </c>
      <c r="AS13" s="11">
        <v>2966</v>
      </c>
      <c r="AT13" s="11">
        <v>5705.5</v>
      </c>
      <c r="AU13" s="11">
        <v>13403.75</v>
      </c>
      <c r="AV13" s="11">
        <v>7485</v>
      </c>
      <c r="AW13" s="11">
        <v>0</v>
      </c>
      <c r="AX13" s="11">
        <v>0</v>
      </c>
      <c r="AY13" s="11">
        <v>1047.25</v>
      </c>
      <c r="AZ13" s="11">
        <v>1040.7022727272999</v>
      </c>
      <c r="BA13" s="23">
        <v>3</v>
      </c>
      <c r="BB13" s="24" t="s">
        <v>8</v>
      </c>
    </row>
    <row r="14" spans="1:57" x14ac:dyDescent="0.2">
      <c r="A14" s="5">
        <v>138</v>
      </c>
      <c r="B14" s="20" t="s">
        <v>71</v>
      </c>
      <c r="C14" s="18" t="s">
        <v>54</v>
      </c>
      <c r="D14" s="18">
        <v>6</v>
      </c>
      <c r="E14" s="18">
        <v>1</v>
      </c>
      <c r="F14" s="20">
        <v>4</v>
      </c>
      <c r="G14" s="18">
        <v>30</v>
      </c>
      <c r="H14" s="22">
        <v>4.2080766598220398</v>
      </c>
      <c r="I14" s="22">
        <v>6.1546885694729641</v>
      </c>
      <c r="J14" s="22">
        <v>10.362765229295004</v>
      </c>
      <c r="K14" s="22">
        <v>4.2710472279260783</v>
      </c>
      <c r="L14" s="22">
        <v>6.0725530458590002</v>
      </c>
      <c r="M14" s="22">
        <v>10.343600273785079</v>
      </c>
      <c r="N14" s="22">
        <v>4.128678986995209</v>
      </c>
      <c r="O14" s="22">
        <v>5.8370978781656397</v>
      </c>
      <c r="P14" s="22">
        <v>9.9657768651608496</v>
      </c>
      <c r="Q14" s="22" t="s">
        <v>8</v>
      </c>
      <c r="R14" s="22" t="s">
        <v>8</v>
      </c>
      <c r="S14" s="22" t="s">
        <v>8</v>
      </c>
      <c r="T14" s="5">
        <v>5</v>
      </c>
      <c r="U14" s="5">
        <v>18</v>
      </c>
      <c r="V14" s="20" t="s">
        <v>1</v>
      </c>
      <c r="W14" s="20">
        <v>5</v>
      </c>
      <c r="X14" s="20">
        <v>1</v>
      </c>
      <c r="Y14" s="5">
        <v>1</v>
      </c>
      <c r="Z14" s="20">
        <v>4</v>
      </c>
      <c r="AA14" s="23">
        <f t="shared" si="0"/>
        <v>3</v>
      </c>
      <c r="AB14" s="15" t="s">
        <v>8</v>
      </c>
      <c r="AC14" s="15" t="s">
        <v>8</v>
      </c>
      <c r="AD14" s="15" t="s">
        <v>8</v>
      </c>
      <c r="AE14" s="15" t="s">
        <v>8</v>
      </c>
      <c r="AF14" s="20" t="s">
        <v>8</v>
      </c>
      <c r="AG14" s="20" t="s">
        <v>8</v>
      </c>
      <c r="AH14" s="24" t="s">
        <v>8</v>
      </c>
      <c r="AI14" s="23">
        <f t="shared" si="1"/>
        <v>1</v>
      </c>
      <c r="AJ14" s="17">
        <v>13</v>
      </c>
      <c r="AK14" s="17">
        <v>12.75</v>
      </c>
      <c r="AL14" s="14">
        <v>25.75</v>
      </c>
      <c r="AM14" s="23" cm="1">
        <f t="array" ref="AM14">IF(OR(AN14:AZ14=""),"BLANK",IF(AND(AN14:AZ14&lt;9999999),1,IF(AND(AN14:AZ14="NA"),3,2)))</f>
        <v>1</v>
      </c>
      <c r="AN14" s="5">
        <v>9</v>
      </c>
      <c r="AO14" s="5">
        <v>2</v>
      </c>
      <c r="AP14" s="10">
        <v>3</v>
      </c>
      <c r="AQ14" s="10">
        <v>5.75</v>
      </c>
      <c r="AR14" s="10">
        <v>5.5</v>
      </c>
      <c r="AS14" s="11">
        <v>1601</v>
      </c>
      <c r="AT14" s="11">
        <v>5024</v>
      </c>
      <c r="AU14" s="11">
        <v>3414.25</v>
      </c>
      <c r="AV14" s="11">
        <v>6180.25</v>
      </c>
      <c r="AW14" s="11">
        <v>0</v>
      </c>
      <c r="AX14" s="11">
        <v>0</v>
      </c>
      <c r="AY14" s="11">
        <v>510.2777777778</v>
      </c>
      <c r="AZ14" s="11">
        <v>0</v>
      </c>
      <c r="BA14" s="23">
        <v>3</v>
      </c>
      <c r="BB14" s="24" t="s">
        <v>8</v>
      </c>
    </row>
    <row r="15" spans="1:57" x14ac:dyDescent="0.2">
      <c r="A15" s="5">
        <v>139</v>
      </c>
      <c r="B15" s="20" t="s">
        <v>72</v>
      </c>
      <c r="C15" s="18" t="s">
        <v>54</v>
      </c>
      <c r="D15" s="18">
        <v>5</v>
      </c>
      <c r="E15" s="18">
        <v>0</v>
      </c>
      <c r="F15" s="20">
        <v>3.1819999999999999</v>
      </c>
      <c r="G15" s="18">
        <v>30</v>
      </c>
      <c r="H15" s="22">
        <v>4.5092402464065708</v>
      </c>
      <c r="I15" s="22">
        <v>5.6673511293634498</v>
      </c>
      <c r="J15" s="22">
        <v>10.17659137577002</v>
      </c>
      <c r="K15" s="22">
        <v>4.7392197125256672</v>
      </c>
      <c r="L15" s="22">
        <v>5.5605749486652973</v>
      </c>
      <c r="M15" s="22">
        <v>10.299794661190965</v>
      </c>
      <c r="N15" s="22">
        <v>4.3175906913073234</v>
      </c>
      <c r="O15" s="22">
        <v>5.6673511293634498</v>
      </c>
      <c r="P15" s="22">
        <v>9.9849418206707732</v>
      </c>
      <c r="Q15" s="22" t="s">
        <v>8</v>
      </c>
      <c r="R15" s="22" t="s">
        <v>8</v>
      </c>
      <c r="S15" s="22" t="s">
        <v>8</v>
      </c>
      <c r="T15" s="5">
        <v>5</v>
      </c>
      <c r="U15" s="5">
        <v>17</v>
      </c>
      <c r="V15" s="20" t="s">
        <v>1</v>
      </c>
      <c r="W15" s="20">
        <v>5</v>
      </c>
      <c r="X15" s="20">
        <v>1</v>
      </c>
      <c r="Y15" s="5">
        <v>1</v>
      </c>
      <c r="Z15" s="20">
        <v>4</v>
      </c>
      <c r="AA15" s="23">
        <f t="shared" si="0"/>
        <v>3</v>
      </c>
      <c r="AB15" s="15" t="s">
        <v>8</v>
      </c>
      <c r="AC15" s="15" t="s">
        <v>8</v>
      </c>
      <c r="AD15" s="15" t="s">
        <v>8</v>
      </c>
      <c r="AE15" s="15" t="s">
        <v>8</v>
      </c>
      <c r="AF15" s="20" t="s">
        <v>8</v>
      </c>
      <c r="AG15" s="20" t="s">
        <v>8</v>
      </c>
      <c r="AH15" s="24" t="s">
        <v>8</v>
      </c>
      <c r="AI15" s="23">
        <f t="shared" si="1"/>
        <v>1</v>
      </c>
      <c r="AJ15" s="17">
        <v>12</v>
      </c>
      <c r="AK15" s="17">
        <v>11.75</v>
      </c>
      <c r="AL15" s="14">
        <v>23.75</v>
      </c>
      <c r="AM15" s="23" cm="1">
        <f t="array" ref="AM15">IF(OR(AN15:AZ15=""),"BLANK",IF(AND(AN15:AZ15&lt;9999999),1,IF(AND(AN15:AZ15="NA"),3,2)))</f>
        <v>1</v>
      </c>
      <c r="AN15" s="5">
        <v>10</v>
      </c>
      <c r="AO15" s="5">
        <v>2</v>
      </c>
      <c r="AP15" s="10">
        <v>3</v>
      </c>
      <c r="AQ15" s="10">
        <v>5.25</v>
      </c>
      <c r="AR15" s="10">
        <v>6</v>
      </c>
      <c r="AS15" s="11">
        <v>1173.5</v>
      </c>
      <c r="AT15" s="11">
        <v>1915</v>
      </c>
      <c r="AU15" s="11">
        <v>2157.25</v>
      </c>
      <c r="AV15" s="11">
        <v>5481.75</v>
      </c>
      <c r="AW15" s="11">
        <v>0</v>
      </c>
      <c r="AX15" s="11">
        <v>0</v>
      </c>
      <c r="AY15" s="11">
        <v>0</v>
      </c>
      <c r="AZ15" s="11">
        <v>0</v>
      </c>
      <c r="BA15" s="23">
        <v>3</v>
      </c>
      <c r="BB15" s="24" t="s">
        <v>8</v>
      </c>
    </row>
    <row r="16" spans="1:57" x14ac:dyDescent="0.2">
      <c r="A16" s="5">
        <v>140</v>
      </c>
      <c r="B16" s="20" t="s">
        <v>73</v>
      </c>
      <c r="C16" s="18" t="s">
        <v>54</v>
      </c>
      <c r="D16" s="18">
        <v>5</v>
      </c>
      <c r="E16" s="18">
        <v>0</v>
      </c>
      <c r="F16" s="20">
        <v>3.8180000000000001</v>
      </c>
      <c r="G16" s="18">
        <v>27</v>
      </c>
      <c r="H16" s="22">
        <v>4.6543463381245722</v>
      </c>
      <c r="I16" s="22" t="s">
        <v>8</v>
      </c>
      <c r="J16" s="22" t="s">
        <v>8</v>
      </c>
      <c r="K16" s="22">
        <v>4.6433949349760439</v>
      </c>
      <c r="L16" s="22" t="s">
        <v>8</v>
      </c>
      <c r="M16" s="22" t="s">
        <v>8</v>
      </c>
      <c r="N16" s="22">
        <v>4.5557837097878169</v>
      </c>
      <c r="O16" s="22" t="s">
        <v>8</v>
      </c>
      <c r="P16" s="22" t="s">
        <v>8</v>
      </c>
      <c r="Q16" s="22" t="s">
        <v>8</v>
      </c>
      <c r="R16" s="22" t="s">
        <v>8</v>
      </c>
      <c r="S16" s="22" t="s">
        <v>8</v>
      </c>
      <c r="T16" s="5">
        <v>3</v>
      </c>
      <c r="U16" s="5">
        <v>15</v>
      </c>
      <c r="V16" s="20" t="s">
        <v>1</v>
      </c>
      <c r="W16" s="20">
        <v>5</v>
      </c>
      <c r="X16" s="20">
        <v>1</v>
      </c>
      <c r="Y16" s="5">
        <v>1</v>
      </c>
      <c r="Z16" s="20">
        <v>4</v>
      </c>
      <c r="AA16" s="23">
        <f t="shared" si="0"/>
        <v>3</v>
      </c>
      <c r="AB16" s="15" t="s">
        <v>8</v>
      </c>
      <c r="AC16" s="15" t="s">
        <v>8</v>
      </c>
      <c r="AD16" s="15" t="s">
        <v>8</v>
      </c>
      <c r="AE16" s="15" t="s">
        <v>8</v>
      </c>
      <c r="AF16" s="20" t="s">
        <v>8</v>
      </c>
      <c r="AG16" s="20" t="s">
        <v>8</v>
      </c>
      <c r="AH16" s="24" t="s">
        <v>8</v>
      </c>
      <c r="AI16" s="23">
        <f t="shared" si="1"/>
        <v>1</v>
      </c>
      <c r="AJ16" s="17">
        <v>14</v>
      </c>
      <c r="AK16" s="17">
        <v>10.75</v>
      </c>
      <c r="AL16" s="14">
        <v>24.75</v>
      </c>
      <c r="AM16" s="23" cm="1">
        <f t="array" ref="AM16">IF(OR(AN16:AZ16=""),"BLANK",IF(AND(AN16:AZ16&lt;9999999),1,IF(AND(AN16:AZ16="NA"),3,2)))</f>
        <v>1</v>
      </c>
      <c r="AN16" s="5">
        <v>10</v>
      </c>
      <c r="AO16" s="5">
        <v>2</v>
      </c>
      <c r="AP16" s="10">
        <v>3</v>
      </c>
      <c r="AQ16" s="10">
        <v>4</v>
      </c>
      <c r="AR16" s="10">
        <v>7.75</v>
      </c>
      <c r="AS16" s="11">
        <v>1275</v>
      </c>
      <c r="AT16" s="11">
        <v>1806</v>
      </c>
      <c r="AU16" s="11">
        <v>3619.25</v>
      </c>
      <c r="AV16" s="11">
        <v>7325</v>
      </c>
      <c r="AW16" s="11">
        <v>0</v>
      </c>
      <c r="AX16" s="11">
        <v>0</v>
      </c>
      <c r="AY16" s="11">
        <v>0</v>
      </c>
      <c r="AZ16" s="11">
        <v>1178.694444</v>
      </c>
      <c r="BA16" s="23">
        <v>3</v>
      </c>
      <c r="BB16" s="24" t="s">
        <v>8</v>
      </c>
    </row>
    <row r="17" spans="1:54" x14ac:dyDescent="0.2">
      <c r="A17" s="5">
        <v>141</v>
      </c>
      <c r="B17" s="20" t="s">
        <v>62</v>
      </c>
      <c r="C17" s="18" t="s">
        <v>55</v>
      </c>
      <c r="D17" s="18">
        <v>5</v>
      </c>
      <c r="E17" s="18">
        <v>0</v>
      </c>
      <c r="F17" s="20">
        <v>3.3639999999999999</v>
      </c>
      <c r="G17" s="18">
        <v>29</v>
      </c>
      <c r="H17" s="22">
        <v>4.3093771389459272</v>
      </c>
      <c r="I17" s="22" t="s">
        <v>8</v>
      </c>
      <c r="J17" s="22" t="s">
        <v>8</v>
      </c>
      <c r="K17" s="22">
        <v>4.3696098562628336</v>
      </c>
      <c r="L17" s="22" t="s">
        <v>8</v>
      </c>
      <c r="M17" s="22" t="s">
        <v>8</v>
      </c>
      <c r="N17" s="22">
        <v>4.2710472279260783</v>
      </c>
      <c r="O17" s="22" t="s">
        <v>8</v>
      </c>
      <c r="P17" s="22" t="s">
        <v>8</v>
      </c>
      <c r="Q17" s="22" t="s">
        <v>8</v>
      </c>
      <c r="R17" s="22" t="s">
        <v>8</v>
      </c>
      <c r="S17" s="22" t="s">
        <v>8</v>
      </c>
      <c r="T17" s="5">
        <v>7</v>
      </c>
      <c r="U17" s="5">
        <v>21</v>
      </c>
      <c r="V17" s="20" t="s">
        <v>1</v>
      </c>
      <c r="W17" s="20">
        <v>5</v>
      </c>
      <c r="X17" s="20">
        <v>1</v>
      </c>
      <c r="Y17" s="5">
        <v>1</v>
      </c>
      <c r="Z17" s="20">
        <v>4</v>
      </c>
      <c r="AA17" s="23">
        <f t="shared" si="0"/>
        <v>3</v>
      </c>
      <c r="AB17" s="15" t="s">
        <v>8</v>
      </c>
      <c r="AC17" s="15" t="s">
        <v>8</v>
      </c>
      <c r="AD17" s="15" t="s">
        <v>8</v>
      </c>
      <c r="AE17" s="15" t="s">
        <v>8</v>
      </c>
      <c r="AF17" s="20" t="s">
        <v>8</v>
      </c>
      <c r="AG17" s="20" t="s">
        <v>8</v>
      </c>
      <c r="AH17" s="24" t="s">
        <v>8</v>
      </c>
      <c r="AI17" s="23">
        <f t="shared" si="1"/>
        <v>1</v>
      </c>
      <c r="AJ17" s="17">
        <v>9</v>
      </c>
      <c r="AK17" s="17">
        <v>10.75</v>
      </c>
      <c r="AL17" s="14">
        <v>19.75</v>
      </c>
      <c r="AM17" s="23" cm="1">
        <f t="array" ref="AM17">IF(OR(AN17:AZ17=""),"BLANK",IF(AND(AN17:AZ17&lt;9999999),1,IF(AND(AN17:AZ17="NA"),3,2)))</f>
        <v>1</v>
      </c>
      <c r="AN17" s="5">
        <v>7</v>
      </c>
      <c r="AO17" s="5">
        <v>2</v>
      </c>
      <c r="AP17" s="10">
        <v>3</v>
      </c>
      <c r="AQ17" s="10">
        <v>4.75</v>
      </c>
      <c r="AR17" s="10">
        <v>9.75</v>
      </c>
      <c r="AS17" s="11">
        <v>1375.5</v>
      </c>
      <c r="AT17" s="11">
        <v>2287</v>
      </c>
      <c r="AU17" s="11">
        <v>4688.75</v>
      </c>
      <c r="AV17" s="11">
        <v>2982.75</v>
      </c>
      <c r="AW17" s="11">
        <v>0</v>
      </c>
      <c r="AX17" s="11">
        <v>0</v>
      </c>
      <c r="AY17" s="11">
        <v>1765.6875</v>
      </c>
      <c r="AZ17" s="11">
        <v>443.17196969700001</v>
      </c>
      <c r="BA17" s="23">
        <v>3</v>
      </c>
      <c r="BB17" s="24" t="s">
        <v>8</v>
      </c>
    </row>
    <row r="18" spans="1:54" x14ac:dyDescent="0.2">
      <c r="A18" s="5">
        <v>142</v>
      </c>
      <c r="B18" s="20" t="s">
        <v>70</v>
      </c>
      <c r="C18" s="18" t="s">
        <v>54</v>
      </c>
      <c r="D18" s="18">
        <v>5</v>
      </c>
      <c r="E18" s="18">
        <v>0</v>
      </c>
      <c r="F18" s="20">
        <v>3.6360000000000001</v>
      </c>
      <c r="G18" s="18">
        <v>27</v>
      </c>
      <c r="H18" s="22" t="s">
        <v>8</v>
      </c>
      <c r="I18" s="22" t="s">
        <v>8</v>
      </c>
      <c r="J18" s="22" t="s">
        <v>8</v>
      </c>
      <c r="K18" s="22" t="s">
        <v>8</v>
      </c>
      <c r="L18" s="22" t="s">
        <v>8</v>
      </c>
      <c r="M18" s="22" t="s">
        <v>8</v>
      </c>
      <c r="N18" s="22" t="s">
        <v>8</v>
      </c>
      <c r="O18" s="22" t="s">
        <v>8</v>
      </c>
      <c r="P18" s="22" t="s">
        <v>8</v>
      </c>
      <c r="Q18" s="22" t="s">
        <v>8</v>
      </c>
      <c r="R18" s="22" t="s">
        <v>8</v>
      </c>
      <c r="S18" s="22" t="s">
        <v>8</v>
      </c>
      <c r="T18" s="5">
        <v>6</v>
      </c>
      <c r="U18" s="5">
        <v>18</v>
      </c>
      <c r="V18" s="20" t="s">
        <v>1</v>
      </c>
      <c r="W18" s="20">
        <v>5</v>
      </c>
      <c r="X18" s="20">
        <v>1</v>
      </c>
      <c r="Y18" s="5">
        <v>1</v>
      </c>
      <c r="Z18" s="20">
        <v>4</v>
      </c>
      <c r="AA18" s="23">
        <f t="shared" si="0"/>
        <v>2</v>
      </c>
      <c r="AB18" s="15">
        <v>1</v>
      </c>
      <c r="AC18" s="15">
        <v>1</v>
      </c>
      <c r="AD18" s="15">
        <v>1</v>
      </c>
      <c r="AE18" s="15">
        <v>1</v>
      </c>
      <c r="AF18" s="20">
        <v>24</v>
      </c>
      <c r="AG18" s="20" t="s">
        <v>8</v>
      </c>
      <c r="AH18" s="24">
        <v>24</v>
      </c>
      <c r="AI18" s="23">
        <f t="shared" si="1"/>
        <v>1</v>
      </c>
      <c r="AJ18" s="17">
        <v>10.75</v>
      </c>
      <c r="AK18" s="17">
        <v>12</v>
      </c>
      <c r="AL18" s="14">
        <v>22.75</v>
      </c>
      <c r="AM18" s="23" cm="1">
        <f t="array" ref="AM18">IF(OR(AN18:AZ18=""),"BLANK",IF(AND(AN18:AZ18&lt;9999999),1,IF(AND(AN18:AZ18="NA"),3,2)))</f>
        <v>1</v>
      </c>
      <c r="AN18" s="5">
        <v>8</v>
      </c>
      <c r="AO18" s="5">
        <v>2</v>
      </c>
      <c r="AP18" s="10">
        <v>3</v>
      </c>
      <c r="AQ18" s="10">
        <v>4.5</v>
      </c>
      <c r="AR18" s="10">
        <v>7.25</v>
      </c>
      <c r="AS18" s="11">
        <v>1534.5</v>
      </c>
      <c r="AT18" s="11">
        <v>9074</v>
      </c>
      <c r="AU18" s="11">
        <v>10250</v>
      </c>
      <c r="AV18" s="11">
        <v>20059.75</v>
      </c>
      <c r="AW18" s="11">
        <v>40.75</v>
      </c>
      <c r="AX18" s="11">
        <v>0</v>
      </c>
      <c r="AY18" s="11">
        <v>936.4375</v>
      </c>
      <c r="AZ18" s="11">
        <v>3941.0277777778001</v>
      </c>
      <c r="BA18" s="23">
        <v>3</v>
      </c>
      <c r="BB18" s="24" t="s">
        <v>8</v>
      </c>
    </row>
    <row r="19" spans="1:54" x14ac:dyDescent="0.2">
      <c r="A19" s="5">
        <v>146</v>
      </c>
      <c r="B19" s="20" t="s">
        <v>69</v>
      </c>
      <c r="C19" s="18" t="s">
        <v>54</v>
      </c>
      <c r="D19" s="18">
        <v>5</v>
      </c>
      <c r="E19" s="18">
        <v>0</v>
      </c>
      <c r="F19" s="20">
        <v>3.3639999999999999</v>
      </c>
      <c r="G19" s="18">
        <v>30</v>
      </c>
      <c r="H19" s="22">
        <v>4.4435318275154003</v>
      </c>
      <c r="I19" s="22">
        <v>5.5687885010266944</v>
      </c>
      <c r="J19" s="22">
        <v>10.012320328542094</v>
      </c>
      <c r="K19" s="22">
        <v>4.4380561259411362</v>
      </c>
      <c r="L19" s="22">
        <v>5.6153319644079396</v>
      </c>
      <c r="M19" s="22">
        <v>10.053388090349076</v>
      </c>
      <c r="N19" s="22">
        <v>4.7008898015058183</v>
      </c>
      <c r="O19" s="22">
        <v>5.28952772073922</v>
      </c>
      <c r="P19" s="22">
        <v>9.9904175222450373</v>
      </c>
      <c r="Q19" s="22" t="s">
        <v>8</v>
      </c>
      <c r="R19" s="22" t="s">
        <v>8</v>
      </c>
      <c r="S19" s="22" t="s">
        <v>8</v>
      </c>
      <c r="T19" s="5">
        <v>3</v>
      </c>
      <c r="U19" s="5">
        <v>15</v>
      </c>
      <c r="V19" s="20" t="s">
        <v>1</v>
      </c>
      <c r="W19" s="20">
        <v>5</v>
      </c>
      <c r="X19" s="20">
        <v>1</v>
      </c>
      <c r="Y19" s="5">
        <v>1</v>
      </c>
      <c r="Z19" s="20">
        <v>4</v>
      </c>
      <c r="AA19" s="23">
        <f t="shared" si="0"/>
        <v>3</v>
      </c>
      <c r="AB19" s="15" t="s">
        <v>8</v>
      </c>
      <c r="AC19" s="15" t="s">
        <v>8</v>
      </c>
      <c r="AD19" s="15" t="s">
        <v>8</v>
      </c>
      <c r="AE19" s="15" t="s">
        <v>8</v>
      </c>
      <c r="AF19" s="20" t="s">
        <v>8</v>
      </c>
      <c r="AG19" s="20" t="s">
        <v>8</v>
      </c>
      <c r="AH19" s="24" t="s">
        <v>8</v>
      </c>
      <c r="AI19" s="23">
        <f t="shared" si="1"/>
        <v>1</v>
      </c>
      <c r="AJ19" s="17">
        <v>12</v>
      </c>
      <c r="AK19" s="17">
        <v>11.75</v>
      </c>
      <c r="AL19" s="14">
        <v>23.75</v>
      </c>
      <c r="AM19" s="23" cm="1">
        <f t="array" ref="AM19">IF(OR(AN19:AZ19=""),"BLANK",IF(AND(AN19:AZ19&lt;9999999),1,IF(AND(AN19:AZ19="NA"),3,2)))</f>
        <v>1</v>
      </c>
      <c r="AN19" s="5">
        <v>9</v>
      </c>
      <c r="AO19" s="5">
        <v>2</v>
      </c>
      <c r="AP19" s="10">
        <v>4</v>
      </c>
      <c r="AQ19" s="10">
        <v>5</v>
      </c>
      <c r="AR19" s="10">
        <v>6</v>
      </c>
      <c r="AS19" s="11">
        <v>0</v>
      </c>
      <c r="AT19" s="11">
        <v>1470</v>
      </c>
      <c r="AU19" s="11">
        <v>5791.5</v>
      </c>
      <c r="AV19" s="11">
        <v>4238.75</v>
      </c>
      <c r="AW19" s="11">
        <v>0</v>
      </c>
      <c r="AX19" s="11">
        <v>3919.9666666666999</v>
      </c>
      <c r="AY19" s="11">
        <v>345.40625</v>
      </c>
      <c r="AZ19" s="11">
        <v>0</v>
      </c>
      <c r="BA19" s="23">
        <v>3</v>
      </c>
      <c r="BB19" s="24" t="s">
        <v>8</v>
      </c>
    </row>
    <row r="20" spans="1:54" x14ac:dyDescent="0.2">
      <c r="A20" s="5">
        <v>147</v>
      </c>
      <c r="B20" s="20" t="s">
        <v>66</v>
      </c>
      <c r="C20" s="18" t="s">
        <v>54</v>
      </c>
      <c r="D20" s="18">
        <v>5</v>
      </c>
      <c r="E20" s="18">
        <v>0</v>
      </c>
      <c r="F20" s="20">
        <v>4</v>
      </c>
      <c r="G20" s="18">
        <v>30</v>
      </c>
      <c r="H20" s="22">
        <v>4.5804243668720055</v>
      </c>
      <c r="I20" s="22">
        <v>5.8453114305270359</v>
      </c>
      <c r="J20" s="22">
        <v>10.425735797399042</v>
      </c>
      <c r="K20" s="22">
        <v>4.5804243668720055</v>
      </c>
      <c r="L20" s="22">
        <v>5.8453114305270359</v>
      </c>
      <c r="M20" s="22">
        <v>10.425735797399042</v>
      </c>
      <c r="N20" s="22">
        <v>4.0821355236139629</v>
      </c>
      <c r="O20" s="22">
        <v>5.6837782340862422</v>
      </c>
      <c r="P20" s="22">
        <v>9.765913757700206</v>
      </c>
      <c r="Q20" s="22" t="s">
        <v>8</v>
      </c>
      <c r="R20" s="22" t="s">
        <v>8</v>
      </c>
      <c r="S20" s="22" t="s">
        <v>8</v>
      </c>
      <c r="T20" s="5">
        <v>7</v>
      </c>
      <c r="U20" s="5">
        <v>21</v>
      </c>
      <c r="V20" s="20" t="s">
        <v>1</v>
      </c>
      <c r="W20" s="20">
        <v>5</v>
      </c>
      <c r="X20" s="20">
        <v>1</v>
      </c>
      <c r="Y20" s="5">
        <v>1</v>
      </c>
      <c r="Z20" s="20">
        <v>4</v>
      </c>
      <c r="AA20" s="23">
        <f t="shared" si="0"/>
        <v>3</v>
      </c>
      <c r="AB20" s="15" t="s">
        <v>8</v>
      </c>
      <c r="AC20" s="15" t="s">
        <v>8</v>
      </c>
      <c r="AD20" s="15" t="s">
        <v>8</v>
      </c>
      <c r="AE20" s="15" t="s">
        <v>8</v>
      </c>
      <c r="AF20" s="20" t="s">
        <v>8</v>
      </c>
      <c r="AG20" s="20" t="s">
        <v>8</v>
      </c>
      <c r="AH20" s="24" t="s">
        <v>8</v>
      </c>
      <c r="AI20" s="23">
        <f t="shared" si="1"/>
        <v>1</v>
      </c>
      <c r="AJ20" s="17">
        <v>11.75</v>
      </c>
      <c r="AK20" s="17">
        <v>14</v>
      </c>
      <c r="AL20" s="14">
        <v>25.75</v>
      </c>
      <c r="AM20" s="23" cm="1">
        <f t="array" ref="AM20">IF(OR(AN20:AZ20=""),"BLANK",IF(AND(AN20:AZ20&lt;9999999),1,IF(AND(AN20:AZ20="NA"),3,2)))</f>
        <v>1</v>
      </c>
      <c r="AN20" s="5">
        <v>9</v>
      </c>
      <c r="AO20" s="5">
        <v>2</v>
      </c>
      <c r="AP20" s="10">
        <v>3</v>
      </c>
      <c r="AQ20" s="10">
        <v>6.5</v>
      </c>
      <c r="AR20" s="10">
        <v>5.25</v>
      </c>
      <c r="AS20" s="11">
        <v>0</v>
      </c>
      <c r="AT20" s="11">
        <v>2253</v>
      </c>
      <c r="AU20" s="11">
        <v>2472</v>
      </c>
      <c r="AV20" s="11">
        <v>3833.5</v>
      </c>
      <c r="AW20" s="11">
        <v>0</v>
      </c>
      <c r="AX20" s="11">
        <v>0</v>
      </c>
      <c r="AY20" s="11">
        <v>7038.6875</v>
      </c>
      <c r="AZ20" s="11">
        <v>0</v>
      </c>
      <c r="BA20" s="23">
        <v>3</v>
      </c>
      <c r="BB20" s="24" t="s">
        <v>8</v>
      </c>
    </row>
    <row r="21" spans="1:54" x14ac:dyDescent="0.2">
      <c r="A21" s="5">
        <v>149</v>
      </c>
      <c r="B21" s="20" t="s">
        <v>74</v>
      </c>
      <c r="C21" s="18" t="s">
        <v>54</v>
      </c>
      <c r="D21" s="18">
        <v>5</v>
      </c>
      <c r="E21" s="18">
        <v>0</v>
      </c>
      <c r="F21" s="20">
        <v>3.9089999999999998</v>
      </c>
      <c r="G21" s="18">
        <v>30</v>
      </c>
      <c r="H21" s="22">
        <v>4.3394934976043809</v>
      </c>
      <c r="I21" s="22">
        <v>5.9000684462696782</v>
      </c>
      <c r="J21" s="22">
        <v>10.239561943874058</v>
      </c>
      <c r="K21" s="22">
        <v>4.4161533196440796</v>
      </c>
      <c r="L21" s="22">
        <v>5.8836413415468858</v>
      </c>
      <c r="M21" s="22">
        <v>10.299794661190965</v>
      </c>
      <c r="N21" s="22">
        <v>4.2190280629705681</v>
      </c>
      <c r="O21" s="22">
        <v>5.5660506502395624</v>
      </c>
      <c r="P21" s="22">
        <v>9.7850787132101296</v>
      </c>
      <c r="Q21" s="22" t="s">
        <v>8</v>
      </c>
      <c r="R21" s="22" t="s">
        <v>8</v>
      </c>
      <c r="S21" s="22" t="s">
        <v>8</v>
      </c>
      <c r="T21" s="5">
        <v>6</v>
      </c>
      <c r="U21" s="5">
        <v>18</v>
      </c>
      <c r="V21" s="20" t="s">
        <v>1</v>
      </c>
      <c r="W21" s="20">
        <v>5</v>
      </c>
      <c r="X21" s="20">
        <v>1</v>
      </c>
      <c r="Y21" s="5">
        <v>1</v>
      </c>
      <c r="Z21" s="20">
        <v>4</v>
      </c>
      <c r="AA21" s="23">
        <f t="shared" si="0"/>
        <v>3</v>
      </c>
      <c r="AB21" s="15" t="s">
        <v>8</v>
      </c>
      <c r="AC21" s="15" t="s">
        <v>8</v>
      </c>
      <c r="AD21" s="15" t="s">
        <v>8</v>
      </c>
      <c r="AE21" s="15" t="s">
        <v>8</v>
      </c>
      <c r="AF21" s="20" t="s">
        <v>8</v>
      </c>
      <c r="AG21" s="20" t="s">
        <v>8</v>
      </c>
      <c r="AH21" s="24" t="s">
        <v>8</v>
      </c>
      <c r="AI21" s="23">
        <f t="shared" si="1"/>
        <v>1</v>
      </c>
      <c r="AJ21" s="17">
        <v>7.25</v>
      </c>
      <c r="AK21" s="17">
        <v>10</v>
      </c>
      <c r="AL21" s="14">
        <v>17.25</v>
      </c>
      <c r="AM21" s="23" cm="1">
        <f t="array" ref="AM21">IF(OR(AN21:AZ21=""),"BLANK",IF(AND(AN21:AZ21&lt;9999999),1,IF(AND(AN21:AZ21="NA"),3,2)))</f>
        <v>1</v>
      </c>
      <c r="AN21" s="5">
        <v>11</v>
      </c>
      <c r="AO21" s="5">
        <v>2</v>
      </c>
      <c r="AP21" s="10">
        <v>3</v>
      </c>
      <c r="AQ21" s="10">
        <v>4</v>
      </c>
      <c r="AR21" s="10">
        <v>5.5</v>
      </c>
      <c r="AS21" s="11">
        <v>1915</v>
      </c>
      <c r="AT21" s="11">
        <v>3885</v>
      </c>
      <c r="AU21" s="11">
        <v>0</v>
      </c>
      <c r="AV21" s="11">
        <v>25957.5</v>
      </c>
      <c r="AW21" s="11">
        <v>3025.5</v>
      </c>
      <c r="AX21" s="11">
        <v>1866.1666666666999</v>
      </c>
      <c r="AY21" s="11">
        <v>0</v>
      </c>
      <c r="AZ21" s="11">
        <v>31.8</v>
      </c>
      <c r="BA21" s="23">
        <v>3</v>
      </c>
      <c r="BB21" s="24" t="s">
        <v>8</v>
      </c>
    </row>
    <row r="22" spans="1:54" x14ac:dyDescent="0.2">
      <c r="A22" s="5">
        <v>153</v>
      </c>
      <c r="B22" s="20" t="s">
        <v>75</v>
      </c>
      <c r="C22" s="18" t="s">
        <v>55</v>
      </c>
      <c r="D22" s="18">
        <v>2</v>
      </c>
      <c r="E22" s="18">
        <v>0</v>
      </c>
      <c r="F22" s="20">
        <v>4</v>
      </c>
      <c r="G22" s="18">
        <v>27</v>
      </c>
      <c r="H22" s="22" t="s">
        <v>8</v>
      </c>
      <c r="I22" s="22" t="s">
        <v>8</v>
      </c>
      <c r="J22" s="22" t="s">
        <v>8</v>
      </c>
      <c r="K22" s="22" t="s">
        <v>8</v>
      </c>
      <c r="L22" s="22" t="s">
        <v>8</v>
      </c>
      <c r="M22" s="22" t="s">
        <v>8</v>
      </c>
      <c r="N22" s="22" t="s">
        <v>8</v>
      </c>
      <c r="O22" s="22" t="s">
        <v>8</v>
      </c>
      <c r="P22" s="22" t="s">
        <v>8</v>
      </c>
      <c r="Q22" s="22" t="s">
        <v>8</v>
      </c>
      <c r="R22" s="22" t="s">
        <v>8</v>
      </c>
      <c r="S22" s="22" t="s">
        <v>8</v>
      </c>
      <c r="T22" s="5">
        <v>7</v>
      </c>
      <c r="U22" s="5">
        <v>21</v>
      </c>
      <c r="V22" s="20" t="s">
        <v>1</v>
      </c>
      <c r="W22" s="20">
        <v>5</v>
      </c>
      <c r="X22" s="20">
        <v>1</v>
      </c>
      <c r="Y22" s="5">
        <v>1</v>
      </c>
      <c r="Z22" s="20">
        <v>4</v>
      </c>
      <c r="AA22" s="23">
        <f t="shared" si="0"/>
        <v>3</v>
      </c>
      <c r="AB22" s="15" t="s">
        <v>8</v>
      </c>
      <c r="AC22" s="15" t="s">
        <v>8</v>
      </c>
      <c r="AD22" s="15" t="s">
        <v>8</v>
      </c>
      <c r="AE22" s="15" t="s">
        <v>8</v>
      </c>
      <c r="AF22" s="20" t="s">
        <v>8</v>
      </c>
      <c r="AG22" s="20" t="s">
        <v>8</v>
      </c>
      <c r="AH22" s="24" t="s">
        <v>8</v>
      </c>
      <c r="AI22" s="23">
        <f t="shared" si="1"/>
        <v>1</v>
      </c>
      <c r="AJ22" s="17">
        <v>9.25</v>
      </c>
      <c r="AK22" s="17">
        <v>12</v>
      </c>
      <c r="AL22" s="14">
        <v>21.25</v>
      </c>
      <c r="AM22" s="23" cm="1">
        <f t="array" ref="AM22">IF(OR(AN22:AZ22=""),"BLANK",IF(AND(AN22:AZ22&lt;9999999),1,IF(AND(AN22:AZ22="NA"),3,2)))</f>
        <v>1</v>
      </c>
      <c r="AN22" s="5">
        <v>7</v>
      </c>
      <c r="AO22" s="5">
        <v>2</v>
      </c>
      <c r="AP22" s="10">
        <v>4</v>
      </c>
      <c r="AQ22" s="10">
        <v>5.5</v>
      </c>
      <c r="AR22" s="10">
        <v>5.75</v>
      </c>
      <c r="AS22" s="11">
        <v>3829</v>
      </c>
      <c r="AT22" s="11">
        <v>7055.5</v>
      </c>
      <c r="AU22" s="11">
        <v>9762.25</v>
      </c>
      <c r="AV22" s="11">
        <v>4090.5</v>
      </c>
      <c r="AW22" s="11">
        <v>5381.5</v>
      </c>
      <c r="AX22" s="11">
        <v>2056.2333333332999</v>
      </c>
      <c r="AY22" s="11">
        <v>2692.9847222222002</v>
      </c>
      <c r="AZ22" s="11">
        <v>164.6880952381</v>
      </c>
      <c r="BA22" s="23">
        <v>3</v>
      </c>
      <c r="BB22" s="24" t="s">
        <v>8</v>
      </c>
    </row>
    <row r="23" spans="1:54" x14ac:dyDescent="0.2">
      <c r="A23" s="5">
        <v>155</v>
      </c>
      <c r="B23" s="20" t="s">
        <v>69</v>
      </c>
      <c r="C23" s="18" t="s">
        <v>55</v>
      </c>
      <c r="D23" s="18">
        <v>5</v>
      </c>
      <c r="E23" s="18">
        <v>0</v>
      </c>
      <c r="F23" s="20">
        <v>3.4550000000000001</v>
      </c>
      <c r="G23" s="18">
        <v>26</v>
      </c>
      <c r="H23" s="22" t="s">
        <v>8</v>
      </c>
      <c r="I23" s="22" t="s">
        <v>8</v>
      </c>
      <c r="J23" s="22" t="s">
        <v>8</v>
      </c>
      <c r="K23" s="22" t="s">
        <v>8</v>
      </c>
      <c r="L23" s="22" t="s">
        <v>8</v>
      </c>
      <c r="M23" s="22" t="s">
        <v>8</v>
      </c>
      <c r="N23" s="22" t="s">
        <v>8</v>
      </c>
      <c r="O23" s="22" t="s">
        <v>8</v>
      </c>
      <c r="P23" s="22" t="s">
        <v>8</v>
      </c>
      <c r="Q23" s="22" t="s">
        <v>8</v>
      </c>
      <c r="R23" s="22" t="s">
        <v>8</v>
      </c>
      <c r="S23" s="22" t="s">
        <v>8</v>
      </c>
      <c r="T23" s="5">
        <v>1</v>
      </c>
      <c r="U23" s="5">
        <v>11</v>
      </c>
      <c r="V23" s="20" t="s">
        <v>1</v>
      </c>
      <c r="W23" s="20">
        <v>5</v>
      </c>
      <c r="X23" s="20">
        <v>1</v>
      </c>
      <c r="Y23" s="5">
        <v>1</v>
      </c>
      <c r="Z23" s="20">
        <v>4</v>
      </c>
      <c r="AA23" s="23">
        <f t="shared" si="0"/>
        <v>3</v>
      </c>
      <c r="AB23" s="15" t="s">
        <v>8</v>
      </c>
      <c r="AC23" s="15" t="s">
        <v>8</v>
      </c>
      <c r="AD23" s="15" t="s">
        <v>8</v>
      </c>
      <c r="AE23" s="15" t="s">
        <v>8</v>
      </c>
      <c r="AF23" s="20" t="s">
        <v>8</v>
      </c>
      <c r="AG23" s="20" t="s">
        <v>8</v>
      </c>
      <c r="AH23" s="24" t="s">
        <v>8</v>
      </c>
      <c r="AI23" s="23">
        <f t="shared" si="1"/>
        <v>1</v>
      </c>
      <c r="AJ23" s="17">
        <v>1.25</v>
      </c>
      <c r="AK23" s="17">
        <v>1.25</v>
      </c>
      <c r="AL23" s="14">
        <v>2.5</v>
      </c>
      <c r="AM23" s="23" cm="1">
        <f t="array" ref="AM23">IF(OR(AN23:AZ23=""),"BLANK",IF(AND(AN23:AZ23&lt;9999999),1,IF(AND(AN23:AZ23="NA"),3,2)))</f>
        <v>1</v>
      </c>
      <c r="AN23" s="5">
        <v>9</v>
      </c>
      <c r="AO23" s="5">
        <v>2</v>
      </c>
      <c r="AP23" s="10">
        <v>3</v>
      </c>
      <c r="AQ23" s="10">
        <v>4.25</v>
      </c>
      <c r="AR23" s="10">
        <v>6.5</v>
      </c>
      <c r="AS23" s="11">
        <v>2390</v>
      </c>
      <c r="AT23" s="11">
        <v>7512</v>
      </c>
      <c r="AU23" s="11">
        <v>2446.75</v>
      </c>
      <c r="AV23" s="11">
        <v>1821.5</v>
      </c>
      <c r="AW23" s="11">
        <v>0</v>
      </c>
      <c r="AX23" s="11">
        <v>540.33333333329995</v>
      </c>
      <c r="AY23" s="11">
        <v>1275.7125000000001</v>
      </c>
      <c r="AZ23" s="11">
        <v>1267.675</v>
      </c>
      <c r="BA23" s="23">
        <v>3</v>
      </c>
      <c r="BB23" s="24" t="s">
        <v>8</v>
      </c>
    </row>
    <row r="24" spans="1:54" x14ac:dyDescent="0.2">
      <c r="A24" s="5">
        <v>158</v>
      </c>
      <c r="B24" s="20" t="s">
        <v>64</v>
      </c>
      <c r="C24" s="18" t="s">
        <v>54</v>
      </c>
      <c r="D24" s="18">
        <v>5</v>
      </c>
      <c r="E24" s="18">
        <v>0</v>
      </c>
      <c r="F24" s="20">
        <v>4</v>
      </c>
      <c r="G24" s="18">
        <v>29</v>
      </c>
      <c r="H24" s="22">
        <v>4.5694729637234772</v>
      </c>
      <c r="I24" s="22" t="s">
        <v>8</v>
      </c>
      <c r="J24" s="22" t="s">
        <v>8</v>
      </c>
      <c r="K24" s="22">
        <v>4.5667351129363452</v>
      </c>
      <c r="L24" s="22" t="s">
        <v>8</v>
      </c>
      <c r="M24" s="22" t="s">
        <v>8</v>
      </c>
      <c r="N24" s="22">
        <v>4.5119780971937029</v>
      </c>
      <c r="O24" s="22">
        <v>6.0725530458590002</v>
      </c>
      <c r="P24" s="22">
        <v>10.584531143052704</v>
      </c>
      <c r="Q24" s="22" t="s">
        <v>8</v>
      </c>
      <c r="R24" s="22" t="s">
        <v>8</v>
      </c>
      <c r="S24" s="22" t="s">
        <v>8</v>
      </c>
      <c r="T24" s="5">
        <v>3</v>
      </c>
      <c r="U24" s="5">
        <v>14</v>
      </c>
      <c r="V24" s="20" t="s">
        <v>1</v>
      </c>
      <c r="W24" s="20">
        <v>5</v>
      </c>
      <c r="X24" s="20">
        <v>1</v>
      </c>
      <c r="Y24" s="5">
        <v>1</v>
      </c>
      <c r="Z24" s="20">
        <v>4</v>
      </c>
      <c r="AA24" s="23">
        <f t="shared" si="0"/>
        <v>3</v>
      </c>
      <c r="AB24" s="15" t="s">
        <v>8</v>
      </c>
      <c r="AC24" s="15" t="s">
        <v>8</v>
      </c>
      <c r="AD24" s="15" t="s">
        <v>8</v>
      </c>
      <c r="AE24" s="15" t="s">
        <v>8</v>
      </c>
      <c r="AF24" s="20" t="s">
        <v>8</v>
      </c>
      <c r="AG24" s="20" t="s">
        <v>8</v>
      </c>
      <c r="AH24" s="24" t="s">
        <v>8</v>
      </c>
      <c r="AI24" s="23">
        <f t="shared" si="1"/>
        <v>1</v>
      </c>
      <c r="AJ24" s="17">
        <v>3.5</v>
      </c>
      <c r="AK24" s="17">
        <v>1.5</v>
      </c>
      <c r="AL24" s="14">
        <v>5</v>
      </c>
      <c r="AM24" s="23" cm="1">
        <f t="array" ref="AM24">IF(OR(AN24:AZ24=""),"BLANK",IF(AND(AN24:AZ24&lt;9999999),1,IF(AND(AN24:AZ24="NA"),3,2)))</f>
        <v>1</v>
      </c>
      <c r="AN24" s="5">
        <v>7</v>
      </c>
      <c r="AO24" s="5">
        <v>2</v>
      </c>
      <c r="AP24" s="10">
        <v>4.5</v>
      </c>
      <c r="AQ24" s="10">
        <v>5.25</v>
      </c>
      <c r="AR24" s="10">
        <v>7.75</v>
      </c>
      <c r="AS24" s="11">
        <v>3237</v>
      </c>
      <c r="AT24" s="11">
        <v>1481</v>
      </c>
      <c r="AU24" s="11">
        <v>5900.75</v>
      </c>
      <c r="AV24" s="11">
        <v>4982.25</v>
      </c>
      <c r="AW24" s="11">
        <v>0</v>
      </c>
      <c r="AX24" s="11">
        <v>5715.85</v>
      </c>
      <c r="AY24" s="11">
        <v>20131.3125</v>
      </c>
      <c r="AZ24" s="11">
        <v>2789.8986111110999</v>
      </c>
      <c r="BA24" s="23">
        <v>3</v>
      </c>
      <c r="BB24" s="24" t="s">
        <v>8</v>
      </c>
    </row>
    <row r="25" spans="1:54" x14ac:dyDescent="0.2">
      <c r="A25" s="5">
        <v>159</v>
      </c>
      <c r="B25" s="20" t="s">
        <v>76</v>
      </c>
      <c r="C25" s="18" t="s">
        <v>55</v>
      </c>
      <c r="D25" s="18">
        <v>5</v>
      </c>
      <c r="E25" s="18">
        <v>0</v>
      </c>
      <c r="F25" s="20">
        <v>3.6360000000000001</v>
      </c>
      <c r="G25" s="18">
        <v>30</v>
      </c>
      <c r="H25" s="22">
        <v>4.5804243668720055</v>
      </c>
      <c r="I25" s="22" t="s">
        <v>8</v>
      </c>
      <c r="J25" s="22" t="s">
        <v>8</v>
      </c>
      <c r="K25" s="22">
        <v>4.5393566050650236</v>
      </c>
      <c r="L25" s="22" t="s">
        <v>8</v>
      </c>
      <c r="M25" s="22" t="s">
        <v>8</v>
      </c>
      <c r="N25" s="22">
        <v>4.5557837097878169</v>
      </c>
      <c r="O25" s="22" t="s">
        <v>8</v>
      </c>
      <c r="P25" s="22" t="s">
        <v>8</v>
      </c>
      <c r="Q25" s="22" t="s">
        <v>8</v>
      </c>
      <c r="R25" s="22" t="s">
        <v>8</v>
      </c>
      <c r="S25" s="22" t="s">
        <v>8</v>
      </c>
      <c r="T25" s="5">
        <v>4</v>
      </c>
      <c r="U25" s="5">
        <v>16</v>
      </c>
      <c r="V25" s="20" t="s">
        <v>1</v>
      </c>
      <c r="W25" s="20">
        <v>5</v>
      </c>
      <c r="X25" s="20">
        <v>1</v>
      </c>
      <c r="Y25" s="5">
        <v>1</v>
      </c>
      <c r="Z25" s="20">
        <v>4</v>
      </c>
      <c r="AA25" s="23">
        <f t="shared" si="0"/>
        <v>3</v>
      </c>
      <c r="AB25" s="15" t="s">
        <v>8</v>
      </c>
      <c r="AC25" s="15" t="s">
        <v>8</v>
      </c>
      <c r="AD25" s="15" t="s">
        <v>8</v>
      </c>
      <c r="AE25" s="15" t="s">
        <v>8</v>
      </c>
      <c r="AF25" s="20" t="s">
        <v>8</v>
      </c>
      <c r="AG25" s="20" t="s">
        <v>8</v>
      </c>
      <c r="AH25" s="24" t="s">
        <v>8</v>
      </c>
      <c r="AI25" s="23">
        <f t="shared" si="1"/>
        <v>1</v>
      </c>
      <c r="AJ25" s="17">
        <v>11</v>
      </c>
      <c r="AK25" s="17">
        <v>11</v>
      </c>
      <c r="AL25" s="14">
        <v>22</v>
      </c>
      <c r="AM25" s="23" cm="1">
        <f t="array" ref="AM25">IF(OR(AN25:AZ25=""),"BLANK",IF(AND(AN25:AZ25&lt;9999999),1,IF(AND(AN25:AZ25="NA"),3,2)))</f>
        <v>1</v>
      </c>
      <c r="AN25" s="5">
        <v>12</v>
      </c>
      <c r="AO25" s="5">
        <v>2</v>
      </c>
      <c r="AP25" s="10">
        <v>3</v>
      </c>
      <c r="AQ25" s="10">
        <v>4</v>
      </c>
      <c r="AR25" s="10">
        <v>5</v>
      </c>
      <c r="AS25" s="11">
        <v>3244</v>
      </c>
      <c r="AT25" s="11">
        <v>22305.5</v>
      </c>
      <c r="AU25" s="11">
        <v>21825.25</v>
      </c>
      <c r="AV25" s="11">
        <v>27189.5</v>
      </c>
      <c r="AW25" s="11">
        <v>0</v>
      </c>
      <c r="AX25" s="11">
        <v>0</v>
      </c>
      <c r="AY25" s="11">
        <v>0</v>
      </c>
      <c r="AZ25" s="11">
        <v>0</v>
      </c>
      <c r="BA25" s="23">
        <v>3</v>
      </c>
      <c r="BB25" s="24" t="s">
        <v>8</v>
      </c>
    </row>
    <row r="26" spans="1:54" x14ac:dyDescent="0.2">
      <c r="A26" s="5">
        <v>162</v>
      </c>
      <c r="B26" s="20" t="s">
        <v>67</v>
      </c>
      <c r="C26" s="18" t="s">
        <v>55</v>
      </c>
      <c r="D26" s="18">
        <v>5</v>
      </c>
      <c r="E26" s="18">
        <v>0</v>
      </c>
      <c r="F26" s="20">
        <v>3.8180000000000001</v>
      </c>
      <c r="G26" s="18">
        <v>28</v>
      </c>
      <c r="H26" s="22">
        <v>4.2299794661190964</v>
      </c>
      <c r="I26" s="22" t="s">
        <v>8</v>
      </c>
      <c r="J26" s="22" t="s">
        <v>8</v>
      </c>
      <c r="K26" s="22">
        <v>4.3531827515400412</v>
      </c>
      <c r="L26" s="22" t="s">
        <v>8</v>
      </c>
      <c r="M26" s="22" t="s">
        <v>8</v>
      </c>
      <c r="N26" s="22">
        <v>4.2108145106091719</v>
      </c>
      <c r="O26" s="22">
        <v>5.6180698151950716</v>
      </c>
      <c r="P26" s="22">
        <v>9.8288843258042444</v>
      </c>
      <c r="Q26" s="22" t="s">
        <v>8</v>
      </c>
      <c r="R26" s="22" t="s">
        <v>8</v>
      </c>
      <c r="S26" s="22" t="s">
        <v>8</v>
      </c>
      <c r="T26" s="5">
        <v>3</v>
      </c>
      <c r="U26" s="5">
        <v>14</v>
      </c>
      <c r="V26" s="20" t="s">
        <v>1</v>
      </c>
      <c r="W26" s="20">
        <v>5</v>
      </c>
      <c r="X26" s="20">
        <v>1</v>
      </c>
      <c r="Y26" s="5">
        <v>1</v>
      </c>
      <c r="Z26" s="20">
        <v>4</v>
      </c>
      <c r="AA26" s="23">
        <f t="shared" si="0"/>
        <v>3</v>
      </c>
      <c r="AB26" s="15" t="s">
        <v>8</v>
      </c>
      <c r="AC26" s="15" t="s">
        <v>8</v>
      </c>
      <c r="AD26" s="15" t="s">
        <v>8</v>
      </c>
      <c r="AE26" s="15" t="s">
        <v>8</v>
      </c>
      <c r="AF26" s="20" t="s">
        <v>8</v>
      </c>
      <c r="AG26" s="20" t="s">
        <v>8</v>
      </c>
      <c r="AH26" s="24" t="s">
        <v>8</v>
      </c>
      <c r="AI26" s="23">
        <f t="shared" si="1"/>
        <v>1</v>
      </c>
      <c r="AJ26" s="17">
        <v>6.75</v>
      </c>
      <c r="AK26" s="17">
        <v>6.5</v>
      </c>
      <c r="AL26" s="14">
        <v>13.25</v>
      </c>
      <c r="AM26" s="23" cm="1">
        <f t="array" ref="AM26">IF(OR(AN26:AZ26=""),"BLANK",IF(AND(AN26:AZ26&lt;9999999),1,IF(AND(AN26:AZ26="NA"),3,2)))</f>
        <v>1</v>
      </c>
      <c r="AN26" s="5">
        <v>8</v>
      </c>
      <c r="AO26" s="5">
        <v>2</v>
      </c>
      <c r="AP26" s="10">
        <v>3</v>
      </c>
      <c r="AQ26" s="10">
        <v>5.75</v>
      </c>
      <c r="AR26" s="10">
        <v>7.25</v>
      </c>
      <c r="AS26" s="11">
        <v>1964</v>
      </c>
      <c r="AT26" s="11">
        <v>13737.5</v>
      </c>
      <c r="AU26" s="11">
        <v>5215.25</v>
      </c>
      <c r="AV26" s="11">
        <v>2802.75</v>
      </c>
      <c r="AW26" s="11">
        <v>0</v>
      </c>
      <c r="AX26" s="11">
        <v>0</v>
      </c>
      <c r="AY26" s="11">
        <v>1402.4652777778001</v>
      </c>
      <c r="AZ26" s="11">
        <v>1142.4944444444</v>
      </c>
      <c r="BA26" s="23">
        <v>3</v>
      </c>
      <c r="BB26" s="24" t="s">
        <v>8</v>
      </c>
    </row>
    <row r="27" spans="1:54" x14ac:dyDescent="0.2">
      <c r="A27" s="5">
        <v>163</v>
      </c>
      <c r="B27" s="20" t="s">
        <v>67</v>
      </c>
      <c r="C27" s="18" t="s">
        <v>54</v>
      </c>
      <c r="D27" s="18">
        <v>5</v>
      </c>
      <c r="E27" s="18">
        <v>0</v>
      </c>
      <c r="F27" s="20">
        <v>3.7269999999999999</v>
      </c>
      <c r="G27" s="18">
        <v>28</v>
      </c>
      <c r="H27" s="22">
        <v>4.2902121834360027</v>
      </c>
      <c r="I27" s="22" t="s">
        <v>8</v>
      </c>
      <c r="J27" s="22" t="s">
        <v>8</v>
      </c>
      <c r="K27" s="22">
        <v>4.2902121834360027</v>
      </c>
      <c r="L27" s="22" t="s">
        <v>8</v>
      </c>
      <c r="M27" s="22" t="s">
        <v>8</v>
      </c>
      <c r="N27" s="22">
        <v>4.2573579739904179</v>
      </c>
      <c r="O27" s="22">
        <v>5.4647501711156741</v>
      </c>
      <c r="P27" s="22">
        <v>9.7221081451060911</v>
      </c>
      <c r="Q27" s="22" t="s">
        <v>8</v>
      </c>
      <c r="R27" s="22" t="s">
        <v>8</v>
      </c>
      <c r="S27" s="22" t="s">
        <v>8</v>
      </c>
      <c r="T27" s="5">
        <v>3</v>
      </c>
      <c r="U27" s="5">
        <v>14</v>
      </c>
      <c r="V27" s="20" t="s">
        <v>1</v>
      </c>
      <c r="W27" s="20">
        <v>5</v>
      </c>
      <c r="X27" s="20">
        <v>1</v>
      </c>
      <c r="Y27" s="5">
        <v>1</v>
      </c>
      <c r="Z27" s="20">
        <v>4</v>
      </c>
      <c r="AA27" s="23">
        <f t="shared" si="0"/>
        <v>3</v>
      </c>
      <c r="AB27" s="15" t="s">
        <v>8</v>
      </c>
      <c r="AC27" s="15" t="s">
        <v>8</v>
      </c>
      <c r="AD27" s="15" t="s">
        <v>8</v>
      </c>
      <c r="AE27" s="15" t="s">
        <v>8</v>
      </c>
      <c r="AF27" s="20" t="s">
        <v>8</v>
      </c>
      <c r="AG27" s="20" t="s">
        <v>8</v>
      </c>
      <c r="AH27" s="24" t="s">
        <v>8</v>
      </c>
      <c r="AI27" s="23">
        <f t="shared" si="1"/>
        <v>1</v>
      </c>
      <c r="AJ27" s="17">
        <v>10.75</v>
      </c>
      <c r="AK27" s="17">
        <v>11</v>
      </c>
      <c r="AL27" s="14">
        <v>21.75</v>
      </c>
      <c r="AM27" s="23" cm="1">
        <f t="array" ref="AM27">IF(OR(AN27:AZ27=""),"BLANK",IF(AND(AN27:AZ27&lt;9999999),1,IF(AND(AN27:AZ27="NA"),3,2)))</f>
        <v>1</v>
      </c>
      <c r="AN27" s="5">
        <v>10</v>
      </c>
      <c r="AO27" s="5">
        <v>3</v>
      </c>
      <c r="AP27" s="10">
        <v>3</v>
      </c>
      <c r="AQ27" s="10">
        <v>4</v>
      </c>
      <c r="AR27" s="10">
        <v>6.75</v>
      </c>
      <c r="AS27" s="11">
        <v>1473.5</v>
      </c>
      <c r="AT27" s="11">
        <v>3201</v>
      </c>
      <c r="AU27" s="11">
        <v>4590.75</v>
      </c>
      <c r="AV27" s="11">
        <v>3933</v>
      </c>
      <c r="AW27" s="11">
        <v>655.875</v>
      </c>
      <c r="AX27" s="11">
        <v>0</v>
      </c>
      <c r="AY27" s="11">
        <v>0</v>
      </c>
      <c r="AZ27" s="11">
        <v>503.96249999999998</v>
      </c>
      <c r="BA27" s="23">
        <v>3</v>
      </c>
      <c r="BB27" s="24" t="s">
        <v>8</v>
      </c>
    </row>
    <row r="28" spans="1:54" x14ac:dyDescent="0.2">
      <c r="A28" s="5">
        <v>164</v>
      </c>
      <c r="B28" s="20" t="s">
        <v>77</v>
      </c>
      <c r="C28" s="18" t="s">
        <v>55</v>
      </c>
      <c r="D28" s="18">
        <v>5</v>
      </c>
      <c r="E28" s="18">
        <v>0</v>
      </c>
      <c r="F28" s="20">
        <v>3.0910000000000002</v>
      </c>
      <c r="G28" s="18">
        <v>27</v>
      </c>
      <c r="H28" s="22">
        <v>4.3230663928815876</v>
      </c>
      <c r="I28" s="22" t="s">
        <v>8</v>
      </c>
      <c r="J28" s="22" t="s">
        <v>8</v>
      </c>
      <c r="K28" s="22">
        <v>4.3175906913073234</v>
      </c>
      <c r="L28" s="22" t="s">
        <v>8</v>
      </c>
      <c r="M28" s="22" t="s">
        <v>8</v>
      </c>
      <c r="N28" s="22">
        <v>4.344969199178645</v>
      </c>
      <c r="O28" s="22" t="s">
        <v>8</v>
      </c>
      <c r="P28" s="22" t="s">
        <v>8</v>
      </c>
      <c r="Q28" s="22" t="s">
        <v>8</v>
      </c>
      <c r="R28" s="22" t="s">
        <v>8</v>
      </c>
      <c r="S28" s="22" t="s">
        <v>8</v>
      </c>
      <c r="T28" s="5">
        <v>4</v>
      </c>
      <c r="U28" s="5">
        <v>16</v>
      </c>
      <c r="V28" s="20" t="s">
        <v>1</v>
      </c>
      <c r="W28" s="20">
        <v>5</v>
      </c>
      <c r="X28" s="20">
        <v>1</v>
      </c>
      <c r="Y28" s="5">
        <v>1</v>
      </c>
      <c r="Z28" s="20">
        <v>4</v>
      </c>
      <c r="AA28" s="23">
        <f t="shared" si="0"/>
        <v>3</v>
      </c>
      <c r="AB28" s="15" t="s">
        <v>8</v>
      </c>
      <c r="AC28" s="15" t="s">
        <v>8</v>
      </c>
      <c r="AD28" s="15" t="s">
        <v>8</v>
      </c>
      <c r="AE28" s="15" t="s">
        <v>8</v>
      </c>
      <c r="AF28" s="20" t="s">
        <v>8</v>
      </c>
      <c r="AG28" s="20" t="s">
        <v>8</v>
      </c>
      <c r="AH28" s="24" t="s">
        <v>8</v>
      </c>
      <c r="AI28" s="23">
        <f t="shared" si="1"/>
        <v>1</v>
      </c>
      <c r="AJ28" s="17">
        <v>10.5</v>
      </c>
      <c r="AK28" s="17">
        <v>8.75</v>
      </c>
      <c r="AL28" s="14">
        <v>19.25</v>
      </c>
      <c r="AM28" s="23" cm="1">
        <f t="array" ref="AM28">IF(OR(AN28:AZ28=""),"BLANK",IF(AND(AN28:AZ28&lt;9999999),1,IF(AND(AN28:AZ28="NA"),3,2)))</f>
        <v>1</v>
      </c>
      <c r="AN28" s="5">
        <v>8</v>
      </c>
      <c r="AO28" s="5">
        <v>2</v>
      </c>
      <c r="AP28" s="10">
        <v>3</v>
      </c>
      <c r="AQ28" s="10">
        <v>5.5</v>
      </c>
      <c r="AR28" s="10">
        <v>6.5</v>
      </c>
      <c r="AS28" s="11">
        <v>3137</v>
      </c>
      <c r="AT28" s="11">
        <v>11570.5</v>
      </c>
      <c r="AU28" s="11">
        <v>8709</v>
      </c>
      <c r="AV28" s="11">
        <v>8583.25</v>
      </c>
      <c r="AW28" s="11">
        <v>0</v>
      </c>
      <c r="AX28" s="11">
        <v>0</v>
      </c>
      <c r="AY28" s="11">
        <v>7390.6583333333001</v>
      </c>
      <c r="AZ28" s="11">
        <v>703.33492063489996</v>
      </c>
      <c r="BA28" s="23">
        <v>3</v>
      </c>
      <c r="BB28" s="24" t="s">
        <v>8</v>
      </c>
    </row>
    <row r="29" spans="1:54" x14ac:dyDescent="0.2">
      <c r="A29" s="5">
        <v>169</v>
      </c>
      <c r="B29" s="20" t="s">
        <v>78</v>
      </c>
      <c r="C29" s="18" t="s">
        <v>54</v>
      </c>
      <c r="D29" s="18">
        <v>5</v>
      </c>
      <c r="E29" s="18">
        <v>0</v>
      </c>
      <c r="F29" s="20">
        <v>3.7269999999999999</v>
      </c>
      <c r="G29" s="18">
        <v>29</v>
      </c>
      <c r="H29" s="22">
        <v>4.16974674880219</v>
      </c>
      <c r="I29" s="22">
        <v>5.4921286789869956</v>
      </c>
      <c r="J29" s="22">
        <v>9.6618754277891856</v>
      </c>
      <c r="K29" s="22">
        <v>4.16974674880219</v>
      </c>
      <c r="L29" s="22">
        <v>5.4921286789869956</v>
      </c>
      <c r="M29" s="22">
        <v>9.6618754277891856</v>
      </c>
      <c r="N29" s="22">
        <v>4.043805612594114</v>
      </c>
      <c r="O29" s="22">
        <v>5.2621492128678984</v>
      </c>
      <c r="P29" s="22">
        <v>9.3059548254620115</v>
      </c>
      <c r="Q29" s="22">
        <v>3.353867214236824</v>
      </c>
      <c r="R29" s="22">
        <v>6.2422997946611911</v>
      </c>
      <c r="S29" s="22">
        <v>9.5961670088980142</v>
      </c>
      <c r="T29" s="5">
        <v>4</v>
      </c>
      <c r="U29" s="5">
        <v>16</v>
      </c>
      <c r="V29" s="20" t="s">
        <v>1</v>
      </c>
      <c r="W29" s="20">
        <v>5</v>
      </c>
      <c r="X29" s="20">
        <v>1</v>
      </c>
      <c r="Y29" s="5">
        <v>1</v>
      </c>
      <c r="Z29" s="20">
        <v>4</v>
      </c>
      <c r="AA29" s="23">
        <f t="shared" si="0"/>
        <v>2</v>
      </c>
      <c r="AB29" s="15">
        <v>1</v>
      </c>
      <c r="AC29" s="15">
        <v>1</v>
      </c>
      <c r="AD29" s="15">
        <v>0.875</v>
      </c>
      <c r="AE29" s="15">
        <v>0.95799999999999996</v>
      </c>
      <c r="AF29" s="20">
        <v>23</v>
      </c>
      <c r="AG29" s="20" t="s">
        <v>8</v>
      </c>
      <c r="AH29" s="24">
        <v>24</v>
      </c>
      <c r="AI29" s="23">
        <f t="shared" si="1"/>
        <v>1</v>
      </c>
      <c r="AJ29" s="17">
        <v>8</v>
      </c>
      <c r="AK29" s="17">
        <v>9</v>
      </c>
      <c r="AL29" s="14">
        <v>17</v>
      </c>
      <c r="AM29" s="23" cm="1">
        <f t="array" ref="AM29">IF(OR(AN29:AZ29=""),"BLANK",IF(AND(AN29:AZ29&lt;9999999),1,IF(AND(AN29:AZ29="NA"),3,2)))</f>
        <v>1</v>
      </c>
      <c r="AN29" s="5">
        <v>11</v>
      </c>
      <c r="AO29" s="5">
        <v>2</v>
      </c>
      <c r="AP29" s="10">
        <v>3</v>
      </c>
      <c r="AQ29" s="10">
        <v>4.5</v>
      </c>
      <c r="AR29" s="10">
        <v>5</v>
      </c>
      <c r="AS29" s="11">
        <v>2262.5</v>
      </c>
      <c r="AT29" s="11">
        <v>6411</v>
      </c>
      <c r="AU29" s="11">
        <v>28120.5</v>
      </c>
      <c r="AV29" s="11">
        <v>9657.5</v>
      </c>
      <c r="AW29" s="11">
        <v>0</v>
      </c>
      <c r="AX29" s="11">
        <v>0</v>
      </c>
      <c r="AY29" s="11">
        <v>275.6041666667</v>
      </c>
      <c r="AZ29" s="11">
        <v>0</v>
      </c>
      <c r="BA29" s="23">
        <v>3</v>
      </c>
      <c r="BB29" s="24" t="s">
        <v>8</v>
      </c>
    </row>
    <row r="30" spans="1:54" x14ac:dyDescent="0.2">
      <c r="A30" s="5">
        <v>174</v>
      </c>
      <c r="B30" s="20" t="s">
        <v>66</v>
      </c>
      <c r="C30" s="18" t="s">
        <v>55</v>
      </c>
      <c r="D30" s="18">
        <v>5</v>
      </c>
      <c r="E30" s="18">
        <v>0</v>
      </c>
      <c r="F30" s="20">
        <v>4</v>
      </c>
      <c r="G30" s="18">
        <v>29</v>
      </c>
      <c r="H30" s="22">
        <v>4.216290212183436</v>
      </c>
      <c r="I30" s="22">
        <v>5.9575633127994525</v>
      </c>
      <c r="J30" s="22">
        <v>10.173853524982889</v>
      </c>
      <c r="K30" s="22">
        <v>4.2737850787132103</v>
      </c>
      <c r="L30" s="22">
        <v>5.8973305954825461</v>
      </c>
      <c r="M30" s="22">
        <v>10.171115674195756</v>
      </c>
      <c r="N30" s="22">
        <v>4.2245037645448322</v>
      </c>
      <c r="O30" s="22">
        <v>5.6399726214921291</v>
      </c>
      <c r="P30" s="22">
        <v>9.8644763860369604</v>
      </c>
      <c r="Q30" s="22" t="s">
        <v>8</v>
      </c>
      <c r="R30" s="22" t="s">
        <v>8</v>
      </c>
      <c r="S30" s="22" t="s">
        <v>8</v>
      </c>
      <c r="T30" s="5">
        <v>4</v>
      </c>
      <c r="U30" s="5">
        <v>16</v>
      </c>
      <c r="V30" s="20" t="s">
        <v>1</v>
      </c>
      <c r="W30" s="20">
        <v>5</v>
      </c>
      <c r="X30" s="20">
        <v>1</v>
      </c>
      <c r="Y30" s="5">
        <v>1</v>
      </c>
      <c r="Z30" s="20">
        <v>4</v>
      </c>
      <c r="AA30" s="23">
        <f t="shared" si="0"/>
        <v>3</v>
      </c>
      <c r="AB30" s="15" t="s">
        <v>8</v>
      </c>
      <c r="AC30" s="15" t="s">
        <v>8</v>
      </c>
      <c r="AD30" s="15" t="s">
        <v>8</v>
      </c>
      <c r="AE30" s="15" t="s">
        <v>8</v>
      </c>
      <c r="AF30" s="20" t="s">
        <v>8</v>
      </c>
      <c r="AG30" s="20" t="s">
        <v>8</v>
      </c>
      <c r="AH30" s="24" t="s">
        <v>8</v>
      </c>
      <c r="AI30" s="23">
        <f t="shared" si="1"/>
        <v>1</v>
      </c>
      <c r="AJ30" s="17">
        <v>14</v>
      </c>
      <c r="AK30" s="17">
        <v>12</v>
      </c>
      <c r="AL30" s="14">
        <v>26</v>
      </c>
      <c r="AM30" s="23" cm="1">
        <f t="array" ref="AM30">IF(OR(AN30:AZ30=""),"BLANK",IF(AND(AN30:AZ30&lt;9999999),1,IF(AND(AN30:AZ30="NA"),3,2)))</f>
        <v>1</v>
      </c>
      <c r="AN30" s="5">
        <v>8</v>
      </c>
      <c r="AO30" s="5">
        <v>2</v>
      </c>
      <c r="AP30" s="10">
        <v>4</v>
      </c>
      <c r="AQ30" s="10">
        <v>6.25</v>
      </c>
      <c r="AR30" s="10">
        <v>5.25</v>
      </c>
      <c r="AS30" s="11">
        <v>1679</v>
      </c>
      <c r="AT30" s="11">
        <v>3601.5</v>
      </c>
      <c r="AU30" s="11">
        <v>2555.75</v>
      </c>
      <c r="AV30" s="11">
        <v>4966.25</v>
      </c>
      <c r="AW30" s="11">
        <v>0</v>
      </c>
      <c r="AX30" s="11">
        <v>147.6</v>
      </c>
      <c r="AY30" s="11">
        <v>959.14583333329995</v>
      </c>
      <c r="AZ30" s="11">
        <v>0</v>
      </c>
      <c r="BA30" s="23">
        <v>3</v>
      </c>
      <c r="BB30" s="24" t="s">
        <v>8</v>
      </c>
    </row>
    <row r="31" spans="1:54" x14ac:dyDescent="0.2">
      <c r="A31" s="5">
        <v>178</v>
      </c>
      <c r="B31" s="20" t="s">
        <v>66</v>
      </c>
      <c r="C31" s="18" t="s">
        <v>55</v>
      </c>
      <c r="D31" s="18">
        <v>5</v>
      </c>
      <c r="E31" s="18">
        <v>0</v>
      </c>
      <c r="F31" s="20">
        <v>3.9089999999999998</v>
      </c>
      <c r="G31" s="18">
        <v>29</v>
      </c>
      <c r="H31" s="22">
        <v>3.5509924709103355</v>
      </c>
      <c r="I31" s="22">
        <v>5.0102669404517455</v>
      </c>
      <c r="J31" s="22">
        <v>8.5612594113620801</v>
      </c>
      <c r="K31" s="22">
        <v>3.5509924709103355</v>
      </c>
      <c r="L31" s="22">
        <v>5.1279945242984262</v>
      </c>
      <c r="M31" s="22">
        <v>8.6789869952087617</v>
      </c>
      <c r="N31" s="22">
        <v>3.5208761122518824</v>
      </c>
      <c r="O31" s="22">
        <v>5.0978781656399725</v>
      </c>
      <c r="P31" s="22">
        <v>8.6187542778918544</v>
      </c>
      <c r="Q31" s="22">
        <v>3.871321013004791</v>
      </c>
      <c r="R31" s="22">
        <v>5.1937029431895958</v>
      </c>
      <c r="S31" s="22">
        <v>9.0650239561943877</v>
      </c>
      <c r="T31" s="5">
        <v>4</v>
      </c>
      <c r="U31" s="5">
        <v>16</v>
      </c>
      <c r="V31" s="20" t="s">
        <v>1</v>
      </c>
      <c r="W31" s="20">
        <v>5</v>
      </c>
      <c r="X31" s="20">
        <v>1</v>
      </c>
      <c r="Y31" s="5">
        <v>1</v>
      </c>
      <c r="Z31" s="20">
        <v>4</v>
      </c>
      <c r="AA31" s="23">
        <f t="shared" si="0"/>
        <v>2</v>
      </c>
      <c r="AB31" s="15">
        <v>1</v>
      </c>
      <c r="AC31" s="15">
        <v>0.75</v>
      </c>
      <c r="AD31" s="15">
        <v>0.625</v>
      </c>
      <c r="AE31" s="15">
        <v>0.79200000000000004</v>
      </c>
      <c r="AF31" s="20">
        <v>19</v>
      </c>
      <c r="AG31" s="20" t="s">
        <v>8</v>
      </c>
      <c r="AH31" s="24">
        <v>24</v>
      </c>
      <c r="AI31" s="23">
        <f t="shared" si="1"/>
        <v>1</v>
      </c>
      <c r="AJ31" s="17">
        <v>9.75</v>
      </c>
      <c r="AK31" s="17">
        <v>9.75</v>
      </c>
      <c r="AL31" s="14">
        <v>19.5</v>
      </c>
      <c r="AM31" s="23" cm="1">
        <f t="array" ref="AM31">IF(OR(AN31:AZ31=""),"BLANK",IF(AND(AN31:AZ31&lt;9999999),1,IF(AND(AN31:AZ31="NA"),3,2)))</f>
        <v>1</v>
      </c>
      <c r="AN31" s="5">
        <v>6</v>
      </c>
      <c r="AO31" s="5">
        <v>2</v>
      </c>
      <c r="AP31" s="10">
        <v>3</v>
      </c>
      <c r="AQ31" s="10">
        <v>5.5</v>
      </c>
      <c r="AR31" s="10">
        <v>9.5</v>
      </c>
      <c r="AS31" s="11">
        <v>1129</v>
      </c>
      <c r="AT31" s="11">
        <v>1173.5</v>
      </c>
      <c r="AU31" s="11">
        <v>6424</v>
      </c>
      <c r="AV31" s="11">
        <v>12501.5</v>
      </c>
      <c r="AW31" s="11">
        <v>561.25</v>
      </c>
      <c r="AX31" s="11">
        <v>0</v>
      </c>
      <c r="AY31" s="11">
        <v>1517.5861111111001</v>
      </c>
      <c r="AZ31" s="11">
        <v>2761.0833333332998</v>
      </c>
      <c r="BA31" s="23">
        <v>3</v>
      </c>
      <c r="BB31" s="24" t="s">
        <v>8</v>
      </c>
    </row>
    <row r="32" spans="1:54" x14ac:dyDescent="0.2">
      <c r="A32" s="5">
        <v>182</v>
      </c>
      <c r="B32" s="20" t="s">
        <v>74</v>
      </c>
      <c r="C32" s="18" t="s">
        <v>55</v>
      </c>
      <c r="D32" s="18">
        <v>5</v>
      </c>
      <c r="E32" s="18">
        <v>0</v>
      </c>
      <c r="F32" s="20">
        <v>3.8180000000000001</v>
      </c>
      <c r="G32" s="18">
        <v>28</v>
      </c>
      <c r="H32" s="22" t="s">
        <v>8</v>
      </c>
      <c r="I32" s="22" t="s">
        <v>8</v>
      </c>
      <c r="J32" s="22" t="s">
        <v>8</v>
      </c>
      <c r="K32" s="22" t="s">
        <v>8</v>
      </c>
      <c r="L32" s="22" t="s">
        <v>8</v>
      </c>
      <c r="M32" s="22" t="s">
        <v>8</v>
      </c>
      <c r="N32" s="22" t="s">
        <v>8</v>
      </c>
      <c r="O32" s="22" t="s">
        <v>8</v>
      </c>
      <c r="P32" s="22" t="s">
        <v>8</v>
      </c>
      <c r="Q32" s="22" t="s">
        <v>8</v>
      </c>
      <c r="R32" s="22" t="s">
        <v>8</v>
      </c>
      <c r="S32" s="22" t="s">
        <v>8</v>
      </c>
      <c r="T32" s="5">
        <v>3</v>
      </c>
      <c r="U32" s="5">
        <v>14</v>
      </c>
      <c r="V32" s="20" t="s">
        <v>1</v>
      </c>
      <c r="W32" s="20">
        <v>5</v>
      </c>
      <c r="X32" s="20">
        <v>1</v>
      </c>
      <c r="Y32" s="5">
        <v>1</v>
      </c>
      <c r="Z32" s="20">
        <v>4</v>
      </c>
      <c r="AA32" s="23">
        <f t="shared" si="0"/>
        <v>3</v>
      </c>
      <c r="AB32" s="15" t="s">
        <v>8</v>
      </c>
      <c r="AC32" s="15" t="s">
        <v>8</v>
      </c>
      <c r="AD32" s="15" t="s">
        <v>8</v>
      </c>
      <c r="AE32" s="15" t="s">
        <v>8</v>
      </c>
      <c r="AF32" s="20" t="s">
        <v>8</v>
      </c>
      <c r="AG32" s="20" t="s">
        <v>8</v>
      </c>
      <c r="AH32" s="24" t="s">
        <v>8</v>
      </c>
      <c r="AI32" s="23">
        <f t="shared" si="1"/>
        <v>1</v>
      </c>
      <c r="AJ32" s="17">
        <v>6.5</v>
      </c>
      <c r="AK32" s="17">
        <v>10.75</v>
      </c>
      <c r="AL32" s="14">
        <v>17.25</v>
      </c>
      <c r="AM32" s="23" cm="1">
        <f t="array" ref="AM32">IF(OR(AN32:AZ32=""),"BLANK",IF(AND(AN32:AZ32&lt;9999999),1,IF(AND(AN32:AZ32="NA"),3,2)))</f>
        <v>1</v>
      </c>
      <c r="AN32" s="5">
        <v>7</v>
      </c>
      <c r="AO32" s="5">
        <v>2</v>
      </c>
      <c r="AP32" s="10">
        <v>3</v>
      </c>
      <c r="AQ32" s="10">
        <v>5.75</v>
      </c>
      <c r="AR32" s="10">
        <v>6</v>
      </c>
      <c r="AS32" s="11">
        <v>2300.5</v>
      </c>
      <c r="AT32" s="11">
        <v>3004</v>
      </c>
      <c r="AU32" s="11">
        <v>5108.25</v>
      </c>
      <c r="AV32" s="11">
        <v>6280.5</v>
      </c>
      <c r="AW32" s="11">
        <v>4</v>
      </c>
      <c r="AX32" s="11">
        <v>0</v>
      </c>
      <c r="AY32" s="11">
        <v>3689.2361111110999</v>
      </c>
      <c r="AZ32" s="11">
        <v>2161.3107142857002</v>
      </c>
      <c r="BA32" s="23">
        <v>3</v>
      </c>
      <c r="BB32" s="24" t="s">
        <v>8</v>
      </c>
    </row>
    <row r="33" spans="1:54" x14ac:dyDescent="0.2">
      <c r="A33" s="5">
        <v>183</v>
      </c>
      <c r="B33" s="20" t="s">
        <v>70</v>
      </c>
      <c r="C33" s="18" t="s">
        <v>54</v>
      </c>
      <c r="D33" s="18">
        <v>5</v>
      </c>
      <c r="E33" s="18">
        <v>0</v>
      </c>
      <c r="F33" s="20">
        <v>3.6360000000000001</v>
      </c>
      <c r="G33" s="18">
        <v>29</v>
      </c>
      <c r="H33" s="22">
        <v>4.2053388090349078</v>
      </c>
      <c r="I33" s="22">
        <v>5.8261464750171115</v>
      </c>
      <c r="J33" s="22">
        <v>10.031485284052019</v>
      </c>
      <c r="K33" s="22">
        <v>4.2765229295003424</v>
      </c>
      <c r="L33" s="22">
        <v>5.7549623545516768</v>
      </c>
      <c r="M33" s="22">
        <v>10.031485284052019</v>
      </c>
      <c r="N33" s="22">
        <v>4.1971252566735116</v>
      </c>
      <c r="O33" s="22">
        <v>5.631759069130732</v>
      </c>
      <c r="P33" s="22">
        <v>9.8288843258042444</v>
      </c>
      <c r="Q33" s="22" t="s">
        <v>8</v>
      </c>
      <c r="R33" s="22" t="s">
        <v>8</v>
      </c>
      <c r="S33" s="22" t="s">
        <v>8</v>
      </c>
      <c r="T33" s="5">
        <v>5</v>
      </c>
      <c r="U33" s="5">
        <v>17</v>
      </c>
      <c r="V33" s="20" t="s">
        <v>1</v>
      </c>
      <c r="W33" s="20">
        <v>5</v>
      </c>
      <c r="X33" s="20">
        <v>1</v>
      </c>
      <c r="Y33" s="5">
        <v>1</v>
      </c>
      <c r="Z33" s="20">
        <v>4</v>
      </c>
      <c r="AA33" s="23">
        <f t="shared" si="0"/>
        <v>3</v>
      </c>
      <c r="AB33" s="15" t="s">
        <v>8</v>
      </c>
      <c r="AC33" s="15" t="s">
        <v>8</v>
      </c>
      <c r="AD33" s="15" t="s">
        <v>8</v>
      </c>
      <c r="AE33" s="15" t="s">
        <v>8</v>
      </c>
      <c r="AF33" s="20" t="s">
        <v>8</v>
      </c>
      <c r="AG33" s="20" t="s">
        <v>8</v>
      </c>
      <c r="AH33" s="24" t="s">
        <v>8</v>
      </c>
      <c r="AI33" s="23">
        <f t="shared" si="1"/>
        <v>1</v>
      </c>
      <c r="AJ33" s="17">
        <v>2.5</v>
      </c>
      <c r="AK33" s="17">
        <v>10.5</v>
      </c>
      <c r="AL33" s="14">
        <v>13</v>
      </c>
      <c r="AM33" s="23" cm="1">
        <f t="array" ref="AM33">IF(OR(AN33:AZ33=""),"BLANK",IF(AND(AN33:AZ33&lt;9999999),1,IF(AND(AN33:AZ33="NA"),3,2)))</f>
        <v>1</v>
      </c>
      <c r="AN33" s="5">
        <v>8</v>
      </c>
      <c r="AO33" s="5">
        <v>2</v>
      </c>
      <c r="AP33" s="10">
        <v>3</v>
      </c>
      <c r="AQ33" s="10">
        <v>5.25</v>
      </c>
      <c r="AR33" s="10">
        <v>6</v>
      </c>
      <c r="AS33" s="11">
        <v>884.5</v>
      </c>
      <c r="AT33" s="11">
        <v>2580</v>
      </c>
      <c r="AU33" s="11">
        <v>6458.25</v>
      </c>
      <c r="AV33" s="11">
        <v>1534</v>
      </c>
      <c r="AW33" s="11">
        <v>0</v>
      </c>
      <c r="AX33" s="11">
        <v>5309.6666666666997</v>
      </c>
      <c r="AY33" s="11">
        <v>11811.5</v>
      </c>
      <c r="AZ33" s="11">
        <v>2564.0821428570998</v>
      </c>
      <c r="BA33" s="23">
        <v>3</v>
      </c>
      <c r="BB33" s="24" t="s">
        <v>8</v>
      </c>
    </row>
    <row r="34" spans="1:54" x14ac:dyDescent="0.2">
      <c r="A34" s="5">
        <v>189</v>
      </c>
      <c r="B34" s="20" t="s">
        <v>72</v>
      </c>
      <c r="C34" s="18" t="s">
        <v>54</v>
      </c>
      <c r="D34" s="18">
        <v>5</v>
      </c>
      <c r="E34" s="18">
        <v>0</v>
      </c>
      <c r="F34" s="20">
        <v>3.3639999999999999</v>
      </c>
      <c r="G34" s="18">
        <v>27</v>
      </c>
      <c r="H34" s="22">
        <v>4.0164271047227924</v>
      </c>
      <c r="I34" s="22">
        <v>6.2970568104038334</v>
      </c>
      <c r="J34" s="22">
        <v>10.313483915126625</v>
      </c>
      <c r="K34" s="22">
        <v>4.0164271047227924</v>
      </c>
      <c r="L34" s="22">
        <v>6.2970568104038334</v>
      </c>
      <c r="M34" s="22">
        <v>10.313483915126625</v>
      </c>
      <c r="N34" s="22">
        <v>4.3997262149212863</v>
      </c>
      <c r="O34" s="22">
        <v>5.3935660506502394</v>
      </c>
      <c r="P34" s="22">
        <v>9.7932922655715267</v>
      </c>
      <c r="Q34" s="22" t="s">
        <v>8</v>
      </c>
      <c r="R34" s="22" t="s">
        <v>8</v>
      </c>
      <c r="S34" s="22" t="s">
        <v>8</v>
      </c>
      <c r="T34" s="5">
        <v>4</v>
      </c>
      <c r="U34" s="5">
        <v>16</v>
      </c>
      <c r="V34" s="20" t="s">
        <v>1</v>
      </c>
      <c r="W34" s="20">
        <v>5</v>
      </c>
      <c r="X34" s="20">
        <v>1</v>
      </c>
      <c r="Y34" s="5">
        <v>1</v>
      </c>
      <c r="Z34" s="20">
        <v>4</v>
      </c>
      <c r="AA34" s="23">
        <f t="shared" si="0"/>
        <v>2</v>
      </c>
      <c r="AB34" s="15">
        <v>1</v>
      </c>
      <c r="AC34" s="15">
        <v>1</v>
      </c>
      <c r="AD34" s="15">
        <v>0.75</v>
      </c>
      <c r="AE34" s="15">
        <v>0.91700000000000004</v>
      </c>
      <c r="AF34" s="20">
        <v>22</v>
      </c>
      <c r="AG34" s="20" t="s">
        <v>8</v>
      </c>
      <c r="AH34" s="24">
        <v>24</v>
      </c>
      <c r="AI34" s="23">
        <f t="shared" si="1"/>
        <v>1</v>
      </c>
      <c r="AJ34" s="17">
        <v>11</v>
      </c>
      <c r="AK34" s="17">
        <v>9.75</v>
      </c>
      <c r="AL34" s="14">
        <v>20.75</v>
      </c>
      <c r="AM34" s="23" cm="1">
        <f t="array" ref="AM34">IF(OR(AN34:AZ34=""),"BLANK",IF(AND(AN34:AZ34&lt;9999999),1,IF(AND(AN34:AZ34="NA"),3,2)))</f>
        <v>1</v>
      </c>
      <c r="AN34" s="5">
        <v>10</v>
      </c>
      <c r="AO34" s="5">
        <v>2</v>
      </c>
      <c r="AP34" s="10">
        <v>3</v>
      </c>
      <c r="AQ34" s="10">
        <v>4.25</v>
      </c>
      <c r="AR34" s="10">
        <v>6.5</v>
      </c>
      <c r="AS34" s="11">
        <v>1722.5</v>
      </c>
      <c r="AT34" s="11">
        <v>9985</v>
      </c>
      <c r="AU34" s="11">
        <v>6640.25</v>
      </c>
      <c r="AV34" s="11">
        <v>10232.75</v>
      </c>
      <c r="AW34" s="11">
        <v>0</v>
      </c>
      <c r="AX34" s="11">
        <v>0</v>
      </c>
      <c r="AY34" s="11">
        <v>0</v>
      </c>
      <c r="AZ34" s="11">
        <v>1199.2</v>
      </c>
      <c r="BA34" s="23">
        <v>3</v>
      </c>
      <c r="BB34" s="24" t="s">
        <v>8</v>
      </c>
    </row>
    <row r="35" spans="1:54" x14ac:dyDescent="0.2">
      <c r="A35" s="5">
        <v>192</v>
      </c>
      <c r="B35" s="20" t="s">
        <v>71</v>
      </c>
      <c r="C35" s="18" t="s">
        <v>54</v>
      </c>
      <c r="D35" s="18">
        <v>5</v>
      </c>
      <c r="E35" s="18">
        <v>0</v>
      </c>
      <c r="F35" s="20">
        <v>4</v>
      </c>
      <c r="G35" s="18">
        <v>28</v>
      </c>
      <c r="H35" s="22">
        <v>4.043805612594114</v>
      </c>
      <c r="I35" s="22">
        <v>5.1909650924024637</v>
      </c>
      <c r="J35" s="22">
        <v>9.2347707049965777</v>
      </c>
      <c r="K35" s="22">
        <v>4.043805612594114</v>
      </c>
      <c r="L35" s="22">
        <v>5.1909650924024637</v>
      </c>
      <c r="M35" s="22">
        <v>9.2347707049965777</v>
      </c>
      <c r="N35" s="22">
        <v>4.046543463381246</v>
      </c>
      <c r="O35" s="22">
        <v>5.1526351813826148</v>
      </c>
      <c r="P35" s="22">
        <v>9.1991786447638599</v>
      </c>
      <c r="Q35" s="22" t="s">
        <v>8</v>
      </c>
      <c r="R35" s="22" t="s">
        <v>8</v>
      </c>
      <c r="S35" s="22" t="s">
        <v>8</v>
      </c>
      <c r="T35" s="5">
        <v>7</v>
      </c>
      <c r="U35" s="5">
        <v>21</v>
      </c>
      <c r="V35" s="20" t="s">
        <v>1</v>
      </c>
      <c r="W35" s="20">
        <v>5</v>
      </c>
      <c r="X35" s="20">
        <v>1</v>
      </c>
      <c r="Y35" s="5">
        <v>1</v>
      </c>
      <c r="Z35" s="20">
        <v>4</v>
      </c>
      <c r="AA35" s="23">
        <f t="shared" si="0"/>
        <v>2</v>
      </c>
      <c r="AB35" s="15">
        <v>1</v>
      </c>
      <c r="AC35" s="15">
        <v>1</v>
      </c>
      <c r="AD35" s="15">
        <v>1</v>
      </c>
      <c r="AE35" s="15">
        <v>1</v>
      </c>
      <c r="AF35" s="20">
        <v>24</v>
      </c>
      <c r="AG35" s="20" t="s">
        <v>8</v>
      </c>
      <c r="AH35" s="24">
        <v>24</v>
      </c>
      <c r="AI35" s="23">
        <f t="shared" si="1"/>
        <v>1</v>
      </c>
      <c r="AJ35" s="17">
        <v>13.75</v>
      </c>
      <c r="AK35" s="17">
        <v>13.75</v>
      </c>
      <c r="AL35" s="14">
        <v>27.5</v>
      </c>
      <c r="AM35" s="23" cm="1">
        <f t="array" ref="AM35">IF(OR(AN35:AZ35=""),"BLANK",IF(AND(AN35:AZ35&lt;9999999),1,IF(AND(AN35:AZ35="NA"),3,2)))</f>
        <v>1</v>
      </c>
      <c r="AN35" s="5">
        <v>9</v>
      </c>
      <c r="AO35" s="5">
        <v>2</v>
      </c>
      <c r="AP35" s="10">
        <v>3</v>
      </c>
      <c r="AQ35" s="10">
        <v>4.5</v>
      </c>
      <c r="AR35" s="10">
        <v>7</v>
      </c>
      <c r="AS35" s="11">
        <v>298.5</v>
      </c>
      <c r="AT35" s="11">
        <v>575.5</v>
      </c>
      <c r="AU35" s="11">
        <v>1820.75</v>
      </c>
      <c r="AV35" s="11">
        <v>5545</v>
      </c>
      <c r="AW35" s="11">
        <v>0</v>
      </c>
      <c r="AX35" s="11">
        <v>0</v>
      </c>
      <c r="AY35" s="11">
        <v>588.5</v>
      </c>
      <c r="AZ35" s="11">
        <v>531.32142857140002</v>
      </c>
      <c r="BA35" s="23">
        <v>3</v>
      </c>
      <c r="BB35" s="24" t="s">
        <v>8</v>
      </c>
    </row>
    <row r="36" spans="1:54" x14ac:dyDescent="0.2">
      <c r="A36" s="5">
        <v>194</v>
      </c>
      <c r="B36" s="20" t="s">
        <v>79</v>
      </c>
      <c r="C36" s="18" t="s">
        <v>55</v>
      </c>
      <c r="D36" s="18">
        <v>5</v>
      </c>
      <c r="E36" s="18">
        <v>0</v>
      </c>
      <c r="F36" s="20">
        <v>3.4550000000000001</v>
      </c>
      <c r="G36" s="18">
        <v>27</v>
      </c>
      <c r="H36" s="22">
        <v>4.3148528405201914</v>
      </c>
      <c r="I36" s="22" t="s">
        <v>8</v>
      </c>
      <c r="J36" s="22" t="s">
        <v>8</v>
      </c>
      <c r="K36" s="22">
        <v>4.3148528405201914</v>
      </c>
      <c r="L36" s="22" t="s">
        <v>8</v>
      </c>
      <c r="M36" s="22" t="s">
        <v>8</v>
      </c>
      <c r="N36" s="22">
        <v>4.2792607802874745</v>
      </c>
      <c r="O36" s="22" t="s">
        <v>8</v>
      </c>
      <c r="P36" s="22" t="s">
        <v>8</v>
      </c>
      <c r="Q36" s="22" t="s">
        <v>8</v>
      </c>
      <c r="R36" s="22" t="s">
        <v>8</v>
      </c>
      <c r="S36" s="22" t="s">
        <v>8</v>
      </c>
      <c r="T36" s="5">
        <v>6</v>
      </c>
      <c r="U36" s="5">
        <v>18</v>
      </c>
      <c r="V36" s="20" t="s">
        <v>1</v>
      </c>
      <c r="W36" s="20">
        <v>5</v>
      </c>
      <c r="X36" s="20">
        <v>1</v>
      </c>
      <c r="Y36" s="5">
        <v>1</v>
      </c>
      <c r="Z36" s="20">
        <v>4</v>
      </c>
      <c r="AA36" s="23">
        <f t="shared" si="0"/>
        <v>2</v>
      </c>
      <c r="AB36" s="15">
        <v>1</v>
      </c>
      <c r="AC36" s="15">
        <v>1</v>
      </c>
      <c r="AD36" s="15">
        <v>0.75</v>
      </c>
      <c r="AE36" s="15">
        <v>0.91700000000000004</v>
      </c>
      <c r="AF36" s="20">
        <v>22</v>
      </c>
      <c r="AG36" s="20" t="s">
        <v>8</v>
      </c>
      <c r="AH36" s="24">
        <v>24</v>
      </c>
      <c r="AI36" s="23">
        <f t="shared" si="1"/>
        <v>1</v>
      </c>
      <c r="AJ36" s="17">
        <v>13.75</v>
      </c>
      <c r="AK36" s="17">
        <v>11.5</v>
      </c>
      <c r="AL36" s="14">
        <v>25.25</v>
      </c>
      <c r="AM36" s="23" cm="1">
        <f t="array" ref="AM36">IF(OR(AN36:AZ36=""),"BLANK",IF(AND(AN36:AZ36&lt;9999999),1,IF(AND(AN36:AZ36="NA"),3,2)))</f>
        <v>1</v>
      </c>
      <c r="AN36" s="5">
        <v>10</v>
      </c>
      <c r="AO36" s="5">
        <v>2</v>
      </c>
      <c r="AP36" s="10">
        <v>3.5</v>
      </c>
      <c r="AQ36" s="10">
        <v>4.25</v>
      </c>
      <c r="AR36" s="10">
        <v>5</v>
      </c>
      <c r="AS36" s="11">
        <v>1919</v>
      </c>
      <c r="AT36" s="11">
        <v>3573</v>
      </c>
      <c r="AU36" s="11">
        <v>6113</v>
      </c>
      <c r="AV36" s="11">
        <v>3554</v>
      </c>
      <c r="AW36" s="11">
        <v>0</v>
      </c>
      <c r="AX36" s="11">
        <v>1382.3333333333001</v>
      </c>
      <c r="AY36" s="11">
        <v>0</v>
      </c>
      <c r="AZ36" s="11">
        <v>2047.55</v>
      </c>
      <c r="BA36" s="23">
        <v>3</v>
      </c>
      <c r="BB36" s="24" t="s">
        <v>8</v>
      </c>
    </row>
    <row r="37" spans="1:54" x14ac:dyDescent="0.2">
      <c r="A37" s="5">
        <v>196</v>
      </c>
      <c r="B37" s="20" t="s">
        <v>74</v>
      </c>
      <c r="C37" s="18" t="s">
        <v>55</v>
      </c>
      <c r="D37" s="18">
        <v>5</v>
      </c>
      <c r="E37" s="18">
        <v>0</v>
      </c>
      <c r="F37" s="20">
        <v>3.6360000000000001</v>
      </c>
      <c r="G37" s="18">
        <v>26</v>
      </c>
      <c r="H37" s="22">
        <v>4.2546201232032859</v>
      </c>
      <c r="I37" s="22">
        <v>5.6919917864476384</v>
      </c>
      <c r="J37" s="22">
        <v>9.9466119096509242</v>
      </c>
      <c r="K37" s="22">
        <v>4.2546201232032859</v>
      </c>
      <c r="L37" s="22">
        <v>5.6919917864476384</v>
      </c>
      <c r="M37" s="22">
        <v>9.9466119096509242</v>
      </c>
      <c r="N37" s="22">
        <v>4.3394934976043809</v>
      </c>
      <c r="O37" s="22">
        <v>5.2676249144421625</v>
      </c>
      <c r="P37" s="22">
        <v>9.6071184120465443</v>
      </c>
      <c r="Q37" s="22" t="s">
        <v>8</v>
      </c>
      <c r="R37" s="22" t="s">
        <v>8</v>
      </c>
      <c r="S37" s="22" t="s">
        <v>8</v>
      </c>
      <c r="T37" s="5">
        <v>4</v>
      </c>
      <c r="U37" s="5">
        <v>16</v>
      </c>
      <c r="V37" s="20" t="s">
        <v>1</v>
      </c>
      <c r="W37" s="20">
        <v>5</v>
      </c>
      <c r="X37" s="20">
        <v>1</v>
      </c>
      <c r="Y37" s="5">
        <v>1</v>
      </c>
      <c r="Z37" s="20">
        <v>4</v>
      </c>
      <c r="AA37" s="23">
        <f t="shared" si="0"/>
        <v>2</v>
      </c>
      <c r="AB37" s="15">
        <v>1</v>
      </c>
      <c r="AC37" s="15">
        <v>0.75</v>
      </c>
      <c r="AD37" s="15">
        <v>0.5</v>
      </c>
      <c r="AE37" s="15">
        <v>0.75</v>
      </c>
      <c r="AF37" s="20">
        <v>18</v>
      </c>
      <c r="AG37" s="20" t="s">
        <v>8</v>
      </c>
      <c r="AH37" s="24">
        <v>24</v>
      </c>
      <c r="AI37" s="23">
        <f t="shared" si="1"/>
        <v>1</v>
      </c>
      <c r="AJ37" s="17">
        <v>3</v>
      </c>
      <c r="AK37" s="17">
        <v>6.5</v>
      </c>
      <c r="AL37" s="14">
        <v>9.5</v>
      </c>
      <c r="AM37" s="23" cm="1">
        <f t="array" ref="AM37">IF(OR(AN37:AZ37=""),"BLANK",IF(AND(AN37:AZ37&lt;9999999),1,IF(AND(AN37:AZ37="NA"),3,2)))</f>
        <v>1</v>
      </c>
      <c r="AN37" s="5">
        <v>7</v>
      </c>
      <c r="AO37" s="5">
        <v>2</v>
      </c>
      <c r="AP37" s="10">
        <v>3</v>
      </c>
      <c r="AQ37" s="10">
        <v>6.5</v>
      </c>
      <c r="AR37" s="10">
        <v>8.75</v>
      </c>
      <c r="AS37" s="11">
        <v>1174.5</v>
      </c>
      <c r="AT37" s="11">
        <v>2937</v>
      </c>
      <c r="AU37" s="11">
        <v>2453.25</v>
      </c>
      <c r="AV37" s="11">
        <v>4736</v>
      </c>
      <c r="AW37" s="11">
        <v>0</v>
      </c>
      <c r="AX37" s="11">
        <v>0</v>
      </c>
      <c r="AY37" s="11">
        <v>5481.8541666666997</v>
      </c>
      <c r="AZ37" s="11">
        <v>4374.0124999999998</v>
      </c>
      <c r="BA37" s="23">
        <v>3</v>
      </c>
      <c r="BB37" s="24" t="s">
        <v>8</v>
      </c>
    </row>
    <row r="38" spans="1:54" x14ac:dyDescent="0.2">
      <c r="A38" s="5">
        <v>200</v>
      </c>
      <c r="B38" s="20" t="s">
        <v>66</v>
      </c>
      <c r="C38" s="18" t="s">
        <v>55</v>
      </c>
      <c r="D38" s="18">
        <v>3</v>
      </c>
      <c r="E38" s="18">
        <v>0</v>
      </c>
      <c r="F38" s="20">
        <v>3.8180000000000001</v>
      </c>
      <c r="G38" s="18">
        <v>28</v>
      </c>
      <c r="H38" s="22">
        <v>4.1396303901437372</v>
      </c>
      <c r="I38" s="22">
        <v>6.2258726899383987</v>
      </c>
      <c r="J38" s="22">
        <v>10.365503080082135</v>
      </c>
      <c r="K38" s="22" t="s">
        <v>8</v>
      </c>
      <c r="L38" s="22" t="s">
        <v>8</v>
      </c>
      <c r="M38" s="22">
        <v>10.370978781656399</v>
      </c>
      <c r="N38" s="22">
        <v>4.0219028062970565</v>
      </c>
      <c r="O38" s="22">
        <v>6.2176591375770016</v>
      </c>
      <c r="P38" s="22">
        <v>10.239561943874058</v>
      </c>
      <c r="Q38" s="22" t="s">
        <v>8</v>
      </c>
      <c r="R38" s="22" t="s">
        <v>8</v>
      </c>
      <c r="S38" s="22" t="s">
        <v>8</v>
      </c>
      <c r="T38" s="5">
        <v>2</v>
      </c>
      <c r="U38" s="5">
        <v>12</v>
      </c>
      <c r="V38" s="20" t="s">
        <v>1</v>
      </c>
      <c r="W38" s="20">
        <v>5</v>
      </c>
      <c r="X38" s="20">
        <v>1</v>
      </c>
      <c r="Y38" s="5">
        <v>1</v>
      </c>
      <c r="Z38" s="20">
        <v>4</v>
      </c>
      <c r="AA38" s="23">
        <f t="shared" si="0"/>
        <v>3</v>
      </c>
      <c r="AB38" s="15" t="s">
        <v>8</v>
      </c>
      <c r="AC38" s="15" t="s">
        <v>8</v>
      </c>
      <c r="AD38" s="15" t="s">
        <v>8</v>
      </c>
      <c r="AE38" s="15" t="s">
        <v>8</v>
      </c>
      <c r="AF38" s="20" t="s">
        <v>8</v>
      </c>
      <c r="AG38" s="20" t="s">
        <v>8</v>
      </c>
      <c r="AH38" s="24" t="s">
        <v>8</v>
      </c>
      <c r="AI38" s="23">
        <f t="shared" si="1"/>
        <v>1</v>
      </c>
      <c r="AJ38" s="17">
        <v>6.25</v>
      </c>
      <c r="AK38" s="17">
        <v>5</v>
      </c>
      <c r="AL38" s="14">
        <v>11.25</v>
      </c>
      <c r="AM38" s="23" cm="1">
        <f t="array" ref="AM38">IF(OR(AN38:AZ38=""),"BLANK",IF(AND(AN38:AZ38&lt;9999999),1,IF(AND(AN38:AZ38="NA"),3,2)))</f>
        <v>1</v>
      </c>
      <c r="AN38" s="5">
        <v>10</v>
      </c>
      <c r="AO38" s="5">
        <v>2</v>
      </c>
      <c r="AP38" s="10">
        <v>3</v>
      </c>
      <c r="AQ38" s="10">
        <v>4.5</v>
      </c>
      <c r="AR38" s="10">
        <v>6.75</v>
      </c>
      <c r="AS38" s="11">
        <v>2696</v>
      </c>
      <c r="AT38" s="11">
        <v>7203</v>
      </c>
      <c r="AU38" s="11">
        <v>6847.25</v>
      </c>
      <c r="AV38" s="11">
        <v>6052.5</v>
      </c>
      <c r="AW38" s="11">
        <v>0</v>
      </c>
      <c r="AX38" s="11">
        <v>0</v>
      </c>
      <c r="AY38" s="11">
        <v>812.47916666670005</v>
      </c>
      <c r="AZ38" s="11">
        <v>996.77083333329995</v>
      </c>
      <c r="BA38" s="23">
        <v>3</v>
      </c>
      <c r="BB38" s="24" t="s">
        <v>8</v>
      </c>
    </row>
    <row r="39" spans="1:54" x14ac:dyDescent="0.2">
      <c r="A39" s="5">
        <v>208</v>
      </c>
      <c r="B39" s="20" t="s">
        <v>62</v>
      </c>
      <c r="C39" s="18" t="s">
        <v>54</v>
      </c>
      <c r="D39" s="18">
        <v>5</v>
      </c>
      <c r="E39" s="18">
        <v>0</v>
      </c>
      <c r="F39" s="20">
        <v>3.0910000000000002</v>
      </c>
      <c r="G39" s="18">
        <v>30</v>
      </c>
      <c r="H39" s="22">
        <v>3.5400410677618068</v>
      </c>
      <c r="I39" s="22">
        <v>4.9609856262833674</v>
      </c>
      <c r="J39" s="22">
        <v>8.5010266940451746</v>
      </c>
      <c r="K39" s="22">
        <v>3.5400410677618068</v>
      </c>
      <c r="L39" s="22">
        <v>4.9609856262833674</v>
      </c>
      <c r="M39" s="22">
        <v>8.5010266940451746</v>
      </c>
      <c r="N39" s="22">
        <v>3.5290896646132786</v>
      </c>
      <c r="O39" s="22">
        <v>4.8870636550308006</v>
      </c>
      <c r="P39" s="22">
        <v>8.4161533196440796</v>
      </c>
      <c r="Q39" s="22">
        <v>3.7180013689253935</v>
      </c>
      <c r="R39" s="22" t="s">
        <v>8</v>
      </c>
      <c r="S39" s="22" t="s">
        <v>8</v>
      </c>
      <c r="T39" s="5">
        <v>6</v>
      </c>
      <c r="U39" s="5">
        <v>18</v>
      </c>
      <c r="V39" s="20" t="s">
        <v>1</v>
      </c>
      <c r="W39" s="20">
        <v>5</v>
      </c>
      <c r="X39" s="20">
        <v>1</v>
      </c>
      <c r="Y39" s="5">
        <v>1</v>
      </c>
      <c r="Z39" s="20">
        <v>4</v>
      </c>
      <c r="AA39" s="23">
        <f t="shared" si="0"/>
        <v>2</v>
      </c>
      <c r="AB39" s="15">
        <v>0.875</v>
      </c>
      <c r="AC39" s="15">
        <v>0.875</v>
      </c>
      <c r="AD39" s="15">
        <v>0.75</v>
      </c>
      <c r="AE39" s="15">
        <v>0.83299999999999996</v>
      </c>
      <c r="AF39" s="20">
        <v>20</v>
      </c>
      <c r="AG39" s="20" t="s">
        <v>8</v>
      </c>
      <c r="AH39" s="24">
        <v>24</v>
      </c>
      <c r="AI39" s="23">
        <f t="shared" si="1"/>
        <v>1</v>
      </c>
      <c r="AJ39" s="17">
        <v>11</v>
      </c>
      <c r="AK39" s="17">
        <v>10</v>
      </c>
      <c r="AL39" s="14">
        <v>21</v>
      </c>
      <c r="AM39" s="23" cm="1">
        <f t="array" ref="AM39">IF(OR(AN39:AZ39=""),"BLANK",IF(AND(AN39:AZ39&lt;9999999),1,IF(AND(AN39:AZ39="NA"),3,2)))</f>
        <v>1</v>
      </c>
      <c r="AN39" s="5">
        <v>9</v>
      </c>
      <c r="AO39" s="5">
        <v>2</v>
      </c>
      <c r="AP39" s="10">
        <v>3</v>
      </c>
      <c r="AQ39" s="10">
        <v>5.75</v>
      </c>
      <c r="AR39" s="10">
        <v>6</v>
      </c>
      <c r="AS39" s="11">
        <v>2197</v>
      </c>
      <c r="AT39" s="11">
        <v>6682</v>
      </c>
      <c r="AU39" s="11">
        <v>39998.75</v>
      </c>
      <c r="AV39" s="11">
        <v>26257.5</v>
      </c>
      <c r="AW39" s="11">
        <v>0</v>
      </c>
      <c r="AX39" s="11">
        <v>0</v>
      </c>
      <c r="AY39" s="11">
        <v>10640.8194444444</v>
      </c>
      <c r="AZ39" s="11">
        <v>3819.9666666666999</v>
      </c>
      <c r="BA39" s="23">
        <v>3</v>
      </c>
      <c r="BB39" s="24" t="s">
        <v>8</v>
      </c>
    </row>
    <row r="40" spans="1:54" x14ac:dyDescent="0.2">
      <c r="A40" s="5">
        <v>213</v>
      </c>
      <c r="B40" s="20" t="s">
        <v>78</v>
      </c>
      <c r="C40" s="18" t="s">
        <v>54</v>
      </c>
      <c r="D40" s="18">
        <v>5</v>
      </c>
      <c r="E40" s="18">
        <v>0</v>
      </c>
      <c r="F40" s="20">
        <v>4</v>
      </c>
      <c r="G40" s="18">
        <v>30</v>
      </c>
      <c r="H40" s="22">
        <v>4.1806981519507183</v>
      </c>
      <c r="I40" s="22">
        <v>5.7029431895961666</v>
      </c>
      <c r="J40" s="22">
        <v>9.8836413415468858</v>
      </c>
      <c r="K40" s="22">
        <v>4.1806981519507183</v>
      </c>
      <c r="L40" s="22">
        <v>5.7029431895961666</v>
      </c>
      <c r="M40" s="22">
        <v>9.8836413415468858</v>
      </c>
      <c r="N40" s="22">
        <v>3.9863107460643397</v>
      </c>
      <c r="O40" s="22">
        <v>5.5578370978781653</v>
      </c>
      <c r="P40" s="22">
        <v>9.5441478439425058</v>
      </c>
      <c r="Q40" s="22" t="s">
        <v>8</v>
      </c>
      <c r="R40" s="22" t="s">
        <v>8</v>
      </c>
      <c r="S40" s="22" t="s">
        <v>8</v>
      </c>
      <c r="T40" s="5">
        <v>6</v>
      </c>
      <c r="U40" s="5">
        <v>18</v>
      </c>
      <c r="V40" s="20" t="s">
        <v>1</v>
      </c>
      <c r="W40" s="20">
        <v>5</v>
      </c>
      <c r="X40" s="20">
        <v>1</v>
      </c>
      <c r="Y40" s="5">
        <v>1</v>
      </c>
      <c r="Z40" s="20">
        <v>4</v>
      </c>
      <c r="AA40" s="23">
        <f t="shared" si="0"/>
        <v>3</v>
      </c>
      <c r="AB40" s="15" t="s">
        <v>8</v>
      </c>
      <c r="AC40" s="15" t="s">
        <v>8</v>
      </c>
      <c r="AD40" s="15" t="s">
        <v>8</v>
      </c>
      <c r="AE40" s="15" t="s">
        <v>8</v>
      </c>
      <c r="AF40" s="20" t="s">
        <v>8</v>
      </c>
      <c r="AG40" s="20" t="s">
        <v>8</v>
      </c>
      <c r="AH40" s="24" t="s">
        <v>8</v>
      </c>
      <c r="AI40" s="23">
        <f t="shared" si="1"/>
        <v>1</v>
      </c>
      <c r="AJ40" s="17">
        <v>8.75</v>
      </c>
      <c r="AK40" s="17">
        <v>11.75</v>
      </c>
      <c r="AL40" s="14">
        <v>20.5</v>
      </c>
      <c r="AM40" s="23" cm="1">
        <f t="array" ref="AM40">IF(OR(AN40:AZ40=""),"BLANK",IF(AND(AN40:AZ40&lt;9999999),1,IF(AND(AN40:AZ40="NA"),3,2)))</f>
        <v>1</v>
      </c>
      <c r="AN40" s="5">
        <v>9</v>
      </c>
      <c r="AO40" s="5">
        <v>2</v>
      </c>
      <c r="AP40" s="10">
        <v>3</v>
      </c>
      <c r="AQ40" s="10">
        <v>6.25</v>
      </c>
      <c r="AR40" s="10">
        <v>5.5</v>
      </c>
      <c r="AS40" s="11">
        <v>412.5</v>
      </c>
      <c r="AT40" s="11">
        <v>2888.5</v>
      </c>
      <c r="AU40" s="11">
        <v>3443.75</v>
      </c>
      <c r="AV40" s="11">
        <v>4143.5</v>
      </c>
      <c r="AW40" s="11">
        <v>0</v>
      </c>
      <c r="AX40" s="11">
        <v>0</v>
      </c>
      <c r="AY40" s="11">
        <v>2748.3472222221999</v>
      </c>
      <c r="AZ40" s="11">
        <v>0</v>
      </c>
      <c r="BA40" s="23">
        <v>3</v>
      </c>
      <c r="BB40" s="24" t="s">
        <v>8</v>
      </c>
    </row>
    <row r="41" spans="1:54" x14ac:dyDescent="0.2">
      <c r="A41" s="5">
        <v>215</v>
      </c>
      <c r="B41" s="20" t="s">
        <v>79</v>
      </c>
      <c r="C41" s="18" t="s">
        <v>54</v>
      </c>
      <c r="D41" s="18">
        <v>5</v>
      </c>
      <c r="E41" s="18">
        <v>0</v>
      </c>
      <c r="F41" s="20">
        <v>4</v>
      </c>
      <c r="G41" s="18">
        <v>27</v>
      </c>
      <c r="H41" s="22" t="s">
        <v>8</v>
      </c>
      <c r="I41" s="22" t="s">
        <v>8</v>
      </c>
      <c r="J41" s="22" t="s">
        <v>8</v>
      </c>
      <c r="K41" s="22" t="s">
        <v>8</v>
      </c>
      <c r="L41" s="22" t="s">
        <v>8</v>
      </c>
      <c r="M41" s="22" t="s">
        <v>8</v>
      </c>
      <c r="N41" s="22" t="s">
        <v>8</v>
      </c>
      <c r="O41" s="22" t="s">
        <v>8</v>
      </c>
      <c r="P41" s="22">
        <v>9.2101300479123882</v>
      </c>
      <c r="Q41" s="22" t="s">
        <v>8</v>
      </c>
      <c r="R41" s="22" t="s">
        <v>8</v>
      </c>
      <c r="S41" s="22" t="s">
        <v>8</v>
      </c>
      <c r="T41" s="5">
        <v>7</v>
      </c>
      <c r="U41" s="5">
        <v>21</v>
      </c>
      <c r="V41" s="20" t="s">
        <v>1</v>
      </c>
      <c r="W41" s="20">
        <v>5</v>
      </c>
      <c r="X41" s="20">
        <v>1</v>
      </c>
      <c r="Y41" s="5">
        <v>1</v>
      </c>
      <c r="Z41" s="20">
        <v>4</v>
      </c>
      <c r="AA41" s="23">
        <f t="shared" si="0"/>
        <v>2</v>
      </c>
      <c r="AB41" s="15">
        <v>0.875</v>
      </c>
      <c r="AC41" s="15">
        <v>1</v>
      </c>
      <c r="AD41" s="15">
        <v>0.75</v>
      </c>
      <c r="AE41" s="15">
        <v>0.875</v>
      </c>
      <c r="AF41" s="20">
        <v>21</v>
      </c>
      <c r="AG41" s="20" t="s">
        <v>8</v>
      </c>
      <c r="AH41" s="24">
        <v>24</v>
      </c>
      <c r="AI41" s="23">
        <f t="shared" si="1"/>
        <v>1</v>
      </c>
      <c r="AJ41" s="17">
        <v>9</v>
      </c>
      <c r="AK41" s="17">
        <v>11.25</v>
      </c>
      <c r="AL41" s="14">
        <v>20.25</v>
      </c>
      <c r="AM41" s="23" cm="1">
        <f t="array" ref="AM41">IF(OR(AN41:AZ41=""),"BLANK",IF(AND(AN41:AZ41&lt;9999999),1,IF(AND(AN41:AZ41="NA"),3,2)))</f>
        <v>1</v>
      </c>
      <c r="AN41" s="5">
        <v>8</v>
      </c>
      <c r="AO41" s="5">
        <v>2</v>
      </c>
      <c r="AP41" s="10">
        <v>3</v>
      </c>
      <c r="AQ41" s="10">
        <v>5.75</v>
      </c>
      <c r="AR41" s="10">
        <v>7</v>
      </c>
      <c r="AS41" s="11">
        <v>1769.5</v>
      </c>
      <c r="AT41" s="11">
        <v>8471.5</v>
      </c>
      <c r="AU41" s="11">
        <v>8415</v>
      </c>
      <c r="AV41" s="11">
        <v>4844.25</v>
      </c>
      <c r="AW41" s="11">
        <v>0</v>
      </c>
      <c r="AX41" s="11">
        <v>0</v>
      </c>
      <c r="AY41" s="11">
        <v>1960.2430555556</v>
      </c>
      <c r="AZ41" s="11">
        <v>433.9</v>
      </c>
      <c r="BA41" s="23">
        <v>3</v>
      </c>
      <c r="BB41" s="24" t="s">
        <v>8</v>
      </c>
    </row>
    <row r="42" spans="1:54" x14ac:dyDescent="0.2">
      <c r="A42" s="5">
        <v>220</v>
      </c>
      <c r="B42" s="20" t="s">
        <v>74</v>
      </c>
      <c r="C42" s="18" t="s">
        <v>54</v>
      </c>
      <c r="D42" s="18">
        <v>5</v>
      </c>
      <c r="E42" s="18">
        <v>0</v>
      </c>
      <c r="F42" s="20">
        <v>3.9089999999999998</v>
      </c>
      <c r="G42" s="18">
        <v>29</v>
      </c>
      <c r="H42" s="22">
        <v>4.2327173169062284</v>
      </c>
      <c r="I42" s="22">
        <v>5.9657768651608487</v>
      </c>
      <c r="J42" s="22">
        <v>10.198494182067078</v>
      </c>
      <c r="K42" s="22">
        <v>5.7713894592744692</v>
      </c>
      <c r="L42" s="22">
        <v>4.4271047227926079</v>
      </c>
      <c r="M42" s="22">
        <v>10.198494182067078</v>
      </c>
      <c r="N42" s="22">
        <v>4.0219028062970565</v>
      </c>
      <c r="O42" s="22">
        <v>5.7138945927446958</v>
      </c>
      <c r="P42" s="22">
        <v>9.7357973990417523</v>
      </c>
      <c r="Q42" s="22" t="s">
        <v>8</v>
      </c>
      <c r="R42" s="22" t="s">
        <v>8</v>
      </c>
      <c r="S42" s="22" t="s">
        <v>8</v>
      </c>
      <c r="T42" s="5">
        <v>5</v>
      </c>
      <c r="U42" s="5">
        <v>17</v>
      </c>
      <c r="V42" s="20" t="s">
        <v>1</v>
      </c>
      <c r="W42" s="20">
        <v>5</v>
      </c>
      <c r="X42" s="20">
        <v>1</v>
      </c>
      <c r="Y42" s="5">
        <v>1</v>
      </c>
      <c r="Z42" s="20">
        <v>4</v>
      </c>
      <c r="AA42" s="23">
        <f t="shared" si="0"/>
        <v>3</v>
      </c>
      <c r="AB42" s="15" t="s">
        <v>8</v>
      </c>
      <c r="AC42" s="15" t="s">
        <v>8</v>
      </c>
      <c r="AD42" s="15" t="s">
        <v>8</v>
      </c>
      <c r="AE42" s="15" t="s">
        <v>8</v>
      </c>
      <c r="AF42" s="20" t="s">
        <v>8</v>
      </c>
      <c r="AG42" s="20" t="s">
        <v>8</v>
      </c>
      <c r="AH42" s="24" t="s">
        <v>8</v>
      </c>
      <c r="AI42" s="23">
        <f t="shared" si="1"/>
        <v>1</v>
      </c>
      <c r="AJ42" s="17">
        <v>8.75</v>
      </c>
      <c r="AK42" s="17">
        <v>11.75</v>
      </c>
      <c r="AL42" s="14">
        <v>20.5</v>
      </c>
      <c r="AM42" s="23" cm="1">
        <f t="array" ref="AM42">IF(OR(AN42:AZ42=""),"BLANK",IF(AND(AN42:AZ42&lt;9999999),1,IF(AND(AN42:AZ42="NA"),3,2)))</f>
        <v>1</v>
      </c>
      <c r="AN42" s="5">
        <v>10</v>
      </c>
      <c r="AO42" s="5">
        <v>2</v>
      </c>
      <c r="AP42" s="10">
        <v>3</v>
      </c>
      <c r="AQ42" s="10">
        <v>4.25</v>
      </c>
      <c r="AR42" s="10">
        <v>6</v>
      </c>
      <c r="AS42" s="11">
        <v>2272.5</v>
      </c>
      <c r="AT42" s="11">
        <v>4943.5</v>
      </c>
      <c r="AU42" s="11">
        <v>6475.25</v>
      </c>
      <c r="AV42" s="11">
        <v>2307.75</v>
      </c>
      <c r="AW42" s="11">
        <v>0</v>
      </c>
      <c r="AX42" s="11">
        <v>0</v>
      </c>
      <c r="AY42" s="11">
        <v>0</v>
      </c>
      <c r="AZ42" s="11">
        <v>0</v>
      </c>
      <c r="BA42" s="23">
        <v>3</v>
      </c>
      <c r="BB42" s="24" t="s">
        <v>8</v>
      </c>
    </row>
    <row r="43" spans="1:54" x14ac:dyDescent="0.2">
      <c r="A43" s="5">
        <v>221</v>
      </c>
      <c r="B43" s="20" t="s">
        <v>62</v>
      </c>
      <c r="C43" s="18" t="s">
        <v>55</v>
      </c>
      <c r="D43" s="18">
        <v>5</v>
      </c>
      <c r="E43" s="18">
        <v>0</v>
      </c>
      <c r="F43" s="20">
        <v>3.7269999999999999</v>
      </c>
      <c r="G43" s="18">
        <v>28</v>
      </c>
      <c r="H43" s="22">
        <v>4.2190280629705681</v>
      </c>
      <c r="I43" s="22">
        <v>6.2067077344284733</v>
      </c>
      <c r="J43" s="22">
        <v>10.425735797399042</v>
      </c>
      <c r="K43" s="22">
        <v>4.1232032854209448</v>
      </c>
      <c r="L43" s="22">
        <v>6.1793292265571527</v>
      </c>
      <c r="M43" s="22">
        <v>10.302532511978097</v>
      </c>
      <c r="N43" s="22" t="s">
        <v>8</v>
      </c>
      <c r="O43" s="22" t="s">
        <v>8</v>
      </c>
      <c r="P43" s="22" t="s">
        <v>8</v>
      </c>
      <c r="Q43" s="22" t="s">
        <v>8</v>
      </c>
      <c r="R43" s="22" t="s">
        <v>8</v>
      </c>
      <c r="S43" s="22" t="s">
        <v>8</v>
      </c>
      <c r="T43" s="5">
        <v>4</v>
      </c>
      <c r="U43" s="5">
        <v>16</v>
      </c>
      <c r="V43" s="20" t="s">
        <v>1</v>
      </c>
      <c r="W43" s="20">
        <v>5</v>
      </c>
      <c r="X43" s="20">
        <v>1</v>
      </c>
      <c r="Y43" s="5">
        <v>1</v>
      </c>
      <c r="Z43" s="20">
        <v>4</v>
      </c>
      <c r="AA43" s="23">
        <f t="shared" si="0"/>
        <v>3</v>
      </c>
      <c r="AB43" s="15" t="s">
        <v>8</v>
      </c>
      <c r="AC43" s="15" t="s">
        <v>8</v>
      </c>
      <c r="AD43" s="15" t="s">
        <v>8</v>
      </c>
      <c r="AE43" s="15" t="s">
        <v>8</v>
      </c>
      <c r="AF43" s="20" t="s">
        <v>8</v>
      </c>
      <c r="AG43" s="20" t="s">
        <v>8</v>
      </c>
      <c r="AH43" s="24" t="s">
        <v>8</v>
      </c>
      <c r="AI43" s="23">
        <f t="shared" si="1"/>
        <v>1</v>
      </c>
      <c r="AJ43" s="17">
        <v>8.5</v>
      </c>
      <c r="AK43" s="17">
        <v>8.75</v>
      </c>
      <c r="AL43" s="14">
        <v>17.25</v>
      </c>
      <c r="AM43" s="23" cm="1">
        <f t="array" ref="AM43">IF(OR(AN43:AZ43=""),"BLANK",IF(AND(AN43:AZ43&lt;9999999),1,IF(AND(AN43:AZ43="NA"),3,2)))</f>
        <v>1</v>
      </c>
      <c r="AN43" s="5">
        <v>8</v>
      </c>
      <c r="AO43" s="5">
        <v>2</v>
      </c>
      <c r="AP43" s="10">
        <v>3</v>
      </c>
      <c r="AQ43" s="10">
        <v>5.25</v>
      </c>
      <c r="AR43" s="10">
        <v>9</v>
      </c>
      <c r="AS43" s="11">
        <v>544</v>
      </c>
      <c r="AT43" s="11">
        <v>6980</v>
      </c>
      <c r="AU43" s="11">
        <v>4351</v>
      </c>
      <c r="AV43" s="11">
        <v>7014</v>
      </c>
      <c r="AW43" s="11">
        <v>0</v>
      </c>
      <c r="AX43" s="11">
        <v>428.5</v>
      </c>
      <c r="AY43" s="11">
        <v>1902.2777777778001</v>
      </c>
      <c r="AZ43" s="11">
        <v>2805.8666666667</v>
      </c>
      <c r="BA43" s="23">
        <v>3</v>
      </c>
      <c r="BB43" s="24" t="s">
        <v>8</v>
      </c>
    </row>
    <row r="44" spans="1:54" x14ac:dyDescent="0.2">
      <c r="A44" s="5">
        <v>224</v>
      </c>
      <c r="B44" s="20" t="s">
        <v>80</v>
      </c>
      <c r="C44" s="18" t="s">
        <v>55</v>
      </c>
      <c r="D44" s="18">
        <v>5</v>
      </c>
      <c r="E44" s="18">
        <v>0</v>
      </c>
      <c r="F44" s="20">
        <v>3.6360000000000001</v>
      </c>
      <c r="G44" s="18">
        <v>26</v>
      </c>
      <c r="H44" s="22">
        <v>4.1396303901437372</v>
      </c>
      <c r="I44" s="22" t="s">
        <v>8</v>
      </c>
      <c r="J44" s="22" t="s">
        <v>8</v>
      </c>
      <c r="K44" s="22" t="s">
        <v>8</v>
      </c>
      <c r="L44" s="22" t="s">
        <v>8</v>
      </c>
      <c r="M44" s="22" t="s">
        <v>8</v>
      </c>
      <c r="N44" s="22" t="s">
        <v>8</v>
      </c>
      <c r="O44" s="22" t="s">
        <v>8</v>
      </c>
      <c r="P44" s="22" t="s">
        <v>8</v>
      </c>
      <c r="Q44" s="22" t="s">
        <v>8</v>
      </c>
      <c r="R44" s="22" t="s">
        <v>8</v>
      </c>
      <c r="S44" s="22" t="s">
        <v>8</v>
      </c>
      <c r="T44" s="5">
        <v>7</v>
      </c>
      <c r="U44" s="5">
        <v>21</v>
      </c>
      <c r="V44" s="20" t="s">
        <v>1</v>
      </c>
      <c r="W44" s="20">
        <v>5</v>
      </c>
      <c r="X44" s="20">
        <v>1</v>
      </c>
      <c r="Y44" s="5">
        <v>1</v>
      </c>
      <c r="Z44" s="20">
        <v>4</v>
      </c>
      <c r="AA44" s="23">
        <f t="shared" si="0"/>
        <v>3</v>
      </c>
      <c r="AB44" s="15" t="s">
        <v>8</v>
      </c>
      <c r="AC44" s="15" t="s">
        <v>8</v>
      </c>
      <c r="AD44" s="15" t="s">
        <v>8</v>
      </c>
      <c r="AE44" s="15" t="s">
        <v>8</v>
      </c>
      <c r="AF44" s="20" t="s">
        <v>8</v>
      </c>
      <c r="AG44" s="20" t="s">
        <v>8</v>
      </c>
      <c r="AH44" s="24" t="s">
        <v>8</v>
      </c>
      <c r="AI44" s="23">
        <f t="shared" si="1"/>
        <v>1</v>
      </c>
      <c r="AJ44" s="17">
        <v>4.75</v>
      </c>
      <c r="AK44" s="17">
        <v>3.5</v>
      </c>
      <c r="AL44" s="14">
        <v>8.25</v>
      </c>
      <c r="AM44" s="23" cm="1">
        <f t="array" ref="AM44">IF(OR(AN44:AZ44=""),"BLANK",IF(AND(AN44:AZ44&lt;9999999),1,IF(AND(AN44:AZ44="NA"),3,2)))</f>
        <v>1</v>
      </c>
      <c r="AN44" s="5">
        <v>5</v>
      </c>
      <c r="AO44" s="5">
        <v>2</v>
      </c>
      <c r="AP44" s="10">
        <v>4</v>
      </c>
      <c r="AQ44" s="10">
        <v>5.75</v>
      </c>
      <c r="AR44" s="10">
        <v>8.25</v>
      </c>
      <c r="AS44" s="11">
        <v>1074.5</v>
      </c>
      <c r="AT44" s="11">
        <v>3188</v>
      </c>
      <c r="AU44" s="11">
        <v>3461</v>
      </c>
      <c r="AV44" s="11">
        <v>2441.75</v>
      </c>
      <c r="AW44" s="11">
        <v>0</v>
      </c>
      <c r="AX44" s="11">
        <v>1675.25</v>
      </c>
      <c r="AY44" s="11">
        <v>3243.9513888889001</v>
      </c>
      <c r="AZ44" s="11">
        <v>1593.5779220779</v>
      </c>
      <c r="BA44" s="23">
        <v>3</v>
      </c>
      <c r="BB44" s="24" t="s">
        <v>8</v>
      </c>
    </row>
    <row r="45" spans="1:54" x14ac:dyDescent="0.2">
      <c r="A45" s="5">
        <v>232</v>
      </c>
      <c r="B45" s="20" t="s">
        <v>68</v>
      </c>
      <c r="C45" s="18" t="s">
        <v>54</v>
      </c>
      <c r="D45" s="18">
        <v>5</v>
      </c>
      <c r="E45" s="18">
        <v>0</v>
      </c>
      <c r="F45" s="20">
        <v>3.3639999999999999</v>
      </c>
      <c r="G45" s="18">
        <v>29</v>
      </c>
      <c r="H45" s="22">
        <v>4.128678986995209</v>
      </c>
      <c r="I45" s="22">
        <v>5.6919917864476384</v>
      </c>
      <c r="J45" s="22">
        <v>9.8206707734428473</v>
      </c>
      <c r="K45" s="22">
        <v>4.128678986995209</v>
      </c>
      <c r="L45" s="22">
        <v>5.7029431895961666</v>
      </c>
      <c r="M45" s="22">
        <v>9.8316221765913756</v>
      </c>
      <c r="N45" s="22">
        <v>4.0246406570841886</v>
      </c>
      <c r="O45" s="22">
        <v>5.3442847364818613</v>
      </c>
      <c r="P45" s="22">
        <v>9.3689253935660499</v>
      </c>
      <c r="Q45" s="22" t="s">
        <v>8</v>
      </c>
      <c r="R45" s="22" t="s">
        <v>8</v>
      </c>
      <c r="S45" s="22" t="s">
        <v>8</v>
      </c>
      <c r="T45" s="5">
        <v>3</v>
      </c>
      <c r="U45" s="5">
        <v>14</v>
      </c>
      <c r="V45" s="20" t="s">
        <v>1</v>
      </c>
      <c r="W45" s="20">
        <v>5</v>
      </c>
      <c r="X45" s="20">
        <v>1</v>
      </c>
      <c r="Y45" s="5">
        <v>1</v>
      </c>
      <c r="Z45" s="20">
        <v>4</v>
      </c>
      <c r="AA45" s="23">
        <f t="shared" si="0"/>
        <v>2</v>
      </c>
      <c r="AB45" s="15">
        <v>1</v>
      </c>
      <c r="AC45" s="15">
        <v>0.75</v>
      </c>
      <c r="AD45" s="15">
        <v>0.75</v>
      </c>
      <c r="AE45" s="15">
        <v>0.83299999999999996</v>
      </c>
      <c r="AF45" s="20">
        <v>20</v>
      </c>
      <c r="AG45" s="20" t="s">
        <v>8</v>
      </c>
      <c r="AH45" s="24">
        <v>24</v>
      </c>
      <c r="AI45" s="23">
        <f t="shared" si="1"/>
        <v>1</v>
      </c>
      <c r="AJ45" s="17">
        <v>7.5</v>
      </c>
      <c r="AK45" s="17">
        <v>8.75</v>
      </c>
      <c r="AL45" s="14">
        <v>16.25</v>
      </c>
      <c r="AM45" s="23" cm="1">
        <f t="array" ref="AM45">IF(OR(AN45:AZ45=""),"BLANK",IF(AND(AN45:AZ45&lt;9999999),1,IF(AND(AN45:AZ45="NA"),3,2)))</f>
        <v>1</v>
      </c>
      <c r="AN45" s="5">
        <v>8</v>
      </c>
      <c r="AO45" s="5">
        <v>2</v>
      </c>
      <c r="AP45" s="10">
        <v>3</v>
      </c>
      <c r="AQ45" s="10">
        <v>4.25</v>
      </c>
      <c r="AR45" s="10">
        <v>7.25</v>
      </c>
      <c r="AS45" s="11">
        <v>197</v>
      </c>
      <c r="AT45" s="11">
        <v>3034</v>
      </c>
      <c r="AU45" s="11">
        <v>380.5</v>
      </c>
      <c r="AV45" s="11">
        <v>928.5</v>
      </c>
      <c r="AW45" s="11">
        <v>0</v>
      </c>
      <c r="AX45" s="11">
        <v>0</v>
      </c>
      <c r="AY45" s="11">
        <v>0</v>
      </c>
      <c r="AZ45" s="11">
        <v>2158.0030303029998</v>
      </c>
      <c r="BA45" s="23">
        <v>3</v>
      </c>
      <c r="BB45" s="24" t="s">
        <v>8</v>
      </c>
    </row>
    <row r="46" spans="1:54" x14ac:dyDescent="0.2">
      <c r="A46" s="5">
        <v>236</v>
      </c>
      <c r="B46" s="20" t="s">
        <v>64</v>
      </c>
      <c r="C46" s="18" t="s">
        <v>55</v>
      </c>
      <c r="D46" s="18">
        <v>5</v>
      </c>
      <c r="E46" s="18">
        <v>0</v>
      </c>
      <c r="F46" s="20">
        <v>3.5449999999999999</v>
      </c>
      <c r="G46" s="18">
        <v>27</v>
      </c>
      <c r="H46" s="22">
        <v>4.0985626283367553</v>
      </c>
      <c r="I46" s="22">
        <v>5.9137577002053385</v>
      </c>
      <c r="J46" s="22">
        <v>10.012320328542094</v>
      </c>
      <c r="K46" s="22">
        <v>4.1451060917180014</v>
      </c>
      <c r="L46" s="22">
        <v>5.8590006844626972</v>
      </c>
      <c r="M46" s="22">
        <v>10.004106776180699</v>
      </c>
      <c r="N46" s="22">
        <v>4.0164271047227924</v>
      </c>
      <c r="O46" s="22">
        <v>5.5961670088980151</v>
      </c>
      <c r="P46" s="22">
        <v>9.6125941136208084</v>
      </c>
      <c r="Q46" s="22" t="s">
        <v>8</v>
      </c>
      <c r="R46" s="22" t="s">
        <v>8</v>
      </c>
      <c r="S46" s="22" t="s">
        <v>8</v>
      </c>
      <c r="T46" s="5">
        <v>7</v>
      </c>
      <c r="U46" s="5">
        <v>21</v>
      </c>
      <c r="V46" s="20" t="s">
        <v>1</v>
      </c>
      <c r="W46" s="20">
        <v>5</v>
      </c>
      <c r="X46" s="20">
        <v>1</v>
      </c>
      <c r="Y46" s="5">
        <v>1</v>
      </c>
      <c r="Z46" s="20">
        <v>4</v>
      </c>
      <c r="AA46" s="23">
        <f t="shared" si="0"/>
        <v>3</v>
      </c>
      <c r="AB46" s="15" t="s">
        <v>8</v>
      </c>
      <c r="AC46" s="15" t="s">
        <v>8</v>
      </c>
      <c r="AD46" s="15" t="s">
        <v>8</v>
      </c>
      <c r="AE46" s="15" t="s">
        <v>8</v>
      </c>
      <c r="AF46" s="20" t="s">
        <v>8</v>
      </c>
      <c r="AG46" s="20" t="s">
        <v>8</v>
      </c>
      <c r="AH46" s="24" t="s">
        <v>8</v>
      </c>
      <c r="AI46" s="23">
        <f t="shared" si="1"/>
        <v>1</v>
      </c>
      <c r="AJ46" s="17">
        <v>9.75</v>
      </c>
      <c r="AK46" s="17">
        <v>9.75</v>
      </c>
      <c r="AL46" s="14">
        <v>19.5</v>
      </c>
      <c r="AM46" s="23" cm="1">
        <f t="array" ref="AM46">IF(OR(AN46:AZ46=""),"BLANK",IF(AND(AN46:AZ46&lt;9999999),1,IF(AND(AN46:AZ46="NA"),3,2)))</f>
        <v>1</v>
      </c>
      <c r="AN46" s="5">
        <v>7</v>
      </c>
      <c r="AO46" s="5">
        <v>2</v>
      </c>
      <c r="AP46" s="10">
        <v>3.5</v>
      </c>
      <c r="AQ46" s="10">
        <v>5</v>
      </c>
      <c r="AR46" s="10">
        <v>6</v>
      </c>
      <c r="AS46" s="11">
        <v>978</v>
      </c>
      <c r="AT46" s="11">
        <v>1972.5</v>
      </c>
      <c r="AU46" s="11">
        <v>5490.25</v>
      </c>
      <c r="AV46" s="11">
        <v>6859.25</v>
      </c>
      <c r="AW46" s="11">
        <v>0</v>
      </c>
      <c r="AX46" s="11">
        <v>0</v>
      </c>
      <c r="AY46" s="11">
        <v>1069.4166666666999</v>
      </c>
      <c r="AZ46" s="11">
        <v>506.92857142859998</v>
      </c>
      <c r="BA46" s="23">
        <v>3</v>
      </c>
      <c r="BB46" s="24" t="s">
        <v>8</v>
      </c>
    </row>
    <row r="47" spans="1:54" x14ac:dyDescent="0.2">
      <c r="A47" s="5">
        <v>245</v>
      </c>
      <c r="B47" s="20" t="s">
        <v>74</v>
      </c>
      <c r="C47" s="18" t="s">
        <v>54</v>
      </c>
      <c r="D47" s="18">
        <v>2</v>
      </c>
      <c r="E47" s="18">
        <v>0</v>
      </c>
      <c r="F47" s="20">
        <v>4</v>
      </c>
      <c r="G47" s="18">
        <v>29</v>
      </c>
      <c r="H47" s="22">
        <v>4.0985626283367553</v>
      </c>
      <c r="I47" s="22">
        <v>5.9712525667351128</v>
      </c>
      <c r="J47" s="22">
        <v>10.069815195071868</v>
      </c>
      <c r="K47" s="22">
        <v>4.1204654346338128</v>
      </c>
      <c r="L47" s="22">
        <v>5.9493497604380563</v>
      </c>
      <c r="M47" s="22">
        <v>10.069815195071868</v>
      </c>
      <c r="N47" s="22">
        <v>4.2792607802874745</v>
      </c>
      <c r="O47" s="22">
        <v>5.7084188911704308</v>
      </c>
      <c r="P47" s="22">
        <v>9.9876796714579061</v>
      </c>
      <c r="Q47" s="22">
        <v>3.1156741957563314</v>
      </c>
      <c r="R47" s="22">
        <v>6.3052703627652296</v>
      </c>
      <c r="S47" s="22">
        <v>9.4209445585215601</v>
      </c>
      <c r="T47" s="5">
        <v>3</v>
      </c>
      <c r="U47" s="5">
        <v>12</v>
      </c>
      <c r="V47" s="20" t="s">
        <v>1</v>
      </c>
      <c r="W47" s="20">
        <v>5</v>
      </c>
      <c r="X47" s="20">
        <v>1</v>
      </c>
      <c r="Y47" s="5">
        <v>1</v>
      </c>
      <c r="Z47" s="20">
        <v>4</v>
      </c>
      <c r="AA47" s="23">
        <f t="shared" si="0"/>
        <v>2</v>
      </c>
      <c r="AB47" s="15">
        <v>0.875</v>
      </c>
      <c r="AC47" s="15">
        <v>0.25</v>
      </c>
      <c r="AD47" s="15">
        <v>0.125</v>
      </c>
      <c r="AE47" s="15">
        <v>0.41699999999999998</v>
      </c>
      <c r="AF47" s="20">
        <v>10</v>
      </c>
      <c r="AG47" s="20" t="s">
        <v>8</v>
      </c>
      <c r="AH47" s="24">
        <v>24</v>
      </c>
      <c r="AI47" s="23">
        <f t="shared" si="1"/>
        <v>1</v>
      </c>
      <c r="AJ47" s="17">
        <v>0.5</v>
      </c>
      <c r="AK47" s="17">
        <v>5</v>
      </c>
      <c r="AL47" s="14">
        <v>5.5</v>
      </c>
      <c r="AM47" s="23" cm="1">
        <f t="array" ref="AM47">IF(OR(AN47:AZ47=""),"BLANK",IF(AND(AN47:AZ47&lt;9999999),1,IF(AND(AN47:AZ47="NA"),3,2)))</f>
        <v>1</v>
      </c>
      <c r="AN47" s="5">
        <v>6</v>
      </c>
      <c r="AO47" s="5">
        <v>2</v>
      </c>
      <c r="AP47" s="10">
        <v>3.5</v>
      </c>
      <c r="AQ47" s="10">
        <v>5.75</v>
      </c>
      <c r="AR47" s="10">
        <v>10.25</v>
      </c>
      <c r="AS47" s="11">
        <v>2127.5</v>
      </c>
      <c r="AT47" s="11">
        <v>6509</v>
      </c>
      <c r="AU47" s="11">
        <v>2901.5</v>
      </c>
      <c r="AV47" s="11">
        <v>2203.5</v>
      </c>
      <c r="AW47" s="11">
        <v>0</v>
      </c>
      <c r="AX47" s="11">
        <v>2929.2916666667002</v>
      </c>
      <c r="AY47" s="11">
        <v>7969.5833333333003</v>
      </c>
      <c r="AZ47" s="11">
        <v>9007.0291666666999</v>
      </c>
      <c r="BA47" s="23">
        <v>3</v>
      </c>
      <c r="BB47" s="24" t="s">
        <v>8</v>
      </c>
    </row>
    <row r="48" spans="1:54" x14ac:dyDescent="0.2">
      <c r="A48" s="5">
        <v>252</v>
      </c>
      <c r="B48" s="20" t="s">
        <v>68</v>
      </c>
      <c r="C48" s="18" t="s">
        <v>55</v>
      </c>
      <c r="D48" s="18">
        <v>5</v>
      </c>
      <c r="E48" s="18">
        <v>0</v>
      </c>
      <c r="F48" s="20">
        <v>4</v>
      </c>
      <c r="G48" s="18">
        <v>29</v>
      </c>
      <c r="H48" s="22" t="s">
        <v>8</v>
      </c>
      <c r="I48" s="22" t="s">
        <v>8</v>
      </c>
      <c r="J48" s="22" t="s">
        <v>8</v>
      </c>
      <c r="K48" s="22" t="s">
        <v>8</v>
      </c>
      <c r="L48" s="22" t="s">
        <v>8</v>
      </c>
      <c r="M48" s="22" t="s">
        <v>8</v>
      </c>
      <c r="N48" s="22" t="s">
        <v>8</v>
      </c>
      <c r="O48" s="22" t="s">
        <v>8</v>
      </c>
      <c r="P48" s="22" t="s">
        <v>8</v>
      </c>
      <c r="Q48" s="22" t="s">
        <v>8</v>
      </c>
      <c r="R48" s="22" t="s">
        <v>8</v>
      </c>
      <c r="S48" s="22" t="s">
        <v>8</v>
      </c>
      <c r="T48" s="5">
        <v>4</v>
      </c>
      <c r="U48" s="5">
        <v>16</v>
      </c>
      <c r="V48" s="20" t="s">
        <v>1</v>
      </c>
      <c r="W48" s="20">
        <v>5</v>
      </c>
      <c r="X48" s="20">
        <v>1</v>
      </c>
      <c r="Y48" s="5">
        <v>1</v>
      </c>
      <c r="Z48" s="20">
        <v>4</v>
      </c>
      <c r="AA48" s="23">
        <f t="shared" si="0"/>
        <v>3</v>
      </c>
      <c r="AB48" s="15" t="s">
        <v>8</v>
      </c>
      <c r="AC48" s="15" t="s">
        <v>8</v>
      </c>
      <c r="AD48" s="15" t="s">
        <v>8</v>
      </c>
      <c r="AE48" s="15" t="s">
        <v>8</v>
      </c>
      <c r="AF48" s="20" t="s">
        <v>8</v>
      </c>
      <c r="AG48" s="20" t="s">
        <v>8</v>
      </c>
      <c r="AH48" s="24" t="s">
        <v>8</v>
      </c>
      <c r="AI48" s="23">
        <f t="shared" si="1"/>
        <v>1</v>
      </c>
      <c r="AJ48" s="17">
        <v>4.75</v>
      </c>
      <c r="AK48" s="17">
        <v>2</v>
      </c>
      <c r="AL48" s="14">
        <v>6.75</v>
      </c>
      <c r="AM48" s="23" cm="1">
        <f t="array" ref="AM48">IF(OR(AN48:AZ48=""),"BLANK",IF(AND(AN48:AZ48&lt;9999999),1,IF(AND(AN48:AZ48="NA"),3,2)))</f>
        <v>1</v>
      </c>
      <c r="AN48" s="5">
        <v>6</v>
      </c>
      <c r="AO48" s="5">
        <v>2</v>
      </c>
      <c r="AP48" s="10">
        <v>5.5</v>
      </c>
      <c r="AQ48" s="10">
        <v>5.5</v>
      </c>
      <c r="AR48" s="10">
        <v>8.25</v>
      </c>
      <c r="AS48" s="11">
        <v>0</v>
      </c>
      <c r="AT48" s="11">
        <v>4581.5</v>
      </c>
      <c r="AU48" s="11">
        <v>5234.5</v>
      </c>
      <c r="AV48" s="11">
        <v>5619.75</v>
      </c>
      <c r="AW48" s="11">
        <v>5308.5</v>
      </c>
      <c r="AX48" s="11">
        <v>4934.0833333333003</v>
      </c>
      <c r="AY48" s="11">
        <v>5368.2166666666999</v>
      </c>
      <c r="AZ48" s="11">
        <v>9353.0992424241995</v>
      </c>
      <c r="BA48" s="23">
        <v>3</v>
      </c>
      <c r="BB48" s="24" t="s">
        <v>8</v>
      </c>
    </row>
    <row r="49" spans="1:54" x14ac:dyDescent="0.2">
      <c r="A49" s="5">
        <v>253</v>
      </c>
      <c r="B49" s="20" t="s">
        <v>81</v>
      </c>
      <c r="C49" s="18" t="s">
        <v>55</v>
      </c>
      <c r="D49" s="18">
        <v>5</v>
      </c>
      <c r="E49" s="18">
        <v>0</v>
      </c>
      <c r="F49" s="20">
        <v>0.81799999999999995</v>
      </c>
      <c r="G49" s="18">
        <v>29</v>
      </c>
      <c r="H49" s="22" t="s">
        <v>8</v>
      </c>
      <c r="I49" s="22" t="s">
        <v>8</v>
      </c>
      <c r="J49" s="22" t="s">
        <v>8</v>
      </c>
      <c r="K49" s="22" t="s">
        <v>8</v>
      </c>
      <c r="L49" s="22" t="s">
        <v>8</v>
      </c>
      <c r="M49" s="22" t="s">
        <v>8</v>
      </c>
      <c r="N49" s="22" t="s">
        <v>8</v>
      </c>
      <c r="O49" s="22" t="s">
        <v>8</v>
      </c>
      <c r="P49" s="22" t="s">
        <v>8</v>
      </c>
      <c r="Q49" s="22" t="s">
        <v>8</v>
      </c>
      <c r="R49" s="22" t="s">
        <v>8</v>
      </c>
      <c r="S49" s="22" t="s">
        <v>8</v>
      </c>
      <c r="T49" s="5">
        <v>4</v>
      </c>
      <c r="U49" s="5">
        <v>16</v>
      </c>
      <c r="V49" s="20" t="s">
        <v>1</v>
      </c>
      <c r="W49" s="20">
        <v>5</v>
      </c>
      <c r="X49" s="20">
        <v>1</v>
      </c>
      <c r="Y49" s="5">
        <v>1</v>
      </c>
      <c r="Z49" s="20">
        <v>4</v>
      </c>
      <c r="AA49" s="23">
        <f t="shared" si="0"/>
        <v>2</v>
      </c>
      <c r="AB49" s="15">
        <v>1</v>
      </c>
      <c r="AC49" s="15">
        <v>0.875</v>
      </c>
      <c r="AD49" s="15">
        <v>0.75</v>
      </c>
      <c r="AE49" s="15">
        <v>0.875</v>
      </c>
      <c r="AF49" s="20">
        <v>21</v>
      </c>
      <c r="AG49" s="20" t="s">
        <v>8</v>
      </c>
      <c r="AH49" s="24">
        <v>24</v>
      </c>
      <c r="AI49" s="23">
        <f t="shared" si="1"/>
        <v>1</v>
      </c>
      <c r="AJ49" s="17">
        <v>8.75</v>
      </c>
      <c r="AK49" s="17">
        <v>7</v>
      </c>
      <c r="AL49" s="14">
        <v>15.75</v>
      </c>
      <c r="AM49" s="23" cm="1">
        <f t="array" ref="AM49">IF(OR(AN49:AZ49=""),"BLANK",IF(AND(AN49:AZ49&lt;9999999),1,IF(AND(AN49:AZ49="NA"),3,2)))</f>
        <v>1</v>
      </c>
      <c r="AN49" s="5">
        <v>5</v>
      </c>
      <c r="AO49" s="5">
        <v>2</v>
      </c>
      <c r="AP49" s="10">
        <v>3.5</v>
      </c>
      <c r="AQ49" s="10">
        <v>6.25</v>
      </c>
      <c r="AR49" s="10">
        <v>7.25</v>
      </c>
      <c r="AS49" s="11">
        <v>2110.5</v>
      </c>
      <c r="AT49" s="11">
        <v>9284</v>
      </c>
      <c r="AU49" s="11">
        <v>6821.5</v>
      </c>
      <c r="AV49" s="11">
        <v>3902.25</v>
      </c>
      <c r="AW49" s="11">
        <v>0</v>
      </c>
      <c r="AX49" s="11">
        <v>4769.625</v>
      </c>
      <c r="AY49" s="11">
        <v>12952.402777777799</v>
      </c>
      <c r="AZ49" s="11">
        <v>13657.6333333333</v>
      </c>
      <c r="BA49" s="23">
        <v>3</v>
      </c>
      <c r="BB49" s="24" t="s">
        <v>8</v>
      </c>
    </row>
    <row r="50" spans="1:54" x14ac:dyDescent="0.2">
      <c r="A50" s="5">
        <v>257</v>
      </c>
      <c r="B50" s="20" t="s">
        <v>82</v>
      </c>
      <c r="C50" s="18" t="s">
        <v>54</v>
      </c>
      <c r="D50" s="18">
        <v>5</v>
      </c>
      <c r="E50" s="18">
        <v>0</v>
      </c>
      <c r="F50" s="20">
        <v>4</v>
      </c>
      <c r="G50" s="18">
        <v>26</v>
      </c>
      <c r="H50" s="22">
        <v>4.3531827515400412</v>
      </c>
      <c r="I50" s="22" t="s">
        <v>8</v>
      </c>
      <c r="J50" s="22" t="s">
        <v>8</v>
      </c>
      <c r="K50" s="22">
        <v>4.3641341546885695</v>
      </c>
      <c r="L50" s="22" t="s">
        <v>8</v>
      </c>
      <c r="M50" s="22" t="s">
        <v>8</v>
      </c>
      <c r="N50" s="22" t="s">
        <v>8</v>
      </c>
      <c r="O50" s="22" t="s">
        <v>8</v>
      </c>
      <c r="P50" s="22" t="s">
        <v>8</v>
      </c>
      <c r="Q50" s="22" t="s">
        <v>8</v>
      </c>
      <c r="R50" s="22" t="s">
        <v>8</v>
      </c>
      <c r="S50" s="22" t="s">
        <v>8</v>
      </c>
      <c r="T50" s="5">
        <v>3</v>
      </c>
      <c r="U50" s="5">
        <v>13</v>
      </c>
      <c r="V50" s="20" t="s">
        <v>1</v>
      </c>
      <c r="W50" s="20">
        <v>5</v>
      </c>
      <c r="X50" s="20">
        <v>1</v>
      </c>
      <c r="Y50" s="5">
        <v>1</v>
      </c>
      <c r="Z50" s="20">
        <v>4</v>
      </c>
      <c r="AA50" s="23">
        <f t="shared" si="0"/>
        <v>2</v>
      </c>
      <c r="AB50" s="15">
        <v>1</v>
      </c>
      <c r="AC50" s="15">
        <v>0.7142857142857143</v>
      </c>
      <c r="AD50" s="15">
        <v>0.8571428571428571</v>
      </c>
      <c r="AE50" s="15">
        <v>0.86399999999999999</v>
      </c>
      <c r="AF50" s="20">
        <v>19</v>
      </c>
      <c r="AG50" s="20" t="s">
        <v>8</v>
      </c>
      <c r="AH50" s="24">
        <v>22</v>
      </c>
      <c r="AI50" s="23">
        <f t="shared" si="1"/>
        <v>1</v>
      </c>
      <c r="AJ50" s="17">
        <v>5.75</v>
      </c>
      <c r="AK50" s="17">
        <v>6.75</v>
      </c>
      <c r="AL50" s="14">
        <v>12.5</v>
      </c>
      <c r="AM50" s="23" cm="1">
        <f t="array" ref="AM50">IF(OR(AN50:AZ50=""),"BLANK",IF(AND(AN50:AZ50&lt;9999999),1,IF(AND(AN50:AZ50="NA"),3,2)))</f>
        <v>1</v>
      </c>
      <c r="AN50" s="5">
        <v>8</v>
      </c>
      <c r="AO50" s="5">
        <v>2</v>
      </c>
      <c r="AP50" s="10">
        <v>3</v>
      </c>
      <c r="AQ50" s="10">
        <v>5.25</v>
      </c>
      <c r="AR50" s="10">
        <v>6.75</v>
      </c>
      <c r="AS50" s="11">
        <v>2798</v>
      </c>
      <c r="AT50" s="11">
        <v>6004</v>
      </c>
      <c r="AU50" s="11">
        <v>5875.25</v>
      </c>
      <c r="AV50" s="11">
        <v>7761.75</v>
      </c>
      <c r="AW50" s="11">
        <v>438.25</v>
      </c>
      <c r="AX50" s="11">
        <v>0</v>
      </c>
      <c r="AY50" s="11">
        <v>2730.5277777778001</v>
      </c>
      <c r="AZ50" s="11">
        <v>348.17063492059998</v>
      </c>
      <c r="BA50" s="23">
        <v>3</v>
      </c>
      <c r="BB50" s="24" t="s">
        <v>8</v>
      </c>
    </row>
    <row r="51" spans="1:54" x14ac:dyDescent="0.2">
      <c r="A51" s="5">
        <v>261</v>
      </c>
      <c r="B51" s="20" t="s">
        <v>81</v>
      </c>
      <c r="C51" s="18" t="s">
        <v>54</v>
      </c>
      <c r="D51" s="18">
        <v>5</v>
      </c>
      <c r="E51" s="18">
        <v>0</v>
      </c>
      <c r="F51" s="20">
        <v>3.8180000000000001</v>
      </c>
      <c r="G51" s="18">
        <v>27</v>
      </c>
      <c r="H51" s="22">
        <v>4.1998631074606436</v>
      </c>
      <c r="I51" s="22" t="s">
        <v>8</v>
      </c>
      <c r="J51" s="22" t="s">
        <v>8</v>
      </c>
      <c r="K51" s="22">
        <v>4.3148528405201914</v>
      </c>
      <c r="L51" s="22" t="s">
        <v>8</v>
      </c>
      <c r="M51" s="22" t="s">
        <v>8</v>
      </c>
      <c r="N51" s="22">
        <v>4.2299794661190964</v>
      </c>
      <c r="O51" s="22" t="s">
        <v>8</v>
      </c>
      <c r="P51" s="22" t="s">
        <v>8</v>
      </c>
      <c r="Q51" s="22" t="s">
        <v>8</v>
      </c>
      <c r="R51" s="22" t="s">
        <v>8</v>
      </c>
      <c r="S51" s="22" t="s">
        <v>8</v>
      </c>
      <c r="T51" s="5">
        <v>4</v>
      </c>
      <c r="U51" s="5">
        <v>16</v>
      </c>
      <c r="V51" s="20" t="s">
        <v>1</v>
      </c>
      <c r="W51" s="20">
        <v>5</v>
      </c>
      <c r="X51" s="20">
        <v>1</v>
      </c>
      <c r="Y51" s="5">
        <v>1</v>
      </c>
      <c r="Z51" s="20">
        <v>4</v>
      </c>
      <c r="AA51" s="23">
        <f t="shared" si="0"/>
        <v>2</v>
      </c>
      <c r="AB51" s="15">
        <v>1</v>
      </c>
      <c r="AC51" s="15">
        <v>0.875</v>
      </c>
      <c r="AD51" s="15">
        <v>0.5</v>
      </c>
      <c r="AE51" s="15">
        <v>0.79200000000000004</v>
      </c>
      <c r="AF51" s="20">
        <v>19</v>
      </c>
      <c r="AG51" s="20" t="s">
        <v>8</v>
      </c>
      <c r="AH51" s="24">
        <v>24</v>
      </c>
      <c r="AI51" s="23">
        <f t="shared" si="1"/>
        <v>1</v>
      </c>
      <c r="AJ51" s="17">
        <v>7.75</v>
      </c>
      <c r="AK51" s="17">
        <v>9.25</v>
      </c>
      <c r="AL51" s="14">
        <v>17</v>
      </c>
      <c r="AM51" s="23" cm="1">
        <f t="array" ref="AM51">IF(OR(AN51:AZ51=""),"BLANK",IF(AND(AN51:AZ51&lt;9999999),1,IF(AND(AN51:AZ51="NA"),3,2)))</f>
        <v>1</v>
      </c>
      <c r="AN51" s="5">
        <v>8</v>
      </c>
      <c r="AO51" s="5">
        <v>2</v>
      </c>
      <c r="AP51" s="10">
        <v>3</v>
      </c>
      <c r="AQ51" s="10">
        <v>5.25</v>
      </c>
      <c r="AR51" s="10">
        <v>7.5</v>
      </c>
      <c r="AS51" s="11">
        <v>1975</v>
      </c>
      <c r="AT51" s="11">
        <v>4491</v>
      </c>
      <c r="AU51" s="11">
        <v>1628.25</v>
      </c>
      <c r="AV51" s="11">
        <v>750.75</v>
      </c>
      <c r="AW51" s="11">
        <v>0</v>
      </c>
      <c r="AX51" s="11">
        <v>0</v>
      </c>
      <c r="AY51" s="11">
        <v>6592.5625</v>
      </c>
      <c r="AZ51" s="11">
        <v>2025.0089285714</v>
      </c>
      <c r="BA51" s="23">
        <v>3</v>
      </c>
      <c r="BB51" s="24" t="s">
        <v>8</v>
      </c>
    </row>
    <row r="52" spans="1:54" x14ac:dyDescent="0.2">
      <c r="A52" s="5">
        <v>269</v>
      </c>
      <c r="B52" s="20" t="s">
        <v>81</v>
      </c>
      <c r="C52" s="18" t="s">
        <v>54</v>
      </c>
      <c r="D52" s="18">
        <v>5</v>
      </c>
      <c r="E52" s="18">
        <v>0</v>
      </c>
      <c r="F52" s="20">
        <v>4</v>
      </c>
      <c r="G52" s="18">
        <v>27</v>
      </c>
      <c r="H52" s="22" t="s">
        <v>8</v>
      </c>
      <c r="I52" s="22" t="s">
        <v>8</v>
      </c>
      <c r="J52" s="22" t="s">
        <v>8</v>
      </c>
      <c r="K52" s="22" t="s">
        <v>8</v>
      </c>
      <c r="L52" s="22" t="s">
        <v>8</v>
      </c>
      <c r="M52" s="22" t="s">
        <v>8</v>
      </c>
      <c r="N52" s="22" t="s">
        <v>8</v>
      </c>
      <c r="O52" s="22" t="s">
        <v>8</v>
      </c>
      <c r="P52" s="22" t="s">
        <v>8</v>
      </c>
      <c r="Q52" s="22" t="s">
        <v>8</v>
      </c>
      <c r="R52" s="22" t="s">
        <v>8</v>
      </c>
      <c r="S52" s="22" t="s">
        <v>8</v>
      </c>
      <c r="T52" s="5">
        <v>6</v>
      </c>
      <c r="U52" s="5">
        <v>18</v>
      </c>
      <c r="V52" s="20" t="s">
        <v>1</v>
      </c>
      <c r="W52" s="20">
        <v>5</v>
      </c>
      <c r="X52" s="20">
        <v>1</v>
      </c>
      <c r="Y52" s="5">
        <v>1</v>
      </c>
      <c r="Z52" s="20">
        <v>4</v>
      </c>
      <c r="AA52" s="23">
        <f t="shared" si="0"/>
        <v>2</v>
      </c>
      <c r="AB52" s="15">
        <v>0.75</v>
      </c>
      <c r="AC52" s="15">
        <v>0.5714285714285714</v>
      </c>
      <c r="AD52" s="15">
        <v>0.375</v>
      </c>
      <c r="AE52" s="15">
        <v>0.56499999999999995</v>
      </c>
      <c r="AF52" s="20">
        <v>13</v>
      </c>
      <c r="AG52" s="20" t="s">
        <v>8</v>
      </c>
      <c r="AH52" s="24">
        <v>23</v>
      </c>
      <c r="AI52" s="23">
        <f t="shared" si="1"/>
        <v>1</v>
      </c>
      <c r="AJ52" s="17">
        <v>2.5</v>
      </c>
      <c r="AK52" s="17">
        <v>3</v>
      </c>
      <c r="AL52" s="14">
        <v>5.5</v>
      </c>
      <c r="AM52" s="23" cm="1">
        <f t="array" ref="AM52">IF(OR(AN52:AZ52=""),"BLANK",IF(AND(AN52:AZ52&lt;9999999),1,IF(AND(AN52:AZ52="NA"),3,2)))</f>
        <v>1</v>
      </c>
      <c r="AN52" s="5">
        <v>6</v>
      </c>
      <c r="AO52" s="5">
        <v>2</v>
      </c>
      <c r="AP52" s="10">
        <v>4.5</v>
      </c>
      <c r="AQ52" s="10">
        <v>5.75</v>
      </c>
      <c r="AR52" s="10">
        <v>8</v>
      </c>
      <c r="AS52" s="11">
        <v>3490</v>
      </c>
      <c r="AT52" s="11">
        <v>4908.5</v>
      </c>
      <c r="AU52" s="11">
        <v>2113</v>
      </c>
      <c r="AV52" s="11">
        <v>5245.25</v>
      </c>
      <c r="AW52" s="11">
        <v>5733.75</v>
      </c>
      <c r="AX52" s="11">
        <v>16236.75</v>
      </c>
      <c r="AY52" s="11">
        <v>10577.0486111111</v>
      </c>
      <c r="AZ52" s="11">
        <v>88863.841666666704</v>
      </c>
      <c r="BA52" s="23">
        <v>3</v>
      </c>
      <c r="BB52" s="24" t="s">
        <v>8</v>
      </c>
    </row>
    <row r="53" spans="1:54" x14ac:dyDescent="0.2">
      <c r="A53" s="5">
        <v>274</v>
      </c>
      <c r="B53" s="20" t="s">
        <v>82</v>
      </c>
      <c r="C53" s="18" t="s">
        <v>55</v>
      </c>
      <c r="D53" s="18">
        <v>5</v>
      </c>
      <c r="E53" s="18">
        <v>0</v>
      </c>
      <c r="F53" s="20">
        <v>4</v>
      </c>
      <c r="G53" s="18">
        <v>29</v>
      </c>
      <c r="H53" s="22">
        <v>4.043805612594114</v>
      </c>
      <c r="I53" s="22">
        <v>5.415468856947296</v>
      </c>
      <c r="J53" s="22">
        <v>9.4592744695414108</v>
      </c>
      <c r="K53" s="22">
        <v>4.043805612594114</v>
      </c>
      <c r="L53" s="22">
        <v>5.5003422313483918</v>
      </c>
      <c r="M53" s="22">
        <v>9.5441478439425058</v>
      </c>
      <c r="N53" s="22">
        <v>4.0301163586584527</v>
      </c>
      <c r="O53" s="22" t="s">
        <v>8</v>
      </c>
      <c r="P53" s="22" t="s">
        <v>8</v>
      </c>
      <c r="Q53" s="22">
        <v>3.1978097193702943</v>
      </c>
      <c r="R53" s="22" t="s">
        <v>8</v>
      </c>
      <c r="S53" s="22" t="s">
        <v>8</v>
      </c>
      <c r="T53" s="5">
        <v>5</v>
      </c>
      <c r="U53" s="5">
        <v>17</v>
      </c>
      <c r="V53" s="20" t="s">
        <v>1</v>
      </c>
      <c r="W53" s="20">
        <v>5</v>
      </c>
      <c r="X53" s="20">
        <v>1</v>
      </c>
      <c r="Y53" s="5">
        <v>1</v>
      </c>
      <c r="Z53" s="20">
        <v>4</v>
      </c>
      <c r="AA53" s="23">
        <f t="shared" si="0"/>
        <v>2</v>
      </c>
      <c r="AB53" s="15">
        <v>0.875</v>
      </c>
      <c r="AC53" s="15">
        <v>0.75</v>
      </c>
      <c r="AD53" s="15">
        <v>0.25</v>
      </c>
      <c r="AE53" s="15">
        <v>0.625</v>
      </c>
      <c r="AF53" s="20">
        <v>15</v>
      </c>
      <c r="AG53" s="20" t="s">
        <v>8</v>
      </c>
      <c r="AH53" s="24">
        <v>24</v>
      </c>
      <c r="AI53" s="23">
        <f t="shared" si="1"/>
        <v>1</v>
      </c>
      <c r="AJ53" s="17">
        <v>7.75</v>
      </c>
      <c r="AK53" s="17">
        <v>4.5</v>
      </c>
      <c r="AL53" s="14">
        <v>12.25</v>
      </c>
      <c r="AM53" s="23" cm="1">
        <f t="array" ref="AM53">IF(OR(AN53:AZ53=""),"BLANK",IF(AND(AN53:AZ53&lt;9999999),1,IF(AND(AN53:AZ53="NA"),3,2)))</f>
        <v>1</v>
      </c>
      <c r="AN53" s="5">
        <v>8</v>
      </c>
      <c r="AO53" s="5">
        <v>2</v>
      </c>
      <c r="AP53" s="10">
        <v>3</v>
      </c>
      <c r="AQ53" s="10">
        <v>4.75</v>
      </c>
      <c r="AR53" s="10">
        <v>9.25</v>
      </c>
      <c r="AS53" s="11">
        <v>0</v>
      </c>
      <c r="AT53" s="11">
        <v>4000</v>
      </c>
      <c r="AU53" s="11">
        <v>2013.75</v>
      </c>
      <c r="AV53" s="11">
        <v>4910.75</v>
      </c>
      <c r="AW53" s="11">
        <v>0</v>
      </c>
      <c r="AX53" s="11">
        <v>164</v>
      </c>
      <c r="AY53" s="11">
        <v>3028.5267857142999</v>
      </c>
      <c r="AZ53" s="11">
        <v>27610.84375</v>
      </c>
      <c r="BA53" s="23">
        <v>3</v>
      </c>
      <c r="BB53" s="24" t="s">
        <v>8</v>
      </c>
    </row>
    <row r="54" spans="1:54" x14ac:dyDescent="0.2">
      <c r="A54" s="5">
        <v>295</v>
      </c>
      <c r="B54" s="20" t="s">
        <v>64</v>
      </c>
      <c r="C54" s="18" t="s">
        <v>54</v>
      </c>
      <c r="D54" s="18">
        <v>5</v>
      </c>
      <c r="E54" s="18">
        <v>0</v>
      </c>
      <c r="F54" s="20">
        <v>3.6360000000000001</v>
      </c>
      <c r="G54" s="18">
        <v>28</v>
      </c>
      <c r="H54" s="22" t="s">
        <v>8</v>
      </c>
      <c r="I54" s="22" t="s">
        <v>8</v>
      </c>
      <c r="J54" s="22" t="s">
        <v>8</v>
      </c>
      <c r="K54" s="22" t="s">
        <v>8</v>
      </c>
      <c r="L54" s="22" t="s">
        <v>8</v>
      </c>
      <c r="M54" s="22" t="s">
        <v>8</v>
      </c>
      <c r="N54" s="22" t="s">
        <v>8</v>
      </c>
      <c r="O54" s="22" t="s">
        <v>8</v>
      </c>
      <c r="P54" s="22" t="s">
        <v>8</v>
      </c>
      <c r="Q54" s="22" t="s">
        <v>8</v>
      </c>
      <c r="R54" s="22" t="s">
        <v>8</v>
      </c>
      <c r="S54" s="22" t="s">
        <v>8</v>
      </c>
      <c r="T54" s="5">
        <v>6</v>
      </c>
      <c r="U54" s="5">
        <v>18</v>
      </c>
      <c r="V54" s="20" t="s">
        <v>1</v>
      </c>
      <c r="W54" s="20">
        <v>5</v>
      </c>
      <c r="X54" s="20">
        <v>1</v>
      </c>
      <c r="Y54" s="5">
        <v>1</v>
      </c>
      <c r="Z54" s="20">
        <v>4</v>
      </c>
      <c r="AA54" s="23">
        <f t="shared" si="0"/>
        <v>3</v>
      </c>
      <c r="AB54" s="15" t="s">
        <v>8</v>
      </c>
      <c r="AC54" s="15" t="s">
        <v>8</v>
      </c>
      <c r="AD54" s="15" t="s">
        <v>8</v>
      </c>
      <c r="AE54" s="15" t="s">
        <v>8</v>
      </c>
      <c r="AF54" s="20" t="s">
        <v>8</v>
      </c>
      <c r="AG54" s="20" t="s">
        <v>8</v>
      </c>
      <c r="AH54" s="24" t="s">
        <v>8</v>
      </c>
      <c r="AI54" s="23">
        <f t="shared" si="1"/>
        <v>1</v>
      </c>
      <c r="AJ54" s="17">
        <v>6.5</v>
      </c>
      <c r="AK54" s="17">
        <v>11.75</v>
      </c>
      <c r="AL54" s="14">
        <v>18.25</v>
      </c>
      <c r="AM54" s="23" cm="1">
        <f t="array" ref="AM54">IF(OR(AN54:AZ54=""),"BLANK",IF(AND(AN54:AZ54&lt;9999999),1,IF(AND(AN54:AZ54="NA"),3,2)))</f>
        <v>1</v>
      </c>
      <c r="AN54" s="5">
        <v>6</v>
      </c>
      <c r="AO54" s="5">
        <v>2</v>
      </c>
      <c r="AP54" s="10">
        <v>3</v>
      </c>
      <c r="AQ54" s="10">
        <v>5.75</v>
      </c>
      <c r="AR54" s="10">
        <v>7.75</v>
      </c>
      <c r="AS54" s="11">
        <v>0</v>
      </c>
      <c r="AT54" s="11">
        <v>8846</v>
      </c>
      <c r="AU54" s="11">
        <v>6613</v>
      </c>
      <c r="AV54" s="11">
        <v>17908.25</v>
      </c>
      <c r="AW54" s="11">
        <v>0</v>
      </c>
      <c r="AX54" s="11">
        <v>0</v>
      </c>
      <c r="AY54" s="11">
        <v>6494.6180555556002</v>
      </c>
      <c r="AZ54" s="11">
        <v>2581.7996031746002</v>
      </c>
      <c r="BA54" s="23">
        <v>3</v>
      </c>
      <c r="BB54" s="24" t="s">
        <v>8</v>
      </c>
    </row>
    <row r="55" spans="1:54" x14ac:dyDescent="0.2">
      <c r="A55" s="5">
        <v>299</v>
      </c>
      <c r="B55" s="20" t="s">
        <v>74</v>
      </c>
      <c r="C55" s="18" t="s">
        <v>54</v>
      </c>
      <c r="D55" s="18">
        <v>5</v>
      </c>
      <c r="E55" s="18">
        <v>0</v>
      </c>
      <c r="F55" s="20">
        <v>4</v>
      </c>
      <c r="G55" s="18">
        <v>29</v>
      </c>
      <c r="H55" s="22" t="s">
        <v>8</v>
      </c>
      <c r="I55" s="22" t="s">
        <v>8</v>
      </c>
      <c r="J55" s="22" t="s">
        <v>8</v>
      </c>
      <c r="K55" s="22" t="s">
        <v>8</v>
      </c>
      <c r="L55" s="22" t="s">
        <v>8</v>
      </c>
      <c r="M55" s="22" t="s">
        <v>8</v>
      </c>
      <c r="N55" s="22" t="s">
        <v>8</v>
      </c>
      <c r="O55" s="22" t="s">
        <v>8</v>
      </c>
      <c r="P55" s="22" t="s">
        <v>8</v>
      </c>
      <c r="Q55" s="22" t="s">
        <v>8</v>
      </c>
      <c r="R55" s="22" t="s">
        <v>8</v>
      </c>
      <c r="S55" s="22" t="s">
        <v>8</v>
      </c>
      <c r="T55" s="5">
        <v>3</v>
      </c>
      <c r="U55" s="5">
        <v>14</v>
      </c>
      <c r="V55" s="20" t="s">
        <v>1</v>
      </c>
      <c r="W55" s="20">
        <v>5</v>
      </c>
      <c r="X55" s="20">
        <v>1</v>
      </c>
      <c r="Y55" s="5">
        <v>1</v>
      </c>
      <c r="Z55" s="20">
        <v>4</v>
      </c>
      <c r="AA55" s="23">
        <f t="shared" si="0"/>
        <v>2</v>
      </c>
      <c r="AB55" s="15">
        <v>1</v>
      </c>
      <c r="AC55" s="15">
        <v>0.875</v>
      </c>
      <c r="AD55" s="15">
        <v>0.75</v>
      </c>
      <c r="AE55" s="15">
        <v>0.875</v>
      </c>
      <c r="AF55" s="20">
        <v>21</v>
      </c>
      <c r="AG55" s="20" t="s">
        <v>8</v>
      </c>
      <c r="AH55" s="24">
        <v>24</v>
      </c>
      <c r="AI55" s="23">
        <f t="shared" si="1"/>
        <v>1</v>
      </c>
      <c r="AJ55" s="17">
        <v>10</v>
      </c>
      <c r="AK55" s="17">
        <v>5.5</v>
      </c>
      <c r="AL55" s="14">
        <v>15.5</v>
      </c>
      <c r="AM55" s="23" cm="1">
        <f t="array" ref="AM55">IF(OR(AN55:AZ55=""),"BLANK",IF(AND(AN55:AZ55&lt;9999999),1,IF(AND(AN55:AZ55="NA"),3,2)))</f>
        <v>1</v>
      </c>
      <c r="AN55" s="5">
        <v>6</v>
      </c>
      <c r="AO55" s="5">
        <v>2</v>
      </c>
      <c r="AP55" s="10">
        <v>3</v>
      </c>
      <c r="AQ55" s="10">
        <v>6</v>
      </c>
      <c r="AR55" s="10">
        <v>8.25</v>
      </c>
      <c r="AS55" s="11">
        <v>420</v>
      </c>
      <c r="AT55" s="11">
        <v>1499.5</v>
      </c>
      <c r="AU55" s="11">
        <v>756.75</v>
      </c>
      <c r="AV55" s="11">
        <v>3014.5</v>
      </c>
      <c r="AW55" s="11">
        <v>0</v>
      </c>
      <c r="AX55" s="11">
        <v>0</v>
      </c>
      <c r="AY55" s="11">
        <v>2499.9597222222001</v>
      </c>
      <c r="AZ55" s="11">
        <v>1751.14375</v>
      </c>
      <c r="BA55" s="23">
        <v>3</v>
      </c>
      <c r="BB55" s="24" t="s">
        <v>8</v>
      </c>
    </row>
    <row r="56" spans="1:54" x14ac:dyDescent="0.2">
      <c r="A56" s="5">
        <v>311</v>
      </c>
      <c r="B56" s="20" t="s">
        <v>82</v>
      </c>
      <c r="C56" s="18" t="s">
        <v>54</v>
      </c>
      <c r="D56" s="18">
        <v>5</v>
      </c>
      <c r="E56" s="18">
        <v>0</v>
      </c>
      <c r="F56" s="20">
        <v>3.7269999999999999</v>
      </c>
      <c r="G56" s="18">
        <v>29</v>
      </c>
      <c r="H56" s="22">
        <v>4.0821355236139629</v>
      </c>
      <c r="I56" s="22" t="s">
        <v>8</v>
      </c>
      <c r="J56" s="22" t="s">
        <v>8</v>
      </c>
      <c r="K56" s="22">
        <v>4.0985626283367553</v>
      </c>
      <c r="L56" s="22" t="s">
        <v>8</v>
      </c>
      <c r="M56" s="22" t="s">
        <v>8</v>
      </c>
      <c r="N56" s="22">
        <v>4.0492813141683781</v>
      </c>
      <c r="O56" s="22" t="s">
        <v>8</v>
      </c>
      <c r="P56" s="22" t="s">
        <v>8</v>
      </c>
      <c r="Q56" s="22">
        <v>3.2607802874743328</v>
      </c>
      <c r="R56" s="22" t="s">
        <v>8</v>
      </c>
      <c r="S56" s="22" t="s">
        <v>8</v>
      </c>
      <c r="T56" s="5">
        <v>3</v>
      </c>
      <c r="U56" s="5">
        <v>15</v>
      </c>
      <c r="V56" s="20" t="s">
        <v>1</v>
      </c>
      <c r="W56" s="20">
        <v>5</v>
      </c>
      <c r="X56" s="20">
        <v>1</v>
      </c>
      <c r="Y56" s="5">
        <v>1</v>
      </c>
      <c r="Z56" s="20">
        <v>4</v>
      </c>
      <c r="AA56" s="23">
        <f t="shared" si="0"/>
        <v>2</v>
      </c>
      <c r="AB56" s="15">
        <v>0.875</v>
      </c>
      <c r="AC56" s="15">
        <v>0.625</v>
      </c>
      <c r="AD56" s="15">
        <v>0.375</v>
      </c>
      <c r="AE56" s="15">
        <v>0.625</v>
      </c>
      <c r="AF56" s="20">
        <v>15</v>
      </c>
      <c r="AG56" s="20" t="s">
        <v>8</v>
      </c>
      <c r="AH56" s="24">
        <v>24</v>
      </c>
      <c r="AI56" s="23">
        <f t="shared" si="1"/>
        <v>1</v>
      </c>
      <c r="AJ56" s="17">
        <v>5.25</v>
      </c>
      <c r="AK56" s="17">
        <v>3.5</v>
      </c>
      <c r="AL56" s="14">
        <v>8.75</v>
      </c>
      <c r="AM56" s="23" cm="1">
        <f t="array" ref="AM56">IF(OR(AN56:AZ56=""),"BLANK",IF(AND(AN56:AZ56&lt;9999999),1,IF(AND(AN56:AZ56="NA"),3,2)))</f>
        <v>1</v>
      </c>
      <c r="AN56" s="5">
        <v>6</v>
      </c>
      <c r="AO56" s="5">
        <v>2</v>
      </c>
      <c r="AP56" s="10">
        <v>3.5</v>
      </c>
      <c r="AQ56" s="10">
        <v>7</v>
      </c>
      <c r="AR56" s="10">
        <v>8.25</v>
      </c>
      <c r="AS56" s="11">
        <v>534</v>
      </c>
      <c r="AT56" s="11">
        <v>2515.5</v>
      </c>
      <c r="AU56" s="11">
        <v>3571.5</v>
      </c>
      <c r="AV56" s="11">
        <v>6315.25</v>
      </c>
      <c r="AW56" s="11">
        <v>161.75</v>
      </c>
      <c r="AX56" s="11">
        <v>0</v>
      </c>
      <c r="AY56" s="11">
        <v>1790.6041666666999</v>
      </c>
      <c r="AZ56" s="11">
        <v>0</v>
      </c>
      <c r="BA56" s="23">
        <v>3</v>
      </c>
      <c r="BB56" s="24" t="s">
        <v>8</v>
      </c>
    </row>
    <row r="57" spans="1:54" x14ac:dyDescent="0.2">
      <c r="A57" s="5">
        <v>318</v>
      </c>
      <c r="B57" s="20" t="s">
        <v>80</v>
      </c>
      <c r="C57" s="18" t="s">
        <v>54</v>
      </c>
      <c r="D57" s="18">
        <v>5</v>
      </c>
      <c r="E57" s="18">
        <v>0</v>
      </c>
      <c r="F57" s="20">
        <v>4</v>
      </c>
      <c r="G57" s="18">
        <v>28</v>
      </c>
      <c r="H57" s="22">
        <v>4.1177275838466807</v>
      </c>
      <c r="I57" s="22" t="s">
        <v>8</v>
      </c>
      <c r="J57" s="22" t="s">
        <v>8</v>
      </c>
      <c r="K57" s="22" t="s">
        <v>8</v>
      </c>
      <c r="L57" s="22" t="s">
        <v>8</v>
      </c>
      <c r="M57" s="22" t="s">
        <v>8</v>
      </c>
      <c r="N57" s="22" t="s">
        <v>8</v>
      </c>
      <c r="O57" s="22" t="s">
        <v>8</v>
      </c>
      <c r="P57" s="22" t="s">
        <v>8</v>
      </c>
      <c r="Q57" s="22" t="s">
        <v>8</v>
      </c>
      <c r="R57" s="22" t="s">
        <v>8</v>
      </c>
      <c r="S57" s="22" t="s">
        <v>8</v>
      </c>
      <c r="T57" s="5">
        <v>3</v>
      </c>
      <c r="U57" s="5">
        <v>14</v>
      </c>
      <c r="V57" s="20" t="s">
        <v>1</v>
      </c>
      <c r="W57" s="20">
        <v>5</v>
      </c>
      <c r="X57" s="20">
        <v>1</v>
      </c>
      <c r="Y57" s="5">
        <v>1</v>
      </c>
      <c r="Z57" s="20">
        <v>4</v>
      </c>
      <c r="AA57" s="23">
        <f t="shared" si="0"/>
        <v>2</v>
      </c>
      <c r="AB57" s="15">
        <v>1</v>
      </c>
      <c r="AC57" s="15">
        <v>0.5</v>
      </c>
      <c r="AD57" s="15">
        <v>0.625</v>
      </c>
      <c r="AE57" s="15">
        <v>0.70799999999999996</v>
      </c>
      <c r="AF57" s="20">
        <v>17</v>
      </c>
      <c r="AG57" s="20" t="s">
        <v>8</v>
      </c>
      <c r="AH57" s="24">
        <v>24</v>
      </c>
      <c r="AI57" s="23">
        <f t="shared" si="1"/>
        <v>1</v>
      </c>
      <c r="AJ57" s="17">
        <v>11.5</v>
      </c>
      <c r="AK57" s="17">
        <v>11.75</v>
      </c>
      <c r="AL57" s="14">
        <v>23.25</v>
      </c>
      <c r="AM57" s="23" cm="1">
        <f t="array" ref="AM57">IF(OR(AN57:AZ57=""),"BLANK",IF(AND(AN57:AZ57&lt;9999999),1,IF(AND(AN57:AZ57="NA"),3,2)))</f>
        <v>1</v>
      </c>
      <c r="AN57" s="5">
        <v>9</v>
      </c>
      <c r="AO57" s="5">
        <v>2</v>
      </c>
      <c r="AP57" s="10">
        <v>3</v>
      </c>
      <c r="AQ57" s="10">
        <v>5.5</v>
      </c>
      <c r="AR57" s="10">
        <v>6.75</v>
      </c>
      <c r="AS57" s="11">
        <v>0</v>
      </c>
      <c r="AT57" s="11">
        <v>7475.5</v>
      </c>
      <c r="AU57" s="11">
        <v>9607.25</v>
      </c>
      <c r="AV57" s="11">
        <v>19638.25</v>
      </c>
      <c r="AW57" s="11">
        <v>275.75</v>
      </c>
      <c r="AX57" s="11">
        <v>0</v>
      </c>
      <c r="AY57" s="11">
        <v>2897.7236111111001</v>
      </c>
      <c r="AZ57" s="11">
        <v>8131.3458333333001</v>
      </c>
      <c r="BA57" s="23">
        <v>3</v>
      </c>
      <c r="BB57" s="24" t="s">
        <v>8</v>
      </c>
    </row>
    <row r="58" spans="1:54" x14ac:dyDescent="0.2">
      <c r="A58" s="5">
        <v>324</v>
      </c>
      <c r="B58" s="20" t="s">
        <v>65</v>
      </c>
      <c r="C58" s="18" t="s">
        <v>54</v>
      </c>
      <c r="D58" s="18">
        <v>5</v>
      </c>
      <c r="E58" s="18">
        <v>0</v>
      </c>
      <c r="F58" s="20">
        <v>3.2730000000000001</v>
      </c>
      <c r="G58" s="18">
        <v>29</v>
      </c>
      <c r="H58" s="22">
        <v>4.5256673511293632</v>
      </c>
      <c r="I58" s="22" t="s">
        <v>8</v>
      </c>
      <c r="J58" s="22" t="s">
        <v>8</v>
      </c>
      <c r="K58" s="22">
        <v>4.5256673511293632</v>
      </c>
      <c r="L58" s="22" t="s">
        <v>8</v>
      </c>
      <c r="M58" s="22" t="s">
        <v>8</v>
      </c>
      <c r="N58" s="22">
        <v>4.4134154688569476</v>
      </c>
      <c r="O58" s="22" t="s">
        <v>8</v>
      </c>
      <c r="P58" s="22" t="s">
        <v>8</v>
      </c>
      <c r="Q58" s="22">
        <v>3.0143737166324436</v>
      </c>
      <c r="R58" s="22" t="s">
        <v>8</v>
      </c>
      <c r="S58" s="22" t="s">
        <v>8</v>
      </c>
      <c r="T58" s="5">
        <v>4</v>
      </c>
      <c r="U58" s="5">
        <v>16</v>
      </c>
      <c r="V58" s="20" t="s">
        <v>1</v>
      </c>
      <c r="W58" s="20">
        <v>5</v>
      </c>
      <c r="X58" s="20">
        <v>1</v>
      </c>
      <c r="Y58" s="5">
        <v>1</v>
      </c>
      <c r="Z58" s="20">
        <v>4</v>
      </c>
      <c r="AA58" s="23">
        <f t="shared" si="0"/>
        <v>2</v>
      </c>
      <c r="AB58" s="15">
        <v>1</v>
      </c>
      <c r="AC58" s="15">
        <v>1</v>
      </c>
      <c r="AD58" s="15">
        <v>0.875</v>
      </c>
      <c r="AE58" s="15">
        <v>0.95799999999999996</v>
      </c>
      <c r="AF58" s="20">
        <v>23</v>
      </c>
      <c r="AG58" s="20" t="s">
        <v>8</v>
      </c>
      <c r="AH58" s="24">
        <v>24</v>
      </c>
      <c r="AI58" s="23">
        <f t="shared" si="1"/>
        <v>1</v>
      </c>
      <c r="AJ58" s="17">
        <v>11</v>
      </c>
      <c r="AK58" s="17">
        <v>11.75</v>
      </c>
      <c r="AL58" s="14">
        <v>22.75</v>
      </c>
      <c r="AM58" s="23" cm="1">
        <f t="array" ref="AM58">IF(OR(AN58:AZ58=""),"BLANK",IF(AND(AN58:AZ58&lt;9999999),1,IF(AND(AN58:AZ58="NA"),3,2)))</f>
        <v>1</v>
      </c>
      <c r="AN58" s="5">
        <v>12</v>
      </c>
      <c r="AO58" s="5">
        <v>2</v>
      </c>
      <c r="AP58" s="10">
        <v>3</v>
      </c>
      <c r="AQ58" s="10">
        <v>4</v>
      </c>
      <c r="AR58" s="10">
        <v>5</v>
      </c>
      <c r="AS58" s="11">
        <v>2386.5</v>
      </c>
      <c r="AT58" s="11">
        <v>2608.5</v>
      </c>
      <c r="AU58" s="11">
        <v>4419.25</v>
      </c>
      <c r="AV58" s="11">
        <v>5462.5</v>
      </c>
      <c r="AW58" s="11">
        <v>0</v>
      </c>
      <c r="AX58" s="11">
        <v>0</v>
      </c>
      <c r="AY58" s="11">
        <v>0</v>
      </c>
      <c r="AZ58" s="11">
        <v>0</v>
      </c>
      <c r="BA58" s="23">
        <v>3</v>
      </c>
      <c r="BB58" s="24" t="s">
        <v>8</v>
      </c>
    </row>
    <row r="59" spans="1:54" x14ac:dyDescent="0.2">
      <c r="A59" s="5">
        <v>326</v>
      </c>
      <c r="B59" s="20" t="s">
        <v>70</v>
      </c>
      <c r="C59" s="18" t="s">
        <v>54</v>
      </c>
      <c r="D59" s="18">
        <v>5</v>
      </c>
      <c r="E59" s="18">
        <v>0</v>
      </c>
      <c r="F59" s="20">
        <v>4</v>
      </c>
      <c r="G59" s="18">
        <v>29</v>
      </c>
      <c r="H59" s="22">
        <v>4.4079397672826834</v>
      </c>
      <c r="I59" s="22">
        <v>5.7084188911704308</v>
      </c>
      <c r="J59" s="22">
        <v>10.116358658453114</v>
      </c>
      <c r="K59" s="22">
        <v>4.4079397672826834</v>
      </c>
      <c r="L59" s="22">
        <v>5.7084188911704308</v>
      </c>
      <c r="M59" s="22">
        <v>10.116358658453114</v>
      </c>
      <c r="N59" s="22">
        <v>4.4052019164955514</v>
      </c>
      <c r="O59" s="22">
        <v>5.5003422313483918</v>
      </c>
      <c r="P59" s="22">
        <v>9.9055441478439423</v>
      </c>
      <c r="Q59" s="22">
        <v>3.3483915126625599</v>
      </c>
      <c r="R59" s="22">
        <v>6.3189596167008899</v>
      </c>
      <c r="S59" s="22">
        <v>9.6673511293634498</v>
      </c>
      <c r="T59" s="5">
        <v>3</v>
      </c>
      <c r="U59" s="5">
        <v>14</v>
      </c>
      <c r="V59" s="20" t="s">
        <v>1</v>
      </c>
      <c r="W59" s="20">
        <v>5</v>
      </c>
      <c r="X59" s="20">
        <v>1</v>
      </c>
      <c r="Y59" s="5">
        <v>1</v>
      </c>
      <c r="Z59" s="20">
        <v>4</v>
      </c>
      <c r="AA59" s="23">
        <f t="shared" si="0"/>
        <v>2</v>
      </c>
      <c r="AB59" s="15">
        <v>1</v>
      </c>
      <c r="AC59" s="15">
        <v>1</v>
      </c>
      <c r="AD59" s="15">
        <v>0.75</v>
      </c>
      <c r="AE59" s="15">
        <v>0.91700000000000004</v>
      </c>
      <c r="AF59" s="20">
        <v>22</v>
      </c>
      <c r="AG59" s="20" t="s">
        <v>8</v>
      </c>
      <c r="AH59" s="24">
        <v>24</v>
      </c>
      <c r="AI59" s="23">
        <f t="shared" si="1"/>
        <v>1</v>
      </c>
      <c r="AJ59" s="17">
        <v>7.75</v>
      </c>
      <c r="AK59" s="17">
        <v>7.75</v>
      </c>
      <c r="AL59" s="14">
        <v>15.5</v>
      </c>
      <c r="AM59" s="23" cm="1">
        <f t="array" ref="AM59">IF(OR(AN59:AZ59=""),"BLANK",IF(AND(AN59:AZ59&lt;9999999),1,IF(AND(AN59:AZ59="NA"),3,2)))</f>
        <v>1</v>
      </c>
      <c r="AN59" s="5">
        <v>9</v>
      </c>
      <c r="AO59" s="5">
        <v>2</v>
      </c>
      <c r="AP59" s="10">
        <v>3</v>
      </c>
      <c r="AQ59" s="10">
        <v>5.25</v>
      </c>
      <c r="AR59" s="10">
        <v>7.75</v>
      </c>
      <c r="AS59" s="11">
        <v>2318.5</v>
      </c>
      <c r="AT59" s="11">
        <v>2558</v>
      </c>
      <c r="AU59" s="11">
        <v>3691.5</v>
      </c>
      <c r="AV59" s="11">
        <v>3891</v>
      </c>
      <c r="AW59" s="11">
        <v>0</v>
      </c>
      <c r="AX59" s="11">
        <v>0</v>
      </c>
      <c r="AY59" s="11">
        <v>56.395833333299997</v>
      </c>
      <c r="AZ59" s="11">
        <v>237.0625</v>
      </c>
      <c r="BA59" s="23">
        <v>3</v>
      </c>
      <c r="BB59" s="24" t="s">
        <v>8</v>
      </c>
    </row>
    <row r="60" spans="1:54" x14ac:dyDescent="0.2">
      <c r="A60" s="5">
        <v>327</v>
      </c>
      <c r="B60" s="20" t="s">
        <v>73</v>
      </c>
      <c r="C60" s="18" t="s">
        <v>54</v>
      </c>
      <c r="D60" s="18">
        <v>5</v>
      </c>
      <c r="E60" s="18">
        <v>0</v>
      </c>
      <c r="F60" s="20">
        <v>3.7269999999999999</v>
      </c>
      <c r="G60" s="18">
        <v>28</v>
      </c>
      <c r="H60" s="22">
        <v>4.1505817932922655</v>
      </c>
      <c r="I60" s="22">
        <v>5.6344969199178641</v>
      </c>
      <c r="J60" s="22">
        <v>9.7850787132101296</v>
      </c>
      <c r="K60" s="22">
        <v>4.1505817932922655</v>
      </c>
      <c r="L60" s="22" t="s">
        <v>8</v>
      </c>
      <c r="M60" s="22" t="s">
        <v>8</v>
      </c>
      <c r="N60" s="22">
        <v>4.1451060917180014</v>
      </c>
      <c r="O60" s="22">
        <v>5.5961670088980151</v>
      </c>
      <c r="P60" s="22">
        <v>9.7412731006160165</v>
      </c>
      <c r="Q60" s="22" t="s">
        <v>8</v>
      </c>
      <c r="R60" s="22" t="s">
        <v>8</v>
      </c>
      <c r="S60" s="22" t="s">
        <v>8</v>
      </c>
      <c r="T60" s="5">
        <v>4</v>
      </c>
      <c r="U60" s="5">
        <v>16</v>
      </c>
      <c r="V60" s="20" t="s">
        <v>1</v>
      </c>
      <c r="W60" s="20">
        <v>5</v>
      </c>
      <c r="X60" s="20">
        <v>1</v>
      </c>
      <c r="Y60" s="5">
        <v>1</v>
      </c>
      <c r="Z60" s="20">
        <v>4</v>
      </c>
      <c r="AA60" s="23">
        <f t="shared" si="0"/>
        <v>2</v>
      </c>
      <c r="AB60" s="15">
        <v>1</v>
      </c>
      <c r="AC60" s="15">
        <v>1</v>
      </c>
      <c r="AD60" s="15">
        <v>0.75</v>
      </c>
      <c r="AE60" s="15">
        <v>0.91700000000000004</v>
      </c>
      <c r="AF60" s="20">
        <v>22</v>
      </c>
      <c r="AG60" s="20" t="s">
        <v>8</v>
      </c>
      <c r="AH60" s="24">
        <v>24</v>
      </c>
      <c r="AI60" s="23">
        <f t="shared" si="1"/>
        <v>1</v>
      </c>
      <c r="AJ60" s="17">
        <v>12.75</v>
      </c>
      <c r="AK60" s="17">
        <v>12</v>
      </c>
      <c r="AL60" s="14">
        <v>24.75</v>
      </c>
      <c r="AM60" s="23" cm="1">
        <f t="array" ref="AM60">IF(OR(AN60:AZ60=""),"BLANK",IF(AND(AN60:AZ60&lt;9999999),1,IF(AND(AN60:AZ60="NA"),3,2)))</f>
        <v>1</v>
      </c>
      <c r="AN60" s="5">
        <v>8</v>
      </c>
      <c r="AO60" s="5">
        <v>2</v>
      </c>
      <c r="AP60" s="10">
        <v>3</v>
      </c>
      <c r="AQ60" s="10">
        <v>5.5</v>
      </c>
      <c r="AR60" s="10">
        <v>6.25</v>
      </c>
      <c r="AS60" s="11">
        <v>384.5</v>
      </c>
      <c r="AT60" s="11">
        <v>1793</v>
      </c>
      <c r="AU60" s="11">
        <v>3534.75</v>
      </c>
      <c r="AV60" s="11">
        <v>8110.75</v>
      </c>
      <c r="AW60" s="11">
        <v>0</v>
      </c>
      <c r="AX60" s="11">
        <v>0</v>
      </c>
      <c r="AY60" s="11">
        <v>785.72916666670005</v>
      </c>
      <c r="AZ60" s="11">
        <v>1734.4527777778001</v>
      </c>
      <c r="BA60" s="23">
        <v>3</v>
      </c>
      <c r="BB60" s="24" t="s">
        <v>8</v>
      </c>
    </row>
    <row r="61" spans="1:54" x14ac:dyDescent="0.2">
      <c r="A61" s="5">
        <v>335</v>
      </c>
      <c r="B61" s="20" t="s">
        <v>75</v>
      </c>
      <c r="C61" s="18" t="s">
        <v>54</v>
      </c>
      <c r="D61" s="18">
        <v>5</v>
      </c>
      <c r="E61" s="18">
        <v>0</v>
      </c>
      <c r="F61" s="20">
        <v>3.9089999999999998</v>
      </c>
      <c r="G61" s="18">
        <v>29</v>
      </c>
      <c r="H61" s="22">
        <v>4.3969883641341543</v>
      </c>
      <c r="I61" s="22">
        <v>5.2950034223134841</v>
      </c>
      <c r="J61" s="22">
        <v>9.6919917864476393</v>
      </c>
      <c r="K61" s="22">
        <v>4.4380561259411362</v>
      </c>
      <c r="L61" s="22">
        <v>5.2539356605065022</v>
      </c>
      <c r="M61" s="22">
        <v>9.6919917864476393</v>
      </c>
      <c r="N61" s="22">
        <v>4.3641341546885695</v>
      </c>
      <c r="O61" s="22">
        <v>5.2867898699520879</v>
      </c>
      <c r="P61" s="22">
        <v>9.6509240246406574</v>
      </c>
      <c r="Q61" s="22">
        <v>3.0198494182067077</v>
      </c>
      <c r="R61" s="22" t="s">
        <v>8</v>
      </c>
      <c r="S61" s="22" t="s">
        <v>8</v>
      </c>
      <c r="T61" s="5">
        <v>4</v>
      </c>
      <c r="U61" s="5">
        <v>16</v>
      </c>
      <c r="V61" s="20" t="s">
        <v>1</v>
      </c>
      <c r="W61" s="20">
        <v>5</v>
      </c>
      <c r="X61" s="20">
        <v>1</v>
      </c>
      <c r="Y61" s="5">
        <v>1</v>
      </c>
      <c r="Z61" s="20">
        <v>4</v>
      </c>
      <c r="AA61" s="23">
        <f t="shared" si="0"/>
        <v>2</v>
      </c>
      <c r="AB61" s="15">
        <v>1</v>
      </c>
      <c r="AC61" s="15">
        <v>0.875</v>
      </c>
      <c r="AD61" s="15">
        <v>0.75</v>
      </c>
      <c r="AE61" s="15">
        <v>0.875</v>
      </c>
      <c r="AF61" s="20">
        <v>21</v>
      </c>
      <c r="AG61" s="20" t="s">
        <v>8</v>
      </c>
      <c r="AH61" s="24">
        <v>24</v>
      </c>
      <c r="AI61" s="23">
        <f t="shared" si="1"/>
        <v>1</v>
      </c>
      <c r="AJ61" s="17">
        <v>9.75</v>
      </c>
      <c r="AK61" s="17">
        <v>10</v>
      </c>
      <c r="AL61" s="14">
        <v>19.75</v>
      </c>
      <c r="AM61" s="23" cm="1">
        <f t="array" ref="AM61">IF(OR(AN61:AZ61=""),"BLANK",IF(AND(AN61:AZ61&lt;9999999),1,IF(AND(AN61:AZ61="NA"),3,2)))</f>
        <v>1</v>
      </c>
      <c r="AN61" s="5">
        <v>9</v>
      </c>
      <c r="AO61" s="5">
        <v>2</v>
      </c>
      <c r="AP61" s="10">
        <v>4</v>
      </c>
      <c r="AQ61" s="10">
        <v>5</v>
      </c>
      <c r="AR61" s="10">
        <v>6.75</v>
      </c>
      <c r="AS61" s="11">
        <v>1855.5</v>
      </c>
      <c r="AT61" s="11">
        <v>4304.5</v>
      </c>
      <c r="AU61" s="11">
        <v>7034.5</v>
      </c>
      <c r="AV61" s="11">
        <v>5831.75</v>
      </c>
      <c r="AW61" s="11">
        <v>0</v>
      </c>
      <c r="AX61" s="11">
        <v>883.06666666670003</v>
      </c>
      <c r="AY61" s="11">
        <v>361.84375</v>
      </c>
      <c r="AZ61" s="11">
        <v>0</v>
      </c>
      <c r="BA61" s="23">
        <v>3</v>
      </c>
      <c r="BB61" s="24" t="s">
        <v>8</v>
      </c>
    </row>
    <row r="62" spans="1:54" x14ac:dyDescent="0.2">
      <c r="A62" s="5">
        <v>341</v>
      </c>
      <c r="B62" s="20" t="s">
        <v>74</v>
      </c>
      <c r="C62" s="18" t="s">
        <v>55</v>
      </c>
      <c r="D62" s="18">
        <v>5</v>
      </c>
      <c r="E62" s="18">
        <v>0</v>
      </c>
      <c r="F62" s="20">
        <v>4</v>
      </c>
      <c r="G62" s="18">
        <v>29</v>
      </c>
      <c r="H62" s="22">
        <v>4.1642710472279258</v>
      </c>
      <c r="I62" s="22">
        <v>5.5167693360711842</v>
      </c>
      <c r="J62" s="22">
        <v>9.681040383299111</v>
      </c>
      <c r="K62" s="22">
        <v>4.1587953456536617</v>
      </c>
      <c r="L62" s="22">
        <v>5.5167693360711842</v>
      </c>
      <c r="M62" s="22">
        <v>9.6755646817248468</v>
      </c>
      <c r="N62" s="22">
        <v>4.1806981519507183</v>
      </c>
      <c r="O62" s="22">
        <v>5.4592744695414099</v>
      </c>
      <c r="P62" s="22">
        <v>9.6399726214921291</v>
      </c>
      <c r="Q62" s="22">
        <v>3.2169746748802188</v>
      </c>
      <c r="R62" s="22">
        <v>6.3436002737850785</v>
      </c>
      <c r="S62" s="22">
        <v>9.5605749486652982</v>
      </c>
      <c r="T62" s="5">
        <v>3</v>
      </c>
      <c r="U62" s="5">
        <v>14</v>
      </c>
      <c r="V62" s="20" t="s">
        <v>1</v>
      </c>
      <c r="W62" s="20">
        <v>5</v>
      </c>
      <c r="X62" s="20">
        <v>1</v>
      </c>
      <c r="Y62" s="5">
        <v>1</v>
      </c>
      <c r="Z62" s="20">
        <v>4</v>
      </c>
      <c r="AA62" s="23">
        <f t="shared" si="0"/>
        <v>2</v>
      </c>
      <c r="AB62" s="15">
        <v>1</v>
      </c>
      <c r="AC62" s="15">
        <v>1</v>
      </c>
      <c r="AD62" s="15">
        <v>0.5</v>
      </c>
      <c r="AE62" s="15">
        <v>0.83299999999999996</v>
      </c>
      <c r="AF62" s="20">
        <v>20</v>
      </c>
      <c r="AG62" s="20" t="s">
        <v>8</v>
      </c>
      <c r="AH62" s="24">
        <v>24</v>
      </c>
      <c r="AI62" s="23">
        <f t="shared" si="1"/>
        <v>1</v>
      </c>
      <c r="AJ62" s="17">
        <v>9</v>
      </c>
      <c r="AK62" s="17">
        <v>4</v>
      </c>
      <c r="AL62" s="14">
        <v>13</v>
      </c>
      <c r="AM62" s="23" cm="1">
        <f t="array" ref="AM62">IF(OR(AN62:AZ62=""),"BLANK",IF(AND(AN62:AZ62&lt;9999999),1,IF(AND(AN62:AZ62="NA"),3,2)))</f>
        <v>1</v>
      </c>
      <c r="AN62" s="5">
        <v>11</v>
      </c>
      <c r="AO62" s="5">
        <v>2</v>
      </c>
      <c r="AP62" s="10">
        <v>3</v>
      </c>
      <c r="AQ62" s="10">
        <v>4</v>
      </c>
      <c r="AR62" s="10">
        <v>6.75</v>
      </c>
      <c r="AS62" s="11">
        <v>3194.5</v>
      </c>
      <c r="AT62" s="11">
        <v>9957.5</v>
      </c>
      <c r="AU62" s="11">
        <v>14756</v>
      </c>
      <c r="AV62" s="11">
        <v>18377.75</v>
      </c>
      <c r="AW62" s="11">
        <v>0</v>
      </c>
      <c r="AX62" s="11">
        <v>0</v>
      </c>
      <c r="AY62" s="11">
        <v>0</v>
      </c>
      <c r="AZ62" s="11">
        <v>2727.2750000000001</v>
      </c>
      <c r="BA62" s="23">
        <v>3</v>
      </c>
      <c r="BB62" s="24" t="s">
        <v>8</v>
      </c>
    </row>
    <row r="63" spans="1:54" x14ac:dyDescent="0.2">
      <c r="A63" s="5">
        <v>346</v>
      </c>
      <c r="B63" s="20" t="s">
        <v>64</v>
      </c>
      <c r="C63" s="18" t="s">
        <v>54</v>
      </c>
      <c r="D63" s="18">
        <v>5</v>
      </c>
      <c r="E63" s="18">
        <v>0</v>
      </c>
      <c r="F63" s="20">
        <v>3.7269999999999999</v>
      </c>
      <c r="G63" s="18">
        <v>27</v>
      </c>
      <c r="H63" s="22">
        <v>4.2518822724161529</v>
      </c>
      <c r="I63" s="22">
        <v>5.5824777549623548</v>
      </c>
      <c r="J63" s="22">
        <v>9.8343600273785086</v>
      </c>
      <c r="K63" s="22">
        <v>4.26009582477755</v>
      </c>
      <c r="L63" s="22">
        <v>5.5742642026009586</v>
      </c>
      <c r="M63" s="22">
        <v>9.8343600273785086</v>
      </c>
      <c r="N63" s="22">
        <v>4.1861738535249833</v>
      </c>
      <c r="O63" s="22">
        <v>5.2511978097193701</v>
      </c>
      <c r="P63" s="22">
        <v>9.4373716632443525</v>
      </c>
      <c r="Q63" s="22">
        <v>3.2799452429842573</v>
      </c>
      <c r="R63" s="22">
        <v>6.2067077344284733</v>
      </c>
      <c r="S63" s="22">
        <v>9.4866529774127315</v>
      </c>
      <c r="T63" s="5">
        <v>3</v>
      </c>
      <c r="U63" s="5">
        <v>14</v>
      </c>
      <c r="V63" s="20" t="s">
        <v>1</v>
      </c>
      <c r="W63" s="20">
        <v>5</v>
      </c>
      <c r="X63" s="20">
        <v>1</v>
      </c>
      <c r="Y63" s="5">
        <v>1</v>
      </c>
      <c r="Z63" s="20">
        <v>4</v>
      </c>
      <c r="AA63" s="23">
        <f t="shared" si="0"/>
        <v>2</v>
      </c>
      <c r="AB63" s="15">
        <v>1</v>
      </c>
      <c r="AC63" s="15">
        <v>1</v>
      </c>
      <c r="AD63" s="15">
        <v>0.75</v>
      </c>
      <c r="AE63" s="15">
        <v>0.91300000000000003</v>
      </c>
      <c r="AF63" s="20">
        <v>21</v>
      </c>
      <c r="AG63" s="20" t="s">
        <v>8</v>
      </c>
      <c r="AH63" s="24">
        <v>23</v>
      </c>
      <c r="AI63" s="23">
        <f t="shared" si="1"/>
        <v>1</v>
      </c>
      <c r="AJ63" s="17">
        <v>10.75</v>
      </c>
      <c r="AK63" s="17">
        <v>10.75</v>
      </c>
      <c r="AL63" s="14">
        <v>21.5</v>
      </c>
      <c r="AM63" s="23" cm="1">
        <f t="array" ref="AM63">IF(OR(AN63:AZ63=""),"BLANK",IF(AND(AN63:AZ63&lt;9999999),1,IF(AND(AN63:AZ63="NA"),3,2)))</f>
        <v>1</v>
      </c>
      <c r="AN63" s="5">
        <v>10</v>
      </c>
      <c r="AO63" s="5">
        <v>2</v>
      </c>
      <c r="AP63" s="10">
        <v>3</v>
      </c>
      <c r="AQ63" s="10">
        <v>4</v>
      </c>
      <c r="AR63" s="10">
        <v>6.75</v>
      </c>
      <c r="AS63" s="11">
        <v>899.5</v>
      </c>
      <c r="AT63" s="11">
        <v>636</v>
      </c>
      <c r="AU63" s="11">
        <v>2662.25</v>
      </c>
      <c r="AV63" s="11">
        <v>2912.5</v>
      </c>
      <c r="AW63" s="11">
        <v>0</v>
      </c>
      <c r="AX63" s="11">
        <v>0</v>
      </c>
      <c r="AY63" s="11">
        <v>0</v>
      </c>
      <c r="AZ63" s="11">
        <v>1418.2954545455</v>
      </c>
      <c r="BA63" s="23">
        <v>3</v>
      </c>
      <c r="BB63" s="24" t="s">
        <v>8</v>
      </c>
    </row>
    <row r="64" spans="1:54" x14ac:dyDescent="0.2">
      <c r="A64" s="5">
        <v>349</v>
      </c>
      <c r="B64" s="20" t="s">
        <v>82</v>
      </c>
      <c r="C64" s="18" t="s">
        <v>54</v>
      </c>
      <c r="D64" s="18">
        <v>5</v>
      </c>
      <c r="E64" s="18">
        <v>0</v>
      </c>
      <c r="F64" s="20">
        <v>3.8180000000000001</v>
      </c>
      <c r="G64" s="18">
        <v>28</v>
      </c>
      <c r="H64" s="22">
        <v>3.9698836413415468</v>
      </c>
      <c r="I64" s="22" t="s">
        <v>8</v>
      </c>
      <c r="J64" s="22" t="s">
        <v>8</v>
      </c>
      <c r="K64" s="22">
        <v>3.978097193702943</v>
      </c>
      <c r="L64" s="22" t="s">
        <v>8</v>
      </c>
      <c r="M64" s="22" t="s">
        <v>8</v>
      </c>
      <c r="N64" s="22">
        <v>3.9671457905544147</v>
      </c>
      <c r="O64" s="22" t="s">
        <v>8</v>
      </c>
      <c r="P64" s="22" t="s">
        <v>8</v>
      </c>
      <c r="Q64" s="22">
        <v>3.4661190965092401</v>
      </c>
      <c r="R64" s="22" t="s">
        <v>8</v>
      </c>
      <c r="S64" s="22" t="s">
        <v>8</v>
      </c>
      <c r="T64" s="5">
        <v>6</v>
      </c>
      <c r="U64" s="5">
        <v>18</v>
      </c>
      <c r="V64" s="20" t="s">
        <v>1</v>
      </c>
      <c r="W64" s="20">
        <v>5</v>
      </c>
      <c r="X64" s="20">
        <v>1</v>
      </c>
      <c r="Y64" s="5">
        <v>1</v>
      </c>
      <c r="Z64" s="20">
        <v>4</v>
      </c>
      <c r="AA64" s="23">
        <f t="shared" si="0"/>
        <v>2</v>
      </c>
      <c r="AB64" s="15">
        <v>0.875</v>
      </c>
      <c r="AC64" s="15">
        <v>0.875</v>
      </c>
      <c r="AD64" s="15">
        <v>0.8571428571428571</v>
      </c>
      <c r="AE64" s="15">
        <v>0.87</v>
      </c>
      <c r="AF64" s="20">
        <v>20</v>
      </c>
      <c r="AG64" s="20" t="s">
        <v>8</v>
      </c>
      <c r="AH64" s="24">
        <v>23</v>
      </c>
      <c r="AI64" s="23">
        <f t="shared" si="1"/>
        <v>1</v>
      </c>
      <c r="AJ64" s="17">
        <v>2.75</v>
      </c>
      <c r="AK64" s="17">
        <v>8.75</v>
      </c>
      <c r="AL64" s="14">
        <v>11.5</v>
      </c>
      <c r="AM64" s="23" cm="1">
        <f t="array" ref="AM64">IF(OR(AN64:AZ64=""),"BLANK",IF(AND(AN64:AZ64&lt;9999999),1,IF(AND(AN64:AZ64="NA"),3,2)))</f>
        <v>1</v>
      </c>
      <c r="AN64" s="5">
        <v>8</v>
      </c>
      <c r="AO64" s="5">
        <v>2</v>
      </c>
      <c r="AP64" s="10">
        <v>3</v>
      </c>
      <c r="AQ64" s="10">
        <v>5.25</v>
      </c>
      <c r="AR64" s="10">
        <v>7</v>
      </c>
      <c r="AS64" s="11">
        <v>3632.5</v>
      </c>
      <c r="AT64" s="11">
        <v>3854.5</v>
      </c>
      <c r="AU64" s="11">
        <v>6998.25</v>
      </c>
      <c r="AV64" s="11">
        <v>6325.75</v>
      </c>
      <c r="AW64" s="11">
        <v>0</v>
      </c>
      <c r="AX64" s="11">
        <v>0</v>
      </c>
      <c r="AY64" s="11">
        <v>2631.5069444443998</v>
      </c>
      <c r="AZ64" s="11">
        <v>2761.2619047619</v>
      </c>
      <c r="BA64" s="23">
        <v>3</v>
      </c>
      <c r="BB64" s="24" t="s">
        <v>8</v>
      </c>
    </row>
    <row r="65" spans="1:54" x14ac:dyDescent="0.2">
      <c r="A65" s="5">
        <v>360</v>
      </c>
      <c r="B65" s="20" t="s">
        <v>74</v>
      </c>
      <c r="C65" s="18" t="s">
        <v>55</v>
      </c>
      <c r="D65" s="18">
        <v>5</v>
      </c>
      <c r="E65" s="18">
        <v>0</v>
      </c>
      <c r="F65" s="20">
        <v>2.9089999999999998</v>
      </c>
      <c r="G65" s="18">
        <v>26</v>
      </c>
      <c r="H65" s="22">
        <v>3.808350444900753</v>
      </c>
      <c r="I65" s="22">
        <v>5.4099931553730318</v>
      </c>
      <c r="J65" s="22">
        <v>9.2183436002737853</v>
      </c>
      <c r="K65" s="22">
        <v>3.8329911019849416</v>
      </c>
      <c r="L65" s="22">
        <v>5.4674880219028061</v>
      </c>
      <c r="M65" s="22">
        <v>9.3004791238877473</v>
      </c>
      <c r="N65" s="22">
        <v>3.8439425051334704</v>
      </c>
      <c r="O65" s="22">
        <v>5.160848733744011</v>
      </c>
      <c r="P65" s="22">
        <v>9.0047912388774805</v>
      </c>
      <c r="Q65" s="22">
        <v>3.2936344969199181</v>
      </c>
      <c r="R65" s="22">
        <v>6.1683778234086244</v>
      </c>
      <c r="S65" s="22">
        <v>9.462012320328542</v>
      </c>
      <c r="T65" s="5">
        <v>6</v>
      </c>
      <c r="U65" s="5">
        <v>18</v>
      </c>
      <c r="V65" s="20" t="s">
        <v>1</v>
      </c>
      <c r="W65" s="20">
        <v>5</v>
      </c>
      <c r="X65" s="20">
        <v>1</v>
      </c>
      <c r="Y65" s="5">
        <v>1</v>
      </c>
      <c r="Z65" s="20">
        <v>4</v>
      </c>
      <c r="AA65" s="23">
        <f t="shared" si="0"/>
        <v>2</v>
      </c>
      <c r="AB65" s="15">
        <v>1</v>
      </c>
      <c r="AC65" s="15">
        <v>0.875</v>
      </c>
      <c r="AD65" s="15">
        <v>0.5</v>
      </c>
      <c r="AE65" s="15">
        <v>0.79200000000000004</v>
      </c>
      <c r="AF65" s="20">
        <v>19</v>
      </c>
      <c r="AG65" s="20" t="s">
        <v>8</v>
      </c>
      <c r="AH65" s="24">
        <v>24</v>
      </c>
      <c r="AI65" s="23">
        <f t="shared" si="1"/>
        <v>1</v>
      </c>
      <c r="AJ65" s="17">
        <v>12</v>
      </c>
      <c r="AK65" s="17">
        <v>8.25</v>
      </c>
      <c r="AL65" s="14">
        <v>20.25</v>
      </c>
      <c r="AM65" s="23" cm="1">
        <f t="array" ref="AM65">IF(OR(AN65:AZ65=""),"BLANK",IF(AND(AN65:AZ65&lt;9999999),1,IF(AND(AN65:AZ65="NA"),3,2)))</f>
        <v>1</v>
      </c>
      <c r="AN65" s="5">
        <v>9</v>
      </c>
      <c r="AO65" s="5">
        <v>2</v>
      </c>
      <c r="AP65" s="10">
        <v>3</v>
      </c>
      <c r="AQ65" s="10">
        <v>5.75</v>
      </c>
      <c r="AR65" s="10">
        <v>5.5</v>
      </c>
      <c r="AS65" s="11">
        <v>2599.5</v>
      </c>
      <c r="AT65" s="11">
        <v>5119.5</v>
      </c>
      <c r="AU65" s="11">
        <v>24882.75</v>
      </c>
      <c r="AV65" s="11">
        <v>20798</v>
      </c>
      <c r="AW65" s="11">
        <v>0</v>
      </c>
      <c r="AX65" s="11">
        <v>0</v>
      </c>
      <c r="AY65" s="11">
        <v>1246.1527777778001</v>
      </c>
      <c r="AZ65" s="11">
        <v>0</v>
      </c>
      <c r="BA65" s="23">
        <v>3</v>
      </c>
      <c r="BB65" s="24" t="s">
        <v>8</v>
      </c>
    </row>
    <row r="66" spans="1:54" x14ac:dyDescent="0.2">
      <c r="A66" s="5">
        <v>361</v>
      </c>
      <c r="B66" s="20" t="s">
        <v>75</v>
      </c>
      <c r="C66" s="18" t="s">
        <v>54</v>
      </c>
      <c r="D66" s="18">
        <v>5</v>
      </c>
      <c r="E66" s="18">
        <v>0</v>
      </c>
      <c r="F66" s="20">
        <v>3.6360000000000001</v>
      </c>
      <c r="G66" s="18">
        <v>27</v>
      </c>
      <c r="H66" s="22">
        <v>4.1040383299110195</v>
      </c>
      <c r="I66" s="22">
        <v>5.4948665297741277</v>
      </c>
      <c r="J66" s="22">
        <v>9.5989048596851472</v>
      </c>
      <c r="K66" s="22">
        <v>4.1040383299110195</v>
      </c>
      <c r="L66" s="22">
        <v>5.5030800821355239</v>
      </c>
      <c r="M66" s="22">
        <v>9.6071184120465443</v>
      </c>
      <c r="N66" s="22" t="s">
        <v>8</v>
      </c>
      <c r="O66" s="22" t="s">
        <v>8</v>
      </c>
      <c r="P66" s="22">
        <v>9.3716632443531829</v>
      </c>
      <c r="Q66" s="22" t="s">
        <v>8</v>
      </c>
      <c r="R66" s="22" t="s">
        <v>8</v>
      </c>
      <c r="S66" s="22">
        <v>9.6536618754277885</v>
      </c>
      <c r="T66" s="5">
        <v>3</v>
      </c>
      <c r="U66" s="5">
        <v>14</v>
      </c>
      <c r="V66" s="20" t="s">
        <v>1</v>
      </c>
      <c r="W66" s="20">
        <v>5</v>
      </c>
      <c r="X66" s="20">
        <v>1</v>
      </c>
      <c r="Y66" s="5">
        <v>1</v>
      </c>
      <c r="Z66" s="20">
        <v>4</v>
      </c>
      <c r="AA66" s="23">
        <f t="shared" si="0"/>
        <v>2</v>
      </c>
      <c r="AB66" s="15">
        <v>0.875</v>
      </c>
      <c r="AC66" s="15">
        <v>0.875</v>
      </c>
      <c r="AD66" s="15">
        <v>0.625</v>
      </c>
      <c r="AE66" s="15">
        <v>0.79200000000000004</v>
      </c>
      <c r="AF66" s="20">
        <v>19</v>
      </c>
      <c r="AG66" s="20" t="s">
        <v>8</v>
      </c>
      <c r="AH66" s="24">
        <v>24</v>
      </c>
      <c r="AI66" s="23">
        <f t="shared" si="1"/>
        <v>1</v>
      </c>
      <c r="AJ66" s="17">
        <v>-0.5</v>
      </c>
      <c r="AK66" s="17">
        <v>3.25</v>
      </c>
      <c r="AL66" s="14">
        <v>2.75</v>
      </c>
      <c r="AM66" s="23" cm="1">
        <f t="array" ref="AM66">IF(OR(AN66:AZ66=""),"BLANK",IF(AND(AN66:AZ66&lt;9999999),1,IF(AND(AN66:AZ66="NA"),3,2)))</f>
        <v>1</v>
      </c>
      <c r="AN66" s="5">
        <v>8</v>
      </c>
      <c r="AO66" s="5">
        <v>2</v>
      </c>
      <c r="AP66" s="10">
        <v>3</v>
      </c>
      <c r="AQ66" s="10">
        <v>6.5</v>
      </c>
      <c r="AR66" s="10">
        <v>7</v>
      </c>
      <c r="AS66" s="11">
        <v>1107</v>
      </c>
      <c r="AT66" s="11">
        <v>3854</v>
      </c>
      <c r="AU66" s="11">
        <v>7996.5</v>
      </c>
      <c r="AV66" s="11">
        <v>7327.75</v>
      </c>
      <c r="AW66" s="11">
        <v>0</v>
      </c>
      <c r="AX66" s="11">
        <v>0</v>
      </c>
      <c r="AY66" s="11">
        <v>5346.8472222221999</v>
      </c>
      <c r="AZ66" s="11">
        <v>1080.25</v>
      </c>
      <c r="BA66" s="23">
        <v>3</v>
      </c>
      <c r="BB66" s="24" t="s">
        <v>8</v>
      </c>
    </row>
    <row r="67" spans="1:54" x14ac:dyDescent="0.2">
      <c r="A67" s="5">
        <v>376</v>
      </c>
      <c r="B67" s="20" t="s">
        <v>64</v>
      </c>
      <c r="C67" s="18" t="s">
        <v>54</v>
      </c>
      <c r="D67" s="18">
        <v>5</v>
      </c>
      <c r="E67" s="18">
        <v>0</v>
      </c>
      <c r="F67" s="20">
        <v>4</v>
      </c>
      <c r="G67" s="18">
        <v>27</v>
      </c>
      <c r="H67" s="22">
        <v>4.4407939767282683</v>
      </c>
      <c r="I67" s="22" t="s">
        <v>8</v>
      </c>
      <c r="J67" s="22" t="s">
        <v>8</v>
      </c>
      <c r="K67" s="22">
        <v>4.4407939767282683</v>
      </c>
      <c r="L67" s="22" t="s">
        <v>8</v>
      </c>
      <c r="M67" s="22" t="s">
        <v>8</v>
      </c>
      <c r="N67" s="22">
        <v>4.4353182751540041</v>
      </c>
      <c r="O67" s="22" t="s">
        <v>8</v>
      </c>
      <c r="P67" s="22" t="s">
        <v>8</v>
      </c>
      <c r="Q67" s="22" t="s">
        <v>8</v>
      </c>
      <c r="R67" s="22" t="s">
        <v>8</v>
      </c>
      <c r="S67" s="22" t="s">
        <v>8</v>
      </c>
      <c r="T67" s="5">
        <v>2</v>
      </c>
      <c r="U67" s="5">
        <v>12</v>
      </c>
      <c r="V67" s="20" t="s">
        <v>1</v>
      </c>
      <c r="W67" s="20">
        <v>5</v>
      </c>
      <c r="X67" s="20">
        <v>1</v>
      </c>
      <c r="Y67" s="5">
        <v>1</v>
      </c>
      <c r="Z67" s="20">
        <v>4</v>
      </c>
      <c r="AA67" s="23">
        <f t="shared" ref="AA67:AA130" si="2">IF(AND(ISNUMBER(AB67), ISNUMBER(AC67),ISNUMBER(AD67), ISNUMBER(AE67), ISNUMBER(AF67),ISNUMBER(AG67), ISNUMBER(AH67)), 1, IF(AND(AB67="NA", AC67="NA", AD67="na", AE67="na", AF67="na", AG67="na", AH67="na"), 3, 2))</f>
        <v>2</v>
      </c>
      <c r="AB67" s="15">
        <v>0.875</v>
      </c>
      <c r="AC67" s="15">
        <v>0.875</v>
      </c>
      <c r="AD67" s="15">
        <v>0.5</v>
      </c>
      <c r="AE67" s="15">
        <v>0.75</v>
      </c>
      <c r="AF67" s="20">
        <v>18</v>
      </c>
      <c r="AG67" s="20" t="s">
        <v>8</v>
      </c>
      <c r="AH67" s="24">
        <v>24</v>
      </c>
      <c r="AI67" s="23">
        <f t="shared" ref="AI67:AI130" si="3">IF(AND(ISNUMBER(AJ67), ISNUMBER(AK67),ISNUMBER(AL67)), 1, IF(AND(AJ67="NA", AK67="NA", AL67="na"), 3, 2))</f>
        <v>1</v>
      </c>
      <c r="AJ67" s="17">
        <v>6</v>
      </c>
      <c r="AK67" s="17">
        <v>5.5</v>
      </c>
      <c r="AL67" s="14">
        <v>11.5</v>
      </c>
      <c r="AM67" s="23" cm="1">
        <f t="array" ref="AM67">IF(OR(AN67:AZ67=""),"BLANK",IF(AND(AN67:AZ67&lt;9999999),1,IF(AND(AN67:AZ67="NA"),3,2)))</f>
        <v>1</v>
      </c>
      <c r="AN67" s="5">
        <v>8</v>
      </c>
      <c r="AO67" s="5">
        <v>2</v>
      </c>
      <c r="AP67" s="10">
        <v>3</v>
      </c>
      <c r="AQ67" s="10">
        <v>4.75</v>
      </c>
      <c r="AR67" s="10">
        <v>7</v>
      </c>
      <c r="AS67" s="11">
        <v>819.5</v>
      </c>
      <c r="AT67" s="11">
        <v>1491.5</v>
      </c>
      <c r="AU67" s="11">
        <v>3158</v>
      </c>
      <c r="AV67" s="11">
        <v>2106.25</v>
      </c>
      <c r="AW67" s="11">
        <v>340.25</v>
      </c>
      <c r="AX67" s="11">
        <v>0</v>
      </c>
      <c r="AY67" s="11">
        <v>3857.0458333332999</v>
      </c>
      <c r="AZ67" s="11">
        <v>1065.6791666667</v>
      </c>
      <c r="BA67" s="23">
        <v>3</v>
      </c>
      <c r="BB67" s="24" t="s">
        <v>8</v>
      </c>
    </row>
    <row r="68" spans="1:54" x14ac:dyDescent="0.2">
      <c r="A68" s="5">
        <v>378</v>
      </c>
      <c r="B68" s="20" t="s">
        <v>63</v>
      </c>
      <c r="C68" s="18" t="s">
        <v>54</v>
      </c>
      <c r="D68" s="18">
        <v>5</v>
      </c>
      <c r="E68" s="18">
        <v>0</v>
      </c>
      <c r="F68" s="20">
        <v>3.8180000000000001</v>
      </c>
      <c r="G68" s="18">
        <v>28</v>
      </c>
      <c r="H68" s="22">
        <v>4.2518822724161529</v>
      </c>
      <c r="I68" s="22">
        <v>5.5824777549623548</v>
      </c>
      <c r="J68" s="22">
        <v>9.8343600273785086</v>
      </c>
      <c r="K68" s="22">
        <v>4.2518822724161529</v>
      </c>
      <c r="L68" s="22">
        <v>5.5824777549623548</v>
      </c>
      <c r="M68" s="22">
        <v>9.8343600273785086</v>
      </c>
      <c r="N68" s="22">
        <v>4.1861738535249833</v>
      </c>
      <c r="O68" s="22" t="s">
        <v>8</v>
      </c>
      <c r="P68" s="22" t="s">
        <v>8</v>
      </c>
      <c r="Q68" s="22" t="s">
        <v>8</v>
      </c>
      <c r="R68" s="22" t="s">
        <v>8</v>
      </c>
      <c r="S68" s="22" t="s">
        <v>8</v>
      </c>
      <c r="T68" s="5">
        <v>3</v>
      </c>
      <c r="U68" s="5">
        <v>13</v>
      </c>
      <c r="V68" s="20" t="s">
        <v>1</v>
      </c>
      <c r="W68" s="20">
        <v>5</v>
      </c>
      <c r="X68" s="20">
        <v>1</v>
      </c>
      <c r="Y68" s="5">
        <v>1</v>
      </c>
      <c r="Z68" s="20">
        <v>4</v>
      </c>
      <c r="AA68" s="23">
        <f t="shared" si="2"/>
        <v>2</v>
      </c>
      <c r="AB68" s="15">
        <v>1</v>
      </c>
      <c r="AC68" s="15">
        <v>1</v>
      </c>
      <c r="AD68" s="15">
        <v>0.8</v>
      </c>
      <c r="AE68" s="15">
        <v>0.94399999999999995</v>
      </c>
      <c r="AF68" s="20">
        <v>17</v>
      </c>
      <c r="AG68" s="20" t="s">
        <v>8</v>
      </c>
      <c r="AH68" s="24">
        <v>18</v>
      </c>
      <c r="AI68" s="23">
        <f t="shared" si="3"/>
        <v>1</v>
      </c>
      <c r="AJ68" s="17">
        <v>6</v>
      </c>
      <c r="AK68" s="17">
        <v>7</v>
      </c>
      <c r="AL68" s="14">
        <v>13</v>
      </c>
      <c r="AM68" s="23" cm="1">
        <f t="array" ref="AM68">IF(OR(AN68:AZ68=""),"BLANK",IF(AND(AN68:AZ68&lt;9999999),1,IF(AND(AN68:AZ68="NA"),3,2)))</f>
        <v>1</v>
      </c>
      <c r="AN68" s="5">
        <v>10</v>
      </c>
      <c r="AO68" s="5">
        <v>2</v>
      </c>
      <c r="AP68" s="10">
        <v>3</v>
      </c>
      <c r="AQ68" s="10">
        <v>4.25</v>
      </c>
      <c r="AR68" s="10">
        <v>6</v>
      </c>
      <c r="AS68" s="11">
        <v>2796</v>
      </c>
      <c r="AT68" s="11">
        <v>5577.5</v>
      </c>
      <c r="AU68" s="11">
        <v>6802.75</v>
      </c>
      <c r="AV68" s="11">
        <v>4444.25</v>
      </c>
      <c r="AW68" s="11">
        <v>85</v>
      </c>
      <c r="AX68" s="11">
        <v>876.83333333329995</v>
      </c>
      <c r="AY68" s="11">
        <v>2268</v>
      </c>
      <c r="AZ68" s="11">
        <v>10093.1722222222</v>
      </c>
      <c r="BA68" s="23">
        <v>3</v>
      </c>
      <c r="BB68" s="24" t="s">
        <v>8</v>
      </c>
    </row>
    <row r="69" spans="1:54" x14ac:dyDescent="0.2">
      <c r="A69" s="5">
        <v>381</v>
      </c>
      <c r="B69" s="20" t="s">
        <v>75</v>
      </c>
      <c r="C69" s="18" t="s">
        <v>54</v>
      </c>
      <c r="D69" s="18">
        <v>5</v>
      </c>
      <c r="E69" s="18">
        <v>0</v>
      </c>
      <c r="F69" s="20">
        <v>4</v>
      </c>
      <c r="G69" s="18">
        <v>26</v>
      </c>
      <c r="H69" s="22" t="s">
        <v>8</v>
      </c>
      <c r="I69" s="22" t="s">
        <v>8</v>
      </c>
      <c r="J69" s="22" t="s">
        <v>8</v>
      </c>
      <c r="K69" s="22" t="s">
        <v>8</v>
      </c>
      <c r="L69" s="22" t="s">
        <v>8</v>
      </c>
      <c r="M69" s="22" t="s">
        <v>8</v>
      </c>
      <c r="N69" s="22" t="s">
        <v>8</v>
      </c>
      <c r="O69" s="22" t="s">
        <v>8</v>
      </c>
      <c r="P69" s="22" t="s">
        <v>8</v>
      </c>
      <c r="Q69" s="22" t="s">
        <v>8</v>
      </c>
      <c r="R69" s="22" t="s">
        <v>8</v>
      </c>
      <c r="S69" s="22" t="s">
        <v>8</v>
      </c>
      <c r="T69" s="5">
        <v>4</v>
      </c>
      <c r="U69" s="5">
        <v>16</v>
      </c>
      <c r="V69" s="20" t="s">
        <v>1</v>
      </c>
      <c r="W69" s="20">
        <v>5</v>
      </c>
      <c r="X69" s="20">
        <v>1</v>
      </c>
      <c r="Y69" s="5">
        <v>1</v>
      </c>
      <c r="Z69" s="20">
        <v>4</v>
      </c>
      <c r="AA69" s="23">
        <f t="shared" si="2"/>
        <v>2</v>
      </c>
      <c r="AB69" s="15">
        <v>0.875</v>
      </c>
      <c r="AC69" s="15">
        <v>0.75</v>
      </c>
      <c r="AD69" s="15">
        <v>0.625</v>
      </c>
      <c r="AE69" s="15">
        <v>0.75</v>
      </c>
      <c r="AF69" s="20">
        <v>18</v>
      </c>
      <c r="AG69" s="20" t="s">
        <v>8</v>
      </c>
      <c r="AH69" s="24">
        <v>24</v>
      </c>
      <c r="AI69" s="23">
        <f t="shared" si="3"/>
        <v>1</v>
      </c>
      <c r="AJ69" s="17">
        <v>4.75</v>
      </c>
      <c r="AK69" s="17">
        <v>3.75</v>
      </c>
      <c r="AL69" s="14">
        <v>8.5</v>
      </c>
      <c r="AM69" s="23" cm="1">
        <f t="array" ref="AM69">IF(OR(AN69:AZ69=""),"BLANK",IF(AND(AN69:AZ69&lt;9999999),1,IF(AND(AN69:AZ69="NA"),3,2)))</f>
        <v>1</v>
      </c>
      <c r="AN69" s="5">
        <v>9</v>
      </c>
      <c r="AO69" s="5">
        <v>2</v>
      </c>
      <c r="AP69" s="10">
        <v>3</v>
      </c>
      <c r="AQ69" s="10">
        <v>6.5</v>
      </c>
      <c r="AR69" s="10">
        <v>6</v>
      </c>
      <c r="AS69" s="11">
        <v>937</v>
      </c>
      <c r="AT69" s="11">
        <v>9708.5</v>
      </c>
      <c r="AU69" s="11">
        <v>20022.5</v>
      </c>
      <c r="AV69" s="11">
        <v>9574.75</v>
      </c>
      <c r="AW69" s="11">
        <v>0</v>
      </c>
      <c r="AX69" s="11">
        <v>0</v>
      </c>
      <c r="AY69" s="11">
        <v>19204.631944444402</v>
      </c>
      <c r="AZ69" s="11">
        <v>417.60555555560001</v>
      </c>
      <c r="BA69" s="23">
        <v>3</v>
      </c>
      <c r="BB69" s="24" t="s">
        <v>8</v>
      </c>
    </row>
    <row r="70" spans="1:54" x14ac:dyDescent="0.2">
      <c r="A70" s="5">
        <v>383</v>
      </c>
      <c r="B70" s="20" t="s">
        <v>64</v>
      </c>
      <c r="C70" s="18" t="s">
        <v>54</v>
      </c>
      <c r="D70" s="18">
        <v>5</v>
      </c>
      <c r="E70" s="18">
        <v>0</v>
      </c>
      <c r="F70" s="20">
        <v>3.4550000000000001</v>
      </c>
      <c r="G70" s="18">
        <v>27</v>
      </c>
      <c r="H70" s="22">
        <v>3.9452429842573578</v>
      </c>
      <c r="I70" s="22">
        <v>5.5003422313483918</v>
      </c>
      <c r="J70" s="22">
        <v>9.4455852156057496</v>
      </c>
      <c r="K70" s="22">
        <v>3.9452429842573578</v>
      </c>
      <c r="L70" s="22">
        <v>5.5605749486652973</v>
      </c>
      <c r="M70" s="22">
        <v>9.5058179329226551</v>
      </c>
      <c r="N70" s="22">
        <v>3.7700205338809036</v>
      </c>
      <c r="O70" s="22">
        <v>5.2429842573579739</v>
      </c>
      <c r="P70" s="22">
        <v>9.0130047912388775</v>
      </c>
      <c r="Q70" s="22">
        <v>3.2553045859000687</v>
      </c>
      <c r="R70" s="22">
        <v>6.1683778234086244</v>
      </c>
      <c r="S70" s="22">
        <v>9.4236824093086931</v>
      </c>
      <c r="T70" s="5">
        <v>2</v>
      </c>
      <c r="U70" s="5">
        <v>12</v>
      </c>
      <c r="V70" s="20" t="s">
        <v>1</v>
      </c>
      <c r="W70" s="20">
        <v>5</v>
      </c>
      <c r="X70" s="20">
        <v>1</v>
      </c>
      <c r="Y70" s="5">
        <v>1</v>
      </c>
      <c r="Z70" s="20">
        <v>4</v>
      </c>
      <c r="AA70" s="23">
        <f t="shared" si="2"/>
        <v>2</v>
      </c>
      <c r="AB70" s="15">
        <v>0.875</v>
      </c>
      <c r="AC70" s="15">
        <v>0.75</v>
      </c>
      <c r="AD70" s="15">
        <v>0.5</v>
      </c>
      <c r="AE70" s="15">
        <v>0.70799999999999996</v>
      </c>
      <c r="AF70" s="20">
        <v>17</v>
      </c>
      <c r="AG70" s="20" t="s">
        <v>8</v>
      </c>
      <c r="AH70" s="24">
        <v>24</v>
      </c>
      <c r="AI70" s="23">
        <f t="shared" si="3"/>
        <v>1</v>
      </c>
      <c r="AJ70" s="17">
        <v>11.25</v>
      </c>
      <c r="AK70" s="17">
        <v>6.25</v>
      </c>
      <c r="AL70" s="14">
        <v>17.5</v>
      </c>
      <c r="AM70" s="23" cm="1">
        <f t="array" ref="AM70">IF(OR(AN70:AZ70=""),"BLANK",IF(AND(AN70:AZ70&lt;9999999),1,IF(AND(AN70:AZ70="NA"),3,2)))</f>
        <v>1</v>
      </c>
      <c r="AN70" s="5">
        <v>10</v>
      </c>
      <c r="AO70" s="5">
        <v>2</v>
      </c>
      <c r="AP70" s="10">
        <v>3</v>
      </c>
      <c r="AQ70" s="10">
        <v>4.5</v>
      </c>
      <c r="AR70" s="10">
        <v>6.75</v>
      </c>
      <c r="AS70" s="11">
        <v>1700.5</v>
      </c>
      <c r="AT70" s="11">
        <v>2185</v>
      </c>
      <c r="AU70" s="11">
        <v>827.25</v>
      </c>
      <c r="AV70" s="11">
        <v>4748.75</v>
      </c>
      <c r="AW70" s="11">
        <v>0</v>
      </c>
      <c r="AX70" s="11">
        <v>0</v>
      </c>
      <c r="AY70" s="11">
        <v>0</v>
      </c>
      <c r="AZ70" s="11">
        <v>297.9166666667</v>
      </c>
      <c r="BA70" s="23">
        <v>3</v>
      </c>
      <c r="BB70" s="24" t="s">
        <v>8</v>
      </c>
    </row>
    <row r="71" spans="1:54" x14ac:dyDescent="0.2">
      <c r="A71" s="5">
        <v>408</v>
      </c>
      <c r="B71" s="20" t="s">
        <v>83</v>
      </c>
      <c r="C71" s="18" t="s">
        <v>55</v>
      </c>
      <c r="D71" s="18">
        <v>5</v>
      </c>
      <c r="E71" s="18">
        <v>0</v>
      </c>
      <c r="F71" s="20">
        <v>3.6360000000000001</v>
      </c>
      <c r="G71" s="18">
        <v>27</v>
      </c>
      <c r="H71" s="22">
        <v>4.0328542094455848</v>
      </c>
      <c r="I71" s="22" t="s">
        <v>8</v>
      </c>
      <c r="J71" s="22" t="s">
        <v>8</v>
      </c>
      <c r="K71" s="22">
        <v>4.0574948665297743</v>
      </c>
      <c r="L71" s="22" t="s">
        <v>8</v>
      </c>
      <c r="M71" s="22" t="s">
        <v>8</v>
      </c>
      <c r="N71" s="22">
        <v>4.043805612594114</v>
      </c>
      <c r="O71" s="22" t="s">
        <v>8</v>
      </c>
      <c r="P71" s="22" t="s">
        <v>8</v>
      </c>
      <c r="Q71" s="22" t="s">
        <v>8</v>
      </c>
      <c r="R71" s="22" t="s">
        <v>8</v>
      </c>
      <c r="S71" s="22" t="s">
        <v>8</v>
      </c>
      <c r="T71" s="5">
        <v>4</v>
      </c>
      <c r="U71" s="5">
        <v>16</v>
      </c>
      <c r="V71" s="20" t="s">
        <v>1</v>
      </c>
      <c r="W71" s="20">
        <v>5</v>
      </c>
      <c r="X71" s="20">
        <v>1</v>
      </c>
      <c r="Y71" s="5">
        <v>1</v>
      </c>
      <c r="Z71" s="20">
        <v>4</v>
      </c>
      <c r="AA71" s="23">
        <f t="shared" si="2"/>
        <v>2</v>
      </c>
      <c r="AB71" s="15">
        <v>0.75</v>
      </c>
      <c r="AC71" s="15">
        <v>0.75</v>
      </c>
      <c r="AD71" s="15">
        <v>0.16666666666666666</v>
      </c>
      <c r="AE71" s="15">
        <v>0.59099999999999997</v>
      </c>
      <c r="AF71" s="20">
        <v>13</v>
      </c>
      <c r="AG71" s="20" t="s">
        <v>8</v>
      </c>
      <c r="AH71" s="24">
        <v>22</v>
      </c>
      <c r="AI71" s="23">
        <f t="shared" si="3"/>
        <v>1</v>
      </c>
      <c r="AJ71" s="17">
        <v>1.5</v>
      </c>
      <c r="AK71" s="17">
        <v>3</v>
      </c>
      <c r="AL71" s="14">
        <v>4.5</v>
      </c>
      <c r="AM71" s="23" cm="1">
        <f t="array" ref="AM71">IF(OR(AN71:AZ71=""),"BLANK",IF(AND(AN71:AZ71&lt;9999999),1,IF(AND(AN71:AZ71="NA"),3,2)))</f>
        <v>1</v>
      </c>
      <c r="AN71" s="5">
        <v>3</v>
      </c>
      <c r="AO71" s="5">
        <v>2</v>
      </c>
      <c r="AP71" s="10">
        <v>4</v>
      </c>
      <c r="AQ71" s="10">
        <v>7.25</v>
      </c>
      <c r="AR71" s="10">
        <v>9.25</v>
      </c>
      <c r="AS71" s="11">
        <v>1769.5</v>
      </c>
      <c r="AT71" s="11">
        <v>4853</v>
      </c>
      <c r="AU71" s="11">
        <v>1035.25</v>
      </c>
      <c r="AV71" s="11">
        <v>1244</v>
      </c>
      <c r="AW71" s="11">
        <v>0</v>
      </c>
      <c r="AX71" s="11">
        <v>9539.9666666666999</v>
      </c>
      <c r="AY71" s="11">
        <v>15607.3611111111</v>
      </c>
      <c r="AZ71" s="11">
        <v>32113.026785714301</v>
      </c>
      <c r="BA71" s="23">
        <v>3</v>
      </c>
      <c r="BB71" s="24" t="s">
        <v>8</v>
      </c>
    </row>
    <row r="72" spans="1:54" x14ac:dyDescent="0.2">
      <c r="A72" s="5">
        <v>409</v>
      </c>
      <c r="B72" s="20" t="s">
        <v>74</v>
      </c>
      <c r="C72" s="18" t="s">
        <v>54</v>
      </c>
      <c r="D72" s="18">
        <v>5</v>
      </c>
      <c r="E72" s="18">
        <v>0</v>
      </c>
      <c r="F72" s="20">
        <v>3.4550000000000001</v>
      </c>
      <c r="G72" s="18">
        <v>27</v>
      </c>
      <c r="H72" s="22">
        <v>4.0027378507871321</v>
      </c>
      <c r="I72" s="22" t="s">
        <v>8</v>
      </c>
      <c r="J72" s="22" t="s">
        <v>8</v>
      </c>
      <c r="K72" s="22">
        <v>4.0602327173169064</v>
      </c>
      <c r="L72" s="22" t="s">
        <v>8</v>
      </c>
      <c r="M72" s="22" t="s">
        <v>8</v>
      </c>
      <c r="N72" s="22">
        <v>4.0684462696783026</v>
      </c>
      <c r="O72" s="22" t="s">
        <v>8</v>
      </c>
      <c r="P72" s="22" t="s">
        <v>8</v>
      </c>
      <c r="Q72" s="22" t="s">
        <v>8</v>
      </c>
      <c r="R72" s="22" t="s">
        <v>8</v>
      </c>
      <c r="S72" s="22" t="s">
        <v>8</v>
      </c>
      <c r="T72" s="5">
        <v>7</v>
      </c>
      <c r="U72" s="5">
        <v>21</v>
      </c>
      <c r="V72" s="20" t="s">
        <v>1</v>
      </c>
      <c r="W72" s="20">
        <v>5</v>
      </c>
      <c r="X72" s="20">
        <v>1</v>
      </c>
      <c r="Y72" s="5">
        <v>1</v>
      </c>
      <c r="Z72" s="20">
        <v>4</v>
      </c>
      <c r="AA72" s="23">
        <f t="shared" si="2"/>
        <v>2</v>
      </c>
      <c r="AB72" s="15">
        <v>1</v>
      </c>
      <c r="AC72" s="15">
        <v>1</v>
      </c>
      <c r="AD72" s="15">
        <v>0.875</v>
      </c>
      <c r="AE72" s="15">
        <v>0.95799999999999996</v>
      </c>
      <c r="AF72" s="20">
        <v>23</v>
      </c>
      <c r="AG72" s="20" t="s">
        <v>8</v>
      </c>
      <c r="AH72" s="24">
        <v>24</v>
      </c>
      <c r="AI72" s="23">
        <f t="shared" si="3"/>
        <v>1</v>
      </c>
      <c r="AJ72" s="17">
        <v>7.5</v>
      </c>
      <c r="AK72" s="17">
        <v>5.75</v>
      </c>
      <c r="AL72" s="14">
        <v>13.25</v>
      </c>
      <c r="AM72" s="23" cm="1">
        <f t="array" ref="AM72">IF(OR(AN72:AZ72=""),"BLANK",IF(AND(AN72:AZ72&lt;9999999),1,IF(AND(AN72:AZ72="NA"),3,2)))</f>
        <v>1</v>
      </c>
      <c r="AN72" s="5">
        <v>7</v>
      </c>
      <c r="AO72" s="5">
        <v>2</v>
      </c>
      <c r="AP72" s="10">
        <v>3</v>
      </c>
      <c r="AQ72" s="10">
        <v>5.75</v>
      </c>
      <c r="AR72" s="10">
        <v>8.5</v>
      </c>
      <c r="AS72" s="11">
        <v>491</v>
      </c>
      <c r="AT72" s="11">
        <v>4357</v>
      </c>
      <c r="AU72" s="11">
        <v>3150.25</v>
      </c>
      <c r="AV72" s="11">
        <v>1787.25</v>
      </c>
      <c r="AW72" s="11">
        <v>0</v>
      </c>
      <c r="AX72" s="11">
        <v>200.3333333333</v>
      </c>
      <c r="AY72" s="11">
        <v>1175.6111111110999</v>
      </c>
      <c r="AZ72" s="11">
        <v>246.97499999999999</v>
      </c>
      <c r="BA72" s="23">
        <v>3</v>
      </c>
      <c r="BB72" s="24" t="s">
        <v>8</v>
      </c>
    </row>
    <row r="73" spans="1:54" x14ac:dyDescent="0.2">
      <c r="A73" s="5">
        <v>419</v>
      </c>
      <c r="B73" s="20" t="s">
        <v>64</v>
      </c>
      <c r="C73" s="18" t="s">
        <v>54</v>
      </c>
      <c r="D73" s="18">
        <v>5</v>
      </c>
      <c r="E73" s="18">
        <v>0</v>
      </c>
      <c r="F73" s="20">
        <v>3.6360000000000001</v>
      </c>
      <c r="G73" s="18">
        <v>30</v>
      </c>
      <c r="H73" s="22">
        <v>4.3340177960301167</v>
      </c>
      <c r="I73" s="22" t="s">
        <v>8</v>
      </c>
      <c r="J73" s="22" t="s">
        <v>8</v>
      </c>
      <c r="K73" s="22">
        <v>4.3312799452429847</v>
      </c>
      <c r="L73" s="22" t="s">
        <v>8</v>
      </c>
      <c r="M73" s="22" t="s">
        <v>8</v>
      </c>
      <c r="N73" s="22">
        <v>4.3093771389459272</v>
      </c>
      <c r="O73" s="22" t="s">
        <v>8</v>
      </c>
      <c r="P73" s="22" t="s">
        <v>8</v>
      </c>
      <c r="Q73" s="22" t="s">
        <v>8</v>
      </c>
      <c r="R73" s="22" t="s">
        <v>8</v>
      </c>
      <c r="S73" s="22" t="s">
        <v>8</v>
      </c>
      <c r="T73" s="5">
        <v>6</v>
      </c>
      <c r="U73" s="5">
        <v>18</v>
      </c>
      <c r="V73" s="20" t="s">
        <v>1</v>
      </c>
      <c r="W73" s="20">
        <v>5</v>
      </c>
      <c r="X73" s="20">
        <v>1</v>
      </c>
      <c r="Y73" s="5">
        <v>1</v>
      </c>
      <c r="Z73" s="20">
        <v>4</v>
      </c>
      <c r="AA73" s="23">
        <f t="shared" si="2"/>
        <v>2</v>
      </c>
      <c r="AB73" s="15">
        <v>1</v>
      </c>
      <c r="AC73" s="15">
        <v>0.83333333333333337</v>
      </c>
      <c r="AD73" s="15">
        <v>0.6</v>
      </c>
      <c r="AE73" s="15">
        <v>0.82399999999999995</v>
      </c>
      <c r="AF73" s="20">
        <v>14</v>
      </c>
      <c r="AG73" s="20" t="s">
        <v>8</v>
      </c>
      <c r="AH73" s="24">
        <v>17</v>
      </c>
      <c r="AI73" s="23">
        <f t="shared" si="3"/>
        <v>1</v>
      </c>
      <c r="AJ73" s="17">
        <v>5.75</v>
      </c>
      <c r="AK73" s="17">
        <v>3.25</v>
      </c>
      <c r="AL73" s="14">
        <v>9</v>
      </c>
      <c r="AM73" s="23" cm="1">
        <f t="array" ref="AM73">IF(OR(AN73:AZ73=""),"BLANK",IF(AND(AN73:AZ73&lt;9999999),1,IF(AND(AN73:AZ73="NA"),3,2)))</f>
        <v>1</v>
      </c>
      <c r="AN73" s="5">
        <v>5</v>
      </c>
      <c r="AO73" s="5">
        <v>2</v>
      </c>
      <c r="AP73" s="10">
        <v>3.5</v>
      </c>
      <c r="AQ73" s="10">
        <v>7.75</v>
      </c>
      <c r="AR73" s="10">
        <v>9.25</v>
      </c>
      <c r="AS73" s="11">
        <v>261</v>
      </c>
      <c r="AT73" s="11">
        <v>5042.5</v>
      </c>
      <c r="AU73" s="11">
        <v>4008.5</v>
      </c>
      <c r="AV73" s="11">
        <v>5137.5</v>
      </c>
      <c r="AW73" s="11">
        <v>0</v>
      </c>
      <c r="AX73" s="11">
        <v>7586.7083333333003</v>
      </c>
      <c r="AY73" s="11">
        <v>31818.069444444402</v>
      </c>
      <c r="AZ73" s="11">
        <v>15474.760416666701</v>
      </c>
      <c r="BA73" s="23">
        <v>3</v>
      </c>
      <c r="BB73" s="24" t="s">
        <v>8</v>
      </c>
    </row>
    <row r="74" spans="1:54" x14ac:dyDescent="0.2">
      <c r="A74" s="5">
        <v>458</v>
      </c>
      <c r="B74" s="20" t="s">
        <v>72</v>
      </c>
      <c r="C74" s="18" t="s">
        <v>54</v>
      </c>
      <c r="D74" s="18">
        <v>5</v>
      </c>
      <c r="E74" s="18">
        <v>0</v>
      </c>
      <c r="F74" s="20">
        <v>3.3639999999999999</v>
      </c>
      <c r="G74" s="18">
        <v>30</v>
      </c>
      <c r="H74" s="22" t="s">
        <v>8</v>
      </c>
      <c r="I74" s="22" t="s">
        <v>8</v>
      </c>
      <c r="J74" s="22">
        <v>10.190280629705681</v>
      </c>
      <c r="K74" s="22" t="s">
        <v>8</v>
      </c>
      <c r="L74" s="22" t="s">
        <v>8</v>
      </c>
      <c r="M74" s="22">
        <v>10.190280629705681</v>
      </c>
      <c r="N74" s="22" t="s">
        <v>8</v>
      </c>
      <c r="O74" s="22" t="s">
        <v>8</v>
      </c>
      <c r="P74" s="22" t="s">
        <v>8</v>
      </c>
      <c r="Q74" s="22" t="s">
        <v>8</v>
      </c>
      <c r="R74" s="22" t="s">
        <v>8</v>
      </c>
      <c r="S74" s="22" t="s">
        <v>8</v>
      </c>
      <c r="T74" s="5">
        <v>4</v>
      </c>
      <c r="U74" s="5">
        <v>16</v>
      </c>
      <c r="V74" s="20" t="s">
        <v>1</v>
      </c>
      <c r="W74" s="20">
        <v>5</v>
      </c>
      <c r="X74" s="20">
        <v>1</v>
      </c>
      <c r="Y74" s="5">
        <v>1</v>
      </c>
      <c r="Z74" s="20">
        <v>4</v>
      </c>
      <c r="AA74" s="23">
        <f t="shared" si="2"/>
        <v>2</v>
      </c>
      <c r="AB74" s="15">
        <v>1</v>
      </c>
      <c r="AC74" s="15">
        <v>1</v>
      </c>
      <c r="AD74" s="15">
        <v>0.875</v>
      </c>
      <c r="AE74" s="15">
        <v>0.95799999999999996</v>
      </c>
      <c r="AF74" s="20">
        <v>23</v>
      </c>
      <c r="AG74" s="20" t="s">
        <v>8</v>
      </c>
      <c r="AH74" s="24">
        <v>24</v>
      </c>
      <c r="AI74" s="23">
        <f t="shared" si="3"/>
        <v>1</v>
      </c>
      <c r="AJ74" s="17">
        <v>11</v>
      </c>
      <c r="AK74" s="17">
        <v>10</v>
      </c>
      <c r="AL74" s="14">
        <v>21</v>
      </c>
      <c r="AM74" s="23" cm="1">
        <f t="array" ref="AM74">IF(OR(AN74:AZ74=""),"BLANK",IF(AND(AN74:AZ74&lt;9999999),1,IF(AND(AN74:AZ74="NA"),3,2)))</f>
        <v>1</v>
      </c>
      <c r="AN74" s="5">
        <v>9</v>
      </c>
      <c r="AO74" s="5">
        <v>2</v>
      </c>
      <c r="AP74" s="10">
        <v>3.5</v>
      </c>
      <c r="AQ74" s="10">
        <v>5.5</v>
      </c>
      <c r="AR74" s="10">
        <v>5</v>
      </c>
      <c r="AS74" s="11">
        <v>637</v>
      </c>
      <c r="AT74" s="11">
        <v>4650</v>
      </c>
      <c r="AU74" s="11">
        <v>5491.5</v>
      </c>
      <c r="AV74" s="11">
        <v>10632.25</v>
      </c>
      <c r="AW74" s="11">
        <v>0</v>
      </c>
      <c r="AX74" s="11">
        <v>0</v>
      </c>
      <c r="AY74" s="11">
        <v>1662.6888888889</v>
      </c>
      <c r="AZ74" s="11">
        <v>0</v>
      </c>
      <c r="BA74" s="23">
        <v>3</v>
      </c>
      <c r="BB74" s="24" t="s">
        <v>8</v>
      </c>
    </row>
    <row r="75" spans="1:54" x14ac:dyDescent="0.2">
      <c r="A75" s="5">
        <v>465</v>
      </c>
      <c r="B75" s="20" t="s">
        <v>66</v>
      </c>
      <c r="C75" s="18" t="s">
        <v>54</v>
      </c>
      <c r="D75" s="18">
        <v>5</v>
      </c>
      <c r="E75" s="18">
        <v>0</v>
      </c>
      <c r="F75" s="20">
        <v>3.8180000000000001</v>
      </c>
      <c r="G75" s="18">
        <v>27</v>
      </c>
      <c r="H75" s="22">
        <v>4.1806981519507183</v>
      </c>
      <c r="I75" s="22">
        <v>5.3278576317590689</v>
      </c>
      <c r="J75" s="22">
        <v>9.508555783709788</v>
      </c>
      <c r="K75" s="22">
        <v>4.1806981519507183</v>
      </c>
      <c r="L75" s="22">
        <v>5.3388090349075972</v>
      </c>
      <c r="M75" s="22">
        <v>9.5195071868583163</v>
      </c>
      <c r="N75" s="22">
        <v>4.0246406570841886</v>
      </c>
      <c r="O75" s="22">
        <v>5.0978781656399725</v>
      </c>
      <c r="P75" s="22">
        <v>9.122518822724162</v>
      </c>
      <c r="Q75" s="22">
        <v>3.3264887063655029</v>
      </c>
      <c r="R75" s="22">
        <v>6.3025325119780975</v>
      </c>
      <c r="S75" s="22">
        <v>9.6290212183436008</v>
      </c>
      <c r="T75" s="5">
        <v>6</v>
      </c>
      <c r="U75" s="5">
        <v>18</v>
      </c>
      <c r="V75" s="20" t="s">
        <v>1</v>
      </c>
      <c r="W75" s="20">
        <v>5</v>
      </c>
      <c r="X75" s="20">
        <v>1</v>
      </c>
      <c r="Y75" s="5">
        <v>1</v>
      </c>
      <c r="Z75" s="20">
        <v>4</v>
      </c>
      <c r="AA75" s="23">
        <f t="shared" si="2"/>
        <v>2</v>
      </c>
      <c r="AB75" s="15">
        <v>1</v>
      </c>
      <c r="AC75" s="15">
        <v>0.875</v>
      </c>
      <c r="AD75" s="15">
        <v>0.625</v>
      </c>
      <c r="AE75" s="15">
        <v>0.83299999999999996</v>
      </c>
      <c r="AF75" s="20">
        <v>20</v>
      </c>
      <c r="AG75" s="20" t="s">
        <v>8</v>
      </c>
      <c r="AH75" s="24">
        <v>24</v>
      </c>
      <c r="AI75" s="23">
        <f t="shared" si="3"/>
        <v>1</v>
      </c>
      <c r="AJ75" s="17">
        <v>7.75</v>
      </c>
      <c r="AK75" s="17">
        <v>11</v>
      </c>
      <c r="AL75" s="14">
        <v>18.75</v>
      </c>
      <c r="AM75" s="23" cm="1">
        <f t="array" ref="AM75">IF(OR(AN75:AZ75=""),"BLANK",IF(AND(AN75:AZ75&lt;9999999),1,IF(AND(AN75:AZ75="NA"),3,2)))</f>
        <v>1</v>
      </c>
      <c r="AN75" s="5">
        <v>10</v>
      </c>
      <c r="AO75" s="5">
        <v>2</v>
      </c>
      <c r="AP75" s="10">
        <v>3</v>
      </c>
      <c r="AQ75" s="10">
        <v>5.25</v>
      </c>
      <c r="AR75" s="10">
        <v>5.25</v>
      </c>
      <c r="AS75" s="11">
        <v>4796.5</v>
      </c>
      <c r="AT75" s="11">
        <v>11860.5</v>
      </c>
      <c r="AU75" s="11">
        <v>21264</v>
      </c>
      <c r="AV75" s="11">
        <v>38199.25</v>
      </c>
      <c r="AW75" s="11">
        <v>0</v>
      </c>
      <c r="AX75" s="11">
        <v>0</v>
      </c>
      <c r="AY75" s="11">
        <v>1948.4513888889001</v>
      </c>
      <c r="AZ75" s="11">
        <v>851.1</v>
      </c>
      <c r="BA75" s="23">
        <v>3</v>
      </c>
      <c r="BB75" s="24" t="s">
        <v>8</v>
      </c>
    </row>
    <row r="76" spans="1:54" x14ac:dyDescent="0.2">
      <c r="A76" s="5">
        <v>466</v>
      </c>
      <c r="B76" s="20" t="s">
        <v>69</v>
      </c>
      <c r="C76" s="18" t="s">
        <v>54</v>
      </c>
      <c r="D76" s="18">
        <v>5</v>
      </c>
      <c r="E76" s="18">
        <v>0</v>
      </c>
      <c r="F76" s="20">
        <v>3.6360000000000001</v>
      </c>
      <c r="G76" s="18">
        <v>30</v>
      </c>
      <c r="H76" s="22">
        <v>4.3723477070499657</v>
      </c>
      <c r="I76" s="22">
        <v>5.2703627652292946</v>
      </c>
      <c r="J76" s="22">
        <v>9.6427104722792603</v>
      </c>
      <c r="K76" s="22">
        <v>4.3641341546885695</v>
      </c>
      <c r="L76" s="22">
        <v>5.2703627652292946</v>
      </c>
      <c r="M76" s="22">
        <v>9.6344969199178649</v>
      </c>
      <c r="N76" s="22">
        <v>4.3312799452429847</v>
      </c>
      <c r="O76" s="22">
        <v>5.2676249144421625</v>
      </c>
      <c r="P76" s="22">
        <v>9.5989048596851472</v>
      </c>
      <c r="Q76" s="22" t="s">
        <v>8</v>
      </c>
      <c r="R76" s="22" t="s">
        <v>8</v>
      </c>
      <c r="S76" s="22" t="s">
        <v>8</v>
      </c>
      <c r="T76" s="5">
        <v>5</v>
      </c>
      <c r="U76" s="5">
        <v>16</v>
      </c>
      <c r="V76" s="20" t="s">
        <v>1</v>
      </c>
      <c r="W76" s="20">
        <v>5</v>
      </c>
      <c r="X76" s="20">
        <v>1</v>
      </c>
      <c r="Y76" s="5">
        <v>1</v>
      </c>
      <c r="Z76" s="20">
        <v>4</v>
      </c>
      <c r="AA76" s="23">
        <f t="shared" si="2"/>
        <v>2</v>
      </c>
      <c r="AB76" s="15">
        <v>1</v>
      </c>
      <c r="AC76" s="15">
        <v>1</v>
      </c>
      <c r="AD76" s="15">
        <v>0.875</v>
      </c>
      <c r="AE76" s="15">
        <v>0.95799999999999996</v>
      </c>
      <c r="AF76" s="20">
        <v>23</v>
      </c>
      <c r="AG76" s="20" t="s">
        <v>8</v>
      </c>
      <c r="AH76" s="24">
        <v>24</v>
      </c>
      <c r="AI76" s="23">
        <f t="shared" si="3"/>
        <v>1</v>
      </c>
      <c r="AJ76" s="17">
        <v>14</v>
      </c>
      <c r="AK76" s="17">
        <v>13</v>
      </c>
      <c r="AL76" s="14">
        <v>27</v>
      </c>
      <c r="AM76" s="23" cm="1">
        <f t="array" ref="AM76">IF(OR(AN76:AZ76=""),"BLANK",IF(AND(AN76:AZ76&lt;9999999),1,IF(AND(AN76:AZ76="NA"),3,2)))</f>
        <v>1</v>
      </c>
      <c r="AN76" s="5">
        <v>12</v>
      </c>
      <c r="AO76" s="5">
        <v>2</v>
      </c>
      <c r="AP76" s="10">
        <v>3</v>
      </c>
      <c r="AQ76" s="10">
        <v>4</v>
      </c>
      <c r="AR76" s="10">
        <v>5</v>
      </c>
      <c r="AS76" s="11">
        <v>1100.5</v>
      </c>
      <c r="AT76" s="11">
        <v>5450</v>
      </c>
      <c r="AU76" s="11">
        <v>13678.75</v>
      </c>
      <c r="AV76" s="11">
        <v>15393.75</v>
      </c>
      <c r="AW76" s="11">
        <v>0</v>
      </c>
      <c r="AX76" s="11">
        <v>0</v>
      </c>
      <c r="AY76" s="11">
        <v>0</v>
      </c>
      <c r="AZ76" s="11">
        <v>0</v>
      </c>
      <c r="BA76" s="23">
        <v>3</v>
      </c>
      <c r="BB76" s="24" t="s">
        <v>8</v>
      </c>
    </row>
    <row r="77" spans="1:54" x14ac:dyDescent="0.2">
      <c r="A77" s="5">
        <v>470</v>
      </c>
      <c r="B77" s="20" t="s">
        <v>72</v>
      </c>
      <c r="C77" s="18" t="s">
        <v>54</v>
      </c>
      <c r="D77" s="18">
        <v>5</v>
      </c>
      <c r="E77" s="18">
        <v>0</v>
      </c>
      <c r="F77" s="20">
        <v>3.5449999999999999</v>
      </c>
      <c r="G77" s="18">
        <v>29</v>
      </c>
      <c r="H77" s="22">
        <v>4.0492813141683781</v>
      </c>
      <c r="I77" s="22">
        <v>6.1273100616016425</v>
      </c>
      <c r="J77" s="22">
        <v>10.17659137577002</v>
      </c>
      <c r="K77" s="22">
        <v>4.1642710472279258</v>
      </c>
      <c r="L77" s="22">
        <v>6.0123203285420947</v>
      </c>
      <c r="M77" s="22">
        <v>10.17659137577002</v>
      </c>
      <c r="N77" s="22" t="s">
        <v>8</v>
      </c>
      <c r="O77" s="22" t="s">
        <v>8</v>
      </c>
      <c r="P77" s="22">
        <v>10.061601642710473</v>
      </c>
      <c r="Q77" s="22" t="s">
        <v>8</v>
      </c>
      <c r="R77" s="22" t="s">
        <v>8</v>
      </c>
      <c r="S77" s="22" t="s">
        <v>8</v>
      </c>
      <c r="T77" s="5">
        <v>5</v>
      </c>
      <c r="U77" s="33">
        <v>17.5</v>
      </c>
      <c r="V77" s="20" t="s">
        <v>1</v>
      </c>
      <c r="W77" s="20">
        <v>5</v>
      </c>
      <c r="X77" s="20">
        <v>1</v>
      </c>
      <c r="Y77" s="5">
        <v>1</v>
      </c>
      <c r="Z77" s="20">
        <v>4</v>
      </c>
      <c r="AA77" s="23">
        <f t="shared" si="2"/>
        <v>2</v>
      </c>
      <c r="AB77" s="15">
        <v>1</v>
      </c>
      <c r="AC77" s="15">
        <v>1</v>
      </c>
      <c r="AD77" s="15">
        <v>0.875</v>
      </c>
      <c r="AE77" s="15">
        <v>0.95799999999999996</v>
      </c>
      <c r="AF77" s="20">
        <v>23</v>
      </c>
      <c r="AG77" s="20" t="s">
        <v>8</v>
      </c>
      <c r="AH77" s="24">
        <v>24</v>
      </c>
      <c r="AI77" s="23">
        <f t="shared" si="3"/>
        <v>1</v>
      </c>
      <c r="AJ77" s="17">
        <v>12.75</v>
      </c>
      <c r="AK77" s="17">
        <v>11.75</v>
      </c>
      <c r="AL77" s="14">
        <v>24.5</v>
      </c>
      <c r="AM77" s="23" cm="1">
        <f t="array" ref="AM77">IF(OR(AN77:AZ77=""),"BLANK",IF(AND(AN77:AZ77&lt;9999999),1,IF(AND(AN77:AZ77="NA"),3,2)))</f>
        <v>1</v>
      </c>
      <c r="AN77" s="5">
        <v>9</v>
      </c>
      <c r="AO77" s="5">
        <v>3</v>
      </c>
      <c r="AP77" s="10">
        <v>3</v>
      </c>
      <c r="AQ77" s="10">
        <v>4.5</v>
      </c>
      <c r="AR77" s="10">
        <v>5.25</v>
      </c>
      <c r="AS77" s="11">
        <v>1120.5</v>
      </c>
      <c r="AT77" s="11">
        <v>4545</v>
      </c>
      <c r="AU77" s="11">
        <v>11572.25</v>
      </c>
      <c r="AV77" s="11">
        <v>23792.75</v>
      </c>
      <c r="AW77" s="11">
        <v>453.375</v>
      </c>
      <c r="AX77" s="11">
        <v>0</v>
      </c>
      <c r="AY77" s="11">
        <v>1857.1458333333001</v>
      </c>
      <c r="AZ77" s="11">
        <v>1669.6583333333001</v>
      </c>
      <c r="BA77" s="23">
        <v>3</v>
      </c>
      <c r="BB77" s="24" t="s">
        <v>8</v>
      </c>
    </row>
    <row r="78" spans="1:54" x14ac:dyDescent="0.2">
      <c r="A78" s="5">
        <v>474</v>
      </c>
      <c r="B78" s="20" t="s">
        <v>75</v>
      </c>
      <c r="C78" s="18" t="s">
        <v>54</v>
      </c>
      <c r="D78" s="18">
        <v>5</v>
      </c>
      <c r="E78" s="18">
        <v>0</v>
      </c>
      <c r="F78" s="20">
        <v>3.8180000000000001</v>
      </c>
      <c r="G78" s="18">
        <v>29</v>
      </c>
      <c r="H78" s="22" t="s">
        <v>8</v>
      </c>
      <c r="I78" s="22" t="s">
        <v>8</v>
      </c>
      <c r="J78" s="22" t="s">
        <v>8</v>
      </c>
      <c r="K78" s="22" t="s">
        <v>8</v>
      </c>
      <c r="L78" s="22" t="s">
        <v>8</v>
      </c>
      <c r="M78" s="22" t="s">
        <v>8</v>
      </c>
      <c r="N78" s="22" t="s">
        <v>8</v>
      </c>
      <c r="O78" s="22" t="s">
        <v>8</v>
      </c>
      <c r="P78" s="22" t="s">
        <v>8</v>
      </c>
      <c r="Q78" s="22" t="s">
        <v>8</v>
      </c>
      <c r="R78" s="22" t="s">
        <v>8</v>
      </c>
      <c r="S78" s="22" t="s">
        <v>8</v>
      </c>
      <c r="T78" s="5">
        <v>6</v>
      </c>
      <c r="U78" s="5">
        <v>18</v>
      </c>
      <c r="V78" s="20" t="s">
        <v>1</v>
      </c>
      <c r="W78" s="20">
        <v>5</v>
      </c>
      <c r="X78" s="20">
        <v>1</v>
      </c>
      <c r="Y78" s="5">
        <v>1</v>
      </c>
      <c r="Z78" s="20">
        <v>4</v>
      </c>
      <c r="AA78" s="23">
        <f t="shared" si="2"/>
        <v>2</v>
      </c>
      <c r="AB78" s="15">
        <v>1</v>
      </c>
      <c r="AC78" s="15">
        <v>1</v>
      </c>
      <c r="AD78" s="15">
        <v>0.875</v>
      </c>
      <c r="AE78" s="15">
        <v>0.95799999999999996</v>
      </c>
      <c r="AF78" s="20">
        <v>23</v>
      </c>
      <c r="AG78" s="20" t="s">
        <v>8</v>
      </c>
      <c r="AH78" s="24">
        <v>24</v>
      </c>
      <c r="AI78" s="23">
        <f t="shared" si="3"/>
        <v>1</v>
      </c>
      <c r="AJ78" s="17">
        <v>8.75</v>
      </c>
      <c r="AK78" s="17">
        <v>7</v>
      </c>
      <c r="AL78" s="14">
        <v>15.75</v>
      </c>
      <c r="AM78" s="23" cm="1">
        <f t="array" ref="AM78">IF(OR(AN78:AZ78=""),"BLANK",IF(AND(AN78:AZ78&lt;9999999),1,IF(AND(AN78:AZ78="NA"),3,2)))</f>
        <v>1</v>
      </c>
      <c r="AN78" s="5">
        <v>9</v>
      </c>
      <c r="AO78" s="5">
        <v>2</v>
      </c>
      <c r="AP78" s="10">
        <v>3</v>
      </c>
      <c r="AQ78" s="10">
        <v>5.25</v>
      </c>
      <c r="AR78" s="10">
        <v>7</v>
      </c>
      <c r="AS78" s="11">
        <v>2774</v>
      </c>
      <c r="AT78" s="11">
        <v>12224</v>
      </c>
      <c r="AU78" s="11">
        <v>17053.25</v>
      </c>
      <c r="AV78" s="11">
        <v>22418</v>
      </c>
      <c r="AW78" s="11">
        <v>0</v>
      </c>
      <c r="AX78" s="11">
        <v>0</v>
      </c>
      <c r="AY78" s="11">
        <v>2224.3958333332998</v>
      </c>
      <c r="AZ78" s="11">
        <v>4067.7454545454998</v>
      </c>
      <c r="BA78" s="23">
        <v>3</v>
      </c>
      <c r="BB78" s="24" t="s">
        <v>8</v>
      </c>
    </row>
    <row r="79" spans="1:54" x14ac:dyDescent="0.2">
      <c r="A79" s="5">
        <v>476</v>
      </c>
      <c r="B79" s="20" t="s">
        <v>83</v>
      </c>
      <c r="C79" s="18" t="s">
        <v>55</v>
      </c>
      <c r="D79" s="18">
        <v>5</v>
      </c>
      <c r="E79" s="18">
        <v>0</v>
      </c>
      <c r="F79" s="20">
        <v>4</v>
      </c>
      <c r="G79" s="18">
        <v>27</v>
      </c>
      <c r="H79" s="22" t="s">
        <v>8</v>
      </c>
      <c r="I79" s="22" t="s">
        <v>8</v>
      </c>
      <c r="J79" s="22" t="s">
        <v>8</v>
      </c>
      <c r="K79" s="22" t="s">
        <v>8</v>
      </c>
      <c r="L79" s="22" t="s">
        <v>8</v>
      </c>
      <c r="M79" s="22" t="s">
        <v>8</v>
      </c>
      <c r="N79" s="22" t="s">
        <v>8</v>
      </c>
      <c r="O79" s="22" t="s">
        <v>8</v>
      </c>
      <c r="P79" s="22" t="s">
        <v>8</v>
      </c>
      <c r="Q79" s="22" t="s">
        <v>8</v>
      </c>
      <c r="R79" s="22" t="s">
        <v>8</v>
      </c>
      <c r="S79" s="22" t="s">
        <v>8</v>
      </c>
      <c r="T79" s="5">
        <v>4</v>
      </c>
      <c r="U79" s="5">
        <v>16</v>
      </c>
      <c r="V79" s="20" t="s">
        <v>1</v>
      </c>
      <c r="W79" s="20">
        <v>5</v>
      </c>
      <c r="X79" s="20">
        <v>1</v>
      </c>
      <c r="Y79" s="5">
        <v>1</v>
      </c>
      <c r="Z79" s="20">
        <v>4</v>
      </c>
      <c r="AA79" s="23">
        <f t="shared" si="2"/>
        <v>2</v>
      </c>
      <c r="AB79" s="15">
        <v>0.875</v>
      </c>
      <c r="AC79" s="15">
        <v>0.5</v>
      </c>
      <c r="AD79" s="15">
        <v>0</v>
      </c>
      <c r="AE79" s="15">
        <v>0.56200000000000006</v>
      </c>
      <c r="AF79" s="20">
        <v>9</v>
      </c>
      <c r="AG79" s="20" t="s">
        <v>8</v>
      </c>
      <c r="AH79" s="24">
        <v>16</v>
      </c>
      <c r="AI79" s="23">
        <f t="shared" si="3"/>
        <v>2</v>
      </c>
      <c r="AJ79" s="17" t="s">
        <v>8</v>
      </c>
      <c r="AK79" s="17">
        <v>1</v>
      </c>
      <c r="AL79" s="14">
        <v>1</v>
      </c>
      <c r="AM79" s="23" cm="1">
        <f t="array" ref="AM79">IF(OR(AN79:AZ79=""),"BLANK",IF(AND(AN79:AZ79&lt;9999999),1,IF(AND(AN79:AZ79="NA"),3,2)))</f>
        <v>1</v>
      </c>
      <c r="AN79" s="5">
        <v>3</v>
      </c>
      <c r="AO79" s="5">
        <v>2</v>
      </c>
      <c r="AP79" s="10">
        <v>4</v>
      </c>
      <c r="AQ79" s="10">
        <v>6.75</v>
      </c>
      <c r="AR79" s="10">
        <v>7.25</v>
      </c>
      <c r="AS79" s="11">
        <v>0</v>
      </c>
      <c r="AT79" s="11">
        <v>8268.5</v>
      </c>
      <c r="AU79" s="11">
        <v>6557.25</v>
      </c>
      <c r="AV79" s="11">
        <v>3597.75</v>
      </c>
      <c r="AW79" s="11">
        <v>0</v>
      </c>
      <c r="AX79" s="11">
        <v>1408.875</v>
      </c>
      <c r="AY79" s="11">
        <v>23263.540178571398</v>
      </c>
      <c r="AZ79" s="11">
        <v>8981.1166666666995</v>
      </c>
      <c r="BA79" s="23">
        <v>3</v>
      </c>
      <c r="BB79" s="24" t="s">
        <v>8</v>
      </c>
    </row>
    <row r="80" spans="1:54" x14ac:dyDescent="0.2">
      <c r="A80" s="5">
        <v>483</v>
      </c>
      <c r="B80" s="20" t="s">
        <v>81</v>
      </c>
      <c r="C80" s="18" t="s">
        <v>54</v>
      </c>
      <c r="D80" s="18">
        <v>5</v>
      </c>
      <c r="E80" s="18">
        <v>0</v>
      </c>
      <c r="F80" s="20">
        <v>4</v>
      </c>
      <c r="G80" s="18">
        <v>26</v>
      </c>
      <c r="H80" s="22">
        <v>4.1013004791238874</v>
      </c>
      <c r="I80" s="22" t="s">
        <v>8</v>
      </c>
      <c r="J80" s="22" t="s">
        <v>8</v>
      </c>
      <c r="K80" s="22">
        <v>4.1013004791238874</v>
      </c>
      <c r="L80" s="22" t="s">
        <v>8</v>
      </c>
      <c r="M80" s="22" t="s">
        <v>8</v>
      </c>
      <c r="N80" s="22">
        <v>4.1013004791238874</v>
      </c>
      <c r="O80" s="22" t="s">
        <v>8</v>
      </c>
      <c r="P80" s="22" t="s">
        <v>8</v>
      </c>
      <c r="Q80" s="22" t="s">
        <v>8</v>
      </c>
      <c r="R80" s="22" t="s">
        <v>8</v>
      </c>
      <c r="S80" s="22" t="s">
        <v>8</v>
      </c>
      <c r="T80" s="5">
        <v>4</v>
      </c>
      <c r="U80" s="5">
        <v>16</v>
      </c>
      <c r="V80" s="20" t="s">
        <v>1</v>
      </c>
      <c r="W80" s="20">
        <v>5</v>
      </c>
      <c r="X80" s="20">
        <v>1</v>
      </c>
      <c r="Y80" s="5">
        <v>1</v>
      </c>
      <c r="Z80" s="20">
        <v>4</v>
      </c>
      <c r="AA80" s="23">
        <f t="shared" si="2"/>
        <v>2</v>
      </c>
      <c r="AB80" s="15">
        <v>1</v>
      </c>
      <c r="AC80" s="15">
        <v>0.8571428571428571</v>
      </c>
      <c r="AD80" s="15">
        <v>0.5</v>
      </c>
      <c r="AE80" s="15">
        <v>0.76200000000000001</v>
      </c>
      <c r="AF80" s="20">
        <v>16</v>
      </c>
      <c r="AG80" s="20" t="s">
        <v>8</v>
      </c>
      <c r="AH80" s="24">
        <v>21</v>
      </c>
      <c r="AI80" s="23">
        <f t="shared" si="3"/>
        <v>1</v>
      </c>
      <c r="AJ80" s="17">
        <v>4.75</v>
      </c>
      <c r="AK80" s="17">
        <v>1.75</v>
      </c>
      <c r="AL80" s="14">
        <v>6.5</v>
      </c>
      <c r="AM80" s="23" cm="1">
        <f t="array" ref="AM80">IF(OR(AN80:AZ80=""),"BLANK",IF(AND(AN80:AZ80&lt;9999999),1,IF(AND(AN80:AZ80="NA"),3,2)))</f>
        <v>1</v>
      </c>
      <c r="AN80" s="5">
        <v>5</v>
      </c>
      <c r="AO80" s="5">
        <v>2</v>
      </c>
      <c r="AP80" s="10">
        <v>3</v>
      </c>
      <c r="AQ80" s="10">
        <v>7.5</v>
      </c>
      <c r="AR80" s="10">
        <v>12</v>
      </c>
      <c r="AS80" s="11">
        <v>797.5</v>
      </c>
      <c r="AT80" s="11">
        <v>11148</v>
      </c>
      <c r="AU80" s="11">
        <v>4203.25</v>
      </c>
      <c r="AV80" s="11">
        <v>5984</v>
      </c>
      <c r="AW80" s="11">
        <v>0</v>
      </c>
      <c r="AX80" s="11">
        <v>0</v>
      </c>
      <c r="AY80" s="11">
        <v>32865.572916666701</v>
      </c>
      <c r="AZ80" s="11">
        <v>12877.083333333299</v>
      </c>
      <c r="BA80" s="23">
        <v>3</v>
      </c>
      <c r="BB80" s="24" t="s">
        <v>8</v>
      </c>
    </row>
    <row r="81" spans="1:54" x14ac:dyDescent="0.2">
      <c r="A81" s="5">
        <v>492</v>
      </c>
      <c r="B81" s="20" t="s">
        <v>64</v>
      </c>
      <c r="C81" s="18" t="s">
        <v>54</v>
      </c>
      <c r="D81" s="18">
        <v>5</v>
      </c>
      <c r="E81" s="18">
        <v>0</v>
      </c>
      <c r="F81" s="20">
        <v>4</v>
      </c>
      <c r="G81" s="18">
        <v>30</v>
      </c>
      <c r="H81" s="22">
        <v>4.0246406570841886</v>
      </c>
      <c r="I81" s="22">
        <v>6.1765913757700206</v>
      </c>
      <c r="J81" s="22">
        <v>10.201232032854209</v>
      </c>
      <c r="K81" s="22">
        <v>4.0246406570841886</v>
      </c>
      <c r="L81" s="22">
        <v>6.1765913757700206</v>
      </c>
      <c r="M81" s="22">
        <v>10.201232032854209</v>
      </c>
      <c r="N81" s="22">
        <v>4.043805612594114</v>
      </c>
      <c r="O81" s="22" t="s">
        <v>8</v>
      </c>
      <c r="P81" s="22" t="s">
        <v>8</v>
      </c>
      <c r="Q81" s="22" t="s">
        <v>8</v>
      </c>
      <c r="R81" s="22" t="s">
        <v>8</v>
      </c>
      <c r="S81" s="22" t="s">
        <v>8</v>
      </c>
      <c r="T81" s="5">
        <v>6</v>
      </c>
      <c r="U81" s="5">
        <v>18</v>
      </c>
      <c r="V81" s="20" t="s">
        <v>1</v>
      </c>
      <c r="W81" s="20">
        <v>5</v>
      </c>
      <c r="X81" s="20">
        <v>1</v>
      </c>
      <c r="Y81" s="5">
        <v>1</v>
      </c>
      <c r="Z81" s="20">
        <v>4</v>
      </c>
      <c r="AA81" s="23">
        <f t="shared" si="2"/>
        <v>2</v>
      </c>
      <c r="AB81" s="15">
        <v>1</v>
      </c>
      <c r="AC81" s="15">
        <v>0.875</v>
      </c>
      <c r="AD81" s="15">
        <v>0.75</v>
      </c>
      <c r="AE81" s="15">
        <v>0.875</v>
      </c>
      <c r="AF81" s="20">
        <v>21</v>
      </c>
      <c r="AG81" s="20" t="s">
        <v>8</v>
      </c>
      <c r="AH81" s="24">
        <v>24</v>
      </c>
      <c r="AI81" s="23">
        <f t="shared" si="3"/>
        <v>1</v>
      </c>
      <c r="AJ81" s="17">
        <v>7.25</v>
      </c>
      <c r="AK81" s="17">
        <v>12</v>
      </c>
      <c r="AL81" s="14">
        <v>19.25</v>
      </c>
      <c r="AM81" s="23" cm="1">
        <f t="array" ref="AM81">IF(OR(AN81:AZ81=""),"BLANK",IF(AND(AN81:AZ81&lt;9999999),1,IF(AND(AN81:AZ81="NA"),3,2)))</f>
        <v>1</v>
      </c>
      <c r="AN81" s="5">
        <v>7</v>
      </c>
      <c r="AO81" s="5">
        <v>2</v>
      </c>
      <c r="AP81" s="10">
        <v>3</v>
      </c>
      <c r="AQ81" s="10">
        <v>7.75</v>
      </c>
      <c r="AR81" s="10">
        <v>7.25</v>
      </c>
      <c r="AS81" s="11">
        <v>2522</v>
      </c>
      <c r="AT81" s="11">
        <v>5823</v>
      </c>
      <c r="AU81" s="11">
        <v>11207</v>
      </c>
      <c r="AV81" s="11">
        <v>10082.75</v>
      </c>
      <c r="AW81" s="11">
        <v>0</v>
      </c>
      <c r="AX81" s="11">
        <v>0</v>
      </c>
      <c r="AY81" s="11">
        <v>6269.3055555556002</v>
      </c>
      <c r="AZ81" s="11">
        <v>3778.5595238095002</v>
      </c>
      <c r="BA81" s="23">
        <v>3</v>
      </c>
      <c r="BB81" s="24" t="s">
        <v>8</v>
      </c>
    </row>
    <row r="82" spans="1:54" x14ac:dyDescent="0.2">
      <c r="A82" s="5">
        <v>495</v>
      </c>
      <c r="B82" s="20" t="s">
        <v>64</v>
      </c>
      <c r="C82" s="18" t="s">
        <v>55</v>
      </c>
      <c r="D82" s="18">
        <v>5</v>
      </c>
      <c r="E82" s="18">
        <v>0</v>
      </c>
      <c r="F82" s="20">
        <v>3.8180000000000001</v>
      </c>
      <c r="G82" s="18">
        <v>28</v>
      </c>
      <c r="H82" s="22">
        <v>4.0136892539356603</v>
      </c>
      <c r="I82" s="22" t="s">
        <v>8</v>
      </c>
      <c r="J82" s="22" t="s">
        <v>8</v>
      </c>
      <c r="K82" s="22">
        <v>4.0136892539356603</v>
      </c>
      <c r="L82" s="22" t="s">
        <v>8</v>
      </c>
      <c r="M82" s="22" t="s">
        <v>8</v>
      </c>
      <c r="N82" s="22" t="s">
        <v>8</v>
      </c>
      <c r="O82" s="22" t="s">
        <v>8</v>
      </c>
      <c r="P82" s="22" t="s">
        <v>8</v>
      </c>
      <c r="Q82" s="22" t="s">
        <v>8</v>
      </c>
      <c r="R82" s="22" t="s">
        <v>8</v>
      </c>
      <c r="S82" s="22" t="s">
        <v>8</v>
      </c>
      <c r="T82" s="5">
        <v>3</v>
      </c>
      <c r="U82" s="5">
        <v>14</v>
      </c>
      <c r="V82" s="20" t="s">
        <v>1</v>
      </c>
      <c r="W82" s="20">
        <v>5</v>
      </c>
      <c r="X82" s="20">
        <v>1</v>
      </c>
      <c r="Y82" s="5">
        <v>1</v>
      </c>
      <c r="Z82" s="20">
        <v>4</v>
      </c>
      <c r="AA82" s="23">
        <f t="shared" si="2"/>
        <v>2</v>
      </c>
      <c r="AB82" s="15">
        <v>0.875</v>
      </c>
      <c r="AC82" s="15">
        <v>0.75</v>
      </c>
      <c r="AD82" s="15">
        <v>0.625</v>
      </c>
      <c r="AE82" s="15">
        <v>0.75</v>
      </c>
      <c r="AF82" s="20">
        <v>18</v>
      </c>
      <c r="AG82" s="20" t="s">
        <v>8</v>
      </c>
      <c r="AH82" s="24">
        <v>24</v>
      </c>
      <c r="AI82" s="23">
        <f t="shared" si="3"/>
        <v>1</v>
      </c>
      <c r="AJ82" s="17">
        <v>6.75</v>
      </c>
      <c r="AK82" s="17">
        <v>5</v>
      </c>
      <c r="AL82" s="14">
        <v>11.75</v>
      </c>
      <c r="AM82" s="23" cm="1">
        <f t="array" ref="AM82">IF(OR(AN82:AZ82=""),"BLANK",IF(AND(AN82:AZ82&lt;9999999),1,IF(AND(AN82:AZ82="NA"),3,2)))</f>
        <v>1</v>
      </c>
      <c r="AN82" s="5">
        <v>7</v>
      </c>
      <c r="AO82" s="5">
        <v>2</v>
      </c>
      <c r="AP82" s="10">
        <v>4</v>
      </c>
      <c r="AQ82" s="10">
        <v>5.25</v>
      </c>
      <c r="AR82" s="10">
        <v>8.5</v>
      </c>
      <c r="AS82" s="11">
        <v>2433</v>
      </c>
      <c r="AT82" s="11">
        <v>15574</v>
      </c>
      <c r="AU82" s="11">
        <v>8022.5</v>
      </c>
      <c r="AV82" s="11">
        <v>7562</v>
      </c>
      <c r="AW82" s="11">
        <v>0</v>
      </c>
      <c r="AX82" s="11">
        <v>22082.0333333333</v>
      </c>
      <c r="AY82" s="11">
        <v>12328.15</v>
      </c>
      <c r="AZ82" s="11">
        <v>13688.112499999999</v>
      </c>
      <c r="BA82" s="23">
        <v>3</v>
      </c>
      <c r="BB82" s="24" t="s">
        <v>8</v>
      </c>
    </row>
    <row r="83" spans="1:54" x14ac:dyDescent="0.2">
      <c r="A83" s="5">
        <v>503</v>
      </c>
      <c r="B83" s="20" t="s">
        <v>74</v>
      </c>
      <c r="C83" s="18" t="s">
        <v>54</v>
      </c>
      <c r="D83" s="18">
        <v>5</v>
      </c>
      <c r="E83" s="18">
        <v>0</v>
      </c>
      <c r="F83" s="20">
        <v>3.5449999999999999</v>
      </c>
      <c r="G83" s="18">
        <v>29</v>
      </c>
      <c r="H83" s="22">
        <v>4.2573579739904179</v>
      </c>
      <c r="I83" s="22">
        <v>6.0670773442847361</v>
      </c>
      <c r="J83" s="22">
        <v>10.324435318275153</v>
      </c>
      <c r="K83" s="22">
        <v>4.2628336755646821</v>
      </c>
      <c r="L83" s="22">
        <v>6.061601642710472</v>
      </c>
      <c r="M83" s="22">
        <v>10.324435318275153</v>
      </c>
      <c r="N83" s="22">
        <v>4.0766598220396988</v>
      </c>
      <c r="O83" s="22">
        <v>6.0479123887748116</v>
      </c>
      <c r="P83" s="22">
        <v>10.124572210814511</v>
      </c>
      <c r="Q83" s="22" t="s">
        <v>8</v>
      </c>
      <c r="R83" s="22" t="s">
        <v>8</v>
      </c>
      <c r="S83" s="22" t="s">
        <v>8</v>
      </c>
      <c r="T83" s="5">
        <v>3</v>
      </c>
      <c r="U83" s="5">
        <v>14</v>
      </c>
      <c r="V83" s="20" t="s">
        <v>1</v>
      </c>
      <c r="W83" s="20">
        <v>5</v>
      </c>
      <c r="X83" s="20">
        <v>1</v>
      </c>
      <c r="Y83" s="5">
        <v>1</v>
      </c>
      <c r="Z83" s="20">
        <v>4</v>
      </c>
      <c r="AA83" s="23">
        <f t="shared" si="2"/>
        <v>2</v>
      </c>
      <c r="AB83" s="15">
        <v>1</v>
      </c>
      <c r="AC83" s="15">
        <v>0.75</v>
      </c>
      <c r="AD83" s="15">
        <v>0</v>
      </c>
      <c r="AE83" s="15">
        <v>0.58299999999999996</v>
      </c>
      <c r="AF83" s="20">
        <v>14</v>
      </c>
      <c r="AG83" s="20" t="s">
        <v>8</v>
      </c>
      <c r="AH83" s="24">
        <v>24</v>
      </c>
      <c r="AI83" s="23">
        <f t="shared" si="3"/>
        <v>1</v>
      </c>
      <c r="AJ83" s="17">
        <v>4.5</v>
      </c>
      <c r="AK83" s="17">
        <v>3.75</v>
      </c>
      <c r="AL83" s="14">
        <v>8.25</v>
      </c>
      <c r="AM83" s="23" cm="1">
        <f t="array" ref="AM83">IF(OR(AN83:AZ83=""),"BLANK",IF(AND(AN83:AZ83&lt;9999999),1,IF(AND(AN83:AZ83="NA"),3,2)))</f>
        <v>1</v>
      </c>
      <c r="AN83" s="5">
        <v>6</v>
      </c>
      <c r="AO83" s="5">
        <v>2</v>
      </c>
      <c r="AP83" s="10">
        <v>5.5</v>
      </c>
      <c r="AQ83" s="10">
        <v>5.75</v>
      </c>
      <c r="AR83" s="10">
        <v>6.25</v>
      </c>
      <c r="AS83" s="11">
        <v>1959</v>
      </c>
      <c r="AT83" s="11">
        <v>6184</v>
      </c>
      <c r="AU83" s="11">
        <v>2081.5</v>
      </c>
      <c r="AV83" s="11">
        <v>4979</v>
      </c>
      <c r="AW83" s="11">
        <v>0</v>
      </c>
      <c r="AX83" s="11">
        <v>4250.4285714285998</v>
      </c>
      <c r="AY83" s="11">
        <v>4044.25</v>
      </c>
      <c r="AZ83" s="11">
        <v>6761.3805555556</v>
      </c>
      <c r="BA83" s="23">
        <v>3</v>
      </c>
      <c r="BB83" s="24" t="s">
        <v>8</v>
      </c>
    </row>
    <row r="84" spans="1:54" x14ac:dyDescent="0.2">
      <c r="A84" s="5">
        <v>509</v>
      </c>
      <c r="B84" s="20" t="s">
        <v>70</v>
      </c>
      <c r="C84" s="18" t="s">
        <v>54</v>
      </c>
      <c r="D84" s="18">
        <v>5</v>
      </c>
      <c r="E84" s="18">
        <v>1</v>
      </c>
      <c r="F84" s="20">
        <v>3.6360000000000001</v>
      </c>
      <c r="G84" s="18">
        <v>30</v>
      </c>
      <c r="H84" s="22">
        <v>4.0109514031485283</v>
      </c>
      <c r="I84" s="22">
        <v>6.0041067761806985</v>
      </c>
      <c r="J84" s="22">
        <v>10.015058179329227</v>
      </c>
      <c r="K84" s="22">
        <v>4.0109514031485283</v>
      </c>
      <c r="L84" s="22">
        <v>6.0041067761806985</v>
      </c>
      <c r="M84" s="22">
        <v>10.015058179329227</v>
      </c>
      <c r="N84" s="22">
        <v>3.9863107460643397</v>
      </c>
      <c r="O84" s="22">
        <v>5.7275838466803561</v>
      </c>
      <c r="P84" s="22">
        <v>9.7138945927446958</v>
      </c>
      <c r="Q84" s="22" t="s">
        <v>8</v>
      </c>
      <c r="R84" s="22" t="s">
        <v>8</v>
      </c>
      <c r="S84" s="22" t="s">
        <v>8</v>
      </c>
      <c r="T84" s="5">
        <v>5</v>
      </c>
      <c r="U84" s="5">
        <v>16</v>
      </c>
      <c r="V84" s="20" t="s">
        <v>1</v>
      </c>
      <c r="W84" s="20">
        <v>5</v>
      </c>
      <c r="X84" s="20">
        <v>1</v>
      </c>
      <c r="Y84" s="5">
        <v>1</v>
      </c>
      <c r="Z84" s="20">
        <v>4</v>
      </c>
      <c r="AA84" s="23">
        <f t="shared" si="2"/>
        <v>2</v>
      </c>
      <c r="AB84" s="15">
        <v>1</v>
      </c>
      <c r="AC84" s="15">
        <v>0.875</v>
      </c>
      <c r="AD84" s="15">
        <v>0.75</v>
      </c>
      <c r="AE84" s="15">
        <v>0.875</v>
      </c>
      <c r="AF84" s="20">
        <v>21</v>
      </c>
      <c r="AG84" s="20" t="s">
        <v>8</v>
      </c>
      <c r="AH84" s="24">
        <v>24</v>
      </c>
      <c r="AI84" s="23">
        <f t="shared" si="3"/>
        <v>1</v>
      </c>
      <c r="AJ84" s="17">
        <v>12</v>
      </c>
      <c r="AK84" s="17">
        <v>10.75</v>
      </c>
      <c r="AL84" s="14">
        <v>22.75</v>
      </c>
      <c r="AM84" s="23" cm="1">
        <f t="array" ref="AM84">IF(OR(AN84:AZ84=""),"BLANK",IF(AND(AN84:AZ84&lt;9999999),1,IF(AND(AN84:AZ84="NA"),3,2)))</f>
        <v>1</v>
      </c>
      <c r="AN84" s="5">
        <v>11</v>
      </c>
      <c r="AO84" s="5">
        <v>2</v>
      </c>
      <c r="AP84" s="10">
        <v>3</v>
      </c>
      <c r="AQ84" s="10">
        <v>4.25</v>
      </c>
      <c r="AR84" s="10">
        <v>5</v>
      </c>
      <c r="AS84" s="11">
        <v>1061.5</v>
      </c>
      <c r="AT84" s="11">
        <v>1650</v>
      </c>
      <c r="AU84" s="11">
        <v>2160.25</v>
      </c>
      <c r="AV84" s="11">
        <v>3017.5</v>
      </c>
      <c r="AW84" s="11">
        <v>0</v>
      </c>
      <c r="AX84" s="11">
        <v>0</v>
      </c>
      <c r="AY84" s="11">
        <v>0</v>
      </c>
      <c r="AZ84" s="11">
        <v>0</v>
      </c>
      <c r="BA84" s="23">
        <v>3</v>
      </c>
      <c r="BB84" s="24" t="s">
        <v>8</v>
      </c>
    </row>
    <row r="85" spans="1:54" x14ac:dyDescent="0.2">
      <c r="A85" s="5">
        <v>520</v>
      </c>
      <c r="B85" s="20" t="s">
        <v>70</v>
      </c>
      <c r="C85" s="18" t="s">
        <v>54</v>
      </c>
      <c r="D85" s="18">
        <v>5</v>
      </c>
      <c r="E85" s="18">
        <v>0</v>
      </c>
      <c r="F85" s="20">
        <v>3.1819999999999999</v>
      </c>
      <c r="G85" s="18">
        <v>27</v>
      </c>
      <c r="H85" s="22">
        <v>4.16974674880219</v>
      </c>
      <c r="I85" s="22" t="s">
        <v>8</v>
      </c>
      <c r="J85" s="22" t="s">
        <v>8</v>
      </c>
      <c r="K85" s="22">
        <v>4.1806981519507183</v>
      </c>
      <c r="L85" s="22" t="s">
        <v>8</v>
      </c>
      <c r="M85" s="22" t="s">
        <v>8</v>
      </c>
      <c r="N85" s="22">
        <v>3.9616700889801506</v>
      </c>
      <c r="O85" s="22" t="s">
        <v>8</v>
      </c>
      <c r="P85" s="22" t="s">
        <v>8</v>
      </c>
      <c r="Q85" s="22" t="s">
        <v>8</v>
      </c>
      <c r="R85" s="22" t="s">
        <v>8</v>
      </c>
      <c r="S85" s="22" t="s">
        <v>8</v>
      </c>
      <c r="T85" s="5">
        <v>4</v>
      </c>
      <c r="U85" s="5">
        <v>16</v>
      </c>
      <c r="V85" s="20" t="s">
        <v>1</v>
      </c>
      <c r="W85" s="20">
        <v>5</v>
      </c>
      <c r="X85" s="20">
        <v>1</v>
      </c>
      <c r="Y85" s="5">
        <v>1</v>
      </c>
      <c r="Z85" s="20">
        <v>4</v>
      </c>
      <c r="AA85" s="23">
        <f t="shared" si="2"/>
        <v>2</v>
      </c>
      <c r="AB85" s="15">
        <v>1</v>
      </c>
      <c r="AC85" s="15">
        <v>0.875</v>
      </c>
      <c r="AD85" s="15">
        <v>0.8571428571428571</v>
      </c>
      <c r="AE85" s="15">
        <v>0.91300000000000003</v>
      </c>
      <c r="AF85" s="20">
        <v>21</v>
      </c>
      <c r="AG85" s="20" t="s">
        <v>8</v>
      </c>
      <c r="AH85" s="24">
        <v>23</v>
      </c>
      <c r="AI85" s="23">
        <f t="shared" si="3"/>
        <v>1</v>
      </c>
      <c r="AJ85" s="17">
        <v>2.75</v>
      </c>
      <c r="AK85" s="17">
        <v>8.25</v>
      </c>
      <c r="AL85" s="14">
        <v>11</v>
      </c>
      <c r="AM85" s="23" cm="1">
        <f t="array" ref="AM85">IF(OR(AN85:AZ85=""),"BLANK",IF(AND(AN85:AZ85&lt;9999999),1,IF(AND(AN85:AZ85="NA"),3,2)))</f>
        <v>1</v>
      </c>
      <c r="AN85" s="5">
        <v>8</v>
      </c>
      <c r="AO85" s="5">
        <v>2</v>
      </c>
      <c r="AP85" s="10">
        <v>3</v>
      </c>
      <c r="AQ85" s="10">
        <v>6</v>
      </c>
      <c r="AR85" s="10">
        <v>5.75</v>
      </c>
      <c r="AS85" s="11">
        <v>1765.5</v>
      </c>
      <c r="AT85" s="11">
        <v>2857.5</v>
      </c>
      <c r="AU85" s="11">
        <v>13700.75</v>
      </c>
      <c r="AV85" s="11">
        <v>22642.25</v>
      </c>
      <c r="AW85" s="11">
        <v>0</v>
      </c>
      <c r="AX85" s="11">
        <v>0</v>
      </c>
      <c r="AY85" s="11">
        <v>834.71875</v>
      </c>
      <c r="AZ85" s="11">
        <v>1135.8464285714001</v>
      </c>
      <c r="BA85" s="23">
        <v>3</v>
      </c>
      <c r="BB85" s="24" t="s">
        <v>8</v>
      </c>
    </row>
    <row r="86" spans="1:54" x14ac:dyDescent="0.2">
      <c r="A86" s="5">
        <v>528</v>
      </c>
      <c r="B86" s="20" t="s">
        <v>64</v>
      </c>
      <c r="C86" s="18" t="s">
        <v>55</v>
      </c>
      <c r="D86" s="18">
        <v>5</v>
      </c>
      <c r="E86" s="18">
        <v>0</v>
      </c>
      <c r="F86" s="20">
        <v>3.7269999999999999</v>
      </c>
      <c r="G86" s="18">
        <v>27</v>
      </c>
      <c r="H86" s="22">
        <v>4.0054757015742641</v>
      </c>
      <c r="I86" s="22" t="s">
        <v>8</v>
      </c>
      <c r="J86" s="22" t="s">
        <v>8</v>
      </c>
      <c r="K86" s="22">
        <v>4.0246406570841886</v>
      </c>
      <c r="L86" s="22" t="s">
        <v>8</v>
      </c>
      <c r="M86" s="22" t="s">
        <v>8</v>
      </c>
      <c r="N86" s="22">
        <v>4.0136892539356603</v>
      </c>
      <c r="O86" s="22" t="s">
        <v>8</v>
      </c>
      <c r="P86" s="22" t="s">
        <v>8</v>
      </c>
      <c r="Q86" s="22">
        <v>3.3347022587268995</v>
      </c>
      <c r="R86" s="22" t="s">
        <v>8</v>
      </c>
      <c r="S86" s="22" t="s">
        <v>8</v>
      </c>
      <c r="T86" s="5">
        <v>7</v>
      </c>
      <c r="U86" s="5">
        <v>21</v>
      </c>
      <c r="V86" s="20" t="s">
        <v>1</v>
      </c>
      <c r="W86" s="20">
        <v>5</v>
      </c>
      <c r="X86" s="20">
        <v>1</v>
      </c>
      <c r="Y86" s="5">
        <v>1</v>
      </c>
      <c r="Z86" s="20">
        <v>4</v>
      </c>
      <c r="AA86" s="23">
        <f t="shared" si="2"/>
        <v>2</v>
      </c>
      <c r="AB86" s="15">
        <v>1</v>
      </c>
      <c r="AC86" s="15">
        <v>1</v>
      </c>
      <c r="AD86" s="15">
        <v>0.625</v>
      </c>
      <c r="AE86" s="15">
        <v>0.875</v>
      </c>
      <c r="AF86" s="20">
        <v>21</v>
      </c>
      <c r="AG86" s="20" t="s">
        <v>8</v>
      </c>
      <c r="AH86" s="24">
        <v>24</v>
      </c>
      <c r="AI86" s="23">
        <f t="shared" si="3"/>
        <v>1</v>
      </c>
      <c r="AJ86" s="17">
        <v>13</v>
      </c>
      <c r="AK86" s="17">
        <v>7</v>
      </c>
      <c r="AL86" s="14">
        <v>20</v>
      </c>
      <c r="AM86" s="23" cm="1">
        <f t="array" ref="AM86">IF(OR(AN86:AZ86=""),"BLANK",IF(AND(AN86:AZ86&lt;9999999),1,IF(AND(AN86:AZ86="NA"),3,2)))</f>
        <v>1</v>
      </c>
      <c r="AN86" s="5">
        <v>6</v>
      </c>
      <c r="AO86" s="5">
        <v>2</v>
      </c>
      <c r="AP86" s="10">
        <v>3.5</v>
      </c>
      <c r="AQ86" s="10">
        <v>5.75</v>
      </c>
      <c r="AR86" s="10">
        <v>7.25</v>
      </c>
      <c r="AS86" s="11">
        <v>2599</v>
      </c>
      <c r="AT86" s="11">
        <v>3635.5</v>
      </c>
      <c r="AU86" s="11">
        <v>8817.25</v>
      </c>
      <c r="AV86" s="11">
        <v>6967.5</v>
      </c>
      <c r="AW86" s="11">
        <v>0</v>
      </c>
      <c r="AX86" s="11">
        <v>0</v>
      </c>
      <c r="AY86" s="11">
        <v>1229.625</v>
      </c>
      <c r="AZ86" s="11">
        <v>1322.4898268397999</v>
      </c>
      <c r="BA86" s="23">
        <v>3</v>
      </c>
      <c r="BB86" s="24" t="s">
        <v>8</v>
      </c>
    </row>
    <row r="87" spans="1:54" x14ac:dyDescent="0.2">
      <c r="A87" s="5">
        <v>532</v>
      </c>
      <c r="B87" s="20" t="s">
        <v>75</v>
      </c>
      <c r="C87" s="18" t="s">
        <v>55</v>
      </c>
      <c r="D87" s="18">
        <v>5</v>
      </c>
      <c r="E87" s="18">
        <v>0</v>
      </c>
      <c r="F87" s="20">
        <v>4</v>
      </c>
      <c r="G87" s="18">
        <v>30</v>
      </c>
      <c r="H87" s="22">
        <v>4.1998631074606436</v>
      </c>
      <c r="I87" s="22" t="s">
        <v>8</v>
      </c>
      <c r="J87" s="22" t="s">
        <v>8</v>
      </c>
      <c r="K87" s="22">
        <v>4.1998631074606436</v>
      </c>
      <c r="L87" s="22" t="s">
        <v>8</v>
      </c>
      <c r="M87" s="22" t="s">
        <v>8</v>
      </c>
      <c r="N87" s="22">
        <v>4.2026009582477757</v>
      </c>
      <c r="O87" s="22" t="s">
        <v>8</v>
      </c>
      <c r="P87" s="22" t="s">
        <v>8</v>
      </c>
      <c r="Q87" s="22">
        <v>3.1978097193702943</v>
      </c>
      <c r="R87" s="22" t="s">
        <v>8</v>
      </c>
      <c r="S87" s="22" t="s">
        <v>8</v>
      </c>
      <c r="T87" s="5">
        <v>6</v>
      </c>
      <c r="U87" s="5">
        <v>18</v>
      </c>
      <c r="V87" s="20" t="s">
        <v>1</v>
      </c>
      <c r="W87" s="20">
        <v>5</v>
      </c>
      <c r="X87" s="20">
        <v>1</v>
      </c>
      <c r="Y87" s="5">
        <v>1</v>
      </c>
      <c r="Z87" s="20">
        <v>4</v>
      </c>
      <c r="AA87" s="23">
        <f t="shared" si="2"/>
        <v>2</v>
      </c>
      <c r="AB87" s="15">
        <v>1</v>
      </c>
      <c r="AC87" s="15">
        <v>0.875</v>
      </c>
      <c r="AD87" s="15">
        <v>0.5</v>
      </c>
      <c r="AE87" s="15">
        <v>0.79200000000000004</v>
      </c>
      <c r="AF87" s="20">
        <v>19</v>
      </c>
      <c r="AG87" s="20" t="s">
        <v>8</v>
      </c>
      <c r="AH87" s="24">
        <v>24</v>
      </c>
      <c r="AI87" s="23">
        <f t="shared" si="3"/>
        <v>1</v>
      </c>
      <c r="AJ87" s="17">
        <v>7</v>
      </c>
      <c r="AK87" s="17">
        <v>9</v>
      </c>
      <c r="AL87" s="14">
        <v>16</v>
      </c>
      <c r="AM87" s="23" cm="1">
        <f t="array" ref="AM87">IF(OR(AN87:AZ87=""),"BLANK",IF(AND(AN87:AZ87&lt;9999999),1,IF(AND(AN87:AZ87="NA"),3,2)))</f>
        <v>1</v>
      </c>
      <c r="AN87" s="5">
        <v>9</v>
      </c>
      <c r="AO87" s="5">
        <v>2</v>
      </c>
      <c r="AP87" s="10">
        <v>3</v>
      </c>
      <c r="AQ87" s="10">
        <v>5.25</v>
      </c>
      <c r="AR87" s="10">
        <v>8</v>
      </c>
      <c r="AS87" s="11">
        <v>1221.5</v>
      </c>
      <c r="AT87" s="11">
        <v>6449</v>
      </c>
      <c r="AU87" s="11">
        <v>6463.5</v>
      </c>
      <c r="AV87" s="11">
        <v>5837</v>
      </c>
      <c r="AW87" s="11">
        <v>0</v>
      </c>
      <c r="AX87" s="11">
        <v>92.166666666699996</v>
      </c>
      <c r="AY87" s="11">
        <v>3522.9097222221999</v>
      </c>
      <c r="AZ87" s="11">
        <v>2001.7045454545</v>
      </c>
      <c r="BA87" s="23">
        <v>3</v>
      </c>
      <c r="BB87" s="24" t="s">
        <v>8</v>
      </c>
    </row>
    <row r="88" spans="1:54" x14ac:dyDescent="0.2">
      <c r="A88" s="5">
        <v>543</v>
      </c>
      <c r="B88" s="20" t="s">
        <v>74</v>
      </c>
      <c r="C88" s="18" t="s">
        <v>55</v>
      </c>
      <c r="D88" s="18">
        <v>5</v>
      </c>
      <c r="E88" s="18">
        <v>0</v>
      </c>
      <c r="F88" s="20">
        <v>4</v>
      </c>
      <c r="G88" s="18">
        <v>28</v>
      </c>
      <c r="H88" s="22">
        <v>4.2956878850102669</v>
      </c>
      <c r="I88" s="22" t="s">
        <v>8</v>
      </c>
      <c r="J88" s="22" t="s">
        <v>8</v>
      </c>
      <c r="K88" s="22">
        <v>4.2956878850102669</v>
      </c>
      <c r="L88" s="22" t="s">
        <v>8</v>
      </c>
      <c r="M88" s="22" t="s">
        <v>8</v>
      </c>
      <c r="N88" s="22">
        <v>4.2929500342231348</v>
      </c>
      <c r="O88" s="22" t="s">
        <v>8</v>
      </c>
      <c r="P88" s="22" t="s">
        <v>8</v>
      </c>
      <c r="Q88" s="22">
        <v>3.6221765913757702</v>
      </c>
      <c r="R88" s="22" t="s">
        <v>8</v>
      </c>
      <c r="S88" s="22" t="s">
        <v>8</v>
      </c>
      <c r="T88" s="5">
        <v>7</v>
      </c>
      <c r="U88" s="5">
        <v>21</v>
      </c>
      <c r="V88" s="20" t="s">
        <v>1</v>
      </c>
      <c r="W88" s="20">
        <v>5</v>
      </c>
      <c r="X88" s="20">
        <v>1</v>
      </c>
      <c r="Y88" s="5">
        <v>1</v>
      </c>
      <c r="Z88" s="20">
        <v>4</v>
      </c>
      <c r="AA88" s="23">
        <f t="shared" si="2"/>
        <v>2</v>
      </c>
      <c r="AB88" s="15">
        <v>1</v>
      </c>
      <c r="AC88" s="15">
        <v>1</v>
      </c>
      <c r="AD88" s="15">
        <v>0.75</v>
      </c>
      <c r="AE88" s="15">
        <v>0.91700000000000004</v>
      </c>
      <c r="AF88" s="20">
        <v>22</v>
      </c>
      <c r="AG88" s="20" t="s">
        <v>8</v>
      </c>
      <c r="AH88" s="24">
        <v>24</v>
      </c>
      <c r="AI88" s="23">
        <f t="shared" si="3"/>
        <v>1</v>
      </c>
      <c r="AJ88" s="17">
        <v>14</v>
      </c>
      <c r="AK88" s="17">
        <v>11</v>
      </c>
      <c r="AL88" s="14">
        <v>25</v>
      </c>
      <c r="AM88" s="23" cm="1">
        <f t="array" ref="AM88">IF(OR(AN88:AZ88=""),"BLANK",IF(AND(AN88:AZ88&lt;9999999),1,IF(AND(AN88:AZ88="NA"),3,2)))</f>
        <v>1</v>
      </c>
      <c r="AN88" s="5">
        <v>11</v>
      </c>
      <c r="AO88" s="5">
        <v>2</v>
      </c>
      <c r="AP88" s="10">
        <v>3</v>
      </c>
      <c r="AQ88" s="10">
        <v>4.75</v>
      </c>
      <c r="AR88" s="10">
        <v>5</v>
      </c>
      <c r="AS88" s="11">
        <v>4311.5</v>
      </c>
      <c r="AT88" s="11">
        <v>6102</v>
      </c>
      <c r="AU88" s="11">
        <v>16830.5</v>
      </c>
      <c r="AV88" s="11">
        <v>13433.5</v>
      </c>
      <c r="AW88" s="11">
        <v>0</v>
      </c>
      <c r="AX88" s="11">
        <v>55</v>
      </c>
      <c r="AY88" s="11">
        <v>2498.5625</v>
      </c>
      <c r="AZ88" s="11">
        <v>0</v>
      </c>
      <c r="BA88" s="23">
        <v>3</v>
      </c>
      <c r="BB88" s="24" t="s">
        <v>8</v>
      </c>
    </row>
    <row r="89" spans="1:54" x14ac:dyDescent="0.2">
      <c r="A89" s="5">
        <v>557</v>
      </c>
      <c r="B89" s="20" t="s">
        <v>70</v>
      </c>
      <c r="C89" s="18" t="s">
        <v>54</v>
      </c>
      <c r="D89" s="18">
        <v>5</v>
      </c>
      <c r="E89" s="18">
        <v>0</v>
      </c>
      <c r="F89" s="20">
        <v>4</v>
      </c>
      <c r="G89" s="18">
        <v>30</v>
      </c>
      <c r="H89" s="22">
        <v>4.1122518822724166</v>
      </c>
      <c r="I89" s="22">
        <v>5.675564681724846</v>
      </c>
      <c r="J89" s="22">
        <v>9.7878165639972625</v>
      </c>
      <c r="K89" s="22">
        <v>4.2491444216290208</v>
      </c>
      <c r="L89" s="22">
        <v>5.7878165639972625</v>
      </c>
      <c r="M89" s="22">
        <v>10.036960985626283</v>
      </c>
      <c r="N89" s="22">
        <v>4.1451060917180014</v>
      </c>
      <c r="O89" s="22">
        <v>5.5961670088980151</v>
      </c>
      <c r="P89" s="22">
        <v>9.7412731006160165</v>
      </c>
      <c r="Q89" s="22">
        <v>3.2553045859000687</v>
      </c>
      <c r="R89" s="22">
        <v>6.4750171115674195</v>
      </c>
      <c r="S89" s="22">
        <v>9.7303216974674882</v>
      </c>
      <c r="T89" s="5">
        <v>4</v>
      </c>
      <c r="U89" s="5">
        <v>16</v>
      </c>
      <c r="V89" s="20" t="s">
        <v>1</v>
      </c>
      <c r="W89" s="20">
        <v>5</v>
      </c>
      <c r="X89" s="20">
        <v>1</v>
      </c>
      <c r="Y89" s="5">
        <v>1</v>
      </c>
      <c r="Z89" s="20">
        <v>4</v>
      </c>
      <c r="AA89" s="23">
        <f t="shared" si="2"/>
        <v>2</v>
      </c>
      <c r="AB89" s="15">
        <v>1</v>
      </c>
      <c r="AC89" s="15">
        <v>0.875</v>
      </c>
      <c r="AD89" s="15">
        <v>0.625</v>
      </c>
      <c r="AE89" s="15">
        <v>0.83299999999999996</v>
      </c>
      <c r="AF89" s="20">
        <v>20</v>
      </c>
      <c r="AG89" s="20" t="s">
        <v>8</v>
      </c>
      <c r="AH89" s="24">
        <v>24</v>
      </c>
      <c r="AI89" s="23">
        <f t="shared" si="3"/>
        <v>1</v>
      </c>
      <c r="AJ89" s="17">
        <v>7.75</v>
      </c>
      <c r="AK89" s="17">
        <v>8.75</v>
      </c>
      <c r="AL89" s="14">
        <v>16.5</v>
      </c>
      <c r="AM89" s="23" cm="1">
        <f t="array" ref="AM89">IF(OR(AN89:AZ89=""),"BLANK",IF(AND(AN89:AZ89&lt;9999999),1,IF(AND(AN89:AZ89="NA"),3,2)))</f>
        <v>1</v>
      </c>
      <c r="AN89" s="5">
        <v>6</v>
      </c>
      <c r="AO89" s="5">
        <v>2</v>
      </c>
      <c r="AP89" s="10">
        <v>3.5</v>
      </c>
      <c r="AQ89" s="10">
        <v>4.5</v>
      </c>
      <c r="AR89" s="10">
        <v>8.25</v>
      </c>
      <c r="AS89" s="11">
        <v>677</v>
      </c>
      <c r="AT89" s="11">
        <v>3920.5</v>
      </c>
      <c r="AU89" s="11">
        <v>3364</v>
      </c>
      <c r="AV89" s="11">
        <v>1219.75</v>
      </c>
      <c r="AW89" s="11">
        <v>3.25</v>
      </c>
      <c r="AX89" s="11">
        <v>96.916666666699996</v>
      </c>
      <c r="AY89" s="11">
        <v>1320.1666666666999</v>
      </c>
      <c r="AZ89" s="11">
        <v>1281.9930555556</v>
      </c>
      <c r="BA89" s="23">
        <v>3</v>
      </c>
      <c r="BB89" s="24" t="s">
        <v>8</v>
      </c>
    </row>
    <row r="90" spans="1:54" x14ac:dyDescent="0.2">
      <c r="A90" s="5">
        <v>562</v>
      </c>
      <c r="B90" s="20" t="s">
        <v>82</v>
      </c>
      <c r="C90" s="18" t="s">
        <v>55</v>
      </c>
      <c r="D90" s="18">
        <v>5</v>
      </c>
      <c r="E90" s="18">
        <v>0</v>
      </c>
      <c r="F90" s="20">
        <v>3.6360000000000001</v>
      </c>
      <c r="G90" s="18">
        <v>27</v>
      </c>
      <c r="H90" s="22">
        <v>4.2546201232032859</v>
      </c>
      <c r="I90" s="22">
        <v>5.4839151266255985</v>
      </c>
      <c r="J90" s="22">
        <v>9.7385352498288835</v>
      </c>
      <c r="K90" s="22">
        <v>4.6214921286789874</v>
      </c>
      <c r="L90" s="22">
        <v>5.117043121149897</v>
      </c>
      <c r="M90" s="22">
        <v>9.7385352498288835</v>
      </c>
      <c r="N90" s="22">
        <v>3.9206023271731691</v>
      </c>
      <c r="O90" s="22">
        <v>5.1800136892539355</v>
      </c>
      <c r="P90" s="22">
        <v>9.1006160164271055</v>
      </c>
      <c r="Q90" s="22">
        <v>3.1950718685831623</v>
      </c>
      <c r="R90" s="22">
        <v>6.1108829568788501</v>
      </c>
      <c r="S90" s="22">
        <v>9.3059548254620115</v>
      </c>
      <c r="T90" s="5">
        <v>6</v>
      </c>
      <c r="U90" s="5">
        <v>18</v>
      </c>
      <c r="V90" s="20" t="s">
        <v>1</v>
      </c>
      <c r="W90" s="20">
        <v>5</v>
      </c>
      <c r="X90" s="20">
        <v>1</v>
      </c>
      <c r="Y90" s="5">
        <v>1</v>
      </c>
      <c r="Z90" s="20">
        <v>4</v>
      </c>
      <c r="AA90" s="23">
        <f t="shared" si="2"/>
        <v>2</v>
      </c>
      <c r="AB90" s="15">
        <v>0.875</v>
      </c>
      <c r="AC90" s="15">
        <v>0.75</v>
      </c>
      <c r="AD90" s="15">
        <v>0.625</v>
      </c>
      <c r="AE90" s="15">
        <v>0.75</v>
      </c>
      <c r="AF90" s="20">
        <v>18</v>
      </c>
      <c r="AG90" s="20" t="s">
        <v>8</v>
      </c>
      <c r="AH90" s="24">
        <v>24</v>
      </c>
      <c r="AI90" s="23">
        <f t="shared" si="3"/>
        <v>1</v>
      </c>
      <c r="AJ90" s="17">
        <v>9.25</v>
      </c>
      <c r="AK90" s="17">
        <v>11.5</v>
      </c>
      <c r="AL90" s="14">
        <v>20.75</v>
      </c>
      <c r="AM90" s="23" cm="1">
        <f t="array" ref="AM90">IF(OR(AN90:AZ90=""),"BLANK",IF(AND(AN90:AZ90&lt;9999999),1,IF(AND(AN90:AZ90="NA"),3,2)))</f>
        <v>1</v>
      </c>
      <c r="AN90" s="5">
        <v>11</v>
      </c>
      <c r="AO90" s="5">
        <v>2</v>
      </c>
      <c r="AP90" s="10">
        <v>3</v>
      </c>
      <c r="AQ90" s="10">
        <v>4</v>
      </c>
      <c r="AR90" s="10">
        <v>6.5</v>
      </c>
      <c r="AS90" s="11">
        <v>787.5</v>
      </c>
      <c r="AT90" s="11">
        <v>5679.5</v>
      </c>
      <c r="AU90" s="11">
        <v>10896</v>
      </c>
      <c r="AV90" s="11">
        <v>14831.5</v>
      </c>
      <c r="AW90" s="11">
        <v>0</v>
      </c>
      <c r="AX90" s="11">
        <v>0</v>
      </c>
      <c r="AY90" s="11">
        <v>0</v>
      </c>
      <c r="AZ90" s="11">
        <v>844.02272727269997</v>
      </c>
      <c r="BA90" s="23">
        <v>3</v>
      </c>
      <c r="BB90" s="24" t="s">
        <v>8</v>
      </c>
    </row>
    <row r="91" spans="1:54" x14ac:dyDescent="0.2">
      <c r="A91" s="5">
        <v>567</v>
      </c>
      <c r="B91" s="20" t="s">
        <v>71</v>
      </c>
      <c r="C91" s="18" t="s">
        <v>54</v>
      </c>
      <c r="D91" s="18">
        <v>2</v>
      </c>
      <c r="E91" s="18">
        <v>0</v>
      </c>
      <c r="F91" s="20">
        <v>3.5449999999999999</v>
      </c>
      <c r="G91" s="18">
        <v>29</v>
      </c>
      <c r="H91" s="22">
        <v>3.9644079397672827</v>
      </c>
      <c r="I91" s="22" t="s">
        <v>8</v>
      </c>
      <c r="J91" s="22" t="s">
        <v>8</v>
      </c>
      <c r="K91" s="22">
        <v>3.9671457905544147</v>
      </c>
      <c r="L91" s="22" t="s">
        <v>8</v>
      </c>
      <c r="M91" s="22" t="s">
        <v>8</v>
      </c>
      <c r="N91" s="22">
        <v>3.9561943874058865</v>
      </c>
      <c r="O91" s="22" t="s">
        <v>8</v>
      </c>
      <c r="P91" s="22" t="s">
        <v>8</v>
      </c>
      <c r="Q91" s="22" t="s">
        <v>8</v>
      </c>
      <c r="R91" s="22" t="s">
        <v>8</v>
      </c>
      <c r="S91" s="22" t="s">
        <v>8</v>
      </c>
      <c r="T91" s="5">
        <v>6</v>
      </c>
      <c r="U91" s="5">
        <v>18</v>
      </c>
      <c r="V91" s="20" t="s">
        <v>1</v>
      </c>
      <c r="W91" s="20">
        <v>5</v>
      </c>
      <c r="X91" s="20">
        <v>1</v>
      </c>
      <c r="Y91" s="5">
        <v>1</v>
      </c>
      <c r="Z91" s="20">
        <v>4</v>
      </c>
      <c r="AA91" s="23">
        <f t="shared" si="2"/>
        <v>2</v>
      </c>
      <c r="AB91" s="15">
        <v>1</v>
      </c>
      <c r="AC91" s="15">
        <v>1</v>
      </c>
      <c r="AD91" s="15">
        <v>1</v>
      </c>
      <c r="AE91" s="15">
        <v>1</v>
      </c>
      <c r="AF91" s="20">
        <v>23</v>
      </c>
      <c r="AG91" s="20" t="s">
        <v>8</v>
      </c>
      <c r="AH91" s="24">
        <v>23</v>
      </c>
      <c r="AI91" s="23">
        <f t="shared" si="3"/>
        <v>1</v>
      </c>
      <c r="AJ91" s="17">
        <v>10.75</v>
      </c>
      <c r="AK91" s="17">
        <v>13</v>
      </c>
      <c r="AL91" s="14">
        <v>23.75</v>
      </c>
      <c r="AM91" s="23" cm="1">
        <f t="array" ref="AM91">IF(OR(AN91:AZ91=""),"BLANK",IF(AND(AN91:AZ91&lt;9999999),1,IF(AND(AN91:AZ91="NA"),3,2)))</f>
        <v>1</v>
      </c>
      <c r="AN91" s="5">
        <v>11</v>
      </c>
      <c r="AO91" s="5">
        <v>2</v>
      </c>
      <c r="AP91" s="10">
        <v>3</v>
      </c>
      <c r="AQ91" s="10">
        <v>5.25</v>
      </c>
      <c r="AR91" s="10">
        <v>5</v>
      </c>
      <c r="AS91" s="11">
        <v>655.5</v>
      </c>
      <c r="AT91" s="11">
        <v>3102</v>
      </c>
      <c r="AU91" s="11">
        <v>8131.25</v>
      </c>
      <c r="AV91" s="11">
        <v>4927</v>
      </c>
      <c r="AW91" s="11">
        <v>0</v>
      </c>
      <c r="AX91" s="11">
        <v>0</v>
      </c>
      <c r="AY91" s="11">
        <v>3175.6388888889001</v>
      </c>
      <c r="AZ91" s="11">
        <v>0</v>
      </c>
      <c r="BA91" s="23">
        <v>3</v>
      </c>
      <c r="BB91" s="24" t="s">
        <v>8</v>
      </c>
    </row>
    <row r="92" spans="1:54" x14ac:dyDescent="0.2">
      <c r="A92" s="5">
        <v>575</v>
      </c>
      <c r="B92" s="20" t="s">
        <v>62</v>
      </c>
      <c r="C92" s="18" t="s">
        <v>54</v>
      </c>
      <c r="D92" s="18">
        <v>5</v>
      </c>
      <c r="E92" s="18">
        <v>0</v>
      </c>
      <c r="F92" s="20">
        <v>4</v>
      </c>
      <c r="G92" s="18">
        <v>28</v>
      </c>
      <c r="H92" s="22">
        <v>3.8576317590691307</v>
      </c>
      <c r="I92" s="22">
        <v>5.2703627652292946</v>
      </c>
      <c r="J92" s="22">
        <v>9.1279945242984262</v>
      </c>
      <c r="K92" s="22">
        <v>3.8576317590691307</v>
      </c>
      <c r="L92" s="22">
        <v>5.2703627652292946</v>
      </c>
      <c r="M92" s="22">
        <v>9.1279945242984262</v>
      </c>
      <c r="N92" s="22">
        <v>3.8576317590691307</v>
      </c>
      <c r="O92" s="22">
        <v>5.0239561943874058</v>
      </c>
      <c r="P92" s="22">
        <v>8.8815879534565365</v>
      </c>
      <c r="Q92" s="22" t="s">
        <v>8</v>
      </c>
      <c r="R92" s="22" t="s">
        <v>8</v>
      </c>
      <c r="S92" s="22" t="s">
        <v>8</v>
      </c>
      <c r="T92" s="5">
        <v>5</v>
      </c>
      <c r="U92" s="5">
        <v>17</v>
      </c>
      <c r="V92" s="20" t="s">
        <v>1</v>
      </c>
      <c r="W92" s="20">
        <v>5</v>
      </c>
      <c r="X92" s="20">
        <v>1</v>
      </c>
      <c r="Y92" s="5">
        <v>1</v>
      </c>
      <c r="Z92" s="20">
        <v>4</v>
      </c>
      <c r="AA92" s="23">
        <f t="shared" si="2"/>
        <v>2</v>
      </c>
      <c r="AB92" s="15">
        <v>1</v>
      </c>
      <c r="AC92" s="15">
        <v>1</v>
      </c>
      <c r="AD92" s="15">
        <v>0.875</v>
      </c>
      <c r="AE92" s="15">
        <v>0.95799999999999996</v>
      </c>
      <c r="AF92" s="20">
        <v>23</v>
      </c>
      <c r="AG92" s="20" t="s">
        <v>8</v>
      </c>
      <c r="AH92" s="24">
        <v>24</v>
      </c>
      <c r="AI92" s="23">
        <f t="shared" si="3"/>
        <v>1</v>
      </c>
      <c r="AJ92" s="17">
        <v>8.25</v>
      </c>
      <c r="AK92" s="17">
        <v>13</v>
      </c>
      <c r="AL92" s="14">
        <v>21.25</v>
      </c>
      <c r="AM92" s="23" cm="1">
        <f t="array" ref="AM92">IF(OR(AN92:AZ92=""),"BLANK",IF(AND(AN92:AZ92&lt;9999999),1,IF(AND(AN92:AZ92="NA"),3,2)))</f>
        <v>1</v>
      </c>
      <c r="AN92" s="5">
        <v>11</v>
      </c>
      <c r="AO92" s="5">
        <v>2</v>
      </c>
      <c r="AP92" s="10">
        <v>3</v>
      </c>
      <c r="AQ92" s="10">
        <v>4</v>
      </c>
      <c r="AR92" s="10">
        <v>6</v>
      </c>
      <c r="AS92" s="11">
        <v>0</v>
      </c>
      <c r="AT92" s="11">
        <v>2411</v>
      </c>
      <c r="AU92" s="11">
        <v>1639.75</v>
      </c>
      <c r="AV92" s="11">
        <v>2281</v>
      </c>
      <c r="AW92" s="11">
        <v>0</v>
      </c>
      <c r="AX92" s="11">
        <v>0</v>
      </c>
      <c r="AY92" s="11">
        <v>0</v>
      </c>
      <c r="AZ92" s="11">
        <v>0</v>
      </c>
      <c r="BA92" s="23">
        <v>3</v>
      </c>
      <c r="BB92" s="24" t="s">
        <v>8</v>
      </c>
    </row>
    <row r="93" spans="1:54" x14ac:dyDescent="0.2">
      <c r="A93" s="5">
        <v>580</v>
      </c>
      <c r="B93" s="20" t="s">
        <v>72</v>
      </c>
      <c r="C93" s="18" t="s">
        <v>55</v>
      </c>
      <c r="D93" s="18">
        <v>6</v>
      </c>
      <c r="E93" s="18">
        <v>0</v>
      </c>
      <c r="F93" s="20">
        <v>3.3639999999999999</v>
      </c>
      <c r="G93" s="18">
        <v>30</v>
      </c>
      <c r="H93" s="22" t="s">
        <v>8</v>
      </c>
      <c r="I93" s="22" t="s">
        <v>8</v>
      </c>
      <c r="J93" s="22" t="s">
        <v>8</v>
      </c>
      <c r="K93" s="22" t="s">
        <v>8</v>
      </c>
      <c r="L93" s="22" t="s">
        <v>8</v>
      </c>
      <c r="M93" s="22" t="s">
        <v>8</v>
      </c>
      <c r="N93" s="22" t="s">
        <v>8</v>
      </c>
      <c r="O93" s="22" t="s">
        <v>8</v>
      </c>
      <c r="P93" s="22" t="s">
        <v>8</v>
      </c>
      <c r="Q93" s="22" t="s">
        <v>8</v>
      </c>
      <c r="R93" s="22" t="s">
        <v>8</v>
      </c>
      <c r="S93" s="22" t="s">
        <v>8</v>
      </c>
      <c r="T93" s="5">
        <v>5</v>
      </c>
      <c r="U93" s="5">
        <v>16.5</v>
      </c>
      <c r="V93" s="20" t="s">
        <v>1</v>
      </c>
      <c r="W93" s="20">
        <v>5</v>
      </c>
      <c r="X93" s="20">
        <v>1</v>
      </c>
      <c r="Y93" s="5">
        <v>1</v>
      </c>
      <c r="Z93" s="20">
        <v>4</v>
      </c>
      <c r="AA93" s="23">
        <f t="shared" si="2"/>
        <v>2</v>
      </c>
      <c r="AB93" s="15">
        <v>1</v>
      </c>
      <c r="AC93" s="15">
        <v>1</v>
      </c>
      <c r="AD93" s="15">
        <v>0.875</v>
      </c>
      <c r="AE93" s="15">
        <v>0.95799999999999996</v>
      </c>
      <c r="AF93" s="20">
        <v>23</v>
      </c>
      <c r="AG93" s="20" t="s">
        <v>8</v>
      </c>
      <c r="AH93" s="24">
        <v>24</v>
      </c>
      <c r="AI93" s="23">
        <f t="shared" si="3"/>
        <v>1</v>
      </c>
      <c r="AJ93" s="17">
        <v>8.5</v>
      </c>
      <c r="AK93" s="17">
        <v>7</v>
      </c>
      <c r="AL93" s="14">
        <v>15.5</v>
      </c>
      <c r="AM93" s="23" cm="1">
        <f t="array" ref="AM93">IF(OR(AN93:AZ93=""),"BLANK",IF(AND(AN93:AZ93&lt;9999999),1,IF(AND(AN93:AZ93="NA"),3,2)))</f>
        <v>1</v>
      </c>
      <c r="AN93" s="5">
        <v>7</v>
      </c>
      <c r="AO93" s="5">
        <v>2</v>
      </c>
      <c r="AP93" s="10">
        <v>3</v>
      </c>
      <c r="AQ93" s="10">
        <v>7.5</v>
      </c>
      <c r="AR93" s="10">
        <v>8.25</v>
      </c>
      <c r="AS93" s="11">
        <v>649.5</v>
      </c>
      <c r="AT93" s="11">
        <v>991</v>
      </c>
      <c r="AU93" s="11">
        <v>1308.5</v>
      </c>
      <c r="AV93" s="11">
        <v>2171.5</v>
      </c>
      <c r="AW93" s="11">
        <v>0</v>
      </c>
      <c r="AX93" s="11">
        <v>0</v>
      </c>
      <c r="AY93" s="11">
        <v>852.42013888890006</v>
      </c>
      <c r="AZ93" s="11">
        <v>328.92689393939997</v>
      </c>
      <c r="BA93" s="23">
        <v>3</v>
      </c>
      <c r="BB93" s="24" t="s">
        <v>8</v>
      </c>
    </row>
    <row r="94" spans="1:54" x14ac:dyDescent="0.2">
      <c r="A94" s="5">
        <v>584</v>
      </c>
      <c r="B94" s="20" t="s">
        <v>76</v>
      </c>
      <c r="C94" s="18" t="s">
        <v>55</v>
      </c>
      <c r="D94" s="18">
        <v>2</v>
      </c>
      <c r="E94" s="18">
        <v>0</v>
      </c>
      <c r="F94" s="20">
        <v>4</v>
      </c>
      <c r="G94" s="18">
        <v>27</v>
      </c>
      <c r="H94" s="22" t="s">
        <v>8</v>
      </c>
      <c r="I94" s="22" t="s">
        <v>8</v>
      </c>
      <c r="J94" s="22" t="s">
        <v>8</v>
      </c>
      <c r="K94" s="22" t="s">
        <v>8</v>
      </c>
      <c r="L94" s="22" t="s">
        <v>8</v>
      </c>
      <c r="M94" s="22" t="s">
        <v>8</v>
      </c>
      <c r="N94" s="22" t="s">
        <v>8</v>
      </c>
      <c r="O94" s="22" t="s">
        <v>8</v>
      </c>
      <c r="P94" s="22" t="s">
        <v>8</v>
      </c>
      <c r="Q94" s="22" t="s">
        <v>8</v>
      </c>
      <c r="R94" s="22" t="s">
        <v>8</v>
      </c>
      <c r="S94" s="22" t="s">
        <v>8</v>
      </c>
      <c r="T94" s="5">
        <v>2</v>
      </c>
      <c r="U94" s="5">
        <v>12</v>
      </c>
      <c r="V94" s="20" t="s">
        <v>1</v>
      </c>
      <c r="W94" s="20">
        <v>5</v>
      </c>
      <c r="X94" s="20">
        <v>1</v>
      </c>
      <c r="Y94" s="5">
        <v>1</v>
      </c>
      <c r="Z94" s="20">
        <v>4</v>
      </c>
      <c r="AA94" s="23">
        <f t="shared" si="2"/>
        <v>2</v>
      </c>
      <c r="AB94" s="15">
        <v>0.75</v>
      </c>
      <c r="AC94" s="15">
        <v>0.75</v>
      </c>
      <c r="AD94" s="15">
        <v>0.625</v>
      </c>
      <c r="AE94" s="15">
        <v>0.70799999999999996</v>
      </c>
      <c r="AF94" s="20">
        <v>17</v>
      </c>
      <c r="AG94" s="20" t="s">
        <v>8</v>
      </c>
      <c r="AH94" s="24">
        <v>24</v>
      </c>
      <c r="AI94" s="23">
        <f t="shared" si="3"/>
        <v>1</v>
      </c>
      <c r="AJ94" s="17">
        <v>7.75</v>
      </c>
      <c r="AK94" s="17">
        <v>4</v>
      </c>
      <c r="AL94" s="14">
        <v>11.75</v>
      </c>
      <c r="AM94" s="23" cm="1">
        <f t="array" ref="AM94">IF(OR(AN94:AZ94=""),"BLANK",IF(AND(AN94:AZ94&lt;9999999),1,IF(AND(AN94:AZ94="NA"),3,2)))</f>
        <v>1</v>
      </c>
      <c r="AN94" s="5">
        <v>8</v>
      </c>
      <c r="AO94" s="5">
        <v>2</v>
      </c>
      <c r="AP94" s="10">
        <v>3</v>
      </c>
      <c r="AQ94" s="10">
        <v>5.75</v>
      </c>
      <c r="AR94" s="10">
        <v>6.25</v>
      </c>
      <c r="AS94" s="11">
        <v>3828</v>
      </c>
      <c r="AT94" s="11">
        <v>14636</v>
      </c>
      <c r="AU94" s="11">
        <v>8133.25</v>
      </c>
      <c r="AV94" s="11">
        <v>3373.75</v>
      </c>
      <c r="AW94" s="11">
        <v>977.25</v>
      </c>
      <c r="AX94" s="11">
        <v>951.66666666670005</v>
      </c>
      <c r="AY94" s="11">
        <v>4481.3472222221999</v>
      </c>
      <c r="AZ94" s="11">
        <v>809.79166666670005</v>
      </c>
      <c r="BA94" s="23">
        <v>3</v>
      </c>
      <c r="BB94" s="24" t="s">
        <v>8</v>
      </c>
    </row>
    <row r="95" spans="1:54" x14ac:dyDescent="0.2">
      <c r="A95" s="5">
        <v>587</v>
      </c>
      <c r="B95" s="20" t="s">
        <v>77</v>
      </c>
      <c r="C95" s="18" t="s">
        <v>54</v>
      </c>
      <c r="D95" s="18">
        <v>2</v>
      </c>
      <c r="E95" s="18">
        <v>0</v>
      </c>
      <c r="F95" s="20">
        <v>4</v>
      </c>
      <c r="G95" s="18">
        <v>29</v>
      </c>
      <c r="H95" s="22">
        <v>4.0246406570841886</v>
      </c>
      <c r="I95" s="22" t="s">
        <v>8</v>
      </c>
      <c r="J95" s="22" t="s">
        <v>8</v>
      </c>
      <c r="K95" s="22" t="s">
        <v>8</v>
      </c>
      <c r="L95" s="22" t="s">
        <v>8</v>
      </c>
      <c r="M95" s="22" t="s">
        <v>8</v>
      </c>
      <c r="N95" s="22">
        <v>4.1122518822724166</v>
      </c>
      <c r="O95" s="22" t="s">
        <v>8</v>
      </c>
      <c r="P95" s="22" t="s">
        <v>8</v>
      </c>
      <c r="Q95" s="22">
        <v>4.1177275838466807</v>
      </c>
      <c r="R95" s="22" t="s">
        <v>8</v>
      </c>
      <c r="S95" s="22" t="s">
        <v>8</v>
      </c>
      <c r="T95" s="5">
        <v>6</v>
      </c>
      <c r="U95" s="5">
        <v>18</v>
      </c>
      <c r="V95" s="20" t="s">
        <v>1</v>
      </c>
      <c r="W95" s="20">
        <v>5</v>
      </c>
      <c r="X95" s="20">
        <v>1</v>
      </c>
      <c r="Y95" s="5">
        <v>1</v>
      </c>
      <c r="Z95" s="20">
        <v>4</v>
      </c>
      <c r="AA95" s="23">
        <f t="shared" si="2"/>
        <v>2</v>
      </c>
      <c r="AB95" s="15">
        <v>1</v>
      </c>
      <c r="AC95" s="15">
        <v>1</v>
      </c>
      <c r="AD95" s="15">
        <v>1</v>
      </c>
      <c r="AE95" s="15">
        <v>1</v>
      </c>
      <c r="AF95" s="20">
        <v>24</v>
      </c>
      <c r="AG95" s="20" t="s">
        <v>8</v>
      </c>
      <c r="AH95" s="24">
        <v>24</v>
      </c>
      <c r="AI95" s="23">
        <f t="shared" si="3"/>
        <v>1</v>
      </c>
      <c r="AJ95" s="17">
        <v>11.75</v>
      </c>
      <c r="AK95" s="17">
        <v>11</v>
      </c>
      <c r="AL95" s="14">
        <v>22.75</v>
      </c>
      <c r="AM95" s="23" cm="1">
        <f t="array" ref="AM95">IF(OR(AN95:AZ95=""),"BLANK",IF(AND(AN95:AZ95&lt;9999999),1,IF(AND(AN95:AZ95="NA"),3,2)))</f>
        <v>1</v>
      </c>
      <c r="AN95" s="5">
        <v>8</v>
      </c>
      <c r="AO95" s="5">
        <v>2</v>
      </c>
      <c r="AP95" s="10">
        <v>3</v>
      </c>
      <c r="AQ95" s="10">
        <v>5.5</v>
      </c>
      <c r="AR95" s="10">
        <v>7.5</v>
      </c>
      <c r="AS95" s="11">
        <v>2888</v>
      </c>
      <c r="AT95" s="11">
        <v>5997</v>
      </c>
      <c r="AU95" s="11">
        <v>5199</v>
      </c>
      <c r="AV95" s="11">
        <v>10120</v>
      </c>
      <c r="AW95" s="11">
        <v>0</v>
      </c>
      <c r="AX95" s="11">
        <v>0</v>
      </c>
      <c r="AY95" s="11">
        <v>178.88055555560001</v>
      </c>
      <c r="AZ95" s="11">
        <v>0</v>
      </c>
      <c r="BA95" s="23">
        <v>3</v>
      </c>
      <c r="BB95" s="24" t="s">
        <v>8</v>
      </c>
    </row>
    <row r="96" spans="1:54" x14ac:dyDescent="0.2">
      <c r="A96" s="5">
        <v>591</v>
      </c>
      <c r="B96" s="20" t="s">
        <v>66</v>
      </c>
      <c r="C96" s="18" t="s">
        <v>54</v>
      </c>
      <c r="D96" s="18">
        <v>5</v>
      </c>
      <c r="E96" s="18">
        <v>0</v>
      </c>
      <c r="F96" s="20">
        <v>3.5449999999999999</v>
      </c>
      <c r="G96" s="18">
        <v>28</v>
      </c>
      <c r="H96" s="22">
        <v>4.5913757700205338</v>
      </c>
      <c r="I96" s="22">
        <v>5.2347707049965777</v>
      </c>
      <c r="J96" s="22">
        <v>9.8261464750171115</v>
      </c>
      <c r="K96" s="22" t="s">
        <v>8</v>
      </c>
      <c r="L96" s="22" t="s">
        <v>8</v>
      </c>
      <c r="M96" s="22">
        <v>9.9520876112251884</v>
      </c>
      <c r="N96" s="22">
        <v>4.3832991101984939</v>
      </c>
      <c r="O96" s="22">
        <v>5.1718001368925393</v>
      </c>
      <c r="P96" s="22">
        <v>9.5550992470910341</v>
      </c>
      <c r="Q96" s="22">
        <v>3.7919233401779602</v>
      </c>
      <c r="R96" s="22">
        <v>5.0814510609171801</v>
      </c>
      <c r="S96" s="22">
        <v>8.8733744010951412</v>
      </c>
      <c r="T96" s="5">
        <v>4</v>
      </c>
      <c r="U96" s="5">
        <v>16</v>
      </c>
      <c r="V96" s="20" t="s">
        <v>1</v>
      </c>
      <c r="W96" s="20">
        <v>5</v>
      </c>
      <c r="X96" s="20">
        <v>1</v>
      </c>
      <c r="Y96" s="5">
        <v>1</v>
      </c>
      <c r="Z96" s="20">
        <v>4</v>
      </c>
      <c r="AA96" s="23">
        <f t="shared" si="2"/>
        <v>2</v>
      </c>
      <c r="AB96" s="15">
        <v>1</v>
      </c>
      <c r="AC96" s="15">
        <v>1</v>
      </c>
      <c r="AD96" s="15">
        <v>1</v>
      </c>
      <c r="AE96" s="15">
        <v>1</v>
      </c>
      <c r="AF96" s="20">
        <v>24</v>
      </c>
      <c r="AG96" s="20" t="s">
        <v>8</v>
      </c>
      <c r="AH96" s="24">
        <v>24</v>
      </c>
      <c r="AI96" s="23">
        <f t="shared" si="3"/>
        <v>1</v>
      </c>
      <c r="AJ96" s="17">
        <v>10.25</v>
      </c>
      <c r="AK96" s="17">
        <v>11.5</v>
      </c>
      <c r="AL96" s="14">
        <v>21.75</v>
      </c>
      <c r="AM96" s="23" cm="1">
        <f t="array" ref="AM96">IF(OR(AN96:AZ96=""),"BLANK",IF(AND(AN96:AZ96&lt;9999999),1,IF(AND(AN96:AZ96="NA"),3,2)))</f>
        <v>1</v>
      </c>
      <c r="AN96" s="5">
        <v>8</v>
      </c>
      <c r="AO96" s="5">
        <v>2</v>
      </c>
      <c r="AP96" s="10">
        <v>3</v>
      </c>
      <c r="AQ96" s="10">
        <v>4.25</v>
      </c>
      <c r="AR96" s="10">
        <v>7.5</v>
      </c>
      <c r="AS96" s="11">
        <v>1294</v>
      </c>
      <c r="AT96" s="11">
        <v>2549</v>
      </c>
      <c r="AU96" s="11">
        <v>2925.75</v>
      </c>
      <c r="AV96" s="11">
        <v>2743.25</v>
      </c>
      <c r="AW96" s="11">
        <v>0</v>
      </c>
      <c r="AX96" s="11">
        <v>0</v>
      </c>
      <c r="AY96" s="11">
        <v>161.83750000000001</v>
      </c>
      <c r="AZ96" s="11">
        <v>452.687012987</v>
      </c>
      <c r="BA96" s="23">
        <v>3</v>
      </c>
      <c r="BB96" s="24" t="s">
        <v>8</v>
      </c>
    </row>
    <row r="97" spans="1:54" x14ac:dyDescent="0.2">
      <c r="A97" s="5">
        <v>595</v>
      </c>
      <c r="B97" s="20" t="s">
        <v>70</v>
      </c>
      <c r="C97" s="18" t="s">
        <v>54</v>
      </c>
      <c r="D97" s="18">
        <v>5</v>
      </c>
      <c r="E97" s="18">
        <v>0</v>
      </c>
      <c r="F97" s="20">
        <v>3.9089999999999998</v>
      </c>
      <c r="G97" s="18">
        <v>27</v>
      </c>
      <c r="H97" s="22">
        <v>4.0602327173169064</v>
      </c>
      <c r="I97" s="22">
        <v>5.5222450376454484</v>
      </c>
      <c r="J97" s="22">
        <v>9.5824777549623548</v>
      </c>
      <c r="K97" s="22">
        <v>4.0602327173169064</v>
      </c>
      <c r="L97" s="22">
        <v>5.5222450376454484</v>
      </c>
      <c r="M97" s="22">
        <v>9.5824777549623548</v>
      </c>
      <c r="N97" s="22">
        <v>4.0246406570841886</v>
      </c>
      <c r="O97" s="22">
        <v>5.1279945242984262</v>
      </c>
      <c r="P97" s="22">
        <v>9.1526351813826139</v>
      </c>
      <c r="Q97" s="22" t="s">
        <v>8</v>
      </c>
      <c r="R97" s="22" t="s">
        <v>8</v>
      </c>
      <c r="S97" s="22" t="s">
        <v>8</v>
      </c>
      <c r="T97" s="5">
        <v>6</v>
      </c>
      <c r="U97" s="5">
        <v>18</v>
      </c>
      <c r="V97" s="20" t="s">
        <v>1</v>
      </c>
      <c r="W97" s="20">
        <v>5</v>
      </c>
      <c r="X97" s="20">
        <v>1</v>
      </c>
      <c r="Y97" s="5">
        <v>1</v>
      </c>
      <c r="Z97" s="20">
        <v>4</v>
      </c>
      <c r="AA97" s="23">
        <f t="shared" si="2"/>
        <v>2</v>
      </c>
      <c r="AB97" s="15">
        <v>1</v>
      </c>
      <c r="AC97" s="15">
        <v>0.875</v>
      </c>
      <c r="AD97" s="15">
        <v>0.875</v>
      </c>
      <c r="AE97" s="15">
        <v>0.91700000000000004</v>
      </c>
      <c r="AF97" s="20">
        <v>22</v>
      </c>
      <c r="AG97" s="20" t="s">
        <v>8</v>
      </c>
      <c r="AH97" s="24">
        <v>24</v>
      </c>
      <c r="AI97" s="23">
        <f t="shared" si="3"/>
        <v>1</v>
      </c>
      <c r="AJ97" s="17">
        <v>10</v>
      </c>
      <c r="AK97" s="17">
        <v>10</v>
      </c>
      <c r="AL97" s="14">
        <v>20</v>
      </c>
      <c r="AM97" s="23" cm="1">
        <f t="array" ref="AM97">IF(OR(AN97:AZ97=""),"BLANK",IF(AND(AN97:AZ97&lt;9999999),1,IF(AND(AN97:AZ97="NA"),3,2)))</f>
        <v>1</v>
      </c>
      <c r="AN97" s="5">
        <v>8</v>
      </c>
      <c r="AO97" s="5">
        <v>2</v>
      </c>
      <c r="AP97" s="10">
        <v>3.5</v>
      </c>
      <c r="AQ97" s="10">
        <v>4.25</v>
      </c>
      <c r="AR97" s="10">
        <v>8</v>
      </c>
      <c r="AS97" s="11">
        <v>2103</v>
      </c>
      <c r="AT97" s="11">
        <v>12080</v>
      </c>
      <c r="AU97" s="11">
        <v>14832.75</v>
      </c>
      <c r="AV97" s="11">
        <v>18252.5</v>
      </c>
      <c r="AW97" s="11">
        <v>0</v>
      </c>
      <c r="AX97" s="11">
        <v>2407.4583333332998</v>
      </c>
      <c r="AY97" s="11">
        <v>646.95000000000005</v>
      </c>
      <c r="AZ97" s="11">
        <v>6145.4041666666999</v>
      </c>
      <c r="BA97" s="23">
        <v>3</v>
      </c>
      <c r="BB97" s="24" t="s">
        <v>8</v>
      </c>
    </row>
    <row r="98" spans="1:54" x14ac:dyDescent="0.2">
      <c r="A98" s="5">
        <v>599</v>
      </c>
      <c r="B98" s="20" t="s">
        <v>68</v>
      </c>
      <c r="C98" s="18" t="s">
        <v>55</v>
      </c>
      <c r="D98" s="18">
        <v>5</v>
      </c>
      <c r="E98" s="18">
        <v>0</v>
      </c>
      <c r="F98" s="20">
        <v>3.9089999999999998</v>
      </c>
      <c r="G98" s="18">
        <v>26</v>
      </c>
      <c r="H98" s="22" t="s">
        <v>8</v>
      </c>
      <c r="I98" s="22" t="s">
        <v>8</v>
      </c>
      <c r="J98" s="22" t="s">
        <v>8</v>
      </c>
      <c r="K98" s="22" t="s">
        <v>8</v>
      </c>
      <c r="L98" s="22" t="s">
        <v>8</v>
      </c>
      <c r="M98" s="22" t="s">
        <v>8</v>
      </c>
      <c r="N98" s="22" t="s">
        <v>8</v>
      </c>
      <c r="O98" s="22" t="s">
        <v>8</v>
      </c>
      <c r="P98" s="22" t="s">
        <v>8</v>
      </c>
      <c r="Q98" s="22" t="s">
        <v>8</v>
      </c>
      <c r="R98" s="22" t="s">
        <v>8</v>
      </c>
      <c r="S98" s="22" t="s">
        <v>8</v>
      </c>
      <c r="T98" s="5">
        <v>6</v>
      </c>
      <c r="U98" s="5">
        <v>18</v>
      </c>
      <c r="V98" s="20" t="s">
        <v>1</v>
      </c>
      <c r="W98" s="20">
        <v>5</v>
      </c>
      <c r="X98" s="20">
        <v>1</v>
      </c>
      <c r="Y98" s="5">
        <v>1</v>
      </c>
      <c r="Z98" s="20">
        <v>4</v>
      </c>
      <c r="AA98" s="23">
        <f t="shared" si="2"/>
        <v>2</v>
      </c>
      <c r="AB98" s="15">
        <v>0.875</v>
      </c>
      <c r="AC98" s="15">
        <v>0.5714285714285714</v>
      </c>
      <c r="AD98" s="15">
        <v>0.5</v>
      </c>
      <c r="AE98" s="15">
        <v>0.66700000000000004</v>
      </c>
      <c r="AF98" s="20">
        <v>14</v>
      </c>
      <c r="AG98" s="20" t="s">
        <v>8</v>
      </c>
      <c r="AH98" s="24">
        <v>21</v>
      </c>
      <c r="AI98" s="23">
        <f t="shared" si="3"/>
        <v>1</v>
      </c>
      <c r="AJ98" s="17">
        <v>7</v>
      </c>
      <c r="AK98" s="17">
        <v>5</v>
      </c>
      <c r="AL98" s="14">
        <v>12</v>
      </c>
      <c r="AM98" s="23" cm="1">
        <f t="array" ref="AM98">IF(OR(AN98:AZ98=""),"BLANK",IF(AND(AN98:AZ98&lt;9999999),1,IF(AND(AN98:AZ98="NA"),3,2)))</f>
        <v>1</v>
      </c>
      <c r="AN98" s="5">
        <v>8</v>
      </c>
      <c r="AO98" s="5">
        <v>2</v>
      </c>
      <c r="AP98" s="10">
        <v>3</v>
      </c>
      <c r="AQ98" s="10">
        <v>5.25</v>
      </c>
      <c r="AR98" s="10">
        <v>7.5</v>
      </c>
      <c r="AS98" s="11">
        <v>7787</v>
      </c>
      <c r="AT98" s="11">
        <v>20417</v>
      </c>
      <c r="AU98" s="11">
        <v>36275.75</v>
      </c>
      <c r="AV98" s="11">
        <v>45006.75</v>
      </c>
      <c r="AW98" s="11">
        <v>0</v>
      </c>
      <c r="AX98" s="11">
        <v>0</v>
      </c>
      <c r="AY98" s="11">
        <v>8748.9375</v>
      </c>
      <c r="AZ98" s="11">
        <v>14094.900595238099</v>
      </c>
      <c r="BA98" s="23">
        <v>3</v>
      </c>
      <c r="BB98" s="24" t="s">
        <v>8</v>
      </c>
    </row>
    <row r="99" spans="1:54" x14ac:dyDescent="0.2">
      <c r="A99" s="5">
        <v>604</v>
      </c>
      <c r="B99" s="20" t="s">
        <v>82</v>
      </c>
      <c r="C99" s="18" t="s">
        <v>55</v>
      </c>
      <c r="D99" s="18">
        <v>5</v>
      </c>
      <c r="E99" s="18">
        <v>0</v>
      </c>
      <c r="F99" s="20">
        <v>3.6360000000000001</v>
      </c>
      <c r="G99" s="18">
        <v>28</v>
      </c>
      <c r="H99" s="22">
        <v>4.0109514031485283</v>
      </c>
      <c r="I99" s="22">
        <v>5.3552361396303905</v>
      </c>
      <c r="J99" s="22">
        <v>9.3661875427789187</v>
      </c>
      <c r="K99" s="22">
        <v>4.0109514031485283</v>
      </c>
      <c r="L99" s="22">
        <v>5.3552361396303905</v>
      </c>
      <c r="M99" s="22">
        <v>9.3661875427789187</v>
      </c>
      <c r="N99" s="22">
        <v>4.0273785078713207</v>
      </c>
      <c r="O99" s="22">
        <v>5.248459958932238</v>
      </c>
      <c r="P99" s="22">
        <v>9.2758384668035596</v>
      </c>
      <c r="Q99" s="22">
        <v>3.3483915126625599</v>
      </c>
      <c r="R99" s="22">
        <v>6.020533880903491</v>
      </c>
      <c r="S99" s="22">
        <v>9.3689253935660499</v>
      </c>
      <c r="T99" s="5">
        <v>4</v>
      </c>
      <c r="U99" s="5">
        <v>16</v>
      </c>
      <c r="V99" s="20" t="s">
        <v>1</v>
      </c>
      <c r="W99" s="20">
        <v>5</v>
      </c>
      <c r="X99" s="20">
        <v>1</v>
      </c>
      <c r="Y99" s="5">
        <v>1</v>
      </c>
      <c r="Z99" s="20">
        <v>4</v>
      </c>
      <c r="AA99" s="23">
        <f t="shared" si="2"/>
        <v>2</v>
      </c>
      <c r="AB99" s="15">
        <v>0.875</v>
      </c>
      <c r="AC99" s="15">
        <v>1</v>
      </c>
      <c r="AD99" s="15">
        <v>0.125</v>
      </c>
      <c r="AE99" s="15">
        <v>0.65200000000000002</v>
      </c>
      <c r="AF99" s="20">
        <v>15</v>
      </c>
      <c r="AG99" s="20" t="s">
        <v>8</v>
      </c>
      <c r="AH99" s="24">
        <v>23</v>
      </c>
      <c r="AI99" s="23">
        <f t="shared" si="3"/>
        <v>1</v>
      </c>
      <c r="AJ99" s="17">
        <v>7</v>
      </c>
      <c r="AK99" s="17">
        <v>8</v>
      </c>
      <c r="AL99" s="14">
        <v>15</v>
      </c>
      <c r="AM99" s="23" cm="1">
        <f t="array" ref="AM99">IF(OR(AN99:AZ99=""),"BLANK",IF(AND(AN99:AZ99&lt;9999999),1,IF(AND(AN99:AZ99="NA"),3,2)))</f>
        <v>1</v>
      </c>
      <c r="AN99" s="5">
        <v>7</v>
      </c>
      <c r="AO99" s="5">
        <v>2</v>
      </c>
      <c r="AP99" s="10">
        <v>3.5</v>
      </c>
      <c r="AQ99" s="10">
        <v>5.25</v>
      </c>
      <c r="AR99" s="10">
        <v>7.5</v>
      </c>
      <c r="AS99" s="11">
        <v>1919</v>
      </c>
      <c r="AT99" s="11">
        <v>9764.5</v>
      </c>
      <c r="AU99" s="11">
        <v>3931</v>
      </c>
      <c r="AV99" s="11">
        <v>4437.25</v>
      </c>
      <c r="AW99" s="11">
        <v>0</v>
      </c>
      <c r="AX99" s="11">
        <v>973.66666666670005</v>
      </c>
      <c r="AY99" s="11">
        <v>1808.1388888889001</v>
      </c>
      <c r="AZ99" s="11">
        <v>1770.868452381</v>
      </c>
      <c r="BA99" s="23">
        <v>3</v>
      </c>
      <c r="BB99" s="24" t="s">
        <v>8</v>
      </c>
    </row>
    <row r="100" spans="1:54" x14ac:dyDescent="0.2">
      <c r="A100" s="5">
        <v>606</v>
      </c>
      <c r="B100" s="20" t="s">
        <v>63</v>
      </c>
      <c r="C100" s="18" t="s">
        <v>55</v>
      </c>
      <c r="D100" s="18">
        <v>5</v>
      </c>
      <c r="E100" s="18">
        <v>0</v>
      </c>
      <c r="F100" s="20">
        <v>3.5449999999999999</v>
      </c>
      <c r="G100" s="18">
        <v>29</v>
      </c>
      <c r="H100" s="22">
        <v>4.0930869267624912</v>
      </c>
      <c r="I100" s="22" t="s">
        <v>8</v>
      </c>
      <c r="J100" s="22" t="s">
        <v>8</v>
      </c>
      <c r="K100" s="22">
        <v>4.0930869267624912</v>
      </c>
      <c r="L100" s="22" t="s">
        <v>8</v>
      </c>
      <c r="M100" s="22" t="s">
        <v>8</v>
      </c>
      <c r="N100" s="22">
        <v>4.1067761806981515</v>
      </c>
      <c r="O100" s="22" t="s">
        <v>8</v>
      </c>
      <c r="P100" s="22" t="s">
        <v>8</v>
      </c>
      <c r="Q100" s="22" t="s">
        <v>8</v>
      </c>
      <c r="R100" s="22" t="s">
        <v>8</v>
      </c>
      <c r="S100" s="22" t="s">
        <v>8</v>
      </c>
      <c r="T100" s="5">
        <v>7</v>
      </c>
      <c r="U100" s="5">
        <v>21</v>
      </c>
      <c r="V100" s="20" t="s">
        <v>1</v>
      </c>
      <c r="W100" s="20">
        <v>5</v>
      </c>
      <c r="X100" s="20">
        <v>1</v>
      </c>
      <c r="Y100" s="5">
        <v>1</v>
      </c>
      <c r="Z100" s="20">
        <v>4</v>
      </c>
      <c r="AA100" s="23">
        <f t="shared" si="2"/>
        <v>2</v>
      </c>
      <c r="AB100" s="15">
        <v>1</v>
      </c>
      <c r="AC100" s="15">
        <v>1</v>
      </c>
      <c r="AD100" s="15">
        <v>0.42857142857142855</v>
      </c>
      <c r="AE100" s="15">
        <v>0.82599999999999996</v>
      </c>
      <c r="AF100" s="20">
        <v>19</v>
      </c>
      <c r="AG100" s="20" t="s">
        <v>8</v>
      </c>
      <c r="AH100" s="24">
        <v>23</v>
      </c>
      <c r="AI100" s="23">
        <f t="shared" si="3"/>
        <v>1</v>
      </c>
      <c r="AJ100" s="17">
        <v>7.75</v>
      </c>
      <c r="AK100" s="17">
        <v>7.5</v>
      </c>
      <c r="AL100" s="14">
        <v>15.25</v>
      </c>
      <c r="AM100" s="23" cm="1">
        <f t="array" ref="AM100">IF(OR(AN100:AZ100=""),"BLANK",IF(AND(AN100:AZ100&lt;9999999),1,IF(AND(AN100:AZ100="NA"),3,2)))</f>
        <v>1</v>
      </c>
      <c r="AN100" s="5">
        <v>7</v>
      </c>
      <c r="AO100" s="5">
        <v>2</v>
      </c>
      <c r="AP100" s="10">
        <v>3</v>
      </c>
      <c r="AQ100" s="10">
        <v>6.75</v>
      </c>
      <c r="AR100" s="10">
        <v>8.5</v>
      </c>
      <c r="AS100" s="11">
        <v>1102.5</v>
      </c>
      <c r="AT100" s="11">
        <v>5194</v>
      </c>
      <c r="AU100" s="11">
        <v>5039.75</v>
      </c>
      <c r="AV100" s="11">
        <v>6668</v>
      </c>
      <c r="AW100" s="11">
        <v>0</v>
      </c>
      <c r="AX100" s="11">
        <v>0</v>
      </c>
      <c r="AY100" s="11">
        <v>11508.280555555601</v>
      </c>
      <c r="AZ100" s="11">
        <v>13759.8208333333</v>
      </c>
      <c r="BA100" s="23">
        <v>3</v>
      </c>
      <c r="BB100" s="24" t="s">
        <v>8</v>
      </c>
    </row>
    <row r="101" spans="1:54" x14ac:dyDescent="0.2">
      <c r="A101" s="5">
        <v>609</v>
      </c>
      <c r="B101" s="20" t="s">
        <v>74</v>
      </c>
      <c r="C101" s="18" t="s">
        <v>55</v>
      </c>
      <c r="D101" s="18">
        <v>5</v>
      </c>
      <c r="E101" s="18">
        <v>0</v>
      </c>
      <c r="F101" s="20">
        <v>3.5449999999999999</v>
      </c>
      <c r="G101" s="18">
        <v>29</v>
      </c>
      <c r="H101" s="22" t="s">
        <v>8</v>
      </c>
      <c r="I101" s="22" t="s">
        <v>8</v>
      </c>
      <c r="J101" s="22" t="s">
        <v>8</v>
      </c>
      <c r="K101" s="22" t="s">
        <v>8</v>
      </c>
      <c r="L101" s="22" t="s">
        <v>8</v>
      </c>
      <c r="M101" s="22" t="s">
        <v>8</v>
      </c>
      <c r="N101" s="22" t="s">
        <v>8</v>
      </c>
      <c r="O101" s="22" t="s">
        <v>8</v>
      </c>
      <c r="P101" s="22" t="s">
        <v>8</v>
      </c>
      <c r="Q101" s="22" t="s">
        <v>8</v>
      </c>
      <c r="R101" s="22" t="s">
        <v>8</v>
      </c>
      <c r="S101" s="22" t="s">
        <v>8</v>
      </c>
      <c r="T101" s="5">
        <v>5</v>
      </c>
      <c r="U101" s="5">
        <v>17</v>
      </c>
      <c r="V101" s="20" t="s">
        <v>1</v>
      </c>
      <c r="W101" s="20">
        <v>5</v>
      </c>
      <c r="X101" s="20">
        <v>1</v>
      </c>
      <c r="Y101" s="5">
        <v>1</v>
      </c>
      <c r="Z101" s="20">
        <v>4</v>
      </c>
      <c r="AA101" s="23">
        <f t="shared" si="2"/>
        <v>2</v>
      </c>
      <c r="AB101" s="15">
        <v>1</v>
      </c>
      <c r="AC101" s="15">
        <v>1</v>
      </c>
      <c r="AD101" s="15">
        <v>0.875</v>
      </c>
      <c r="AE101" s="15">
        <v>0.95799999999999996</v>
      </c>
      <c r="AF101" s="20">
        <v>23</v>
      </c>
      <c r="AG101" s="20" t="s">
        <v>8</v>
      </c>
      <c r="AH101" s="24">
        <v>24</v>
      </c>
      <c r="AI101" s="23">
        <f t="shared" si="3"/>
        <v>1</v>
      </c>
      <c r="AJ101" s="17">
        <v>13</v>
      </c>
      <c r="AK101" s="17">
        <v>7.75</v>
      </c>
      <c r="AL101" s="14">
        <v>20.75</v>
      </c>
      <c r="AM101" s="23" cm="1">
        <f t="array" ref="AM101">IF(OR(AN101:AZ101=""),"BLANK",IF(AND(AN101:AZ101&lt;9999999),1,IF(AND(AN101:AZ101="NA"),3,2)))</f>
        <v>1</v>
      </c>
      <c r="AN101" s="5">
        <v>12</v>
      </c>
      <c r="AO101" s="5">
        <v>2</v>
      </c>
      <c r="AP101" s="10">
        <v>3</v>
      </c>
      <c r="AQ101" s="10">
        <v>4</v>
      </c>
      <c r="AR101" s="10">
        <v>5</v>
      </c>
      <c r="AS101" s="11">
        <v>3285.5</v>
      </c>
      <c r="AT101" s="11">
        <v>4022</v>
      </c>
      <c r="AU101" s="11">
        <v>7980.75</v>
      </c>
      <c r="AV101" s="11">
        <v>2613.75</v>
      </c>
      <c r="AW101" s="11">
        <v>0</v>
      </c>
      <c r="AX101" s="11">
        <v>0</v>
      </c>
      <c r="AY101" s="11">
        <v>0</v>
      </c>
      <c r="AZ101" s="11">
        <v>203.9</v>
      </c>
      <c r="BA101" s="23">
        <v>3</v>
      </c>
      <c r="BB101" s="24" t="s">
        <v>8</v>
      </c>
    </row>
    <row r="102" spans="1:54" x14ac:dyDescent="0.2">
      <c r="A102" s="5">
        <v>611</v>
      </c>
      <c r="B102" s="20" t="s">
        <v>62</v>
      </c>
      <c r="C102" s="18" t="s">
        <v>54</v>
      </c>
      <c r="D102" s="18">
        <v>5</v>
      </c>
      <c r="E102" s="18">
        <v>0</v>
      </c>
      <c r="F102" s="20">
        <v>3.8180000000000001</v>
      </c>
      <c r="G102" s="18">
        <v>29</v>
      </c>
      <c r="H102" s="22">
        <v>4.0191649555099245</v>
      </c>
      <c r="I102" s="22">
        <v>5.7494866529774127</v>
      </c>
      <c r="J102" s="22">
        <v>9.7686516084873372</v>
      </c>
      <c r="K102" s="22">
        <v>4.0246406570841886</v>
      </c>
      <c r="L102" s="22">
        <v>5.7412731006160165</v>
      </c>
      <c r="M102" s="22">
        <v>9.765913757700206</v>
      </c>
      <c r="N102" s="22">
        <v>4.0109514031485283</v>
      </c>
      <c r="O102" s="22">
        <v>5.3634496919917867</v>
      </c>
      <c r="P102" s="22">
        <v>9.3744010951403141</v>
      </c>
      <c r="Q102" s="22" t="s">
        <v>8</v>
      </c>
      <c r="R102" s="22" t="s">
        <v>8</v>
      </c>
      <c r="S102" s="22" t="s">
        <v>8</v>
      </c>
      <c r="T102" s="5">
        <v>4</v>
      </c>
      <c r="U102" s="5">
        <v>16</v>
      </c>
      <c r="V102" s="20" t="s">
        <v>1</v>
      </c>
      <c r="W102" s="20">
        <v>5</v>
      </c>
      <c r="X102" s="20">
        <v>1</v>
      </c>
      <c r="Y102" s="5">
        <v>1</v>
      </c>
      <c r="Z102" s="20">
        <v>4</v>
      </c>
      <c r="AA102" s="23">
        <f t="shared" si="2"/>
        <v>2</v>
      </c>
      <c r="AB102" s="15">
        <v>1</v>
      </c>
      <c r="AC102" s="15">
        <v>1</v>
      </c>
      <c r="AD102" s="15">
        <v>0.875</v>
      </c>
      <c r="AE102" s="15">
        <v>0.95799999999999996</v>
      </c>
      <c r="AF102" s="20">
        <v>23</v>
      </c>
      <c r="AG102" s="20" t="s">
        <v>8</v>
      </c>
      <c r="AH102" s="24">
        <v>24</v>
      </c>
      <c r="AI102" s="23">
        <f t="shared" si="3"/>
        <v>1</v>
      </c>
      <c r="AJ102" s="17">
        <v>10.75</v>
      </c>
      <c r="AK102" s="17">
        <v>10.75</v>
      </c>
      <c r="AL102" s="14">
        <v>21.5</v>
      </c>
      <c r="AM102" s="23" cm="1">
        <f t="array" ref="AM102">IF(OR(AN102:AZ102=""),"BLANK",IF(AND(AN102:AZ102&lt;9999999),1,IF(AND(AN102:AZ102="NA"),3,2)))</f>
        <v>1</v>
      </c>
      <c r="AN102" s="5">
        <v>9</v>
      </c>
      <c r="AO102" s="5">
        <v>2</v>
      </c>
      <c r="AP102" s="10">
        <v>3</v>
      </c>
      <c r="AQ102" s="10">
        <v>6.5</v>
      </c>
      <c r="AR102" s="10">
        <v>5.25</v>
      </c>
      <c r="AS102" s="11">
        <v>910</v>
      </c>
      <c r="AT102" s="11">
        <v>2951</v>
      </c>
      <c r="AU102" s="11">
        <v>13479</v>
      </c>
      <c r="AV102" s="11">
        <v>27085.25</v>
      </c>
      <c r="AW102" s="11">
        <v>1377.75</v>
      </c>
      <c r="AX102" s="11">
        <v>43.833333333299997</v>
      </c>
      <c r="AY102" s="11">
        <v>3061.1666666667002</v>
      </c>
      <c r="AZ102" s="11">
        <v>0</v>
      </c>
      <c r="BA102" s="23">
        <v>3</v>
      </c>
      <c r="BB102" s="24" t="s">
        <v>8</v>
      </c>
    </row>
    <row r="103" spans="1:54" x14ac:dyDescent="0.2">
      <c r="A103" s="5">
        <v>612</v>
      </c>
      <c r="B103" s="20" t="s">
        <v>69</v>
      </c>
      <c r="C103" s="18" t="s">
        <v>54</v>
      </c>
      <c r="D103" s="18">
        <v>5</v>
      </c>
      <c r="E103" s="18">
        <v>0</v>
      </c>
      <c r="F103" s="20">
        <v>3.5449999999999999</v>
      </c>
      <c r="G103" s="18">
        <v>29</v>
      </c>
      <c r="H103" s="22">
        <v>4.0383299110198498</v>
      </c>
      <c r="I103" s="22" t="s">
        <v>8</v>
      </c>
      <c r="J103" s="22" t="s">
        <v>8</v>
      </c>
      <c r="K103" s="22">
        <v>4.043805612594114</v>
      </c>
      <c r="L103" s="22" t="s">
        <v>8</v>
      </c>
      <c r="M103" s="22" t="s">
        <v>8</v>
      </c>
      <c r="N103" s="22">
        <v>3.9260780287474333</v>
      </c>
      <c r="O103" s="22" t="s">
        <v>8</v>
      </c>
      <c r="P103" s="22" t="s">
        <v>8</v>
      </c>
      <c r="Q103" s="22" t="s">
        <v>8</v>
      </c>
      <c r="R103" s="22" t="s">
        <v>8</v>
      </c>
      <c r="S103" s="22" t="s">
        <v>8</v>
      </c>
      <c r="T103" s="5">
        <v>3</v>
      </c>
      <c r="U103" s="5">
        <v>14.5</v>
      </c>
      <c r="V103" s="20" t="s">
        <v>1</v>
      </c>
      <c r="W103" s="20">
        <v>5</v>
      </c>
      <c r="X103" s="20">
        <v>1</v>
      </c>
      <c r="Y103" s="5">
        <v>1</v>
      </c>
      <c r="Z103" s="20">
        <v>4</v>
      </c>
      <c r="AA103" s="23">
        <f t="shared" si="2"/>
        <v>2</v>
      </c>
      <c r="AB103" s="15">
        <v>1</v>
      </c>
      <c r="AC103" s="15">
        <v>1</v>
      </c>
      <c r="AD103" s="15">
        <v>1</v>
      </c>
      <c r="AE103" s="15">
        <v>1</v>
      </c>
      <c r="AF103" s="20">
        <v>24</v>
      </c>
      <c r="AG103" s="20" t="s">
        <v>8</v>
      </c>
      <c r="AH103" s="24">
        <v>24</v>
      </c>
      <c r="AI103" s="23">
        <f t="shared" si="3"/>
        <v>1</v>
      </c>
      <c r="AJ103" s="17">
        <v>13</v>
      </c>
      <c r="AK103" s="17">
        <v>11</v>
      </c>
      <c r="AL103" s="14">
        <v>24</v>
      </c>
      <c r="AM103" s="23" cm="1">
        <f t="array" ref="AM103">IF(OR(AN103:AZ103=""),"BLANK",IF(AND(AN103:AZ103&lt;9999999),1,IF(AND(AN103:AZ103="NA"),3,2)))</f>
        <v>1</v>
      </c>
      <c r="AN103" s="5">
        <v>9</v>
      </c>
      <c r="AO103" s="5">
        <v>2</v>
      </c>
      <c r="AP103" s="10">
        <v>3.5</v>
      </c>
      <c r="AQ103" s="10">
        <v>4</v>
      </c>
      <c r="AR103" s="10">
        <v>7</v>
      </c>
      <c r="AS103" s="11">
        <v>511</v>
      </c>
      <c r="AT103" s="11">
        <v>5512.5</v>
      </c>
      <c r="AU103" s="11">
        <v>4130.75</v>
      </c>
      <c r="AV103" s="11">
        <v>1871</v>
      </c>
      <c r="AW103" s="11">
        <v>0</v>
      </c>
      <c r="AX103" s="11">
        <v>0</v>
      </c>
      <c r="AY103" s="11">
        <v>0</v>
      </c>
      <c r="AZ103" s="11">
        <v>0</v>
      </c>
      <c r="BA103" s="23">
        <v>3</v>
      </c>
      <c r="BB103" s="24" t="s">
        <v>8</v>
      </c>
    </row>
    <row r="104" spans="1:54" x14ac:dyDescent="0.2">
      <c r="A104" s="5">
        <v>615</v>
      </c>
      <c r="B104" s="20" t="s">
        <v>69</v>
      </c>
      <c r="C104" s="18" t="s">
        <v>55</v>
      </c>
      <c r="D104" s="18">
        <v>1</v>
      </c>
      <c r="E104" s="18">
        <v>0</v>
      </c>
      <c r="F104" s="20">
        <v>4</v>
      </c>
      <c r="G104" s="18">
        <v>26</v>
      </c>
      <c r="H104" s="22" t="s">
        <v>8</v>
      </c>
      <c r="I104" s="22" t="s">
        <v>8</v>
      </c>
      <c r="J104" s="22" t="s">
        <v>8</v>
      </c>
      <c r="K104" s="22" t="s">
        <v>8</v>
      </c>
      <c r="L104" s="22" t="s">
        <v>8</v>
      </c>
      <c r="M104" s="22" t="s">
        <v>8</v>
      </c>
      <c r="N104" s="22" t="s">
        <v>8</v>
      </c>
      <c r="O104" s="22" t="s">
        <v>8</v>
      </c>
      <c r="P104" s="22" t="s">
        <v>8</v>
      </c>
      <c r="Q104" s="22" t="s">
        <v>8</v>
      </c>
      <c r="R104" s="22" t="s">
        <v>8</v>
      </c>
      <c r="S104" s="22" t="s">
        <v>8</v>
      </c>
      <c r="T104" s="5">
        <v>2</v>
      </c>
      <c r="U104" s="5">
        <v>12</v>
      </c>
      <c r="V104" s="20" t="s">
        <v>1</v>
      </c>
      <c r="W104" s="20">
        <v>5</v>
      </c>
      <c r="X104" s="20">
        <v>1</v>
      </c>
      <c r="Y104" s="5">
        <v>1</v>
      </c>
      <c r="Z104" s="20">
        <v>4</v>
      </c>
      <c r="AA104" s="23">
        <f t="shared" si="2"/>
        <v>2</v>
      </c>
      <c r="AB104" s="15">
        <v>1</v>
      </c>
      <c r="AC104" s="15">
        <v>0.875</v>
      </c>
      <c r="AD104" s="15">
        <v>0.5</v>
      </c>
      <c r="AE104" s="15">
        <v>0.79200000000000004</v>
      </c>
      <c r="AF104" s="20">
        <v>19</v>
      </c>
      <c r="AG104" s="20" t="s">
        <v>8</v>
      </c>
      <c r="AH104" s="24">
        <v>24</v>
      </c>
      <c r="AI104" s="23">
        <f t="shared" si="3"/>
        <v>1</v>
      </c>
      <c r="AJ104" s="17">
        <v>8.5</v>
      </c>
      <c r="AK104" s="17">
        <v>6.5</v>
      </c>
      <c r="AL104" s="14">
        <v>15</v>
      </c>
      <c r="AM104" s="23" cm="1">
        <f t="array" ref="AM104">IF(OR(AN104:AZ104=""),"BLANK",IF(AND(AN104:AZ104&lt;9999999),1,IF(AND(AN104:AZ104="NA"),3,2)))</f>
        <v>1</v>
      </c>
      <c r="AN104" s="5">
        <v>8</v>
      </c>
      <c r="AO104" s="5">
        <v>2</v>
      </c>
      <c r="AP104" s="10">
        <v>3</v>
      </c>
      <c r="AQ104" s="10">
        <v>6</v>
      </c>
      <c r="AR104" s="10">
        <v>6.75</v>
      </c>
      <c r="AS104" s="11">
        <v>0</v>
      </c>
      <c r="AT104" s="11">
        <v>4910</v>
      </c>
      <c r="AU104" s="11">
        <v>1457.5</v>
      </c>
      <c r="AV104" s="11">
        <v>1539.75</v>
      </c>
      <c r="AW104" s="11">
        <v>0</v>
      </c>
      <c r="AX104" s="11">
        <v>0</v>
      </c>
      <c r="AY104" s="11">
        <v>1199.9375</v>
      </c>
      <c r="AZ104" s="11">
        <v>713.00075757579998</v>
      </c>
      <c r="BA104" s="23">
        <v>3</v>
      </c>
      <c r="BB104" s="24" t="s">
        <v>8</v>
      </c>
    </row>
    <row r="105" spans="1:54" x14ac:dyDescent="0.2">
      <c r="A105" s="5">
        <v>616</v>
      </c>
      <c r="B105" s="20" t="s">
        <v>69</v>
      </c>
      <c r="C105" s="18" t="s">
        <v>55</v>
      </c>
      <c r="D105" s="18">
        <v>1</v>
      </c>
      <c r="E105" s="18">
        <v>0</v>
      </c>
      <c r="F105" s="20">
        <v>3.4550000000000001</v>
      </c>
      <c r="G105" s="18">
        <v>30</v>
      </c>
      <c r="H105" s="22" t="s">
        <v>8</v>
      </c>
      <c r="I105" s="22" t="s">
        <v>8</v>
      </c>
      <c r="J105" s="22" t="s">
        <v>8</v>
      </c>
      <c r="K105" s="22" t="s">
        <v>8</v>
      </c>
      <c r="L105" s="22" t="s">
        <v>8</v>
      </c>
      <c r="M105" s="22" t="s">
        <v>8</v>
      </c>
      <c r="N105" s="22" t="s">
        <v>8</v>
      </c>
      <c r="O105" s="22" t="s">
        <v>8</v>
      </c>
      <c r="P105" s="22" t="s">
        <v>8</v>
      </c>
      <c r="Q105" s="22" t="s">
        <v>8</v>
      </c>
      <c r="R105" s="22" t="s">
        <v>8</v>
      </c>
      <c r="S105" s="22" t="s">
        <v>8</v>
      </c>
      <c r="T105" s="5">
        <v>3</v>
      </c>
      <c r="U105" s="5">
        <v>15</v>
      </c>
      <c r="V105" s="20" t="s">
        <v>1</v>
      </c>
      <c r="W105" s="20">
        <v>5</v>
      </c>
      <c r="X105" s="20">
        <v>1</v>
      </c>
      <c r="Y105" s="5">
        <v>1</v>
      </c>
      <c r="Z105" s="20">
        <v>4</v>
      </c>
      <c r="AA105" s="23">
        <f t="shared" si="2"/>
        <v>2</v>
      </c>
      <c r="AB105" s="15">
        <v>1</v>
      </c>
      <c r="AC105" s="15">
        <v>1</v>
      </c>
      <c r="AD105" s="15">
        <v>1</v>
      </c>
      <c r="AE105" s="15">
        <v>1</v>
      </c>
      <c r="AF105" s="20">
        <v>24</v>
      </c>
      <c r="AG105" s="20" t="s">
        <v>8</v>
      </c>
      <c r="AH105" s="24">
        <v>24</v>
      </c>
      <c r="AI105" s="23">
        <f t="shared" si="3"/>
        <v>1</v>
      </c>
      <c r="AJ105" s="17">
        <v>12.75</v>
      </c>
      <c r="AK105" s="17">
        <v>14</v>
      </c>
      <c r="AL105" s="14">
        <v>26.75</v>
      </c>
      <c r="AM105" s="23" cm="1">
        <f t="array" ref="AM105">IF(OR(AN105:AZ105=""),"BLANK",IF(AND(AN105:AZ105&lt;9999999),1,IF(AND(AN105:AZ105="NA"),3,2)))</f>
        <v>1</v>
      </c>
      <c r="AN105" s="5">
        <v>8</v>
      </c>
      <c r="AO105" s="5">
        <v>2</v>
      </c>
      <c r="AP105" s="10">
        <v>3</v>
      </c>
      <c r="AQ105" s="10">
        <v>7.75</v>
      </c>
      <c r="AR105" s="10">
        <v>6.75</v>
      </c>
      <c r="AS105" s="11">
        <v>1177</v>
      </c>
      <c r="AT105" s="11">
        <v>758</v>
      </c>
      <c r="AU105" s="11">
        <v>5614.75</v>
      </c>
      <c r="AV105" s="11">
        <v>11269</v>
      </c>
      <c r="AW105" s="11">
        <v>0</v>
      </c>
      <c r="AX105" s="11">
        <v>0</v>
      </c>
      <c r="AY105" s="11">
        <v>1340.2916666666999</v>
      </c>
      <c r="AZ105" s="11">
        <v>2180.7750000000001</v>
      </c>
      <c r="BA105" s="23">
        <v>3</v>
      </c>
      <c r="BB105" s="24" t="s">
        <v>8</v>
      </c>
    </row>
    <row r="106" spans="1:54" x14ac:dyDescent="0.2">
      <c r="A106" s="5">
        <v>634</v>
      </c>
      <c r="B106" s="20" t="s">
        <v>72</v>
      </c>
      <c r="C106" s="18" t="s">
        <v>55</v>
      </c>
      <c r="D106" s="18">
        <v>1</v>
      </c>
      <c r="E106" s="18">
        <v>0</v>
      </c>
      <c r="F106" s="20">
        <v>3.1819999999999999</v>
      </c>
      <c r="G106" s="18">
        <v>29</v>
      </c>
      <c r="H106" s="22">
        <v>4.2956878850102669</v>
      </c>
      <c r="I106" s="22">
        <v>5.1362080766598224</v>
      </c>
      <c r="J106" s="22">
        <v>9.4318959616700884</v>
      </c>
      <c r="K106" s="22">
        <v>4.3750855578370977</v>
      </c>
      <c r="L106" s="22">
        <v>5.2840520191649558</v>
      </c>
      <c r="M106" s="22">
        <v>9.6591375770020527</v>
      </c>
      <c r="N106" s="22">
        <v>4.3723477070499657</v>
      </c>
      <c r="O106" s="22">
        <v>4.6735112936344967</v>
      </c>
      <c r="P106" s="22">
        <v>9.0458590006844624</v>
      </c>
      <c r="Q106" s="22" t="s">
        <v>8</v>
      </c>
      <c r="R106" s="22" t="s">
        <v>8</v>
      </c>
      <c r="S106" s="22" t="s">
        <v>8</v>
      </c>
      <c r="T106" s="5">
        <v>3</v>
      </c>
      <c r="U106" s="5">
        <v>15</v>
      </c>
      <c r="V106" s="20" t="s">
        <v>1</v>
      </c>
      <c r="W106" s="20">
        <v>5</v>
      </c>
      <c r="X106" s="20">
        <v>1</v>
      </c>
      <c r="Y106" s="5">
        <v>1</v>
      </c>
      <c r="Z106" s="20">
        <v>4</v>
      </c>
      <c r="AA106" s="23">
        <f t="shared" si="2"/>
        <v>2</v>
      </c>
      <c r="AB106" s="15">
        <v>1</v>
      </c>
      <c r="AC106" s="15">
        <v>0.875</v>
      </c>
      <c r="AD106" s="15">
        <v>0.875</v>
      </c>
      <c r="AE106" s="15">
        <v>0.91700000000000004</v>
      </c>
      <c r="AF106" s="20">
        <v>22</v>
      </c>
      <c r="AG106" s="20" t="s">
        <v>8</v>
      </c>
      <c r="AH106" s="24">
        <v>24</v>
      </c>
      <c r="AI106" s="23">
        <f t="shared" si="3"/>
        <v>1</v>
      </c>
      <c r="AJ106" s="17">
        <v>12</v>
      </c>
      <c r="AK106" s="17">
        <v>12</v>
      </c>
      <c r="AL106" s="14">
        <v>24</v>
      </c>
      <c r="AM106" s="23" cm="1">
        <f t="array" ref="AM106">IF(OR(AN106:AZ106=""),"BLANK",IF(AND(AN106:AZ106&lt;9999999),1,IF(AND(AN106:AZ106="NA"),3,2)))</f>
        <v>1</v>
      </c>
      <c r="AN106" s="5">
        <v>11</v>
      </c>
      <c r="AO106" s="5">
        <v>2</v>
      </c>
      <c r="AP106" s="10">
        <v>3</v>
      </c>
      <c r="AQ106" s="10">
        <v>5</v>
      </c>
      <c r="AR106" s="10">
        <v>5</v>
      </c>
      <c r="AS106" s="11">
        <v>155</v>
      </c>
      <c r="AT106" s="11">
        <v>2858</v>
      </c>
      <c r="AU106" s="11">
        <v>5677</v>
      </c>
      <c r="AV106" s="11">
        <v>3603.75</v>
      </c>
      <c r="AW106" s="11">
        <v>0</v>
      </c>
      <c r="AX106" s="11">
        <v>0</v>
      </c>
      <c r="AY106" s="11">
        <v>1326</v>
      </c>
      <c r="AZ106" s="11">
        <v>509.15</v>
      </c>
      <c r="BA106" s="23">
        <v>3</v>
      </c>
      <c r="BB106" s="24" t="s">
        <v>8</v>
      </c>
    </row>
    <row r="107" spans="1:54" x14ac:dyDescent="0.2">
      <c r="A107" s="5">
        <v>639</v>
      </c>
      <c r="B107" s="20" t="s">
        <v>70</v>
      </c>
      <c r="C107" s="18" t="s">
        <v>54</v>
      </c>
      <c r="D107" s="18">
        <v>5</v>
      </c>
      <c r="E107" s="18">
        <v>0</v>
      </c>
      <c r="F107" s="20">
        <v>4</v>
      </c>
      <c r="G107" s="18">
        <v>27</v>
      </c>
      <c r="H107" s="22">
        <v>3.805612594113621</v>
      </c>
      <c r="I107" s="22" t="s">
        <v>8</v>
      </c>
      <c r="J107" s="22" t="s">
        <v>8</v>
      </c>
      <c r="K107" s="22">
        <v>3.9288158795345653</v>
      </c>
      <c r="L107" s="22" t="s">
        <v>8</v>
      </c>
      <c r="M107" s="22" t="s">
        <v>8</v>
      </c>
      <c r="N107" s="22">
        <v>3.8138261464750172</v>
      </c>
      <c r="O107" s="22" t="s">
        <v>8</v>
      </c>
      <c r="P107" s="22" t="s">
        <v>8</v>
      </c>
      <c r="Q107" s="22" t="s">
        <v>8</v>
      </c>
      <c r="R107" s="22" t="s">
        <v>8</v>
      </c>
      <c r="S107" s="22" t="s">
        <v>8</v>
      </c>
      <c r="T107" s="5">
        <v>4</v>
      </c>
      <c r="U107" s="5">
        <v>16</v>
      </c>
      <c r="V107" s="20" t="s">
        <v>1</v>
      </c>
      <c r="W107" s="20">
        <v>5</v>
      </c>
      <c r="X107" s="20">
        <v>1</v>
      </c>
      <c r="Y107" s="5">
        <v>1</v>
      </c>
      <c r="Z107" s="20">
        <v>4</v>
      </c>
      <c r="AA107" s="23">
        <f t="shared" si="2"/>
        <v>2</v>
      </c>
      <c r="AB107" s="15">
        <v>0.875</v>
      </c>
      <c r="AC107" s="15">
        <v>0.875</v>
      </c>
      <c r="AD107" s="15">
        <v>0.42857142857142855</v>
      </c>
      <c r="AE107" s="15">
        <v>0.73899999999999999</v>
      </c>
      <c r="AF107" s="20">
        <v>17</v>
      </c>
      <c r="AG107" s="20" t="s">
        <v>8</v>
      </c>
      <c r="AH107" s="24">
        <v>23</v>
      </c>
      <c r="AI107" s="23">
        <f t="shared" si="3"/>
        <v>1</v>
      </c>
      <c r="AJ107" s="17">
        <v>2.75</v>
      </c>
      <c r="AK107" s="17">
        <v>2.25</v>
      </c>
      <c r="AL107" s="14">
        <v>5</v>
      </c>
      <c r="AM107" s="23" cm="1">
        <f t="array" ref="AM107">IF(OR(AN107:AZ107=""),"BLANK",IF(AND(AN107:AZ107&lt;9999999),1,IF(AND(AN107:AZ107="NA"),3,2)))</f>
        <v>1</v>
      </c>
      <c r="AN107" s="5">
        <v>8</v>
      </c>
      <c r="AO107" s="5">
        <v>2</v>
      </c>
      <c r="AP107" s="10">
        <v>3.5</v>
      </c>
      <c r="AQ107" s="10">
        <v>5.25</v>
      </c>
      <c r="AR107" s="10">
        <v>8</v>
      </c>
      <c r="AS107" s="11">
        <v>1092.5</v>
      </c>
      <c r="AT107" s="11">
        <v>23175</v>
      </c>
      <c r="AU107" s="11">
        <v>22871.5</v>
      </c>
      <c r="AV107" s="11">
        <v>20231</v>
      </c>
      <c r="AW107" s="11">
        <v>124.5</v>
      </c>
      <c r="AX107" s="11">
        <v>918.41666666670005</v>
      </c>
      <c r="AY107" s="11">
        <v>3952.8194444443998</v>
      </c>
      <c r="AZ107" s="11">
        <v>9837.7625000000007</v>
      </c>
      <c r="BA107" s="23">
        <v>3</v>
      </c>
      <c r="BB107" s="24" t="s">
        <v>8</v>
      </c>
    </row>
    <row r="108" spans="1:54" x14ac:dyDescent="0.2">
      <c r="A108" s="5">
        <v>665</v>
      </c>
      <c r="B108" s="20" t="s">
        <v>72</v>
      </c>
      <c r="C108" s="18" t="s">
        <v>55</v>
      </c>
      <c r="D108" s="18">
        <v>1</v>
      </c>
      <c r="E108" s="18">
        <v>0</v>
      </c>
      <c r="F108" s="20">
        <v>3</v>
      </c>
      <c r="G108" s="18">
        <v>30</v>
      </c>
      <c r="H108" s="22" t="s">
        <v>8</v>
      </c>
      <c r="I108" s="22" t="s">
        <v>8</v>
      </c>
      <c r="J108" s="22" t="s">
        <v>8</v>
      </c>
      <c r="K108" s="22" t="s">
        <v>8</v>
      </c>
      <c r="L108" s="22" t="s">
        <v>8</v>
      </c>
      <c r="M108" s="22" t="s">
        <v>8</v>
      </c>
      <c r="N108" s="22" t="s">
        <v>8</v>
      </c>
      <c r="O108" s="22" t="s">
        <v>8</v>
      </c>
      <c r="P108" s="22" t="s">
        <v>8</v>
      </c>
      <c r="Q108" s="22" t="s">
        <v>8</v>
      </c>
      <c r="R108" s="22" t="s">
        <v>8</v>
      </c>
      <c r="S108" s="22" t="s">
        <v>8</v>
      </c>
      <c r="T108" s="5">
        <v>3</v>
      </c>
      <c r="U108" s="5">
        <v>15</v>
      </c>
      <c r="V108" s="20" t="s">
        <v>1</v>
      </c>
      <c r="W108" s="20">
        <v>5</v>
      </c>
      <c r="X108" s="20">
        <v>1</v>
      </c>
      <c r="Y108" s="5">
        <v>1</v>
      </c>
      <c r="Z108" s="20">
        <v>4</v>
      </c>
      <c r="AA108" s="23">
        <f t="shared" si="2"/>
        <v>2</v>
      </c>
      <c r="AB108" s="15">
        <v>1</v>
      </c>
      <c r="AC108" s="15">
        <v>0.875</v>
      </c>
      <c r="AD108" s="15">
        <v>0.75</v>
      </c>
      <c r="AE108" s="15">
        <v>0.875</v>
      </c>
      <c r="AF108" s="20">
        <v>21</v>
      </c>
      <c r="AG108" s="20" t="s">
        <v>8</v>
      </c>
      <c r="AH108" s="24">
        <v>24</v>
      </c>
      <c r="AI108" s="23">
        <f t="shared" si="3"/>
        <v>1</v>
      </c>
      <c r="AJ108" s="17">
        <v>14</v>
      </c>
      <c r="AK108" s="17">
        <v>11.5</v>
      </c>
      <c r="AL108" s="14">
        <v>25.5</v>
      </c>
      <c r="AM108" s="23" cm="1">
        <f t="array" ref="AM108">IF(OR(AN108:AZ108=""),"BLANK",IF(AND(AN108:AZ108&lt;9999999),1,IF(AND(AN108:AZ108="NA"),3,2)))</f>
        <v>1</v>
      </c>
      <c r="AN108" s="5">
        <v>10</v>
      </c>
      <c r="AO108" s="5">
        <v>2</v>
      </c>
      <c r="AP108" s="10">
        <v>3</v>
      </c>
      <c r="AQ108" s="10">
        <v>5.25</v>
      </c>
      <c r="AR108" s="10">
        <v>6</v>
      </c>
      <c r="AS108" s="11">
        <v>2406</v>
      </c>
      <c r="AT108" s="11">
        <v>3611.5</v>
      </c>
      <c r="AU108" s="11">
        <v>3491.25</v>
      </c>
      <c r="AV108" s="11">
        <v>6040.25</v>
      </c>
      <c r="AW108" s="11">
        <v>0</v>
      </c>
      <c r="AX108" s="11">
        <v>0</v>
      </c>
      <c r="AY108" s="11">
        <v>1253.1527777778001</v>
      </c>
      <c r="AZ108" s="11">
        <v>515.20000000000005</v>
      </c>
      <c r="BA108" s="23">
        <v>3</v>
      </c>
      <c r="BB108" s="24" t="s">
        <v>8</v>
      </c>
    </row>
    <row r="109" spans="1:54" x14ac:dyDescent="0.2">
      <c r="A109" s="5">
        <v>671</v>
      </c>
      <c r="B109" s="20" t="s">
        <v>74</v>
      </c>
      <c r="C109" s="18" t="s">
        <v>54</v>
      </c>
      <c r="D109" s="18">
        <v>5</v>
      </c>
      <c r="E109" s="18">
        <v>0</v>
      </c>
      <c r="F109" s="20">
        <v>2.7269999999999999</v>
      </c>
      <c r="G109" s="18">
        <v>29</v>
      </c>
      <c r="H109" s="22">
        <v>4.0821355236139629</v>
      </c>
      <c r="I109" s="22" t="s">
        <v>8</v>
      </c>
      <c r="J109" s="22" t="s">
        <v>8</v>
      </c>
      <c r="K109" s="22">
        <v>4.084873374401095</v>
      </c>
      <c r="L109" s="22" t="s">
        <v>8</v>
      </c>
      <c r="M109" s="22" t="s">
        <v>8</v>
      </c>
      <c r="N109" s="22">
        <v>4.0273785078713207</v>
      </c>
      <c r="O109" s="22" t="s">
        <v>8</v>
      </c>
      <c r="P109" s="22" t="s">
        <v>8</v>
      </c>
      <c r="Q109" s="22">
        <v>3.2580424366872007</v>
      </c>
      <c r="R109" s="22" t="s">
        <v>8</v>
      </c>
      <c r="S109" s="22" t="s">
        <v>8</v>
      </c>
      <c r="T109" s="5">
        <v>6</v>
      </c>
      <c r="U109" s="5">
        <v>18</v>
      </c>
      <c r="V109" s="20" t="s">
        <v>1</v>
      </c>
      <c r="W109" s="20">
        <v>5</v>
      </c>
      <c r="X109" s="20">
        <v>1</v>
      </c>
      <c r="Y109" s="5">
        <v>1</v>
      </c>
      <c r="Z109" s="20">
        <v>4</v>
      </c>
      <c r="AA109" s="23">
        <f t="shared" si="2"/>
        <v>2</v>
      </c>
      <c r="AB109" s="15">
        <v>1</v>
      </c>
      <c r="AC109" s="15">
        <v>0.875</v>
      </c>
      <c r="AD109" s="15">
        <v>0.5</v>
      </c>
      <c r="AE109" s="15">
        <v>0.79200000000000004</v>
      </c>
      <c r="AF109" s="20">
        <v>19</v>
      </c>
      <c r="AG109" s="20" t="s">
        <v>8</v>
      </c>
      <c r="AH109" s="24">
        <v>24</v>
      </c>
      <c r="AI109" s="23">
        <f t="shared" si="3"/>
        <v>1</v>
      </c>
      <c r="AJ109" s="17">
        <v>8.5</v>
      </c>
      <c r="AK109" s="17">
        <v>9</v>
      </c>
      <c r="AL109" s="14">
        <v>17.5</v>
      </c>
      <c r="AM109" s="23" cm="1">
        <f t="array" ref="AM109">IF(OR(AN109:AZ109=""),"BLANK",IF(AND(AN109:AZ109&lt;9999999),1,IF(AND(AN109:AZ109="NA"),3,2)))</f>
        <v>1</v>
      </c>
      <c r="AN109" s="5">
        <v>9</v>
      </c>
      <c r="AO109" s="5">
        <v>2</v>
      </c>
      <c r="AP109" s="10">
        <v>3</v>
      </c>
      <c r="AQ109" s="10">
        <v>5.75</v>
      </c>
      <c r="AR109" s="10">
        <v>5.25</v>
      </c>
      <c r="AS109" s="11">
        <v>2507.5</v>
      </c>
      <c r="AT109" s="11">
        <v>3466.5</v>
      </c>
      <c r="AU109" s="11">
        <v>12944.5</v>
      </c>
      <c r="AV109" s="11">
        <v>10991.5</v>
      </c>
      <c r="AW109" s="11">
        <v>0</v>
      </c>
      <c r="AX109" s="11">
        <v>0</v>
      </c>
      <c r="AY109" s="11">
        <v>2505.2777777778001</v>
      </c>
      <c r="AZ109" s="11">
        <v>0</v>
      </c>
      <c r="BA109" s="23">
        <v>3</v>
      </c>
      <c r="BB109" s="24" t="s">
        <v>8</v>
      </c>
    </row>
    <row r="110" spans="1:54" x14ac:dyDescent="0.2">
      <c r="A110" s="5">
        <v>674</v>
      </c>
      <c r="B110" s="20" t="s">
        <v>75</v>
      </c>
      <c r="C110" s="18" t="s">
        <v>55</v>
      </c>
      <c r="D110" s="18">
        <v>6</v>
      </c>
      <c r="E110" s="18">
        <v>0</v>
      </c>
      <c r="F110" s="20">
        <v>2.0910000000000002</v>
      </c>
      <c r="G110" s="18">
        <v>29</v>
      </c>
      <c r="H110" s="22">
        <v>3.9644079397672827</v>
      </c>
      <c r="I110" s="22">
        <v>4.7529089664613275</v>
      </c>
      <c r="J110" s="22">
        <v>8.7173169062286107</v>
      </c>
      <c r="K110" s="22">
        <v>3.9644079397672827</v>
      </c>
      <c r="L110" s="22">
        <v>4.7529089664613275</v>
      </c>
      <c r="M110" s="22">
        <v>8.7173169062286107</v>
      </c>
      <c r="N110" s="22">
        <v>3.9753593429158109</v>
      </c>
      <c r="O110" s="22">
        <v>4.4599589322381927</v>
      </c>
      <c r="P110" s="22">
        <v>8.4353182751540032</v>
      </c>
      <c r="Q110" s="22" t="s">
        <v>8</v>
      </c>
      <c r="R110" s="22" t="s">
        <v>8</v>
      </c>
      <c r="S110" s="22" t="s">
        <v>8</v>
      </c>
      <c r="T110" s="5">
        <v>6</v>
      </c>
      <c r="U110" s="5">
        <v>18</v>
      </c>
      <c r="V110" s="20" t="s">
        <v>1</v>
      </c>
      <c r="W110" s="20">
        <v>5</v>
      </c>
      <c r="X110" s="20">
        <v>1</v>
      </c>
      <c r="Y110" s="5">
        <v>1</v>
      </c>
      <c r="Z110" s="20">
        <v>4</v>
      </c>
      <c r="AA110" s="23">
        <f t="shared" si="2"/>
        <v>2</v>
      </c>
      <c r="AB110" s="15">
        <v>0.875</v>
      </c>
      <c r="AC110" s="15">
        <v>1</v>
      </c>
      <c r="AD110" s="15">
        <v>0.625</v>
      </c>
      <c r="AE110" s="15">
        <v>0.83299999999999996</v>
      </c>
      <c r="AF110" s="20">
        <v>20</v>
      </c>
      <c r="AG110" s="20" t="s">
        <v>8</v>
      </c>
      <c r="AH110" s="24">
        <v>24</v>
      </c>
      <c r="AI110" s="23">
        <f t="shared" si="3"/>
        <v>1</v>
      </c>
      <c r="AJ110" s="17">
        <v>12</v>
      </c>
      <c r="AK110" s="17">
        <v>8</v>
      </c>
      <c r="AL110" s="14">
        <v>20</v>
      </c>
      <c r="AM110" s="23" cm="1">
        <f t="array" ref="AM110">IF(OR(AN110:AZ110=""),"BLANK",IF(AND(AN110:AZ110&lt;9999999),1,IF(AND(AN110:AZ110="NA"),3,2)))</f>
        <v>1</v>
      </c>
      <c r="AN110" s="5">
        <v>7</v>
      </c>
      <c r="AO110" s="5">
        <v>2</v>
      </c>
      <c r="AP110" s="10">
        <v>3</v>
      </c>
      <c r="AQ110" s="10">
        <v>5.5</v>
      </c>
      <c r="AR110" s="10">
        <v>8</v>
      </c>
      <c r="AS110" s="11">
        <v>7042.5</v>
      </c>
      <c r="AT110" s="11">
        <v>8527</v>
      </c>
      <c r="AU110" s="11">
        <v>6741.25</v>
      </c>
      <c r="AV110" s="11">
        <v>13730</v>
      </c>
      <c r="AW110" s="11">
        <v>0</v>
      </c>
      <c r="AX110" s="11">
        <v>0</v>
      </c>
      <c r="AY110" s="11">
        <v>2586.2083333332998</v>
      </c>
      <c r="AZ110" s="11">
        <v>1558.5946428571001</v>
      </c>
      <c r="BA110" s="23">
        <v>3</v>
      </c>
      <c r="BB110" s="24" t="s">
        <v>8</v>
      </c>
    </row>
    <row r="111" spans="1:54" x14ac:dyDescent="0.2">
      <c r="A111" s="5">
        <v>676</v>
      </c>
      <c r="B111" s="20" t="s">
        <v>81</v>
      </c>
      <c r="C111" s="18" t="s">
        <v>54</v>
      </c>
      <c r="D111" s="18">
        <v>5</v>
      </c>
      <c r="E111" s="18">
        <v>0</v>
      </c>
      <c r="F111" s="20">
        <v>3.5449999999999999</v>
      </c>
      <c r="G111" s="18">
        <v>26</v>
      </c>
      <c r="H111" s="22">
        <v>3.7043121149897331</v>
      </c>
      <c r="I111" s="22" t="s">
        <v>8</v>
      </c>
      <c r="J111" s="22" t="s">
        <v>8</v>
      </c>
      <c r="K111" s="22" t="s">
        <v>8</v>
      </c>
      <c r="L111" s="22" t="s">
        <v>8</v>
      </c>
      <c r="M111" s="22" t="s">
        <v>8</v>
      </c>
      <c r="N111" s="22" t="s">
        <v>8</v>
      </c>
      <c r="O111" s="22" t="s">
        <v>8</v>
      </c>
      <c r="P111" s="22" t="s">
        <v>8</v>
      </c>
      <c r="Q111" s="22">
        <v>3.3730321697467489</v>
      </c>
      <c r="R111" s="22" t="s">
        <v>8</v>
      </c>
      <c r="S111" s="22" t="s">
        <v>8</v>
      </c>
      <c r="T111" s="5">
        <v>3</v>
      </c>
      <c r="U111" s="5">
        <v>15</v>
      </c>
      <c r="V111" s="20" t="s">
        <v>1</v>
      </c>
      <c r="W111" s="20">
        <v>5</v>
      </c>
      <c r="X111" s="20">
        <v>1</v>
      </c>
      <c r="Y111" s="5">
        <v>1</v>
      </c>
      <c r="Z111" s="20">
        <v>4</v>
      </c>
      <c r="AA111" s="23">
        <f t="shared" si="2"/>
        <v>2</v>
      </c>
      <c r="AB111" s="15">
        <v>0.5</v>
      </c>
      <c r="AC111" s="15">
        <v>0.375</v>
      </c>
      <c r="AD111" s="15">
        <v>0</v>
      </c>
      <c r="AE111" s="15">
        <v>0.29199999999999998</v>
      </c>
      <c r="AF111" s="20">
        <v>7</v>
      </c>
      <c r="AG111" s="20" t="s">
        <v>8</v>
      </c>
      <c r="AH111" s="24">
        <v>24</v>
      </c>
      <c r="AI111" s="23">
        <f t="shared" si="3"/>
        <v>1</v>
      </c>
      <c r="AJ111" s="17">
        <v>4</v>
      </c>
      <c r="AK111" s="17">
        <v>3</v>
      </c>
      <c r="AL111" s="14">
        <v>7</v>
      </c>
      <c r="AM111" s="23" cm="1">
        <f t="array" ref="AM111">IF(OR(AN111:AZ111=""),"BLANK",IF(AND(AN111:AZ111&lt;9999999),1,IF(AND(AN111:AZ111="NA"),3,2)))</f>
        <v>1</v>
      </c>
      <c r="AN111" s="5">
        <v>7</v>
      </c>
      <c r="AO111" s="5">
        <v>2</v>
      </c>
      <c r="AP111" s="10">
        <v>3.5</v>
      </c>
      <c r="AQ111" s="10">
        <v>6.5</v>
      </c>
      <c r="AR111" s="10">
        <v>6.5</v>
      </c>
      <c r="AS111" s="11">
        <v>1896</v>
      </c>
      <c r="AT111" s="11">
        <v>20315.5</v>
      </c>
      <c r="AU111" s="11">
        <v>12777</v>
      </c>
      <c r="AV111" s="11">
        <v>18358.5</v>
      </c>
      <c r="AW111" s="11">
        <v>523</v>
      </c>
      <c r="AX111" s="11">
        <v>1214.7083333333001</v>
      </c>
      <c r="AY111" s="11">
        <v>4476.0138888888996</v>
      </c>
      <c r="AZ111" s="11">
        <v>2628.4416666666998</v>
      </c>
      <c r="BA111" s="23">
        <v>3</v>
      </c>
      <c r="BB111" s="24" t="s">
        <v>8</v>
      </c>
    </row>
    <row r="112" spans="1:54" x14ac:dyDescent="0.2">
      <c r="A112" s="5">
        <v>680</v>
      </c>
      <c r="B112" s="20" t="s">
        <v>75</v>
      </c>
      <c r="C112" s="18" t="s">
        <v>55</v>
      </c>
      <c r="D112" s="18">
        <v>5</v>
      </c>
      <c r="E112" s="18">
        <v>0</v>
      </c>
      <c r="F112" s="20">
        <v>3.5449999999999999</v>
      </c>
      <c r="G112" s="18">
        <v>27</v>
      </c>
      <c r="H112" s="22">
        <v>3.8220396988364134</v>
      </c>
      <c r="I112" s="22">
        <v>5.1663244353182751</v>
      </c>
      <c r="J112" s="22">
        <v>8.988364134154688</v>
      </c>
      <c r="K112" s="22">
        <v>3.893223819301848</v>
      </c>
      <c r="L112" s="22">
        <v>5.0951403148528405</v>
      </c>
      <c r="M112" s="22">
        <v>8.988364134154688</v>
      </c>
      <c r="N112" s="22">
        <v>3.7809719370294319</v>
      </c>
      <c r="O112" s="22">
        <v>5.1526351813826148</v>
      </c>
      <c r="P112" s="22">
        <v>8.9336071184120467</v>
      </c>
      <c r="Q112" s="22">
        <v>3.4743326488706368</v>
      </c>
      <c r="R112" s="22">
        <v>5.9192334017796027</v>
      </c>
      <c r="S112" s="22">
        <v>9.3935660506502394</v>
      </c>
      <c r="T112" s="5">
        <v>5</v>
      </c>
      <c r="U112" s="5">
        <v>16</v>
      </c>
      <c r="V112" s="20" t="s">
        <v>1</v>
      </c>
      <c r="W112" s="20">
        <v>5</v>
      </c>
      <c r="X112" s="20">
        <v>1</v>
      </c>
      <c r="Y112" s="5">
        <v>1</v>
      </c>
      <c r="Z112" s="20">
        <v>4</v>
      </c>
      <c r="AA112" s="23">
        <f t="shared" si="2"/>
        <v>2</v>
      </c>
      <c r="AB112" s="15">
        <v>1</v>
      </c>
      <c r="AC112" s="15">
        <v>0.875</v>
      </c>
      <c r="AD112" s="15">
        <v>0.875</v>
      </c>
      <c r="AE112" s="15">
        <v>0.91700000000000004</v>
      </c>
      <c r="AF112" s="20">
        <v>22</v>
      </c>
      <c r="AG112" s="20" t="s">
        <v>8</v>
      </c>
      <c r="AH112" s="24">
        <v>24</v>
      </c>
      <c r="AI112" s="23">
        <f t="shared" si="3"/>
        <v>1</v>
      </c>
      <c r="AJ112" s="17">
        <v>9.75</v>
      </c>
      <c r="AK112" s="17">
        <v>10.75</v>
      </c>
      <c r="AL112" s="14">
        <v>20.5</v>
      </c>
      <c r="AM112" s="23" cm="1">
        <f t="array" ref="AM112">IF(OR(AN112:AZ112=""),"BLANK",IF(AND(AN112:AZ112&lt;9999999),1,IF(AND(AN112:AZ112="NA"),3,2)))</f>
        <v>1</v>
      </c>
      <c r="AN112" s="5">
        <v>8</v>
      </c>
      <c r="AO112" s="5">
        <v>2</v>
      </c>
      <c r="AP112" s="10">
        <v>3.5</v>
      </c>
      <c r="AQ112" s="10">
        <v>6.75</v>
      </c>
      <c r="AR112" s="10">
        <v>5</v>
      </c>
      <c r="AS112" s="11">
        <v>4128</v>
      </c>
      <c r="AT112" s="11">
        <v>2884.5</v>
      </c>
      <c r="AU112" s="11">
        <v>4631.75</v>
      </c>
      <c r="AV112" s="11">
        <v>29550</v>
      </c>
      <c r="AW112" s="11">
        <v>0</v>
      </c>
      <c r="AX112" s="11">
        <v>0</v>
      </c>
      <c r="AY112" s="11">
        <v>3270.8819444443998</v>
      </c>
      <c r="AZ112" s="11">
        <v>232.2</v>
      </c>
      <c r="BA112" s="23">
        <v>3</v>
      </c>
      <c r="BB112" s="24" t="s">
        <v>8</v>
      </c>
    </row>
    <row r="113" spans="1:54" x14ac:dyDescent="0.2">
      <c r="A113" s="5">
        <v>684</v>
      </c>
      <c r="B113" s="20" t="s">
        <v>63</v>
      </c>
      <c r="C113" s="18" t="s">
        <v>54</v>
      </c>
      <c r="D113" s="18">
        <v>4</v>
      </c>
      <c r="E113" s="18">
        <v>0</v>
      </c>
      <c r="F113" s="20">
        <v>4</v>
      </c>
      <c r="G113" s="18">
        <v>26</v>
      </c>
      <c r="H113" s="22">
        <v>4.1971252566735116</v>
      </c>
      <c r="I113" s="22">
        <v>5.0841889117043122</v>
      </c>
      <c r="J113" s="22">
        <v>9.2813141683778237</v>
      </c>
      <c r="K113" s="22" t="s">
        <v>8</v>
      </c>
      <c r="L113" s="22">
        <v>5.3415468856947292</v>
      </c>
      <c r="M113" s="22" t="s">
        <v>8</v>
      </c>
      <c r="N113" s="22">
        <v>4.1204654346338128</v>
      </c>
      <c r="O113" s="22">
        <v>4.8377823408624234</v>
      </c>
      <c r="P113" s="22">
        <v>8.9582477754962362</v>
      </c>
      <c r="Q113" s="22">
        <v>3.2963723477070501</v>
      </c>
      <c r="R113" s="22" t="s">
        <v>8</v>
      </c>
      <c r="S113" s="22" t="s">
        <v>8</v>
      </c>
      <c r="T113" s="5">
        <v>3</v>
      </c>
      <c r="U113" s="5">
        <v>12</v>
      </c>
      <c r="V113" s="20" t="s">
        <v>1</v>
      </c>
      <c r="W113" s="20">
        <v>5</v>
      </c>
      <c r="X113" s="20">
        <v>1</v>
      </c>
      <c r="Y113" s="5">
        <v>1</v>
      </c>
      <c r="Z113" s="20">
        <v>4</v>
      </c>
      <c r="AA113" s="23">
        <f t="shared" si="2"/>
        <v>2</v>
      </c>
      <c r="AB113" s="15">
        <v>0.875</v>
      </c>
      <c r="AC113" s="15">
        <v>0.625</v>
      </c>
      <c r="AD113" s="15">
        <v>0.14285714285714285</v>
      </c>
      <c r="AE113" s="15">
        <v>0.56499999999999995</v>
      </c>
      <c r="AF113" s="20">
        <v>13</v>
      </c>
      <c r="AG113" s="20" t="s">
        <v>8</v>
      </c>
      <c r="AH113" s="24">
        <v>23</v>
      </c>
      <c r="AI113" s="23">
        <f t="shared" si="3"/>
        <v>1</v>
      </c>
      <c r="AJ113" s="17">
        <v>4.5</v>
      </c>
      <c r="AK113" s="17">
        <v>4.75</v>
      </c>
      <c r="AL113" s="14">
        <v>9.25</v>
      </c>
      <c r="AM113" s="23" cm="1">
        <f t="array" ref="AM113">IF(OR(AN113:AZ113=""),"BLANK",IF(AND(AN113:AZ113&lt;9999999),1,IF(AND(AN113:AZ113="NA"),3,2)))</f>
        <v>1</v>
      </c>
      <c r="AN113" s="5">
        <v>8</v>
      </c>
      <c r="AO113" s="5">
        <v>3</v>
      </c>
      <c r="AP113" s="10">
        <v>4</v>
      </c>
      <c r="AQ113" s="10">
        <v>5.25</v>
      </c>
      <c r="AR113" s="10">
        <v>6.75</v>
      </c>
      <c r="AS113" s="11">
        <v>0</v>
      </c>
      <c r="AT113" s="11">
        <v>14195</v>
      </c>
      <c r="AU113" s="11">
        <v>11330.25</v>
      </c>
      <c r="AV113" s="11">
        <v>6114.75</v>
      </c>
      <c r="AW113" s="11">
        <v>2570.875</v>
      </c>
      <c r="AX113" s="11">
        <v>218.8</v>
      </c>
      <c r="AY113" s="11">
        <v>10193.534722222201</v>
      </c>
      <c r="AZ113" s="11">
        <v>3648.1875</v>
      </c>
      <c r="BA113" s="23">
        <v>3</v>
      </c>
      <c r="BB113" s="24" t="s">
        <v>8</v>
      </c>
    </row>
    <row r="114" spans="1:54" x14ac:dyDescent="0.2">
      <c r="A114" s="5">
        <v>688</v>
      </c>
      <c r="B114" s="20" t="s">
        <v>74</v>
      </c>
      <c r="C114" s="18" t="s">
        <v>55</v>
      </c>
      <c r="D114" s="18">
        <v>5</v>
      </c>
      <c r="E114" s="18">
        <v>0</v>
      </c>
      <c r="F114" s="20">
        <v>4</v>
      </c>
      <c r="G114" s="18">
        <v>29</v>
      </c>
      <c r="H114" s="22">
        <v>3.9096509240246409</v>
      </c>
      <c r="I114" s="22">
        <v>5.4811772758384665</v>
      </c>
      <c r="J114" s="22">
        <v>9.3908281998631082</v>
      </c>
      <c r="K114" s="22">
        <v>3.9288158795345653</v>
      </c>
      <c r="L114" s="22">
        <v>5.4565366187542779</v>
      </c>
      <c r="M114" s="22">
        <v>9.3853524982888441</v>
      </c>
      <c r="N114" s="22">
        <v>3.9288158795345653</v>
      </c>
      <c r="O114" s="22">
        <v>5.6208076659822037</v>
      </c>
      <c r="P114" s="22">
        <v>9.54962354551677</v>
      </c>
      <c r="Q114" s="22">
        <v>3.3566050650239561</v>
      </c>
      <c r="R114" s="22">
        <v>5.8726899383983575</v>
      </c>
      <c r="S114" s="22">
        <v>9.2292950034223136</v>
      </c>
      <c r="T114" s="5">
        <v>7</v>
      </c>
      <c r="U114" s="5">
        <v>21</v>
      </c>
      <c r="V114" s="20" t="s">
        <v>1</v>
      </c>
      <c r="W114" s="20">
        <v>5</v>
      </c>
      <c r="X114" s="20">
        <v>1</v>
      </c>
      <c r="Y114" s="5">
        <v>1</v>
      </c>
      <c r="Z114" s="20">
        <v>4</v>
      </c>
      <c r="AA114" s="23">
        <f t="shared" si="2"/>
        <v>2</v>
      </c>
      <c r="AB114" s="15">
        <v>1</v>
      </c>
      <c r="AC114" s="15">
        <v>1</v>
      </c>
      <c r="AD114" s="15">
        <v>0.75</v>
      </c>
      <c r="AE114" s="15">
        <v>0.91700000000000004</v>
      </c>
      <c r="AF114" s="20">
        <v>22</v>
      </c>
      <c r="AG114" s="20" t="s">
        <v>8</v>
      </c>
      <c r="AH114" s="24">
        <v>24</v>
      </c>
      <c r="AI114" s="23">
        <f t="shared" si="3"/>
        <v>1</v>
      </c>
      <c r="AJ114" s="17">
        <v>12.75</v>
      </c>
      <c r="AK114" s="17">
        <v>11.75</v>
      </c>
      <c r="AL114" s="14">
        <v>24.5</v>
      </c>
      <c r="AM114" s="23" cm="1">
        <f t="array" ref="AM114">IF(OR(AN114:AZ114=""),"BLANK",IF(AND(AN114:AZ114&lt;9999999),1,IF(AND(AN114:AZ114="NA"),3,2)))</f>
        <v>1</v>
      </c>
      <c r="AN114" s="5">
        <v>9</v>
      </c>
      <c r="AO114" s="5">
        <v>3.5</v>
      </c>
      <c r="AP114" s="10">
        <v>3</v>
      </c>
      <c r="AQ114" s="10">
        <v>4.25</v>
      </c>
      <c r="AR114" s="10">
        <v>5.25</v>
      </c>
      <c r="AS114" s="11">
        <v>12095</v>
      </c>
      <c r="AT114" s="11">
        <v>3686.5</v>
      </c>
      <c r="AU114" s="11">
        <v>4898.25</v>
      </c>
      <c r="AV114" s="11">
        <v>1636</v>
      </c>
      <c r="AW114" s="11">
        <v>1834.45</v>
      </c>
      <c r="AX114" s="11">
        <v>0</v>
      </c>
      <c r="AY114" s="11">
        <v>181.73750000000001</v>
      </c>
      <c r="AZ114" s="11">
        <v>0</v>
      </c>
      <c r="BA114" s="23">
        <v>3</v>
      </c>
      <c r="BB114" s="24" t="s">
        <v>8</v>
      </c>
    </row>
    <row r="115" spans="1:54" x14ac:dyDescent="0.2">
      <c r="A115" s="5">
        <v>695</v>
      </c>
      <c r="B115" s="20" t="s">
        <v>64</v>
      </c>
      <c r="C115" s="18" t="s">
        <v>54</v>
      </c>
      <c r="D115" s="18">
        <v>5</v>
      </c>
      <c r="E115" s="18">
        <v>0</v>
      </c>
      <c r="F115" s="20">
        <v>4</v>
      </c>
      <c r="G115" s="18">
        <v>29</v>
      </c>
      <c r="H115" s="22">
        <v>4.0109514031485283</v>
      </c>
      <c r="I115" s="22">
        <v>5.7303216974674882</v>
      </c>
      <c r="J115" s="22">
        <v>9.7412731006160165</v>
      </c>
      <c r="K115" s="22">
        <v>4.0109514031485283</v>
      </c>
      <c r="L115" s="22">
        <v>5.7303216974674882</v>
      </c>
      <c r="M115" s="22">
        <v>9.7412731006160165</v>
      </c>
      <c r="N115" s="22">
        <v>4.0602327173169064</v>
      </c>
      <c r="O115" s="22">
        <v>5.5030800821355239</v>
      </c>
      <c r="P115" s="22">
        <v>9.5633127994524294</v>
      </c>
      <c r="Q115" s="22" t="s">
        <v>8</v>
      </c>
      <c r="R115" s="22" t="s">
        <v>8</v>
      </c>
      <c r="S115" s="22" t="s">
        <v>8</v>
      </c>
      <c r="T115" s="5">
        <v>4</v>
      </c>
      <c r="U115" s="5">
        <v>16</v>
      </c>
      <c r="V115" s="20" t="s">
        <v>1</v>
      </c>
      <c r="W115" s="20">
        <v>5</v>
      </c>
      <c r="X115" s="20">
        <v>1</v>
      </c>
      <c r="Y115" s="5">
        <v>1</v>
      </c>
      <c r="Z115" s="20">
        <v>4</v>
      </c>
      <c r="AA115" s="23">
        <f t="shared" si="2"/>
        <v>2</v>
      </c>
      <c r="AB115" s="15">
        <v>1</v>
      </c>
      <c r="AC115" s="15">
        <v>0.875</v>
      </c>
      <c r="AD115" s="15">
        <v>0.5</v>
      </c>
      <c r="AE115" s="15">
        <v>0.79200000000000004</v>
      </c>
      <c r="AF115" s="20">
        <v>19</v>
      </c>
      <c r="AG115" s="20" t="s">
        <v>8</v>
      </c>
      <c r="AH115" s="24">
        <v>24</v>
      </c>
      <c r="AI115" s="23">
        <f t="shared" si="3"/>
        <v>1</v>
      </c>
      <c r="AJ115" s="17">
        <v>7.25</v>
      </c>
      <c r="AK115" s="17">
        <v>8</v>
      </c>
      <c r="AL115" s="14">
        <v>15.25</v>
      </c>
      <c r="AM115" s="23" cm="1">
        <f t="array" ref="AM115">IF(OR(AN115:AZ115=""),"BLANK",IF(AND(AN115:AZ115&lt;9999999),1,IF(AND(AN115:AZ115="NA"),3,2)))</f>
        <v>1</v>
      </c>
      <c r="AN115" s="5">
        <v>6</v>
      </c>
      <c r="AO115" s="5">
        <v>2</v>
      </c>
      <c r="AP115" s="10">
        <v>3</v>
      </c>
      <c r="AQ115" s="10">
        <v>5.5</v>
      </c>
      <c r="AR115" s="10">
        <v>8</v>
      </c>
      <c r="AS115" s="11">
        <v>913</v>
      </c>
      <c r="AT115" s="11">
        <v>771.5</v>
      </c>
      <c r="AU115" s="11">
        <v>2701.75</v>
      </c>
      <c r="AV115" s="11">
        <v>2583.25</v>
      </c>
      <c r="AW115" s="11">
        <v>0</v>
      </c>
      <c r="AX115" s="11">
        <v>0</v>
      </c>
      <c r="AY115" s="11">
        <v>1859.3791666667</v>
      </c>
      <c r="AZ115" s="11">
        <v>2153.9722222221999</v>
      </c>
      <c r="BA115" s="23">
        <v>3</v>
      </c>
      <c r="BB115" s="24" t="s">
        <v>8</v>
      </c>
    </row>
    <row r="116" spans="1:54" x14ac:dyDescent="0.2">
      <c r="A116" s="5">
        <v>719</v>
      </c>
      <c r="B116" s="20" t="s">
        <v>75</v>
      </c>
      <c r="C116" s="18" t="s">
        <v>54</v>
      </c>
      <c r="D116" s="18">
        <v>5</v>
      </c>
      <c r="E116" s="18">
        <v>1</v>
      </c>
      <c r="F116" s="20">
        <v>4</v>
      </c>
      <c r="G116" s="18">
        <v>27</v>
      </c>
      <c r="H116" s="22">
        <v>4.0328542094455848</v>
      </c>
      <c r="I116" s="22">
        <v>5.5496235455167691</v>
      </c>
      <c r="J116" s="22">
        <v>9.5824777549623548</v>
      </c>
      <c r="K116" s="22">
        <v>4.0657084188911705</v>
      </c>
      <c r="L116" s="22">
        <v>5.5195071868583163</v>
      </c>
      <c r="M116" s="22">
        <v>9.5852156057494859</v>
      </c>
      <c r="N116" s="22">
        <v>3.978097193702943</v>
      </c>
      <c r="O116" s="22">
        <v>5.1745379876796713</v>
      </c>
      <c r="P116" s="22">
        <v>9.1526351813826139</v>
      </c>
      <c r="Q116" s="22">
        <v>3.3730321697467489</v>
      </c>
      <c r="R116" s="22">
        <v>6.1902806297056809</v>
      </c>
      <c r="S116" s="22">
        <v>9.5633127994524294</v>
      </c>
      <c r="T116" s="5">
        <v>6</v>
      </c>
      <c r="U116" s="5">
        <v>18</v>
      </c>
      <c r="V116" s="20" t="s">
        <v>1</v>
      </c>
      <c r="W116" s="20">
        <v>5</v>
      </c>
      <c r="X116" s="20">
        <v>1</v>
      </c>
      <c r="Y116" s="5">
        <v>1</v>
      </c>
      <c r="Z116" s="20">
        <v>4</v>
      </c>
      <c r="AA116" s="23">
        <f t="shared" si="2"/>
        <v>2</v>
      </c>
      <c r="AB116" s="15">
        <v>1</v>
      </c>
      <c r="AC116" s="15">
        <v>0.5</v>
      </c>
      <c r="AD116" s="15">
        <v>0.125</v>
      </c>
      <c r="AE116" s="15">
        <v>0.54200000000000004</v>
      </c>
      <c r="AF116" s="20">
        <v>13</v>
      </c>
      <c r="AG116" s="20" t="s">
        <v>8</v>
      </c>
      <c r="AH116" s="24">
        <v>24</v>
      </c>
      <c r="AI116" s="23">
        <f t="shared" si="3"/>
        <v>1</v>
      </c>
      <c r="AJ116" s="17">
        <v>5</v>
      </c>
      <c r="AK116" s="17">
        <v>5.25</v>
      </c>
      <c r="AL116" s="14">
        <v>10.25</v>
      </c>
      <c r="AM116" s="23" cm="1">
        <f t="array" ref="AM116">IF(OR(AN116:AZ116=""),"BLANK",IF(AND(AN116:AZ116&lt;9999999),1,IF(AND(AN116:AZ116="NA"),3,2)))</f>
        <v>1</v>
      </c>
      <c r="AN116" s="5">
        <v>3</v>
      </c>
      <c r="AO116" s="5">
        <v>2</v>
      </c>
      <c r="AP116" s="10">
        <v>3.5</v>
      </c>
      <c r="AQ116" s="10">
        <v>7.25</v>
      </c>
      <c r="AR116" s="10">
        <v>10.5</v>
      </c>
      <c r="AS116" s="11">
        <v>4049</v>
      </c>
      <c r="AT116" s="11">
        <v>9076</v>
      </c>
      <c r="AU116" s="11">
        <v>14796.75</v>
      </c>
      <c r="AV116" s="11">
        <v>7893.25</v>
      </c>
      <c r="AW116" s="11">
        <v>288</v>
      </c>
      <c r="AX116" s="11">
        <v>35.583333333299997</v>
      </c>
      <c r="AY116" s="11">
        <v>3675.2277777777999</v>
      </c>
      <c r="AZ116" s="11">
        <v>2947.4791666667002</v>
      </c>
      <c r="BA116" s="23">
        <v>3</v>
      </c>
      <c r="BB116" s="24" t="s">
        <v>8</v>
      </c>
    </row>
    <row r="117" spans="1:54" x14ac:dyDescent="0.2">
      <c r="A117" s="5">
        <v>741</v>
      </c>
      <c r="B117" s="20" t="s">
        <v>79</v>
      </c>
      <c r="C117" s="18" t="s">
        <v>54</v>
      </c>
      <c r="D117" s="18">
        <v>2</v>
      </c>
      <c r="E117" s="18">
        <v>0</v>
      </c>
      <c r="F117" s="20">
        <v>4</v>
      </c>
      <c r="G117" s="18">
        <v>27</v>
      </c>
      <c r="H117" s="22">
        <v>4.0383299110198498</v>
      </c>
      <c r="I117" s="22">
        <v>5.4236824093086931</v>
      </c>
      <c r="J117" s="22">
        <v>9.462012320328542</v>
      </c>
      <c r="K117" s="22">
        <v>4.0383299110198498</v>
      </c>
      <c r="L117" s="22">
        <v>5.4757015742642023</v>
      </c>
      <c r="M117" s="22">
        <v>9.5140314852840522</v>
      </c>
      <c r="N117" s="22">
        <v>4.0191649555099245</v>
      </c>
      <c r="O117" s="22">
        <v>5.1553730321697468</v>
      </c>
      <c r="P117" s="22">
        <v>9.1745379876796722</v>
      </c>
      <c r="Q117" s="22" t="s">
        <v>8</v>
      </c>
      <c r="R117" s="22" t="s">
        <v>8</v>
      </c>
      <c r="S117" s="22" t="s">
        <v>8</v>
      </c>
      <c r="T117" s="5">
        <v>6</v>
      </c>
      <c r="U117" s="5">
        <v>18</v>
      </c>
      <c r="V117" s="20" t="s">
        <v>1</v>
      </c>
      <c r="W117" s="20">
        <v>5</v>
      </c>
      <c r="X117" s="20">
        <v>1</v>
      </c>
      <c r="Y117" s="5">
        <v>1</v>
      </c>
      <c r="Z117" s="20">
        <v>4</v>
      </c>
      <c r="AA117" s="23">
        <f t="shared" si="2"/>
        <v>2</v>
      </c>
      <c r="AB117" s="15">
        <v>1</v>
      </c>
      <c r="AC117" s="15">
        <v>1</v>
      </c>
      <c r="AD117" s="15">
        <v>0.75</v>
      </c>
      <c r="AE117" s="15">
        <v>0.91700000000000004</v>
      </c>
      <c r="AF117" s="20">
        <v>22</v>
      </c>
      <c r="AG117" s="20" t="s">
        <v>8</v>
      </c>
      <c r="AH117" s="24">
        <v>24</v>
      </c>
      <c r="AI117" s="23">
        <f t="shared" si="3"/>
        <v>1</v>
      </c>
      <c r="AJ117" s="17">
        <v>14</v>
      </c>
      <c r="AK117" s="17">
        <v>13</v>
      </c>
      <c r="AL117" s="14">
        <v>27</v>
      </c>
      <c r="AM117" s="23" cm="1">
        <f t="array" ref="AM117">IF(OR(AN117:AZ117=""),"BLANK",IF(AND(AN117:AZ117&lt;9999999),1,IF(AND(AN117:AZ117="NA"),3,2)))</f>
        <v>1</v>
      </c>
      <c r="AN117" s="5">
        <v>10</v>
      </c>
      <c r="AO117" s="5">
        <v>2</v>
      </c>
      <c r="AP117" s="10">
        <v>3</v>
      </c>
      <c r="AQ117" s="10">
        <v>5.25</v>
      </c>
      <c r="AR117" s="10">
        <v>6</v>
      </c>
      <c r="AS117" s="11">
        <v>488.5</v>
      </c>
      <c r="AT117" s="11">
        <v>1559</v>
      </c>
      <c r="AU117" s="11">
        <v>1182.75</v>
      </c>
      <c r="AV117" s="11">
        <v>6080.25</v>
      </c>
      <c r="AW117" s="11">
        <v>0</v>
      </c>
      <c r="AX117" s="11">
        <v>0</v>
      </c>
      <c r="AY117" s="11">
        <v>16.833333333300001</v>
      </c>
      <c r="AZ117" s="11">
        <v>3254.0444444444001</v>
      </c>
      <c r="BA117" s="23">
        <v>3</v>
      </c>
      <c r="BB117" s="24" t="s">
        <v>8</v>
      </c>
    </row>
    <row r="118" spans="1:54" x14ac:dyDescent="0.2">
      <c r="A118" s="5">
        <v>746</v>
      </c>
      <c r="B118" s="20" t="s">
        <v>73</v>
      </c>
      <c r="C118" s="18" t="s">
        <v>54</v>
      </c>
      <c r="D118" s="18">
        <v>5</v>
      </c>
      <c r="E118" s="18">
        <v>0</v>
      </c>
      <c r="F118" s="20">
        <v>3.1819999999999999</v>
      </c>
      <c r="G118" s="18">
        <v>28</v>
      </c>
      <c r="H118" s="22" t="s">
        <v>8</v>
      </c>
      <c r="I118" s="22" t="s">
        <v>8</v>
      </c>
      <c r="J118" s="22">
        <v>9.7056810403832987</v>
      </c>
      <c r="K118" s="22" t="s">
        <v>8</v>
      </c>
      <c r="L118" s="22" t="s">
        <v>8</v>
      </c>
      <c r="M118" s="22">
        <v>9.7056810403832987</v>
      </c>
      <c r="N118" s="22" t="s">
        <v>8</v>
      </c>
      <c r="O118" s="22" t="s">
        <v>8</v>
      </c>
      <c r="P118" s="22">
        <v>9.4401095140314855</v>
      </c>
      <c r="Q118" s="22" t="s">
        <v>8</v>
      </c>
      <c r="R118" s="22" t="s">
        <v>8</v>
      </c>
      <c r="S118" s="22" t="s">
        <v>8</v>
      </c>
      <c r="T118" s="5">
        <v>3</v>
      </c>
      <c r="U118" s="5">
        <v>15</v>
      </c>
      <c r="V118" s="20" t="s">
        <v>1</v>
      </c>
      <c r="W118" s="20">
        <v>5</v>
      </c>
      <c r="X118" s="20">
        <v>1</v>
      </c>
      <c r="Y118" s="5">
        <v>1</v>
      </c>
      <c r="Z118" s="20">
        <v>4</v>
      </c>
      <c r="AA118" s="23">
        <f t="shared" si="2"/>
        <v>2</v>
      </c>
      <c r="AB118" s="15">
        <v>0.875</v>
      </c>
      <c r="AC118" s="15">
        <v>0.875</v>
      </c>
      <c r="AD118" s="15">
        <v>0.375</v>
      </c>
      <c r="AE118" s="15">
        <v>0.70799999999999996</v>
      </c>
      <c r="AF118" s="20">
        <v>17</v>
      </c>
      <c r="AG118" s="20" t="s">
        <v>8</v>
      </c>
      <c r="AH118" s="24">
        <v>24</v>
      </c>
      <c r="AI118" s="23">
        <f t="shared" si="3"/>
        <v>1</v>
      </c>
      <c r="AJ118" s="17">
        <v>6.25</v>
      </c>
      <c r="AK118" s="17">
        <v>6.5</v>
      </c>
      <c r="AL118" s="14">
        <v>12.75</v>
      </c>
      <c r="AM118" s="23" cm="1">
        <f t="array" ref="AM118">IF(OR(AN118:AZ118=""),"BLANK",IF(AND(AN118:AZ118&lt;9999999),1,IF(AND(AN118:AZ118="NA"),3,2)))</f>
        <v>1</v>
      </c>
      <c r="AN118" s="5">
        <v>6</v>
      </c>
      <c r="AO118" s="5">
        <v>2</v>
      </c>
      <c r="AP118" s="10">
        <v>4.5</v>
      </c>
      <c r="AQ118" s="10">
        <v>6.5</v>
      </c>
      <c r="AR118" s="10">
        <v>7.25</v>
      </c>
      <c r="AS118" s="11">
        <v>5493.5</v>
      </c>
      <c r="AT118" s="11">
        <v>2214</v>
      </c>
      <c r="AU118" s="11">
        <v>6146.25</v>
      </c>
      <c r="AV118" s="11">
        <v>8378.25</v>
      </c>
      <c r="AW118" s="11">
        <v>0</v>
      </c>
      <c r="AX118" s="11">
        <v>0</v>
      </c>
      <c r="AY118" s="11">
        <v>2914.8541666667002</v>
      </c>
      <c r="AZ118" s="11">
        <v>0</v>
      </c>
      <c r="BA118" s="23">
        <v>3</v>
      </c>
      <c r="BB118" s="24" t="s">
        <v>8</v>
      </c>
    </row>
    <row r="119" spans="1:54" x14ac:dyDescent="0.2">
      <c r="A119" s="5">
        <v>752</v>
      </c>
      <c r="B119" s="20" t="s">
        <v>80</v>
      </c>
      <c r="C119" s="18" t="s">
        <v>54</v>
      </c>
      <c r="D119" s="18">
        <v>5</v>
      </c>
      <c r="E119" s="18">
        <v>0</v>
      </c>
      <c r="F119" s="20">
        <v>4</v>
      </c>
      <c r="G119" s="18">
        <v>28</v>
      </c>
      <c r="H119" s="22">
        <v>4.0136892539356603</v>
      </c>
      <c r="I119" s="22" t="s">
        <v>8</v>
      </c>
      <c r="J119" s="22" t="s">
        <v>8</v>
      </c>
      <c r="K119" s="22">
        <v>4.0410677618069819</v>
      </c>
      <c r="L119" s="22" t="s">
        <v>8</v>
      </c>
      <c r="M119" s="22" t="s">
        <v>8</v>
      </c>
      <c r="N119" s="22">
        <v>3.9835728952772076</v>
      </c>
      <c r="O119" s="22" t="s">
        <v>8</v>
      </c>
      <c r="P119" s="22" t="s">
        <v>8</v>
      </c>
      <c r="Q119" s="22">
        <v>3.0472279260780288</v>
      </c>
      <c r="R119" s="22" t="s">
        <v>8</v>
      </c>
      <c r="S119" s="22" t="s">
        <v>8</v>
      </c>
      <c r="T119" s="5">
        <v>3</v>
      </c>
      <c r="U119" s="5">
        <v>12</v>
      </c>
      <c r="V119" s="20" t="s">
        <v>1</v>
      </c>
      <c r="W119" s="20">
        <v>5</v>
      </c>
      <c r="X119" s="20">
        <v>1</v>
      </c>
      <c r="Y119" s="5">
        <v>1</v>
      </c>
      <c r="Z119" s="20">
        <v>4</v>
      </c>
      <c r="AA119" s="23">
        <f t="shared" si="2"/>
        <v>2</v>
      </c>
      <c r="AB119" s="15">
        <v>0.75</v>
      </c>
      <c r="AC119" s="15">
        <v>0.75</v>
      </c>
      <c r="AD119" s="15">
        <v>0.375</v>
      </c>
      <c r="AE119" s="15">
        <v>0.625</v>
      </c>
      <c r="AF119" s="20">
        <v>15</v>
      </c>
      <c r="AG119" s="20" t="s">
        <v>8</v>
      </c>
      <c r="AH119" s="24">
        <v>24</v>
      </c>
      <c r="AI119" s="23">
        <f t="shared" si="3"/>
        <v>1</v>
      </c>
      <c r="AJ119" s="17">
        <v>2.75</v>
      </c>
      <c r="AK119" s="17">
        <v>6</v>
      </c>
      <c r="AL119" s="14">
        <v>8.75</v>
      </c>
      <c r="AM119" s="23" cm="1">
        <f t="array" ref="AM119">IF(OR(AN119:AZ119=""),"BLANK",IF(AND(AN119:AZ119&lt;9999999),1,IF(AND(AN119:AZ119="NA"),3,2)))</f>
        <v>1</v>
      </c>
      <c r="AN119" s="5">
        <v>6</v>
      </c>
      <c r="AO119" s="5">
        <v>2</v>
      </c>
      <c r="AP119" s="10">
        <v>3</v>
      </c>
      <c r="AQ119" s="10">
        <v>5.5</v>
      </c>
      <c r="AR119" s="10">
        <v>8</v>
      </c>
      <c r="AS119" s="11">
        <v>0</v>
      </c>
      <c r="AT119" s="11">
        <v>1626.5</v>
      </c>
      <c r="AU119" s="11">
        <v>1773.75</v>
      </c>
      <c r="AV119" s="11">
        <v>1707.5</v>
      </c>
      <c r="AW119" s="11">
        <v>0</v>
      </c>
      <c r="AX119" s="11">
        <v>0</v>
      </c>
      <c r="AY119" s="11">
        <v>14022.737499999999</v>
      </c>
      <c r="AZ119" s="11">
        <v>4907.7045454544996</v>
      </c>
      <c r="BA119" s="23">
        <v>3</v>
      </c>
      <c r="BB119" s="24" t="s">
        <v>8</v>
      </c>
    </row>
    <row r="120" spans="1:54" x14ac:dyDescent="0.2">
      <c r="A120" s="5">
        <v>754</v>
      </c>
      <c r="B120" s="20" t="s">
        <v>70</v>
      </c>
      <c r="C120" s="18" t="s">
        <v>54</v>
      </c>
      <c r="D120" s="18">
        <v>5</v>
      </c>
      <c r="E120" s="18">
        <v>0</v>
      </c>
      <c r="F120" s="20">
        <v>3.6360000000000001</v>
      </c>
      <c r="G120" s="18">
        <v>28</v>
      </c>
      <c r="H120" s="22">
        <v>4.0711841204654347</v>
      </c>
      <c r="I120" s="22" t="s">
        <v>8</v>
      </c>
      <c r="J120" s="22" t="s">
        <v>8</v>
      </c>
      <c r="K120" s="22">
        <v>4.0657084188911705</v>
      </c>
      <c r="L120" s="22" t="s">
        <v>8</v>
      </c>
      <c r="M120" s="22" t="s">
        <v>8</v>
      </c>
      <c r="N120" s="22">
        <v>4.0164271047227924</v>
      </c>
      <c r="O120" s="22" t="s">
        <v>8</v>
      </c>
      <c r="P120" s="22" t="s">
        <v>8</v>
      </c>
      <c r="Q120" s="22">
        <v>3.137577002053388</v>
      </c>
      <c r="R120" s="22" t="s">
        <v>8</v>
      </c>
      <c r="S120" s="22" t="s">
        <v>8</v>
      </c>
      <c r="T120" s="5">
        <v>6</v>
      </c>
      <c r="U120" s="5">
        <v>18</v>
      </c>
      <c r="V120" s="20" t="s">
        <v>1</v>
      </c>
      <c r="W120" s="20">
        <v>5</v>
      </c>
      <c r="X120" s="20">
        <v>1</v>
      </c>
      <c r="Y120" s="5">
        <v>1</v>
      </c>
      <c r="Z120" s="20">
        <v>4</v>
      </c>
      <c r="AA120" s="23">
        <f t="shared" si="2"/>
        <v>2</v>
      </c>
      <c r="AB120" s="15">
        <v>1</v>
      </c>
      <c r="AC120" s="15">
        <v>1</v>
      </c>
      <c r="AD120" s="15">
        <v>0.5</v>
      </c>
      <c r="AE120" s="15">
        <v>0.83299999999999996</v>
      </c>
      <c r="AF120" s="20">
        <v>20</v>
      </c>
      <c r="AG120" s="20" t="s">
        <v>8</v>
      </c>
      <c r="AH120" s="24">
        <v>24</v>
      </c>
      <c r="AI120" s="23">
        <f t="shared" si="3"/>
        <v>1</v>
      </c>
      <c r="AJ120" s="17">
        <v>9.5</v>
      </c>
      <c r="AK120" s="17">
        <v>11.5</v>
      </c>
      <c r="AL120" s="14">
        <v>21</v>
      </c>
      <c r="AM120" s="23" cm="1">
        <f t="array" ref="AM120">IF(OR(AN120:AZ120=""),"BLANK",IF(AND(AN120:AZ120&lt;9999999),1,IF(AND(AN120:AZ120="NA"),3,2)))</f>
        <v>1</v>
      </c>
      <c r="AN120" s="5">
        <v>8</v>
      </c>
      <c r="AO120" s="5">
        <v>2</v>
      </c>
      <c r="AP120" s="10">
        <v>3</v>
      </c>
      <c r="AQ120" s="10">
        <v>5.25</v>
      </c>
      <c r="AR120" s="10">
        <v>6.25</v>
      </c>
      <c r="AS120" s="11">
        <v>885</v>
      </c>
      <c r="AT120" s="11">
        <v>7992</v>
      </c>
      <c r="AU120" s="11">
        <v>12477.75</v>
      </c>
      <c r="AV120" s="11">
        <v>12774</v>
      </c>
      <c r="AW120" s="11">
        <v>0</v>
      </c>
      <c r="AX120" s="11">
        <v>0</v>
      </c>
      <c r="AY120" s="11">
        <v>20591.368055555598</v>
      </c>
      <c r="AZ120" s="11">
        <v>2667.1226190476</v>
      </c>
      <c r="BA120" s="23">
        <v>3</v>
      </c>
      <c r="BB120" s="24" t="s">
        <v>8</v>
      </c>
    </row>
    <row r="121" spans="1:54" x14ac:dyDescent="0.2">
      <c r="A121" s="5">
        <v>760</v>
      </c>
      <c r="B121" s="20" t="s">
        <v>81</v>
      </c>
      <c r="C121" s="18" t="s">
        <v>55</v>
      </c>
      <c r="D121" s="18">
        <v>5</v>
      </c>
      <c r="E121" s="18">
        <v>0</v>
      </c>
      <c r="F121" s="20">
        <v>3.3639999999999999</v>
      </c>
      <c r="G121" s="18">
        <v>28</v>
      </c>
      <c r="H121" s="22" t="s">
        <v>8</v>
      </c>
      <c r="I121" s="22" t="s">
        <v>8</v>
      </c>
      <c r="J121" s="22" t="s">
        <v>8</v>
      </c>
      <c r="K121" s="22" t="s">
        <v>8</v>
      </c>
      <c r="L121" s="22" t="s">
        <v>8</v>
      </c>
      <c r="M121" s="22" t="s">
        <v>8</v>
      </c>
      <c r="N121" s="22" t="s">
        <v>8</v>
      </c>
      <c r="O121" s="22" t="s">
        <v>8</v>
      </c>
      <c r="P121" s="22" t="s">
        <v>8</v>
      </c>
      <c r="Q121" s="22" t="s">
        <v>8</v>
      </c>
      <c r="R121" s="22" t="s">
        <v>8</v>
      </c>
      <c r="S121" s="22" t="s">
        <v>8</v>
      </c>
      <c r="T121" s="5">
        <v>4</v>
      </c>
      <c r="U121" s="5">
        <v>16</v>
      </c>
      <c r="V121" s="20" t="s">
        <v>1</v>
      </c>
      <c r="W121" s="20">
        <v>5</v>
      </c>
      <c r="X121" s="20">
        <v>1</v>
      </c>
      <c r="Y121" s="5">
        <v>1</v>
      </c>
      <c r="Z121" s="20">
        <v>4</v>
      </c>
      <c r="AA121" s="23">
        <f t="shared" si="2"/>
        <v>2</v>
      </c>
      <c r="AB121" s="15">
        <v>0.5</v>
      </c>
      <c r="AC121" s="15">
        <v>0.7142857142857143</v>
      </c>
      <c r="AD121" s="15">
        <v>0.375</v>
      </c>
      <c r="AE121" s="15">
        <v>0.52200000000000002</v>
      </c>
      <c r="AF121" s="20">
        <v>12</v>
      </c>
      <c r="AG121" s="20" t="s">
        <v>8</v>
      </c>
      <c r="AH121" s="24">
        <v>23</v>
      </c>
      <c r="AI121" s="23">
        <f t="shared" si="3"/>
        <v>1</v>
      </c>
      <c r="AJ121" s="17">
        <v>6.25</v>
      </c>
      <c r="AK121" s="17">
        <v>6.5</v>
      </c>
      <c r="AL121" s="14">
        <v>12.75</v>
      </c>
      <c r="AM121" s="23" cm="1">
        <f t="array" ref="AM121">IF(OR(AN121:AZ121=""),"BLANK",IF(AND(AN121:AZ121&lt;9999999),1,IF(AND(AN121:AZ121="NA"),3,2)))</f>
        <v>1</v>
      </c>
      <c r="AN121" s="5">
        <v>4</v>
      </c>
      <c r="AO121" s="5">
        <v>2</v>
      </c>
      <c r="AP121" s="10">
        <v>3.5</v>
      </c>
      <c r="AQ121" s="10">
        <v>7.75</v>
      </c>
      <c r="AR121" s="10">
        <v>11.25</v>
      </c>
      <c r="AS121" s="11">
        <v>2322.5</v>
      </c>
      <c r="AT121" s="11">
        <v>11425.5</v>
      </c>
      <c r="AU121" s="11">
        <v>24079.5</v>
      </c>
      <c r="AV121" s="11">
        <v>59500.25</v>
      </c>
      <c r="AW121" s="11">
        <v>0</v>
      </c>
      <c r="AX121" s="11">
        <v>63026.041666666701</v>
      </c>
      <c r="AY121" s="11">
        <v>116608.14583333299</v>
      </c>
      <c r="AZ121" s="11">
        <v>61647.729166666701</v>
      </c>
      <c r="BA121" s="23">
        <v>3</v>
      </c>
      <c r="BB121" s="24" t="s">
        <v>8</v>
      </c>
    </row>
    <row r="122" spans="1:54" x14ac:dyDescent="0.2">
      <c r="A122" s="5">
        <v>770</v>
      </c>
      <c r="B122" s="20" t="s">
        <v>82</v>
      </c>
      <c r="C122" s="18" t="s">
        <v>55</v>
      </c>
      <c r="D122" s="18">
        <v>5</v>
      </c>
      <c r="E122" s="18">
        <v>0</v>
      </c>
      <c r="F122" s="20">
        <v>3.9089999999999998</v>
      </c>
      <c r="G122" s="18">
        <v>26</v>
      </c>
      <c r="H122" s="22">
        <v>4.0602327173169064</v>
      </c>
      <c r="I122" s="22" t="s">
        <v>8</v>
      </c>
      <c r="J122" s="22" t="s">
        <v>8</v>
      </c>
      <c r="K122" s="22">
        <v>4.0602327173169064</v>
      </c>
      <c r="L122" s="22" t="s">
        <v>8</v>
      </c>
      <c r="M122" s="22" t="s">
        <v>8</v>
      </c>
      <c r="N122" s="22">
        <v>4.0985626283367553</v>
      </c>
      <c r="O122" s="22">
        <v>5.5550992470910332</v>
      </c>
      <c r="P122" s="22">
        <v>9.6536618754277885</v>
      </c>
      <c r="Q122" s="22" t="s">
        <v>8</v>
      </c>
      <c r="R122" s="22" t="s">
        <v>8</v>
      </c>
      <c r="S122" s="22" t="s">
        <v>8</v>
      </c>
      <c r="T122" s="5">
        <v>4</v>
      </c>
      <c r="U122" s="5">
        <v>16</v>
      </c>
      <c r="V122" s="20" t="s">
        <v>1</v>
      </c>
      <c r="W122" s="20">
        <v>5</v>
      </c>
      <c r="X122" s="20">
        <v>1</v>
      </c>
      <c r="Y122" s="5">
        <v>1</v>
      </c>
      <c r="Z122" s="20">
        <v>4</v>
      </c>
      <c r="AA122" s="23">
        <f t="shared" si="2"/>
        <v>2</v>
      </c>
      <c r="AB122" s="15">
        <v>1</v>
      </c>
      <c r="AC122" s="15">
        <v>0.875</v>
      </c>
      <c r="AD122" s="15">
        <v>0.7142857142857143</v>
      </c>
      <c r="AE122" s="15">
        <v>0.87</v>
      </c>
      <c r="AF122" s="20">
        <v>20</v>
      </c>
      <c r="AG122" s="20" t="s">
        <v>8</v>
      </c>
      <c r="AH122" s="24">
        <v>23</v>
      </c>
      <c r="AI122" s="23">
        <f t="shared" si="3"/>
        <v>1</v>
      </c>
      <c r="AJ122" s="17">
        <v>6.5</v>
      </c>
      <c r="AK122" s="17">
        <v>4</v>
      </c>
      <c r="AL122" s="14">
        <v>10.5</v>
      </c>
      <c r="AM122" s="23" cm="1">
        <f t="array" ref="AM122">IF(OR(AN122:AZ122=""),"BLANK",IF(AND(AN122:AZ122&lt;9999999),1,IF(AND(AN122:AZ122="NA"),3,2)))</f>
        <v>1</v>
      </c>
      <c r="AN122" s="5">
        <v>7</v>
      </c>
      <c r="AO122" s="5">
        <v>2</v>
      </c>
      <c r="AP122" s="10">
        <v>3</v>
      </c>
      <c r="AQ122" s="10">
        <v>5.5</v>
      </c>
      <c r="AR122" s="10">
        <v>8.75</v>
      </c>
      <c r="AS122" s="11">
        <v>584.5</v>
      </c>
      <c r="AT122" s="11">
        <v>1580.5</v>
      </c>
      <c r="AU122" s="11">
        <v>4127.25</v>
      </c>
      <c r="AV122" s="11">
        <v>2884.75</v>
      </c>
      <c r="AW122" s="11">
        <v>483</v>
      </c>
      <c r="AX122" s="11">
        <v>0</v>
      </c>
      <c r="AY122" s="11">
        <v>4446.3708333332997</v>
      </c>
      <c r="AZ122" s="11">
        <v>2345.1041666667002</v>
      </c>
      <c r="BA122" s="23">
        <v>3</v>
      </c>
      <c r="BB122" s="24" t="s">
        <v>8</v>
      </c>
    </row>
    <row r="123" spans="1:54" x14ac:dyDescent="0.2">
      <c r="A123" s="5">
        <v>772</v>
      </c>
      <c r="B123" s="20" t="s">
        <v>64</v>
      </c>
      <c r="C123" s="18" t="s">
        <v>55</v>
      </c>
      <c r="D123" s="18">
        <v>5</v>
      </c>
      <c r="E123" s="18">
        <v>0</v>
      </c>
      <c r="F123" s="20">
        <v>3.2730000000000001</v>
      </c>
      <c r="G123" s="18">
        <v>27</v>
      </c>
      <c r="H123" s="22">
        <v>4.0273785078713207</v>
      </c>
      <c r="I123" s="22">
        <v>5.7303216974674882</v>
      </c>
      <c r="J123" s="22">
        <v>9.7577002053388089</v>
      </c>
      <c r="K123" s="22">
        <v>4.0246406570841886</v>
      </c>
      <c r="L123" s="22">
        <v>5.7275838466803561</v>
      </c>
      <c r="M123" s="22">
        <v>9.7522245037645447</v>
      </c>
      <c r="N123" s="22">
        <v>4.0766598220396988</v>
      </c>
      <c r="O123" s="22">
        <v>5.5222450376454484</v>
      </c>
      <c r="P123" s="22">
        <v>9.5989048596851472</v>
      </c>
      <c r="Q123" s="22">
        <v>3.7399041752224504</v>
      </c>
      <c r="R123" s="22">
        <v>6.0260095824777551</v>
      </c>
      <c r="S123" s="22">
        <v>9.765913757700206</v>
      </c>
      <c r="T123" s="5">
        <v>5</v>
      </c>
      <c r="U123" s="5">
        <v>17</v>
      </c>
      <c r="V123" s="20" t="s">
        <v>1</v>
      </c>
      <c r="W123" s="20">
        <v>5</v>
      </c>
      <c r="X123" s="20">
        <v>1</v>
      </c>
      <c r="Y123" s="5">
        <v>1</v>
      </c>
      <c r="Z123" s="20">
        <v>4</v>
      </c>
      <c r="AA123" s="23">
        <f t="shared" si="2"/>
        <v>2</v>
      </c>
      <c r="AB123" s="15">
        <v>1</v>
      </c>
      <c r="AC123" s="15">
        <v>1</v>
      </c>
      <c r="AD123" s="15">
        <v>0.875</v>
      </c>
      <c r="AE123" s="15">
        <v>0.95799999999999996</v>
      </c>
      <c r="AF123" s="20">
        <v>23</v>
      </c>
      <c r="AG123" s="20" t="s">
        <v>8</v>
      </c>
      <c r="AH123" s="24">
        <v>24</v>
      </c>
      <c r="AI123" s="23">
        <f t="shared" si="3"/>
        <v>1</v>
      </c>
      <c r="AJ123" s="17">
        <v>11</v>
      </c>
      <c r="AK123" s="17">
        <v>11</v>
      </c>
      <c r="AL123" s="14">
        <v>22</v>
      </c>
      <c r="AM123" s="23" cm="1">
        <f t="array" ref="AM123">IF(OR(AN123:AZ123=""),"BLANK",IF(AND(AN123:AZ123&lt;9999999),1,IF(AND(AN123:AZ123="NA"),3,2)))</f>
        <v>1</v>
      </c>
      <c r="AN123" s="5">
        <v>9</v>
      </c>
      <c r="AO123" s="5">
        <v>2</v>
      </c>
      <c r="AP123" s="10">
        <v>3</v>
      </c>
      <c r="AQ123" s="10">
        <v>5.25</v>
      </c>
      <c r="AR123" s="10">
        <v>8</v>
      </c>
      <c r="AS123" s="11">
        <v>1259</v>
      </c>
      <c r="AT123" s="11">
        <v>2736</v>
      </c>
      <c r="AU123" s="11">
        <v>1758</v>
      </c>
      <c r="AV123" s="11">
        <v>2761.75</v>
      </c>
      <c r="AW123" s="11">
        <v>0</v>
      </c>
      <c r="AX123" s="11">
        <v>0</v>
      </c>
      <c r="AY123" s="11">
        <v>2012.0277777778001</v>
      </c>
      <c r="AZ123" s="11">
        <v>841.42916666669998</v>
      </c>
      <c r="BA123" s="23">
        <v>3</v>
      </c>
      <c r="BB123" s="24" t="s">
        <v>8</v>
      </c>
    </row>
    <row r="124" spans="1:54" x14ac:dyDescent="0.2">
      <c r="A124" s="5">
        <v>779</v>
      </c>
      <c r="B124" s="20" t="s">
        <v>67</v>
      </c>
      <c r="C124" s="18" t="s">
        <v>54</v>
      </c>
      <c r="D124" s="18">
        <v>5</v>
      </c>
      <c r="E124" s="18">
        <v>0</v>
      </c>
      <c r="F124" s="20">
        <v>3.9089999999999998</v>
      </c>
      <c r="G124" s="18">
        <v>30</v>
      </c>
      <c r="H124" s="22">
        <v>4.1149897330595486</v>
      </c>
      <c r="I124" s="22">
        <v>5.5770020533880906</v>
      </c>
      <c r="J124" s="22">
        <v>9.6919917864476393</v>
      </c>
      <c r="K124" s="22">
        <v>4.1149897330595486</v>
      </c>
      <c r="L124" s="22">
        <v>5.7878165639972625</v>
      </c>
      <c r="M124" s="22">
        <v>9.9028062970568111</v>
      </c>
      <c r="N124" s="22">
        <v>4.0766598220396988</v>
      </c>
      <c r="O124" s="22">
        <v>5.1909650924024637</v>
      </c>
      <c r="P124" s="22">
        <v>9.2676249144421625</v>
      </c>
      <c r="Q124" s="22">
        <v>3.2114989733059547</v>
      </c>
      <c r="R124" s="22">
        <v>6.1574264202600961</v>
      </c>
      <c r="S124" s="22">
        <v>9.3689253935660499</v>
      </c>
      <c r="T124" s="5">
        <v>6</v>
      </c>
      <c r="U124" s="5">
        <v>18</v>
      </c>
      <c r="V124" s="20" t="s">
        <v>1</v>
      </c>
      <c r="W124" s="20">
        <v>5</v>
      </c>
      <c r="X124" s="20">
        <v>1</v>
      </c>
      <c r="Y124" s="5">
        <v>1</v>
      </c>
      <c r="Z124" s="20">
        <v>4</v>
      </c>
      <c r="AA124" s="23">
        <f t="shared" si="2"/>
        <v>2</v>
      </c>
      <c r="AB124" s="15">
        <v>1</v>
      </c>
      <c r="AC124" s="15">
        <v>1</v>
      </c>
      <c r="AD124" s="15">
        <v>0.625</v>
      </c>
      <c r="AE124" s="15">
        <v>0.875</v>
      </c>
      <c r="AF124" s="20">
        <v>21</v>
      </c>
      <c r="AG124" s="20" t="s">
        <v>8</v>
      </c>
      <c r="AH124" s="24">
        <v>24</v>
      </c>
      <c r="AI124" s="23">
        <f t="shared" si="3"/>
        <v>1</v>
      </c>
      <c r="AJ124" s="17">
        <v>7.75</v>
      </c>
      <c r="AK124" s="17">
        <v>7.75</v>
      </c>
      <c r="AL124" s="14">
        <v>15.5</v>
      </c>
      <c r="AM124" s="23" cm="1">
        <f t="array" ref="AM124">IF(OR(AN124:AZ124=""),"BLANK",IF(AND(AN124:AZ124&lt;9999999),1,IF(AND(AN124:AZ124="NA"),3,2)))</f>
        <v>1</v>
      </c>
      <c r="AN124" s="5">
        <v>7</v>
      </c>
      <c r="AO124" s="5">
        <v>2</v>
      </c>
      <c r="AP124" s="10">
        <v>3.5</v>
      </c>
      <c r="AQ124" s="10">
        <v>5.25</v>
      </c>
      <c r="AR124" s="10">
        <v>7</v>
      </c>
      <c r="AS124" s="11">
        <v>1154</v>
      </c>
      <c r="AT124" s="11">
        <v>1892</v>
      </c>
      <c r="AU124" s="11">
        <v>1288.75</v>
      </c>
      <c r="AV124" s="11">
        <v>81.25</v>
      </c>
      <c r="AW124" s="11">
        <v>0</v>
      </c>
      <c r="AX124" s="11">
        <v>0</v>
      </c>
      <c r="AY124" s="11">
        <v>55.618749999999999</v>
      </c>
      <c r="AZ124" s="11">
        <v>1021.3958333332999</v>
      </c>
      <c r="BA124" s="23">
        <v>3</v>
      </c>
      <c r="BB124" s="24" t="s">
        <v>8</v>
      </c>
    </row>
    <row r="125" spans="1:54" x14ac:dyDescent="0.2">
      <c r="A125" s="5">
        <v>784</v>
      </c>
      <c r="B125" s="20" t="s">
        <v>66</v>
      </c>
      <c r="C125" s="18" t="s">
        <v>54</v>
      </c>
      <c r="D125" s="18">
        <v>5</v>
      </c>
      <c r="E125" s="18">
        <v>0</v>
      </c>
      <c r="F125" s="20">
        <v>4</v>
      </c>
      <c r="G125" s="18">
        <v>27</v>
      </c>
      <c r="H125" s="22">
        <v>4.0383299110198498</v>
      </c>
      <c r="I125" s="22">
        <v>5.4428473648186175</v>
      </c>
      <c r="J125" s="22">
        <v>9.4811772758384674</v>
      </c>
      <c r="K125" s="22">
        <v>4.0383299110198498</v>
      </c>
      <c r="L125" s="22">
        <v>5.4483230663928817</v>
      </c>
      <c r="M125" s="22">
        <v>9.4866529774127315</v>
      </c>
      <c r="N125" s="22">
        <v>4.043805612594114</v>
      </c>
      <c r="O125" s="22">
        <v>5.0349075975359341</v>
      </c>
      <c r="P125" s="22">
        <v>9.0787132101300472</v>
      </c>
      <c r="Q125" s="22">
        <v>3.2032854209445585</v>
      </c>
      <c r="R125" s="22" t="s">
        <v>8</v>
      </c>
      <c r="S125" s="22" t="s">
        <v>8</v>
      </c>
      <c r="T125" s="5">
        <v>4</v>
      </c>
      <c r="U125" s="5">
        <v>16</v>
      </c>
      <c r="V125" s="20" t="s">
        <v>1</v>
      </c>
      <c r="W125" s="20">
        <v>5</v>
      </c>
      <c r="X125" s="20">
        <v>1</v>
      </c>
      <c r="Y125" s="5">
        <v>1</v>
      </c>
      <c r="Z125" s="20">
        <v>4</v>
      </c>
      <c r="AA125" s="23">
        <f t="shared" si="2"/>
        <v>2</v>
      </c>
      <c r="AB125" s="15">
        <v>1</v>
      </c>
      <c r="AC125" s="15">
        <v>1</v>
      </c>
      <c r="AD125" s="15">
        <v>0.875</v>
      </c>
      <c r="AE125" s="15">
        <v>0.95799999999999996</v>
      </c>
      <c r="AF125" s="20">
        <v>23</v>
      </c>
      <c r="AG125" s="20" t="s">
        <v>8</v>
      </c>
      <c r="AH125" s="24">
        <v>24</v>
      </c>
      <c r="AI125" s="23">
        <f t="shared" si="3"/>
        <v>1</v>
      </c>
      <c r="AJ125" s="17">
        <v>13.75</v>
      </c>
      <c r="AK125" s="17">
        <v>10.75</v>
      </c>
      <c r="AL125" s="14">
        <v>24.5</v>
      </c>
      <c r="AM125" s="23" cm="1">
        <f t="array" ref="AM125">IF(OR(AN125:AZ125=""),"BLANK",IF(AND(AN125:AZ125&lt;9999999),1,IF(AND(AN125:AZ125="NA"),3,2)))</f>
        <v>1</v>
      </c>
      <c r="AN125" s="5">
        <v>8</v>
      </c>
      <c r="AO125" s="5">
        <v>3</v>
      </c>
      <c r="AP125" s="10">
        <v>3</v>
      </c>
      <c r="AQ125" s="10">
        <v>4.25</v>
      </c>
      <c r="AR125" s="10">
        <v>7</v>
      </c>
      <c r="AS125" s="11">
        <v>841.5</v>
      </c>
      <c r="AT125" s="11">
        <v>631</v>
      </c>
      <c r="AU125" s="11">
        <v>942.75</v>
      </c>
      <c r="AV125" s="11">
        <v>1370.5</v>
      </c>
      <c r="AW125" s="11">
        <v>0</v>
      </c>
      <c r="AX125" s="11">
        <v>0</v>
      </c>
      <c r="AY125" s="11">
        <v>0</v>
      </c>
      <c r="AZ125" s="11">
        <v>797.96249999999998</v>
      </c>
      <c r="BA125" s="23">
        <v>3</v>
      </c>
      <c r="BB125" s="24" t="s">
        <v>8</v>
      </c>
    </row>
    <row r="126" spans="1:54" x14ac:dyDescent="0.2">
      <c r="A126" s="5">
        <v>799</v>
      </c>
      <c r="B126" s="20" t="s">
        <v>75</v>
      </c>
      <c r="C126" s="18" t="s">
        <v>54</v>
      </c>
      <c r="D126" s="18">
        <v>5</v>
      </c>
      <c r="E126" s="18">
        <v>0</v>
      </c>
      <c r="F126" s="20">
        <v>3.6360000000000001</v>
      </c>
      <c r="G126" s="18">
        <v>30</v>
      </c>
      <c r="H126" s="22">
        <v>4.0930869267624912</v>
      </c>
      <c r="I126" s="22">
        <v>5.6016427104722792</v>
      </c>
      <c r="J126" s="22">
        <v>9.6947296372347704</v>
      </c>
      <c r="K126" s="22">
        <v>4.0930869267624912</v>
      </c>
      <c r="L126" s="22">
        <v>5.6016427104722792</v>
      </c>
      <c r="M126" s="22">
        <v>9.6947296372347704</v>
      </c>
      <c r="N126" s="22">
        <v>4.0574948665297743</v>
      </c>
      <c r="O126" s="22">
        <v>5.4428473648186175</v>
      </c>
      <c r="P126" s="22">
        <v>9.500342231348391</v>
      </c>
      <c r="Q126" s="22" t="s">
        <v>8</v>
      </c>
      <c r="R126" s="22" t="s">
        <v>8</v>
      </c>
      <c r="S126" s="22" t="s">
        <v>8</v>
      </c>
      <c r="T126" s="5">
        <v>6</v>
      </c>
      <c r="U126" s="5">
        <v>18</v>
      </c>
      <c r="V126" s="20" t="s">
        <v>1</v>
      </c>
      <c r="W126" s="20">
        <v>5</v>
      </c>
      <c r="X126" s="20">
        <v>1</v>
      </c>
      <c r="Y126" s="5">
        <v>1</v>
      </c>
      <c r="Z126" s="20">
        <v>4</v>
      </c>
      <c r="AA126" s="23">
        <f t="shared" si="2"/>
        <v>2</v>
      </c>
      <c r="AB126" s="15">
        <v>1</v>
      </c>
      <c r="AC126" s="15">
        <v>0.875</v>
      </c>
      <c r="AD126" s="15">
        <v>0.875</v>
      </c>
      <c r="AE126" s="15">
        <v>0.91700000000000004</v>
      </c>
      <c r="AF126" s="20">
        <v>22</v>
      </c>
      <c r="AG126" s="20" t="s">
        <v>8</v>
      </c>
      <c r="AH126" s="24">
        <v>24</v>
      </c>
      <c r="AI126" s="23">
        <f t="shared" si="3"/>
        <v>1</v>
      </c>
      <c r="AJ126" s="17">
        <v>7.75</v>
      </c>
      <c r="AK126" s="17">
        <v>10.75</v>
      </c>
      <c r="AL126" s="14">
        <v>18.5</v>
      </c>
      <c r="AM126" s="23" cm="1">
        <f t="array" ref="AM126">IF(OR(AN126:AZ126=""),"BLANK",IF(AND(AN126:AZ126&lt;9999999),1,IF(AND(AN126:AZ126="NA"),3,2)))</f>
        <v>1</v>
      </c>
      <c r="AN126" s="5">
        <v>9</v>
      </c>
      <c r="AO126" s="5">
        <v>2</v>
      </c>
      <c r="AP126" s="10">
        <v>3</v>
      </c>
      <c r="AQ126" s="10">
        <v>4</v>
      </c>
      <c r="AR126" s="10">
        <v>8.5</v>
      </c>
      <c r="AS126" s="11">
        <v>72.5</v>
      </c>
      <c r="AT126" s="11">
        <v>2624</v>
      </c>
      <c r="AU126" s="11">
        <v>1767.5</v>
      </c>
      <c r="AV126" s="11">
        <v>706.25</v>
      </c>
      <c r="AW126" s="11">
        <v>0</v>
      </c>
      <c r="AX126" s="11">
        <v>0</v>
      </c>
      <c r="AY126" s="11">
        <v>0</v>
      </c>
      <c r="AZ126" s="11">
        <v>100.0305194805</v>
      </c>
      <c r="BA126" s="23">
        <v>3</v>
      </c>
      <c r="BB126" s="24" t="s">
        <v>8</v>
      </c>
    </row>
    <row r="127" spans="1:54" x14ac:dyDescent="0.2">
      <c r="A127" s="5">
        <v>801</v>
      </c>
      <c r="B127" s="20" t="s">
        <v>66</v>
      </c>
      <c r="C127" s="18" t="s">
        <v>54</v>
      </c>
      <c r="D127" s="18">
        <v>5</v>
      </c>
      <c r="E127" s="18">
        <v>0</v>
      </c>
      <c r="F127" s="20">
        <v>4</v>
      </c>
      <c r="G127" s="18">
        <v>28</v>
      </c>
      <c r="H127" s="22" t="s">
        <v>8</v>
      </c>
      <c r="I127" s="22" t="s">
        <v>8</v>
      </c>
      <c r="J127" s="22" t="s">
        <v>8</v>
      </c>
      <c r="K127" s="22" t="s">
        <v>8</v>
      </c>
      <c r="L127" s="22" t="s">
        <v>8</v>
      </c>
      <c r="M127" s="22" t="s">
        <v>8</v>
      </c>
      <c r="N127" s="22" t="s">
        <v>8</v>
      </c>
      <c r="O127" s="22" t="s">
        <v>8</v>
      </c>
      <c r="P127" s="22">
        <v>9.1690622861054081</v>
      </c>
      <c r="Q127" s="22" t="s">
        <v>8</v>
      </c>
      <c r="R127" s="22" t="s">
        <v>8</v>
      </c>
      <c r="S127" s="22" t="s">
        <v>8</v>
      </c>
      <c r="T127" s="5">
        <v>6</v>
      </c>
      <c r="U127" s="5">
        <v>18</v>
      </c>
      <c r="V127" s="20" t="s">
        <v>1</v>
      </c>
      <c r="W127" s="20">
        <v>5</v>
      </c>
      <c r="X127" s="20">
        <v>1</v>
      </c>
      <c r="Y127" s="5">
        <v>1</v>
      </c>
      <c r="Z127" s="20">
        <v>4</v>
      </c>
      <c r="AA127" s="23">
        <f t="shared" si="2"/>
        <v>2</v>
      </c>
      <c r="AB127" s="15">
        <v>1</v>
      </c>
      <c r="AC127" s="15">
        <v>1</v>
      </c>
      <c r="AD127" s="15">
        <v>0.375</v>
      </c>
      <c r="AE127" s="15">
        <v>0.79200000000000004</v>
      </c>
      <c r="AF127" s="20">
        <v>19</v>
      </c>
      <c r="AG127" s="20" t="s">
        <v>8</v>
      </c>
      <c r="AH127" s="24">
        <v>24</v>
      </c>
      <c r="AI127" s="23">
        <f t="shared" si="3"/>
        <v>1</v>
      </c>
      <c r="AJ127" s="17">
        <v>10</v>
      </c>
      <c r="AK127" s="17">
        <v>11</v>
      </c>
      <c r="AL127" s="14">
        <v>21</v>
      </c>
      <c r="AM127" s="23" cm="1">
        <f t="array" ref="AM127">IF(OR(AN127:AZ127=""),"BLANK",IF(AND(AN127:AZ127&lt;9999999),1,IF(AND(AN127:AZ127="NA"),3,2)))</f>
        <v>1</v>
      </c>
      <c r="AN127" s="5">
        <v>10</v>
      </c>
      <c r="AO127" s="5">
        <v>2</v>
      </c>
      <c r="AP127" s="10">
        <v>3</v>
      </c>
      <c r="AQ127" s="10">
        <v>4.25</v>
      </c>
      <c r="AR127" s="10">
        <v>6.5</v>
      </c>
      <c r="AS127" s="11">
        <v>3225</v>
      </c>
      <c r="AT127" s="11">
        <v>5094</v>
      </c>
      <c r="AU127" s="11">
        <v>8719.25</v>
      </c>
      <c r="AV127" s="11">
        <v>7722.75</v>
      </c>
      <c r="AW127" s="11">
        <v>0</v>
      </c>
      <c r="AX127" s="11">
        <v>0</v>
      </c>
      <c r="AY127" s="11">
        <v>0</v>
      </c>
      <c r="AZ127" s="11">
        <v>2870.0363636364</v>
      </c>
      <c r="BA127" s="23">
        <v>3</v>
      </c>
      <c r="BB127" s="24" t="s">
        <v>8</v>
      </c>
    </row>
    <row r="128" spans="1:54" x14ac:dyDescent="0.2">
      <c r="A128" s="5">
        <v>812</v>
      </c>
      <c r="B128" s="20" t="s">
        <v>78</v>
      </c>
      <c r="C128" s="18" t="s">
        <v>54</v>
      </c>
      <c r="D128" s="18">
        <v>5</v>
      </c>
      <c r="E128" s="18">
        <v>0</v>
      </c>
      <c r="F128" s="20">
        <v>4</v>
      </c>
      <c r="G128" s="18">
        <v>28</v>
      </c>
      <c r="H128" s="22">
        <v>4.0054757015742641</v>
      </c>
      <c r="I128" s="22">
        <v>5.4784394250513344</v>
      </c>
      <c r="J128" s="22">
        <v>9.4839151266255985</v>
      </c>
      <c r="K128" s="22">
        <v>4.0027378507871321</v>
      </c>
      <c r="L128" s="22">
        <v>5.4784394250513344</v>
      </c>
      <c r="M128" s="22">
        <v>9.4811772758384674</v>
      </c>
      <c r="N128" s="22">
        <v>4.0246406570841886</v>
      </c>
      <c r="O128" s="22">
        <v>5.0595482546201236</v>
      </c>
      <c r="P128" s="22">
        <v>9.0841889117043113</v>
      </c>
      <c r="Q128" s="22">
        <v>3.2251882272416155</v>
      </c>
      <c r="R128" s="22">
        <v>6.1601642710472282</v>
      </c>
      <c r="S128" s="22">
        <v>9.3853524982888441</v>
      </c>
      <c r="T128" s="5">
        <v>4</v>
      </c>
      <c r="U128" s="5">
        <v>16</v>
      </c>
      <c r="V128" s="20" t="s">
        <v>1</v>
      </c>
      <c r="W128" s="20">
        <v>5</v>
      </c>
      <c r="X128" s="20">
        <v>1</v>
      </c>
      <c r="Y128" s="5">
        <v>1</v>
      </c>
      <c r="Z128" s="20">
        <v>4</v>
      </c>
      <c r="AA128" s="23">
        <f t="shared" si="2"/>
        <v>2</v>
      </c>
      <c r="AB128" s="15">
        <v>1</v>
      </c>
      <c r="AC128" s="15">
        <v>1</v>
      </c>
      <c r="AD128" s="15">
        <v>0.875</v>
      </c>
      <c r="AE128" s="15">
        <v>0.95799999999999996</v>
      </c>
      <c r="AF128" s="20">
        <v>23</v>
      </c>
      <c r="AG128" s="20" t="s">
        <v>8</v>
      </c>
      <c r="AH128" s="24">
        <v>24</v>
      </c>
      <c r="AI128" s="23">
        <f t="shared" si="3"/>
        <v>1</v>
      </c>
      <c r="AJ128" s="17">
        <v>9.75</v>
      </c>
      <c r="AK128" s="17">
        <v>8.75</v>
      </c>
      <c r="AL128" s="14">
        <v>18.5</v>
      </c>
      <c r="AM128" s="23" cm="1">
        <f t="array" ref="AM128">IF(OR(AN128:AZ128=""),"BLANK",IF(AND(AN128:AZ128&lt;9999999),1,IF(AND(AN128:AZ128="NA"),3,2)))</f>
        <v>1</v>
      </c>
      <c r="AN128" s="5">
        <v>11</v>
      </c>
      <c r="AO128" s="5">
        <v>2</v>
      </c>
      <c r="AP128" s="10">
        <v>3</v>
      </c>
      <c r="AQ128" s="10">
        <v>5.25</v>
      </c>
      <c r="AR128" s="10">
        <v>5</v>
      </c>
      <c r="AS128" s="11">
        <v>1210.5</v>
      </c>
      <c r="AT128" s="11">
        <v>6936</v>
      </c>
      <c r="AU128" s="11">
        <v>7663.25</v>
      </c>
      <c r="AV128" s="11">
        <v>4543.5</v>
      </c>
      <c r="AW128" s="11">
        <v>365.5</v>
      </c>
      <c r="AX128" s="11">
        <v>0</v>
      </c>
      <c r="AY128" s="11">
        <v>693.20138888890006</v>
      </c>
      <c r="AZ128" s="11">
        <v>0</v>
      </c>
      <c r="BA128" s="23">
        <v>3</v>
      </c>
      <c r="BB128" s="24" t="s">
        <v>8</v>
      </c>
    </row>
    <row r="129" spans="1:54" x14ac:dyDescent="0.2">
      <c r="A129" s="5">
        <v>815</v>
      </c>
      <c r="B129" s="20" t="s">
        <v>65</v>
      </c>
      <c r="C129" s="18" t="s">
        <v>54</v>
      </c>
      <c r="D129" s="18">
        <v>5</v>
      </c>
      <c r="E129" s="18">
        <v>0</v>
      </c>
      <c r="F129" s="20">
        <v>3.9089999999999998</v>
      </c>
      <c r="G129" s="18">
        <v>30</v>
      </c>
      <c r="H129" s="22">
        <v>4.3997262149212863</v>
      </c>
      <c r="I129" s="22">
        <v>4.9883641341546889</v>
      </c>
      <c r="J129" s="22">
        <v>9.3880903490759753</v>
      </c>
      <c r="K129" s="22">
        <v>4.4654346338124569</v>
      </c>
      <c r="L129" s="22">
        <v>5.1471594798083506</v>
      </c>
      <c r="M129" s="22">
        <v>9.6125941136208084</v>
      </c>
      <c r="N129" s="22">
        <v>4.4517453798767965</v>
      </c>
      <c r="O129" s="22">
        <v>4.5749486652977414</v>
      </c>
      <c r="P129" s="22">
        <v>9.0266940451745388</v>
      </c>
      <c r="Q129" s="22">
        <v>3.6413415468856947</v>
      </c>
      <c r="R129" s="22" t="s">
        <v>8</v>
      </c>
      <c r="S129" s="22" t="s">
        <v>8</v>
      </c>
      <c r="T129" s="5">
        <v>4</v>
      </c>
      <c r="U129" s="5">
        <v>16</v>
      </c>
      <c r="V129" s="20" t="s">
        <v>1</v>
      </c>
      <c r="W129" s="20">
        <v>5</v>
      </c>
      <c r="X129" s="20">
        <v>1</v>
      </c>
      <c r="Y129" s="5">
        <v>1</v>
      </c>
      <c r="Z129" s="20">
        <v>4</v>
      </c>
      <c r="AA129" s="23">
        <f t="shared" si="2"/>
        <v>2</v>
      </c>
      <c r="AB129" s="15">
        <v>1</v>
      </c>
      <c r="AC129" s="15">
        <v>1</v>
      </c>
      <c r="AD129" s="15">
        <v>1</v>
      </c>
      <c r="AE129" s="15">
        <v>1</v>
      </c>
      <c r="AF129" s="20">
        <v>24</v>
      </c>
      <c r="AG129" s="20" t="s">
        <v>8</v>
      </c>
      <c r="AH129" s="24">
        <v>24</v>
      </c>
      <c r="AI129" s="23">
        <f t="shared" si="3"/>
        <v>1</v>
      </c>
      <c r="AJ129" s="17">
        <v>14</v>
      </c>
      <c r="AK129" s="17">
        <v>11</v>
      </c>
      <c r="AL129" s="14">
        <v>25</v>
      </c>
      <c r="AM129" s="23" cm="1">
        <f t="array" ref="AM129">IF(OR(AN129:AZ129=""),"BLANK",IF(AND(AN129:AZ129&lt;9999999),1,IF(AND(AN129:AZ129="NA"),3,2)))</f>
        <v>1</v>
      </c>
      <c r="AN129" s="5">
        <v>10</v>
      </c>
      <c r="AO129" s="5">
        <v>2</v>
      </c>
      <c r="AP129" s="10">
        <v>3</v>
      </c>
      <c r="AQ129" s="10">
        <v>4.5</v>
      </c>
      <c r="AR129" s="10">
        <v>6</v>
      </c>
      <c r="AS129" s="11">
        <v>988.5</v>
      </c>
      <c r="AT129" s="11">
        <v>1961.5</v>
      </c>
      <c r="AU129" s="11">
        <v>3670.75</v>
      </c>
      <c r="AV129" s="11">
        <v>5797.5</v>
      </c>
      <c r="AW129" s="11">
        <v>0</v>
      </c>
      <c r="AX129" s="11">
        <v>0</v>
      </c>
      <c r="AY129" s="11">
        <v>0</v>
      </c>
      <c r="AZ129" s="11">
        <v>18.855555555599999</v>
      </c>
      <c r="BA129" s="23">
        <v>3</v>
      </c>
      <c r="BB129" s="24" t="s">
        <v>8</v>
      </c>
    </row>
    <row r="130" spans="1:54" x14ac:dyDescent="0.2">
      <c r="A130" s="5">
        <v>817</v>
      </c>
      <c r="B130" s="20" t="s">
        <v>67</v>
      </c>
      <c r="C130" s="18" t="s">
        <v>54</v>
      </c>
      <c r="D130" s="18">
        <v>4</v>
      </c>
      <c r="E130" s="18">
        <v>0</v>
      </c>
      <c r="F130" s="20">
        <v>4</v>
      </c>
      <c r="G130" s="18">
        <v>29</v>
      </c>
      <c r="H130" s="22">
        <v>4.4407939767282683</v>
      </c>
      <c r="I130" s="22">
        <v>5.5715263518138265</v>
      </c>
      <c r="J130" s="22">
        <v>10.012320328542094</v>
      </c>
      <c r="K130" s="22">
        <v>4.4407939767282683</v>
      </c>
      <c r="L130" s="22">
        <v>5.5715263518138265</v>
      </c>
      <c r="M130" s="22">
        <v>10.012320328542094</v>
      </c>
      <c r="N130" s="22">
        <v>4.3997262149212863</v>
      </c>
      <c r="O130" s="22">
        <v>5.5715263518138265</v>
      </c>
      <c r="P130" s="22">
        <v>9.9712525667351137</v>
      </c>
      <c r="Q130" s="22" t="s">
        <v>8</v>
      </c>
      <c r="R130" s="22" t="s">
        <v>8</v>
      </c>
      <c r="S130" s="22" t="s">
        <v>8</v>
      </c>
      <c r="T130" s="5">
        <v>7</v>
      </c>
      <c r="U130" s="5">
        <v>21</v>
      </c>
      <c r="V130" s="20" t="s">
        <v>1</v>
      </c>
      <c r="W130" s="20">
        <v>5</v>
      </c>
      <c r="X130" s="20">
        <v>1</v>
      </c>
      <c r="Y130" s="5">
        <v>1</v>
      </c>
      <c r="Z130" s="20">
        <v>4</v>
      </c>
      <c r="AA130" s="23">
        <f t="shared" si="2"/>
        <v>2</v>
      </c>
      <c r="AB130" s="15">
        <v>1</v>
      </c>
      <c r="AC130" s="15">
        <v>1</v>
      </c>
      <c r="AD130" s="15">
        <v>0.75</v>
      </c>
      <c r="AE130" s="15">
        <v>0.91700000000000004</v>
      </c>
      <c r="AF130" s="20">
        <v>22</v>
      </c>
      <c r="AG130" s="20" t="s">
        <v>8</v>
      </c>
      <c r="AH130" s="24">
        <v>24</v>
      </c>
      <c r="AI130" s="23">
        <f t="shared" si="3"/>
        <v>1</v>
      </c>
      <c r="AJ130" s="17">
        <v>14</v>
      </c>
      <c r="AK130" s="17">
        <v>9.75</v>
      </c>
      <c r="AL130" s="14">
        <v>23.75</v>
      </c>
      <c r="AM130" s="23" cm="1">
        <f t="array" ref="AM130">IF(OR(AN130:AZ130=""),"BLANK",IF(AND(AN130:AZ130&lt;9999999),1,IF(AND(AN130:AZ130="NA"),3,2)))</f>
        <v>1</v>
      </c>
      <c r="AN130" s="5">
        <v>7</v>
      </c>
      <c r="AO130" s="5">
        <v>2</v>
      </c>
      <c r="AP130" s="10">
        <v>3.5</v>
      </c>
      <c r="AQ130" s="10">
        <v>7.5</v>
      </c>
      <c r="AR130" s="10">
        <v>6.75</v>
      </c>
      <c r="AS130" s="11">
        <v>1424</v>
      </c>
      <c r="AT130" s="11">
        <v>5899.5</v>
      </c>
      <c r="AU130" s="11">
        <v>3926</v>
      </c>
      <c r="AV130" s="11">
        <v>5912.25</v>
      </c>
      <c r="AW130" s="11">
        <v>0</v>
      </c>
      <c r="AX130" s="11">
        <v>0</v>
      </c>
      <c r="AY130" s="11">
        <v>10994.4548611111</v>
      </c>
      <c r="AZ130" s="11">
        <v>2760.4</v>
      </c>
      <c r="BA130" s="23">
        <v>3</v>
      </c>
      <c r="BB130" s="24" t="s">
        <v>8</v>
      </c>
    </row>
    <row r="131" spans="1:54" x14ac:dyDescent="0.2">
      <c r="A131" s="5">
        <v>818</v>
      </c>
      <c r="B131" s="20" t="s">
        <v>77</v>
      </c>
      <c r="C131" s="18" t="s">
        <v>54</v>
      </c>
      <c r="D131" s="18">
        <v>5</v>
      </c>
      <c r="E131" s="18">
        <v>0</v>
      </c>
      <c r="F131" s="20">
        <v>3.5449999999999999</v>
      </c>
      <c r="G131" s="18">
        <v>26</v>
      </c>
      <c r="H131" s="22">
        <v>4.4626967830253248</v>
      </c>
      <c r="I131" s="22" t="s">
        <v>8</v>
      </c>
      <c r="J131" s="22" t="s">
        <v>8</v>
      </c>
      <c r="K131" s="22">
        <v>4.4626967830253248</v>
      </c>
      <c r="L131" s="22" t="s">
        <v>8</v>
      </c>
      <c r="M131" s="22" t="s">
        <v>8</v>
      </c>
      <c r="N131" s="22">
        <v>4.3750855578370977</v>
      </c>
      <c r="O131" s="22" t="s">
        <v>8</v>
      </c>
      <c r="P131" s="22" t="s">
        <v>8</v>
      </c>
      <c r="Q131" s="22" t="s">
        <v>8</v>
      </c>
      <c r="R131" s="22" t="s">
        <v>8</v>
      </c>
      <c r="S131" s="22" t="s">
        <v>8</v>
      </c>
      <c r="T131" s="5">
        <v>2</v>
      </c>
      <c r="U131" s="5">
        <v>12</v>
      </c>
      <c r="V131" s="20" t="s">
        <v>1</v>
      </c>
      <c r="W131" s="20">
        <v>5</v>
      </c>
      <c r="X131" s="20">
        <v>1</v>
      </c>
      <c r="Y131" s="5">
        <v>1</v>
      </c>
      <c r="Z131" s="20">
        <v>4</v>
      </c>
      <c r="AA131" s="23">
        <f t="shared" ref="AA131:AA194" si="4">IF(AND(ISNUMBER(AB131), ISNUMBER(AC131),ISNUMBER(AD131), ISNUMBER(AE131), ISNUMBER(AF131),ISNUMBER(AG131), ISNUMBER(AH131)), 1, IF(AND(AB131="NA", AC131="NA", AD131="na", AE131="na", AF131="na", AG131="na", AH131="na"), 3, 2))</f>
        <v>2</v>
      </c>
      <c r="AB131" s="15">
        <v>1</v>
      </c>
      <c r="AC131" s="15">
        <v>1</v>
      </c>
      <c r="AD131" s="15">
        <v>0.75</v>
      </c>
      <c r="AE131" s="15">
        <v>0.91700000000000004</v>
      </c>
      <c r="AF131" s="20">
        <v>22</v>
      </c>
      <c r="AG131" s="20" t="s">
        <v>8</v>
      </c>
      <c r="AH131" s="24">
        <v>24</v>
      </c>
      <c r="AI131" s="23">
        <f t="shared" ref="AI131:AI194" si="5">IF(AND(ISNUMBER(AJ131), ISNUMBER(AK131),ISNUMBER(AL131)), 1, IF(AND(AJ131="NA", AK131="NA", AL131="na"), 3, 2))</f>
        <v>1</v>
      </c>
      <c r="AJ131" s="17">
        <v>11.5</v>
      </c>
      <c r="AK131" s="17">
        <v>13</v>
      </c>
      <c r="AL131" s="14">
        <v>24.5</v>
      </c>
      <c r="AM131" s="23" cm="1">
        <f t="array" ref="AM131">IF(OR(AN131:AZ131=""),"BLANK",IF(AND(AN131:AZ131&lt;9999999),1,IF(AND(AN131:AZ131="NA"),3,2)))</f>
        <v>1</v>
      </c>
      <c r="AN131" s="5">
        <v>9</v>
      </c>
      <c r="AO131" s="5">
        <v>2</v>
      </c>
      <c r="AP131" s="10">
        <v>3</v>
      </c>
      <c r="AQ131" s="10">
        <v>5.25</v>
      </c>
      <c r="AR131" s="10">
        <v>6.25</v>
      </c>
      <c r="AS131" s="11">
        <v>1028</v>
      </c>
      <c r="AT131" s="11">
        <v>1825.5</v>
      </c>
      <c r="AU131" s="11">
        <v>3217.25</v>
      </c>
      <c r="AV131" s="11">
        <v>5256</v>
      </c>
      <c r="AW131" s="11">
        <v>1215</v>
      </c>
      <c r="AX131" s="11">
        <v>0</v>
      </c>
      <c r="AY131" s="11">
        <v>380.68055555559999</v>
      </c>
      <c r="AZ131" s="11">
        <v>59.411111111099999</v>
      </c>
      <c r="BA131" s="23">
        <v>3</v>
      </c>
      <c r="BB131" s="24" t="s">
        <v>8</v>
      </c>
    </row>
    <row r="132" spans="1:54" x14ac:dyDescent="0.2">
      <c r="A132" s="5">
        <v>819</v>
      </c>
      <c r="B132" s="20" t="s">
        <v>80</v>
      </c>
      <c r="C132" s="18" t="s">
        <v>55</v>
      </c>
      <c r="D132" s="18">
        <v>5</v>
      </c>
      <c r="E132" s="18">
        <v>0</v>
      </c>
      <c r="F132" s="20">
        <v>4</v>
      </c>
      <c r="G132" s="18">
        <v>26</v>
      </c>
      <c r="H132" s="22">
        <v>4.131416837782341</v>
      </c>
      <c r="I132" s="22" t="s">
        <v>8</v>
      </c>
      <c r="J132" s="22" t="s">
        <v>8</v>
      </c>
      <c r="K132" s="22">
        <v>4.1505817932922655</v>
      </c>
      <c r="L132" s="22" t="s">
        <v>8</v>
      </c>
      <c r="M132" s="22" t="s">
        <v>8</v>
      </c>
      <c r="N132" s="22" t="s">
        <v>8</v>
      </c>
      <c r="O132" s="22" t="s">
        <v>8</v>
      </c>
      <c r="P132" s="22" t="s">
        <v>8</v>
      </c>
      <c r="Q132" s="22" t="s">
        <v>8</v>
      </c>
      <c r="R132" s="22" t="s">
        <v>8</v>
      </c>
      <c r="S132" s="22" t="s">
        <v>8</v>
      </c>
      <c r="T132" s="5">
        <v>6</v>
      </c>
      <c r="U132" s="5">
        <v>18</v>
      </c>
      <c r="V132" s="20" t="s">
        <v>1</v>
      </c>
      <c r="W132" s="20">
        <v>5</v>
      </c>
      <c r="X132" s="20">
        <v>1</v>
      </c>
      <c r="Y132" s="5">
        <v>1</v>
      </c>
      <c r="Z132" s="20">
        <v>4</v>
      </c>
      <c r="AA132" s="23">
        <f t="shared" si="4"/>
        <v>2</v>
      </c>
      <c r="AB132" s="15">
        <v>0.875</v>
      </c>
      <c r="AC132" s="15">
        <v>0.75</v>
      </c>
      <c r="AD132" s="15">
        <v>0.25</v>
      </c>
      <c r="AE132" s="15">
        <v>0.625</v>
      </c>
      <c r="AF132" s="20">
        <v>15</v>
      </c>
      <c r="AG132" s="20" t="s">
        <v>8</v>
      </c>
      <c r="AH132" s="24">
        <v>24</v>
      </c>
      <c r="AI132" s="23">
        <f t="shared" si="5"/>
        <v>1</v>
      </c>
      <c r="AJ132" s="17">
        <v>12.75</v>
      </c>
      <c r="AK132" s="17">
        <v>11.5</v>
      </c>
      <c r="AL132" s="14">
        <v>24.25</v>
      </c>
      <c r="AM132" s="23" cm="1">
        <f t="array" ref="AM132">IF(OR(AN132:AZ132=""),"BLANK",IF(AND(AN132:AZ132&lt;9999999),1,IF(AND(AN132:AZ132="NA"),3,2)))</f>
        <v>1</v>
      </c>
      <c r="AN132" s="5">
        <v>8</v>
      </c>
      <c r="AO132" s="5">
        <v>2</v>
      </c>
      <c r="AP132" s="10">
        <v>3.5</v>
      </c>
      <c r="AQ132" s="10">
        <v>6.25</v>
      </c>
      <c r="AR132" s="10">
        <v>6.25</v>
      </c>
      <c r="AS132" s="11">
        <v>823.5</v>
      </c>
      <c r="AT132" s="11">
        <v>0</v>
      </c>
      <c r="AU132" s="11">
        <v>4329</v>
      </c>
      <c r="AV132" s="11">
        <v>10060</v>
      </c>
      <c r="AW132" s="11">
        <v>0</v>
      </c>
      <c r="AX132" s="11">
        <v>0</v>
      </c>
      <c r="AY132" s="11">
        <v>2060.6041666667002</v>
      </c>
      <c r="AZ132" s="11">
        <v>0</v>
      </c>
      <c r="BA132" s="23">
        <v>3</v>
      </c>
      <c r="BB132" s="24" t="s">
        <v>8</v>
      </c>
    </row>
    <row r="133" spans="1:54" x14ac:dyDescent="0.2">
      <c r="A133" s="5">
        <v>823</v>
      </c>
      <c r="B133" s="20" t="s">
        <v>68</v>
      </c>
      <c r="C133" s="18" t="s">
        <v>54</v>
      </c>
      <c r="D133" s="18">
        <v>5</v>
      </c>
      <c r="E133" s="18">
        <v>0</v>
      </c>
      <c r="F133" s="20">
        <v>4</v>
      </c>
      <c r="G133" s="18">
        <v>26</v>
      </c>
      <c r="H133" s="22">
        <v>4.084873374401095</v>
      </c>
      <c r="I133" s="22">
        <v>5.5222450376454484</v>
      </c>
      <c r="J133" s="22">
        <v>9.6071184120465443</v>
      </c>
      <c r="K133" s="22">
        <v>4.1040383299110195</v>
      </c>
      <c r="L133" s="22">
        <v>5.631759069130732</v>
      </c>
      <c r="M133" s="22">
        <v>9.7357973990417523</v>
      </c>
      <c r="N133" s="22">
        <v>3.9753593429158109</v>
      </c>
      <c r="O133" s="22">
        <v>5.0924024640657084</v>
      </c>
      <c r="P133" s="22">
        <v>9.0677618069815189</v>
      </c>
      <c r="Q133" s="22">
        <v>3.1950718685831623</v>
      </c>
      <c r="R133" s="22" t="s">
        <v>8</v>
      </c>
      <c r="S133" s="22" t="s">
        <v>8</v>
      </c>
      <c r="T133" s="5">
        <v>3</v>
      </c>
      <c r="U133" s="5">
        <v>14</v>
      </c>
      <c r="V133" s="20" t="s">
        <v>1</v>
      </c>
      <c r="W133" s="20">
        <v>5</v>
      </c>
      <c r="X133" s="20">
        <v>1</v>
      </c>
      <c r="Y133" s="5">
        <v>1</v>
      </c>
      <c r="Z133" s="20">
        <v>4</v>
      </c>
      <c r="AA133" s="23">
        <f t="shared" si="4"/>
        <v>2</v>
      </c>
      <c r="AB133" s="15">
        <v>1</v>
      </c>
      <c r="AC133" s="15">
        <v>0.375</v>
      </c>
      <c r="AD133" s="15">
        <v>0.625</v>
      </c>
      <c r="AE133" s="15">
        <v>0.66700000000000004</v>
      </c>
      <c r="AF133" s="20">
        <v>16</v>
      </c>
      <c r="AG133" s="20" t="s">
        <v>8</v>
      </c>
      <c r="AH133" s="24">
        <v>24</v>
      </c>
      <c r="AI133" s="23">
        <f t="shared" si="5"/>
        <v>1</v>
      </c>
      <c r="AJ133" s="17">
        <v>10</v>
      </c>
      <c r="AK133" s="17">
        <v>8.25</v>
      </c>
      <c r="AL133" s="14">
        <v>18.25</v>
      </c>
      <c r="AM133" s="23" cm="1">
        <f t="array" ref="AM133">IF(OR(AN133:AZ133=""),"BLANK",IF(AND(AN133:AZ133&lt;9999999),1,IF(AND(AN133:AZ133="NA"),3,2)))</f>
        <v>1</v>
      </c>
      <c r="AN133" s="5">
        <v>7</v>
      </c>
      <c r="AO133" s="5">
        <v>2</v>
      </c>
      <c r="AP133" s="10">
        <v>3.5</v>
      </c>
      <c r="AQ133" s="10">
        <v>5.25</v>
      </c>
      <c r="AR133" s="10">
        <v>9.25</v>
      </c>
      <c r="AS133" s="11">
        <v>183</v>
      </c>
      <c r="AT133" s="11">
        <v>3693</v>
      </c>
      <c r="AU133" s="11">
        <v>3034</v>
      </c>
      <c r="AV133" s="11">
        <v>5675</v>
      </c>
      <c r="AW133" s="11">
        <v>0</v>
      </c>
      <c r="AX133" s="11">
        <v>107.7916666667</v>
      </c>
      <c r="AY133" s="11">
        <v>1020.1527777778</v>
      </c>
      <c r="AZ133" s="11">
        <v>6282.5916666666999</v>
      </c>
      <c r="BA133" s="23">
        <v>3</v>
      </c>
      <c r="BB133" s="24" t="s">
        <v>8</v>
      </c>
    </row>
    <row r="134" spans="1:54" x14ac:dyDescent="0.2">
      <c r="A134" s="5">
        <v>829</v>
      </c>
      <c r="B134" s="20" t="s">
        <v>77</v>
      </c>
      <c r="C134" s="18" t="s">
        <v>55</v>
      </c>
      <c r="D134" s="18">
        <v>5</v>
      </c>
      <c r="E134" s="18">
        <v>0</v>
      </c>
      <c r="F134" s="20">
        <v>3.8180000000000001</v>
      </c>
      <c r="G134" s="18">
        <v>28</v>
      </c>
      <c r="H134" s="22">
        <v>4.131416837782341</v>
      </c>
      <c r="I134" s="22">
        <v>5.4045174537987677</v>
      </c>
      <c r="J134" s="22">
        <v>9.5359342915811087</v>
      </c>
      <c r="K134" s="22">
        <v>4.131416837782341</v>
      </c>
      <c r="L134" s="22">
        <v>5.6646132785763177</v>
      </c>
      <c r="M134" s="22">
        <v>9.7960301163586578</v>
      </c>
      <c r="N134" s="22">
        <v>4.1341546885694731</v>
      </c>
      <c r="O134" s="22">
        <v>5.248459958932238</v>
      </c>
      <c r="P134" s="22">
        <v>9.3826146475017111</v>
      </c>
      <c r="Q134" s="22">
        <v>3.2580424366872007</v>
      </c>
      <c r="R134" s="22">
        <v>6.2039698836413413</v>
      </c>
      <c r="S134" s="22">
        <v>9.462012320328542</v>
      </c>
      <c r="T134" s="5">
        <v>4</v>
      </c>
      <c r="U134" s="5">
        <v>16</v>
      </c>
      <c r="V134" s="20" t="s">
        <v>1</v>
      </c>
      <c r="W134" s="20">
        <v>5</v>
      </c>
      <c r="X134" s="20">
        <v>1</v>
      </c>
      <c r="Y134" s="5">
        <v>1</v>
      </c>
      <c r="Z134" s="20">
        <v>4</v>
      </c>
      <c r="AA134" s="23">
        <f t="shared" si="4"/>
        <v>2</v>
      </c>
      <c r="AB134" s="15">
        <v>1</v>
      </c>
      <c r="AC134" s="15">
        <v>1</v>
      </c>
      <c r="AD134" s="15">
        <v>1</v>
      </c>
      <c r="AE134" s="15">
        <v>1</v>
      </c>
      <c r="AF134" s="20">
        <v>24</v>
      </c>
      <c r="AG134" s="20" t="s">
        <v>8</v>
      </c>
      <c r="AH134" s="24">
        <v>24</v>
      </c>
      <c r="AI134" s="23">
        <f t="shared" si="5"/>
        <v>1</v>
      </c>
      <c r="AJ134" s="17">
        <v>13</v>
      </c>
      <c r="AK134" s="17">
        <v>9.5</v>
      </c>
      <c r="AL134" s="14">
        <v>22.5</v>
      </c>
      <c r="AM134" s="23" cm="1">
        <f t="array" ref="AM134">IF(OR(AN134:AZ134=""),"BLANK",IF(AND(AN134:AZ134&lt;9999999),1,IF(AND(AN134:AZ134="NA"),3,2)))</f>
        <v>1</v>
      </c>
      <c r="AN134" s="5">
        <v>7</v>
      </c>
      <c r="AO134" s="5">
        <v>2</v>
      </c>
      <c r="AP134" s="10">
        <v>4</v>
      </c>
      <c r="AQ134" s="10">
        <v>6.25</v>
      </c>
      <c r="AR134" s="10">
        <v>6.75</v>
      </c>
      <c r="AS134" s="11">
        <v>1134.5</v>
      </c>
      <c r="AT134" s="11">
        <v>4590</v>
      </c>
      <c r="AU134" s="11">
        <v>8811.75</v>
      </c>
      <c r="AV134" s="11">
        <v>9404.25</v>
      </c>
      <c r="AW134" s="11">
        <v>0</v>
      </c>
      <c r="AX134" s="11">
        <v>0</v>
      </c>
      <c r="AY134" s="11">
        <v>2437.5</v>
      </c>
      <c r="AZ134" s="11">
        <v>709.44583333330002</v>
      </c>
      <c r="BA134" s="23">
        <v>3</v>
      </c>
      <c r="BB134" s="24" t="s">
        <v>8</v>
      </c>
    </row>
    <row r="135" spans="1:54" x14ac:dyDescent="0.2">
      <c r="A135" s="5">
        <v>831</v>
      </c>
      <c r="B135" s="20" t="s">
        <v>70</v>
      </c>
      <c r="C135" s="18" t="s">
        <v>54</v>
      </c>
      <c r="D135" s="18">
        <v>5</v>
      </c>
      <c r="E135" s="18">
        <v>0</v>
      </c>
      <c r="F135" s="20">
        <v>3.3639999999999999</v>
      </c>
      <c r="G135" s="18">
        <v>29</v>
      </c>
      <c r="H135" s="22">
        <v>4.0082135523613962</v>
      </c>
      <c r="I135" s="22">
        <v>5.4236824093086931</v>
      </c>
      <c r="J135" s="22">
        <v>9.4318959616700884</v>
      </c>
      <c r="K135" s="22">
        <v>4.0082135523613962</v>
      </c>
      <c r="L135" s="22">
        <v>5.4236824093086931</v>
      </c>
      <c r="M135" s="22">
        <v>9.4318959616700884</v>
      </c>
      <c r="N135" s="22">
        <v>4.0273785078713207</v>
      </c>
      <c r="O135" s="22">
        <v>5.0978781656399725</v>
      </c>
      <c r="P135" s="22">
        <v>9.1252566735112932</v>
      </c>
      <c r="Q135" s="22">
        <v>3.2388774811772758</v>
      </c>
      <c r="R135" s="22">
        <v>6.2669404517453797</v>
      </c>
      <c r="S135" s="22">
        <v>9.5058179329226551</v>
      </c>
      <c r="T135" s="5">
        <v>3</v>
      </c>
      <c r="U135" s="5">
        <v>14</v>
      </c>
      <c r="V135" s="20" t="s">
        <v>1</v>
      </c>
      <c r="W135" s="20">
        <v>5</v>
      </c>
      <c r="X135" s="20">
        <v>1</v>
      </c>
      <c r="Y135" s="5">
        <v>1</v>
      </c>
      <c r="Z135" s="20">
        <v>4</v>
      </c>
      <c r="AA135" s="23">
        <f t="shared" si="4"/>
        <v>2</v>
      </c>
      <c r="AB135" s="15">
        <v>1</v>
      </c>
      <c r="AC135" s="15">
        <v>1</v>
      </c>
      <c r="AD135" s="15">
        <v>1</v>
      </c>
      <c r="AE135" s="15">
        <v>1</v>
      </c>
      <c r="AF135" s="20">
        <v>23</v>
      </c>
      <c r="AG135" s="20" t="s">
        <v>8</v>
      </c>
      <c r="AH135" s="24">
        <v>23</v>
      </c>
      <c r="AI135" s="23">
        <f t="shared" si="5"/>
        <v>1</v>
      </c>
      <c r="AJ135" s="17">
        <v>9.75</v>
      </c>
      <c r="AK135" s="17">
        <v>10</v>
      </c>
      <c r="AL135" s="14">
        <v>19.75</v>
      </c>
      <c r="AM135" s="23" cm="1">
        <f t="array" ref="AM135">IF(OR(AN135:AZ135=""),"BLANK",IF(AND(AN135:AZ135&lt;9999999),1,IF(AND(AN135:AZ135="NA"),3,2)))</f>
        <v>1</v>
      </c>
      <c r="AN135" s="5">
        <v>10</v>
      </c>
      <c r="AO135" s="5">
        <v>2</v>
      </c>
      <c r="AP135" s="10">
        <v>3</v>
      </c>
      <c r="AQ135" s="10">
        <v>5.25</v>
      </c>
      <c r="AR135" s="10">
        <v>6</v>
      </c>
      <c r="AS135" s="11">
        <v>1549.5</v>
      </c>
      <c r="AT135" s="11">
        <v>5363.5</v>
      </c>
      <c r="AU135" s="11">
        <v>2846.25</v>
      </c>
      <c r="AV135" s="11">
        <v>4383</v>
      </c>
      <c r="AW135" s="11">
        <v>0</v>
      </c>
      <c r="AX135" s="11">
        <v>0</v>
      </c>
      <c r="AY135" s="11">
        <v>1789.4236111110999</v>
      </c>
      <c r="AZ135" s="11">
        <v>665.52222222219996</v>
      </c>
      <c r="BA135" s="23">
        <v>3</v>
      </c>
      <c r="BB135" s="24" t="s">
        <v>8</v>
      </c>
    </row>
    <row r="136" spans="1:54" x14ac:dyDescent="0.2">
      <c r="A136" s="5">
        <v>832</v>
      </c>
      <c r="B136" s="20" t="s">
        <v>66</v>
      </c>
      <c r="C136" s="18" t="s">
        <v>55</v>
      </c>
      <c r="D136" s="18">
        <v>5</v>
      </c>
      <c r="E136" s="18">
        <v>0</v>
      </c>
      <c r="F136" s="20">
        <v>4</v>
      </c>
      <c r="G136" s="18">
        <v>30</v>
      </c>
      <c r="H136" s="22" t="s">
        <v>8</v>
      </c>
      <c r="I136" s="22" t="s">
        <v>8</v>
      </c>
      <c r="J136" s="22" t="s">
        <v>8</v>
      </c>
      <c r="K136" s="22" t="s">
        <v>8</v>
      </c>
      <c r="L136" s="22" t="s">
        <v>8</v>
      </c>
      <c r="M136" s="22" t="s">
        <v>8</v>
      </c>
      <c r="N136" s="22" t="s">
        <v>8</v>
      </c>
      <c r="O136" s="22" t="s">
        <v>8</v>
      </c>
      <c r="P136" s="22" t="s">
        <v>8</v>
      </c>
      <c r="Q136" s="22" t="s">
        <v>8</v>
      </c>
      <c r="R136" s="22" t="s">
        <v>8</v>
      </c>
      <c r="S136" s="22" t="s">
        <v>8</v>
      </c>
      <c r="T136" s="5">
        <v>6</v>
      </c>
      <c r="U136" s="5">
        <v>18</v>
      </c>
      <c r="V136" s="20" t="s">
        <v>1</v>
      </c>
      <c r="W136" s="20">
        <v>5</v>
      </c>
      <c r="X136" s="20">
        <v>1</v>
      </c>
      <c r="Y136" s="5">
        <v>1</v>
      </c>
      <c r="Z136" s="20">
        <v>4</v>
      </c>
      <c r="AA136" s="23">
        <f t="shared" si="4"/>
        <v>2</v>
      </c>
      <c r="AB136" s="15">
        <v>1</v>
      </c>
      <c r="AC136" s="15">
        <v>0.875</v>
      </c>
      <c r="AD136" s="15">
        <v>1</v>
      </c>
      <c r="AE136" s="15">
        <v>0.95799999999999996</v>
      </c>
      <c r="AF136" s="20">
        <v>23</v>
      </c>
      <c r="AG136" s="20" t="s">
        <v>8</v>
      </c>
      <c r="AH136" s="24">
        <v>24</v>
      </c>
      <c r="AI136" s="23">
        <f t="shared" si="5"/>
        <v>1</v>
      </c>
      <c r="AJ136" s="17">
        <v>9.5</v>
      </c>
      <c r="AK136" s="17">
        <v>14</v>
      </c>
      <c r="AL136" s="14">
        <v>23.5</v>
      </c>
      <c r="AM136" s="23" cm="1">
        <f t="array" ref="AM136">IF(OR(AN136:AZ136=""),"BLANK",IF(AND(AN136:AZ136&lt;9999999),1,IF(AND(AN136:AZ136="NA"),3,2)))</f>
        <v>1</v>
      </c>
      <c r="AN136" s="5">
        <v>8</v>
      </c>
      <c r="AO136" s="5">
        <v>2</v>
      </c>
      <c r="AP136" s="10">
        <v>3</v>
      </c>
      <c r="AQ136" s="10">
        <v>5.75</v>
      </c>
      <c r="AR136" s="10">
        <v>6.5</v>
      </c>
      <c r="AS136" s="11">
        <v>1551</v>
      </c>
      <c r="AT136" s="11">
        <v>2099</v>
      </c>
      <c r="AU136" s="11">
        <v>5284.5</v>
      </c>
      <c r="AV136" s="11">
        <v>5447.5</v>
      </c>
      <c r="AW136" s="11">
        <v>0</v>
      </c>
      <c r="AX136" s="11">
        <v>0</v>
      </c>
      <c r="AY136" s="11">
        <v>150.7777777778</v>
      </c>
      <c r="AZ136" s="11">
        <v>0</v>
      </c>
      <c r="BA136" s="23">
        <v>3</v>
      </c>
      <c r="BB136" s="24" t="s">
        <v>8</v>
      </c>
    </row>
    <row r="137" spans="1:54" x14ac:dyDescent="0.2">
      <c r="A137" s="5">
        <v>833</v>
      </c>
      <c r="B137" s="20" t="s">
        <v>64</v>
      </c>
      <c r="C137" s="18" t="s">
        <v>54</v>
      </c>
      <c r="D137" s="18">
        <v>5</v>
      </c>
      <c r="E137" s="18">
        <v>0</v>
      </c>
      <c r="F137" s="20">
        <v>3.6360000000000001</v>
      </c>
      <c r="G137" s="18">
        <v>27</v>
      </c>
      <c r="H137" s="22">
        <v>4.0027378507871321</v>
      </c>
      <c r="I137" s="22">
        <v>5.6153319644079396</v>
      </c>
      <c r="J137" s="22">
        <v>9.6180698151950725</v>
      </c>
      <c r="K137" s="22">
        <v>4.0219028062970565</v>
      </c>
      <c r="L137" s="22">
        <v>5.5961670088980151</v>
      </c>
      <c r="M137" s="22">
        <v>9.6180698151950725</v>
      </c>
      <c r="N137" s="22">
        <v>4.0219028062970565</v>
      </c>
      <c r="O137" s="22">
        <v>5.5222450376454484</v>
      </c>
      <c r="P137" s="22">
        <v>9.5441478439425058</v>
      </c>
      <c r="Q137" s="22">
        <v>3.2361396303901437</v>
      </c>
      <c r="R137" s="22">
        <v>6.0698151950718682</v>
      </c>
      <c r="S137" s="22">
        <v>9.3059548254620115</v>
      </c>
      <c r="T137" s="5">
        <v>3</v>
      </c>
      <c r="U137" s="5">
        <v>14</v>
      </c>
      <c r="V137" s="20" t="s">
        <v>1</v>
      </c>
      <c r="W137" s="20">
        <v>5</v>
      </c>
      <c r="X137" s="20">
        <v>1</v>
      </c>
      <c r="Y137" s="5">
        <v>1</v>
      </c>
      <c r="Z137" s="20">
        <v>4</v>
      </c>
      <c r="AA137" s="23">
        <f t="shared" si="4"/>
        <v>2</v>
      </c>
      <c r="AB137" s="15">
        <v>0.875</v>
      </c>
      <c r="AC137" s="15">
        <v>0.375</v>
      </c>
      <c r="AD137" s="15">
        <v>0.25</v>
      </c>
      <c r="AE137" s="15">
        <v>0.5</v>
      </c>
      <c r="AF137" s="20">
        <v>12</v>
      </c>
      <c r="AG137" s="20" t="s">
        <v>8</v>
      </c>
      <c r="AH137" s="24">
        <v>24</v>
      </c>
      <c r="AI137" s="23">
        <f t="shared" si="5"/>
        <v>1</v>
      </c>
      <c r="AJ137" s="17">
        <v>1.5</v>
      </c>
      <c r="AK137" s="17">
        <v>6.75</v>
      </c>
      <c r="AL137" s="14">
        <v>8.25</v>
      </c>
      <c r="AM137" s="23" cm="1">
        <f t="array" ref="AM137">IF(OR(AN137:AZ137=""),"BLANK",IF(AND(AN137:AZ137&lt;9999999),1,IF(AND(AN137:AZ137="NA"),3,2)))</f>
        <v>1</v>
      </c>
      <c r="AN137" s="5">
        <v>5</v>
      </c>
      <c r="AO137" s="5">
        <v>2</v>
      </c>
      <c r="AP137" s="10">
        <v>3.5</v>
      </c>
      <c r="AQ137" s="10">
        <v>6.5</v>
      </c>
      <c r="AR137" s="10">
        <v>8.5</v>
      </c>
      <c r="AS137" s="11">
        <v>676.5</v>
      </c>
      <c r="AT137" s="11">
        <v>2595.5</v>
      </c>
      <c r="AU137" s="11">
        <v>3430.25</v>
      </c>
      <c r="AV137" s="11">
        <v>3054.75</v>
      </c>
      <c r="AW137" s="11">
        <v>0</v>
      </c>
      <c r="AX137" s="11">
        <v>2581.7083333332998</v>
      </c>
      <c r="AY137" s="11">
        <v>12987.806944444401</v>
      </c>
      <c r="AZ137" s="11">
        <v>8687.7458333332997</v>
      </c>
      <c r="BA137" s="23">
        <v>3</v>
      </c>
      <c r="BB137" s="24" t="s">
        <v>8</v>
      </c>
    </row>
    <row r="138" spans="1:54" x14ac:dyDescent="0.2">
      <c r="A138" s="5">
        <v>835</v>
      </c>
      <c r="B138" s="20" t="s">
        <v>76</v>
      </c>
      <c r="C138" s="18" t="s">
        <v>54</v>
      </c>
      <c r="D138" s="18">
        <v>5</v>
      </c>
      <c r="E138" s="18">
        <v>0</v>
      </c>
      <c r="F138" s="20">
        <v>3.3639999999999999</v>
      </c>
      <c r="G138" s="18">
        <v>28</v>
      </c>
      <c r="H138" s="22">
        <v>4.561259411362081</v>
      </c>
      <c r="I138" s="22">
        <v>4.2984257357973989</v>
      </c>
      <c r="J138" s="22">
        <v>8.85968514715948</v>
      </c>
      <c r="K138" s="22">
        <v>4.6187542778918553</v>
      </c>
      <c r="L138" s="22">
        <v>4.2409308692676246</v>
      </c>
      <c r="M138" s="22">
        <v>8.85968514715948</v>
      </c>
      <c r="N138" s="22">
        <v>4.4845995893223822</v>
      </c>
      <c r="O138" s="22">
        <v>4.0492813141683781</v>
      </c>
      <c r="P138" s="22">
        <v>8.5338809034907595</v>
      </c>
      <c r="Q138" s="22" t="s">
        <v>8</v>
      </c>
      <c r="R138" s="22" t="s">
        <v>8</v>
      </c>
      <c r="S138" s="22" t="s">
        <v>8</v>
      </c>
      <c r="T138" s="5">
        <v>4</v>
      </c>
      <c r="U138" s="5">
        <v>16</v>
      </c>
      <c r="V138" s="20" t="s">
        <v>1</v>
      </c>
      <c r="W138" s="20">
        <v>5</v>
      </c>
      <c r="X138" s="20">
        <v>1</v>
      </c>
      <c r="Y138" s="5">
        <v>1</v>
      </c>
      <c r="Z138" s="20">
        <v>4</v>
      </c>
      <c r="AA138" s="23">
        <f t="shared" si="4"/>
        <v>2</v>
      </c>
      <c r="AB138" s="15">
        <v>1</v>
      </c>
      <c r="AC138" s="15">
        <v>0.875</v>
      </c>
      <c r="AD138" s="15">
        <v>0.5</v>
      </c>
      <c r="AE138" s="15">
        <v>0.79200000000000004</v>
      </c>
      <c r="AF138" s="20">
        <v>19</v>
      </c>
      <c r="AG138" s="20" t="s">
        <v>8</v>
      </c>
      <c r="AH138" s="24">
        <v>24</v>
      </c>
      <c r="AI138" s="23">
        <f t="shared" si="5"/>
        <v>1</v>
      </c>
      <c r="AJ138" s="17">
        <v>7.75</v>
      </c>
      <c r="AK138" s="17">
        <v>4.25</v>
      </c>
      <c r="AL138" s="14">
        <v>12</v>
      </c>
      <c r="AM138" s="23" cm="1">
        <f t="array" ref="AM138">IF(OR(AN138:AZ138=""),"BLANK",IF(AND(AN138:AZ138&lt;9999999),1,IF(AND(AN138:AZ138="NA"),3,2)))</f>
        <v>1</v>
      </c>
      <c r="AN138" s="5">
        <v>10</v>
      </c>
      <c r="AO138" s="5">
        <v>2</v>
      </c>
      <c r="AP138" s="10">
        <v>3</v>
      </c>
      <c r="AQ138" s="10">
        <v>4</v>
      </c>
      <c r="AR138" s="10">
        <v>7.25</v>
      </c>
      <c r="AS138" s="11">
        <v>1963</v>
      </c>
      <c r="AT138" s="11">
        <v>8023.5</v>
      </c>
      <c r="AU138" s="11">
        <v>23384</v>
      </c>
      <c r="AV138" s="11">
        <v>36589.25</v>
      </c>
      <c r="AW138" s="11">
        <v>0</v>
      </c>
      <c r="AX138" s="11">
        <v>0</v>
      </c>
      <c r="AY138" s="11">
        <v>0</v>
      </c>
      <c r="AZ138" s="11">
        <v>1024.6803571429</v>
      </c>
      <c r="BA138" s="23">
        <v>3</v>
      </c>
      <c r="BB138" s="24" t="s">
        <v>8</v>
      </c>
    </row>
    <row r="139" spans="1:54" x14ac:dyDescent="0.2">
      <c r="A139" s="5">
        <v>836</v>
      </c>
      <c r="B139" s="20" t="s">
        <v>62</v>
      </c>
      <c r="C139" s="18" t="s">
        <v>54</v>
      </c>
      <c r="D139" s="18">
        <v>5</v>
      </c>
      <c r="E139" s="18">
        <v>0</v>
      </c>
      <c r="F139" s="20">
        <v>3.8180000000000001</v>
      </c>
      <c r="G139" s="18">
        <v>28</v>
      </c>
      <c r="H139" s="22" t="s">
        <v>8</v>
      </c>
      <c r="I139" s="22" t="s">
        <v>8</v>
      </c>
      <c r="J139" s="22" t="s">
        <v>8</v>
      </c>
      <c r="K139" s="22" t="s">
        <v>8</v>
      </c>
      <c r="L139" s="22" t="s">
        <v>8</v>
      </c>
      <c r="M139" s="22" t="s">
        <v>8</v>
      </c>
      <c r="N139" s="22" t="s">
        <v>8</v>
      </c>
      <c r="O139" s="22" t="s">
        <v>8</v>
      </c>
      <c r="P139" s="22" t="s">
        <v>8</v>
      </c>
      <c r="Q139" s="22" t="s">
        <v>8</v>
      </c>
      <c r="R139" s="22" t="s">
        <v>8</v>
      </c>
      <c r="S139" s="22" t="s">
        <v>8</v>
      </c>
      <c r="T139" s="5">
        <v>6</v>
      </c>
      <c r="U139" s="5">
        <v>18</v>
      </c>
      <c r="V139" s="20" t="s">
        <v>1</v>
      </c>
      <c r="W139" s="20">
        <v>5</v>
      </c>
      <c r="X139" s="20">
        <v>1</v>
      </c>
      <c r="Y139" s="5">
        <v>1</v>
      </c>
      <c r="Z139" s="20">
        <v>4</v>
      </c>
      <c r="AA139" s="23">
        <f t="shared" si="4"/>
        <v>2</v>
      </c>
      <c r="AB139" s="15">
        <v>1</v>
      </c>
      <c r="AC139" s="15">
        <v>0.875</v>
      </c>
      <c r="AD139" s="15">
        <v>0.25</v>
      </c>
      <c r="AE139" s="15">
        <v>0.70799999999999996</v>
      </c>
      <c r="AF139" s="20">
        <v>17</v>
      </c>
      <c r="AG139" s="20" t="s">
        <v>8</v>
      </c>
      <c r="AH139" s="24">
        <v>24</v>
      </c>
      <c r="AI139" s="23">
        <f t="shared" si="5"/>
        <v>1</v>
      </c>
      <c r="AJ139" s="17">
        <v>6.25</v>
      </c>
      <c r="AK139" s="17">
        <v>5.25</v>
      </c>
      <c r="AL139" s="14">
        <v>11.5</v>
      </c>
      <c r="AM139" s="23" cm="1">
        <f t="array" ref="AM139">IF(OR(AN139:AZ139=""),"BLANK",IF(AND(AN139:AZ139&lt;9999999),1,IF(AND(AN139:AZ139="NA"),3,2)))</f>
        <v>1</v>
      </c>
      <c r="AN139" s="5">
        <v>6</v>
      </c>
      <c r="AO139" s="5">
        <v>2</v>
      </c>
      <c r="AP139" s="10">
        <v>3</v>
      </c>
      <c r="AQ139" s="10">
        <v>6.25</v>
      </c>
      <c r="AR139" s="10">
        <v>6.25</v>
      </c>
      <c r="AS139" s="11">
        <v>2377.5</v>
      </c>
      <c r="AT139" s="11">
        <v>3933.5</v>
      </c>
      <c r="AU139" s="11">
        <v>7702.5</v>
      </c>
      <c r="AV139" s="11">
        <v>1570.25</v>
      </c>
      <c r="AW139" s="11">
        <v>0</v>
      </c>
      <c r="AX139" s="11">
        <v>0</v>
      </c>
      <c r="AY139" s="11">
        <v>5686.6515873015996</v>
      </c>
      <c r="AZ139" s="11">
        <v>1359.6928571429</v>
      </c>
      <c r="BA139" s="23">
        <v>3</v>
      </c>
      <c r="BB139" s="24" t="s">
        <v>8</v>
      </c>
    </row>
    <row r="140" spans="1:54" x14ac:dyDescent="0.2">
      <c r="A140" s="5">
        <v>841</v>
      </c>
      <c r="B140" s="20" t="s">
        <v>77</v>
      </c>
      <c r="C140" s="18" t="s">
        <v>54</v>
      </c>
      <c r="D140" s="18">
        <v>5</v>
      </c>
      <c r="E140" s="18">
        <v>0</v>
      </c>
      <c r="F140" s="20">
        <v>3.8180000000000001</v>
      </c>
      <c r="G140" s="18">
        <v>28</v>
      </c>
      <c r="H140" s="22">
        <v>3.9972621492128679</v>
      </c>
      <c r="I140" s="22">
        <v>5.5687885010266944</v>
      </c>
      <c r="J140" s="22">
        <v>9.5660506502395624</v>
      </c>
      <c r="K140" s="22">
        <v>3.9972621492128679</v>
      </c>
      <c r="L140" s="22">
        <v>5.5687885010266944</v>
      </c>
      <c r="M140" s="22">
        <v>9.5660506502395624</v>
      </c>
      <c r="N140" s="22">
        <v>4</v>
      </c>
      <c r="O140" s="22">
        <v>5.1964407939767279</v>
      </c>
      <c r="P140" s="22">
        <v>9.1964407939767288</v>
      </c>
      <c r="Q140" s="22" t="s">
        <v>8</v>
      </c>
      <c r="R140" s="22" t="s">
        <v>8</v>
      </c>
      <c r="S140" s="22" t="s">
        <v>8</v>
      </c>
      <c r="T140" s="5">
        <v>7</v>
      </c>
      <c r="U140" s="5">
        <v>21</v>
      </c>
      <c r="V140" s="20" t="s">
        <v>1</v>
      </c>
      <c r="W140" s="20">
        <v>5</v>
      </c>
      <c r="X140" s="20">
        <v>1</v>
      </c>
      <c r="Y140" s="5">
        <v>1</v>
      </c>
      <c r="Z140" s="20">
        <v>4</v>
      </c>
      <c r="AA140" s="23">
        <f t="shared" si="4"/>
        <v>2</v>
      </c>
      <c r="AB140" s="15">
        <v>1</v>
      </c>
      <c r="AC140" s="15">
        <v>1</v>
      </c>
      <c r="AD140" s="15">
        <v>0.8571428571428571</v>
      </c>
      <c r="AE140" s="15">
        <v>0.95699999999999996</v>
      </c>
      <c r="AF140" s="20">
        <v>22</v>
      </c>
      <c r="AG140" s="20" t="s">
        <v>8</v>
      </c>
      <c r="AH140" s="24">
        <v>23</v>
      </c>
      <c r="AI140" s="23">
        <f t="shared" si="5"/>
        <v>1</v>
      </c>
      <c r="AJ140" s="17">
        <v>13</v>
      </c>
      <c r="AK140" s="17">
        <v>9.75</v>
      </c>
      <c r="AL140" s="14">
        <v>22.75</v>
      </c>
      <c r="AM140" s="23" cm="1">
        <f t="array" ref="AM140">IF(OR(AN140:AZ140=""),"BLANK",IF(AND(AN140:AZ140&lt;9999999),1,IF(AND(AN140:AZ140="NA"),3,2)))</f>
        <v>1</v>
      </c>
      <c r="AN140" s="5">
        <v>11</v>
      </c>
      <c r="AO140" s="5">
        <v>2</v>
      </c>
      <c r="AP140" s="10">
        <v>3</v>
      </c>
      <c r="AQ140" s="10">
        <v>5.25</v>
      </c>
      <c r="AR140" s="10">
        <v>5</v>
      </c>
      <c r="AS140" s="11">
        <v>1289</v>
      </c>
      <c r="AT140" s="11">
        <v>11468.5</v>
      </c>
      <c r="AU140" s="11">
        <v>10337.75</v>
      </c>
      <c r="AV140" s="11">
        <v>26404</v>
      </c>
      <c r="AW140" s="11">
        <v>0</v>
      </c>
      <c r="AX140" s="11">
        <v>0</v>
      </c>
      <c r="AY140" s="11">
        <v>3309.0486111110999</v>
      </c>
      <c r="AZ140" s="11">
        <v>0</v>
      </c>
      <c r="BA140" s="23">
        <v>3</v>
      </c>
      <c r="BB140" s="24" t="s">
        <v>8</v>
      </c>
    </row>
    <row r="141" spans="1:54" x14ac:dyDescent="0.2">
      <c r="A141" s="5">
        <v>843</v>
      </c>
      <c r="B141" s="20" t="s">
        <v>82</v>
      </c>
      <c r="C141" s="18" t="s">
        <v>55</v>
      </c>
      <c r="D141" s="18">
        <v>5</v>
      </c>
      <c r="E141" s="18">
        <v>0</v>
      </c>
      <c r="F141" s="20">
        <v>3.3639999999999999</v>
      </c>
      <c r="G141" s="18">
        <v>26</v>
      </c>
      <c r="H141" s="22" t="s">
        <v>8</v>
      </c>
      <c r="I141" s="22" t="s">
        <v>8</v>
      </c>
      <c r="J141" s="22" t="s">
        <v>8</v>
      </c>
      <c r="K141" s="22" t="s">
        <v>8</v>
      </c>
      <c r="L141" s="22" t="s">
        <v>8</v>
      </c>
      <c r="M141" s="22" t="s">
        <v>8</v>
      </c>
      <c r="N141" s="22" t="s">
        <v>8</v>
      </c>
      <c r="O141" s="22" t="s">
        <v>8</v>
      </c>
      <c r="P141" s="22" t="s">
        <v>8</v>
      </c>
      <c r="Q141" s="22" t="s">
        <v>8</v>
      </c>
      <c r="R141" s="22" t="s">
        <v>8</v>
      </c>
      <c r="S141" s="22" t="s">
        <v>8</v>
      </c>
      <c r="T141" s="5">
        <v>4</v>
      </c>
      <c r="U141" s="5">
        <v>16</v>
      </c>
      <c r="V141" s="20" t="s">
        <v>1</v>
      </c>
      <c r="W141" s="20">
        <v>5</v>
      </c>
      <c r="X141" s="20">
        <v>1</v>
      </c>
      <c r="Y141" s="5">
        <v>1</v>
      </c>
      <c r="Z141" s="20">
        <v>4</v>
      </c>
      <c r="AA141" s="23">
        <f t="shared" si="4"/>
        <v>2</v>
      </c>
      <c r="AB141" s="15">
        <v>1</v>
      </c>
      <c r="AC141" s="15">
        <v>0.875</v>
      </c>
      <c r="AD141" s="15">
        <v>0.75</v>
      </c>
      <c r="AE141" s="15">
        <v>0.875</v>
      </c>
      <c r="AF141" s="20">
        <v>21</v>
      </c>
      <c r="AG141" s="20" t="s">
        <v>8</v>
      </c>
      <c r="AH141" s="24">
        <v>24</v>
      </c>
      <c r="AI141" s="23">
        <f t="shared" si="5"/>
        <v>1</v>
      </c>
      <c r="AJ141" s="17">
        <v>7.75</v>
      </c>
      <c r="AK141" s="17">
        <v>5</v>
      </c>
      <c r="AL141" s="14">
        <v>12.75</v>
      </c>
      <c r="AM141" s="23" cm="1">
        <f t="array" ref="AM141">IF(OR(AN141:AZ141=""),"BLANK",IF(AND(AN141:AZ141&lt;9999999),1,IF(AND(AN141:AZ141="NA"),3,2)))</f>
        <v>1</v>
      </c>
      <c r="AN141" s="5">
        <v>8</v>
      </c>
      <c r="AO141" s="5">
        <v>2</v>
      </c>
      <c r="AP141" s="10">
        <v>3</v>
      </c>
      <c r="AQ141" s="10">
        <v>5.25</v>
      </c>
      <c r="AR141" s="10">
        <v>8.5</v>
      </c>
      <c r="AS141" s="11">
        <v>4572</v>
      </c>
      <c r="AT141" s="11">
        <v>2877</v>
      </c>
      <c r="AU141" s="11">
        <v>10445.5</v>
      </c>
      <c r="AV141" s="11">
        <v>12126.75</v>
      </c>
      <c r="AW141" s="11">
        <v>9.75</v>
      </c>
      <c r="AX141" s="11">
        <v>0</v>
      </c>
      <c r="AY141" s="11">
        <v>4893.5</v>
      </c>
      <c r="AZ141" s="11">
        <v>1745.0246212121001</v>
      </c>
      <c r="BA141" s="23">
        <v>3</v>
      </c>
      <c r="BB141" s="24" t="s">
        <v>8</v>
      </c>
    </row>
    <row r="142" spans="1:54" x14ac:dyDescent="0.2">
      <c r="A142" s="5">
        <v>849</v>
      </c>
      <c r="B142" s="20" t="s">
        <v>79</v>
      </c>
      <c r="C142" s="18" t="s">
        <v>55</v>
      </c>
      <c r="D142" s="18">
        <v>5</v>
      </c>
      <c r="E142" s="18">
        <v>0</v>
      </c>
      <c r="F142" s="20">
        <v>3.6360000000000001</v>
      </c>
      <c r="G142" s="18">
        <v>29</v>
      </c>
      <c r="H142" s="22">
        <v>4.1587953456536617</v>
      </c>
      <c r="I142" s="22">
        <v>5.7577002053388089</v>
      </c>
      <c r="J142" s="22">
        <v>9.9164955509924706</v>
      </c>
      <c r="K142" s="22">
        <v>4.2354551676933605</v>
      </c>
      <c r="L142" s="22">
        <v>5.7002053388090346</v>
      </c>
      <c r="M142" s="22">
        <v>9.935660506502396</v>
      </c>
      <c r="N142" s="22">
        <v>4.476386036960986</v>
      </c>
      <c r="O142" s="22">
        <v>5.4318959616700893</v>
      </c>
      <c r="P142" s="22">
        <v>9.9082819986310753</v>
      </c>
      <c r="Q142" s="22" t="s">
        <v>8</v>
      </c>
      <c r="R142" s="22" t="s">
        <v>8</v>
      </c>
      <c r="S142" s="22" t="s">
        <v>8</v>
      </c>
      <c r="T142" s="5">
        <v>7</v>
      </c>
      <c r="U142" s="5">
        <v>21</v>
      </c>
      <c r="V142" s="20" t="s">
        <v>1</v>
      </c>
      <c r="W142" s="20">
        <v>5</v>
      </c>
      <c r="X142" s="20">
        <v>1</v>
      </c>
      <c r="Y142" s="5">
        <v>1</v>
      </c>
      <c r="Z142" s="20">
        <v>4</v>
      </c>
      <c r="AA142" s="23">
        <f t="shared" si="4"/>
        <v>2</v>
      </c>
      <c r="AB142" s="15">
        <v>0.875</v>
      </c>
      <c r="AC142" s="15">
        <v>0.7142857142857143</v>
      </c>
      <c r="AD142" s="15">
        <v>0.75</v>
      </c>
      <c r="AE142" s="15">
        <v>0.78300000000000003</v>
      </c>
      <c r="AF142" s="20">
        <v>18</v>
      </c>
      <c r="AG142" s="20" t="s">
        <v>8</v>
      </c>
      <c r="AH142" s="24">
        <v>23</v>
      </c>
      <c r="AI142" s="23">
        <f t="shared" si="5"/>
        <v>1</v>
      </c>
      <c r="AJ142" s="17">
        <v>11</v>
      </c>
      <c r="AK142" s="17">
        <v>11</v>
      </c>
      <c r="AL142" s="14">
        <v>22</v>
      </c>
      <c r="AM142" s="23" cm="1">
        <f t="array" ref="AM142">IF(OR(AN142:AZ142=""),"BLANK",IF(AND(AN142:AZ142&lt;9999999),1,IF(AND(AN142:AZ142="NA"),3,2)))</f>
        <v>1</v>
      </c>
      <c r="AN142" s="5">
        <v>11</v>
      </c>
      <c r="AO142" s="5">
        <v>2</v>
      </c>
      <c r="AP142" s="10">
        <v>3</v>
      </c>
      <c r="AQ142" s="10">
        <v>5.25</v>
      </c>
      <c r="AR142" s="10">
        <v>5</v>
      </c>
      <c r="AS142" s="11">
        <v>3038.5</v>
      </c>
      <c r="AT142" s="11">
        <v>4534.5</v>
      </c>
      <c r="AU142" s="11">
        <v>14012.75</v>
      </c>
      <c r="AV142" s="11">
        <v>30584.25</v>
      </c>
      <c r="AW142" s="11">
        <v>0</v>
      </c>
      <c r="AX142" s="11">
        <v>0</v>
      </c>
      <c r="AY142" s="11">
        <v>1194.8541666666999</v>
      </c>
      <c r="AZ142" s="11">
        <v>0</v>
      </c>
      <c r="BA142" s="23">
        <v>3</v>
      </c>
      <c r="BB142" s="24" t="s">
        <v>8</v>
      </c>
    </row>
    <row r="143" spans="1:54" x14ac:dyDescent="0.2">
      <c r="A143" s="5">
        <v>860</v>
      </c>
      <c r="B143" s="20" t="s">
        <v>81</v>
      </c>
      <c r="C143" s="18" t="s">
        <v>54</v>
      </c>
      <c r="D143" s="18">
        <v>5</v>
      </c>
      <c r="E143" s="18">
        <v>0</v>
      </c>
      <c r="F143" s="20">
        <v>4</v>
      </c>
      <c r="G143" s="18">
        <v>27</v>
      </c>
      <c r="H143" s="22">
        <v>3.9863107460643397</v>
      </c>
      <c r="I143" s="22">
        <v>5.5249828884325805</v>
      </c>
      <c r="J143" s="22">
        <v>9.5112936344969192</v>
      </c>
      <c r="K143" s="22">
        <v>3.9863107460643397</v>
      </c>
      <c r="L143" s="22">
        <v>5.5824777549623548</v>
      </c>
      <c r="M143" s="22">
        <v>9.5687885010266935</v>
      </c>
      <c r="N143" s="22">
        <v>3.9698836413415468</v>
      </c>
      <c r="O143" s="22">
        <v>5.2731006160164275</v>
      </c>
      <c r="P143" s="22">
        <v>9.2429842573579748</v>
      </c>
      <c r="Q143" s="22">
        <v>3.184120465434634</v>
      </c>
      <c r="R143" s="22" t="s">
        <v>8</v>
      </c>
      <c r="S143" s="22" t="s">
        <v>8</v>
      </c>
      <c r="T143" s="5">
        <v>4</v>
      </c>
      <c r="U143" s="5">
        <v>16</v>
      </c>
      <c r="V143" s="20" t="s">
        <v>1</v>
      </c>
      <c r="W143" s="20">
        <v>5</v>
      </c>
      <c r="X143" s="20">
        <v>1</v>
      </c>
      <c r="Y143" s="5">
        <v>1</v>
      </c>
      <c r="Z143" s="20">
        <v>4</v>
      </c>
      <c r="AA143" s="23">
        <f t="shared" si="4"/>
        <v>2</v>
      </c>
      <c r="AB143" s="15">
        <v>1</v>
      </c>
      <c r="AC143" s="15">
        <v>0.875</v>
      </c>
      <c r="AD143" s="15">
        <v>0.625</v>
      </c>
      <c r="AE143" s="15">
        <v>0.83299999999999996</v>
      </c>
      <c r="AF143" s="20">
        <v>20</v>
      </c>
      <c r="AG143" s="20" t="s">
        <v>8</v>
      </c>
      <c r="AH143" s="24">
        <v>24</v>
      </c>
      <c r="AI143" s="23">
        <f t="shared" si="5"/>
        <v>1</v>
      </c>
      <c r="AJ143" s="17">
        <v>9</v>
      </c>
      <c r="AK143" s="17">
        <v>4.75</v>
      </c>
      <c r="AL143" s="14">
        <v>13.75</v>
      </c>
      <c r="AM143" s="23" cm="1">
        <f t="array" ref="AM143">IF(OR(AN143:AZ143=""),"BLANK",IF(AND(AN143:AZ143&lt;9999999),1,IF(AND(AN143:AZ143="NA"),3,2)))</f>
        <v>1</v>
      </c>
      <c r="AN143" s="5">
        <v>4</v>
      </c>
      <c r="AO143" s="5">
        <v>2</v>
      </c>
      <c r="AP143" s="10">
        <v>5.5</v>
      </c>
      <c r="AQ143" s="10">
        <v>5.75</v>
      </c>
      <c r="AR143" s="10">
        <v>12</v>
      </c>
      <c r="AS143" s="11">
        <v>2163.5</v>
      </c>
      <c r="AT143" s="11">
        <v>10637</v>
      </c>
      <c r="AU143" s="11">
        <v>3996.5</v>
      </c>
      <c r="AV143" s="11">
        <v>2343.6666666667002</v>
      </c>
      <c r="AW143" s="11">
        <v>364.25</v>
      </c>
      <c r="AX143" s="11">
        <v>23243.535714285699</v>
      </c>
      <c r="AY143" s="11">
        <v>10530.784722222201</v>
      </c>
      <c r="AZ143" s="11">
        <v>24912.027777777799</v>
      </c>
      <c r="BA143" s="23">
        <v>3</v>
      </c>
      <c r="BB143" s="24" t="s">
        <v>8</v>
      </c>
    </row>
    <row r="144" spans="1:54" x14ac:dyDescent="0.2">
      <c r="A144" s="5">
        <v>865</v>
      </c>
      <c r="B144" s="20" t="s">
        <v>81</v>
      </c>
      <c r="C144" s="18" t="s">
        <v>54</v>
      </c>
      <c r="D144" s="18">
        <v>5</v>
      </c>
      <c r="E144" s="18">
        <v>0</v>
      </c>
      <c r="F144" s="20">
        <v>3.3639999999999999</v>
      </c>
      <c r="G144" s="18">
        <v>27</v>
      </c>
      <c r="H144" s="22" t="s">
        <v>8</v>
      </c>
      <c r="I144" s="22" t="s">
        <v>8</v>
      </c>
      <c r="J144" s="22" t="s">
        <v>8</v>
      </c>
      <c r="K144" s="22" t="s">
        <v>8</v>
      </c>
      <c r="L144" s="22" t="s">
        <v>8</v>
      </c>
      <c r="M144" s="22" t="s">
        <v>8</v>
      </c>
      <c r="N144" s="22" t="s">
        <v>8</v>
      </c>
      <c r="O144" s="22" t="s">
        <v>8</v>
      </c>
      <c r="P144" s="22" t="s">
        <v>8</v>
      </c>
      <c r="Q144" s="22" t="s">
        <v>8</v>
      </c>
      <c r="R144" s="22" t="s">
        <v>8</v>
      </c>
      <c r="S144" s="22" t="s">
        <v>8</v>
      </c>
      <c r="T144" s="5">
        <v>2</v>
      </c>
      <c r="U144" s="5">
        <v>12</v>
      </c>
      <c r="V144" s="20" t="s">
        <v>1</v>
      </c>
      <c r="W144" s="20">
        <v>5</v>
      </c>
      <c r="X144" s="20">
        <v>1</v>
      </c>
      <c r="Y144" s="5">
        <v>1</v>
      </c>
      <c r="Z144" s="20">
        <v>4</v>
      </c>
      <c r="AA144" s="23">
        <f t="shared" si="4"/>
        <v>2</v>
      </c>
      <c r="AB144" s="15">
        <v>0.75</v>
      </c>
      <c r="AC144" s="15">
        <v>0.625</v>
      </c>
      <c r="AD144" s="15">
        <v>0.375</v>
      </c>
      <c r="AE144" s="15">
        <v>0.58299999999999996</v>
      </c>
      <c r="AF144" s="20">
        <v>14</v>
      </c>
      <c r="AG144" s="20" t="s">
        <v>8</v>
      </c>
      <c r="AH144" s="24">
        <v>24</v>
      </c>
      <c r="AI144" s="23">
        <f t="shared" si="5"/>
        <v>1</v>
      </c>
      <c r="AJ144" s="17">
        <v>4.5</v>
      </c>
      <c r="AK144" s="17">
        <v>3</v>
      </c>
      <c r="AL144" s="14">
        <v>7.5</v>
      </c>
      <c r="AM144" s="23" cm="1">
        <f t="array" ref="AM144">IF(OR(AN144:AZ144=""),"BLANK",IF(AND(AN144:AZ144&lt;9999999),1,IF(AND(AN144:AZ144="NA"),3,2)))</f>
        <v>1</v>
      </c>
      <c r="AN144" s="5">
        <v>11</v>
      </c>
      <c r="AO144" s="5">
        <v>2</v>
      </c>
      <c r="AP144" s="10">
        <v>3</v>
      </c>
      <c r="AQ144" s="10">
        <v>4</v>
      </c>
      <c r="AR144" s="10">
        <v>5.25</v>
      </c>
      <c r="AS144" s="11">
        <v>607</v>
      </c>
      <c r="AT144" s="11">
        <v>3778</v>
      </c>
      <c r="AU144" s="11">
        <v>5309</v>
      </c>
      <c r="AV144" s="11">
        <v>5839.5</v>
      </c>
      <c r="AW144" s="11">
        <v>200.75</v>
      </c>
      <c r="AX144" s="11">
        <v>0</v>
      </c>
      <c r="AY144" s="11">
        <v>651.9375</v>
      </c>
      <c r="AZ144" s="11">
        <v>548.55833333329997</v>
      </c>
      <c r="BA144" s="23">
        <v>3</v>
      </c>
      <c r="BB144" s="24" t="s">
        <v>8</v>
      </c>
    </row>
    <row r="145" spans="1:54" x14ac:dyDescent="0.2">
      <c r="A145" s="5">
        <v>867</v>
      </c>
      <c r="B145" s="20" t="s">
        <v>80</v>
      </c>
      <c r="C145" s="18" t="s">
        <v>55</v>
      </c>
      <c r="D145" s="18">
        <v>5</v>
      </c>
      <c r="E145" s="18">
        <v>0</v>
      </c>
      <c r="F145" s="20">
        <v>2.7269999999999999</v>
      </c>
      <c r="G145" s="18">
        <v>26</v>
      </c>
      <c r="H145" s="22">
        <v>4.1396303901437372</v>
      </c>
      <c r="I145" s="22" t="s">
        <v>8</v>
      </c>
      <c r="J145" s="22" t="s">
        <v>8</v>
      </c>
      <c r="K145" s="22">
        <v>4.1396303901437372</v>
      </c>
      <c r="L145" s="22" t="s">
        <v>8</v>
      </c>
      <c r="M145" s="22" t="s">
        <v>8</v>
      </c>
      <c r="N145" s="22">
        <v>4.1943874058863795</v>
      </c>
      <c r="O145" s="22" t="s">
        <v>8</v>
      </c>
      <c r="P145" s="22" t="s">
        <v>8</v>
      </c>
      <c r="Q145" s="22">
        <v>3.3100616016427105</v>
      </c>
      <c r="R145" s="22" t="s">
        <v>8</v>
      </c>
      <c r="S145" s="22" t="s">
        <v>8</v>
      </c>
      <c r="T145" s="5">
        <v>4</v>
      </c>
      <c r="U145" s="5">
        <v>16</v>
      </c>
      <c r="V145" s="20" t="s">
        <v>1</v>
      </c>
      <c r="W145" s="20">
        <v>5</v>
      </c>
      <c r="X145" s="20">
        <v>1</v>
      </c>
      <c r="Y145" s="5">
        <v>1</v>
      </c>
      <c r="Z145" s="20">
        <v>4</v>
      </c>
      <c r="AA145" s="23">
        <f t="shared" si="4"/>
        <v>2</v>
      </c>
      <c r="AB145" s="15">
        <v>1</v>
      </c>
      <c r="AC145" s="15">
        <v>0.875</v>
      </c>
      <c r="AD145" s="15">
        <v>0.875</v>
      </c>
      <c r="AE145" s="15">
        <v>0.91700000000000004</v>
      </c>
      <c r="AF145" s="20">
        <v>22</v>
      </c>
      <c r="AG145" s="20" t="s">
        <v>8</v>
      </c>
      <c r="AH145" s="24">
        <v>24</v>
      </c>
      <c r="AI145" s="23">
        <f t="shared" si="5"/>
        <v>1</v>
      </c>
      <c r="AJ145" s="17">
        <v>13</v>
      </c>
      <c r="AK145" s="17">
        <v>10.75</v>
      </c>
      <c r="AL145" s="14">
        <v>23.75</v>
      </c>
      <c r="AM145" s="23" cm="1">
        <f t="array" ref="AM145">IF(OR(AN145:AZ145=""),"BLANK",IF(AND(AN145:AZ145&lt;9999999),1,IF(AND(AN145:AZ145="NA"),3,2)))</f>
        <v>1</v>
      </c>
      <c r="AN145" s="5">
        <v>6</v>
      </c>
      <c r="AO145" s="5">
        <v>2</v>
      </c>
      <c r="AP145" s="10">
        <v>3</v>
      </c>
      <c r="AQ145" s="10">
        <v>6</v>
      </c>
      <c r="AR145" s="10">
        <v>8.5</v>
      </c>
      <c r="AS145" s="11">
        <v>1781.5</v>
      </c>
      <c r="AT145" s="11">
        <v>5858.5</v>
      </c>
      <c r="AU145" s="11">
        <v>4826.5</v>
      </c>
      <c r="AV145" s="11">
        <v>14552.25</v>
      </c>
      <c r="AW145" s="11">
        <v>0</v>
      </c>
      <c r="AX145" s="11">
        <v>0</v>
      </c>
      <c r="AY145" s="11">
        <v>10128.534722222201</v>
      </c>
      <c r="AZ145" s="11">
        <v>3044.1583333333001</v>
      </c>
      <c r="BA145" s="23">
        <v>3</v>
      </c>
      <c r="BB145" s="24" t="s">
        <v>8</v>
      </c>
    </row>
    <row r="146" spans="1:54" x14ac:dyDescent="0.2">
      <c r="A146" s="5">
        <v>872</v>
      </c>
      <c r="B146" s="20" t="s">
        <v>70</v>
      </c>
      <c r="C146" s="18" t="s">
        <v>54</v>
      </c>
      <c r="D146" s="18">
        <v>5</v>
      </c>
      <c r="E146" s="18">
        <v>0</v>
      </c>
      <c r="F146" s="20">
        <v>3.1819999999999999</v>
      </c>
      <c r="G146" s="18">
        <v>30</v>
      </c>
      <c r="H146" s="22">
        <v>3.9589322381930185</v>
      </c>
      <c r="I146" s="22">
        <v>5.4428473648186175</v>
      </c>
      <c r="J146" s="22">
        <v>9.4017796030116365</v>
      </c>
      <c r="K146" s="22">
        <v>3.9589322381930185</v>
      </c>
      <c r="L146" s="22">
        <v>5.4428473648186175</v>
      </c>
      <c r="M146" s="22">
        <v>9.4017796030116365</v>
      </c>
      <c r="N146" s="22">
        <v>3.9972621492128679</v>
      </c>
      <c r="O146" s="22">
        <v>5.0814510609171801</v>
      </c>
      <c r="P146" s="22">
        <v>9.0787132101300472</v>
      </c>
      <c r="Q146" s="22">
        <v>3.353867214236824</v>
      </c>
      <c r="R146" s="22" t="s">
        <v>8</v>
      </c>
      <c r="S146" s="22" t="s">
        <v>8</v>
      </c>
      <c r="T146" s="5">
        <v>6</v>
      </c>
      <c r="U146" s="5">
        <v>18</v>
      </c>
      <c r="V146" s="20" t="s">
        <v>1</v>
      </c>
      <c r="W146" s="20">
        <v>5</v>
      </c>
      <c r="X146" s="20">
        <v>1</v>
      </c>
      <c r="Y146" s="5">
        <v>1</v>
      </c>
      <c r="Z146" s="20">
        <v>4</v>
      </c>
      <c r="AA146" s="23">
        <f t="shared" si="4"/>
        <v>2</v>
      </c>
      <c r="AB146" s="15">
        <v>1</v>
      </c>
      <c r="AC146" s="15">
        <v>0.875</v>
      </c>
      <c r="AD146" s="15">
        <v>0.875</v>
      </c>
      <c r="AE146" s="15">
        <v>0.91700000000000004</v>
      </c>
      <c r="AF146" s="20">
        <v>22</v>
      </c>
      <c r="AG146" s="20" t="s">
        <v>8</v>
      </c>
      <c r="AH146" s="24">
        <v>24</v>
      </c>
      <c r="AI146" s="23">
        <f t="shared" si="5"/>
        <v>1</v>
      </c>
      <c r="AJ146" s="17">
        <v>9.5</v>
      </c>
      <c r="AK146" s="17">
        <v>15</v>
      </c>
      <c r="AL146" s="14">
        <v>24.5</v>
      </c>
      <c r="AM146" s="23" cm="1">
        <f t="array" ref="AM146">IF(OR(AN146:AZ146=""),"BLANK",IF(AND(AN146:AZ146&lt;9999999),1,IF(AND(AN146:AZ146="NA"),3,2)))</f>
        <v>1</v>
      </c>
      <c r="AN146" s="5">
        <v>9</v>
      </c>
      <c r="AO146" s="5">
        <v>2</v>
      </c>
      <c r="AP146" s="10">
        <v>3</v>
      </c>
      <c r="AQ146" s="10">
        <v>5.25</v>
      </c>
      <c r="AR146" s="10">
        <v>8</v>
      </c>
      <c r="AS146" s="11">
        <v>501</v>
      </c>
      <c r="AT146" s="11">
        <v>4803</v>
      </c>
      <c r="AU146" s="11">
        <v>2348</v>
      </c>
      <c r="AV146" s="11">
        <v>25982.75</v>
      </c>
      <c r="AW146" s="11">
        <v>2978</v>
      </c>
      <c r="AX146" s="11">
        <v>0</v>
      </c>
      <c r="AY146" s="11">
        <v>1633.1111111110999</v>
      </c>
      <c r="AZ146" s="11">
        <v>2294.2583333333</v>
      </c>
      <c r="BA146" s="23">
        <v>3</v>
      </c>
      <c r="BB146" s="24" t="s">
        <v>8</v>
      </c>
    </row>
    <row r="147" spans="1:54" x14ac:dyDescent="0.2">
      <c r="A147" s="5">
        <v>881</v>
      </c>
      <c r="B147" s="20" t="s">
        <v>64</v>
      </c>
      <c r="C147" s="18" t="s">
        <v>54</v>
      </c>
      <c r="D147" s="18">
        <v>5</v>
      </c>
      <c r="E147" s="18">
        <v>0</v>
      </c>
      <c r="F147" s="20">
        <v>4</v>
      </c>
      <c r="G147" s="18">
        <v>29</v>
      </c>
      <c r="H147" s="22">
        <v>4.1834360027378512</v>
      </c>
      <c r="I147" s="22" t="s">
        <v>8</v>
      </c>
      <c r="J147" s="22" t="s">
        <v>8</v>
      </c>
      <c r="K147" s="22">
        <v>4.1834360027378512</v>
      </c>
      <c r="L147" s="22" t="s">
        <v>8</v>
      </c>
      <c r="M147" s="22" t="s">
        <v>8</v>
      </c>
      <c r="N147" s="22">
        <v>4.1451060917180014</v>
      </c>
      <c r="O147" s="22" t="s">
        <v>8</v>
      </c>
      <c r="P147" s="22" t="s">
        <v>8</v>
      </c>
      <c r="Q147" s="22" t="s">
        <v>8</v>
      </c>
      <c r="R147" s="22" t="s">
        <v>8</v>
      </c>
      <c r="S147" s="22" t="s">
        <v>8</v>
      </c>
      <c r="T147" s="5">
        <v>6</v>
      </c>
      <c r="U147" s="5">
        <v>18</v>
      </c>
      <c r="V147" s="20" t="s">
        <v>1</v>
      </c>
      <c r="W147" s="20">
        <v>5</v>
      </c>
      <c r="X147" s="20">
        <v>1</v>
      </c>
      <c r="Y147" s="5">
        <v>1</v>
      </c>
      <c r="Z147" s="20">
        <v>4</v>
      </c>
      <c r="AA147" s="23">
        <f t="shared" si="4"/>
        <v>2</v>
      </c>
      <c r="AB147" s="15">
        <v>1</v>
      </c>
      <c r="AC147" s="15">
        <v>0.875</v>
      </c>
      <c r="AD147" s="15">
        <v>0.875</v>
      </c>
      <c r="AE147" s="15">
        <v>0.91700000000000004</v>
      </c>
      <c r="AF147" s="20">
        <v>22</v>
      </c>
      <c r="AG147" s="20" t="s">
        <v>8</v>
      </c>
      <c r="AH147" s="24">
        <v>24</v>
      </c>
      <c r="AI147" s="23">
        <f t="shared" si="5"/>
        <v>1</v>
      </c>
      <c r="AJ147" s="17">
        <v>10</v>
      </c>
      <c r="AK147" s="17">
        <v>8</v>
      </c>
      <c r="AL147" s="14">
        <v>18</v>
      </c>
      <c r="AM147" s="23" cm="1">
        <f t="array" ref="AM147">IF(OR(AN147:AZ147=""),"BLANK",IF(AND(AN147:AZ147&lt;9999999),1,IF(AND(AN147:AZ147="NA"),3,2)))</f>
        <v>1</v>
      </c>
      <c r="AN147" s="5">
        <v>10</v>
      </c>
      <c r="AO147" s="5">
        <v>2</v>
      </c>
      <c r="AP147" s="10">
        <v>3</v>
      </c>
      <c r="AQ147" s="10">
        <v>5.75</v>
      </c>
      <c r="AR147" s="10">
        <v>5</v>
      </c>
      <c r="AS147" s="11">
        <v>1928</v>
      </c>
      <c r="AT147" s="11">
        <v>4382</v>
      </c>
      <c r="AU147" s="11">
        <v>6882.25</v>
      </c>
      <c r="AV147" s="11">
        <v>12127.75</v>
      </c>
      <c r="AW147" s="11">
        <v>0</v>
      </c>
      <c r="AX147" s="11">
        <v>0</v>
      </c>
      <c r="AY147" s="11">
        <v>500.1527777778</v>
      </c>
      <c r="AZ147" s="11">
        <v>616</v>
      </c>
      <c r="BA147" s="23">
        <v>3</v>
      </c>
      <c r="BB147" s="24" t="s">
        <v>8</v>
      </c>
    </row>
    <row r="148" spans="1:54" x14ac:dyDescent="0.2">
      <c r="A148" s="5">
        <v>883</v>
      </c>
      <c r="B148" s="20" t="s">
        <v>67</v>
      </c>
      <c r="C148" s="18" t="s">
        <v>54</v>
      </c>
      <c r="D148" s="18">
        <v>5</v>
      </c>
      <c r="E148" s="18">
        <v>0</v>
      </c>
      <c r="F148" s="20">
        <v>3.5449999999999999</v>
      </c>
      <c r="G148" s="18">
        <v>30</v>
      </c>
      <c r="H148" s="22">
        <v>4.4052019164955514</v>
      </c>
      <c r="I148" s="22" t="s">
        <v>8</v>
      </c>
      <c r="J148" s="22" t="s">
        <v>8</v>
      </c>
      <c r="K148" s="22">
        <v>4.4024640657084193</v>
      </c>
      <c r="L148" s="22" t="s">
        <v>8</v>
      </c>
      <c r="M148" s="22" t="s">
        <v>8</v>
      </c>
      <c r="N148" s="22">
        <v>4.213552361396304</v>
      </c>
      <c r="O148" s="22" t="s">
        <v>8</v>
      </c>
      <c r="P148" s="22" t="s">
        <v>8</v>
      </c>
      <c r="Q148" s="22" t="s">
        <v>8</v>
      </c>
      <c r="R148" s="22" t="s">
        <v>8</v>
      </c>
      <c r="S148" s="22" t="s">
        <v>8</v>
      </c>
      <c r="T148" s="5">
        <v>3</v>
      </c>
      <c r="U148" s="5">
        <v>14</v>
      </c>
      <c r="V148" s="20" t="s">
        <v>1</v>
      </c>
      <c r="W148" s="20">
        <v>5</v>
      </c>
      <c r="X148" s="20">
        <v>1</v>
      </c>
      <c r="Y148" s="5">
        <v>1</v>
      </c>
      <c r="Z148" s="20">
        <v>4</v>
      </c>
      <c r="AA148" s="23">
        <f t="shared" si="4"/>
        <v>2</v>
      </c>
      <c r="AB148" s="15">
        <v>1</v>
      </c>
      <c r="AC148" s="15">
        <v>0.75</v>
      </c>
      <c r="AD148" s="15">
        <v>0.75</v>
      </c>
      <c r="AE148" s="15">
        <v>0.83299999999999996</v>
      </c>
      <c r="AF148" s="20">
        <v>20</v>
      </c>
      <c r="AG148" s="20" t="s">
        <v>8</v>
      </c>
      <c r="AH148" s="24">
        <v>24</v>
      </c>
      <c r="AI148" s="23">
        <f t="shared" si="5"/>
        <v>1</v>
      </c>
      <c r="AJ148" s="17">
        <v>8</v>
      </c>
      <c r="AK148" s="17">
        <v>7.75</v>
      </c>
      <c r="AL148" s="14">
        <v>15.75</v>
      </c>
      <c r="AM148" s="23" cm="1">
        <f t="array" ref="AM148">IF(OR(AN148:AZ148=""),"BLANK",IF(AND(AN148:AZ148&lt;9999999),1,IF(AND(AN148:AZ148="NA"),3,2)))</f>
        <v>1</v>
      </c>
      <c r="AN148" s="5">
        <v>6</v>
      </c>
      <c r="AO148" s="5">
        <v>2</v>
      </c>
      <c r="AP148" s="10">
        <v>3</v>
      </c>
      <c r="AQ148" s="10">
        <v>5.75</v>
      </c>
      <c r="AR148" s="10">
        <v>8.75</v>
      </c>
      <c r="AS148" s="11">
        <v>611.5</v>
      </c>
      <c r="AT148" s="11">
        <v>3050</v>
      </c>
      <c r="AU148" s="11">
        <v>3376.5</v>
      </c>
      <c r="AV148" s="11">
        <v>990</v>
      </c>
      <c r="AW148" s="11">
        <v>306.25</v>
      </c>
      <c r="AX148" s="11">
        <v>22.166666666699999</v>
      </c>
      <c r="AY148" s="11">
        <v>4443.4069444444003</v>
      </c>
      <c r="AZ148" s="11">
        <v>379.12916666669997</v>
      </c>
      <c r="BA148" s="23">
        <v>3</v>
      </c>
      <c r="BB148" s="24" t="s">
        <v>8</v>
      </c>
    </row>
    <row r="149" spans="1:54" x14ac:dyDescent="0.2">
      <c r="A149" s="5">
        <v>884</v>
      </c>
      <c r="B149" s="20" t="s">
        <v>72</v>
      </c>
      <c r="C149" s="18" t="s">
        <v>54</v>
      </c>
      <c r="D149" s="18">
        <v>5</v>
      </c>
      <c r="E149" s="18">
        <v>0</v>
      </c>
      <c r="F149" s="20">
        <v>4</v>
      </c>
      <c r="G149" s="18">
        <v>30</v>
      </c>
      <c r="H149" s="22">
        <v>4.046543463381246</v>
      </c>
      <c r="I149" s="22">
        <v>5.722108145106092</v>
      </c>
      <c r="J149" s="22">
        <v>9.7686516084873372</v>
      </c>
      <c r="K149" s="22">
        <v>4.0657084188911705</v>
      </c>
      <c r="L149" s="22">
        <v>5.7029431895961666</v>
      </c>
      <c r="M149" s="22">
        <v>9.7686516084873372</v>
      </c>
      <c r="N149" s="22">
        <v>4.0246406570841886</v>
      </c>
      <c r="O149" s="22">
        <v>5.7029431895961666</v>
      </c>
      <c r="P149" s="22">
        <v>9.7275838466803553</v>
      </c>
      <c r="Q149" s="22" t="s">
        <v>8</v>
      </c>
      <c r="R149" s="22" t="s">
        <v>8</v>
      </c>
      <c r="S149" s="22" t="s">
        <v>8</v>
      </c>
      <c r="T149" s="5">
        <v>4</v>
      </c>
      <c r="U149" s="5">
        <v>16</v>
      </c>
      <c r="V149" s="20" t="s">
        <v>1</v>
      </c>
      <c r="W149" s="20">
        <v>5</v>
      </c>
      <c r="X149" s="20">
        <v>1</v>
      </c>
      <c r="Y149" s="5">
        <v>1</v>
      </c>
      <c r="Z149" s="20">
        <v>4</v>
      </c>
      <c r="AA149" s="23">
        <f t="shared" si="4"/>
        <v>2</v>
      </c>
      <c r="AB149" s="15">
        <v>0.875</v>
      </c>
      <c r="AC149" s="15">
        <v>1</v>
      </c>
      <c r="AD149" s="15">
        <v>0.75</v>
      </c>
      <c r="AE149" s="15">
        <v>0.875</v>
      </c>
      <c r="AF149" s="20">
        <v>21</v>
      </c>
      <c r="AG149" s="20" t="s">
        <v>8</v>
      </c>
      <c r="AH149" s="24">
        <v>24</v>
      </c>
      <c r="AI149" s="23">
        <f t="shared" si="5"/>
        <v>1</v>
      </c>
      <c r="AJ149" s="17">
        <v>13.75</v>
      </c>
      <c r="AK149" s="17">
        <v>12.75</v>
      </c>
      <c r="AL149" s="14">
        <v>26.5</v>
      </c>
      <c r="AM149" s="23" cm="1">
        <f t="array" ref="AM149">IF(OR(AN149:AZ149=""),"BLANK",IF(AND(AN149:AZ149&lt;9999999),1,IF(AND(AN149:AZ149="NA"),3,2)))</f>
        <v>1</v>
      </c>
      <c r="AN149" s="5">
        <v>12</v>
      </c>
      <c r="AO149" s="5">
        <v>2</v>
      </c>
      <c r="AP149" s="10">
        <v>3</v>
      </c>
      <c r="AQ149" s="10">
        <v>4</v>
      </c>
      <c r="AR149" s="10">
        <v>5</v>
      </c>
      <c r="AS149" s="11">
        <v>0</v>
      </c>
      <c r="AT149" s="11">
        <v>3092</v>
      </c>
      <c r="AU149" s="11">
        <v>13775</v>
      </c>
      <c r="AV149" s="11">
        <v>22250</v>
      </c>
      <c r="AW149" s="11">
        <v>0</v>
      </c>
      <c r="AX149" s="11">
        <v>3991.5</v>
      </c>
      <c r="AY149" s="11">
        <v>0</v>
      </c>
      <c r="AZ149" s="11">
        <v>0</v>
      </c>
      <c r="BA149" s="23">
        <v>3</v>
      </c>
      <c r="BB149" s="24" t="s">
        <v>8</v>
      </c>
    </row>
    <row r="150" spans="1:54" x14ac:dyDescent="0.2">
      <c r="A150" s="5">
        <v>886</v>
      </c>
      <c r="B150" s="20" t="s">
        <v>77</v>
      </c>
      <c r="C150" s="18" t="s">
        <v>54</v>
      </c>
      <c r="D150" s="18">
        <v>5</v>
      </c>
      <c r="E150" s="18">
        <v>0</v>
      </c>
      <c r="F150" s="20">
        <v>3.8180000000000001</v>
      </c>
      <c r="G150" s="18">
        <v>28</v>
      </c>
      <c r="H150" s="22">
        <v>3.978097193702943</v>
      </c>
      <c r="I150" s="22">
        <v>5.763175906913073</v>
      </c>
      <c r="J150" s="22">
        <v>9.7412731006160165</v>
      </c>
      <c r="K150" s="22">
        <v>3.978097193702943</v>
      </c>
      <c r="L150" s="22">
        <v>5.763175906913073</v>
      </c>
      <c r="M150" s="22">
        <v>9.7412731006160165</v>
      </c>
      <c r="N150" s="22" t="s">
        <v>8</v>
      </c>
      <c r="O150" s="22" t="s">
        <v>8</v>
      </c>
      <c r="P150" s="22" t="s">
        <v>8</v>
      </c>
      <c r="Q150" s="22" t="s">
        <v>8</v>
      </c>
      <c r="R150" s="22" t="s">
        <v>8</v>
      </c>
      <c r="S150" s="22" t="s">
        <v>8</v>
      </c>
      <c r="T150" s="5">
        <v>4</v>
      </c>
      <c r="U150" s="5">
        <v>16</v>
      </c>
      <c r="V150" s="20" t="s">
        <v>1</v>
      </c>
      <c r="W150" s="20">
        <v>5</v>
      </c>
      <c r="X150" s="20">
        <v>1</v>
      </c>
      <c r="Y150" s="5">
        <v>1</v>
      </c>
      <c r="Z150" s="20">
        <v>4</v>
      </c>
      <c r="AA150" s="23">
        <f t="shared" si="4"/>
        <v>2</v>
      </c>
      <c r="AB150" s="15">
        <v>1</v>
      </c>
      <c r="AC150" s="15">
        <v>1</v>
      </c>
      <c r="AD150" s="15">
        <v>0.625</v>
      </c>
      <c r="AE150" s="15">
        <v>0.875</v>
      </c>
      <c r="AF150" s="20">
        <v>21</v>
      </c>
      <c r="AG150" s="20" t="s">
        <v>8</v>
      </c>
      <c r="AH150" s="24">
        <v>24</v>
      </c>
      <c r="AI150" s="23">
        <f t="shared" si="5"/>
        <v>1</v>
      </c>
      <c r="AJ150" s="17">
        <v>9</v>
      </c>
      <c r="AK150" s="17">
        <v>4.75</v>
      </c>
      <c r="AL150" s="14">
        <v>13.75</v>
      </c>
      <c r="AM150" s="23" cm="1">
        <f t="array" ref="AM150">IF(OR(AN150:AZ150=""),"BLANK",IF(AND(AN150:AZ150&lt;9999999),1,IF(AND(AN150:AZ150="NA"),3,2)))</f>
        <v>1</v>
      </c>
      <c r="AN150" s="5">
        <v>5</v>
      </c>
      <c r="AO150" s="5">
        <v>2</v>
      </c>
      <c r="AP150" s="10">
        <v>3.5</v>
      </c>
      <c r="AQ150" s="10">
        <v>6</v>
      </c>
      <c r="AR150" s="10">
        <v>7.75</v>
      </c>
      <c r="AS150" s="11">
        <v>2723.5</v>
      </c>
      <c r="AT150" s="11">
        <v>9342.5</v>
      </c>
      <c r="AU150" s="11">
        <v>7799</v>
      </c>
      <c r="AV150" s="11">
        <v>5184.5</v>
      </c>
      <c r="AW150" s="11">
        <v>0</v>
      </c>
      <c r="AX150" s="11">
        <v>1606.5416666666999</v>
      </c>
      <c r="AY150" s="11">
        <v>21889.0513888889</v>
      </c>
      <c r="AZ150" s="11">
        <v>5115.2666666667001</v>
      </c>
      <c r="BA150" s="23">
        <v>3</v>
      </c>
      <c r="BB150" s="24" t="s">
        <v>8</v>
      </c>
    </row>
    <row r="151" spans="1:54" x14ac:dyDescent="0.2">
      <c r="A151" s="5">
        <v>889</v>
      </c>
      <c r="B151" s="20" t="s">
        <v>65</v>
      </c>
      <c r="C151" s="18" t="s">
        <v>54</v>
      </c>
      <c r="D151" s="18">
        <v>5</v>
      </c>
      <c r="E151" s="18">
        <v>0</v>
      </c>
      <c r="F151" s="20">
        <v>3.8180000000000001</v>
      </c>
      <c r="G151" s="18">
        <v>30</v>
      </c>
      <c r="H151" s="22">
        <v>4.0657084188911705</v>
      </c>
      <c r="I151" s="22">
        <v>5.1937029431895958</v>
      </c>
      <c r="J151" s="22">
        <v>9.2594113620807672</v>
      </c>
      <c r="K151" s="22">
        <v>4.0657084188911705</v>
      </c>
      <c r="L151" s="22">
        <v>5.1937029431895958</v>
      </c>
      <c r="M151" s="22">
        <v>9.2594113620807672</v>
      </c>
      <c r="N151" s="22">
        <v>4.0547570157426422</v>
      </c>
      <c r="O151" s="22">
        <v>4.8733744010951403</v>
      </c>
      <c r="P151" s="22">
        <v>8.9281314168377826</v>
      </c>
      <c r="Q151" s="22" t="s">
        <v>8</v>
      </c>
      <c r="R151" s="22" t="s">
        <v>8</v>
      </c>
      <c r="S151" s="22" t="s">
        <v>8</v>
      </c>
      <c r="T151" s="5">
        <v>4</v>
      </c>
      <c r="U151" s="5">
        <v>16</v>
      </c>
      <c r="V151" s="20" t="s">
        <v>1</v>
      </c>
      <c r="W151" s="20">
        <v>5</v>
      </c>
      <c r="X151" s="20">
        <v>1</v>
      </c>
      <c r="Y151" s="5">
        <v>1</v>
      </c>
      <c r="Z151" s="20">
        <v>4</v>
      </c>
      <c r="AA151" s="23">
        <f t="shared" si="4"/>
        <v>2</v>
      </c>
      <c r="AB151" s="15">
        <v>1</v>
      </c>
      <c r="AC151" s="15">
        <v>0.875</v>
      </c>
      <c r="AD151" s="15">
        <v>0.625</v>
      </c>
      <c r="AE151" s="15">
        <v>0.83299999999999996</v>
      </c>
      <c r="AF151" s="20">
        <v>20</v>
      </c>
      <c r="AG151" s="20" t="s">
        <v>8</v>
      </c>
      <c r="AH151" s="24">
        <v>24</v>
      </c>
      <c r="AI151" s="23">
        <f t="shared" si="5"/>
        <v>1</v>
      </c>
      <c r="AJ151" s="17">
        <v>14</v>
      </c>
      <c r="AK151" s="17">
        <v>9.75</v>
      </c>
      <c r="AL151" s="14">
        <v>23.75</v>
      </c>
      <c r="AM151" s="23" cm="1">
        <f t="array" ref="AM151">IF(OR(AN151:AZ151=""),"BLANK",IF(AND(AN151:AZ151&lt;9999999),1,IF(AND(AN151:AZ151="NA"),3,2)))</f>
        <v>1</v>
      </c>
      <c r="AN151" s="5">
        <v>8</v>
      </c>
      <c r="AO151" s="5">
        <v>2</v>
      </c>
      <c r="AP151" s="10">
        <v>3.5</v>
      </c>
      <c r="AQ151" s="10">
        <v>5.25</v>
      </c>
      <c r="AR151" s="10">
        <v>6.25</v>
      </c>
      <c r="AS151" s="11">
        <v>717</v>
      </c>
      <c r="AT151" s="11">
        <v>4869</v>
      </c>
      <c r="AU151" s="11">
        <v>4663</v>
      </c>
      <c r="AV151" s="11">
        <v>3994</v>
      </c>
      <c r="AW151" s="11">
        <v>0</v>
      </c>
      <c r="AX151" s="11">
        <v>718.29166666670005</v>
      </c>
      <c r="AY151" s="11">
        <v>700.13888888890006</v>
      </c>
      <c r="AZ151" s="11">
        <v>414.16111111110001</v>
      </c>
      <c r="BA151" s="23">
        <v>3</v>
      </c>
      <c r="BB151" s="24" t="s">
        <v>8</v>
      </c>
    </row>
    <row r="152" spans="1:54" x14ac:dyDescent="0.2">
      <c r="A152" s="5">
        <v>890</v>
      </c>
      <c r="B152" s="20" t="s">
        <v>63</v>
      </c>
      <c r="C152" s="18" t="s">
        <v>55</v>
      </c>
      <c r="D152" s="18">
        <v>5</v>
      </c>
      <c r="E152" s="18">
        <v>0</v>
      </c>
      <c r="F152" s="20">
        <v>3.9089999999999998</v>
      </c>
      <c r="G152" s="18">
        <v>26</v>
      </c>
      <c r="H152" s="22">
        <v>3.9945242984257359</v>
      </c>
      <c r="I152" s="22" t="s">
        <v>8</v>
      </c>
      <c r="J152" s="22" t="s">
        <v>8</v>
      </c>
      <c r="K152" s="22">
        <v>4.0136892539356603</v>
      </c>
      <c r="L152" s="22" t="s">
        <v>8</v>
      </c>
      <c r="M152" s="22" t="s">
        <v>8</v>
      </c>
      <c r="N152" s="22">
        <v>4.0109514031485283</v>
      </c>
      <c r="O152" s="22" t="s">
        <v>8</v>
      </c>
      <c r="P152" s="22" t="s">
        <v>8</v>
      </c>
      <c r="Q152" s="22" t="s">
        <v>8</v>
      </c>
      <c r="R152" s="22" t="s">
        <v>8</v>
      </c>
      <c r="S152" s="22" t="s">
        <v>8</v>
      </c>
      <c r="T152" s="5">
        <v>3</v>
      </c>
      <c r="U152" s="5">
        <v>15</v>
      </c>
      <c r="V152" s="20" t="s">
        <v>1</v>
      </c>
      <c r="W152" s="20">
        <v>5</v>
      </c>
      <c r="X152" s="20">
        <v>1</v>
      </c>
      <c r="Y152" s="5">
        <v>1</v>
      </c>
      <c r="Z152" s="20">
        <v>4</v>
      </c>
      <c r="AA152" s="23">
        <f t="shared" si="4"/>
        <v>2</v>
      </c>
      <c r="AB152" s="15">
        <v>0.875</v>
      </c>
      <c r="AC152" s="15">
        <v>0.8571428571428571</v>
      </c>
      <c r="AD152" s="15">
        <v>0.625</v>
      </c>
      <c r="AE152" s="15">
        <v>0.78300000000000003</v>
      </c>
      <c r="AF152" s="20">
        <v>18</v>
      </c>
      <c r="AG152" s="20" t="s">
        <v>8</v>
      </c>
      <c r="AH152" s="24">
        <v>23</v>
      </c>
      <c r="AI152" s="23">
        <f t="shared" si="5"/>
        <v>1</v>
      </c>
      <c r="AJ152" s="17">
        <v>4</v>
      </c>
      <c r="AK152" s="17">
        <v>9.5</v>
      </c>
      <c r="AL152" s="14">
        <v>13.5</v>
      </c>
      <c r="AM152" s="23" cm="1">
        <f t="array" ref="AM152">IF(OR(AN152:AZ152=""),"BLANK",IF(AND(AN152:AZ152&lt;9999999),1,IF(AND(AN152:AZ152="NA"),3,2)))</f>
        <v>1</v>
      </c>
      <c r="AN152" s="5">
        <v>7</v>
      </c>
      <c r="AO152" s="5">
        <v>2</v>
      </c>
      <c r="AP152" s="10">
        <v>3</v>
      </c>
      <c r="AQ152" s="10">
        <v>6.25</v>
      </c>
      <c r="AR152" s="10">
        <v>7.25</v>
      </c>
      <c r="AS152" s="11">
        <v>974.5</v>
      </c>
      <c r="AT152" s="11">
        <v>1162.5</v>
      </c>
      <c r="AU152" s="11">
        <v>1171.75</v>
      </c>
      <c r="AV152" s="11">
        <v>1994.5</v>
      </c>
      <c r="AW152" s="11">
        <v>129.25</v>
      </c>
      <c r="AX152" s="11">
        <v>0</v>
      </c>
      <c r="AY152" s="11">
        <v>1947.3194444444</v>
      </c>
      <c r="AZ152" s="11">
        <v>9062.35</v>
      </c>
      <c r="BA152" s="23">
        <v>3</v>
      </c>
      <c r="BB152" s="24" t="s">
        <v>8</v>
      </c>
    </row>
    <row r="153" spans="1:54" x14ac:dyDescent="0.2">
      <c r="A153" s="5">
        <v>891</v>
      </c>
      <c r="B153" s="20" t="s">
        <v>72</v>
      </c>
      <c r="C153" s="18" t="s">
        <v>55</v>
      </c>
      <c r="D153" s="18">
        <v>5</v>
      </c>
      <c r="E153" s="18">
        <v>0</v>
      </c>
      <c r="F153" s="20">
        <v>3.3639999999999999</v>
      </c>
      <c r="G153" s="18">
        <v>29</v>
      </c>
      <c r="H153" s="22">
        <v>4.213552361396304</v>
      </c>
      <c r="I153" s="22">
        <v>5.678302532511978</v>
      </c>
      <c r="J153" s="22">
        <v>9.8918548939082829</v>
      </c>
      <c r="K153" s="22" t="s">
        <v>8</v>
      </c>
      <c r="L153" s="22">
        <v>5.6919917864476384</v>
      </c>
      <c r="M153" s="22" t="s">
        <v>8</v>
      </c>
      <c r="N153" s="22">
        <v>4.2327173169062284</v>
      </c>
      <c r="O153" s="22">
        <v>5.6399726214921291</v>
      </c>
      <c r="P153" s="22">
        <v>9.8726899383983575</v>
      </c>
      <c r="Q153" s="22" t="s">
        <v>8</v>
      </c>
      <c r="R153" s="22" t="s">
        <v>8</v>
      </c>
      <c r="S153" s="22" t="s">
        <v>8</v>
      </c>
      <c r="T153" s="5">
        <v>6</v>
      </c>
      <c r="U153" s="5">
        <v>18</v>
      </c>
      <c r="V153" s="20" t="s">
        <v>1</v>
      </c>
      <c r="W153" s="20">
        <v>5</v>
      </c>
      <c r="X153" s="20">
        <v>1</v>
      </c>
      <c r="Y153" s="5">
        <v>1</v>
      </c>
      <c r="Z153" s="20">
        <v>4</v>
      </c>
      <c r="AA153" s="23">
        <f t="shared" si="4"/>
        <v>2</v>
      </c>
      <c r="AB153" s="15">
        <v>1</v>
      </c>
      <c r="AC153" s="15">
        <v>1</v>
      </c>
      <c r="AD153" s="15">
        <v>1</v>
      </c>
      <c r="AE153" s="15">
        <v>1</v>
      </c>
      <c r="AF153" s="20">
        <v>24</v>
      </c>
      <c r="AG153" s="20" t="s">
        <v>8</v>
      </c>
      <c r="AH153" s="24">
        <v>24</v>
      </c>
      <c r="AI153" s="23">
        <f t="shared" si="5"/>
        <v>1</v>
      </c>
      <c r="AJ153" s="17">
        <v>10.25</v>
      </c>
      <c r="AK153" s="17">
        <v>12.5</v>
      </c>
      <c r="AL153" s="14">
        <v>22.75</v>
      </c>
      <c r="AM153" s="23" cm="1">
        <f t="array" ref="AM153">IF(OR(AN153:AZ153=""),"BLANK",IF(AND(AN153:AZ153&lt;9999999),1,IF(AND(AN153:AZ153="NA"),3,2)))</f>
        <v>1</v>
      </c>
      <c r="AN153" s="5">
        <v>10</v>
      </c>
      <c r="AO153" s="5">
        <v>2</v>
      </c>
      <c r="AP153" s="10">
        <v>3</v>
      </c>
      <c r="AQ153" s="10">
        <v>4</v>
      </c>
      <c r="AR153" s="10">
        <v>8.5</v>
      </c>
      <c r="AS153" s="11">
        <v>438.5</v>
      </c>
      <c r="AT153" s="11">
        <v>1294</v>
      </c>
      <c r="AU153" s="11">
        <v>3032.25</v>
      </c>
      <c r="AV153" s="11">
        <v>3251.25</v>
      </c>
      <c r="AW153" s="11">
        <v>0</v>
      </c>
      <c r="AX153" s="11">
        <v>0</v>
      </c>
      <c r="AY153" s="11">
        <v>0</v>
      </c>
      <c r="AZ153" s="11">
        <v>6.6541666667000001</v>
      </c>
      <c r="BA153" s="23">
        <v>3</v>
      </c>
      <c r="BB153" s="24" t="s">
        <v>8</v>
      </c>
    </row>
    <row r="154" spans="1:54" x14ac:dyDescent="0.2">
      <c r="A154" s="5">
        <v>898</v>
      </c>
      <c r="B154" s="20" t="s">
        <v>77</v>
      </c>
      <c r="C154" s="18" t="s">
        <v>54</v>
      </c>
      <c r="D154" s="18">
        <v>5</v>
      </c>
      <c r="E154" s="18">
        <v>0</v>
      </c>
      <c r="F154" s="20">
        <v>3.7269999999999999</v>
      </c>
      <c r="G154" s="18">
        <v>28</v>
      </c>
      <c r="H154" s="22">
        <v>3.9835728952772076</v>
      </c>
      <c r="I154" s="22">
        <v>5.5770020533880906</v>
      </c>
      <c r="J154" s="22">
        <v>9.5605749486652982</v>
      </c>
      <c r="K154" s="22">
        <v>3.9835728952772076</v>
      </c>
      <c r="L154" s="22">
        <v>5.6618754277891856</v>
      </c>
      <c r="M154" s="22">
        <v>9.6454483230663932</v>
      </c>
      <c r="N154" s="22">
        <v>4.0410677618069819</v>
      </c>
      <c r="O154" s="22">
        <v>5.292265571526352</v>
      </c>
      <c r="P154" s="22">
        <v>9.3333333333333339</v>
      </c>
      <c r="Q154" s="22">
        <v>3.3374401095140316</v>
      </c>
      <c r="R154" s="22" t="s">
        <v>8</v>
      </c>
      <c r="S154" s="22" t="s">
        <v>8</v>
      </c>
      <c r="T154" s="5">
        <v>4</v>
      </c>
      <c r="U154" s="5">
        <v>16</v>
      </c>
      <c r="V154" s="20" t="s">
        <v>1</v>
      </c>
      <c r="W154" s="20">
        <v>5</v>
      </c>
      <c r="X154" s="20">
        <v>1</v>
      </c>
      <c r="Y154" s="5">
        <v>1</v>
      </c>
      <c r="Z154" s="20">
        <v>4</v>
      </c>
      <c r="AA154" s="23">
        <f t="shared" si="4"/>
        <v>2</v>
      </c>
      <c r="AB154" s="15">
        <v>1</v>
      </c>
      <c r="AC154" s="15">
        <v>1</v>
      </c>
      <c r="AD154" s="15">
        <v>1</v>
      </c>
      <c r="AE154" s="15">
        <v>1</v>
      </c>
      <c r="AF154" s="20">
        <v>24</v>
      </c>
      <c r="AG154" s="20" t="s">
        <v>8</v>
      </c>
      <c r="AH154" s="24">
        <v>24</v>
      </c>
      <c r="AI154" s="23">
        <f t="shared" si="5"/>
        <v>1</v>
      </c>
      <c r="AJ154" s="17">
        <v>9.75</v>
      </c>
      <c r="AK154" s="17">
        <v>8.5</v>
      </c>
      <c r="AL154" s="14">
        <v>18.25</v>
      </c>
      <c r="AM154" s="23" cm="1">
        <f t="array" ref="AM154">IF(OR(AN154:AZ154=""),"BLANK",IF(AND(AN154:AZ154&lt;9999999),1,IF(AND(AN154:AZ154="NA"),3,2)))</f>
        <v>1</v>
      </c>
      <c r="AN154" s="5">
        <v>11</v>
      </c>
      <c r="AO154" s="5">
        <v>2</v>
      </c>
      <c r="AP154" s="10">
        <v>3</v>
      </c>
      <c r="AQ154" s="10">
        <v>5.25</v>
      </c>
      <c r="AR154" s="10">
        <v>5</v>
      </c>
      <c r="AS154" s="11">
        <v>2916</v>
      </c>
      <c r="AT154" s="11">
        <v>5424</v>
      </c>
      <c r="AU154" s="11">
        <v>13527</v>
      </c>
      <c r="AV154" s="11">
        <v>22447.75</v>
      </c>
      <c r="AW154" s="11">
        <v>279.25</v>
      </c>
      <c r="AX154" s="11">
        <v>14</v>
      </c>
      <c r="AY154" s="11">
        <v>1649.9861111110999</v>
      </c>
      <c r="AZ154" s="11">
        <v>16.100000000000001</v>
      </c>
      <c r="BA154" s="23">
        <v>3</v>
      </c>
      <c r="BB154" s="24" t="s">
        <v>8</v>
      </c>
    </row>
    <row r="155" spans="1:54" x14ac:dyDescent="0.2">
      <c r="A155" s="5">
        <v>927</v>
      </c>
      <c r="B155" s="20" t="s">
        <v>65</v>
      </c>
      <c r="C155" s="18" t="s">
        <v>54</v>
      </c>
      <c r="D155" s="18">
        <v>5</v>
      </c>
      <c r="E155" s="18">
        <v>0</v>
      </c>
      <c r="F155" s="20">
        <v>4</v>
      </c>
      <c r="G155" s="18">
        <v>27</v>
      </c>
      <c r="H155" s="22">
        <v>4.1232032854209448</v>
      </c>
      <c r="I155" s="22">
        <v>5.3661875427789187</v>
      </c>
      <c r="J155" s="22">
        <v>9.4893908281998627</v>
      </c>
      <c r="K155" s="22">
        <v>4.1232032854209448</v>
      </c>
      <c r="L155" s="22">
        <v>5.3661875427789187</v>
      </c>
      <c r="M155" s="22">
        <v>9.4893908281998627</v>
      </c>
      <c r="N155" s="22">
        <v>4.1204654346338128</v>
      </c>
      <c r="O155" s="22">
        <v>4.9774127310061598</v>
      </c>
      <c r="P155" s="22">
        <v>9.0978781656399725</v>
      </c>
      <c r="Q155" s="22" t="s">
        <v>8</v>
      </c>
      <c r="R155" s="22" t="s">
        <v>8</v>
      </c>
      <c r="S155" s="22" t="s">
        <v>8</v>
      </c>
      <c r="T155" s="5">
        <v>4</v>
      </c>
      <c r="U155" s="5">
        <v>16</v>
      </c>
      <c r="V155" s="20" t="s">
        <v>1</v>
      </c>
      <c r="W155" s="20">
        <v>5</v>
      </c>
      <c r="X155" s="20">
        <v>1</v>
      </c>
      <c r="Y155" s="5">
        <v>1</v>
      </c>
      <c r="Z155" s="20">
        <v>4</v>
      </c>
      <c r="AA155" s="23">
        <f t="shared" si="4"/>
        <v>2</v>
      </c>
      <c r="AB155" s="15">
        <v>1</v>
      </c>
      <c r="AC155" s="15">
        <v>1</v>
      </c>
      <c r="AD155" s="15">
        <v>1</v>
      </c>
      <c r="AE155" s="15">
        <v>1</v>
      </c>
      <c r="AF155" s="20">
        <v>24</v>
      </c>
      <c r="AG155" s="20" t="s">
        <v>8</v>
      </c>
      <c r="AH155" s="24">
        <v>24</v>
      </c>
      <c r="AI155" s="23">
        <f t="shared" si="5"/>
        <v>1</v>
      </c>
      <c r="AJ155" s="17">
        <v>11</v>
      </c>
      <c r="AK155" s="17">
        <v>11</v>
      </c>
      <c r="AL155" s="14">
        <v>22</v>
      </c>
      <c r="AM155" s="23" cm="1">
        <f t="array" ref="AM155">IF(OR(AN155:AZ155=""),"BLANK",IF(AND(AN155:AZ155&lt;9999999),1,IF(AND(AN155:AZ155="NA"),3,2)))</f>
        <v>1</v>
      </c>
      <c r="AN155" s="5">
        <v>12</v>
      </c>
      <c r="AO155" s="5">
        <v>2</v>
      </c>
      <c r="AP155" s="10">
        <v>3</v>
      </c>
      <c r="AQ155" s="10">
        <v>4</v>
      </c>
      <c r="AR155" s="10">
        <v>5</v>
      </c>
      <c r="AS155" s="11">
        <v>2007</v>
      </c>
      <c r="AT155" s="11">
        <v>2689.5</v>
      </c>
      <c r="AU155" s="11">
        <v>4721.5</v>
      </c>
      <c r="AV155" s="11">
        <v>6857.5</v>
      </c>
      <c r="AW155" s="11">
        <v>0</v>
      </c>
      <c r="AX155" s="11">
        <v>0</v>
      </c>
      <c r="AY155" s="11">
        <v>0</v>
      </c>
      <c r="AZ155" s="11">
        <v>0</v>
      </c>
      <c r="BA155" s="23">
        <v>3</v>
      </c>
      <c r="BB155" s="24" t="s">
        <v>8</v>
      </c>
    </row>
    <row r="156" spans="1:54" x14ac:dyDescent="0.2">
      <c r="A156" s="5">
        <v>929</v>
      </c>
      <c r="B156" s="20" t="s">
        <v>84</v>
      </c>
      <c r="C156" s="18" t="s">
        <v>54</v>
      </c>
      <c r="D156" s="18">
        <v>5</v>
      </c>
      <c r="E156" s="18">
        <v>0</v>
      </c>
      <c r="F156" s="20">
        <v>3.4550000000000001</v>
      </c>
      <c r="G156" s="18">
        <v>26</v>
      </c>
      <c r="H156" s="22">
        <v>4.0520191649555102</v>
      </c>
      <c r="I156" s="22" t="s">
        <v>8</v>
      </c>
      <c r="J156" s="22" t="s">
        <v>8</v>
      </c>
      <c r="K156" s="22">
        <v>4.0520191649555102</v>
      </c>
      <c r="L156" s="22" t="s">
        <v>8</v>
      </c>
      <c r="M156" s="22" t="s">
        <v>8</v>
      </c>
      <c r="N156" s="22">
        <v>4.0602327173169064</v>
      </c>
      <c r="O156" s="22" t="s">
        <v>8</v>
      </c>
      <c r="P156" s="22" t="s">
        <v>8</v>
      </c>
      <c r="Q156" s="22" t="s">
        <v>8</v>
      </c>
      <c r="R156" s="22" t="s">
        <v>8</v>
      </c>
      <c r="S156" s="22" t="s">
        <v>8</v>
      </c>
      <c r="T156" s="5">
        <v>3</v>
      </c>
      <c r="U156" s="5">
        <v>13</v>
      </c>
      <c r="V156" s="20" t="s">
        <v>1</v>
      </c>
      <c r="W156" s="20">
        <v>5</v>
      </c>
      <c r="X156" s="20">
        <v>1</v>
      </c>
      <c r="Y156" s="5">
        <v>1</v>
      </c>
      <c r="Z156" s="20">
        <v>4</v>
      </c>
      <c r="AA156" s="23">
        <f t="shared" si="4"/>
        <v>2</v>
      </c>
      <c r="AB156" s="15">
        <v>1</v>
      </c>
      <c r="AC156" s="15">
        <v>0.875</v>
      </c>
      <c r="AD156" s="15">
        <v>0.75</v>
      </c>
      <c r="AE156" s="15">
        <v>0.875</v>
      </c>
      <c r="AF156" s="20">
        <v>21</v>
      </c>
      <c r="AG156" s="20" t="s">
        <v>8</v>
      </c>
      <c r="AH156" s="24">
        <v>24</v>
      </c>
      <c r="AI156" s="23">
        <f t="shared" si="5"/>
        <v>1</v>
      </c>
      <c r="AJ156" s="17">
        <v>11</v>
      </c>
      <c r="AK156" s="17">
        <v>2.75</v>
      </c>
      <c r="AL156" s="14">
        <v>13.75</v>
      </c>
      <c r="AM156" s="23" cm="1">
        <f t="array" ref="AM156">IF(OR(AN156:AZ156=""),"BLANK",IF(AND(AN156:AZ156&lt;9999999),1,IF(AND(AN156:AZ156="NA"),3,2)))</f>
        <v>1</v>
      </c>
      <c r="AN156" s="5">
        <v>9</v>
      </c>
      <c r="AO156" s="5">
        <v>2</v>
      </c>
      <c r="AP156" s="10">
        <v>3</v>
      </c>
      <c r="AQ156" s="10">
        <v>5.5</v>
      </c>
      <c r="AR156" s="10">
        <v>6.5</v>
      </c>
      <c r="AS156" s="11">
        <v>0</v>
      </c>
      <c r="AT156" s="11">
        <v>586</v>
      </c>
      <c r="AU156" s="11">
        <v>1335.25</v>
      </c>
      <c r="AV156" s="11">
        <v>6916.5</v>
      </c>
      <c r="AW156" s="11">
        <v>0</v>
      </c>
      <c r="AX156" s="11">
        <v>0</v>
      </c>
      <c r="AY156" s="11">
        <v>56.395833333299997</v>
      </c>
      <c r="AZ156" s="11">
        <v>1584.8318181817999</v>
      </c>
      <c r="BA156" s="23">
        <v>3</v>
      </c>
      <c r="BB156" s="24" t="s">
        <v>8</v>
      </c>
    </row>
    <row r="157" spans="1:54" x14ac:dyDescent="0.2">
      <c r="A157" s="5">
        <v>934</v>
      </c>
      <c r="B157" s="20" t="s">
        <v>62</v>
      </c>
      <c r="C157" s="18" t="s">
        <v>54</v>
      </c>
      <c r="D157" s="18">
        <v>5</v>
      </c>
      <c r="E157" s="18">
        <v>0</v>
      </c>
      <c r="F157" s="20">
        <v>4</v>
      </c>
      <c r="G157" s="18">
        <v>28</v>
      </c>
      <c r="H157" s="22">
        <v>4.0273785078713207</v>
      </c>
      <c r="I157" s="22">
        <v>5.5195071868583163</v>
      </c>
      <c r="J157" s="22">
        <v>9.546885694729637</v>
      </c>
      <c r="K157" s="22">
        <v>4.0273785078713207</v>
      </c>
      <c r="L157" s="22">
        <v>5.5195071868583163</v>
      </c>
      <c r="M157" s="22">
        <v>9.546885694729637</v>
      </c>
      <c r="N157" s="22">
        <v>3.9726214921286789</v>
      </c>
      <c r="O157" s="22">
        <v>5.1964407939767279</v>
      </c>
      <c r="P157" s="22">
        <v>9.1690622861054081</v>
      </c>
      <c r="Q157" s="22">
        <v>3.2881587953456535</v>
      </c>
      <c r="R157" s="22">
        <v>6.4010951403148528</v>
      </c>
      <c r="S157" s="22">
        <v>9.6892539356605063</v>
      </c>
      <c r="T157" s="5">
        <v>3</v>
      </c>
      <c r="U157" s="5">
        <v>13</v>
      </c>
      <c r="V157" s="20" t="s">
        <v>1</v>
      </c>
      <c r="W157" s="20">
        <v>5</v>
      </c>
      <c r="X157" s="20">
        <v>1</v>
      </c>
      <c r="Y157" s="5">
        <v>1</v>
      </c>
      <c r="Z157" s="20">
        <v>4</v>
      </c>
      <c r="AA157" s="23">
        <f t="shared" si="4"/>
        <v>2</v>
      </c>
      <c r="AB157" s="15">
        <v>1</v>
      </c>
      <c r="AC157" s="15">
        <v>0.875</v>
      </c>
      <c r="AD157" s="15">
        <v>0.75</v>
      </c>
      <c r="AE157" s="15">
        <v>0.875</v>
      </c>
      <c r="AF157" s="20">
        <v>21</v>
      </c>
      <c r="AG157" s="20" t="s">
        <v>8</v>
      </c>
      <c r="AH157" s="24">
        <v>24</v>
      </c>
      <c r="AI157" s="23">
        <f t="shared" si="5"/>
        <v>1</v>
      </c>
      <c r="AJ157" s="17">
        <v>7.5</v>
      </c>
      <c r="AK157" s="17">
        <v>10.5</v>
      </c>
      <c r="AL157" s="14">
        <v>18</v>
      </c>
      <c r="AM157" s="23" cm="1">
        <f t="array" ref="AM157">IF(OR(AN157:AZ157=""),"BLANK",IF(AND(AN157:AZ157&lt;9999999),1,IF(AND(AN157:AZ157="NA"),3,2)))</f>
        <v>1</v>
      </c>
      <c r="AN157" s="5">
        <v>8</v>
      </c>
      <c r="AO157" s="5">
        <v>2</v>
      </c>
      <c r="AP157" s="10">
        <v>3</v>
      </c>
      <c r="AQ157" s="10">
        <v>4.25</v>
      </c>
      <c r="AR157" s="10">
        <v>7.5</v>
      </c>
      <c r="AS157" s="11">
        <v>3469</v>
      </c>
      <c r="AT157" s="11">
        <v>8326</v>
      </c>
      <c r="AU157" s="11">
        <v>10777</v>
      </c>
      <c r="AV157" s="11">
        <v>7894.5</v>
      </c>
      <c r="AW157" s="11">
        <v>252.5</v>
      </c>
      <c r="AX157" s="11">
        <v>313.1666666667</v>
      </c>
      <c r="AY157" s="11">
        <v>2847.3375000000001</v>
      </c>
      <c r="AZ157" s="11">
        <v>1536.3946428571001</v>
      </c>
      <c r="BA157" s="23">
        <v>3</v>
      </c>
      <c r="BB157" s="24" t="s">
        <v>8</v>
      </c>
    </row>
    <row r="158" spans="1:54" x14ac:dyDescent="0.2">
      <c r="A158" s="5">
        <v>935</v>
      </c>
      <c r="B158" s="20" t="s">
        <v>83</v>
      </c>
      <c r="C158" s="18" t="s">
        <v>55</v>
      </c>
      <c r="D158" s="18">
        <v>5</v>
      </c>
      <c r="E158" s="18">
        <v>0</v>
      </c>
      <c r="F158" s="20">
        <v>4</v>
      </c>
      <c r="G158" s="18">
        <v>26</v>
      </c>
      <c r="H158" s="22">
        <v>4.0136892539356603</v>
      </c>
      <c r="I158" s="22" t="s">
        <v>8</v>
      </c>
      <c r="J158" s="22" t="s">
        <v>8</v>
      </c>
      <c r="K158" s="22">
        <v>4.0109514031485283</v>
      </c>
      <c r="L158" s="22" t="s">
        <v>8</v>
      </c>
      <c r="M158" s="22" t="s">
        <v>8</v>
      </c>
      <c r="N158" s="22">
        <v>4.0027378507871321</v>
      </c>
      <c r="O158" s="22" t="s">
        <v>8</v>
      </c>
      <c r="P158" s="22" t="s">
        <v>8</v>
      </c>
      <c r="Q158" s="22">
        <v>3.2553045859000687</v>
      </c>
      <c r="R158" s="22" t="s">
        <v>8</v>
      </c>
      <c r="S158" s="22" t="s">
        <v>8</v>
      </c>
      <c r="T158" s="5">
        <v>5</v>
      </c>
      <c r="U158" s="5">
        <v>17</v>
      </c>
      <c r="V158" s="20" t="s">
        <v>1</v>
      </c>
      <c r="W158" s="20">
        <v>5</v>
      </c>
      <c r="X158" s="20">
        <v>1</v>
      </c>
      <c r="Y158" s="5">
        <v>1</v>
      </c>
      <c r="Z158" s="20">
        <v>4</v>
      </c>
      <c r="AA158" s="23">
        <f t="shared" si="4"/>
        <v>2</v>
      </c>
      <c r="AB158" s="15">
        <v>0.75</v>
      </c>
      <c r="AC158" s="15">
        <v>0.625</v>
      </c>
      <c r="AD158" s="15">
        <v>0.5</v>
      </c>
      <c r="AE158" s="15">
        <v>0.625</v>
      </c>
      <c r="AF158" s="20">
        <v>15</v>
      </c>
      <c r="AG158" s="20" t="s">
        <v>8</v>
      </c>
      <c r="AH158" s="24">
        <v>24</v>
      </c>
      <c r="AI158" s="23">
        <f t="shared" si="5"/>
        <v>1</v>
      </c>
      <c r="AJ158" s="17">
        <v>2.5</v>
      </c>
      <c r="AK158" s="17">
        <v>6.25</v>
      </c>
      <c r="AL158" s="14">
        <v>8.75</v>
      </c>
      <c r="AM158" s="23" cm="1">
        <f t="array" ref="AM158">IF(OR(AN158:AZ158=""),"BLANK",IF(AND(AN158:AZ158&lt;9999999),1,IF(AND(AN158:AZ158="NA"),3,2)))</f>
        <v>1</v>
      </c>
      <c r="AN158" s="5">
        <v>7</v>
      </c>
      <c r="AO158" s="5">
        <v>2</v>
      </c>
      <c r="AP158" s="10">
        <v>3.5</v>
      </c>
      <c r="AQ158" s="10">
        <v>5</v>
      </c>
      <c r="AR158" s="10">
        <v>5.25</v>
      </c>
      <c r="AS158" s="11">
        <v>3554</v>
      </c>
      <c r="AT158" s="11">
        <v>5301.5</v>
      </c>
      <c r="AU158" s="11">
        <v>9032.75</v>
      </c>
      <c r="AV158" s="11">
        <v>9335.25</v>
      </c>
      <c r="AW158" s="11">
        <v>0</v>
      </c>
      <c r="AX158" s="11">
        <v>0</v>
      </c>
      <c r="AY158" s="11">
        <v>599.84583333329999</v>
      </c>
      <c r="AZ158" s="11">
        <v>1001.4333333333</v>
      </c>
      <c r="BA158" s="23">
        <v>3</v>
      </c>
      <c r="BB158" s="24" t="s">
        <v>8</v>
      </c>
    </row>
    <row r="159" spans="1:54" x14ac:dyDescent="0.2">
      <c r="A159" s="5">
        <v>940</v>
      </c>
      <c r="B159" s="20" t="s">
        <v>78</v>
      </c>
      <c r="C159" s="18" t="s">
        <v>54</v>
      </c>
      <c r="D159" s="18">
        <v>5</v>
      </c>
      <c r="E159" s="18">
        <v>0</v>
      </c>
      <c r="F159" s="20">
        <v>3</v>
      </c>
      <c r="G159" s="18">
        <v>29</v>
      </c>
      <c r="H159" s="22">
        <v>4.0629705681040384</v>
      </c>
      <c r="I159" s="22">
        <v>5.3497604380561263</v>
      </c>
      <c r="J159" s="22">
        <v>9.4127310061601648</v>
      </c>
      <c r="K159" s="22">
        <v>4.0629705681040384</v>
      </c>
      <c r="L159" s="22">
        <v>5.3935660506502394</v>
      </c>
      <c r="M159" s="22">
        <v>9.4565366187542779</v>
      </c>
      <c r="N159" s="22">
        <v>4.0246406570841886</v>
      </c>
      <c r="O159" s="22">
        <v>5.075975359342916</v>
      </c>
      <c r="P159" s="22">
        <v>9.1006160164271055</v>
      </c>
      <c r="Q159" s="22">
        <v>3.57015742642026</v>
      </c>
      <c r="R159" s="22">
        <v>6.0862422997946615</v>
      </c>
      <c r="S159" s="22">
        <v>9.6563997262149215</v>
      </c>
      <c r="T159" s="5">
        <v>3</v>
      </c>
      <c r="U159" s="5">
        <v>14</v>
      </c>
      <c r="V159" s="20" t="s">
        <v>1</v>
      </c>
      <c r="W159" s="20">
        <v>5</v>
      </c>
      <c r="X159" s="20">
        <v>1</v>
      </c>
      <c r="Y159" s="5">
        <v>1</v>
      </c>
      <c r="Z159" s="20">
        <v>4</v>
      </c>
      <c r="AA159" s="23">
        <f t="shared" si="4"/>
        <v>2</v>
      </c>
      <c r="AB159" s="15">
        <v>1</v>
      </c>
      <c r="AC159" s="15">
        <v>0.8571428571428571</v>
      </c>
      <c r="AD159" s="15">
        <v>1</v>
      </c>
      <c r="AE159" s="15">
        <v>0.95199999999999996</v>
      </c>
      <c r="AF159" s="20">
        <v>20</v>
      </c>
      <c r="AG159" s="20" t="s">
        <v>8</v>
      </c>
      <c r="AH159" s="24">
        <v>21</v>
      </c>
      <c r="AI159" s="23">
        <f t="shared" si="5"/>
        <v>1</v>
      </c>
      <c r="AJ159" s="17">
        <v>8</v>
      </c>
      <c r="AK159" s="17">
        <v>11</v>
      </c>
      <c r="AL159" s="14">
        <v>19</v>
      </c>
      <c r="AM159" s="23" cm="1">
        <f t="array" ref="AM159">IF(OR(AN159:AZ159=""),"BLANK",IF(AND(AN159:AZ159&lt;9999999),1,IF(AND(AN159:AZ159="NA"),3,2)))</f>
        <v>1</v>
      </c>
      <c r="AN159" s="5">
        <v>9</v>
      </c>
      <c r="AO159" s="5">
        <v>2</v>
      </c>
      <c r="AP159" s="10">
        <v>3</v>
      </c>
      <c r="AQ159" s="10">
        <v>5.25</v>
      </c>
      <c r="AR159" s="10">
        <v>6</v>
      </c>
      <c r="AS159" s="11">
        <v>478</v>
      </c>
      <c r="AT159" s="11">
        <v>2857.5</v>
      </c>
      <c r="AU159" s="11">
        <v>4222.75</v>
      </c>
      <c r="AV159" s="11">
        <v>5026.5</v>
      </c>
      <c r="AW159" s="11">
        <v>0</v>
      </c>
      <c r="AX159" s="11">
        <v>0</v>
      </c>
      <c r="AY159" s="11">
        <v>876.14583333329995</v>
      </c>
      <c r="AZ159" s="11">
        <v>0</v>
      </c>
      <c r="BA159" s="23">
        <v>3</v>
      </c>
      <c r="BB159" s="24" t="s">
        <v>8</v>
      </c>
    </row>
    <row r="160" spans="1:54" x14ac:dyDescent="0.2">
      <c r="A160" s="5">
        <v>941</v>
      </c>
      <c r="B160" s="20" t="s">
        <v>66</v>
      </c>
      <c r="C160" s="18" t="s">
        <v>54</v>
      </c>
      <c r="D160" s="18">
        <v>5</v>
      </c>
      <c r="E160" s="18">
        <v>0</v>
      </c>
      <c r="F160" s="20">
        <v>3.6360000000000001</v>
      </c>
      <c r="G160" s="18">
        <v>29</v>
      </c>
      <c r="H160" s="22" t="s">
        <v>8</v>
      </c>
      <c r="I160" s="22" t="s">
        <v>8</v>
      </c>
      <c r="J160" s="22">
        <v>9.8945927446954141</v>
      </c>
      <c r="K160" s="22" t="s">
        <v>8</v>
      </c>
      <c r="L160" s="22" t="s">
        <v>8</v>
      </c>
      <c r="M160" s="22">
        <v>9.9657768651608496</v>
      </c>
      <c r="N160" s="22" t="s">
        <v>8</v>
      </c>
      <c r="O160" s="22" t="s">
        <v>8</v>
      </c>
      <c r="P160" s="22">
        <v>9.7549623545516777</v>
      </c>
      <c r="Q160" s="22" t="s">
        <v>8</v>
      </c>
      <c r="R160" s="22" t="s">
        <v>8</v>
      </c>
      <c r="S160" s="22" t="s">
        <v>8</v>
      </c>
      <c r="T160" s="5">
        <v>6</v>
      </c>
      <c r="U160" s="5">
        <v>18</v>
      </c>
      <c r="V160" s="20" t="s">
        <v>1</v>
      </c>
      <c r="W160" s="20">
        <v>5</v>
      </c>
      <c r="X160" s="20">
        <v>1</v>
      </c>
      <c r="Y160" s="5">
        <v>1</v>
      </c>
      <c r="Z160" s="20">
        <v>4</v>
      </c>
      <c r="AA160" s="23">
        <f t="shared" si="4"/>
        <v>2</v>
      </c>
      <c r="AB160" s="15">
        <v>1</v>
      </c>
      <c r="AC160" s="15">
        <v>1</v>
      </c>
      <c r="AD160" s="15">
        <v>0.8571428571428571</v>
      </c>
      <c r="AE160" s="15">
        <v>0.95699999999999996</v>
      </c>
      <c r="AF160" s="20">
        <v>22</v>
      </c>
      <c r="AG160" s="20" t="s">
        <v>8</v>
      </c>
      <c r="AH160" s="24">
        <v>23</v>
      </c>
      <c r="AI160" s="23">
        <f t="shared" si="5"/>
        <v>1</v>
      </c>
      <c r="AJ160" s="17">
        <v>12</v>
      </c>
      <c r="AK160" s="17">
        <v>9.75</v>
      </c>
      <c r="AL160" s="14">
        <v>21.75</v>
      </c>
      <c r="AM160" s="23" cm="1">
        <f t="array" ref="AM160">IF(OR(AN160:AZ160=""),"BLANK",IF(AND(AN160:AZ160&lt;9999999),1,IF(AND(AN160:AZ160="NA"),3,2)))</f>
        <v>1</v>
      </c>
      <c r="AN160" s="5">
        <v>11</v>
      </c>
      <c r="AO160" s="5">
        <v>2</v>
      </c>
      <c r="AP160" s="10">
        <v>3</v>
      </c>
      <c r="AQ160" s="10">
        <v>5.25</v>
      </c>
      <c r="AR160" s="10">
        <v>5</v>
      </c>
      <c r="AS160" s="11">
        <v>1613</v>
      </c>
      <c r="AT160" s="11">
        <v>4718.5</v>
      </c>
      <c r="AU160" s="11">
        <v>7556.25</v>
      </c>
      <c r="AV160" s="11">
        <v>11736.75</v>
      </c>
      <c r="AW160" s="11">
        <v>0</v>
      </c>
      <c r="AX160" s="11">
        <v>0</v>
      </c>
      <c r="AY160" s="11">
        <v>0</v>
      </c>
      <c r="AZ160" s="11">
        <v>0</v>
      </c>
      <c r="BA160" s="23">
        <v>3</v>
      </c>
      <c r="BB160" s="24" t="s">
        <v>8</v>
      </c>
    </row>
    <row r="161" spans="1:54" x14ac:dyDescent="0.2">
      <c r="A161" s="5">
        <v>943</v>
      </c>
      <c r="B161" s="20" t="s">
        <v>67</v>
      </c>
      <c r="C161" s="18" t="s">
        <v>55</v>
      </c>
      <c r="D161" s="18">
        <v>5</v>
      </c>
      <c r="E161" s="18">
        <v>0</v>
      </c>
      <c r="F161" s="20">
        <v>3.6360000000000001</v>
      </c>
      <c r="G161" s="18">
        <v>29</v>
      </c>
      <c r="H161" s="22">
        <v>4.301163586584531</v>
      </c>
      <c r="I161" s="22" t="s">
        <v>8</v>
      </c>
      <c r="J161" s="22" t="s">
        <v>8</v>
      </c>
      <c r="K161" s="22">
        <v>4.301163586584531</v>
      </c>
      <c r="L161" s="22" t="s">
        <v>8</v>
      </c>
      <c r="M161" s="22" t="s">
        <v>8</v>
      </c>
      <c r="N161" s="22">
        <v>3.9698836413415468</v>
      </c>
      <c r="O161" s="22" t="s">
        <v>8</v>
      </c>
      <c r="P161" s="22" t="s">
        <v>8</v>
      </c>
      <c r="Q161" s="22">
        <v>3.3511293634496919</v>
      </c>
      <c r="R161" s="22" t="s">
        <v>8</v>
      </c>
      <c r="S161" s="22" t="s">
        <v>8</v>
      </c>
      <c r="T161" s="5">
        <v>3</v>
      </c>
      <c r="U161" s="5">
        <v>14</v>
      </c>
      <c r="V161" s="20" t="s">
        <v>1</v>
      </c>
      <c r="W161" s="20">
        <v>5</v>
      </c>
      <c r="X161" s="20">
        <v>1</v>
      </c>
      <c r="Y161" s="5">
        <v>1</v>
      </c>
      <c r="Z161" s="20">
        <v>4</v>
      </c>
      <c r="AA161" s="23">
        <f t="shared" si="4"/>
        <v>2</v>
      </c>
      <c r="AB161" s="15">
        <v>1</v>
      </c>
      <c r="AC161" s="15">
        <v>1</v>
      </c>
      <c r="AD161" s="15">
        <v>0.875</v>
      </c>
      <c r="AE161" s="15">
        <v>0.95799999999999996</v>
      </c>
      <c r="AF161" s="20">
        <v>23</v>
      </c>
      <c r="AG161" s="20" t="s">
        <v>8</v>
      </c>
      <c r="AH161" s="24">
        <v>24</v>
      </c>
      <c r="AI161" s="23">
        <f t="shared" si="5"/>
        <v>1</v>
      </c>
      <c r="AJ161" s="17">
        <v>8.75</v>
      </c>
      <c r="AK161" s="17">
        <v>9.5</v>
      </c>
      <c r="AL161" s="14">
        <v>18.25</v>
      </c>
      <c r="AM161" s="23" cm="1">
        <f t="array" ref="AM161">IF(OR(AN161:AZ161=""),"BLANK",IF(AND(AN161:AZ161&lt;9999999),1,IF(AND(AN161:AZ161="NA"),3,2)))</f>
        <v>1</v>
      </c>
      <c r="AN161" s="5">
        <v>10</v>
      </c>
      <c r="AO161" s="5">
        <v>2</v>
      </c>
      <c r="AP161" s="10">
        <v>3.5</v>
      </c>
      <c r="AQ161" s="10">
        <v>5.25</v>
      </c>
      <c r="AR161" s="10">
        <v>5</v>
      </c>
      <c r="AS161" s="11">
        <v>1519</v>
      </c>
      <c r="AT161" s="11">
        <v>5454.5</v>
      </c>
      <c r="AU161" s="11">
        <v>10119.75</v>
      </c>
      <c r="AV161" s="11">
        <v>29617</v>
      </c>
      <c r="AW161" s="11">
        <v>0</v>
      </c>
      <c r="AX161" s="11">
        <v>1902.6666666666999</v>
      </c>
      <c r="AY161" s="11">
        <v>3099.625</v>
      </c>
      <c r="AZ161" s="11">
        <v>220.45</v>
      </c>
      <c r="BA161" s="23">
        <v>3</v>
      </c>
      <c r="BB161" s="24" t="s">
        <v>8</v>
      </c>
    </row>
    <row r="162" spans="1:54" x14ac:dyDescent="0.2">
      <c r="A162" s="5">
        <v>946</v>
      </c>
      <c r="B162" s="20" t="s">
        <v>77</v>
      </c>
      <c r="C162" s="18" t="s">
        <v>55</v>
      </c>
      <c r="D162" s="18">
        <v>5</v>
      </c>
      <c r="E162" s="18">
        <v>0</v>
      </c>
      <c r="F162" s="20">
        <v>3.5449999999999999</v>
      </c>
      <c r="G162" s="18">
        <v>30</v>
      </c>
      <c r="H162" s="22">
        <v>4.0301163586584527</v>
      </c>
      <c r="I162" s="22">
        <v>5.3059548254620124</v>
      </c>
      <c r="J162" s="22">
        <v>9.3360711841204651</v>
      </c>
      <c r="K162" s="22">
        <v>4.0301163586584527</v>
      </c>
      <c r="L162" s="22">
        <v>5.3059548254620124</v>
      </c>
      <c r="M162" s="22">
        <v>9.3360711841204651</v>
      </c>
      <c r="N162" s="22">
        <v>4.0082135523613962</v>
      </c>
      <c r="O162" s="22">
        <v>5.2703627652292946</v>
      </c>
      <c r="P162" s="22">
        <v>9.2785763175906908</v>
      </c>
      <c r="Q162" s="22" t="s">
        <v>8</v>
      </c>
      <c r="R162" s="22" t="s">
        <v>8</v>
      </c>
      <c r="S162" s="22" t="s">
        <v>8</v>
      </c>
      <c r="T162" s="5">
        <v>3</v>
      </c>
      <c r="U162" s="5">
        <v>15</v>
      </c>
      <c r="V162" s="20" t="s">
        <v>1</v>
      </c>
      <c r="W162" s="20">
        <v>5</v>
      </c>
      <c r="X162" s="20">
        <v>1</v>
      </c>
      <c r="Y162" s="5">
        <v>1</v>
      </c>
      <c r="Z162" s="20">
        <v>4</v>
      </c>
      <c r="AA162" s="23">
        <f t="shared" si="4"/>
        <v>2</v>
      </c>
      <c r="AB162" s="15">
        <v>1</v>
      </c>
      <c r="AC162" s="15">
        <v>0.75</v>
      </c>
      <c r="AD162" s="15">
        <v>1</v>
      </c>
      <c r="AE162" s="15">
        <v>0.91700000000000004</v>
      </c>
      <c r="AF162" s="20">
        <v>22</v>
      </c>
      <c r="AG162" s="20" t="s">
        <v>8</v>
      </c>
      <c r="AH162" s="24">
        <v>24</v>
      </c>
      <c r="AI162" s="23">
        <f t="shared" si="5"/>
        <v>1</v>
      </c>
      <c r="AJ162" s="17">
        <v>13</v>
      </c>
      <c r="AK162" s="17">
        <v>10.75</v>
      </c>
      <c r="AL162" s="14">
        <v>23.75</v>
      </c>
      <c r="AM162" s="23" cm="1">
        <f t="array" ref="AM162">IF(OR(AN162:AZ162=""),"BLANK",IF(AND(AN162:AZ162&lt;9999999),1,IF(AND(AN162:AZ162="NA"),3,2)))</f>
        <v>1</v>
      </c>
      <c r="AN162" s="5">
        <v>8</v>
      </c>
      <c r="AO162" s="5">
        <v>2</v>
      </c>
      <c r="AP162" s="10">
        <v>3</v>
      </c>
      <c r="AQ162" s="10">
        <v>5.25</v>
      </c>
      <c r="AR162" s="10">
        <v>8.5</v>
      </c>
      <c r="AS162" s="11">
        <v>1082</v>
      </c>
      <c r="AT162" s="11">
        <v>1964.5</v>
      </c>
      <c r="AU162" s="11">
        <v>1953.75</v>
      </c>
      <c r="AV162" s="11">
        <v>15880.5</v>
      </c>
      <c r="AW162" s="11">
        <v>0</v>
      </c>
      <c r="AX162" s="11">
        <v>0</v>
      </c>
      <c r="AY162" s="11">
        <v>177.0972222222</v>
      </c>
      <c r="AZ162" s="11">
        <v>1003.3556818182</v>
      </c>
      <c r="BA162" s="23">
        <v>3</v>
      </c>
      <c r="BB162" s="24" t="s">
        <v>8</v>
      </c>
    </row>
    <row r="163" spans="1:54" x14ac:dyDescent="0.2">
      <c r="A163" s="5">
        <v>953</v>
      </c>
      <c r="B163" s="20" t="s">
        <v>80</v>
      </c>
      <c r="C163" s="18" t="s">
        <v>54</v>
      </c>
      <c r="D163" s="18">
        <v>4</v>
      </c>
      <c r="E163" s="18">
        <v>0</v>
      </c>
      <c r="F163" s="20">
        <v>4</v>
      </c>
      <c r="G163" s="18">
        <v>27</v>
      </c>
      <c r="H163" s="22">
        <v>3.7754962354551678</v>
      </c>
      <c r="I163" s="22" t="s">
        <v>8</v>
      </c>
      <c r="J163" s="22" t="s">
        <v>8</v>
      </c>
      <c r="K163" s="22" t="s">
        <v>8</v>
      </c>
      <c r="L163" s="22" t="s">
        <v>8</v>
      </c>
      <c r="M163" s="22" t="s">
        <v>8</v>
      </c>
      <c r="N163" s="22">
        <v>3.893223819301848</v>
      </c>
      <c r="O163" s="22" t="s">
        <v>8</v>
      </c>
      <c r="P163" s="22" t="s">
        <v>8</v>
      </c>
      <c r="Q163" s="22">
        <v>3.3127994524298425</v>
      </c>
      <c r="R163" s="22" t="s">
        <v>8</v>
      </c>
      <c r="S163" s="22" t="s">
        <v>8</v>
      </c>
      <c r="T163" s="5">
        <v>3</v>
      </c>
      <c r="U163" s="5">
        <v>15</v>
      </c>
      <c r="V163" s="20" t="s">
        <v>1</v>
      </c>
      <c r="W163" s="20">
        <v>5</v>
      </c>
      <c r="X163" s="20">
        <v>1</v>
      </c>
      <c r="Y163" s="5">
        <v>1</v>
      </c>
      <c r="Z163" s="20">
        <v>4</v>
      </c>
      <c r="AA163" s="23">
        <f t="shared" si="4"/>
        <v>2</v>
      </c>
      <c r="AB163" s="15">
        <v>0.625</v>
      </c>
      <c r="AC163" s="15">
        <v>0.375</v>
      </c>
      <c r="AD163" s="15">
        <v>0.125</v>
      </c>
      <c r="AE163" s="15">
        <v>0.375</v>
      </c>
      <c r="AF163" s="20">
        <v>9</v>
      </c>
      <c r="AG163" s="20" t="s">
        <v>8</v>
      </c>
      <c r="AH163" s="24">
        <v>24</v>
      </c>
      <c r="AI163" s="23">
        <f t="shared" si="5"/>
        <v>1</v>
      </c>
      <c r="AJ163" s="17">
        <v>0.5</v>
      </c>
      <c r="AK163" s="17">
        <v>3.75</v>
      </c>
      <c r="AL163" s="14">
        <v>4.25</v>
      </c>
      <c r="AM163" s="23" cm="1">
        <f t="array" ref="AM163">IF(OR(AN163:AZ163=""),"BLANK",IF(AND(AN163:AZ163&lt;9999999),1,IF(AND(AN163:AZ163="NA"),3,2)))</f>
        <v>1</v>
      </c>
      <c r="AN163" s="5">
        <v>10</v>
      </c>
      <c r="AO163" s="5">
        <v>2</v>
      </c>
      <c r="AP163" s="10">
        <v>4.5</v>
      </c>
      <c r="AQ163" s="10">
        <v>4</v>
      </c>
      <c r="AR163" s="10">
        <v>6.25</v>
      </c>
      <c r="AS163" s="11">
        <v>0</v>
      </c>
      <c r="AT163" s="11">
        <v>7498</v>
      </c>
      <c r="AU163" s="11">
        <v>3879</v>
      </c>
      <c r="AV163" s="11">
        <v>4174.5</v>
      </c>
      <c r="AW163" s="11">
        <v>0</v>
      </c>
      <c r="AX163" s="11">
        <v>36885.916666666701</v>
      </c>
      <c r="AY163" s="11">
        <v>0</v>
      </c>
      <c r="AZ163" s="11">
        <v>9804.7749999999996</v>
      </c>
      <c r="BA163" s="23">
        <v>3</v>
      </c>
      <c r="BB163" s="24" t="s">
        <v>8</v>
      </c>
    </row>
    <row r="164" spans="1:54" x14ac:dyDescent="0.2">
      <c r="A164" s="5">
        <v>961</v>
      </c>
      <c r="B164" s="20" t="s">
        <v>69</v>
      </c>
      <c r="C164" s="18" t="s">
        <v>55</v>
      </c>
      <c r="D164" s="18">
        <v>5</v>
      </c>
      <c r="E164" s="18">
        <v>0</v>
      </c>
      <c r="F164" s="20">
        <v>3.4550000000000001</v>
      </c>
      <c r="G164" s="18">
        <v>30</v>
      </c>
      <c r="H164" s="22">
        <v>4.1998631074606436</v>
      </c>
      <c r="I164" s="22" t="s">
        <v>8</v>
      </c>
      <c r="J164" s="22" t="s">
        <v>8</v>
      </c>
      <c r="K164" s="22">
        <v>4.1998631074606436</v>
      </c>
      <c r="L164" s="22" t="s">
        <v>8</v>
      </c>
      <c r="M164" s="22" t="s">
        <v>8</v>
      </c>
      <c r="N164" s="22">
        <v>4.1834360027378512</v>
      </c>
      <c r="O164" s="22" t="s">
        <v>8</v>
      </c>
      <c r="P164" s="22" t="s">
        <v>8</v>
      </c>
      <c r="Q164" s="22" t="s">
        <v>8</v>
      </c>
      <c r="R164" s="22" t="s">
        <v>8</v>
      </c>
      <c r="S164" s="22" t="s">
        <v>8</v>
      </c>
      <c r="T164" s="5">
        <v>3</v>
      </c>
      <c r="U164" s="5">
        <v>14</v>
      </c>
      <c r="V164" s="20" t="s">
        <v>1</v>
      </c>
      <c r="W164" s="20">
        <v>5</v>
      </c>
      <c r="X164" s="20">
        <v>1</v>
      </c>
      <c r="Y164" s="5">
        <v>1</v>
      </c>
      <c r="Z164" s="20">
        <v>4</v>
      </c>
      <c r="AA164" s="23">
        <f t="shared" si="4"/>
        <v>2</v>
      </c>
      <c r="AB164" s="15">
        <v>1</v>
      </c>
      <c r="AC164" s="15">
        <v>0.875</v>
      </c>
      <c r="AD164" s="15">
        <v>0.625</v>
      </c>
      <c r="AE164" s="15">
        <v>0.83299999999999996</v>
      </c>
      <c r="AF164" s="20">
        <v>20</v>
      </c>
      <c r="AG164" s="20" t="s">
        <v>8</v>
      </c>
      <c r="AH164" s="24">
        <v>24</v>
      </c>
      <c r="AI164" s="23">
        <f t="shared" si="5"/>
        <v>1</v>
      </c>
      <c r="AJ164" s="17">
        <v>12.75</v>
      </c>
      <c r="AK164" s="17">
        <v>9.5</v>
      </c>
      <c r="AL164" s="14">
        <v>22.25</v>
      </c>
      <c r="AM164" s="23" cm="1">
        <f t="array" ref="AM164">IF(OR(AN164:AZ164=""),"BLANK",IF(AND(AN164:AZ164&lt;9999999),1,IF(AND(AN164:AZ164="NA"),3,2)))</f>
        <v>1</v>
      </c>
      <c r="AN164" s="5">
        <v>12</v>
      </c>
      <c r="AO164" s="5">
        <v>2</v>
      </c>
      <c r="AP164" s="10">
        <v>3</v>
      </c>
      <c r="AQ164" s="10">
        <v>4</v>
      </c>
      <c r="AR164" s="10">
        <v>5</v>
      </c>
      <c r="AS164" s="11">
        <v>1068</v>
      </c>
      <c r="AT164" s="11">
        <v>1811</v>
      </c>
      <c r="AU164" s="11">
        <v>15133</v>
      </c>
      <c r="AV164" s="11">
        <v>15871.25</v>
      </c>
      <c r="AW164" s="11">
        <v>0</v>
      </c>
      <c r="AX164" s="11">
        <v>0</v>
      </c>
      <c r="AY164" s="11">
        <v>0</v>
      </c>
      <c r="AZ164" s="11">
        <v>0</v>
      </c>
      <c r="BA164" s="23">
        <v>3</v>
      </c>
      <c r="BB164" s="24" t="s">
        <v>8</v>
      </c>
    </row>
    <row r="165" spans="1:54" x14ac:dyDescent="0.2">
      <c r="A165" s="5">
        <v>965</v>
      </c>
      <c r="B165" s="20" t="s">
        <v>62</v>
      </c>
      <c r="C165" s="18" t="s">
        <v>54</v>
      </c>
      <c r="D165" s="18">
        <v>5</v>
      </c>
      <c r="E165" s="18">
        <v>0</v>
      </c>
      <c r="F165" s="20">
        <v>3.7269999999999999</v>
      </c>
      <c r="G165" s="18">
        <v>29</v>
      </c>
      <c r="H165" s="22">
        <v>4.0520191649555102</v>
      </c>
      <c r="I165" s="22" t="s">
        <v>8</v>
      </c>
      <c r="J165" s="22" t="s">
        <v>8</v>
      </c>
      <c r="K165" s="22">
        <v>4.0520191649555102</v>
      </c>
      <c r="L165" s="22" t="s">
        <v>8</v>
      </c>
      <c r="M165" s="22" t="s">
        <v>8</v>
      </c>
      <c r="N165" s="22" t="s">
        <v>8</v>
      </c>
      <c r="O165" s="22" t="s">
        <v>8</v>
      </c>
      <c r="P165" s="22" t="s">
        <v>8</v>
      </c>
      <c r="Q165" s="22" t="s">
        <v>8</v>
      </c>
      <c r="R165" s="22" t="s">
        <v>8</v>
      </c>
      <c r="S165" s="22" t="s">
        <v>8</v>
      </c>
      <c r="T165" s="5">
        <v>7</v>
      </c>
      <c r="U165" s="5">
        <v>21</v>
      </c>
      <c r="V165" s="20" t="s">
        <v>1</v>
      </c>
      <c r="W165" s="20">
        <v>5</v>
      </c>
      <c r="X165" s="20">
        <v>1</v>
      </c>
      <c r="Y165" s="5">
        <v>1</v>
      </c>
      <c r="Z165" s="20">
        <v>4</v>
      </c>
      <c r="AA165" s="23">
        <f t="shared" si="4"/>
        <v>2</v>
      </c>
      <c r="AB165" s="15">
        <v>1</v>
      </c>
      <c r="AC165" s="15">
        <v>1</v>
      </c>
      <c r="AD165" s="15">
        <v>0.75</v>
      </c>
      <c r="AE165" s="15">
        <v>0.91700000000000004</v>
      </c>
      <c r="AF165" s="20">
        <v>22</v>
      </c>
      <c r="AG165" s="20" t="s">
        <v>8</v>
      </c>
      <c r="AH165" s="24">
        <v>24</v>
      </c>
      <c r="AI165" s="23">
        <f t="shared" si="5"/>
        <v>1</v>
      </c>
      <c r="AJ165" s="17">
        <v>7.75</v>
      </c>
      <c r="AK165" s="17">
        <v>9.75</v>
      </c>
      <c r="AL165" s="14">
        <v>17.5</v>
      </c>
      <c r="AM165" s="23" cm="1">
        <f t="array" ref="AM165">IF(OR(AN165:AZ165=""),"BLANK",IF(AND(AN165:AZ165&lt;9999999),1,IF(AND(AN165:AZ165="NA"),3,2)))</f>
        <v>1</v>
      </c>
      <c r="AN165" s="5">
        <v>6</v>
      </c>
      <c r="AO165" s="5">
        <v>2</v>
      </c>
      <c r="AP165" s="10">
        <v>4</v>
      </c>
      <c r="AQ165" s="10">
        <v>4.75</v>
      </c>
      <c r="AR165" s="10">
        <v>7.5</v>
      </c>
      <c r="AS165" s="11">
        <v>630</v>
      </c>
      <c r="AT165" s="11">
        <v>5364.5</v>
      </c>
      <c r="AU165" s="11">
        <v>1964</v>
      </c>
      <c r="AV165" s="11">
        <v>0</v>
      </c>
      <c r="AW165" s="11">
        <v>0</v>
      </c>
      <c r="AX165" s="11">
        <v>2240.4333333333002</v>
      </c>
      <c r="AY165" s="11">
        <v>3426.0583333333002</v>
      </c>
      <c r="AZ165" s="11">
        <v>1612.5017857143</v>
      </c>
      <c r="BA165" s="23">
        <v>3</v>
      </c>
      <c r="BB165" s="24" t="s">
        <v>8</v>
      </c>
    </row>
    <row r="166" spans="1:54" x14ac:dyDescent="0.2">
      <c r="A166" s="5">
        <v>974</v>
      </c>
      <c r="B166" s="20" t="s">
        <v>77</v>
      </c>
      <c r="C166" s="18" t="s">
        <v>55</v>
      </c>
      <c r="D166" s="18">
        <v>5</v>
      </c>
      <c r="E166" s="18">
        <v>0</v>
      </c>
      <c r="F166" s="20">
        <v>4</v>
      </c>
      <c r="G166" s="18">
        <v>29</v>
      </c>
      <c r="H166" s="22">
        <v>4.0876112251882271</v>
      </c>
      <c r="I166" s="22" t="s">
        <v>8</v>
      </c>
      <c r="J166" s="22" t="s">
        <v>8</v>
      </c>
      <c r="K166" s="22">
        <v>4.1505817932922655</v>
      </c>
      <c r="L166" s="22" t="s">
        <v>8</v>
      </c>
      <c r="M166" s="22" t="s">
        <v>8</v>
      </c>
      <c r="N166" s="22">
        <v>4.043805612594114</v>
      </c>
      <c r="O166" s="22">
        <v>4.9418206707734429</v>
      </c>
      <c r="P166" s="22">
        <v>8.9856262833675569</v>
      </c>
      <c r="Q166" s="22" t="s">
        <v>8</v>
      </c>
      <c r="R166" s="22" t="s">
        <v>8</v>
      </c>
      <c r="S166" s="22" t="s">
        <v>8</v>
      </c>
      <c r="T166" s="5">
        <v>6</v>
      </c>
      <c r="U166" s="5">
        <v>18</v>
      </c>
      <c r="V166" s="20" t="s">
        <v>1</v>
      </c>
      <c r="W166" s="20">
        <v>5</v>
      </c>
      <c r="X166" s="20">
        <v>1</v>
      </c>
      <c r="Y166" s="5">
        <v>1</v>
      </c>
      <c r="Z166" s="20">
        <v>4</v>
      </c>
      <c r="AA166" s="23">
        <f t="shared" si="4"/>
        <v>2</v>
      </c>
      <c r="AB166" s="15">
        <v>1</v>
      </c>
      <c r="AC166" s="15">
        <v>1</v>
      </c>
      <c r="AD166" s="15">
        <v>0.5</v>
      </c>
      <c r="AE166" s="15">
        <v>0.83299999999999996</v>
      </c>
      <c r="AF166" s="20">
        <v>20</v>
      </c>
      <c r="AG166" s="20" t="s">
        <v>8</v>
      </c>
      <c r="AH166" s="24">
        <v>24</v>
      </c>
      <c r="AI166" s="23">
        <f t="shared" si="5"/>
        <v>1</v>
      </c>
      <c r="AJ166" s="17">
        <v>7</v>
      </c>
      <c r="AK166" s="17">
        <v>10.75</v>
      </c>
      <c r="AL166" s="14">
        <v>17.75</v>
      </c>
      <c r="AM166" s="23" cm="1">
        <f t="array" ref="AM166">IF(OR(AN166:AZ166=""),"BLANK",IF(AND(AN166:AZ166&lt;9999999),1,IF(AND(AN166:AZ166="NA"),3,2)))</f>
        <v>1</v>
      </c>
      <c r="AN166" s="5">
        <v>9</v>
      </c>
      <c r="AO166" s="5">
        <v>2</v>
      </c>
      <c r="AP166" s="10">
        <v>3</v>
      </c>
      <c r="AQ166" s="10">
        <v>7.25</v>
      </c>
      <c r="AR166" s="10">
        <v>5</v>
      </c>
      <c r="AS166" s="11">
        <v>848.5</v>
      </c>
      <c r="AT166" s="11">
        <v>3386</v>
      </c>
      <c r="AU166" s="11">
        <v>9433.25</v>
      </c>
      <c r="AV166" s="11">
        <v>11455.75</v>
      </c>
      <c r="AW166" s="11">
        <v>146.5</v>
      </c>
      <c r="AX166" s="11">
        <v>0</v>
      </c>
      <c r="AY166" s="11">
        <v>1104.2787698412999</v>
      </c>
      <c r="AZ166" s="11">
        <v>86.2</v>
      </c>
      <c r="BA166" s="23">
        <v>3</v>
      </c>
      <c r="BB166" s="24" t="s">
        <v>8</v>
      </c>
    </row>
    <row r="167" spans="1:54" x14ac:dyDescent="0.2">
      <c r="A167" s="5">
        <v>975</v>
      </c>
      <c r="B167" s="20" t="s">
        <v>71</v>
      </c>
      <c r="C167" s="18" t="s">
        <v>54</v>
      </c>
      <c r="D167" s="18">
        <v>3</v>
      </c>
      <c r="E167" s="18">
        <v>1</v>
      </c>
      <c r="F167" s="20">
        <v>3.1819999999999999</v>
      </c>
      <c r="G167" s="18">
        <v>28</v>
      </c>
      <c r="H167" s="22" t="s">
        <v>8</v>
      </c>
      <c r="I167" s="22" t="s">
        <v>8</v>
      </c>
      <c r="J167" s="22">
        <v>9.6865160848733751</v>
      </c>
      <c r="K167" s="22" t="s">
        <v>8</v>
      </c>
      <c r="L167" s="22" t="s">
        <v>8</v>
      </c>
      <c r="M167" s="22" t="s">
        <v>8</v>
      </c>
      <c r="N167" s="22" t="s">
        <v>8</v>
      </c>
      <c r="O167" s="22" t="s">
        <v>8</v>
      </c>
      <c r="P167" s="22">
        <v>9.5989048596851472</v>
      </c>
      <c r="Q167" s="22" t="s">
        <v>8</v>
      </c>
      <c r="R167" s="22" t="s">
        <v>8</v>
      </c>
      <c r="S167" s="22" t="s">
        <v>8</v>
      </c>
      <c r="T167" s="5">
        <v>1</v>
      </c>
      <c r="U167" s="5">
        <v>11</v>
      </c>
      <c r="V167" s="20" t="s">
        <v>1</v>
      </c>
      <c r="W167" s="20">
        <v>5</v>
      </c>
      <c r="X167" s="20">
        <v>1</v>
      </c>
      <c r="Y167" s="5">
        <v>1</v>
      </c>
      <c r="Z167" s="20">
        <v>4</v>
      </c>
      <c r="AA167" s="23">
        <f t="shared" si="4"/>
        <v>2</v>
      </c>
      <c r="AB167" s="15">
        <v>1</v>
      </c>
      <c r="AC167" s="15">
        <v>1</v>
      </c>
      <c r="AD167" s="15">
        <v>0.75</v>
      </c>
      <c r="AE167" s="15">
        <v>0.91700000000000004</v>
      </c>
      <c r="AF167" s="20">
        <v>22</v>
      </c>
      <c r="AG167" s="20" t="s">
        <v>8</v>
      </c>
      <c r="AH167" s="24">
        <v>24</v>
      </c>
      <c r="AI167" s="23">
        <f t="shared" si="5"/>
        <v>1</v>
      </c>
      <c r="AJ167" s="17">
        <v>10</v>
      </c>
      <c r="AK167" s="17">
        <v>12</v>
      </c>
      <c r="AL167" s="14">
        <v>22</v>
      </c>
      <c r="AM167" s="23" cm="1">
        <f t="array" ref="AM167">IF(OR(AN167:AZ167=""),"BLANK",IF(AND(AN167:AZ167&lt;9999999),1,IF(AND(AN167:AZ167="NA"),3,2)))</f>
        <v>1</v>
      </c>
      <c r="AN167" s="5">
        <v>10</v>
      </c>
      <c r="AO167" s="5">
        <v>2</v>
      </c>
      <c r="AP167" s="10">
        <v>3</v>
      </c>
      <c r="AQ167" s="10">
        <v>5.25</v>
      </c>
      <c r="AR167" s="10">
        <v>6.25</v>
      </c>
      <c r="AS167" s="11">
        <v>2077</v>
      </c>
      <c r="AT167" s="11">
        <v>3507.5</v>
      </c>
      <c r="AU167" s="11">
        <v>7436.25</v>
      </c>
      <c r="AV167" s="11">
        <v>8437.5</v>
      </c>
      <c r="AW167" s="11">
        <v>65.5</v>
      </c>
      <c r="AX167" s="11">
        <v>0</v>
      </c>
      <c r="AY167" s="11">
        <v>418.0277777778</v>
      </c>
      <c r="AZ167" s="11">
        <v>1683.2750000000001</v>
      </c>
      <c r="BA167" s="23">
        <v>3</v>
      </c>
      <c r="BB167" s="24" t="s">
        <v>8</v>
      </c>
    </row>
    <row r="168" spans="1:54" x14ac:dyDescent="0.2">
      <c r="A168" s="5">
        <v>976</v>
      </c>
      <c r="B168" s="20" t="s">
        <v>77</v>
      </c>
      <c r="C168" s="18" t="s">
        <v>54</v>
      </c>
      <c r="D168" s="18">
        <v>5</v>
      </c>
      <c r="E168" s="18">
        <v>0</v>
      </c>
      <c r="F168" s="20">
        <v>3.9089999999999998</v>
      </c>
      <c r="G168" s="18">
        <v>30</v>
      </c>
      <c r="H168" s="22">
        <v>3.9698836413415468</v>
      </c>
      <c r="I168" s="22">
        <v>5.4948665297741277</v>
      </c>
      <c r="J168" s="22">
        <v>9.464750171115675</v>
      </c>
      <c r="K168" s="22">
        <v>3.9698836413415468</v>
      </c>
      <c r="L168" s="22">
        <v>5.4948665297741277</v>
      </c>
      <c r="M168" s="22">
        <v>9.464750171115675</v>
      </c>
      <c r="N168" s="22">
        <v>4.0301163586584527</v>
      </c>
      <c r="O168" s="22">
        <v>5.0020533880903493</v>
      </c>
      <c r="P168" s="22">
        <v>9.0321697467488029</v>
      </c>
      <c r="Q168" s="22">
        <v>3.3675564681724848</v>
      </c>
      <c r="R168" s="22">
        <v>5.9274469541409998</v>
      </c>
      <c r="S168" s="22">
        <v>9.2950034223134832</v>
      </c>
      <c r="T168" s="5">
        <v>3</v>
      </c>
      <c r="U168" s="5">
        <v>14</v>
      </c>
      <c r="V168" s="20" t="s">
        <v>1</v>
      </c>
      <c r="W168" s="20">
        <v>5</v>
      </c>
      <c r="X168" s="20">
        <v>1</v>
      </c>
      <c r="Y168" s="5">
        <v>1</v>
      </c>
      <c r="Z168" s="20">
        <v>4</v>
      </c>
      <c r="AA168" s="23">
        <f t="shared" si="4"/>
        <v>2</v>
      </c>
      <c r="AB168" s="15">
        <v>1</v>
      </c>
      <c r="AC168" s="15">
        <v>1</v>
      </c>
      <c r="AD168" s="15">
        <v>0.875</v>
      </c>
      <c r="AE168" s="15">
        <v>0.95799999999999996</v>
      </c>
      <c r="AF168" s="20">
        <v>23</v>
      </c>
      <c r="AG168" s="20" t="s">
        <v>8</v>
      </c>
      <c r="AH168" s="24">
        <v>24</v>
      </c>
      <c r="AI168" s="23">
        <f t="shared" si="5"/>
        <v>1</v>
      </c>
      <c r="AJ168" s="17">
        <v>12.75</v>
      </c>
      <c r="AK168" s="17">
        <v>12</v>
      </c>
      <c r="AL168" s="14">
        <v>24.75</v>
      </c>
      <c r="AM168" s="23" cm="1">
        <f t="array" ref="AM168">IF(OR(AN168:AZ168=""),"BLANK",IF(AND(AN168:AZ168&lt;9999999),1,IF(AND(AN168:AZ168="NA"),3,2)))</f>
        <v>1</v>
      </c>
      <c r="AN168" s="5">
        <v>9</v>
      </c>
      <c r="AO168" s="5">
        <v>2</v>
      </c>
      <c r="AP168" s="10">
        <v>3</v>
      </c>
      <c r="AQ168" s="10">
        <v>6.5</v>
      </c>
      <c r="AR168" s="10">
        <v>5.5</v>
      </c>
      <c r="AS168" s="11">
        <v>4325</v>
      </c>
      <c r="AT168" s="11">
        <v>11549</v>
      </c>
      <c r="AU168" s="11">
        <v>23640.25</v>
      </c>
      <c r="AV168" s="11">
        <v>38922.25</v>
      </c>
      <c r="AW168" s="11">
        <v>0</v>
      </c>
      <c r="AX168" s="11">
        <v>58.5</v>
      </c>
      <c r="AY168" s="11">
        <v>4995.9652777778001</v>
      </c>
      <c r="AZ168" s="11">
        <v>428.59285714290002</v>
      </c>
      <c r="BA168" s="23">
        <v>3</v>
      </c>
      <c r="BB168" s="24" t="s">
        <v>8</v>
      </c>
    </row>
    <row r="169" spans="1:54" x14ac:dyDescent="0.2">
      <c r="A169" s="5">
        <v>978</v>
      </c>
      <c r="B169" s="20" t="s">
        <v>62</v>
      </c>
      <c r="C169" s="18" t="s">
        <v>55</v>
      </c>
      <c r="D169" s="18">
        <v>5</v>
      </c>
      <c r="E169" s="18">
        <v>0</v>
      </c>
      <c r="F169" s="20">
        <v>3.7269999999999999</v>
      </c>
      <c r="G169" s="18">
        <v>28</v>
      </c>
      <c r="H169" s="22" t="s">
        <v>8</v>
      </c>
      <c r="I169" s="22" t="s">
        <v>8</v>
      </c>
      <c r="J169" s="22" t="s">
        <v>8</v>
      </c>
      <c r="K169" s="22" t="s">
        <v>8</v>
      </c>
      <c r="L169" s="22" t="s">
        <v>8</v>
      </c>
      <c r="M169" s="22" t="s">
        <v>8</v>
      </c>
      <c r="N169" s="22" t="s">
        <v>8</v>
      </c>
      <c r="O169" s="22" t="s">
        <v>8</v>
      </c>
      <c r="P169" s="22" t="s">
        <v>8</v>
      </c>
      <c r="Q169" s="22" t="s">
        <v>8</v>
      </c>
      <c r="R169" s="22" t="s">
        <v>8</v>
      </c>
      <c r="S169" s="22" t="s">
        <v>8</v>
      </c>
      <c r="T169" s="5">
        <v>6</v>
      </c>
      <c r="U169" s="5">
        <v>18</v>
      </c>
      <c r="V169" s="20" t="s">
        <v>1</v>
      </c>
      <c r="W169" s="20">
        <v>5</v>
      </c>
      <c r="X169" s="20">
        <v>1</v>
      </c>
      <c r="Y169" s="5">
        <v>1</v>
      </c>
      <c r="Z169" s="20">
        <v>4</v>
      </c>
      <c r="AA169" s="23">
        <f t="shared" si="4"/>
        <v>2</v>
      </c>
      <c r="AB169" s="15">
        <v>1</v>
      </c>
      <c r="AC169" s="15">
        <v>1</v>
      </c>
      <c r="AD169" s="15">
        <v>0.75</v>
      </c>
      <c r="AE169" s="15">
        <v>0.91700000000000004</v>
      </c>
      <c r="AF169" s="20">
        <v>22</v>
      </c>
      <c r="AG169" s="20" t="s">
        <v>8</v>
      </c>
      <c r="AH169" s="24">
        <v>24</v>
      </c>
      <c r="AI169" s="23">
        <f t="shared" si="5"/>
        <v>1</v>
      </c>
      <c r="AJ169" s="17">
        <v>11</v>
      </c>
      <c r="AK169" s="17">
        <v>11</v>
      </c>
      <c r="AL169" s="14">
        <v>22</v>
      </c>
      <c r="AM169" s="23" cm="1">
        <f t="array" ref="AM169">IF(OR(AN169:AZ169=""),"BLANK",IF(AND(AN169:AZ169&lt;9999999),1,IF(AND(AN169:AZ169="NA"),3,2)))</f>
        <v>1</v>
      </c>
      <c r="AN169" s="5">
        <v>10</v>
      </c>
      <c r="AO169" s="5">
        <v>2</v>
      </c>
      <c r="AP169" s="10">
        <v>3</v>
      </c>
      <c r="AQ169" s="10">
        <v>5</v>
      </c>
      <c r="AR169" s="10">
        <v>6.75</v>
      </c>
      <c r="AS169" s="11">
        <v>1128.5</v>
      </c>
      <c r="AT169" s="11">
        <v>4970.5</v>
      </c>
      <c r="AU169" s="11">
        <v>4942</v>
      </c>
      <c r="AV169" s="11">
        <v>4011.75</v>
      </c>
      <c r="AW169" s="11">
        <v>0</v>
      </c>
      <c r="AX169" s="11">
        <v>0</v>
      </c>
      <c r="AY169" s="11">
        <v>656.53125</v>
      </c>
      <c r="AZ169" s="11">
        <v>865.41666666670005</v>
      </c>
      <c r="BA169" s="23">
        <v>3</v>
      </c>
      <c r="BB169" s="24" t="s">
        <v>8</v>
      </c>
    </row>
    <row r="170" spans="1:54" x14ac:dyDescent="0.2">
      <c r="A170" s="5">
        <v>980</v>
      </c>
      <c r="B170" s="20" t="s">
        <v>62</v>
      </c>
      <c r="C170" s="18" t="s">
        <v>55</v>
      </c>
      <c r="D170" s="18">
        <v>5</v>
      </c>
      <c r="E170" s="18">
        <v>0</v>
      </c>
      <c r="F170" s="20">
        <v>3.8180000000000001</v>
      </c>
      <c r="G170" s="18">
        <v>27</v>
      </c>
      <c r="H170" s="22" t="s">
        <v>8</v>
      </c>
      <c r="I170" s="22" t="s">
        <v>8</v>
      </c>
      <c r="J170" s="22" t="s">
        <v>8</v>
      </c>
      <c r="K170" s="22" t="s">
        <v>8</v>
      </c>
      <c r="L170" s="22" t="s">
        <v>8</v>
      </c>
      <c r="M170" s="22" t="s">
        <v>8</v>
      </c>
      <c r="N170" s="22" t="s">
        <v>8</v>
      </c>
      <c r="O170" s="22" t="s">
        <v>8</v>
      </c>
      <c r="P170" s="22" t="s">
        <v>8</v>
      </c>
      <c r="Q170" s="22" t="s">
        <v>8</v>
      </c>
      <c r="R170" s="22" t="s">
        <v>8</v>
      </c>
      <c r="S170" s="22" t="s">
        <v>8</v>
      </c>
      <c r="T170" s="5">
        <v>7</v>
      </c>
      <c r="U170" s="5">
        <v>21</v>
      </c>
      <c r="V170" s="20" t="s">
        <v>1</v>
      </c>
      <c r="W170" s="20">
        <v>5</v>
      </c>
      <c r="X170" s="20">
        <v>1</v>
      </c>
      <c r="Y170" s="5">
        <v>1</v>
      </c>
      <c r="Z170" s="20">
        <v>4</v>
      </c>
      <c r="AA170" s="23">
        <f t="shared" si="4"/>
        <v>2</v>
      </c>
      <c r="AB170" s="15">
        <v>1</v>
      </c>
      <c r="AC170" s="15">
        <v>0.8571428571428571</v>
      </c>
      <c r="AD170" s="15">
        <v>0.75</v>
      </c>
      <c r="AE170" s="15">
        <v>0.87</v>
      </c>
      <c r="AF170" s="20">
        <v>20</v>
      </c>
      <c r="AG170" s="20" t="s">
        <v>8</v>
      </c>
      <c r="AH170" s="24">
        <v>23</v>
      </c>
      <c r="AI170" s="23">
        <f t="shared" si="5"/>
        <v>1</v>
      </c>
      <c r="AJ170" s="17">
        <v>9</v>
      </c>
      <c r="AK170" s="17">
        <v>9</v>
      </c>
      <c r="AL170" s="14">
        <v>18</v>
      </c>
      <c r="AM170" s="23" cm="1">
        <f t="array" ref="AM170">IF(OR(AN170:AZ170=""),"BLANK",IF(AND(AN170:AZ170&lt;9999999),1,IF(AND(AN170:AZ170="NA"),3,2)))</f>
        <v>1</v>
      </c>
      <c r="AN170" s="5">
        <v>8</v>
      </c>
      <c r="AO170" s="5">
        <v>2</v>
      </c>
      <c r="AP170" s="10">
        <v>3</v>
      </c>
      <c r="AQ170" s="10">
        <v>6.5</v>
      </c>
      <c r="AR170" s="10">
        <v>6.75</v>
      </c>
      <c r="AS170" s="11">
        <v>273.5</v>
      </c>
      <c r="AT170" s="11">
        <v>1835.5</v>
      </c>
      <c r="AU170" s="11">
        <v>5707.25</v>
      </c>
      <c r="AV170" s="11">
        <v>8593.75</v>
      </c>
      <c r="AW170" s="11">
        <v>0</v>
      </c>
      <c r="AX170" s="11">
        <v>0</v>
      </c>
      <c r="AY170" s="11">
        <v>1269.1145833333001</v>
      </c>
      <c r="AZ170" s="11">
        <v>339.90833333329999</v>
      </c>
      <c r="BA170" s="23">
        <v>3</v>
      </c>
      <c r="BB170" s="24" t="s">
        <v>8</v>
      </c>
    </row>
    <row r="171" spans="1:54" x14ac:dyDescent="0.2">
      <c r="A171" s="5">
        <v>988</v>
      </c>
      <c r="B171" s="20" t="s">
        <v>72</v>
      </c>
      <c r="C171" s="18" t="s">
        <v>54</v>
      </c>
      <c r="D171" s="18">
        <v>5</v>
      </c>
      <c r="E171" s="18">
        <v>0</v>
      </c>
      <c r="F171" s="20">
        <v>3.2730000000000001</v>
      </c>
      <c r="G171" s="18">
        <v>28</v>
      </c>
      <c r="H171" s="22">
        <v>4.1067761806981515</v>
      </c>
      <c r="I171" s="22">
        <v>5.6427104722792611</v>
      </c>
      <c r="J171" s="22">
        <v>9.7494866529774136</v>
      </c>
      <c r="K171" s="22">
        <v>4.1067761806981515</v>
      </c>
      <c r="L171" s="22">
        <v>5.6399726214921291</v>
      </c>
      <c r="M171" s="22">
        <v>9.7467488021902806</v>
      </c>
      <c r="N171" s="22">
        <v>3.9288158795345653</v>
      </c>
      <c r="O171" s="22">
        <v>5.637234770704997</v>
      </c>
      <c r="P171" s="22">
        <v>9.5660506502395624</v>
      </c>
      <c r="Q171" s="22" t="s">
        <v>8</v>
      </c>
      <c r="R171" s="22" t="s">
        <v>8</v>
      </c>
      <c r="S171" s="22" t="s">
        <v>8</v>
      </c>
      <c r="T171" s="5">
        <v>5</v>
      </c>
      <c r="U171" s="5">
        <v>17</v>
      </c>
      <c r="V171" s="20" t="s">
        <v>1</v>
      </c>
      <c r="W171" s="20">
        <v>5</v>
      </c>
      <c r="X171" s="20">
        <v>1</v>
      </c>
      <c r="Y171" s="5">
        <v>1</v>
      </c>
      <c r="Z171" s="20">
        <v>4</v>
      </c>
      <c r="AA171" s="23">
        <f t="shared" si="4"/>
        <v>2</v>
      </c>
      <c r="AB171" s="15">
        <v>1</v>
      </c>
      <c r="AC171" s="15">
        <v>0.875</v>
      </c>
      <c r="AD171" s="15">
        <v>1</v>
      </c>
      <c r="AE171" s="15">
        <v>0.95799999999999996</v>
      </c>
      <c r="AF171" s="20">
        <v>23</v>
      </c>
      <c r="AG171" s="20" t="s">
        <v>8</v>
      </c>
      <c r="AH171" s="24">
        <v>24</v>
      </c>
      <c r="AI171" s="23">
        <f t="shared" si="5"/>
        <v>1</v>
      </c>
      <c r="AJ171" s="17">
        <v>10.75</v>
      </c>
      <c r="AK171" s="17">
        <v>14</v>
      </c>
      <c r="AL171" s="14">
        <v>24.75</v>
      </c>
      <c r="AM171" s="23" cm="1">
        <f t="array" ref="AM171">IF(OR(AN171:AZ171=""),"BLANK",IF(AND(AN171:AZ171&lt;9999999),1,IF(AND(AN171:AZ171="NA"),3,2)))</f>
        <v>1</v>
      </c>
      <c r="AN171" s="5">
        <v>10</v>
      </c>
      <c r="AO171" s="5">
        <v>2</v>
      </c>
      <c r="AP171" s="10">
        <v>3</v>
      </c>
      <c r="AQ171" s="10">
        <v>5</v>
      </c>
      <c r="AR171" s="10">
        <v>6</v>
      </c>
      <c r="AS171" s="11">
        <v>1966.5</v>
      </c>
      <c r="AT171" s="11">
        <v>2822.5</v>
      </c>
      <c r="AU171" s="11">
        <v>3564.25</v>
      </c>
      <c r="AV171" s="11">
        <v>5216</v>
      </c>
      <c r="AW171" s="11">
        <v>0</v>
      </c>
      <c r="AX171" s="11">
        <v>0</v>
      </c>
      <c r="AY171" s="11">
        <v>964.03125</v>
      </c>
      <c r="AZ171" s="11">
        <v>875.47777777780004</v>
      </c>
      <c r="BA171" s="23">
        <v>3</v>
      </c>
      <c r="BB171" s="24" t="s">
        <v>8</v>
      </c>
    </row>
    <row r="172" spans="1:54" x14ac:dyDescent="0.2">
      <c r="A172" s="5">
        <v>989</v>
      </c>
      <c r="B172" s="20" t="s">
        <v>72</v>
      </c>
      <c r="C172" s="18" t="s">
        <v>55</v>
      </c>
      <c r="D172" s="18">
        <v>5</v>
      </c>
      <c r="E172" s="18">
        <v>0</v>
      </c>
      <c r="F172" s="20">
        <v>3.6360000000000001</v>
      </c>
      <c r="G172" s="18">
        <v>29</v>
      </c>
      <c r="H172" s="22">
        <v>4.1067761806981515</v>
      </c>
      <c r="I172" s="22">
        <v>5.6427104722792611</v>
      </c>
      <c r="J172" s="22">
        <v>9.7494866529774136</v>
      </c>
      <c r="K172" s="22">
        <v>4.1067761806981515</v>
      </c>
      <c r="L172" s="22">
        <v>5.6399726214921291</v>
      </c>
      <c r="M172" s="22">
        <v>9.7467488021902806</v>
      </c>
      <c r="N172" s="22">
        <v>3.9425051334702257</v>
      </c>
      <c r="O172" s="22">
        <v>5.6344969199178641</v>
      </c>
      <c r="P172" s="22">
        <v>9.5770020533880906</v>
      </c>
      <c r="Q172" s="22" t="s">
        <v>8</v>
      </c>
      <c r="R172" s="22" t="s">
        <v>8</v>
      </c>
      <c r="S172" s="22" t="s">
        <v>8</v>
      </c>
      <c r="T172" s="5">
        <v>4</v>
      </c>
      <c r="U172" s="5">
        <v>16</v>
      </c>
      <c r="V172" s="20" t="s">
        <v>1</v>
      </c>
      <c r="W172" s="20">
        <v>5</v>
      </c>
      <c r="X172" s="20">
        <v>1</v>
      </c>
      <c r="Y172" s="5">
        <v>1</v>
      </c>
      <c r="Z172" s="20">
        <v>4</v>
      </c>
      <c r="AA172" s="23">
        <f t="shared" si="4"/>
        <v>2</v>
      </c>
      <c r="AB172" s="15">
        <v>1</v>
      </c>
      <c r="AC172" s="15">
        <v>1</v>
      </c>
      <c r="AD172" s="15">
        <v>0.875</v>
      </c>
      <c r="AE172" s="15">
        <v>0.95799999999999996</v>
      </c>
      <c r="AF172" s="20">
        <v>23</v>
      </c>
      <c r="AG172" s="20" t="s">
        <v>8</v>
      </c>
      <c r="AH172" s="24">
        <v>24</v>
      </c>
      <c r="AI172" s="23">
        <f t="shared" si="5"/>
        <v>1</v>
      </c>
      <c r="AJ172" s="17">
        <v>13.75</v>
      </c>
      <c r="AK172" s="17">
        <v>13</v>
      </c>
      <c r="AL172" s="14">
        <v>26.75</v>
      </c>
      <c r="AM172" s="23" cm="1">
        <f t="array" ref="AM172">IF(OR(AN172:AZ172=""),"BLANK",IF(AND(AN172:AZ172&lt;9999999),1,IF(AND(AN172:AZ172="NA"),3,2)))</f>
        <v>1</v>
      </c>
      <c r="AN172" s="5">
        <v>11</v>
      </c>
      <c r="AO172" s="5">
        <v>2</v>
      </c>
      <c r="AP172" s="10">
        <v>3</v>
      </c>
      <c r="AQ172" s="10">
        <v>5</v>
      </c>
      <c r="AR172" s="10">
        <v>5</v>
      </c>
      <c r="AS172" s="11">
        <v>797</v>
      </c>
      <c r="AT172" s="11">
        <v>2963.5</v>
      </c>
      <c r="AU172" s="11">
        <v>3884</v>
      </c>
      <c r="AV172" s="11">
        <v>14961</v>
      </c>
      <c r="AW172" s="11">
        <v>0</v>
      </c>
      <c r="AX172" s="11">
        <v>0</v>
      </c>
      <c r="AY172" s="11">
        <v>0</v>
      </c>
      <c r="AZ172" s="11">
        <v>0</v>
      </c>
      <c r="BA172" s="23">
        <v>3</v>
      </c>
      <c r="BB172" s="24" t="s">
        <v>8</v>
      </c>
    </row>
    <row r="173" spans="1:54" x14ac:dyDescent="0.2">
      <c r="A173" s="5">
        <v>998</v>
      </c>
      <c r="B173" s="20" t="s">
        <v>72</v>
      </c>
      <c r="C173" s="18" t="s">
        <v>54</v>
      </c>
      <c r="D173" s="18">
        <v>5</v>
      </c>
      <c r="E173" s="18">
        <v>0</v>
      </c>
      <c r="F173" s="20">
        <v>3.5449999999999999</v>
      </c>
      <c r="G173" s="18">
        <v>30</v>
      </c>
      <c r="H173" s="22">
        <v>4.043805612594114</v>
      </c>
      <c r="I173" s="22" t="s">
        <v>8</v>
      </c>
      <c r="J173" s="22" t="s">
        <v>8</v>
      </c>
      <c r="K173" s="22">
        <v>4.0328542094455848</v>
      </c>
      <c r="L173" s="22" t="s">
        <v>8</v>
      </c>
      <c r="M173" s="22" t="s">
        <v>8</v>
      </c>
      <c r="N173" s="22">
        <v>3.9616700889801506</v>
      </c>
      <c r="O173" s="22" t="s">
        <v>8</v>
      </c>
      <c r="P173" s="22" t="s">
        <v>8</v>
      </c>
      <c r="Q173" s="22" t="s">
        <v>8</v>
      </c>
      <c r="R173" s="22" t="s">
        <v>8</v>
      </c>
      <c r="S173" s="22" t="s">
        <v>8</v>
      </c>
      <c r="T173" s="5">
        <v>7</v>
      </c>
      <c r="U173" s="5">
        <v>21</v>
      </c>
      <c r="V173" s="20" t="s">
        <v>1</v>
      </c>
      <c r="W173" s="20">
        <v>5</v>
      </c>
      <c r="X173" s="20">
        <v>1</v>
      </c>
      <c r="Y173" s="5">
        <v>1</v>
      </c>
      <c r="Z173" s="20">
        <v>4</v>
      </c>
      <c r="AA173" s="23">
        <f t="shared" si="4"/>
        <v>2</v>
      </c>
      <c r="AB173" s="15">
        <v>1</v>
      </c>
      <c r="AC173" s="15">
        <v>1</v>
      </c>
      <c r="AD173" s="15">
        <v>0.75</v>
      </c>
      <c r="AE173" s="15">
        <v>0.91700000000000004</v>
      </c>
      <c r="AF173" s="20">
        <v>22</v>
      </c>
      <c r="AG173" s="20" t="s">
        <v>8</v>
      </c>
      <c r="AH173" s="24">
        <v>24</v>
      </c>
      <c r="AI173" s="23">
        <f t="shared" si="5"/>
        <v>1</v>
      </c>
      <c r="AJ173" s="17">
        <v>10.75</v>
      </c>
      <c r="AK173" s="17">
        <v>14</v>
      </c>
      <c r="AL173" s="14">
        <v>24.75</v>
      </c>
      <c r="AM173" s="23" cm="1">
        <f t="array" ref="AM173">IF(OR(AN173:AZ173=""),"BLANK",IF(AND(AN173:AZ173&lt;9999999),1,IF(AND(AN173:AZ173="NA"),3,2)))</f>
        <v>1</v>
      </c>
      <c r="AN173" s="5">
        <v>8</v>
      </c>
      <c r="AO173" s="5">
        <v>2</v>
      </c>
      <c r="AP173" s="10">
        <v>3</v>
      </c>
      <c r="AQ173" s="10">
        <v>5</v>
      </c>
      <c r="AR173" s="10">
        <v>7.75</v>
      </c>
      <c r="AS173" s="11">
        <v>125.5</v>
      </c>
      <c r="AT173" s="11">
        <v>1000.5</v>
      </c>
      <c r="AU173" s="11">
        <v>3457.5</v>
      </c>
      <c r="AV173" s="11">
        <v>5358.5</v>
      </c>
      <c r="AW173" s="11">
        <v>0</v>
      </c>
      <c r="AX173" s="11">
        <v>0</v>
      </c>
      <c r="AY173" s="11">
        <v>1398.2083333333001</v>
      </c>
      <c r="AZ173" s="11">
        <v>2879.3454545455002</v>
      </c>
      <c r="BA173" s="23">
        <v>3</v>
      </c>
      <c r="BB173" s="24" t="s">
        <v>8</v>
      </c>
    </row>
    <row r="174" spans="1:54" x14ac:dyDescent="0.2">
      <c r="A174" s="5">
        <v>1003</v>
      </c>
      <c r="B174" s="20" t="s">
        <v>62</v>
      </c>
      <c r="C174" s="18" t="s">
        <v>55</v>
      </c>
      <c r="D174" s="18">
        <v>5</v>
      </c>
      <c r="E174" s="18">
        <v>0</v>
      </c>
      <c r="F174" s="20">
        <v>4</v>
      </c>
      <c r="G174" s="18">
        <v>28</v>
      </c>
      <c r="H174" s="22">
        <v>3.9342915811088295</v>
      </c>
      <c r="I174" s="22">
        <v>5.2731006160164275</v>
      </c>
      <c r="J174" s="22">
        <v>9.207392197125257</v>
      </c>
      <c r="K174" s="22">
        <v>3.9342915811088295</v>
      </c>
      <c r="L174" s="22">
        <v>5.2731006160164275</v>
      </c>
      <c r="M174" s="22">
        <v>9.207392197125257</v>
      </c>
      <c r="N174" s="22">
        <v>3.9206023271731691</v>
      </c>
      <c r="O174" s="22">
        <v>5.0020533880903493</v>
      </c>
      <c r="P174" s="22">
        <v>8.9226557152635184</v>
      </c>
      <c r="Q174" s="22">
        <v>3.2772073921971252</v>
      </c>
      <c r="R174" s="22">
        <v>6.362765229295003</v>
      </c>
      <c r="S174" s="22">
        <v>9.6399726214921291</v>
      </c>
      <c r="T174" s="5">
        <v>3</v>
      </c>
      <c r="U174" s="5">
        <v>15</v>
      </c>
      <c r="V174" s="20" t="s">
        <v>1</v>
      </c>
      <c r="W174" s="20">
        <v>5</v>
      </c>
      <c r="X174" s="20">
        <v>1</v>
      </c>
      <c r="Y174" s="5">
        <v>1</v>
      </c>
      <c r="Z174" s="20">
        <v>4</v>
      </c>
      <c r="AA174" s="23">
        <f t="shared" si="4"/>
        <v>2</v>
      </c>
      <c r="AB174" s="15">
        <v>1</v>
      </c>
      <c r="AC174" s="15">
        <v>1</v>
      </c>
      <c r="AD174" s="15">
        <v>0.75</v>
      </c>
      <c r="AE174" s="15">
        <v>0.91700000000000004</v>
      </c>
      <c r="AF174" s="20">
        <v>22</v>
      </c>
      <c r="AG174" s="20" t="s">
        <v>8</v>
      </c>
      <c r="AH174" s="24">
        <v>24</v>
      </c>
      <c r="AI174" s="23">
        <f t="shared" si="5"/>
        <v>1</v>
      </c>
      <c r="AJ174" s="17">
        <v>10.75</v>
      </c>
      <c r="AK174" s="17">
        <v>10.75</v>
      </c>
      <c r="AL174" s="14">
        <v>21.5</v>
      </c>
      <c r="AM174" s="23" cm="1">
        <f t="array" ref="AM174">IF(OR(AN174:AZ174=""),"BLANK",IF(AND(AN174:AZ174&lt;9999999),1,IF(AND(AN174:AZ174="NA"),3,2)))</f>
        <v>1</v>
      </c>
      <c r="AN174" s="5">
        <v>9</v>
      </c>
      <c r="AO174" s="5">
        <v>2</v>
      </c>
      <c r="AP174" s="10">
        <v>3</v>
      </c>
      <c r="AQ174" s="10">
        <v>6.5</v>
      </c>
      <c r="AR174" s="10">
        <v>6</v>
      </c>
      <c r="AS174" s="11">
        <v>3969.5</v>
      </c>
      <c r="AT174" s="11">
        <v>3242.5</v>
      </c>
      <c r="AU174" s="11">
        <v>8594.5</v>
      </c>
      <c r="AV174" s="11">
        <v>18031.75</v>
      </c>
      <c r="AW174" s="11">
        <v>0</v>
      </c>
      <c r="AX174" s="11">
        <v>0</v>
      </c>
      <c r="AY174" s="11">
        <v>314.5138888889</v>
      </c>
      <c r="AZ174" s="11">
        <v>0</v>
      </c>
      <c r="BA174" s="23">
        <v>3</v>
      </c>
      <c r="BB174" s="24" t="s">
        <v>8</v>
      </c>
    </row>
    <row r="175" spans="1:54" x14ac:dyDescent="0.2">
      <c r="A175" s="5">
        <v>1007</v>
      </c>
      <c r="B175" s="20" t="s">
        <v>63</v>
      </c>
      <c r="C175" s="18" t="s">
        <v>55</v>
      </c>
      <c r="D175" s="18">
        <v>5</v>
      </c>
      <c r="E175" s="18">
        <v>0</v>
      </c>
      <c r="F175" s="20">
        <v>3.5449999999999999</v>
      </c>
      <c r="G175" s="18">
        <v>29</v>
      </c>
      <c r="H175" s="22">
        <v>4.0821355236139629</v>
      </c>
      <c r="I175" s="22">
        <v>5.0650239561943877</v>
      </c>
      <c r="J175" s="22">
        <v>9.1471594798083498</v>
      </c>
      <c r="K175" s="22">
        <v>4.1013004791238874</v>
      </c>
      <c r="L175" s="22">
        <v>5.0485968514715944</v>
      </c>
      <c r="M175" s="22">
        <v>9.1498973305954827</v>
      </c>
      <c r="N175" s="22">
        <v>4.0273785078713207</v>
      </c>
      <c r="O175" s="22">
        <v>4.9993155373032172</v>
      </c>
      <c r="P175" s="22">
        <v>9.0266940451745388</v>
      </c>
      <c r="Q175" s="22">
        <v>3.482546201232033</v>
      </c>
      <c r="R175" s="22">
        <v>5.7960301163586587</v>
      </c>
      <c r="S175" s="22">
        <v>9.2785763175906908</v>
      </c>
      <c r="T175" s="5">
        <v>6</v>
      </c>
      <c r="U175" s="5">
        <v>18</v>
      </c>
      <c r="V175" s="20" t="s">
        <v>1</v>
      </c>
      <c r="W175" s="20">
        <v>5</v>
      </c>
      <c r="X175" s="20">
        <v>1</v>
      </c>
      <c r="Y175" s="5">
        <v>1</v>
      </c>
      <c r="Z175" s="20">
        <v>4</v>
      </c>
      <c r="AA175" s="23">
        <f t="shared" si="4"/>
        <v>2</v>
      </c>
      <c r="AB175" s="15">
        <v>0.875</v>
      </c>
      <c r="AC175" s="15">
        <v>0.625</v>
      </c>
      <c r="AD175" s="15">
        <v>0.375</v>
      </c>
      <c r="AE175" s="15">
        <v>0.625</v>
      </c>
      <c r="AF175" s="20">
        <v>15</v>
      </c>
      <c r="AG175" s="20" t="s">
        <v>8</v>
      </c>
      <c r="AH175" s="24">
        <v>24</v>
      </c>
      <c r="AI175" s="23">
        <f t="shared" si="5"/>
        <v>1</v>
      </c>
      <c r="AJ175" s="17">
        <v>8.75</v>
      </c>
      <c r="AK175" s="17">
        <v>8.75</v>
      </c>
      <c r="AL175" s="14">
        <v>17.5</v>
      </c>
      <c r="AM175" s="23" cm="1">
        <f t="array" ref="AM175">IF(OR(AN175:AZ175=""),"BLANK",IF(AND(AN175:AZ175&lt;9999999),1,IF(AND(AN175:AZ175="NA"),3,2)))</f>
        <v>1</v>
      </c>
      <c r="AN175" s="5">
        <v>8</v>
      </c>
      <c r="AO175" s="5">
        <v>2</v>
      </c>
      <c r="AP175" s="10">
        <v>3</v>
      </c>
      <c r="AQ175" s="10">
        <v>4.75</v>
      </c>
      <c r="AR175" s="10">
        <v>7.75</v>
      </c>
      <c r="AS175" s="11">
        <v>462.5</v>
      </c>
      <c r="AT175" s="11">
        <v>2911.5</v>
      </c>
      <c r="AU175" s="11">
        <v>2127.5</v>
      </c>
      <c r="AV175" s="11">
        <v>8013.75</v>
      </c>
      <c r="AW175" s="11">
        <v>0</v>
      </c>
      <c r="AX175" s="11">
        <v>0</v>
      </c>
      <c r="AY175" s="11">
        <v>2252.6071428570999</v>
      </c>
      <c r="AZ175" s="11">
        <v>8545.2643939394002</v>
      </c>
      <c r="BA175" s="23">
        <v>3</v>
      </c>
      <c r="BB175" s="24" t="s">
        <v>8</v>
      </c>
    </row>
    <row r="176" spans="1:54" x14ac:dyDescent="0.2">
      <c r="A176" s="5">
        <v>1008</v>
      </c>
      <c r="B176" s="20" t="s">
        <v>69</v>
      </c>
      <c r="C176" s="18" t="s">
        <v>55</v>
      </c>
      <c r="D176" s="18">
        <v>2</v>
      </c>
      <c r="E176" s="18">
        <v>0</v>
      </c>
      <c r="F176" s="20">
        <v>4</v>
      </c>
      <c r="G176" s="18">
        <v>29</v>
      </c>
      <c r="H176" s="22">
        <v>4.043805612594114</v>
      </c>
      <c r="I176" s="22" t="s">
        <v>8</v>
      </c>
      <c r="J176" s="22" t="s">
        <v>8</v>
      </c>
      <c r="K176" s="22">
        <v>4.043805612594114</v>
      </c>
      <c r="L176" s="22" t="s">
        <v>8</v>
      </c>
      <c r="M176" s="22" t="s">
        <v>8</v>
      </c>
      <c r="N176" s="22">
        <v>4.0739219712525667</v>
      </c>
      <c r="O176" s="22" t="s">
        <v>8</v>
      </c>
      <c r="P176" s="22" t="s">
        <v>8</v>
      </c>
      <c r="Q176" s="22" t="s">
        <v>8</v>
      </c>
      <c r="R176" s="22" t="s">
        <v>8</v>
      </c>
      <c r="S176" s="22" t="s">
        <v>8</v>
      </c>
      <c r="T176" s="5">
        <v>4</v>
      </c>
      <c r="U176" s="5">
        <v>16</v>
      </c>
      <c r="V176" s="20" t="s">
        <v>1</v>
      </c>
      <c r="W176" s="20">
        <v>5</v>
      </c>
      <c r="X176" s="20">
        <v>1</v>
      </c>
      <c r="Y176" s="5">
        <v>1</v>
      </c>
      <c r="Z176" s="20">
        <v>4</v>
      </c>
      <c r="AA176" s="23">
        <f t="shared" si="4"/>
        <v>2</v>
      </c>
      <c r="AB176" s="15">
        <v>1</v>
      </c>
      <c r="AC176" s="15">
        <v>1</v>
      </c>
      <c r="AD176" s="15">
        <v>0.875</v>
      </c>
      <c r="AE176" s="15">
        <v>0.95799999999999996</v>
      </c>
      <c r="AF176" s="20">
        <v>23</v>
      </c>
      <c r="AG176" s="20" t="s">
        <v>8</v>
      </c>
      <c r="AH176" s="24">
        <v>24</v>
      </c>
      <c r="AI176" s="23">
        <f t="shared" si="5"/>
        <v>1</v>
      </c>
      <c r="AJ176" s="17">
        <v>11.5</v>
      </c>
      <c r="AK176" s="17">
        <v>9.5</v>
      </c>
      <c r="AL176" s="14">
        <v>21</v>
      </c>
      <c r="AM176" s="23" cm="1">
        <f t="array" ref="AM176">IF(OR(AN176:AZ176=""),"BLANK",IF(AND(AN176:AZ176&lt;9999999),1,IF(AND(AN176:AZ176="NA"),3,2)))</f>
        <v>1</v>
      </c>
      <c r="AN176" s="5">
        <v>12</v>
      </c>
      <c r="AO176" s="5">
        <v>2</v>
      </c>
      <c r="AP176" s="10">
        <v>3</v>
      </c>
      <c r="AQ176" s="10">
        <v>4</v>
      </c>
      <c r="AR176" s="10">
        <v>5</v>
      </c>
      <c r="AS176" s="11">
        <v>7544.5</v>
      </c>
      <c r="AT176" s="11">
        <v>8851.5</v>
      </c>
      <c r="AU176" s="11">
        <v>24414.75</v>
      </c>
      <c r="AV176" s="11">
        <v>22945</v>
      </c>
      <c r="AW176" s="11">
        <v>0</v>
      </c>
      <c r="AX176" s="11">
        <v>296.6666666667</v>
      </c>
      <c r="AY176" s="11">
        <v>513.875</v>
      </c>
      <c r="AZ176" s="11">
        <v>121.65</v>
      </c>
      <c r="BA176" s="23">
        <v>3</v>
      </c>
      <c r="BB176" s="24" t="s">
        <v>8</v>
      </c>
    </row>
    <row r="177" spans="1:54" x14ac:dyDescent="0.2">
      <c r="A177" s="5">
        <v>1011</v>
      </c>
      <c r="B177" s="20" t="s">
        <v>64</v>
      </c>
      <c r="C177" s="18" t="s">
        <v>55</v>
      </c>
      <c r="D177" s="18">
        <v>5</v>
      </c>
      <c r="E177" s="18">
        <v>0</v>
      </c>
      <c r="F177" s="20">
        <v>3.3639999999999999</v>
      </c>
      <c r="G177" s="18">
        <v>27</v>
      </c>
      <c r="H177" s="22" t="s">
        <v>8</v>
      </c>
      <c r="I177" s="22" t="s">
        <v>8</v>
      </c>
      <c r="J177" s="22" t="s">
        <v>8</v>
      </c>
      <c r="K177" s="22" t="s">
        <v>8</v>
      </c>
      <c r="L177" s="22" t="s">
        <v>8</v>
      </c>
      <c r="M177" s="22" t="s">
        <v>8</v>
      </c>
      <c r="N177" s="22" t="s">
        <v>8</v>
      </c>
      <c r="O177" s="22" t="s">
        <v>8</v>
      </c>
      <c r="P177" s="22" t="s">
        <v>8</v>
      </c>
      <c r="Q177" s="22" t="s">
        <v>8</v>
      </c>
      <c r="R177" s="22" t="s">
        <v>8</v>
      </c>
      <c r="S177" s="22" t="s">
        <v>8</v>
      </c>
      <c r="T177" s="5">
        <v>3</v>
      </c>
      <c r="U177" s="5">
        <v>14</v>
      </c>
      <c r="V177" s="20" t="s">
        <v>1</v>
      </c>
      <c r="W177" s="20">
        <v>5</v>
      </c>
      <c r="X177" s="20">
        <v>1</v>
      </c>
      <c r="Y177" s="5">
        <v>1</v>
      </c>
      <c r="Z177" s="20">
        <v>4</v>
      </c>
      <c r="AA177" s="23">
        <f t="shared" si="4"/>
        <v>2</v>
      </c>
      <c r="AB177" s="15">
        <v>0.75</v>
      </c>
      <c r="AC177" s="15">
        <v>0.625</v>
      </c>
      <c r="AD177" s="15">
        <v>0.375</v>
      </c>
      <c r="AE177" s="15">
        <v>0.58299999999999996</v>
      </c>
      <c r="AF177" s="20">
        <v>14</v>
      </c>
      <c r="AG177" s="20" t="s">
        <v>8</v>
      </c>
      <c r="AH177" s="24">
        <v>24</v>
      </c>
      <c r="AI177" s="23">
        <f t="shared" si="5"/>
        <v>1</v>
      </c>
      <c r="AJ177" s="17">
        <v>7</v>
      </c>
      <c r="AK177" s="17">
        <v>6.5</v>
      </c>
      <c r="AL177" s="14">
        <v>13.5</v>
      </c>
      <c r="AM177" s="23" cm="1">
        <f t="array" ref="AM177">IF(OR(AN177:AZ177=""),"BLANK",IF(AND(AN177:AZ177&lt;9999999),1,IF(AND(AN177:AZ177="NA"),3,2)))</f>
        <v>1</v>
      </c>
      <c r="AN177" s="5">
        <v>8</v>
      </c>
      <c r="AO177" s="5">
        <v>2</v>
      </c>
      <c r="AP177" s="10">
        <v>3</v>
      </c>
      <c r="AQ177" s="10">
        <v>6.25</v>
      </c>
      <c r="AR177" s="10">
        <v>7</v>
      </c>
      <c r="AS177" s="11">
        <v>2534</v>
      </c>
      <c r="AT177" s="11">
        <v>7242.5</v>
      </c>
      <c r="AU177" s="11">
        <v>6488.5</v>
      </c>
      <c r="AV177" s="11">
        <v>2998.75</v>
      </c>
      <c r="AW177" s="11">
        <v>0</v>
      </c>
      <c r="AX177" s="11">
        <v>880</v>
      </c>
      <c r="AY177" s="11">
        <v>1421.2534722221999</v>
      </c>
      <c r="AZ177" s="11">
        <v>2248.2125000000001</v>
      </c>
      <c r="BA177" s="23">
        <v>3</v>
      </c>
      <c r="BB177" s="24" t="s">
        <v>8</v>
      </c>
    </row>
    <row r="178" spans="1:54" x14ac:dyDescent="0.2">
      <c r="A178" s="5">
        <v>1013</v>
      </c>
      <c r="B178" s="20" t="s">
        <v>69</v>
      </c>
      <c r="C178" s="18" t="s">
        <v>54</v>
      </c>
      <c r="D178" s="18">
        <v>5</v>
      </c>
      <c r="E178" s="18">
        <v>0</v>
      </c>
      <c r="F178" s="20">
        <v>4</v>
      </c>
      <c r="G178" s="18">
        <v>29</v>
      </c>
      <c r="H178" s="22">
        <v>4.0219028062970565</v>
      </c>
      <c r="I178" s="22">
        <v>5.0841889117043122</v>
      </c>
      <c r="J178" s="22">
        <v>9.1060917180013696</v>
      </c>
      <c r="K178" s="22">
        <v>4.0219028062970565</v>
      </c>
      <c r="L178" s="22">
        <v>5.0841889117043122</v>
      </c>
      <c r="M178" s="22">
        <v>9.1060917180013696</v>
      </c>
      <c r="N178" s="22">
        <v>4.0574948665297743</v>
      </c>
      <c r="O178" s="22">
        <v>4.7912388774811774</v>
      </c>
      <c r="P178" s="22">
        <v>8.8487337440109517</v>
      </c>
      <c r="Q178" s="22" t="s">
        <v>8</v>
      </c>
      <c r="R178" s="22" t="s">
        <v>8</v>
      </c>
      <c r="S178" s="22" t="s">
        <v>8</v>
      </c>
      <c r="T178" s="5">
        <v>3</v>
      </c>
      <c r="U178" s="5">
        <v>15</v>
      </c>
      <c r="V178" s="20" t="s">
        <v>1</v>
      </c>
      <c r="W178" s="20">
        <v>5</v>
      </c>
      <c r="X178" s="20">
        <v>1</v>
      </c>
      <c r="Y178" s="5">
        <v>1</v>
      </c>
      <c r="Z178" s="20">
        <v>4</v>
      </c>
      <c r="AA178" s="23">
        <f t="shared" si="4"/>
        <v>2</v>
      </c>
      <c r="AB178" s="15">
        <v>1</v>
      </c>
      <c r="AC178" s="15">
        <v>0.875</v>
      </c>
      <c r="AD178" s="15">
        <v>1</v>
      </c>
      <c r="AE178" s="15">
        <v>0.95799999999999996</v>
      </c>
      <c r="AF178" s="20">
        <v>23</v>
      </c>
      <c r="AG178" s="20" t="s">
        <v>8</v>
      </c>
      <c r="AH178" s="24">
        <v>24</v>
      </c>
      <c r="AI178" s="23">
        <f t="shared" si="5"/>
        <v>1</v>
      </c>
      <c r="AJ178" s="17">
        <v>13</v>
      </c>
      <c r="AK178" s="17">
        <v>14</v>
      </c>
      <c r="AL178" s="14">
        <v>27</v>
      </c>
      <c r="AM178" s="23" cm="1">
        <f t="array" ref="AM178">IF(OR(AN178:AZ178=""),"BLANK",IF(AND(AN178:AZ178&lt;9999999),1,IF(AND(AN178:AZ178="NA"),3,2)))</f>
        <v>1</v>
      </c>
      <c r="AN178" s="5">
        <v>11</v>
      </c>
      <c r="AO178" s="5">
        <v>2</v>
      </c>
      <c r="AP178" s="10">
        <v>3</v>
      </c>
      <c r="AQ178" s="10">
        <v>4</v>
      </c>
      <c r="AR178" s="10">
        <v>5.5</v>
      </c>
      <c r="AS178" s="11">
        <v>1141</v>
      </c>
      <c r="AT178" s="11">
        <v>3490.5</v>
      </c>
      <c r="AU178" s="11">
        <v>4774.25</v>
      </c>
      <c r="AV178" s="11">
        <v>22779</v>
      </c>
      <c r="AW178" s="11">
        <v>171.25</v>
      </c>
      <c r="AX178" s="11">
        <v>0</v>
      </c>
      <c r="AY178" s="11">
        <v>14.8125</v>
      </c>
      <c r="AZ178" s="11">
        <v>1524.2142857143001</v>
      </c>
      <c r="BA178" s="23">
        <v>3</v>
      </c>
      <c r="BB178" s="24" t="s">
        <v>8</v>
      </c>
    </row>
    <row r="179" spans="1:54" x14ac:dyDescent="0.2">
      <c r="A179" s="5">
        <v>1022</v>
      </c>
      <c r="B179" s="20" t="s">
        <v>71</v>
      </c>
      <c r="C179" s="18" t="s">
        <v>54</v>
      </c>
      <c r="D179" s="18">
        <v>5</v>
      </c>
      <c r="E179" s="18">
        <v>0</v>
      </c>
      <c r="F179" s="20">
        <v>3.3639999999999999</v>
      </c>
      <c r="G179" s="18">
        <v>30</v>
      </c>
      <c r="H179" s="22">
        <v>4</v>
      </c>
      <c r="I179" s="22">
        <v>5.4893908281998627</v>
      </c>
      <c r="J179" s="22">
        <v>9.4893908281998627</v>
      </c>
      <c r="K179" s="22">
        <v>4</v>
      </c>
      <c r="L179" s="22">
        <v>5.4893908281998627</v>
      </c>
      <c r="M179" s="22">
        <v>9.4893908281998627</v>
      </c>
      <c r="N179" s="22">
        <v>3.9616700889801506</v>
      </c>
      <c r="O179" s="22">
        <v>5.5030800821355239</v>
      </c>
      <c r="P179" s="22">
        <v>9.464750171115675</v>
      </c>
      <c r="Q179" s="22" t="s">
        <v>8</v>
      </c>
      <c r="R179" s="22" t="s">
        <v>8</v>
      </c>
      <c r="S179" s="22" t="s">
        <v>8</v>
      </c>
      <c r="T179" s="5">
        <v>4</v>
      </c>
      <c r="U179" s="5">
        <v>16</v>
      </c>
      <c r="V179" s="20" t="s">
        <v>1</v>
      </c>
      <c r="W179" s="20">
        <v>5</v>
      </c>
      <c r="X179" s="20">
        <v>1</v>
      </c>
      <c r="Y179" s="5">
        <v>1</v>
      </c>
      <c r="Z179" s="20">
        <v>4</v>
      </c>
      <c r="AA179" s="23">
        <f t="shared" si="4"/>
        <v>2</v>
      </c>
      <c r="AB179" s="15">
        <v>1</v>
      </c>
      <c r="AC179" s="15">
        <v>0.875</v>
      </c>
      <c r="AD179" s="15">
        <v>0.875</v>
      </c>
      <c r="AE179" s="15">
        <v>0.91700000000000004</v>
      </c>
      <c r="AF179" s="20">
        <v>22</v>
      </c>
      <c r="AG179" s="20" t="s">
        <v>8</v>
      </c>
      <c r="AH179" s="24">
        <v>24</v>
      </c>
      <c r="AI179" s="23">
        <f t="shared" si="5"/>
        <v>1</v>
      </c>
      <c r="AJ179" s="17">
        <v>14</v>
      </c>
      <c r="AK179" s="17">
        <v>12.75</v>
      </c>
      <c r="AL179" s="14">
        <v>26.75</v>
      </c>
      <c r="AM179" s="23" cm="1">
        <f t="array" ref="AM179">IF(OR(AN179:AZ179=""),"BLANK",IF(AND(AN179:AZ179&lt;9999999),1,IF(AND(AN179:AZ179="NA"),3,2)))</f>
        <v>1</v>
      </c>
      <c r="AN179" s="5">
        <v>8</v>
      </c>
      <c r="AO179" s="5">
        <v>2</v>
      </c>
      <c r="AP179" s="10">
        <v>3</v>
      </c>
      <c r="AQ179" s="10">
        <v>5.25</v>
      </c>
      <c r="AR179" s="10">
        <v>8.5</v>
      </c>
      <c r="AS179" s="11">
        <v>1662.5</v>
      </c>
      <c r="AT179" s="11">
        <v>3635</v>
      </c>
      <c r="AU179" s="11">
        <v>11481.25</v>
      </c>
      <c r="AV179" s="11">
        <v>12337.25</v>
      </c>
      <c r="AW179" s="11">
        <v>0</v>
      </c>
      <c r="AX179" s="11">
        <v>0</v>
      </c>
      <c r="AY179" s="11">
        <v>511.0972222222</v>
      </c>
      <c r="AZ179" s="11">
        <v>790.94507575759997</v>
      </c>
      <c r="BA179" s="23">
        <v>3</v>
      </c>
      <c r="BB179" s="24" t="s">
        <v>8</v>
      </c>
    </row>
    <row r="180" spans="1:54" x14ac:dyDescent="0.2">
      <c r="A180" s="5">
        <v>1023</v>
      </c>
      <c r="B180" s="20" t="s">
        <v>81</v>
      </c>
      <c r="C180" s="18" t="s">
        <v>54</v>
      </c>
      <c r="D180" s="18">
        <v>5</v>
      </c>
      <c r="E180" s="18">
        <v>0</v>
      </c>
      <c r="F180" s="20">
        <v>3.8180000000000001</v>
      </c>
      <c r="G180" s="18">
        <v>27</v>
      </c>
      <c r="H180" s="22">
        <v>3.9616700889801506</v>
      </c>
      <c r="I180" s="22">
        <v>5.3497604380561263</v>
      </c>
      <c r="J180" s="22">
        <v>9.3114305270362774</v>
      </c>
      <c r="K180" s="22">
        <v>3.9479808350444903</v>
      </c>
      <c r="L180" s="22">
        <v>5.3497604380561263</v>
      </c>
      <c r="M180" s="22">
        <v>9.2977412731006162</v>
      </c>
      <c r="N180" s="22">
        <v>3.9863107460643397</v>
      </c>
      <c r="O180" s="22">
        <v>5.3634496919917867</v>
      </c>
      <c r="P180" s="22">
        <v>9.3497604380561263</v>
      </c>
      <c r="Q180" s="22">
        <v>3.4086242299794662</v>
      </c>
      <c r="R180" s="22">
        <v>6.023271731690623</v>
      </c>
      <c r="S180" s="22">
        <v>9.4318959616700884</v>
      </c>
      <c r="T180" s="5">
        <v>6</v>
      </c>
      <c r="U180" s="5">
        <v>18</v>
      </c>
      <c r="V180" s="20" t="s">
        <v>1</v>
      </c>
      <c r="W180" s="20">
        <v>5</v>
      </c>
      <c r="X180" s="20">
        <v>1</v>
      </c>
      <c r="Y180" s="5">
        <v>1</v>
      </c>
      <c r="Z180" s="20">
        <v>4</v>
      </c>
      <c r="AA180" s="23">
        <f t="shared" si="4"/>
        <v>2</v>
      </c>
      <c r="AB180" s="15">
        <v>0.75</v>
      </c>
      <c r="AC180" s="15">
        <v>0.75</v>
      </c>
      <c r="AD180" s="15">
        <v>0.5</v>
      </c>
      <c r="AE180" s="15">
        <v>0.66700000000000004</v>
      </c>
      <c r="AF180" s="20">
        <v>16</v>
      </c>
      <c r="AG180" s="20" t="s">
        <v>8</v>
      </c>
      <c r="AH180" s="24">
        <v>24</v>
      </c>
      <c r="AI180" s="23">
        <f t="shared" si="5"/>
        <v>1</v>
      </c>
      <c r="AJ180" s="17">
        <v>5.5</v>
      </c>
      <c r="AK180" s="17">
        <v>6.75</v>
      </c>
      <c r="AL180" s="14">
        <v>12.25</v>
      </c>
      <c r="AM180" s="23" cm="1">
        <f t="array" ref="AM180">IF(OR(AN180:AZ180=""),"BLANK",IF(AND(AN180:AZ180&lt;9999999),1,IF(AND(AN180:AZ180="NA"),3,2)))</f>
        <v>1</v>
      </c>
      <c r="AN180" s="5">
        <v>9</v>
      </c>
      <c r="AO180" s="5">
        <v>2</v>
      </c>
      <c r="AP180" s="10">
        <v>3</v>
      </c>
      <c r="AQ180" s="10">
        <v>5.25</v>
      </c>
      <c r="AR180" s="10">
        <v>8.5</v>
      </c>
      <c r="AS180" s="11">
        <v>2054</v>
      </c>
      <c r="AT180" s="11">
        <v>3863.5</v>
      </c>
      <c r="AU180" s="11">
        <v>7016.5</v>
      </c>
      <c r="AV180" s="11">
        <v>27683.75</v>
      </c>
      <c r="AW180" s="11">
        <v>0</v>
      </c>
      <c r="AX180" s="11">
        <v>0</v>
      </c>
      <c r="AY180" s="11">
        <v>7250.2986111111004</v>
      </c>
      <c r="AZ180" s="11">
        <v>31179.75</v>
      </c>
      <c r="BA180" s="23">
        <v>3</v>
      </c>
      <c r="BB180" s="24" t="s">
        <v>8</v>
      </c>
    </row>
    <row r="181" spans="1:54" x14ac:dyDescent="0.2">
      <c r="A181" s="5">
        <v>1031</v>
      </c>
      <c r="B181" s="20" t="s">
        <v>67</v>
      </c>
      <c r="C181" s="18" t="s">
        <v>54</v>
      </c>
      <c r="D181" s="18">
        <v>6</v>
      </c>
      <c r="E181" s="18">
        <v>1</v>
      </c>
      <c r="F181" s="20">
        <v>3.6360000000000001</v>
      </c>
      <c r="G181" s="18">
        <v>27</v>
      </c>
      <c r="H181" s="22">
        <v>4.1067761806981515</v>
      </c>
      <c r="I181" s="22">
        <v>5.5195071868583163</v>
      </c>
      <c r="J181" s="22">
        <v>9.6262833675564679</v>
      </c>
      <c r="K181" s="22">
        <v>4.1067761806981515</v>
      </c>
      <c r="L181" s="22">
        <v>5.5195071868583163</v>
      </c>
      <c r="M181" s="22">
        <v>9.6262833675564679</v>
      </c>
      <c r="N181" s="22">
        <v>4.043805612594114</v>
      </c>
      <c r="O181" s="22">
        <v>5.0212183436002737</v>
      </c>
      <c r="P181" s="22">
        <v>9.0650239561943877</v>
      </c>
      <c r="Q181" s="22" t="s">
        <v>8</v>
      </c>
      <c r="R181" s="22" t="s">
        <v>8</v>
      </c>
      <c r="S181" s="22" t="s">
        <v>8</v>
      </c>
      <c r="T181" s="5">
        <v>4</v>
      </c>
      <c r="U181" s="5">
        <v>16</v>
      </c>
      <c r="V181" s="20" t="s">
        <v>1</v>
      </c>
      <c r="W181" s="20">
        <v>5</v>
      </c>
      <c r="X181" s="20">
        <v>1</v>
      </c>
      <c r="Y181" s="5">
        <v>1</v>
      </c>
      <c r="Z181" s="20">
        <v>4</v>
      </c>
      <c r="AA181" s="23">
        <f t="shared" si="4"/>
        <v>2</v>
      </c>
      <c r="AB181" s="15">
        <v>0.5</v>
      </c>
      <c r="AC181" s="15">
        <v>0.75</v>
      </c>
      <c r="AD181" s="15">
        <v>0.25</v>
      </c>
      <c r="AE181" s="15">
        <v>0.5</v>
      </c>
      <c r="AF181" s="20">
        <v>12</v>
      </c>
      <c r="AG181" s="20" t="s">
        <v>8</v>
      </c>
      <c r="AH181" s="24">
        <v>24</v>
      </c>
      <c r="AI181" s="23">
        <f t="shared" si="5"/>
        <v>1</v>
      </c>
      <c r="AJ181" s="17">
        <v>6.5</v>
      </c>
      <c r="AK181" s="17">
        <v>5.5</v>
      </c>
      <c r="AL181" s="14">
        <v>12</v>
      </c>
      <c r="AM181" s="23" cm="1">
        <f t="array" ref="AM181">IF(OR(AN181:AZ181=""),"BLANK",IF(AND(AN181:AZ181&lt;9999999),1,IF(AND(AN181:AZ181="NA"),3,2)))</f>
        <v>1</v>
      </c>
      <c r="AN181" s="5">
        <v>8</v>
      </c>
      <c r="AO181" s="5">
        <v>2</v>
      </c>
      <c r="AP181" s="10">
        <v>3</v>
      </c>
      <c r="AQ181" s="10">
        <v>5.75</v>
      </c>
      <c r="AR181" s="10">
        <v>6.75</v>
      </c>
      <c r="AS181" s="11">
        <v>0</v>
      </c>
      <c r="AT181" s="11">
        <v>1981.5</v>
      </c>
      <c r="AU181" s="11">
        <v>2688.25</v>
      </c>
      <c r="AV181" s="11">
        <v>11603.25</v>
      </c>
      <c r="AW181" s="11">
        <v>0</v>
      </c>
      <c r="AX181" s="11">
        <v>0</v>
      </c>
      <c r="AY181" s="11">
        <v>469.7013888889</v>
      </c>
      <c r="AZ181" s="11">
        <v>865.9106060606</v>
      </c>
      <c r="BA181" s="23">
        <v>3</v>
      </c>
      <c r="BB181" s="24" t="s">
        <v>8</v>
      </c>
    </row>
    <row r="182" spans="1:54" x14ac:dyDescent="0.2">
      <c r="A182" s="5">
        <v>1041</v>
      </c>
      <c r="B182" s="20" t="s">
        <v>72</v>
      </c>
      <c r="C182" s="18" t="s">
        <v>54</v>
      </c>
      <c r="D182" s="18">
        <v>5</v>
      </c>
      <c r="E182" s="18">
        <v>0</v>
      </c>
      <c r="F182" s="20">
        <v>3.2730000000000001</v>
      </c>
      <c r="G182" s="18">
        <v>29</v>
      </c>
      <c r="H182" s="22" t="s">
        <v>8</v>
      </c>
      <c r="I182" s="22" t="s">
        <v>8</v>
      </c>
      <c r="J182" s="22" t="s">
        <v>8</v>
      </c>
      <c r="K182" s="22" t="s">
        <v>8</v>
      </c>
      <c r="L182" s="22" t="s">
        <v>8</v>
      </c>
      <c r="M182" s="22" t="s">
        <v>8</v>
      </c>
      <c r="N182" s="22" t="s">
        <v>8</v>
      </c>
      <c r="O182" s="22" t="s">
        <v>8</v>
      </c>
      <c r="P182" s="22" t="s">
        <v>8</v>
      </c>
      <c r="Q182" s="22" t="s">
        <v>8</v>
      </c>
      <c r="R182" s="22" t="s">
        <v>8</v>
      </c>
      <c r="S182" s="22" t="s">
        <v>8</v>
      </c>
      <c r="T182" s="5">
        <v>4</v>
      </c>
      <c r="U182" s="5">
        <v>16</v>
      </c>
      <c r="V182" s="20" t="s">
        <v>1</v>
      </c>
      <c r="W182" s="20">
        <v>5</v>
      </c>
      <c r="X182" s="20">
        <v>1</v>
      </c>
      <c r="Y182" s="5">
        <v>1</v>
      </c>
      <c r="Z182" s="20">
        <v>4</v>
      </c>
      <c r="AA182" s="23">
        <f t="shared" si="4"/>
        <v>2</v>
      </c>
      <c r="AB182" s="15">
        <v>1</v>
      </c>
      <c r="AC182" s="15">
        <v>1</v>
      </c>
      <c r="AD182" s="15">
        <v>0.625</v>
      </c>
      <c r="AE182" s="15">
        <v>0.875</v>
      </c>
      <c r="AF182" s="20">
        <v>21</v>
      </c>
      <c r="AG182" s="20" t="s">
        <v>8</v>
      </c>
      <c r="AH182" s="24">
        <v>24</v>
      </c>
      <c r="AI182" s="23">
        <f t="shared" si="5"/>
        <v>1</v>
      </c>
      <c r="AJ182" s="17">
        <v>10.75</v>
      </c>
      <c r="AK182" s="17">
        <v>9.5</v>
      </c>
      <c r="AL182" s="14">
        <v>20.25</v>
      </c>
      <c r="AM182" s="23" cm="1">
        <f t="array" ref="AM182">IF(OR(AN182:AZ182=""),"BLANK",IF(AND(AN182:AZ182&lt;9999999),1,IF(AND(AN182:AZ182="NA"),3,2)))</f>
        <v>1</v>
      </c>
      <c r="AN182" s="5">
        <v>11</v>
      </c>
      <c r="AO182" s="5">
        <v>2</v>
      </c>
      <c r="AP182" s="10">
        <v>3</v>
      </c>
      <c r="AQ182" s="10">
        <v>4</v>
      </c>
      <c r="AR182" s="10">
        <v>5.25</v>
      </c>
      <c r="AS182" s="11">
        <v>1291</v>
      </c>
      <c r="AT182" s="11">
        <v>5659.5</v>
      </c>
      <c r="AU182" s="11">
        <v>6624</v>
      </c>
      <c r="AV182" s="11">
        <v>7213</v>
      </c>
      <c r="AW182" s="11">
        <v>62.5</v>
      </c>
      <c r="AX182" s="11">
        <v>0</v>
      </c>
      <c r="AY182" s="11">
        <v>0</v>
      </c>
      <c r="AZ182" s="11">
        <v>0</v>
      </c>
      <c r="BA182" s="23">
        <v>3</v>
      </c>
      <c r="BB182" s="24" t="s">
        <v>8</v>
      </c>
    </row>
    <row r="183" spans="1:54" x14ac:dyDescent="0.2">
      <c r="A183" s="5">
        <v>1043</v>
      </c>
      <c r="B183" s="20" t="s">
        <v>81</v>
      </c>
      <c r="C183" s="18" t="s">
        <v>55</v>
      </c>
      <c r="D183" s="18">
        <v>5</v>
      </c>
      <c r="E183" s="18">
        <v>0</v>
      </c>
      <c r="F183" s="20">
        <v>2.6360000000000001</v>
      </c>
      <c r="G183" s="18">
        <v>26</v>
      </c>
      <c r="H183" s="22" t="s">
        <v>8</v>
      </c>
      <c r="I183" s="22" t="s">
        <v>8</v>
      </c>
      <c r="J183" s="22" t="s">
        <v>8</v>
      </c>
      <c r="K183" s="22" t="s">
        <v>8</v>
      </c>
      <c r="L183" s="22" t="s">
        <v>8</v>
      </c>
      <c r="M183" s="22" t="s">
        <v>8</v>
      </c>
      <c r="N183" s="22" t="s">
        <v>8</v>
      </c>
      <c r="O183" s="22" t="s">
        <v>8</v>
      </c>
      <c r="P183" s="22" t="s">
        <v>8</v>
      </c>
      <c r="Q183" s="22" t="s">
        <v>8</v>
      </c>
      <c r="R183" s="22" t="s">
        <v>8</v>
      </c>
      <c r="S183" s="22" t="s">
        <v>8</v>
      </c>
      <c r="T183" s="5">
        <v>7</v>
      </c>
      <c r="U183" s="5">
        <v>21</v>
      </c>
      <c r="V183" s="20" t="s">
        <v>1</v>
      </c>
      <c r="W183" s="20">
        <v>5</v>
      </c>
      <c r="X183" s="20">
        <v>1</v>
      </c>
      <c r="Y183" s="5">
        <v>1</v>
      </c>
      <c r="Z183" s="20">
        <v>4</v>
      </c>
      <c r="AA183" s="23">
        <f t="shared" si="4"/>
        <v>2</v>
      </c>
      <c r="AB183" s="15">
        <v>0.875</v>
      </c>
      <c r="AC183" s="15">
        <v>0.5</v>
      </c>
      <c r="AD183" s="15">
        <v>0</v>
      </c>
      <c r="AE183" s="15">
        <v>0.45800000000000002</v>
      </c>
      <c r="AF183" s="20">
        <v>11</v>
      </c>
      <c r="AG183" s="20" t="s">
        <v>8</v>
      </c>
      <c r="AH183" s="24">
        <v>24</v>
      </c>
      <c r="AI183" s="23">
        <f t="shared" si="5"/>
        <v>1</v>
      </c>
      <c r="AJ183" s="17">
        <v>7.75</v>
      </c>
      <c r="AK183" s="17">
        <v>2.5</v>
      </c>
      <c r="AL183" s="14">
        <v>10.25</v>
      </c>
      <c r="AM183" s="23" cm="1">
        <f t="array" ref="AM183">IF(OR(AN183:AZ183=""),"BLANK",IF(AND(AN183:AZ183&lt;9999999),1,IF(AND(AN183:AZ183="NA"),3,2)))</f>
        <v>1</v>
      </c>
      <c r="AN183" s="5">
        <v>5</v>
      </c>
      <c r="AO183" s="5">
        <v>2</v>
      </c>
      <c r="AP183" s="10">
        <v>4</v>
      </c>
      <c r="AQ183" s="10">
        <v>5.75</v>
      </c>
      <c r="AR183" s="10">
        <v>6</v>
      </c>
      <c r="AS183" s="11">
        <v>926</v>
      </c>
      <c r="AT183" s="11">
        <v>10203.5</v>
      </c>
      <c r="AU183" s="11">
        <v>6669.25</v>
      </c>
      <c r="AV183" s="11">
        <v>4745</v>
      </c>
      <c r="AW183" s="11">
        <v>0</v>
      </c>
      <c r="AX183" s="11">
        <v>20558.875</v>
      </c>
      <c r="AY183" s="11">
        <v>8216.9722222222008</v>
      </c>
      <c r="AZ183" s="11">
        <v>1328.0761904762001</v>
      </c>
      <c r="BA183" s="23">
        <v>3</v>
      </c>
      <c r="BB183" s="24" t="s">
        <v>8</v>
      </c>
    </row>
    <row r="184" spans="1:54" x14ac:dyDescent="0.2">
      <c r="A184" s="5">
        <v>1045</v>
      </c>
      <c r="B184" s="20" t="s">
        <v>81</v>
      </c>
      <c r="C184" s="18" t="s">
        <v>54</v>
      </c>
      <c r="D184" s="18">
        <v>5</v>
      </c>
      <c r="E184" s="18">
        <v>0</v>
      </c>
      <c r="F184" s="20">
        <v>3.5449999999999999</v>
      </c>
      <c r="G184" s="18">
        <v>30</v>
      </c>
      <c r="H184" s="22">
        <v>4.3723477070499657</v>
      </c>
      <c r="I184" s="22">
        <v>5.0787132101300481</v>
      </c>
      <c r="J184" s="22">
        <v>9.4510609171800137</v>
      </c>
      <c r="K184" s="22">
        <v>4.3723477070499657</v>
      </c>
      <c r="L184" s="22">
        <v>5.0787132101300481</v>
      </c>
      <c r="M184" s="22">
        <v>9.4510609171800137</v>
      </c>
      <c r="N184" s="22" t="s">
        <v>8</v>
      </c>
      <c r="O184" s="22" t="s">
        <v>8</v>
      </c>
      <c r="P184" s="22" t="s">
        <v>8</v>
      </c>
      <c r="Q184" s="22">
        <v>3.3127994524298425</v>
      </c>
      <c r="R184" s="22" t="s">
        <v>8</v>
      </c>
      <c r="S184" s="22" t="s">
        <v>8</v>
      </c>
      <c r="T184" s="5">
        <v>5</v>
      </c>
      <c r="U184" s="5">
        <v>18</v>
      </c>
      <c r="V184" s="20" t="s">
        <v>1</v>
      </c>
      <c r="W184" s="20">
        <v>5</v>
      </c>
      <c r="X184" s="20">
        <v>1</v>
      </c>
      <c r="Y184" s="5">
        <v>1</v>
      </c>
      <c r="Z184" s="20">
        <v>4</v>
      </c>
      <c r="AA184" s="23">
        <f t="shared" si="4"/>
        <v>2</v>
      </c>
      <c r="AB184" s="15">
        <v>0.875</v>
      </c>
      <c r="AC184" s="15">
        <v>0.8571428571428571</v>
      </c>
      <c r="AD184" s="15">
        <v>0.6</v>
      </c>
      <c r="AE184" s="15">
        <v>0.8</v>
      </c>
      <c r="AF184" s="20">
        <v>16</v>
      </c>
      <c r="AG184" s="20" t="s">
        <v>8</v>
      </c>
      <c r="AH184" s="24">
        <v>20</v>
      </c>
      <c r="AI184" s="23">
        <f t="shared" si="5"/>
        <v>1</v>
      </c>
      <c r="AJ184" s="17">
        <v>7.5</v>
      </c>
      <c r="AK184" s="17">
        <v>5.5</v>
      </c>
      <c r="AL184" s="14">
        <v>13</v>
      </c>
      <c r="AM184" s="23" cm="1">
        <f t="array" ref="AM184">IF(OR(AN184:AZ184=""),"BLANK",IF(AND(AN184:AZ184&lt;9999999),1,IF(AND(AN184:AZ184="NA"),3,2)))</f>
        <v>1</v>
      </c>
      <c r="AN184" s="5">
        <v>7</v>
      </c>
      <c r="AO184" s="5">
        <v>2</v>
      </c>
      <c r="AP184" s="10">
        <v>3.5</v>
      </c>
      <c r="AQ184" s="10">
        <v>4.75</v>
      </c>
      <c r="AR184" s="10">
        <v>9.5</v>
      </c>
      <c r="AS184" s="11">
        <v>3897.5</v>
      </c>
      <c r="AT184" s="11">
        <v>2611.5</v>
      </c>
      <c r="AU184" s="11">
        <v>2547</v>
      </c>
      <c r="AV184" s="11">
        <v>4740.25</v>
      </c>
      <c r="AW184" s="11">
        <v>0</v>
      </c>
      <c r="AX184" s="11">
        <v>3827</v>
      </c>
      <c r="AY184" s="11">
        <v>2427.0625</v>
      </c>
      <c r="AZ184" s="11">
        <v>1385.1041666666999</v>
      </c>
      <c r="BA184" s="23">
        <v>3</v>
      </c>
      <c r="BB184" s="24" t="s">
        <v>8</v>
      </c>
    </row>
    <row r="185" spans="1:54" x14ac:dyDescent="0.2">
      <c r="A185" s="5">
        <v>1054</v>
      </c>
      <c r="B185" s="20" t="s">
        <v>64</v>
      </c>
      <c r="C185" s="18" t="s">
        <v>54</v>
      </c>
      <c r="D185" s="18">
        <v>5</v>
      </c>
      <c r="E185" s="18">
        <v>0</v>
      </c>
      <c r="F185" s="20">
        <v>2.5449999999999999</v>
      </c>
      <c r="G185" s="18">
        <v>30</v>
      </c>
      <c r="H185" s="22">
        <v>3.871321013004791</v>
      </c>
      <c r="I185" s="22">
        <v>5.3360711841204651</v>
      </c>
      <c r="J185" s="22">
        <v>9.207392197125257</v>
      </c>
      <c r="K185" s="22">
        <v>3.8795345653661877</v>
      </c>
      <c r="L185" s="22">
        <v>5.3278576317590689</v>
      </c>
      <c r="M185" s="22">
        <v>9.207392197125257</v>
      </c>
      <c r="N185" s="22">
        <v>3.9178644763860371</v>
      </c>
      <c r="O185" s="22" t="s">
        <v>8</v>
      </c>
      <c r="P185" s="22" t="s">
        <v>8</v>
      </c>
      <c r="Q185" s="22">
        <v>3.2197125256673513</v>
      </c>
      <c r="R185" s="22" t="s">
        <v>8</v>
      </c>
      <c r="S185" s="22" t="s">
        <v>8</v>
      </c>
      <c r="T185" s="5">
        <v>7</v>
      </c>
      <c r="U185" s="5">
        <v>21</v>
      </c>
      <c r="V185" s="20" t="s">
        <v>1</v>
      </c>
      <c r="W185" s="20">
        <v>5</v>
      </c>
      <c r="X185" s="20">
        <v>1</v>
      </c>
      <c r="Y185" s="5">
        <v>1</v>
      </c>
      <c r="Z185" s="20">
        <v>4</v>
      </c>
      <c r="AA185" s="23">
        <f t="shared" si="4"/>
        <v>2</v>
      </c>
      <c r="AB185" s="15">
        <v>1</v>
      </c>
      <c r="AC185" s="15">
        <v>0.8571428571428571</v>
      </c>
      <c r="AD185" s="15">
        <v>0.5</v>
      </c>
      <c r="AE185" s="15">
        <v>0.78300000000000003</v>
      </c>
      <c r="AF185" s="20">
        <v>18</v>
      </c>
      <c r="AG185" s="20" t="s">
        <v>8</v>
      </c>
      <c r="AH185" s="24">
        <v>23</v>
      </c>
      <c r="AI185" s="23">
        <f t="shared" si="5"/>
        <v>1</v>
      </c>
      <c r="AJ185" s="17">
        <v>9.75</v>
      </c>
      <c r="AK185" s="17">
        <v>8.75</v>
      </c>
      <c r="AL185" s="14">
        <v>18.5</v>
      </c>
      <c r="AM185" s="23" cm="1">
        <f t="array" ref="AM185">IF(OR(AN185:AZ185=""),"BLANK",IF(AND(AN185:AZ185&lt;9999999),1,IF(AND(AN185:AZ185="NA"),3,2)))</f>
        <v>1</v>
      </c>
      <c r="AN185" s="5">
        <v>6</v>
      </c>
      <c r="AO185" s="5">
        <v>2</v>
      </c>
      <c r="AP185" s="10">
        <v>3</v>
      </c>
      <c r="AQ185" s="10">
        <v>6.25</v>
      </c>
      <c r="AR185" s="10">
        <v>8</v>
      </c>
      <c r="AS185" s="11">
        <v>10190</v>
      </c>
      <c r="AT185" s="11">
        <v>15827</v>
      </c>
      <c r="AU185" s="11">
        <v>9557.25</v>
      </c>
      <c r="AV185" s="11">
        <v>14821</v>
      </c>
      <c r="AW185" s="11">
        <v>230.25</v>
      </c>
      <c r="AX185" s="11">
        <v>124.1666666667</v>
      </c>
      <c r="AY185" s="11">
        <v>6098.2256944443998</v>
      </c>
      <c r="AZ185" s="11">
        <v>1591.6044372294</v>
      </c>
      <c r="BA185" s="23">
        <v>3</v>
      </c>
      <c r="BB185" s="24" t="s">
        <v>8</v>
      </c>
    </row>
    <row r="186" spans="1:54" x14ac:dyDescent="0.2">
      <c r="A186" s="5">
        <v>1058</v>
      </c>
      <c r="B186" s="20" t="s">
        <v>79</v>
      </c>
      <c r="C186" s="18" t="s">
        <v>54</v>
      </c>
      <c r="D186" s="18">
        <v>5</v>
      </c>
      <c r="E186" s="18">
        <v>0</v>
      </c>
      <c r="F186" s="20">
        <v>3.2730000000000001</v>
      </c>
      <c r="G186" s="18">
        <v>28</v>
      </c>
      <c r="H186" s="22">
        <v>3.9945242984257359</v>
      </c>
      <c r="I186" s="22">
        <v>5.5633127994524294</v>
      </c>
      <c r="J186" s="22">
        <v>9.5578370978781653</v>
      </c>
      <c r="K186" s="22">
        <v>3.9945242984257359</v>
      </c>
      <c r="L186" s="22">
        <v>5.5633127994524294</v>
      </c>
      <c r="M186" s="22">
        <v>9.5578370978781653</v>
      </c>
      <c r="N186" s="22" t="s">
        <v>8</v>
      </c>
      <c r="O186" s="22" t="s">
        <v>8</v>
      </c>
      <c r="P186" s="22">
        <v>9.5742642026009577</v>
      </c>
      <c r="Q186" s="22" t="s">
        <v>8</v>
      </c>
      <c r="R186" s="22" t="s">
        <v>8</v>
      </c>
      <c r="S186" s="22" t="s">
        <v>8</v>
      </c>
      <c r="T186" s="5">
        <v>4</v>
      </c>
      <c r="U186" s="5">
        <v>16</v>
      </c>
      <c r="V186" s="20" t="s">
        <v>1</v>
      </c>
      <c r="W186" s="20">
        <v>5</v>
      </c>
      <c r="X186" s="20">
        <v>1</v>
      </c>
      <c r="Y186" s="5">
        <v>1</v>
      </c>
      <c r="Z186" s="20">
        <v>4</v>
      </c>
      <c r="AA186" s="23">
        <f t="shared" si="4"/>
        <v>2</v>
      </c>
      <c r="AB186" s="15">
        <v>1</v>
      </c>
      <c r="AC186" s="15">
        <v>1</v>
      </c>
      <c r="AD186" s="15">
        <v>0.75</v>
      </c>
      <c r="AE186" s="15">
        <v>0.91700000000000004</v>
      </c>
      <c r="AF186" s="20">
        <v>22</v>
      </c>
      <c r="AG186" s="20" t="s">
        <v>8</v>
      </c>
      <c r="AH186" s="24">
        <v>24</v>
      </c>
      <c r="AI186" s="23">
        <f t="shared" si="5"/>
        <v>1</v>
      </c>
      <c r="AJ186" s="17">
        <v>9</v>
      </c>
      <c r="AK186" s="17">
        <v>9</v>
      </c>
      <c r="AL186" s="14">
        <v>18</v>
      </c>
      <c r="AM186" s="23" cm="1">
        <f t="array" ref="AM186">IF(OR(AN186:AZ186=""),"BLANK",IF(AND(AN186:AZ186&lt;9999999),1,IF(AND(AN186:AZ186="NA"),3,2)))</f>
        <v>1</v>
      </c>
      <c r="AN186" s="5">
        <v>10</v>
      </c>
      <c r="AO186" s="5">
        <v>2</v>
      </c>
      <c r="AP186" s="10">
        <v>3</v>
      </c>
      <c r="AQ186" s="10">
        <v>4</v>
      </c>
      <c r="AR186" s="10">
        <v>6.75</v>
      </c>
      <c r="AS186" s="11">
        <v>1566</v>
      </c>
      <c r="AT186" s="11">
        <v>13550</v>
      </c>
      <c r="AU186" s="11">
        <v>15517.75</v>
      </c>
      <c r="AV186" s="11">
        <v>18391.75</v>
      </c>
      <c r="AW186" s="11">
        <v>0</v>
      </c>
      <c r="AX186" s="11">
        <v>1024.5</v>
      </c>
      <c r="AY186" s="11">
        <v>886</v>
      </c>
      <c r="AZ186" s="11">
        <v>2444.7015151515002</v>
      </c>
      <c r="BA186" s="23">
        <v>3</v>
      </c>
      <c r="BB186" s="24" t="s">
        <v>8</v>
      </c>
    </row>
    <row r="187" spans="1:54" x14ac:dyDescent="0.2">
      <c r="A187" s="5">
        <v>1084</v>
      </c>
      <c r="B187" s="20" t="s">
        <v>64</v>
      </c>
      <c r="C187" s="18" t="s">
        <v>54</v>
      </c>
      <c r="D187" s="18">
        <v>5</v>
      </c>
      <c r="E187" s="18">
        <v>0</v>
      </c>
      <c r="F187" s="20">
        <v>4</v>
      </c>
      <c r="G187" s="18">
        <v>26</v>
      </c>
      <c r="H187" s="22">
        <v>3.9507186858316223</v>
      </c>
      <c r="I187" s="22">
        <v>5.4976043805612598</v>
      </c>
      <c r="J187" s="22">
        <v>9.4483230663928808</v>
      </c>
      <c r="K187" s="22">
        <v>3.9479808350444903</v>
      </c>
      <c r="L187" s="22">
        <v>5.4976043805612598</v>
      </c>
      <c r="M187" s="22">
        <v>9.4455852156057496</v>
      </c>
      <c r="N187" s="22" t="s">
        <v>8</v>
      </c>
      <c r="O187" s="22" t="s">
        <v>8</v>
      </c>
      <c r="P187" s="22" t="s">
        <v>8</v>
      </c>
      <c r="Q187" s="22">
        <v>3.2908966461327855</v>
      </c>
      <c r="R187" s="22" t="s">
        <v>8</v>
      </c>
      <c r="S187" s="22" t="s">
        <v>8</v>
      </c>
      <c r="T187" s="5">
        <v>4</v>
      </c>
      <c r="U187" s="5">
        <v>16</v>
      </c>
      <c r="V187" s="20" t="s">
        <v>1</v>
      </c>
      <c r="W187" s="20">
        <v>5</v>
      </c>
      <c r="X187" s="20">
        <v>1</v>
      </c>
      <c r="Y187" s="5">
        <v>1</v>
      </c>
      <c r="Z187" s="20">
        <v>4</v>
      </c>
      <c r="AA187" s="23">
        <f t="shared" si="4"/>
        <v>2</v>
      </c>
      <c r="AB187" s="15">
        <v>1</v>
      </c>
      <c r="AC187" s="15">
        <v>0.75</v>
      </c>
      <c r="AD187" s="15">
        <v>0.75</v>
      </c>
      <c r="AE187" s="15">
        <v>0.83299999999999996</v>
      </c>
      <c r="AF187" s="20">
        <v>20</v>
      </c>
      <c r="AG187" s="20" t="s">
        <v>8</v>
      </c>
      <c r="AH187" s="24">
        <v>24</v>
      </c>
      <c r="AI187" s="23">
        <f t="shared" si="5"/>
        <v>1</v>
      </c>
      <c r="AJ187" s="17">
        <v>0.5</v>
      </c>
      <c r="AK187" s="17">
        <v>7.5</v>
      </c>
      <c r="AL187" s="14">
        <v>8</v>
      </c>
      <c r="AM187" s="23" cm="1">
        <f t="array" ref="AM187">IF(OR(AN187:AZ187=""),"BLANK",IF(AND(AN187:AZ187&lt;9999999),1,IF(AND(AN187:AZ187="NA"),3,2)))</f>
        <v>1</v>
      </c>
      <c r="AN187" s="5">
        <v>9</v>
      </c>
      <c r="AO187" s="5">
        <v>2</v>
      </c>
      <c r="AP187" s="10">
        <v>3</v>
      </c>
      <c r="AQ187" s="10">
        <v>5</v>
      </c>
      <c r="AR187" s="10">
        <v>7.75</v>
      </c>
      <c r="AS187" s="11">
        <v>0</v>
      </c>
      <c r="AT187" s="11">
        <v>5318.5</v>
      </c>
      <c r="AU187" s="11">
        <v>10442.5</v>
      </c>
      <c r="AV187" s="11">
        <v>13501.25</v>
      </c>
      <c r="AW187" s="11">
        <v>0</v>
      </c>
      <c r="AX187" s="11">
        <v>0</v>
      </c>
      <c r="AY187" s="11">
        <v>1280.5</v>
      </c>
      <c r="AZ187" s="11">
        <v>3720.2363636363998</v>
      </c>
      <c r="BA187" s="23">
        <v>3</v>
      </c>
      <c r="BB187" s="24" t="s">
        <v>8</v>
      </c>
    </row>
    <row r="188" spans="1:54" x14ac:dyDescent="0.2">
      <c r="A188" s="5">
        <v>1093</v>
      </c>
      <c r="B188" s="20" t="s">
        <v>74</v>
      </c>
      <c r="C188" s="18" t="s">
        <v>55</v>
      </c>
      <c r="D188" s="18">
        <v>5</v>
      </c>
      <c r="E188" s="18">
        <v>0</v>
      </c>
      <c r="F188" s="20">
        <v>3.6360000000000001</v>
      </c>
      <c r="G188" s="18">
        <v>27</v>
      </c>
      <c r="H188" s="22">
        <v>3.698836413415469</v>
      </c>
      <c r="I188" s="22">
        <v>5.3853524982888432</v>
      </c>
      <c r="J188" s="22">
        <v>9.0841889117043113</v>
      </c>
      <c r="K188" s="22">
        <v>3.698836413415469</v>
      </c>
      <c r="L188" s="22">
        <v>5.4072553045858998</v>
      </c>
      <c r="M188" s="22">
        <v>9.1060917180013696</v>
      </c>
      <c r="N188" s="22">
        <v>3.698836413415469</v>
      </c>
      <c r="O188" s="22">
        <v>5.0787132101300481</v>
      </c>
      <c r="P188" s="22">
        <v>8.7775496235455162</v>
      </c>
      <c r="Q188" s="22" t="s">
        <v>8</v>
      </c>
      <c r="R188" s="22" t="s">
        <v>8</v>
      </c>
      <c r="S188" s="22" t="s">
        <v>8</v>
      </c>
      <c r="T188" s="5">
        <v>6</v>
      </c>
      <c r="U188" s="5">
        <v>18</v>
      </c>
      <c r="V188" s="20" t="s">
        <v>1</v>
      </c>
      <c r="W188" s="20">
        <v>5</v>
      </c>
      <c r="X188" s="20">
        <v>1</v>
      </c>
      <c r="Y188" s="5">
        <v>1</v>
      </c>
      <c r="Z188" s="20">
        <v>4</v>
      </c>
      <c r="AA188" s="23">
        <f t="shared" si="4"/>
        <v>2</v>
      </c>
      <c r="AB188" s="15">
        <v>1</v>
      </c>
      <c r="AC188" s="15">
        <v>0.875</v>
      </c>
      <c r="AD188" s="15">
        <v>0.75</v>
      </c>
      <c r="AE188" s="15">
        <v>0.875</v>
      </c>
      <c r="AF188" s="20">
        <v>21</v>
      </c>
      <c r="AG188" s="20" t="s">
        <v>8</v>
      </c>
      <c r="AH188" s="24">
        <v>24</v>
      </c>
      <c r="AI188" s="23">
        <f t="shared" si="5"/>
        <v>1</v>
      </c>
      <c r="AJ188" s="17">
        <v>9.75</v>
      </c>
      <c r="AK188" s="17">
        <v>11.75</v>
      </c>
      <c r="AL188" s="14">
        <v>21.5</v>
      </c>
      <c r="AM188" s="23" cm="1">
        <f t="array" ref="AM188">IF(OR(AN188:AZ188=""),"BLANK",IF(AND(AN188:AZ188&lt;9999999),1,IF(AND(AN188:AZ188="NA"),3,2)))</f>
        <v>1</v>
      </c>
      <c r="AN188" s="5">
        <v>8</v>
      </c>
      <c r="AO188" s="5">
        <v>2</v>
      </c>
      <c r="AP188" s="10">
        <v>3</v>
      </c>
      <c r="AQ188" s="10">
        <v>5.25</v>
      </c>
      <c r="AR188" s="10">
        <v>8.5</v>
      </c>
      <c r="AS188" s="11">
        <v>4310</v>
      </c>
      <c r="AT188" s="11">
        <v>8458</v>
      </c>
      <c r="AU188" s="11">
        <v>10680.25</v>
      </c>
      <c r="AV188" s="11">
        <v>11607</v>
      </c>
      <c r="AW188" s="11">
        <v>0</v>
      </c>
      <c r="AX188" s="11">
        <v>0</v>
      </c>
      <c r="AY188" s="11">
        <v>235.48750000000001</v>
      </c>
      <c r="AZ188" s="11">
        <v>1655.1666666666999</v>
      </c>
      <c r="BA188" s="23">
        <v>3</v>
      </c>
      <c r="BB188" s="24" t="s">
        <v>8</v>
      </c>
    </row>
    <row r="189" spans="1:54" x14ac:dyDescent="0.2">
      <c r="A189" s="5">
        <v>1108</v>
      </c>
      <c r="B189" s="20" t="s">
        <v>64</v>
      </c>
      <c r="C189" s="18" t="s">
        <v>55</v>
      </c>
      <c r="D189" s="18">
        <v>5</v>
      </c>
      <c r="E189" s="18">
        <v>0</v>
      </c>
      <c r="F189" s="20">
        <v>4</v>
      </c>
      <c r="G189" s="18">
        <v>27</v>
      </c>
      <c r="H189" s="22" t="s">
        <v>8</v>
      </c>
      <c r="I189" s="22" t="s">
        <v>8</v>
      </c>
      <c r="J189" s="22" t="s">
        <v>8</v>
      </c>
      <c r="K189" s="22" t="s">
        <v>8</v>
      </c>
      <c r="L189" s="22" t="s">
        <v>8</v>
      </c>
      <c r="M189" s="22" t="s">
        <v>8</v>
      </c>
      <c r="N189" s="22" t="s">
        <v>8</v>
      </c>
      <c r="O189" s="22" t="s">
        <v>8</v>
      </c>
      <c r="P189" s="22" t="s">
        <v>8</v>
      </c>
      <c r="Q189" s="22" t="s">
        <v>8</v>
      </c>
      <c r="R189" s="22" t="s">
        <v>8</v>
      </c>
      <c r="S189" s="22" t="s">
        <v>8</v>
      </c>
      <c r="T189" s="5">
        <v>4</v>
      </c>
      <c r="U189" s="5">
        <v>16</v>
      </c>
      <c r="V189" s="20" t="s">
        <v>1</v>
      </c>
      <c r="W189" s="20">
        <v>5</v>
      </c>
      <c r="X189" s="20">
        <v>1</v>
      </c>
      <c r="Y189" s="5">
        <v>1</v>
      </c>
      <c r="Z189" s="20">
        <v>4</v>
      </c>
      <c r="AA189" s="23">
        <f t="shared" si="4"/>
        <v>2</v>
      </c>
      <c r="AB189" s="15">
        <v>0.875</v>
      </c>
      <c r="AC189" s="15">
        <v>0.75</v>
      </c>
      <c r="AD189" s="15">
        <v>0.375</v>
      </c>
      <c r="AE189" s="15">
        <v>0.66700000000000004</v>
      </c>
      <c r="AF189" s="20">
        <v>16</v>
      </c>
      <c r="AG189" s="20" t="s">
        <v>8</v>
      </c>
      <c r="AH189" s="24">
        <v>24</v>
      </c>
      <c r="AI189" s="23">
        <f t="shared" si="5"/>
        <v>1</v>
      </c>
      <c r="AJ189" s="17">
        <v>6.75</v>
      </c>
      <c r="AK189" s="17">
        <v>2</v>
      </c>
      <c r="AL189" s="14">
        <v>8.75</v>
      </c>
      <c r="AM189" s="23" cm="1">
        <f t="array" ref="AM189">IF(OR(AN189:AZ189=""),"BLANK",IF(AND(AN189:AZ189&lt;9999999),1,IF(AND(AN189:AZ189="NA"),3,2)))</f>
        <v>1</v>
      </c>
      <c r="AN189" s="5">
        <v>10</v>
      </c>
      <c r="AO189" s="5">
        <v>2</v>
      </c>
      <c r="AP189" s="10">
        <v>3.5</v>
      </c>
      <c r="AQ189" s="10">
        <v>4.5</v>
      </c>
      <c r="AR189" s="10">
        <v>5</v>
      </c>
      <c r="AS189" s="11">
        <v>3082</v>
      </c>
      <c r="AT189" s="11">
        <v>5694</v>
      </c>
      <c r="AU189" s="11">
        <v>10104.5</v>
      </c>
      <c r="AV189" s="11">
        <v>10710.25</v>
      </c>
      <c r="AW189" s="11">
        <v>0</v>
      </c>
      <c r="AX189" s="11">
        <v>0</v>
      </c>
      <c r="AY189" s="11">
        <v>1402.2916666666999</v>
      </c>
      <c r="AZ189" s="11">
        <v>0</v>
      </c>
      <c r="BA189" s="23">
        <v>3</v>
      </c>
      <c r="BB189" s="24" t="s">
        <v>8</v>
      </c>
    </row>
    <row r="190" spans="1:54" x14ac:dyDescent="0.2">
      <c r="A190" s="5">
        <v>1119</v>
      </c>
      <c r="B190" s="20" t="s">
        <v>72</v>
      </c>
      <c r="C190" s="18" t="s">
        <v>55</v>
      </c>
      <c r="D190" s="18">
        <v>1</v>
      </c>
      <c r="E190" s="18">
        <v>0</v>
      </c>
      <c r="F190" s="20">
        <v>3.6360000000000001</v>
      </c>
      <c r="G190" s="18">
        <v>29</v>
      </c>
      <c r="H190" s="22" t="s">
        <v>8</v>
      </c>
      <c r="I190" s="22" t="s">
        <v>8</v>
      </c>
      <c r="J190" s="22">
        <v>9.6755646817248468</v>
      </c>
      <c r="K190" s="22" t="s">
        <v>8</v>
      </c>
      <c r="L190" s="22" t="s">
        <v>8</v>
      </c>
      <c r="M190" s="22">
        <v>9.6755646817248468</v>
      </c>
      <c r="N190" s="22" t="s">
        <v>8</v>
      </c>
      <c r="O190" s="22" t="s">
        <v>8</v>
      </c>
      <c r="P190" s="22">
        <v>9.6016427104722801</v>
      </c>
      <c r="Q190" s="22" t="s">
        <v>8</v>
      </c>
      <c r="R190" s="22" t="s">
        <v>8</v>
      </c>
      <c r="S190" s="22" t="s">
        <v>8</v>
      </c>
      <c r="T190" s="5">
        <v>4</v>
      </c>
      <c r="U190" s="5">
        <v>16</v>
      </c>
      <c r="V190" s="20" t="s">
        <v>1</v>
      </c>
      <c r="W190" s="20">
        <v>5</v>
      </c>
      <c r="X190" s="20">
        <v>1</v>
      </c>
      <c r="Y190" s="5">
        <v>1</v>
      </c>
      <c r="Z190" s="20">
        <v>4</v>
      </c>
      <c r="AA190" s="23">
        <f t="shared" si="4"/>
        <v>2</v>
      </c>
      <c r="AB190" s="15">
        <v>0.875</v>
      </c>
      <c r="AC190" s="15">
        <v>1</v>
      </c>
      <c r="AD190" s="15">
        <v>0.875</v>
      </c>
      <c r="AE190" s="15">
        <v>0.91700000000000004</v>
      </c>
      <c r="AF190" s="20">
        <v>22</v>
      </c>
      <c r="AG190" s="20" t="s">
        <v>8</v>
      </c>
      <c r="AH190" s="24">
        <v>24</v>
      </c>
      <c r="AI190" s="23">
        <f t="shared" si="5"/>
        <v>1</v>
      </c>
      <c r="AJ190" s="17">
        <v>11.5</v>
      </c>
      <c r="AK190" s="17">
        <v>11</v>
      </c>
      <c r="AL190" s="14">
        <v>22.5</v>
      </c>
      <c r="AM190" s="23" cm="1">
        <f t="array" ref="AM190">IF(OR(AN190:AZ190=""),"BLANK",IF(AND(AN190:AZ190&lt;9999999),1,IF(AND(AN190:AZ190="NA"),3,2)))</f>
        <v>1</v>
      </c>
      <c r="AN190" s="5">
        <v>9</v>
      </c>
      <c r="AO190" s="5">
        <v>2</v>
      </c>
      <c r="AP190" s="10">
        <v>3</v>
      </c>
      <c r="AQ190" s="10">
        <v>5</v>
      </c>
      <c r="AR190" s="10">
        <v>7.5</v>
      </c>
      <c r="AS190" s="11">
        <v>1492</v>
      </c>
      <c r="AT190" s="11">
        <v>2296.5</v>
      </c>
      <c r="AU190" s="11">
        <v>4109.75</v>
      </c>
      <c r="AV190" s="11">
        <v>15777.25</v>
      </c>
      <c r="AW190" s="11">
        <v>0</v>
      </c>
      <c r="AX190" s="11">
        <v>0</v>
      </c>
      <c r="AY190" s="11">
        <v>0</v>
      </c>
      <c r="AZ190" s="11">
        <v>638.44375000000002</v>
      </c>
      <c r="BA190" s="23">
        <v>3</v>
      </c>
      <c r="BB190" s="24" t="s">
        <v>8</v>
      </c>
    </row>
    <row r="191" spans="1:54" x14ac:dyDescent="0.2">
      <c r="A191" s="5">
        <v>1123</v>
      </c>
      <c r="B191" s="20" t="s">
        <v>72</v>
      </c>
      <c r="C191" s="18" t="s">
        <v>55</v>
      </c>
      <c r="D191" s="18">
        <v>1</v>
      </c>
      <c r="E191" s="18">
        <v>0</v>
      </c>
      <c r="F191" s="20">
        <v>4</v>
      </c>
      <c r="G191" s="18">
        <v>29</v>
      </c>
      <c r="H191" s="22" t="s">
        <v>8</v>
      </c>
      <c r="I191" s="22" t="s">
        <v>8</v>
      </c>
      <c r="J191" s="22" t="s">
        <v>8</v>
      </c>
      <c r="K191" s="22" t="s">
        <v>8</v>
      </c>
      <c r="L191" s="22" t="s">
        <v>8</v>
      </c>
      <c r="M191" s="22" t="s">
        <v>8</v>
      </c>
      <c r="N191" s="22" t="s">
        <v>8</v>
      </c>
      <c r="O191" s="22" t="s">
        <v>8</v>
      </c>
      <c r="P191" s="22" t="s">
        <v>8</v>
      </c>
      <c r="Q191" s="22" t="s">
        <v>8</v>
      </c>
      <c r="R191" s="22" t="s">
        <v>8</v>
      </c>
      <c r="S191" s="22" t="s">
        <v>8</v>
      </c>
      <c r="T191" s="5">
        <v>5</v>
      </c>
      <c r="U191" s="5">
        <v>17</v>
      </c>
      <c r="V191" s="20" t="s">
        <v>1</v>
      </c>
      <c r="W191" s="20">
        <v>5</v>
      </c>
      <c r="X191" s="20">
        <v>1</v>
      </c>
      <c r="Y191" s="5">
        <v>1</v>
      </c>
      <c r="Z191" s="20">
        <v>4</v>
      </c>
      <c r="AA191" s="23">
        <f t="shared" si="4"/>
        <v>2</v>
      </c>
      <c r="AB191" s="15">
        <v>1</v>
      </c>
      <c r="AC191" s="15">
        <v>1</v>
      </c>
      <c r="AD191" s="15">
        <v>1</v>
      </c>
      <c r="AE191" s="15">
        <v>1</v>
      </c>
      <c r="AF191" s="20">
        <v>24</v>
      </c>
      <c r="AG191" s="20" t="s">
        <v>8</v>
      </c>
      <c r="AH191" s="24">
        <v>24</v>
      </c>
      <c r="AI191" s="23">
        <f t="shared" si="5"/>
        <v>1</v>
      </c>
      <c r="AJ191" s="17">
        <v>13</v>
      </c>
      <c r="AK191" s="17">
        <v>11.75</v>
      </c>
      <c r="AL191" s="14">
        <v>24.75</v>
      </c>
      <c r="AM191" s="23" cm="1">
        <f t="array" ref="AM191">IF(OR(AN191:AZ191=""),"BLANK",IF(AND(AN191:AZ191&lt;9999999),1,IF(AND(AN191:AZ191="NA"),3,2)))</f>
        <v>1</v>
      </c>
      <c r="AN191" s="5">
        <v>11</v>
      </c>
      <c r="AO191" s="5">
        <v>2</v>
      </c>
      <c r="AP191" s="10">
        <v>3.5</v>
      </c>
      <c r="AQ191" s="10">
        <v>4</v>
      </c>
      <c r="AR191" s="10">
        <v>5</v>
      </c>
      <c r="AS191" s="11">
        <v>2263</v>
      </c>
      <c r="AT191" s="11">
        <v>4424</v>
      </c>
      <c r="AU191" s="11">
        <v>10948</v>
      </c>
      <c r="AV191" s="11">
        <v>17650.25</v>
      </c>
      <c r="AW191" s="11">
        <v>0</v>
      </c>
      <c r="AX191" s="11">
        <v>0</v>
      </c>
      <c r="AY191" s="11">
        <v>0</v>
      </c>
      <c r="AZ191" s="11">
        <v>0</v>
      </c>
      <c r="BA191" s="23">
        <v>3</v>
      </c>
      <c r="BB191" s="24" t="s">
        <v>8</v>
      </c>
    </row>
    <row r="192" spans="1:54" x14ac:dyDescent="0.2">
      <c r="A192" s="5">
        <v>1124</v>
      </c>
      <c r="B192" s="20" t="s">
        <v>69</v>
      </c>
      <c r="C192" s="18" t="s">
        <v>54</v>
      </c>
      <c r="D192" s="18">
        <v>1</v>
      </c>
      <c r="E192" s="18">
        <v>0</v>
      </c>
      <c r="F192" s="20">
        <v>3.8180000000000001</v>
      </c>
      <c r="G192" s="18">
        <v>30</v>
      </c>
      <c r="H192" s="22">
        <v>4.1451060917180014</v>
      </c>
      <c r="I192" s="22" t="s">
        <v>8</v>
      </c>
      <c r="J192" s="22" t="s">
        <v>8</v>
      </c>
      <c r="K192" s="22">
        <v>4.1451060917180014</v>
      </c>
      <c r="L192" s="22" t="s">
        <v>8</v>
      </c>
      <c r="M192" s="22" t="s">
        <v>8</v>
      </c>
      <c r="N192" s="22">
        <v>4.2765229295003424</v>
      </c>
      <c r="O192" s="22" t="s">
        <v>8</v>
      </c>
      <c r="P192" s="22" t="s">
        <v>8</v>
      </c>
      <c r="Q192" s="22" t="s">
        <v>8</v>
      </c>
      <c r="R192" s="22" t="s">
        <v>8</v>
      </c>
      <c r="S192" s="22" t="s">
        <v>8</v>
      </c>
      <c r="T192" s="5">
        <v>5</v>
      </c>
      <c r="U192" s="5">
        <v>17</v>
      </c>
      <c r="V192" s="20" t="s">
        <v>1</v>
      </c>
      <c r="W192" s="20">
        <v>5</v>
      </c>
      <c r="X192" s="20">
        <v>1</v>
      </c>
      <c r="Y192" s="5">
        <v>1</v>
      </c>
      <c r="Z192" s="20">
        <v>4</v>
      </c>
      <c r="AA192" s="23">
        <f t="shared" si="4"/>
        <v>2</v>
      </c>
      <c r="AB192" s="15">
        <v>1</v>
      </c>
      <c r="AC192" s="15">
        <v>1</v>
      </c>
      <c r="AD192" s="15">
        <v>1</v>
      </c>
      <c r="AE192" s="15">
        <v>1</v>
      </c>
      <c r="AF192" s="20">
        <v>24</v>
      </c>
      <c r="AG192" s="20" t="s">
        <v>8</v>
      </c>
      <c r="AH192" s="24">
        <v>24</v>
      </c>
      <c r="AI192" s="23">
        <f t="shared" si="5"/>
        <v>1</v>
      </c>
      <c r="AJ192" s="17">
        <v>10</v>
      </c>
      <c r="AK192" s="17">
        <v>5.5</v>
      </c>
      <c r="AL192" s="14">
        <v>15.5</v>
      </c>
      <c r="AM192" s="23" cm="1">
        <f t="array" ref="AM192">IF(OR(AN192:AZ192=""),"BLANK",IF(AND(AN192:AZ192&lt;9999999),1,IF(AND(AN192:AZ192="NA"),3,2)))</f>
        <v>1</v>
      </c>
      <c r="AN192" s="5">
        <v>12</v>
      </c>
      <c r="AO192" s="5">
        <v>2</v>
      </c>
      <c r="AP192" s="10">
        <v>3</v>
      </c>
      <c r="AQ192" s="10">
        <v>4</v>
      </c>
      <c r="AR192" s="10">
        <v>5</v>
      </c>
      <c r="AS192" s="11">
        <v>1273.5</v>
      </c>
      <c r="AT192" s="11">
        <v>2542</v>
      </c>
      <c r="AU192" s="11">
        <v>7223.5</v>
      </c>
      <c r="AV192" s="11">
        <v>17471.25</v>
      </c>
      <c r="AW192" s="11">
        <v>0</v>
      </c>
      <c r="AX192" s="11">
        <v>0</v>
      </c>
      <c r="AY192" s="11">
        <v>0</v>
      </c>
      <c r="AZ192" s="11">
        <v>0</v>
      </c>
      <c r="BA192" s="23">
        <v>3</v>
      </c>
      <c r="BB192" s="24" t="s">
        <v>8</v>
      </c>
    </row>
    <row r="193" spans="1:54" x14ac:dyDescent="0.2">
      <c r="A193" s="5">
        <v>1136</v>
      </c>
      <c r="B193" s="20" t="s">
        <v>74</v>
      </c>
      <c r="C193" s="18" t="s">
        <v>55</v>
      </c>
      <c r="D193" s="18">
        <v>5</v>
      </c>
      <c r="E193" s="18">
        <v>0</v>
      </c>
      <c r="F193" s="20">
        <v>4</v>
      </c>
      <c r="G193" s="18">
        <v>27</v>
      </c>
      <c r="H193" s="22">
        <v>3.8165639972621492</v>
      </c>
      <c r="I193" s="22" t="s">
        <v>8</v>
      </c>
      <c r="J193" s="22" t="s">
        <v>8</v>
      </c>
      <c r="K193" s="22">
        <v>3.8357289527720737</v>
      </c>
      <c r="L193" s="22" t="s">
        <v>8</v>
      </c>
      <c r="M193" s="22" t="s">
        <v>8</v>
      </c>
      <c r="N193" s="22">
        <v>3.7782340862422998</v>
      </c>
      <c r="O193" s="22" t="s">
        <v>8</v>
      </c>
      <c r="P193" s="22" t="s">
        <v>8</v>
      </c>
      <c r="Q193" s="22">
        <v>3.5126625598904861</v>
      </c>
      <c r="R193" s="22" t="s">
        <v>8</v>
      </c>
      <c r="S193" s="22" t="s">
        <v>8</v>
      </c>
      <c r="T193" s="5">
        <v>6</v>
      </c>
      <c r="U193" s="5">
        <v>18</v>
      </c>
      <c r="V193" s="20" t="s">
        <v>1</v>
      </c>
      <c r="W193" s="20">
        <v>5</v>
      </c>
      <c r="X193" s="20">
        <v>1</v>
      </c>
      <c r="Y193" s="5">
        <v>1</v>
      </c>
      <c r="Z193" s="20">
        <v>4</v>
      </c>
      <c r="AA193" s="23">
        <f t="shared" si="4"/>
        <v>2</v>
      </c>
      <c r="AB193" s="15">
        <v>1</v>
      </c>
      <c r="AC193" s="15">
        <v>0.625</v>
      </c>
      <c r="AD193" s="15">
        <v>0.5</v>
      </c>
      <c r="AE193" s="15">
        <v>0.70799999999999996</v>
      </c>
      <c r="AF193" s="20">
        <v>17</v>
      </c>
      <c r="AG193" s="20" t="s">
        <v>8</v>
      </c>
      <c r="AH193" s="24">
        <v>24</v>
      </c>
      <c r="AI193" s="23">
        <f t="shared" si="5"/>
        <v>1</v>
      </c>
      <c r="AJ193" s="17">
        <v>8.5</v>
      </c>
      <c r="AK193" s="17">
        <v>8.25</v>
      </c>
      <c r="AL193" s="14">
        <v>16.75</v>
      </c>
      <c r="AM193" s="23" cm="1">
        <f t="array" ref="AM193">IF(OR(AN193:AZ193=""),"BLANK",IF(AND(AN193:AZ193&lt;9999999),1,IF(AND(AN193:AZ193="NA"),3,2)))</f>
        <v>1</v>
      </c>
      <c r="AN193" s="5">
        <v>7</v>
      </c>
      <c r="AO193" s="5">
        <v>2</v>
      </c>
      <c r="AP193" s="10">
        <v>3</v>
      </c>
      <c r="AQ193" s="10">
        <v>4.25</v>
      </c>
      <c r="AR193" s="10">
        <v>9.75</v>
      </c>
      <c r="AS193" s="11">
        <v>2065.5</v>
      </c>
      <c r="AT193" s="11">
        <v>6200.5</v>
      </c>
      <c r="AU193" s="11">
        <v>5261.5</v>
      </c>
      <c r="AV193" s="11">
        <v>3075</v>
      </c>
      <c r="AW193" s="11">
        <v>0</v>
      </c>
      <c r="AX193" s="11">
        <v>0</v>
      </c>
      <c r="AY193" s="11">
        <v>2354.65</v>
      </c>
      <c r="AZ193" s="11">
        <v>36136.895833333299</v>
      </c>
      <c r="BA193" s="23">
        <v>3</v>
      </c>
      <c r="BB193" s="24" t="s">
        <v>8</v>
      </c>
    </row>
    <row r="194" spans="1:54" x14ac:dyDescent="0.2">
      <c r="A194" s="5">
        <v>1139</v>
      </c>
      <c r="B194" s="20" t="s">
        <v>63</v>
      </c>
      <c r="C194" s="18" t="s">
        <v>54</v>
      </c>
      <c r="D194" s="18">
        <v>5</v>
      </c>
      <c r="E194" s="18">
        <v>0</v>
      </c>
      <c r="F194" s="20">
        <v>3.7269999999999999</v>
      </c>
      <c r="G194" s="18">
        <v>30</v>
      </c>
      <c r="H194" s="22">
        <v>3.8439425051334704</v>
      </c>
      <c r="I194" s="22">
        <v>5.1635865845311431</v>
      </c>
      <c r="J194" s="22">
        <v>9.0075290896646134</v>
      </c>
      <c r="K194" s="22">
        <v>3.786447638603696</v>
      </c>
      <c r="L194" s="22">
        <v>5.1635865845311431</v>
      </c>
      <c r="M194" s="22">
        <v>8.9500342231348391</v>
      </c>
      <c r="N194" s="22">
        <v>3.8138261464750172</v>
      </c>
      <c r="O194" s="22">
        <v>5.0896646132785763</v>
      </c>
      <c r="P194" s="22">
        <v>8.9034907597535931</v>
      </c>
      <c r="Q194" s="22">
        <v>3.3483915126625599</v>
      </c>
      <c r="R194" s="22">
        <v>6.0807665982203973</v>
      </c>
      <c r="S194" s="22">
        <v>9.4291581108829572</v>
      </c>
      <c r="T194" s="5">
        <v>4</v>
      </c>
      <c r="U194" s="5">
        <v>16</v>
      </c>
      <c r="V194" s="20" t="s">
        <v>1</v>
      </c>
      <c r="W194" s="20">
        <v>5</v>
      </c>
      <c r="X194" s="20">
        <v>1</v>
      </c>
      <c r="Y194" s="5">
        <v>1</v>
      </c>
      <c r="Z194" s="20">
        <v>4</v>
      </c>
      <c r="AA194" s="23">
        <f t="shared" si="4"/>
        <v>2</v>
      </c>
      <c r="AB194" s="15">
        <v>1</v>
      </c>
      <c r="AC194" s="15">
        <v>0.875</v>
      </c>
      <c r="AD194" s="15">
        <v>0.75</v>
      </c>
      <c r="AE194" s="15">
        <v>0.875</v>
      </c>
      <c r="AF194" s="20">
        <v>21</v>
      </c>
      <c r="AG194" s="20" t="s">
        <v>8</v>
      </c>
      <c r="AH194" s="24">
        <v>24</v>
      </c>
      <c r="AI194" s="23">
        <f t="shared" si="5"/>
        <v>1</v>
      </c>
      <c r="AJ194" s="17">
        <v>9</v>
      </c>
      <c r="AK194" s="17">
        <v>5</v>
      </c>
      <c r="AL194" s="14">
        <v>14</v>
      </c>
      <c r="AM194" s="23" cm="1">
        <f t="array" ref="AM194">IF(OR(AN194:AZ194=""),"BLANK",IF(AND(AN194:AZ194&lt;9999999),1,IF(AND(AN194:AZ194="NA"),3,2)))</f>
        <v>1</v>
      </c>
      <c r="AN194" s="5">
        <v>11</v>
      </c>
      <c r="AO194" s="5">
        <v>2</v>
      </c>
      <c r="AP194" s="10">
        <v>3</v>
      </c>
      <c r="AQ194" s="10">
        <v>4</v>
      </c>
      <c r="AR194" s="10">
        <v>6</v>
      </c>
      <c r="AS194" s="11">
        <v>0</v>
      </c>
      <c r="AT194" s="11">
        <v>2639.5</v>
      </c>
      <c r="AU194" s="11">
        <v>16182</v>
      </c>
      <c r="AV194" s="11">
        <v>12789.75</v>
      </c>
      <c r="AW194" s="11">
        <v>0</v>
      </c>
      <c r="AX194" s="11">
        <v>0</v>
      </c>
      <c r="AY194" s="11">
        <v>0</v>
      </c>
      <c r="AZ194" s="11">
        <v>475.89444444439999</v>
      </c>
      <c r="BA194" s="23">
        <v>3</v>
      </c>
      <c r="BB194" s="24" t="s">
        <v>8</v>
      </c>
    </row>
    <row r="195" spans="1:54" x14ac:dyDescent="0.2">
      <c r="A195" s="5">
        <v>1141</v>
      </c>
      <c r="B195" s="20" t="s">
        <v>63</v>
      </c>
      <c r="C195" s="18" t="s">
        <v>55</v>
      </c>
      <c r="D195" s="18">
        <v>5</v>
      </c>
      <c r="E195" s="18">
        <v>0</v>
      </c>
      <c r="F195" s="20">
        <v>3.3639999999999999</v>
      </c>
      <c r="G195" s="18">
        <v>29</v>
      </c>
      <c r="H195" s="22">
        <v>3.8795345653661877</v>
      </c>
      <c r="I195" s="22">
        <v>5.3552361396303905</v>
      </c>
      <c r="J195" s="22">
        <v>9.2347707049965777</v>
      </c>
      <c r="K195" s="22">
        <v>3.8795345653661877</v>
      </c>
      <c r="L195" s="22">
        <v>5.3579739904175225</v>
      </c>
      <c r="M195" s="22">
        <v>9.2375085557837107</v>
      </c>
      <c r="N195" s="22">
        <v>3.8658453114305269</v>
      </c>
      <c r="O195" s="22">
        <v>5.3114305270362765</v>
      </c>
      <c r="P195" s="22">
        <v>9.1772758384668034</v>
      </c>
      <c r="Q195" s="22">
        <v>3.2772073921971252</v>
      </c>
      <c r="R195" s="22">
        <v>6.0698151950718682</v>
      </c>
      <c r="S195" s="22">
        <v>9.3470225872689934</v>
      </c>
      <c r="T195" s="5">
        <v>6</v>
      </c>
      <c r="U195" s="5">
        <v>18</v>
      </c>
      <c r="V195" s="20" t="s">
        <v>1</v>
      </c>
      <c r="W195" s="20">
        <v>5</v>
      </c>
      <c r="X195" s="20">
        <v>1</v>
      </c>
      <c r="Y195" s="5">
        <v>1</v>
      </c>
      <c r="Z195" s="20">
        <v>4</v>
      </c>
      <c r="AA195" s="23">
        <f t="shared" ref="AA195:AA258" si="6">IF(AND(ISNUMBER(AB195), ISNUMBER(AC195),ISNUMBER(AD195), ISNUMBER(AE195), ISNUMBER(AF195),ISNUMBER(AG195), ISNUMBER(AH195)), 1, IF(AND(AB195="NA", AC195="NA", AD195="na", AE195="na", AF195="na", AG195="na", AH195="na"), 3, 2))</f>
        <v>2</v>
      </c>
      <c r="AB195" s="15">
        <v>0.875</v>
      </c>
      <c r="AC195" s="15">
        <v>1</v>
      </c>
      <c r="AD195" s="15">
        <v>0.625</v>
      </c>
      <c r="AE195" s="15">
        <v>0.83299999999999996</v>
      </c>
      <c r="AF195" s="20">
        <v>20</v>
      </c>
      <c r="AG195" s="20" t="s">
        <v>8</v>
      </c>
      <c r="AH195" s="24">
        <v>24</v>
      </c>
      <c r="AI195" s="23">
        <f t="shared" ref="AI195:AI258" si="7">IF(AND(ISNUMBER(AJ195), ISNUMBER(AK195),ISNUMBER(AL195)), 1, IF(AND(AJ195="NA", AK195="NA", AL195="na"), 3, 2))</f>
        <v>1</v>
      </c>
      <c r="AJ195" s="17">
        <v>11.25</v>
      </c>
      <c r="AK195" s="17">
        <v>12.5</v>
      </c>
      <c r="AL195" s="14">
        <v>23.75</v>
      </c>
      <c r="AM195" s="23" cm="1">
        <f t="array" ref="AM195">IF(OR(AN195:AZ195=""),"BLANK",IF(AND(AN195:AZ195&lt;9999999),1,IF(AND(AN195:AZ195="NA"),3,2)))</f>
        <v>1</v>
      </c>
      <c r="AN195" s="5">
        <v>6</v>
      </c>
      <c r="AO195" s="5">
        <v>2</v>
      </c>
      <c r="AP195" s="10">
        <v>3.5</v>
      </c>
      <c r="AQ195" s="10">
        <v>5</v>
      </c>
      <c r="AR195" s="10">
        <v>7.5</v>
      </c>
      <c r="AS195" s="11">
        <v>4726.5</v>
      </c>
      <c r="AT195" s="11">
        <v>2695.5</v>
      </c>
      <c r="AU195" s="11">
        <v>6736.25</v>
      </c>
      <c r="AV195" s="11">
        <v>7386</v>
      </c>
      <c r="AW195" s="11">
        <v>0</v>
      </c>
      <c r="AX195" s="11">
        <v>4239.3333333333003</v>
      </c>
      <c r="AY195" s="11">
        <v>2181.0416666667002</v>
      </c>
      <c r="AZ195" s="11">
        <v>0</v>
      </c>
      <c r="BA195" s="23">
        <v>3</v>
      </c>
      <c r="BB195" s="24" t="s">
        <v>8</v>
      </c>
    </row>
    <row r="196" spans="1:54" x14ac:dyDescent="0.2">
      <c r="A196" s="5">
        <v>1146</v>
      </c>
      <c r="B196" s="20" t="s">
        <v>69</v>
      </c>
      <c r="C196" s="18" t="s">
        <v>54</v>
      </c>
      <c r="D196" s="18">
        <v>3</v>
      </c>
      <c r="E196" s="18">
        <v>1</v>
      </c>
      <c r="F196" s="20">
        <v>3.6360000000000001</v>
      </c>
      <c r="G196" s="18">
        <v>28</v>
      </c>
      <c r="H196" s="22">
        <v>4.131416837782341</v>
      </c>
      <c r="I196" s="22">
        <v>5.4784394250513344</v>
      </c>
      <c r="J196" s="22">
        <v>9.6098562628336754</v>
      </c>
      <c r="K196" s="22">
        <v>4.128678986995209</v>
      </c>
      <c r="L196" s="22">
        <v>5.4811772758384665</v>
      </c>
      <c r="M196" s="22">
        <v>9.6098562628336754</v>
      </c>
      <c r="N196" s="22">
        <v>4.0191649555099245</v>
      </c>
      <c r="O196" s="22">
        <v>5.4757015742642023</v>
      </c>
      <c r="P196" s="22">
        <v>9.4948665297741268</v>
      </c>
      <c r="Q196" s="22" t="s">
        <v>8</v>
      </c>
      <c r="R196" s="22" t="s">
        <v>8</v>
      </c>
      <c r="S196" s="22" t="s">
        <v>8</v>
      </c>
      <c r="T196" s="5">
        <v>5</v>
      </c>
      <c r="U196" s="5">
        <v>17</v>
      </c>
      <c r="V196" s="20" t="s">
        <v>1</v>
      </c>
      <c r="W196" s="20">
        <v>5</v>
      </c>
      <c r="X196" s="20">
        <v>1</v>
      </c>
      <c r="Y196" s="5">
        <v>1</v>
      </c>
      <c r="Z196" s="20">
        <v>4</v>
      </c>
      <c r="AA196" s="23">
        <f t="shared" si="6"/>
        <v>2</v>
      </c>
      <c r="AB196" s="15">
        <v>1</v>
      </c>
      <c r="AC196" s="15">
        <v>1</v>
      </c>
      <c r="AD196" s="15">
        <v>0.875</v>
      </c>
      <c r="AE196" s="15">
        <v>0.95799999999999996</v>
      </c>
      <c r="AF196" s="20">
        <v>23</v>
      </c>
      <c r="AG196" s="20" t="s">
        <v>8</v>
      </c>
      <c r="AH196" s="24">
        <v>24</v>
      </c>
      <c r="AI196" s="23">
        <f t="shared" si="7"/>
        <v>1</v>
      </c>
      <c r="AJ196" s="17">
        <v>12.75</v>
      </c>
      <c r="AK196" s="17">
        <v>14</v>
      </c>
      <c r="AL196" s="14">
        <v>26.75</v>
      </c>
      <c r="AM196" s="23" cm="1">
        <f t="array" ref="AM196">IF(OR(AN196:AZ196=""),"BLANK",IF(AND(AN196:AZ196&lt;9999999),1,IF(AND(AN196:AZ196="NA"),3,2)))</f>
        <v>1</v>
      </c>
      <c r="AN196" s="5">
        <v>10</v>
      </c>
      <c r="AO196" s="5">
        <v>2</v>
      </c>
      <c r="AP196" s="10">
        <v>4</v>
      </c>
      <c r="AQ196" s="10">
        <v>5.25</v>
      </c>
      <c r="AR196" s="10">
        <v>5</v>
      </c>
      <c r="AS196" s="11">
        <v>1652</v>
      </c>
      <c r="AT196" s="11">
        <v>2398.5</v>
      </c>
      <c r="AU196" s="11">
        <v>3070.75</v>
      </c>
      <c r="AV196" s="11">
        <v>8283</v>
      </c>
      <c r="AW196" s="11">
        <v>0</v>
      </c>
      <c r="AX196" s="11">
        <v>0</v>
      </c>
      <c r="AY196" s="11">
        <v>0</v>
      </c>
      <c r="AZ196" s="11">
        <v>0</v>
      </c>
      <c r="BA196" s="23">
        <v>3</v>
      </c>
      <c r="BB196" s="24" t="s">
        <v>8</v>
      </c>
    </row>
    <row r="197" spans="1:54" x14ac:dyDescent="0.2">
      <c r="A197" s="5">
        <v>1149</v>
      </c>
      <c r="B197" s="20" t="s">
        <v>76</v>
      </c>
      <c r="C197" s="18" t="s">
        <v>55</v>
      </c>
      <c r="D197" s="18">
        <v>5</v>
      </c>
      <c r="E197" s="18">
        <v>0</v>
      </c>
      <c r="F197" s="20">
        <v>3.0910000000000002</v>
      </c>
      <c r="G197" s="18">
        <v>28</v>
      </c>
      <c r="H197" s="22">
        <v>3.9123887748117729</v>
      </c>
      <c r="I197" s="22">
        <v>5.3689253935660508</v>
      </c>
      <c r="J197" s="22">
        <v>9.2813141683778237</v>
      </c>
      <c r="K197" s="22">
        <v>3.9288158795345653</v>
      </c>
      <c r="L197" s="22">
        <v>5.3524982888432584</v>
      </c>
      <c r="M197" s="22">
        <v>9.2813141683778237</v>
      </c>
      <c r="N197" s="22">
        <v>3.9397672826830936</v>
      </c>
      <c r="O197" s="22">
        <v>5.1389459274469544</v>
      </c>
      <c r="P197" s="22">
        <v>9.0787132101300472</v>
      </c>
      <c r="Q197" s="22" t="s">
        <v>8</v>
      </c>
      <c r="R197" s="22" t="s">
        <v>8</v>
      </c>
      <c r="S197" s="22" t="s">
        <v>8</v>
      </c>
      <c r="T197" s="5">
        <v>6</v>
      </c>
      <c r="U197" s="5">
        <v>18</v>
      </c>
      <c r="V197" s="20" t="s">
        <v>1</v>
      </c>
      <c r="W197" s="20">
        <v>5</v>
      </c>
      <c r="X197" s="20">
        <v>1</v>
      </c>
      <c r="Y197" s="5">
        <v>1</v>
      </c>
      <c r="Z197" s="20">
        <v>4</v>
      </c>
      <c r="AA197" s="23">
        <f t="shared" si="6"/>
        <v>2</v>
      </c>
      <c r="AB197" s="15">
        <v>1</v>
      </c>
      <c r="AC197" s="15">
        <v>1</v>
      </c>
      <c r="AD197" s="15">
        <v>0.75</v>
      </c>
      <c r="AE197" s="15">
        <v>0.91700000000000004</v>
      </c>
      <c r="AF197" s="20">
        <v>22</v>
      </c>
      <c r="AG197" s="20" t="s">
        <v>8</v>
      </c>
      <c r="AH197" s="24">
        <v>24</v>
      </c>
      <c r="AI197" s="23">
        <f t="shared" si="7"/>
        <v>1</v>
      </c>
      <c r="AJ197" s="17">
        <v>13</v>
      </c>
      <c r="AK197" s="17">
        <v>10.75</v>
      </c>
      <c r="AL197" s="14">
        <v>23.75</v>
      </c>
      <c r="AM197" s="23" cm="1">
        <f t="array" ref="AM197">IF(OR(AN197:AZ197=""),"BLANK",IF(AND(AN197:AZ197&lt;9999999),1,IF(AND(AN197:AZ197="NA"),3,2)))</f>
        <v>1</v>
      </c>
      <c r="AN197" s="5">
        <v>9</v>
      </c>
      <c r="AO197" s="5">
        <v>2</v>
      </c>
      <c r="AP197" s="10">
        <v>3.5</v>
      </c>
      <c r="AQ197" s="10">
        <v>6.5</v>
      </c>
      <c r="AR197" s="10">
        <v>5</v>
      </c>
      <c r="AS197" s="11">
        <v>2416</v>
      </c>
      <c r="AT197" s="11">
        <v>8390</v>
      </c>
      <c r="AU197" s="11">
        <v>13580</v>
      </c>
      <c r="AV197" s="11">
        <v>14473</v>
      </c>
      <c r="AW197" s="11">
        <v>0</v>
      </c>
      <c r="AX197" s="11">
        <v>392.2083333333</v>
      </c>
      <c r="AY197" s="11">
        <v>1703.8194444444</v>
      </c>
      <c r="AZ197" s="11">
        <v>0</v>
      </c>
      <c r="BA197" s="23">
        <v>3</v>
      </c>
      <c r="BB197" s="24" t="s">
        <v>8</v>
      </c>
    </row>
    <row r="198" spans="1:54" x14ac:dyDescent="0.2">
      <c r="A198" s="5">
        <v>1153</v>
      </c>
      <c r="B198" s="20" t="s">
        <v>62</v>
      </c>
      <c r="C198" s="18" t="s">
        <v>55</v>
      </c>
      <c r="D198" s="18">
        <v>5</v>
      </c>
      <c r="E198" s="18">
        <v>0</v>
      </c>
      <c r="F198" s="20">
        <v>3.7269999999999999</v>
      </c>
      <c r="G198" s="18">
        <v>30</v>
      </c>
      <c r="H198" s="22">
        <v>3.8439425051334704</v>
      </c>
      <c r="I198" s="22">
        <v>5.3059548254620124</v>
      </c>
      <c r="J198" s="22">
        <v>9.1498973305954827</v>
      </c>
      <c r="K198" s="22">
        <v>3.8439425051334704</v>
      </c>
      <c r="L198" s="22">
        <v>5.3059548254620124</v>
      </c>
      <c r="M198" s="22">
        <v>9.1498973305954827</v>
      </c>
      <c r="N198" s="22">
        <v>3.9726214921286789</v>
      </c>
      <c r="O198" s="22">
        <v>5.0266940451745379</v>
      </c>
      <c r="P198" s="22">
        <v>8.9993155373032163</v>
      </c>
      <c r="Q198" s="22">
        <v>3.3100616016427105</v>
      </c>
      <c r="R198" s="22">
        <v>6.1409993155373028</v>
      </c>
      <c r="S198" s="22">
        <v>9.4510609171800137</v>
      </c>
      <c r="T198" s="5">
        <v>2</v>
      </c>
      <c r="U198" s="5">
        <v>12</v>
      </c>
      <c r="V198" s="20" t="s">
        <v>1</v>
      </c>
      <c r="W198" s="20">
        <v>5</v>
      </c>
      <c r="X198" s="20">
        <v>1</v>
      </c>
      <c r="Y198" s="5">
        <v>1</v>
      </c>
      <c r="Z198" s="20">
        <v>4</v>
      </c>
      <c r="AA198" s="23">
        <f t="shared" si="6"/>
        <v>2</v>
      </c>
      <c r="AB198" s="15">
        <v>1</v>
      </c>
      <c r="AC198" s="15">
        <v>0.875</v>
      </c>
      <c r="AD198" s="15">
        <v>0.75</v>
      </c>
      <c r="AE198" s="15">
        <v>0.875</v>
      </c>
      <c r="AF198" s="20">
        <v>21</v>
      </c>
      <c r="AG198" s="20" t="s">
        <v>8</v>
      </c>
      <c r="AH198" s="24">
        <v>24</v>
      </c>
      <c r="AI198" s="23">
        <f t="shared" si="7"/>
        <v>1</v>
      </c>
      <c r="AJ198" s="17">
        <v>10.5</v>
      </c>
      <c r="AK198" s="17">
        <v>12</v>
      </c>
      <c r="AL198" s="14">
        <v>22.5</v>
      </c>
      <c r="AM198" s="23" cm="1">
        <f t="array" ref="AM198">IF(OR(AN198:AZ198=""),"BLANK",IF(AND(AN198:AZ198&lt;9999999),1,IF(AND(AN198:AZ198="NA"),3,2)))</f>
        <v>1</v>
      </c>
      <c r="AN198" s="5">
        <v>10</v>
      </c>
      <c r="AO198" s="5">
        <v>2</v>
      </c>
      <c r="AP198" s="10">
        <v>3</v>
      </c>
      <c r="AQ198" s="10">
        <v>4</v>
      </c>
      <c r="AR198" s="10">
        <v>6.25</v>
      </c>
      <c r="AS198" s="11">
        <v>1876.5</v>
      </c>
      <c r="AT198" s="11">
        <v>6917</v>
      </c>
      <c r="AU198" s="11">
        <v>7744</v>
      </c>
      <c r="AV198" s="11">
        <v>5976.25</v>
      </c>
      <c r="AW198" s="11">
        <v>0</v>
      </c>
      <c r="AX198" s="11">
        <v>0</v>
      </c>
      <c r="AY198" s="11">
        <v>281.625</v>
      </c>
      <c r="AZ198" s="11">
        <v>443.49722222219998</v>
      </c>
      <c r="BA198" s="23">
        <v>3</v>
      </c>
      <c r="BB198" s="24" t="s">
        <v>8</v>
      </c>
    </row>
    <row r="199" spans="1:54" x14ac:dyDescent="0.2">
      <c r="A199" s="5">
        <v>1154</v>
      </c>
      <c r="B199" s="20" t="s">
        <v>84</v>
      </c>
      <c r="C199" s="18" t="s">
        <v>54</v>
      </c>
      <c r="D199" s="18">
        <v>5</v>
      </c>
      <c r="E199" s="18">
        <v>0</v>
      </c>
      <c r="F199" s="20">
        <v>4</v>
      </c>
      <c r="G199" s="18">
        <v>27</v>
      </c>
      <c r="H199" s="22">
        <v>4.2902121834360027</v>
      </c>
      <c r="I199" s="22" t="s">
        <v>8</v>
      </c>
      <c r="J199" s="22" t="s">
        <v>8</v>
      </c>
      <c r="K199" s="22">
        <v>4.2902121834360027</v>
      </c>
      <c r="L199" s="22" t="s">
        <v>8</v>
      </c>
      <c r="M199" s="22" t="s">
        <v>8</v>
      </c>
      <c r="N199" s="22" t="s">
        <v>8</v>
      </c>
      <c r="O199" s="22" t="s">
        <v>8</v>
      </c>
      <c r="P199" s="22" t="s">
        <v>8</v>
      </c>
      <c r="Q199" s="22" t="s">
        <v>8</v>
      </c>
      <c r="R199" s="22" t="s">
        <v>8</v>
      </c>
      <c r="S199" s="22" t="s">
        <v>8</v>
      </c>
      <c r="T199" s="5">
        <v>2</v>
      </c>
      <c r="U199" s="5">
        <v>12</v>
      </c>
      <c r="V199" s="20" t="s">
        <v>1</v>
      </c>
      <c r="W199" s="20">
        <v>5</v>
      </c>
      <c r="X199" s="20">
        <v>1</v>
      </c>
      <c r="Y199" s="5">
        <v>1</v>
      </c>
      <c r="Z199" s="20">
        <v>4</v>
      </c>
      <c r="AA199" s="23">
        <f t="shared" si="6"/>
        <v>2</v>
      </c>
      <c r="AB199" s="15">
        <v>1</v>
      </c>
      <c r="AC199" s="15">
        <v>1</v>
      </c>
      <c r="AD199" s="15">
        <v>0.75</v>
      </c>
      <c r="AE199" s="15">
        <v>0.91700000000000004</v>
      </c>
      <c r="AF199" s="20">
        <v>22</v>
      </c>
      <c r="AG199" s="20" t="s">
        <v>8</v>
      </c>
      <c r="AH199" s="24">
        <v>24</v>
      </c>
      <c r="AI199" s="23">
        <f t="shared" si="7"/>
        <v>1</v>
      </c>
      <c r="AJ199" s="17">
        <v>6.25</v>
      </c>
      <c r="AK199" s="17">
        <v>7.5</v>
      </c>
      <c r="AL199" s="14">
        <v>13.75</v>
      </c>
      <c r="AM199" s="23" cm="1">
        <f t="array" ref="AM199">IF(OR(AN199:AZ199=""),"BLANK",IF(AND(AN199:AZ199&lt;9999999),1,IF(AND(AN199:AZ199="NA"),3,2)))</f>
        <v>1</v>
      </c>
      <c r="AN199" s="5">
        <v>12</v>
      </c>
      <c r="AO199" s="5">
        <v>2</v>
      </c>
      <c r="AP199" s="10">
        <v>3</v>
      </c>
      <c r="AQ199" s="10">
        <v>4</v>
      </c>
      <c r="AR199" s="10">
        <v>5</v>
      </c>
      <c r="AS199" s="11">
        <v>516.5</v>
      </c>
      <c r="AT199" s="11">
        <v>2155.5</v>
      </c>
      <c r="AU199" s="11">
        <v>5076.25</v>
      </c>
      <c r="AV199" s="11">
        <v>22976</v>
      </c>
      <c r="AW199" s="11">
        <v>0</v>
      </c>
      <c r="AX199" s="11">
        <v>1256.1666666666999</v>
      </c>
      <c r="AY199" s="11">
        <v>258.0625</v>
      </c>
      <c r="AZ199" s="11">
        <v>0</v>
      </c>
      <c r="BA199" s="23">
        <v>3</v>
      </c>
      <c r="BB199" s="24" t="s">
        <v>8</v>
      </c>
    </row>
    <row r="200" spans="1:54" x14ac:dyDescent="0.2">
      <c r="A200" s="5">
        <v>1157</v>
      </c>
      <c r="B200" s="20" t="s">
        <v>84</v>
      </c>
      <c r="C200" s="18" t="s">
        <v>54</v>
      </c>
      <c r="D200" s="18">
        <v>5</v>
      </c>
      <c r="E200" s="18">
        <v>0</v>
      </c>
      <c r="F200" s="20">
        <v>3.6360000000000001</v>
      </c>
      <c r="G200" s="18">
        <v>30</v>
      </c>
      <c r="H200" s="22">
        <v>4.1177275838466807</v>
      </c>
      <c r="I200" s="22">
        <v>5.5359342915811087</v>
      </c>
      <c r="J200" s="22">
        <v>9.6536618754277885</v>
      </c>
      <c r="K200" s="22">
        <v>4.1177275838466807</v>
      </c>
      <c r="L200" s="22">
        <v>5.5359342915811087</v>
      </c>
      <c r="M200" s="22">
        <v>9.6536618754277885</v>
      </c>
      <c r="N200" s="22" t="s">
        <v>8</v>
      </c>
      <c r="O200" s="22" t="s">
        <v>8</v>
      </c>
      <c r="P200" s="22">
        <v>9.4976043805612598</v>
      </c>
      <c r="Q200" s="22" t="s">
        <v>8</v>
      </c>
      <c r="R200" s="22" t="s">
        <v>8</v>
      </c>
      <c r="S200" s="22" t="s">
        <v>8</v>
      </c>
      <c r="T200" s="5">
        <v>5</v>
      </c>
      <c r="U200" s="5">
        <v>18</v>
      </c>
      <c r="V200" s="20" t="s">
        <v>1</v>
      </c>
      <c r="W200" s="20">
        <v>5</v>
      </c>
      <c r="X200" s="20">
        <v>1</v>
      </c>
      <c r="Y200" s="5">
        <v>1</v>
      </c>
      <c r="Z200" s="20">
        <v>4</v>
      </c>
      <c r="AA200" s="23">
        <f t="shared" si="6"/>
        <v>2</v>
      </c>
      <c r="AB200" s="15">
        <v>1</v>
      </c>
      <c r="AC200" s="15">
        <v>1</v>
      </c>
      <c r="AD200" s="15">
        <v>1</v>
      </c>
      <c r="AE200" s="15">
        <v>1</v>
      </c>
      <c r="AF200" s="20">
        <v>24</v>
      </c>
      <c r="AG200" s="20" t="s">
        <v>8</v>
      </c>
      <c r="AH200" s="24">
        <v>24</v>
      </c>
      <c r="AI200" s="23">
        <f t="shared" si="7"/>
        <v>1</v>
      </c>
      <c r="AJ200" s="17">
        <v>13.75</v>
      </c>
      <c r="AK200" s="17">
        <v>13.75</v>
      </c>
      <c r="AL200" s="14">
        <v>27.5</v>
      </c>
      <c r="AM200" s="23" cm="1">
        <f t="array" ref="AM200">IF(OR(AN200:AZ200=""),"BLANK",IF(AND(AN200:AZ200&lt;9999999),1,IF(AND(AN200:AZ200="NA"),3,2)))</f>
        <v>1</v>
      </c>
      <c r="AN200" s="5">
        <v>9</v>
      </c>
      <c r="AO200" s="5">
        <v>2</v>
      </c>
      <c r="AP200" s="10">
        <v>3.5</v>
      </c>
      <c r="AQ200" s="10">
        <v>6.25</v>
      </c>
      <c r="AR200" s="10">
        <v>5</v>
      </c>
      <c r="AS200" s="11">
        <v>1477</v>
      </c>
      <c r="AT200" s="11">
        <v>6358.5</v>
      </c>
      <c r="AU200" s="11">
        <v>6764</v>
      </c>
      <c r="AV200" s="11">
        <v>11012</v>
      </c>
      <c r="AW200" s="11">
        <v>0</v>
      </c>
      <c r="AX200" s="11">
        <v>0</v>
      </c>
      <c r="AY200" s="11">
        <v>1225.4409722221999</v>
      </c>
      <c r="AZ200" s="11">
        <v>0</v>
      </c>
      <c r="BA200" s="23">
        <v>3</v>
      </c>
      <c r="BB200" s="24" t="s">
        <v>8</v>
      </c>
    </row>
    <row r="201" spans="1:54" x14ac:dyDescent="0.2">
      <c r="A201" s="5">
        <v>1158</v>
      </c>
      <c r="B201" s="20" t="s">
        <v>79</v>
      </c>
      <c r="C201" s="18" t="s">
        <v>54</v>
      </c>
      <c r="D201" s="18">
        <v>2</v>
      </c>
      <c r="E201" s="18">
        <v>0</v>
      </c>
      <c r="F201" s="20">
        <v>3.6360000000000001</v>
      </c>
      <c r="G201" s="18">
        <v>29</v>
      </c>
      <c r="H201" s="22" t="s">
        <v>8</v>
      </c>
      <c r="I201" s="22" t="s">
        <v>8</v>
      </c>
      <c r="J201" s="22" t="s">
        <v>8</v>
      </c>
      <c r="K201" s="22" t="s">
        <v>8</v>
      </c>
      <c r="L201" s="22" t="s">
        <v>8</v>
      </c>
      <c r="M201" s="22" t="s">
        <v>8</v>
      </c>
      <c r="N201" s="22" t="s">
        <v>8</v>
      </c>
      <c r="O201" s="22" t="s">
        <v>8</v>
      </c>
      <c r="P201" s="22" t="s">
        <v>8</v>
      </c>
      <c r="Q201" s="22" t="s">
        <v>8</v>
      </c>
      <c r="R201" s="22" t="s">
        <v>8</v>
      </c>
      <c r="S201" s="22" t="s">
        <v>8</v>
      </c>
      <c r="T201" s="5">
        <v>4</v>
      </c>
      <c r="U201" s="5">
        <v>16</v>
      </c>
      <c r="V201" s="20" t="s">
        <v>1</v>
      </c>
      <c r="W201" s="20">
        <v>5</v>
      </c>
      <c r="X201" s="20">
        <v>1</v>
      </c>
      <c r="Y201" s="5">
        <v>1</v>
      </c>
      <c r="Z201" s="20">
        <v>4</v>
      </c>
      <c r="AA201" s="23">
        <f t="shared" si="6"/>
        <v>2</v>
      </c>
      <c r="AB201" s="15">
        <v>0.875</v>
      </c>
      <c r="AC201" s="15">
        <v>0.875</v>
      </c>
      <c r="AD201" s="15">
        <v>0.75</v>
      </c>
      <c r="AE201" s="15">
        <v>0.83299999999999996</v>
      </c>
      <c r="AF201" s="20">
        <v>20</v>
      </c>
      <c r="AG201" s="20" t="s">
        <v>8</v>
      </c>
      <c r="AH201" s="24">
        <v>24</v>
      </c>
      <c r="AI201" s="23">
        <f t="shared" si="7"/>
        <v>1</v>
      </c>
      <c r="AJ201" s="17">
        <v>8</v>
      </c>
      <c r="AK201" s="17">
        <v>9</v>
      </c>
      <c r="AL201" s="14">
        <v>17</v>
      </c>
      <c r="AM201" s="23" cm="1">
        <f t="array" ref="AM201">IF(OR(AN201:AZ201=""),"BLANK",IF(AND(AN201:AZ201&lt;9999999),1,IF(AND(AN201:AZ201="NA"),3,2)))</f>
        <v>1</v>
      </c>
      <c r="AN201" s="5">
        <v>7</v>
      </c>
      <c r="AO201" s="5">
        <v>2</v>
      </c>
      <c r="AP201" s="10">
        <v>3</v>
      </c>
      <c r="AQ201" s="10">
        <v>6.5</v>
      </c>
      <c r="AR201" s="10">
        <v>7</v>
      </c>
      <c r="AS201" s="11">
        <v>883.5</v>
      </c>
      <c r="AT201" s="11">
        <v>15396.5</v>
      </c>
      <c r="AU201" s="11">
        <v>5429.75</v>
      </c>
      <c r="AV201" s="11">
        <v>4192</v>
      </c>
      <c r="AW201" s="11">
        <v>0</v>
      </c>
      <c r="AX201" s="11">
        <v>0</v>
      </c>
      <c r="AY201" s="11">
        <v>3117.7986111110999</v>
      </c>
      <c r="AZ201" s="11">
        <v>831.82460317460004</v>
      </c>
      <c r="BA201" s="23">
        <v>3</v>
      </c>
      <c r="BB201" s="24" t="s">
        <v>8</v>
      </c>
    </row>
    <row r="202" spans="1:54" x14ac:dyDescent="0.2">
      <c r="A202" s="5">
        <v>1159</v>
      </c>
      <c r="B202" s="20" t="s">
        <v>79</v>
      </c>
      <c r="C202" s="18" t="s">
        <v>55</v>
      </c>
      <c r="D202" s="18">
        <v>6</v>
      </c>
      <c r="E202" s="18">
        <v>0</v>
      </c>
      <c r="F202" s="20">
        <v>4</v>
      </c>
      <c r="G202" s="18">
        <v>27</v>
      </c>
      <c r="H202" s="22" t="s">
        <v>8</v>
      </c>
      <c r="I202" s="22" t="s">
        <v>8</v>
      </c>
      <c r="J202" s="22" t="s">
        <v>8</v>
      </c>
      <c r="K202" s="22" t="s">
        <v>8</v>
      </c>
      <c r="L202" s="22" t="s">
        <v>8</v>
      </c>
      <c r="M202" s="22" t="s">
        <v>8</v>
      </c>
      <c r="N202" s="22" t="s">
        <v>8</v>
      </c>
      <c r="O202" s="22" t="s">
        <v>8</v>
      </c>
      <c r="P202" s="22" t="s">
        <v>8</v>
      </c>
      <c r="Q202" s="22" t="s">
        <v>8</v>
      </c>
      <c r="R202" s="22" t="s">
        <v>8</v>
      </c>
      <c r="S202" s="22" t="s">
        <v>8</v>
      </c>
      <c r="T202" s="5">
        <v>6</v>
      </c>
      <c r="U202" s="5">
        <v>18</v>
      </c>
      <c r="V202" s="20" t="s">
        <v>1</v>
      </c>
      <c r="W202" s="20">
        <v>5</v>
      </c>
      <c r="X202" s="20">
        <v>1</v>
      </c>
      <c r="Y202" s="5">
        <v>1</v>
      </c>
      <c r="Z202" s="20">
        <v>4</v>
      </c>
      <c r="AA202" s="23">
        <f t="shared" si="6"/>
        <v>2</v>
      </c>
      <c r="AB202" s="15">
        <v>0.875</v>
      </c>
      <c r="AC202" s="15">
        <v>0.75</v>
      </c>
      <c r="AD202" s="15">
        <v>0.75</v>
      </c>
      <c r="AE202" s="15">
        <v>0.79200000000000004</v>
      </c>
      <c r="AF202" s="20">
        <v>19</v>
      </c>
      <c r="AG202" s="20" t="s">
        <v>8</v>
      </c>
      <c r="AH202" s="24">
        <v>24</v>
      </c>
      <c r="AI202" s="23">
        <f t="shared" si="7"/>
        <v>1</v>
      </c>
      <c r="AJ202" s="17">
        <v>8</v>
      </c>
      <c r="AK202" s="17">
        <v>10</v>
      </c>
      <c r="AL202" s="14">
        <v>18</v>
      </c>
      <c r="AM202" s="23" cm="1">
        <f t="array" ref="AM202">IF(OR(AN202:AZ202=""),"BLANK",IF(AND(AN202:AZ202&lt;9999999),1,IF(AND(AN202:AZ202="NA"),3,2)))</f>
        <v>1</v>
      </c>
      <c r="AN202" s="5">
        <v>9</v>
      </c>
      <c r="AO202" s="5">
        <v>2</v>
      </c>
      <c r="AP202" s="10">
        <v>3</v>
      </c>
      <c r="AQ202" s="10">
        <v>5.25</v>
      </c>
      <c r="AR202" s="10">
        <v>5.75</v>
      </c>
      <c r="AS202" s="11">
        <v>2160.5</v>
      </c>
      <c r="AT202" s="11">
        <v>2801</v>
      </c>
      <c r="AU202" s="11">
        <v>24702.75</v>
      </c>
      <c r="AV202" s="11">
        <v>23225.25</v>
      </c>
      <c r="AW202" s="11">
        <v>0</v>
      </c>
      <c r="AX202" s="11">
        <v>0</v>
      </c>
      <c r="AY202" s="11">
        <v>1017.9236111110999</v>
      </c>
      <c r="AZ202" s="11">
        <v>0</v>
      </c>
      <c r="BA202" s="23">
        <v>3</v>
      </c>
      <c r="BB202" s="24" t="s">
        <v>8</v>
      </c>
    </row>
    <row r="203" spans="1:54" x14ac:dyDescent="0.2">
      <c r="A203" s="5">
        <v>1165</v>
      </c>
      <c r="B203" s="20" t="s">
        <v>69</v>
      </c>
      <c r="C203" s="18" t="s">
        <v>54</v>
      </c>
      <c r="D203" s="18">
        <v>3</v>
      </c>
      <c r="E203" s="18">
        <v>1</v>
      </c>
      <c r="F203" s="20">
        <v>3.6360000000000001</v>
      </c>
      <c r="G203" s="18">
        <v>30</v>
      </c>
      <c r="H203" s="22" t="s">
        <v>8</v>
      </c>
      <c r="I203" s="22" t="s">
        <v>8</v>
      </c>
      <c r="J203" s="22" t="s">
        <v>8</v>
      </c>
      <c r="K203" s="22" t="s">
        <v>8</v>
      </c>
      <c r="L203" s="22" t="s">
        <v>8</v>
      </c>
      <c r="M203" s="22" t="s">
        <v>8</v>
      </c>
      <c r="N203" s="22" t="s">
        <v>8</v>
      </c>
      <c r="O203" s="22" t="s">
        <v>8</v>
      </c>
      <c r="P203" s="22" t="s">
        <v>8</v>
      </c>
      <c r="Q203" s="22" t="s">
        <v>8</v>
      </c>
      <c r="R203" s="22" t="s">
        <v>8</v>
      </c>
      <c r="S203" s="22" t="s">
        <v>8</v>
      </c>
      <c r="T203" s="5">
        <v>3</v>
      </c>
      <c r="U203" s="5">
        <v>12.5</v>
      </c>
      <c r="V203" s="20" t="s">
        <v>1</v>
      </c>
      <c r="W203" s="20">
        <v>5</v>
      </c>
      <c r="X203" s="20">
        <v>1</v>
      </c>
      <c r="Y203" s="5">
        <v>1</v>
      </c>
      <c r="Z203" s="20">
        <v>4</v>
      </c>
      <c r="AA203" s="23">
        <f t="shared" si="6"/>
        <v>2</v>
      </c>
      <c r="AB203" s="15">
        <v>1</v>
      </c>
      <c r="AC203" s="15">
        <v>1</v>
      </c>
      <c r="AD203" s="15">
        <v>0.625</v>
      </c>
      <c r="AE203" s="15">
        <v>0.875</v>
      </c>
      <c r="AF203" s="20">
        <v>21</v>
      </c>
      <c r="AG203" s="20" t="s">
        <v>8</v>
      </c>
      <c r="AH203" s="24">
        <v>24</v>
      </c>
      <c r="AI203" s="23">
        <f t="shared" si="7"/>
        <v>1</v>
      </c>
      <c r="AJ203" s="17">
        <v>8.75</v>
      </c>
      <c r="AK203" s="17">
        <v>8.75</v>
      </c>
      <c r="AL203" s="14">
        <v>17.5</v>
      </c>
      <c r="AM203" s="23" cm="1">
        <f t="array" ref="AM203">IF(OR(AN203:AZ203=""),"BLANK",IF(AND(AN203:AZ203&lt;9999999),1,IF(AND(AN203:AZ203="NA"),3,2)))</f>
        <v>1</v>
      </c>
      <c r="AN203" s="5">
        <v>8</v>
      </c>
      <c r="AO203" s="5">
        <v>2</v>
      </c>
      <c r="AP203" s="10">
        <v>3</v>
      </c>
      <c r="AQ203" s="10">
        <v>5</v>
      </c>
      <c r="AR203" s="10">
        <v>6</v>
      </c>
      <c r="AS203" s="11">
        <v>559.5</v>
      </c>
      <c r="AT203" s="11">
        <v>1339</v>
      </c>
      <c r="AU203" s="11">
        <v>5819.25</v>
      </c>
      <c r="AV203" s="11">
        <v>850.25</v>
      </c>
      <c r="AW203" s="11">
        <v>0</v>
      </c>
      <c r="AX203" s="11">
        <v>0</v>
      </c>
      <c r="AY203" s="11">
        <v>0</v>
      </c>
      <c r="AZ203" s="11">
        <v>0</v>
      </c>
      <c r="BA203" s="23">
        <v>3</v>
      </c>
      <c r="BB203" s="24" t="s">
        <v>8</v>
      </c>
    </row>
    <row r="204" spans="1:54" x14ac:dyDescent="0.2">
      <c r="A204" s="5">
        <v>1168</v>
      </c>
      <c r="B204" s="20" t="s">
        <v>72</v>
      </c>
      <c r="C204" s="18" t="s">
        <v>55</v>
      </c>
      <c r="D204" s="18">
        <v>5</v>
      </c>
      <c r="E204" s="18">
        <v>0</v>
      </c>
      <c r="F204" s="20">
        <v>3.3639999999999999</v>
      </c>
      <c r="G204" s="18">
        <v>28</v>
      </c>
      <c r="H204" s="22" t="s">
        <v>8</v>
      </c>
      <c r="I204" s="22" t="s">
        <v>8</v>
      </c>
      <c r="J204" s="22" t="s">
        <v>8</v>
      </c>
      <c r="K204" s="22" t="s">
        <v>8</v>
      </c>
      <c r="L204" s="22" t="s">
        <v>8</v>
      </c>
      <c r="M204" s="22" t="s">
        <v>8</v>
      </c>
      <c r="N204" s="22" t="s">
        <v>8</v>
      </c>
      <c r="O204" s="22" t="s">
        <v>8</v>
      </c>
      <c r="P204" s="22" t="s">
        <v>8</v>
      </c>
      <c r="Q204" s="22" t="s">
        <v>8</v>
      </c>
      <c r="R204" s="22" t="s">
        <v>8</v>
      </c>
      <c r="S204" s="22" t="s">
        <v>8</v>
      </c>
      <c r="T204" s="5">
        <v>5</v>
      </c>
      <c r="U204" s="5">
        <v>16.5</v>
      </c>
      <c r="V204" s="20" t="s">
        <v>1</v>
      </c>
      <c r="W204" s="20">
        <v>5</v>
      </c>
      <c r="X204" s="20">
        <v>1</v>
      </c>
      <c r="Y204" s="5">
        <v>1</v>
      </c>
      <c r="Z204" s="20">
        <v>4</v>
      </c>
      <c r="AA204" s="23">
        <f t="shared" si="6"/>
        <v>2</v>
      </c>
      <c r="AB204" s="15">
        <v>1</v>
      </c>
      <c r="AC204" s="15">
        <v>1</v>
      </c>
      <c r="AD204" s="15">
        <v>0.75</v>
      </c>
      <c r="AE204" s="15">
        <v>0.91700000000000004</v>
      </c>
      <c r="AF204" s="20">
        <v>22</v>
      </c>
      <c r="AG204" s="20" t="s">
        <v>8</v>
      </c>
      <c r="AH204" s="24">
        <v>24</v>
      </c>
      <c r="AI204" s="23">
        <f t="shared" si="7"/>
        <v>1</v>
      </c>
      <c r="AJ204" s="17">
        <v>14</v>
      </c>
      <c r="AK204" s="17">
        <v>13</v>
      </c>
      <c r="AL204" s="14">
        <v>27</v>
      </c>
      <c r="AM204" s="23" cm="1">
        <f t="array" ref="AM204">IF(OR(AN204:AZ204=""),"BLANK",IF(AND(AN204:AZ204&lt;9999999),1,IF(AND(AN204:AZ204="NA"),3,2)))</f>
        <v>1</v>
      </c>
      <c r="AN204" s="5">
        <v>11</v>
      </c>
      <c r="AO204" s="5">
        <v>2</v>
      </c>
      <c r="AP204" s="10">
        <v>3</v>
      </c>
      <c r="AQ204" s="10">
        <v>5.25</v>
      </c>
      <c r="AR204" s="10">
        <v>5</v>
      </c>
      <c r="AS204" s="11">
        <v>1757.5</v>
      </c>
      <c r="AT204" s="11">
        <v>2927.5</v>
      </c>
      <c r="AU204" s="11">
        <v>6184.75</v>
      </c>
      <c r="AV204" s="11">
        <v>3963.5</v>
      </c>
      <c r="AW204" s="11">
        <v>0</v>
      </c>
      <c r="AX204" s="11">
        <v>0</v>
      </c>
      <c r="AY204" s="11">
        <v>1022.2986111110999</v>
      </c>
      <c r="AZ204" s="11">
        <v>0</v>
      </c>
      <c r="BA204" s="23">
        <v>3</v>
      </c>
      <c r="BB204" s="24" t="s">
        <v>8</v>
      </c>
    </row>
    <row r="205" spans="1:54" x14ac:dyDescent="0.2">
      <c r="A205" s="5">
        <v>1169</v>
      </c>
      <c r="B205" s="20" t="s">
        <v>71</v>
      </c>
      <c r="C205" s="18" t="s">
        <v>54</v>
      </c>
      <c r="D205" s="18">
        <v>5</v>
      </c>
      <c r="E205" s="18">
        <v>0</v>
      </c>
      <c r="F205" s="20">
        <v>3.5449999999999999</v>
      </c>
      <c r="G205" s="18">
        <v>28</v>
      </c>
      <c r="H205" s="22">
        <v>3.978097193702943</v>
      </c>
      <c r="I205" s="22" t="s">
        <v>8</v>
      </c>
      <c r="J205" s="22" t="s">
        <v>8</v>
      </c>
      <c r="K205" s="22">
        <v>3.978097193702943</v>
      </c>
      <c r="L205" s="22" t="s">
        <v>8</v>
      </c>
      <c r="M205" s="22" t="s">
        <v>8</v>
      </c>
      <c r="N205" s="22">
        <v>4.0054757015742641</v>
      </c>
      <c r="O205" s="22" t="s">
        <v>8</v>
      </c>
      <c r="P205" s="22" t="s">
        <v>8</v>
      </c>
      <c r="Q205" s="22" t="s">
        <v>8</v>
      </c>
      <c r="R205" s="22" t="s">
        <v>8</v>
      </c>
      <c r="S205" s="22" t="s">
        <v>8</v>
      </c>
      <c r="T205" s="5">
        <v>5</v>
      </c>
      <c r="U205" s="5">
        <v>17</v>
      </c>
      <c r="V205" s="20" t="s">
        <v>1</v>
      </c>
      <c r="W205" s="20">
        <v>5</v>
      </c>
      <c r="X205" s="20">
        <v>1</v>
      </c>
      <c r="Y205" s="5">
        <v>1</v>
      </c>
      <c r="Z205" s="20">
        <v>4</v>
      </c>
      <c r="AA205" s="23">
        <f t="shared" si="6"/>
        <v>2</v>
      </c>
      <c r="AB205" s="15">
        <v>1</v>
      </c>
      <c r="AC205" s="15">
        <v>1</v>
      </c>
      <c r="AD205" s="15">
        <v>0.75</v>
      </c>
      <c r="AE205" s="15">
        <v>0.91700000000000004</v>
      </c>
      <c r="AF205" s="20">
        <v>22</v>
      </c>
      <c r="AG205" s="20" t="s">
        <v>8</v>
      </c>
      <c r="AH205" s="24">
        <v>24</v>
      </c>
      <c r="AI205" s="23">
        <f t="shared" si="7"/>
        <v>1</v>
      </c>
      <c r="AJ205" s="17">
        <v>12</v>
      </c>
      <c r="AK205" s="17">
        <v>9</v>
      </c>
      <c r="AL205" s="14">
        <v>21</v>
      </c>
      <c r="AM205" s="23" cm="1">
        <f t="array" ref="AM205">IF(OR(AN205:AZ205=""),"BLANK",IF(AND(AN205:AZ205&lt;9999999),1,IF(AND(AN205:AZ205="NA"),3,2)))</f>
        <v>1</v>
      </c>
      <c r="AN205" s="5">
        <v>11</v>
      </c>
      <c r="AO205" s="5">
        <v>2</v>
      </c>
      <c r="AP205" s="10">
        <v>3</v>
      </c>
      <c r="AQ205" s="10">
        <v>4.25</v>
      </c>
      <c r="AR205" s="10">
        <v>5</v>
      </c>
      <c r="AS205" s="11">
        <v>1245.5</v>
      </c>
      <c r="AT205" s="11">
        <v>1972</v>
      </c>
      <c r="AU205" s="11">
        <v>3334.75</v>
      </c>
      <c r="AV205" s="11">
        <v>4400.75</v>
      </c>
      <c r="AW205" s="11">
        <v>0</v>
      </c>
      <c r="AX205" s="11">
        <v>0</v>
      </c>
      <c r="AY205" s="11">
        <v>0</v>
      </c>
      <c r="AZ205" s="11">
        <v>0</v>
      </c>
      <c r="BA205" s="23">
        <v>3</v>
      </c>
      <c r="BB205" s="24" t="s">
        <v>8</v>
      </c>
    </row>
    <row r="206" spans="1:54" x14ac:dyDescent="0.2">
      <c r="A206" s="5">
        <v>1172</v>
      </c>
      <c r="B206" s="20" t="s">
        <v>84</v>
      </c>
      <c r="C206" s="18" t="s">
        <v>55</v>
      </c>
      <c r="D206" s="18">
        <v>5</v>
      </c>
      <c r="E206" s="18">
        <v>0</v>
      </c>
      <c r="F206" s="20">
        <v>3.6360000000000001</v>
      </c>
      <c r="G206" s="18">
        <v>28</v>
      </c>
      <c r="H206" s="22">
        <v>3.9589322381930185</v>
      </c>
      <c r="I206" s="22">
        <v>5.6919917864476384</v>
      </c>
      <c r="J206" s="22">
        <v>9.6509240246406574</v>
      </c>
      <c r="K206" s="22">
        <v>3.9589322381930185</v>
      </c>
      <c r="L206" s="22">
        <v>5.6919917864476384</v>
      </c>
      <c r="M206" s="22">
        <v>9.6509240246406574</v>
      </c>
      <c r="N206" s="22">
        <v>3.8959616700889801</v>
      </c>
      <c r="O206" s="22">
        <v>5.6673511293634498</v>
      </c>
      <c r="P206" s="22">
        <v>9.5633127994524294</v>
      </c>
      <c r="Q206" s="22" t="s">
        <v>8</v>
      </c>
      <c r="R206" s="22" t="s">
        <v>8</v>
      </c>
      <c r="S206" s="22" t="s">
        <v>8</v>
      </c>
      <c r="T206" s="5">
        <v>5</v>
      </c>
      <c r="U206" s="5">
        <v>17</v>
      </c>
      <c r="V206" s="20" t="s">
        <v>1</v>
      </c>
      <c r="W206" s="20">
        <v>5</v>
      </c>
      <c r="X206" s="20">
        <v>1</v>
      </c>
      <c r="Y206" s="5">
        <v>1</v>
      </c>
      <c r="Z206" s="20">
        <v>4</v>
      </c>
      <c r="AA206" s="23">
        <f t="shared" si="6"/>
        <v>2</v>
      </c>
      <c r="AB206" s="15">
        <v>1</v>
      </c>
      <c r="AC206" s="15">
        <v>1</v>
      </c>
      <c r="AD206" s="15">
        <v>0.5</v>
      </c>
      <c r="AE206" s="15">
        <v>0.83299999999999996</v>
      </c>
      <c r="AF206" s="20">
        <v>20</v>
      </c>
      <c r="AG206" s="20" t="s">
        <v>8</v>
      </c>
      <c r="AH206" s="24">
        <v>24</v>
      </c>
      <c r="AI206" s="23">
        <f t="shared" si="7"/>
        <v>1</v>
      </c>
      <c r="AJ206" s="17">
        <v>13.75</v>
      </c>
      <c r="AK206" s="17">
        <v>12.75</v>
      </c>
      <c r="AL206" s="14">
        <v>26.5</v>
      </c>
      <c r="AM206" s="23" cm="1">
        <f t="array" ref="AM206">IF(OR(AN206:AZ206=""),"BLANK",IF(AND(AN206:AZ206&lt;9999999),1,IF(AND(AN206:AZ206="NA"),3,2)))</f>
        <v>1</v>
      </c>
      <c r="AN206" s="5">
        <v>11</v>
      </c>
      <c r="AO206" s="5">
        <v>2</v>
      </c>
      <c r="AP206" s="10">
        <v>3</v>
      </c>
      <c r="AQ206" s="10">
        <v>4</v>
      </c>
      <c r="AR206" s="10">
        <v>5.25</v>
      </c>
      <c r="AS206" s="11">
        <v>1022.5</v>
      </c>
      <c r="AT206" s="11">
        <v>1250.5</v>
      </c>
      <c r="AU206" s="11">
        <v>3618.25</v>
      </c>
      <c r="AV206" s="11">
        <v>16880.75</v>
      </c>
      <c r="AW206" s="11">
        <v>0</v>
      </c>
      <c r="AX206" s="11">
        <v>0</v>
      </c>
      <c r="AY206" s="11">
        <v>0</v>
      </c>
      <c r="AZ206" s="11">
        <v>0</v>
      </c>
      <c r="BA206" s="23">
        <v>3</v>
      </c>
      <c r="BB206" s="24" t="s">
        <v>8</v>
      </c>
    </row>
    <row r="207" spans="1:54" x14ac:dyDescent="0.2">
      <c r="A207" s="5">
        <v>1175</v>
      </c>
      <c r="B207" s="20" t="s">
        <v>73</v>
      </c>
      <c r="C207" s="18" t="s">
        <v>55</v>
      </c>
      <c r="D207" s="18">
        <v>1</v>
      </c>
      <c r="E207" s="18">
        <v>0</v>
      </c>
      <c r="F207" s="20">
        <v>3.7269999999999999</v>
      </c>
      <c r="G207" s="18">
        <v>29</v>
      </c>
      <c r="H207" s="22">
        <v>3.9096509240246409</v>
      </c>
      <c r="I207" s="22">
        <v>5.2648870636550305</v>
      </c>
      <c r="J207" s="22">
        <v>9.1745379876796722</v>
      </c>
      <c r="K207" s="22">
        <v>3.9096509240246409</v>
      </c>
      <c r="L207" s="22">
        <v>5.5879534565366189</v>
      </c>
      <c r="M207" s="22">
        <v>9.4976043805612598</v>
      </c>
      <c r="N207" s="22" t="s">
        <v>8</v>
      </c>
      <c r="O207" s="22" t="s">
        <v>8</v>
      </c>
      <c r="P207" s="22">
        <v>9.073237508555783</v>
      </c>
      <c r="Q207" s="22">
        <v>3.1676933607118412</v>
      </c>
      <c r="R207" s="22">
        <v>6.2094455852156054</v>
      </c>
      <c r="S207" s="22">
        <v>9.377138945927447</v>
      </c>
      <c r="T207" s="5">
        <v>3</v>
      </c>
      <c r="U207" s="5">
        <v>15</v>
      </c>
      <c r="V207" s="20" t="s">
        <v>1</v>
      </c>
      <c r="W207" s="20">
        <v>5</v>
      </c>
      <c r="X207" s="20">
        <v>1</v>
      </c>
      <c r="Y207" s="5">
        <v>1</v>
      </c>
      <c r="Z207" s="20">
        <v>4</v>
      </c>
      <c r="AA207" s="23">
        <f t="shared" si="6"/>
        <v>2</v>
      </c>
      <c r="AB207" s="15">
        <v>1</v>
      </c>
      <c r="AC207" s="15">
        <v>1</v>
      </c>
      <c r="AD207" s="15">
        <v>0.375</v>
      </c>
      <c r="AE207" s="15">
        <v>0.79200000000000004</v>
      </c>
      <c r="AF207" s="20">
        <v>19</v>
      </c>
      <c r="AG207" s="20" t="s">
        <v>8</v>
      </c>
      <c r="AH207" s="24">
        <v>24</v>
      </c>
      <c r="AI207" s="23">
        <f t="shared" si="7"/>
        <v>1</v>
      </c>
      <c r="AJ207" s="17">
        <v>11.25</v>
      </c>
      <c r="AK207" s="17">
        <v>12</v>
      </c>
      <c r="AL207" s="14">
        <v>23.25</v>
      </c>
      <c r="AM207" s="23" cm="1">
        <f t="array" ref="AM207">IF(OR(AN207:AZ207=""),"BLANK",IF(AND(AN207:AZ207&lt;9999999),1,IF(AND(AN207:AZ207="NA"),3,2)))</f>
        <v>1</v>
      </c>
      <c r="AN207" s="5">
        <v>11</v>
      </c>
      <c r="AO207" s="5">
        <v>2</v>
      </c>
      <c r="AP207" s="10">
        <v>3</v>
      </c>
      <c r="AQ207" s="10">
        <v>4</v>
      </c>
      <c r="AR207" s="10">
        <v>6.75</v>
      </c>
      <c r="AS207" s="11">
        <v>3097</v>
      </c>
      <c r="AT207" s="11">
        <v>7257.5</v>
      </c>
      <c r="AU207" s="11">
        <v>8498.75</v>
      </c>
      <c r="AV207" s="11">
        <v>18936</v>
      </c>
      <c r="AW207" s="11">
        <v>222.5</v>
      </c>
      <c r="AX207" s="11">
        <v>266.8333333333</v>
      </c>
      <c r="AY207" s="11">
        <v>620</v>
      </c>
      <c r="AZ207" s="11">
        <v>3151.0875000000001</v>
      </c>
      <c r="BA207" s="23">
        <v>3</v>
      </c>
      <c r="BB207" s="24" t="s">
        <v>8</v>
      </c>
    </row>
    <row r="208" spans="1:54" x14ac:dyDescent="0.2">
      <c r="A208" s="5">
        <v>1178</v>
      </c>
      <c r="B208" s="20" t="s">
        <v>80</v>
      </c>
      <c r="C208" s="18" t="s">
        <v>54</v>
      </c>
      <c r="D208" s="18">
        <v>5</v>
      </c>
      <c r="E208" s="18">
        <v>0</v>
      </c>
      <c r="F208" s="20">
        <v>4</v>
      </c>
      <c r="G208" s="18">
        <v>29</v>
      </c>
      <c r="H208" s="22" t="s">
        <v>8</v>
      </c>
      <c r="I208" s="22" t="s">
        <v>8</v>
      </c>
      <c r="J208" s="22" t="s">
        <v>8</v>
      </c>
      <c r="K208" s="22" t="s">
        <v>8</v>
      </c>
      <c r="L208" s="22" t="s">
        <v>8</v>
      </c>
      <c r="M208" s="22" t="s">
        <v>8</v>
      </c>
      <c r="N208" s="22" t="s">
        <v>8</v>
      </c>
      <c r="O208" s="22" t="s">
        <v>8</v>
      </c>
      <c r="P208" s="22" t="s">
        <v>8</v>
      </c>
      <c r="Q208" s="22" t="s">
        <v>8</v>
      </c>
      <c r="R208" s="22" t="s">
        <v>8</v>
      </c>
      <c r="S208" s="22" t="s">
        <v>8</v>
      </c>
      <c r="T208" s="5">
        <v>7</v>
      </c>
      <c r="U208" s="5">
        <v>21</v>
      </c>
      <c r="V208" s="20" t="s">
        <v>1</v>
      </c>
      <c r="W208" s="20">
        <v>5</v>
      </c>
      <c r="X208" s="20">
        <v>1</v>
      </c>
      <c r="Y208" s="5">
        <v>1</v>
      </c>
      <c r="Z208" s="20">
        <v>4</v>
      </c>
      <c r="AA208" s="23">
        <f t="shared" si="6"/>
        <v>2</v>
      </c>
      <c r="AB208" s="15">
        <v>0.75</v>
      </c>
      <c r="AC208" s="15">
        <v>0.5</v>
      </c>
      <c r="AD208" s="15">
        <v>0</v>
      </c>
      <c r="AE208" s="15">
        <v>0.41699999999999998</v>
      </c>
      <c r="AF208" s="20">
        <v>10</v>
      </c>
      <c r="AG208" s="20" t="s">
        <v>8</v>
      </c>
      <c r="AH208" s="24">
        <v>24</v>
      </c>
      <c r="AI208" s="23">
        <f t="shared" si="7"/>
        <v>1</v>
      </c>
      <c r="AJ208" s="17">
        <v>5.75</v>
      </c>
      <c r="AK208" s="17">
        <v>7.5</v>
      </c>
      <c r="AL208" s="14">
        <v>13.25</v>
      </c>
      <c r="AM208" s="23" cm="1">
        <f t="array" ref="AM208">IF(OR(AN208:AZ208=""),"BLANK",IF(AND(AN208:AZ208&lt;9999999),1,IF(AND(AN208:AZ208="NA"),3,2)))</f>
        <v>1</v>
      </c>
      <c r="AN208" s="5">
        <v>4</v>
      </c>
      <c r="AO208" s="5">
        <v>2</v>
      </c>
      <c r="AP208" s="10">
        <v>3</v>
      </c>
      <c r="AQ208" s="10">
        <v>6.75</v>
      </c>
      <c r="AR208" s="10">
        <v>9.5</v>
      </c>
      <c r="AS208" s="11">
        <v>977.5</v>
      </c>
      <c r="AT208" s="11">
        <v>12928.5</v>
      </c>
      <c r="AU208" s="11">
        <v>10422.25</v>
      </c>
      <c r="AV208" s="11">
        <v>5890.75</v>
      </c>
      <c r="AW208" s="11">
        <v>0</v>
      </c>
      <c r="AX208" s="11">
        <v>71</v>
      </c>
      <c r="AY208" s="11">
        <v>7310.7791666666999</v>
      </c>
      <c r="AZ208" s="11">
        <v>3437.2083333332998</v>
      </c>
      <c r="BA208" s="23">
        <v>3</v>
      </c>
      <c r="BB208" s="24" t="s">
        <v>8</v>
      </c>
    </row>
    <row r="209" spans="1:54" x14ac:dyDescent="0.2">
      <c r="A209" s="5">
        <v>1183</v>
      </c>
      <c r="B209" s="20" t="s">
        <v>69</v>
      </c>
      <c r="C209" s="18" t="s">
        <v>55</v>
      </c>
      <c r="D209" s="18">
        <v>5</v>
      </c>
      <c r="E209" s="18">
        <v>0</v>
      </c>
      <c r="F209" s="20">
        <v>3.5449999999999999</v>
      </c>
      <c r="G209" s="18">
        <v>30</v>
      </c>
      <c r="H209" s="22">
        <v>3.8412046543463383</v>
      </c>
      <c r="I209" s="22">
        <v>5.6536618754277894</v>
      </c>
      <c r="J209" s="22">
        <v>9.4948665297741268</v>
      </c>
      <c r="K209" s="22">
        <v>3.8412046543463383</v>
      </c>
      <c r="L209" s="22">
        <v>5.6536618754277894</v>
      </c>
      <c r="M209" s="22">
        <v>9.4948665297741268</v>
      </c>
      <c r="N209" s="22" t="s">
        <v>8</v>
      </c>
      <c r="O209" s="22" t="s">
        <v>8</v>
      </c>
      <c r="P209" s="22">
        <v>9.4811772758384674</v>
      </c>
      <c r="Q209" s="22" t="s">
        <v>8</v>
      </c>
      <c r="R209" s="22" t="s">
        <v>8</v>
      </c>
      <c r="S209" s="22" t="s">
        <v>8</v>
      </c>
      <c r="T209" s="5">
        <v>3</v>
      </c>
      <c r="U209" s="5">
        <v>15</v>
      </c>
      <c r="V209" s="20" t="s">
        <v>1</v>
      </c>
      <c r="W209" s="20">
        <v>5</v>
      </c>
      <c r="X209" s="20">
        <v>1</v>
      </c>
      <c r="Y209" s="5">
        <v>1</v>
      </c>
      <c r="Z209" s="20">
        <v>4</v>
      </c>
      <c r="AA209" s="23">
        <f t="shared" si="6"/>
        <v>2</v>
      </c>
      <c r="AB209" s="15">
        <v>1</v>
      </c>
      <c r="AC209" s="15">
        <v>1</v>
      </c>
      <c r="AD209" s="15">
        <v>1</v>
      </c>
      <c r="AE209" s="15">
        <v>1</v>
      </c>
      <c r="AF209" s="20">
        <v>23</v>
      </c>
      <c r="AG209" s="20" t="s">
        <v>8</v>
      </c>
      <c r="AH209" s="24">
        <v>23</v>
      </c>
      <c r="AI209" s="23">
        <f t="shared" si="7"/>
        <v>1</v>
      </c>
      <c r="AJ209" s="17">
        <v>15</v>
      </c>
      <c r="AK209" s="17">
        <v>15</v>
      </c>
      <c r="AL209" s="14">
        <v>30</v>
      </c>
      <c r="AM209" s="23" cm="1">
        <f t="array" ref="AM209">IF(OR(AN209:AZ209=""),"BLANK",IF(AND(AN209:AZ209&lt;9999999),1,IF(AND(AN209:AZ209="NA"),3,2)))</f>
        <v>1</v>
      </c>
      <c r="AN209" s="5">
        <v>12</v>
      </c>
      <c r="AO209" s="5">
        <v>2</v>
      </c>
      <c r="AP209" s="10">
        <v>3</v>
      </c>
      <c r="AQ209" s="10">
        <v>4</v>
      </c>
      <c r="AR209" s="10">
        <v>5</v>
      </c>
      <c r="AS209" s="11">
        <v>1738.5</v>
      </c>
      <c r="AT209" s="11">
        <v>2448</v>
      </c>
      <c r="AU209" s="11">
        <v>4036</v>
      </c>
      <c r="AV209" s="11">
        <v>8218.5</v>
      </c>
      <c r="AW209" s="11">
        <v>0</v>
      </c>
      <c r="AX209" s="11">
        <v>0</v>
      </c>
      <c r="AY209" s="11">
        <v>0</v>
      </c>
      <c r="AZ209" s="11">
        <v>0</v>
      </c>
      <c r="BA209" s="23">
        <v>3</v>
      </c>
      <c r="BB209" s="24" t="s">
        <v>8</v>
      </c>
    </row>
    <row r="210" spans="1:54" x14ac:dyDescent="0.2">
      <c r="A210" s="5">
        <v>1195</v>
      </c>
      <c r="B210" s="20" t="s">
        <v>82</v>
      </c>
      <c r="C210" s="18" t="s">
        <v>54</v>
      </c>
      <c r="D210" s="18">
        <v>5</v>
      </c>
      <c r="E210" s="18">
        <v>0</v>
      </c>
      <c r="F210" s="20">
        <v>3.4550000000000001</v>
      </c>
      <c r="G210" s="18">
        <v>29</v>
      </c>
      <c r="H210" s="22" t="s">
        <v>8</v>
      </c>
      <c r="I210" s="22" t="s">
        <v>8</v>
      </c>
      <c r="J210" s="22" t="s">
        <v>8</v>
      </c>
      <c r="K210" s="22" t="s">
        <v>8</v>
      </c>
      <c r="L210" s="22" t="s">
        <v>8</v>
      </c>
      <c r="M210" s="22" t="s">
        <v>8</v>
      </c>
      <c r="N210" s="22" t="s">
        <v>8</v>
      </c>
      <c r="O210" s="22" t="s">
        <v>8</v>
      </c>
      <c r="P210" s="22" t="s">
        <v>8</v>
      </c>
      <c r="Q210" s="22" t="s">
        <v>8</v>
      </c>
      <c r="R210" s="22" t="s">
        <v>8</v>
      </c>
      <c r="S210" s="22" t="s">
        <v>8</v>
      </c>
      <c r="T210" s="5">
        <v>4</v>
      </c>
      <c r="U210" s="5">
        <v>16</v>
      </c>
      <c r="V210" s="20" t="s">
        <v>1</v>
      </c>
      <c r="W210" s="20">
        <v>5</v>
      </c>
      <c r="X210" s="20">
        <v>1</v>
      </c>
      <c r="Y210" s="5">
        <v>1</v>
      </c>
      <c r="Z210" s="20">
        <v>4</v>
      </c>
      <c r="AA210" s="23">
        <f t="shared" si="6"/>
        <v>2</v>
      </c>
      <c r="AB210" s="15">
        <v>0.8571428571428571</v>
      </c>
      <c r="AC210" s="15">
        <v>0.625</v>
      </c>
      <c r="AD210" s="15">
        <v>0.25</v>
      </c>
      <c r="AE210" s="15">
        <v>0.56499999999999995</v>
      </c>
      <c r="AF210" s="20">
        <v>13</v>
      </c>
      <c r="AG210" s="20" t="s">
        <v>8</v>
      </c>
      <c r="AH210" s="24">
        <v>23</v>
      </c>
      <c r="AI210" s="23">
        <f t="shared" si="7"/>
        <v>1</v>
      </c>
      <c r="AJ210" s="17">
        <v>2.25</v>
      </c>
      <c r="AK210" s="17">
        <v>2.25</v>
      </c>
      <c r="AL210" s="14">
        <v>4.5</v>
      </c>
      <c r="AM210" s="23" cm="1">
        <f t="array" ref="AM210">IF(OR(AN210:AZ210=""),"BLANK",IF(AND(AN210:AZ210&lt;9999999),1,IF(AND(AN210:AZ210="NA"),3,2)))</f>
        <v>1</v>
      </c>
      <c r="AN210" s="5">
        <v>9</v>
      </c>
      <c r="AO210" s="5">
        <v>2</v>
      </c>
      <c r="AP210" s="10">
        <v>3</v>
      </c>
      <c r="AQ210" s="10">
        <v>5.25</v>
      </c>
      <c r="AR210" s="10">
        <v>7</v>
      </c>
      <c r="AS210" s="11">
        <v>6130.5</v>
      </c>
      <c r="AT210" s="11">
        <v>34555</v>
      </c>
      <c r="AU210" s="11">
        <v>21652.75</v>
      </c>
      <c r="AV210" s="11">
        <v>55986.5</v>
      </c>
      <c r="AW210" s="11">
        <v>105.25</v>
      </c>
      <c r="AX210" s="11">
        <v>973.16666666670005</v>
      </c>
      <c r="AY210" s="11">
        <v>16363.0486111111</v>
      </c>
      <c r="AZ210" s="11">
        <v>2053.1583333333001</v>
      </c>
      <c r="BA210" s="23">
        <v>3</v>
      </c>
      <c r="BB210" s="24" t="s">
        <v>8</v>
      </c>
    </row>
    <row r="211" spans="1:54" x14ac:dyDescent="0.2">
      <c r="A211" s="5">
        <v>1196</v>
      </c>
      <c r="B211" s="20" t="s">
        <v>72</v>
      </c>
      <c r="C211" s="18" t="s">
        <v>54</v>
      </c>
      <c r="D211" s="18">
        <v>5</v>
      </c>
      <c r="E211" s="18">
        <v>0</v>
      </c>
      <c r="F211" s="20">
        <v>3.6360000000000001</v>
      </c>
      <c r="G211" s="18">
        <v>30</v>
      </c>
      <c r="H211" s="22" t="s">
        <v>8</v>
      </c>
      <c r="I211" s="22" t="s">
        <v>8</v>
      </c>
      <c r="J211" s="22" t="s">
        <v>8</v>
      </c>
      <c r="K211" s="22" t="s">
        <v>8</v>
      </c>
      <c r="L211" s="22" t="s">
        <v>8</v>
      </c>
      <c r="M211" s="22" t="s">
        <v>8</v>
      </c>
      <c r="N211" s="22" t="s">
        <v>8</v>
      </c>
      <c r="O211" s="22" t="s">
        <v>8</v>
      </c>
      <c r="P211" s="22" t="s">
        <v>8</v>
      </c>
      <c r="Q211" s="22" t="s">
        <v>8</v>
      </c>
      <c r="R211" s="22" t="s">
        <v>8</v>
      </c>
      <c r="S211" s="22" t="s">
        <v>8</v>
      </c>
      <c r="T211" s="5">
        <v>5</v>
      </c>
      <c r="U211" s="5">
        <v>16</v>
      </c>
      <c r="V211" s="20" t="s">
        <v>1</v>
      </c>
      <c r="W211" s="20">
        <v>5</v>
      </c>
      <c r="X211" s="20">
        <v>1</v>
      </c>
      <c r="Y211" s="5">
        <v>1</v>
      </c>
      <c r="Z211" s="20">
        <v>4</v>
      </c>
      <c r="AA211" s="23">
        <f t="shared" si="6"/>
        <v>2</v>
      </c>
      <c r="AB211" s="15">
        <v>1</v>
      </c>
      <c r="AC211" s="15">
        <v>0.875</v>
      </c>
      <c r="AD211" s="15">
        <v>0.5</v>
      </c>
      <c r="AE211" s="15">
        <v>0.79200000000000004</v>
      </c>
      <c r="AF211" s="20">
        <v>19</v>
      </c>
      <c r="AG211" s="20" t="s">
        <v>8</v>
      </c>
      <c r="AH211" s="24">
        <v>24</v>
      </c>
      <c r="AI211" s="23">
        <f t="shared" si="7"/>
        <v>1</v>
      </c>
      <c r="AJ211" s="17">
        <v>11.75</v>
      </c>
      <c r="AK211" s="17">
        <v>12</v>
      </c>
      <c r="AL211" s="14">
        <v>23.75</v>
      </c>
      <c r="AM211" s="23" cm="1">
        <f t="array" ref="AM211">IF(OR(AN211:AZ211=""),"BLANK",IF(AND(AN211:AZ211&lt;9999999),1,IF(AND(AN211:AZ211="NA"),3,2)))</f>
        <v>1</v>
      </c>
      <c r="AN211" s="5">
        <v>11</v>
      </c>
      <c r="AO211" s="5">
        <v>2</v>
      </c>
      <c r="AP211" s="10">
        <v>3</v>
      </c>
      <c r="AQ211" s="10">
        <v>4</v>
      </c>
      <c r="AR211" s="10">
        <v>6</v>
      </c>
      <c r="AS211" s="11">
        <v>2514</v>
      </c>
      <c r="AT211" s="11">
        <v>4123</v>
      </c>
      <c r="AU211" s="11">
        <v>9726.25</v>
      </c>
      <c r="AV211" s="11">
        <v>8889</v>
      </c>
      <c r="AW211" s="11">
        <v>0</v>
      </c>
      <c r="AX211" s="11">
        <v>0</v>
      </c>
      <c r="AY211" s="11">
        <v>0</v>
      </c>
      <c r="AZ211" s="11">
        <v>534.82222222220003</v>
      </c>
      <c r="BA211" s="23">
        <v>3</v>
      </c>
      <c r="BB211" s="24" t="s">
        <v>8</v>
      </c>
    </row>
    <row r="212" spans="1:54" x14ac:dyDescent="0.2">
      <c r="A212" s="5">
        <v>1199</v>
      </c>
      <c r="B212" s="20" t="s">
        <v>69</v>
      </c>
      <c r="C212" s="18" t="s">
        <v>55</v>
      </c>
      <c r="D212" s="18">
        <v>5</v>
      </c>
      <c r="E212" s="18">
        <v>1</v>
      </c>
      <c r="F212" s="20">
        <v>3.7269999999999999</v>
      </c>
      <c r="G212" s="18">
        <v>30</v>
      </c>
      <c r="H212" s="22" t="s">
        <v>8</v>
      </c>
      <c r="I212" s="22" t="s">
        <v>8</v>
      </c>
      <c r="J212" s="22" t="s">
        <v>8</v>
      </c>
      <c r="K212" s="22" t="s">
        <v>8</v>
      </c>
      <c r="L212" s="22" t="s">
        <v>8</v>
      </c>
      <c r="M212" s="22" t="s">
        <v>8</v>
      </c>
      <c r="N212" s="22" t="s">
        <v>8</v>
      </c>
      <c r="O212" s="22" t="s">
        <v>8</v>
      </c>
      <c r="P212" s="22" t="s">
        <v>8</v>
      </c>
      <c r="Q212" s="22" t="s">
        <v>8</v>
      </c>
      <c r="R212" s="22" t="s">
        <v>8</v>
      </c>
      <c r="S212" s="22" t="s">
        <v>8</v>
      </c>
      <c r="T212" s="5">
        <v>5</v>
      </c>
      <c r="U212" s="5">
        <v>16</v>
      </c>
      <c r="V212" s="20" t="s">
        <v>1</v>
      </c>
      <c r="W212" s="20">
        <v>5</v>
      </c>
      <c r="X212" s="20">
        <v>1</v>
      </c>
      <c r="Y212" s="5">
        <v>1</v>
      </c>
      <c r="Z212" s="20">
        <v>4</v>
      </c>
      <c r="AA212" s="23">
        <f t="shared" si="6"/>
        <v>2</v>
      </c>
      <c r="AB212" s="15">
        <v>0.875</v>
      </c>
      <c r="AC212" s="15">
        <v>1</v>
      </c>
      <c r="AD212" s="15">
        <v>0.75</v>
      </c>
      <c r="AE212" s="15">
        <v>0.875</v>
      </c>
      <c r="AF212" s="20">
        <v>21</v>
      </c>
      <c r="AG212" s="20" t="s">
        <v>8</v>
      </c>
      <c r="AH212" s="24">
        <v>24</v>
      </c>
      <c r="AI212" s="23">
        <f t="shared" si="7"/>
        <v>1</v>
      </c>
      <c r="AJ212" s="17">
        <v>11.75</v>
      </c>
      <c r="AK212" s="17">
        <v>14</v>
      </c>
      <c r="AL212" s="14">
        <v>25.75</v>
      </c>
      <c r="AM212" s="23" cm="1">
        <f t="array" ref="AM212">IF(OR(AN212:AZ212=""),"BLANK",IF(AND(AN212:AZ212&lt;9999999),1,IF(AND(AN212:AZ212="NA"),3,2)))</f>
        <v>1</v>
      </c>
      <c r="AN212" s="5">
        <v>10</v>
      </c>
      <c r="AO212" s="5">
        <v>2</v>
      </c>
      <c r="AP212" s="10">
        <v>3</v>
      </c>
      <c r="AQ212" s="10">
        <v>4.5</v>
      </c>
      <c r="AR212" s="10">
        <v>6.25</v>
      </c>
      <c r="AS212" s="11">
        <v>1065</v>
      </c>
      <c r="AT212" s="11">
        <v>2299</v>
      </c>
      <c r="AU212" s="11">
        <v>4713</v>
      </c>
      <c r="AV212" s="11">
        <v>4368</v>
      </c>
      <c r="AW212" s="11">
        <v>1</v>
      </c>
      <c r="AX212" s="11">
        <v>128.1666666667</v>
      </c>
      <c r="AY212" s="11">
        <v>178.9791666667</v>
      </c>
      <c r="AZ212" s="11">
        <v>463.42500000000001</v>
      </c>
      <c r="BA212" s="23">
        <v>3</v>
      </c>
      <c r="BB212" s="24" t="s">
        <v>8</v>
      </c>
    </row>
    <row r="213" spans="1:54" x14ac:dyDescent="0.2">
      <c r="A213" s="5">
        <v>1200</v>
      </c>
      <c r="B213" s="20" t="s">
        <v>63</v>
      </c>
      <c r="C213" s="18" t="s">
        <v>54</v>
      </c>
      <c r="D213" s="18">
        <v>5</v>
      </c>
      <c r="E213" s="18">
        <v>1</v>
      </c>
      <c r="F213" s="20">
        <v>4</v>
      </c>
      <c r="G213" s="18">
        <v>26</v>
      </c>
      <c r="H213" s="22">
        <v>3.8740588637919235</v>
      </c>
      <c r="I213" s="22">
        <v>5.4236824093086931</v>
      </c>
      <c r="J213" s="22">
        <v>9.2977412731006162</v>
      </c>
      <c r="K213" s="22">
        <v>3.8740588637919235</v>
      </c>
      <c r="L213" s="22">
        <v>5.4236824093086931</v>
      </c>
      <c r="M213" s="22">
        <v>9.2977412731006162</v>
      </c>
      <c r="N213" s="22">
        <v>3.9644079397672827</v>
      </c>
      <c r="O213" s="22" t="s">
        <v>8</v>
      </c>
      <c r="P213" s="22" t="s">
        <v>8</v>
      </c>
      <c r="Q213" s="22">
        <v>3.3456536618754278</v>
      </c>
      <c r="R213" s="22" t="s">
        <v>8</v>
      </c>
      <c r="S213" s="22" t="s">
        <v>8</v>
      </c>
      <c r="T213" s="5">
        <v>2</v>
      </c>
      <c r="U213" s="5">
        <v>12</v>
      </c>
      <c r="V213" s="20" t="s">
        <v>1</v>
      </c>
      <c r="W213" s="20">
        <v>5</v>
      </c>
      <c r="X213" s="20">
        <v>1</v>
      </c>
      <c r="Y213" s="5">
        <v>1</v>
      </c>
      <c r="Z213" s="20">
        <v>4</v>
      </c>
      <c r="AA213" s="23">
        <f t="shared" si="6"/>
        <v>2</v>
      </c>
      <c r="AB213" s="15">
        <v>0.875</v>
      </c>
      <c r="AC213" s="15">
        <v>0.375</v>
      </c>
      <c r="AD213" s="15">
        <v>0.125</v>
      </c>
      <c r="AE213" s="15">
        <v>0.45800000000000002</v>
      </c>
      <c r="AF213" s="20">
        <v>11</v>
      </c>
      <c r="AG213" s="20" t="s">
        <v>8</v>
      </c>
      <c r="AH213" s="24">
        <v>24</v>
      </c>
      <c r="AI213" s="23">
        <f t="shared" si="7"/>
        <v>1</v>
      </c>
      <c r="AJ213" s="17">
        <v>1.25</v>
      </c>
      <c r="AK213" s="17">
        <v>4.25</v>
      </c>
      <c r="AL213" s="14">
        <v>5.5</v>
      </c>
      <c r="AM213" s="23" cm="1">
        <f t="array" ref="AM213">IF(OR(AN213:AZ213=""),"BLANK",IF(AND(AN213:AZ213&lt;9999999),1,IF(AND(AN213:AZ213="NA"),3,2)))</f>
        <v>1</v>
      </c>
      <c r="AN213" s="5">
        <v>5</v>
      </c>
      <c r="AO213" s="5">
        <v>2</v>
      </c>
      <c r="AP213" s="10">
        <v>5</v>
      </c>
      <c r="AQ213" s="10">
        <v>6</v>
      </c>
      <c r="AR213" s="10">
        <v>6.25</v>
      </c>
      <c r="AS213" s="11">
        <v>0</v>
      </c>
      <c r="AT213" s="11">
        <v>19828.5</v>
      </c>
      <c r="AU213" s="11">
        <v>13575.75</v>
      </c>
      <c r="AV213" s="11">
        <v>4287.5</v>
      </c>
      <c r="AW213" s="11">
        <v>1902.25</v>
      </c>
      <c r="AX213" s="11">
        <v>7498.7916666666997</v>
      </c>
      <c r="AY213" s="11">
        <v>12602.340277777799</v>
      </c>
      <c r="AZ213" s="11">
        <v>5404.3305555555999</v>
      </c>
      <c r="BA213" s="23">
        <v>3</v>
      </c>
      <c r="BB213" s="24" t="s">
        <v>8</v>
      </c>
    </row>
    <row r="214" spans="1:54" x14ac:dyDescent="0.2">
      <c r="A214" s="5">
        <v>1220</v>
      </c>
      <c r="B214" s="20" t="s">
        <v>62</v>
      </c>
      <c r="C214" s="18" t="s">
        <v>54</v>
      </c>
      <c r="D214" s="18">
        <v>5</v>
      </c>
      <c r="E214" s="18">
        <v>0</v>
      </c>
      <c r="F214" s="20">
        <v>4</v>
      </c>
      <c r="G214" s="18">
        <v>29</v>
      </c>
      <c r="H214" s="22">
        <v>4.1779603011635862</v>
      </c>
      <c r="I214" s="22">
        <v>4.8213552361396301</v>
      </c>
      <c r="J214" s="22">
        <v>8.9993155373032163</v>
      </c>
      <c r="K214" s="22">
        <v>4.1779603011635862</v>
      </c>
      <c r="L214" s="22">
        <v>5.0540725530458586</v>
      </c>
      <c r="M214" s="22">
        <v>9.2320328542094447</v>
      </c>
      <c r="N214" s="22">
        <v>4.1040383299110195</v>
      </c>
      <c r="O214" s="22">
        <v>4.7446954140999313</v>
      </c>
      <c r="P214" s="22">
        <v>8.8487337440109517</v>
      </c>
      <c r="Q214" s="22" t="s">
        <v>8</v>
      </c>
      <c r="R214" s="22" t="s">
        <v>8</v>
      </c>
      <c r="S214" s="22" t="s">
        <v>8</v>
      </c>
      <c r="T214" s="5">
        <v>5</v>
      </c>
      <c r="U214" s="5">
        <v>16</v>
      </c>
      <c r="V214" s="20" t="s">
        <v>1</v>
      </c>
      <c r="W214" s="20">
        <v>5</v>
      </c>
      <c r="X214" s="20">
        <v>1</v>
      </c>
      <c r="Y214" s="5">
        <v>1</v>
      </c>
      <c r="Z214" s="20">
        <v>4</v>
      </c>
      <c r="AA214" s="23">
        <f t="shared" si="6"/>
        <v>2</v>
      </c>
      <c r="AB214" s="15">
        <v>0.875</v>
      </c>
      <c r="AC214" s="15">
        <v>1</v>
      </c>
      <c r="AD214" s="15">
        <v>0.5</v>
      </c>
      <c r="AE214" s="15">
        <v>0.79200000000000004</v>
      </c>
      <c r="AF214" s="20">
        <v>19</v>
      </c>
      <c r="AG214" s="20" t="s">
        <v>8</v>
      </c>
      <c r="AH214" s="24">
        <v>24</v>
      </c>
      <c r="AI214" s="23">
        <f t="shared" si="7"/>
        <v>1</v>
      </c>
      <c r="AJ214" s="17">
        <v>8</v>
      </c>
      <c r="AK214" s="17">
        <v>8.5</v>
      </c>
      <c r="AL214" s="14">
        <v>16.5</v>
      </c>
      <c r="AM214" s="23" cm="1">
        <f t="array" ref="AM214">IF(OR(AN214:AZ214=""),"BLANK",IF(AND(AN214:AZ214&lt;9999999),1,IF(AND(AN214:AZ214="NA"),3,2)))</f>
        <v>1</v>
      </c>
      <c r="AN214" s="5">
        <v>7</v>
      </c>
      <c r="AO214" s="5">
        <v>2</v>
      </c>
      <c r="AP214" s="10">
        <v>3</v>
      </c>
      <c r="AQ214" s="10">
        <v>7</v>
      </c>
      <c r="AR214" s="10">
        <v>7.5</v>
      </c>
      <c r="AS214" s="11">
        <v>1350.5</v>
      </c>
      <c r="AT214" s="11">
        <v>2404.5</v>
      </c>
      <c r="AU214" s="11">
        <v>3337.5</v>
      </c>
      <c r="AV214" s="11">
        <v>13230.25</v>
      </c>
      <c r="AW214" s="11">
        <v>0</v>
      </c>
      <c r="AX214" s="11">
        <v>64.833333333300004</v>
      </c>
      <c r="AY214" s="11">
        <v>5204.3333333333003</v>
      </c>
      <c r="AZ214" s="11">
        <v>3027.8812499999999</v>
      </c>
      <c r="BA214" s="23">
        <v>3</v>
      </c>
      <c r="BB214" s="24" t="s">
        <v>8</v>
      </c>
    </row>
    <row r="215" spans="1:54" x14ac:dyDescent="0.2">
      <c r="A215" s="5">
        <v>1225</v>
      </c>
      <c r="B215" s="20" t="s">
        <v>85</v>
      </c>
      <c r="C215" s="18" t="s">
        <v>54</v>
      </c>
      <c r="D215" s="18">
        <v>5</v>
      </c>
      <c r="E215" s="18">
        <v>0</v>
      </c>
      <c r="F215" s="20">
        <v>3.3639999999999999</v>
      </c>
      <c r="G215" s="18">
        <v>28</v>
      </c>
      <c r="H215" s="22">
        <v>3.9342915811088295</v>
      </c>
      <c r="I215" s="22" t="s">
        <v>8</v>
      </c>
      <c r="J215" s="22" t="s">
        <v>8</v>
      </c>
      <c r="K215" s="22">
        <v>3.9671457905544147</v>
      </c>
      <c r="L215" s="22" t="s">
        <v>8</v>
      </c>
      <c r="M215" s="22" t="s">
        <v>8</v>
      </c>
      <c r="N215" s="22">
        <v>3.9534565366187544</v>
      </c>
      <c r="O215" s="22" t="s">
        <v>8</v>
      </c>
      <c r="P215" s="22" t="s">
        <v>8</v>
      </c>
      <c r="Q215" s="22">
        <v>3.3702943189596168</v>
      </c>
      <c r="R215" s="22" t="s">
        <v>8</v>
      </c>
      <c r="S215" s="22" t="s">
        <v>8</v>
      </c>
      <c r="T215" s="5">
        <v>3</v>
      </c>
      <c r="U215" s="5">
        <v>14</v>
      </c>
      <c r="V215" s="20" t="s">
        <v>1</v>
      </c>
      <c r="W215" s="20">
        <v>5</v>
      </c>
      <c r="X215" s="20">
        <v>1</v>
      </c>
      <c r="Y215" s="5">
        <v>1</v>
      </c>
      <c r="Z215" s="20">
        <v>4</v>
      </c>
      <c r="AA215" s="23">
        <f t="shared" si="6"/>
        <v>2</v>
      </c>
      <c r="AB215" s="15">
        <v>1</v>
      </c>
      <c r="AC215" s="15">
        <v>0.75</v>
      </c>
      <c r="AD215" s="15">
        <v>0.75</v>
      </c>
      <c r="AE215" s="15">
        <v>0.83299999999999996</v>
      </c>
      <c r="AF215" s="20">
        <v>20</v>
      </c>
      <c r="AG215" s="20" t="s">
        <v>8</v>
      </c>
      <c r="AH215" s="24">
        <v>24</v>
      </c>
      <c r="AI215" s="23">
        <f t="shared" si="7"/>
        <v>1</v>
      </c>
      <c r="AJ215" s="17">
        <v>4</v>
      </c>
      <c r="AK215" s="17">
        <v>3.75</v>
      </c>
      <c r="AL215" s="14">
        <v>7.75</v>
      </c>
      <c r="AM215" s="23" cm="1">
        <f t="array" ref="AM215">IF(OR(AN215:AZ215=""),"BLANK",IF(AND(AN215:AZ215&lt;9999999),1,IF(AND(AN215:AZ215="NA"),3,2)))</f>
        <v>1</v>
      </c>
      <c r="AN215" s="5">
        <v>5</v>
      </c>
      <c r="AO215" s="5">
        <v>2</v>
      </c>
      <c r="AP215" s="10">
        <v>3</v>
      </c>
      <c r="AQ215" s="10">
        <v>7.25</v>
      </c>
      <c r="AR215" s="10">
        <v>7.75</v>
      </c>
      <c r="AS215" s="11">
        <v>3424</v>
      </c>
      <c r="AT215" s="11">
        <v>9379</v>
      </c>
      <c r="AU215" s="11">
        <v>9147</v>
      </c>
      <c r="AV215" s="11">
        <v>21599.25</v>
      </c>
      <c r="AW215" s="11">
        <v>0</v>
      </c>
      <c r="AX215" s="11">
        <v>1268.1666666666999</v>
      </c>
      <c r="AY215" s="11">
        <v>14494.755555555599</v>
      </c>
      <c r="AZ215" s="11">
        <v>1601.4327380952</v>
      </c>
      <c r="BA215" s="23">
        <v>3</v>
      </c>
      <c r="BB215" s="24" t="s">
        <v>8</v>
      </c>
    </row>
    <row r="216" spans="1:54" x14ac:dyDescent="0.2">
      <c r="A216" s="5">
        <v>1226</v>
      </c>
      <c r="B216" s="20" t="s">
        <v>63</v>
      </c>
      <c r="C216" s="18" t="s">
        <v>54</v>
      </c>
      <c r="D216" s="18">
        <v>5</v>
      </c>
      <c r="E216" s="18">
        <v>0</v>
      </c>
      <c r="F216" s="20">
        <v>4</v>
      </c>
      <c r="G216" s="18">
        <v>30</v>
      </c>
      <c r="H216" s="22">
        <v>3.890485968514716</v>
      </c>
      <c r="I216" s="22">
        <v>5.3689253935660508</v>
      </c>
      <c r="J216" s="22">
        <v>9.2594113620807672</v>
      </c>
      <c r="K216" s="22" t="s">
        <v>8</v>
      </c>
      <c r="L216" s="22" t="s">
        <v>8</v>
      </c>
      <c r="M216" s="22" t="s">
        <v>8</v>
      </c>
      <c r="N216" s="22">
        <v>4.2053388090349078</v>
      </c>
      <c r="O216" s="22">
        <v>4.991101984941821</v>
      </c>
      <c r="P216" s="22">
        <v>9.1964407939767288</v>
      </c>
      <c r="Q216" s="22">
        <v>3.4140999315537304</v>
      </c>
      <c r="R216" s="22">
        <v>6.3189596167008899</v>
      </c>
      <c r="S216" s="22">
        <v>9.7330595482546194</v>
      </c>
      <c r="T216" s="5">
        <v>3</v>
      </c>
      <c r="U216" s="5">
        <v>15</v>
      </c>
      <c r="V216" s="20" t="s">
        <v>1</v>
      </c>
      <c r="W216" s="20">
        <v>5</v>
      </c>
      <c r="X216" s="20">
        <v>1</v>
      </c>
      <c r="Y216" s="5">
        <v>1</v>
      </c>
      <c r="Z216" s="20">
        <v>4</v>
      </c>
      <c r="AA216" s="23">
        <f t="shared" si="6"/>
        <v>2</v>
      </c>
      <c r="AB216" s="15">
        <v>0.875</v>
      </c>
      <c r="AC216" s="15">
        <v>0.875</v>
      </c>
      <c r="AD216" s="15">
        <v>0.625</v>
      </c>
      <c r="AE216" s="15">
        <v>0.79200000000000004</v>
      </c>
      <c r="AF216" s="20">
        <v>19</v>
      </c>
      <c r="AG216" s="20" t="s">
        <v>8</v>
      </c>
      <c r="AH216" s="24">
        <v>24</v>
      </c>
      <c r="AI216" s="23">
        <f t="shared" si="7"/>
        <v>1</v>
      </c>
      <c r="AJ216" s="17">
        <v>7</v>
      </c>
      <c r="AK216" s="17">
        <v>8</v>
      </c>
      <c r="AL216" s="14">
        <v>15</v>
      </c>
      <c r="AM216" s="23" cm="1">
        <f t="array" ref="AM216">IF(OR(AN216:AZ216=""),"BLANK",IF(AND(AN216:AZ216&lt;9999999),1,IF(AND(AN216:AZ216="NA"),3,2)))</f>
        <v>1</v>
      </c>
      <c r="AN216" s="5">
        <v>10</v>
      </c>
      <c r="AO216" s="5">
        <v>2</v>
      </c>
      <c r="AP216" s="10">
        <v>3</v>
      </c>
      <c r="AQ216" s="10">
        <v>4</v>
      </c>
      <c r="AR216" s="10">
        <v>8</v>
      </c>
      <c r="AS216" s="11">
        <v>3583.5</v>
      </c>
      <c r="AT216" s="11">
        <v>5935.5</v>
      </c>
      <c r="AU216" s="11">
        <v>2862.5</v>
      </c>
      <c r="AV216" s="11">
        <v>4196</v>
      </c>
      <c r="AW216" s="11">
        <v>0</v>
      </c>
      <c r="AX216" s="11">
        <v>0</v>
      </c>
      <c r="AY216" s="11">
        <v>0</v>
      </c>
      <c r="AZ216" s="11">
        <v>1926.7249999999999</v>
      </c>
      <c r="BA216" s="23">
        <v>3</v>
      </c>
      <c r="BB216" s="24" t="s">
        <v>8</v>
      </c>
    </row>
    <row r="217" spans="1:54" x14ac:dyDescent="0.2">
      <c r="A217" s="5">
        <v>1240</v>
      </c>
      <c r="B217" s="20" t="s">
        <v>67</v>
      </c>
      <c r="C217" s="18" t="s">
        <v>54</v>
      </c>
      <c r="D217" s="18">
        <v>5</v>
      </c>
      <c r="E217" s="18">
        <v>0</v>
      </c>
      <c r="F217" s="20">
        <v>4</v>
      </c>
      <c r="G217" s="18">
        <v>30</v>
      </c>
      <c r="H217" s="22">
        <v>3.9671457905544147</v>
      </c>
      <c r="I217" s="22">
        <v>4.9774127310061598</v>
      </c>
      <c r="J217" s="22">
        <v>8.944558521560575</v>
      </c>
      <c r="K217" s="22">
        <v>3.9671457905544147</v>
      </c>
      <c r="L217" s="22">
        <v>4.9774127310061598</v>
      </c>
      <c r="M217" s="22">
        <v>8.944558521560575</v>
      </c>
      <c r="N217" s="22">
        <v>3.9589322381930185</v>
      </c>
      <c r="O217" s="22">
        <v>4.9253935660506505</v>
      </c>
      <c r="P217" s="22">
        <v>8.8843258042436695</v>
      </c>
      <c r="Q217" s="22">
        <v>3.1649555099247091</v>
      </c>
      <c r="R217" s="22">
        <v>5.935660506502396</v>
      </c>
      <c r="S217" s="22">
        <v>9.1006160164271055</v>
      </c>
      <c r="T217" s="5">
        <v>4</v>
      </c>
      <c r="U217" s="5">
        <v>16</v>
      </c>
      <c r="V217" s="20" t="s">
        <v>1</v>
      </c>
      <c r="W217" s="20">
        <v>5</v>
      </c>
      <c r="X217" s="20">
        <v>1</v>
      </c>
      <c r="Y217" s="5">
        <v>1</v>
      </c>
      <c r="Z217" s="20">
        <v>4</v>
      </c>
      <c r="AA217" s="23">
        <f t="shared" si="6"/>
        <v>2</v>
      </c>
      <c r="AB217" s="15">
        <v>1</v>
      </c>
      <c r="AC217" s="15">
        <v>0.875</v>
      </c>
      <c r="AD217" s="15">
        <v>0.875</v>
      </c>
      <c r="AE217" s="15">
        <v>0.91700000000000004</v>
      </c>
      <c r="AF217" s="20">
        <v>22</v>
      </c>
      <c r="AG217" s="20" t="s">
        <v>8</v>
      </c>
      <c r="AH217" s="24">
        <v>24</v>
      </c>
      <c r="AI217" s="23">
        <f t="shared" si="7"/>
        <v>1</v>
      </c>
      <c r="AJ217" s="17">
        <v>13</v>
      </c>
      <c r="AK217" s="17">
        <v>11.75</v>
      </c>
      <c r="AL217" s="14">
        <v>24.75</v>
      </c>
      <c r="AM217" s="23" cm="1">
        <f t="array" ref="AM217">IF(OR(AN217:AZ217=""),"BLANK",IF(AND(AN217:AZ217&lt;9999999),1,IF(AND(AN217:AZ217="NA"),3,2)))</f>
        <v>1</v>
      </c>
      <c r="AN217" s="5">
        <v>9</v>
      </c>
      <c r="AO217" s="5">
        <v>2</v>
      </c>
      <c r="AP217" s="10">
        <v>3.5</v>
      </c>
      <c r="AQ217" s="10">
        <v>4</v>
      </c>
      <c r="AR217" s="10">
        <v>8.25</v>
      </c>
      <c r="AS217" s="11">
        <v>1195.5</v>
      </c>
      <c r="AT217" s="11">
        <v>1922.5</v>
      </c>
      <c r="AU217" s="11">
        <v>3942.5</v>
      </c>
      <c r="AV217" s="11">
        <v>12092.5</v>
      </c>
      <c r="AW217" s="11">
        <v>0</v>
      </c>
      <c r="AX217" s="11">
        <v>1084.75</v>
      </c>
      <c r="AY217" s="11">
        <v>14.4375</v>
      </c>
      <c r="AZ217" s="11">
        <v>1934.7473484848001</v>
      </c>
      <c r="BA217" s="23">
        <v>3</v>
      </c>
      <c r="BB217" s="24" t="s">
        <v>8</v>
      </c>
    </row>
    <row r="218" spans="1:54" x14ac:dyDescent="0.2">
      <c r="A218" s="5">
        <v>1245</v>
      </c>
      <c r="B218" s="20" t="s">
        <v>62</v>
      </c>
      <c r="C218" s="18" t="s">
        <v>55</v>
      </c>
      <c r="D218" s="18">
        <v>3</v>
      </c>
      <c r="E218" s="18">
        <v>1</v>
      </c>
      <c r="F218" s="20">
        <v>3.3639999999999999</v>
      </c>
      <c r="G218" s="18">
        <v>28</v>
      </c>
      <c r="H218" s="22">
        <v>3.9835728952772076</v>
      </c>
      <c r="I218" s="22">
        <v>5.2813141683778237</v>
      </c>
      <c r="J218" s="22">
        <v>9.2648870636550313</v>
      </c>
      <c r="K218" s="22">
        <v>4.991101984941821</v>
      </c>
      <c r="L218" s="22">
        <v>4.2737850787132103</v>
      </c>
      <c r="M218" s="22">
        <v>9.2648870636550313</v>
      </c>
      <c r="N218" s="22">
        <v>3.9726214921286789</v>
      </c>
      <c r="O218" s="22">
        <v>5.0540725530458586</v>
      </c>
      <c r="P218" s="22">
        <v>9.0266940451745388</v>
      </c>
      <c r="Q218" s="22" t="s">
        <v>8</v>
      </c>
      <c r="R218" s="22" t="s">
        <v>8</v>
      </c>
      <c r="S218" s="22" t="s">
        <v>8</v>
      </c>
      <c r="T218" s="5">
        <v>7</v>
      </c>
      <c r="U218" s="5">
        <v>21</v>
      </c>
      <c r="V218" s="20" t="s">
        <v>1</v>
      </c>
      <c r="W218" s="20">
        <v>5</v>
      </c>
      <c r="X218" s="20">
        <v>1</v>
      </c>
      <c r="Y218" s="5">
        <v>1</v>
      </c>
      <c r="Z218" s="20">
        <v>4</v>
      </c>
      <c r="AA218" s="23">
        <f t="shared" si="6"/>
        <v>2</v>
      </c>
      <c r="AB218" s="15">
        <v>0.875</v>
      </c>
      <c r="AC218" s="15">
        <v>0.875</v>
      </c>
      <c r="AD218" s="15">
        <v>0.625</v>
      </c>
      <c r="AE218" s="15">
        <v>0.79200000000000004</v>
      </c>
      <c r="AF218" s="20">
        <v>19</v>
      </c>
      <c r="AG218" s="20" t="s">
        <v>8</v>
      </c>
      <c r="AH218" s="24">
        <v>24</v>
      </c>
      <c r="AI218" s="23">
        <f t="shared" si="7"/>
        <v>1</v>
      </c>
      <c r="AJ218" s="17">
        <v>10.75</v>
      </c>
      <c r="AK218" s="17">
        <v>11.75</v>
      </c>
      <c r="AL218" s="14">
        <v>22.5</v>
      </c>
      <c r="AM218" s="23" cm="1">
        <f t="array" ref="AM218">IF(OR(AN218:AZ218=""),"BLANK",IF(AND(AN218:AZ218&lt;9999999),1,IF(AND(AN218:AZ218="NA"),3,2)))</f>
        <v>1</v>
      </c>
      <c r="AN218" s="5">
        <v>8</v>
      </c>
      <c r="AO218" s="5">
        <v>2</v>
      </c>
      <c r="AP218" s="10">
        <v>3</v>
      </c>
      <c r="AQ218" s="10">
        <v>7</v>
      </c>
      <c r="AR218" s="10">
        <v>6.75</v>
      </c>
      <c r="AS218" s="11">
        <v>3082</v>
      </c>
      <c r="AT218" s="11">
        <v>5540.5</v>
      </c>
      <c r="AU218" s="11">
        <v>6347.25</v>
      </c>
      <c r="AV218" s="11">
        <v>25579.25</v>
      </c>
      <c r="AW218" s="11">
        <v>0</v>
      </c>
      <c r="AX218" s="11">
        <v>0</v>
      </c>
      <c r="AY218" s="11">
        <v>11352.5069444444</v>
      </c>
      <c r="AZ218" s="11">
        <v>1606.0291666666999</v>
      </c>
      <c r="BA218" s="23">
        <v>3</v>
      </c>
      <c r="BB218" s="24" t="s">
        <v>8</v>
      </c>
    </row>
    <row r="219" spans="1:54" x14ac:dyDescent="0.2">
      <c r="A219" s="5">
        <v>1247</v>
      </c>
      <c r="B219" s="20" t="s">
        <v>63</v>
      </c>
      <c r="C219" s="18" t="s">
        <v>54</v>
      </c>
      <c r="D219" s="18">
        <v>5</v>
      </c>
      <c r="E219" s="18">
        <v>0</v>
      </c>
      <c r="F219" s="20">
        <v>4</v>
      </c>
      <c r="G219" s="18">
        <v>28</v>
      </c>
      <c r="H219" s="22" t="s">
        <v>8</v>
      </c>
      <c r="I219" s="22" t="s">
        <v>8</v>
      </c>
      <c r="J219" s="22" t="s">
        <v>8</v>
      </c>
      <c r="K219" s="22" t="s">
        <v>8</v>
      </c>
      <c r="L219" s="22" t="s">
        <v>8</v>
      </c>
      <c r="M219" s="22" t="s">
        <v>8</v>
      </c>
      <c r="N219" s="22" t="s">
        <v>8</v>
      </c>
      <c r="O219" s="22" t="s">
        <v>8</v>
      </c>
      <c r="P219" s="22" t="s">
        <v>8</v>
      </c>
      <c r="Q219" s="22" t="s">
        <v>8</v>
      </c>
      <c r="R219" s="22" t="s">
        <v>8</v>
      </c>
      <c r="S219" s="22" t="s">
        <v>8</v>
      </c>
      <c r="T219" s="5">
        <v>4</v>
      </c>
      <c r="U219" s="5">
        <v>16</v>
      </c>
      <c r="V219" s="20" t="s">
        <v>1</v>
      </c>
      <c r="W219" s="20">
        <v>5</v>
      </c>
      <c r="X219" s="20">
        <v>1</v>
      </c>
      <c r="Y219" s="5">
        <v>1</v>
      </c>
      <c r="Z219" s="20">
        <v>4</v>
      </c>
      <c r="AA219" s="23">
        <f t="shared" si="6"/>
        <v>2</v>
      </c>
      <c r="AB219" s="15">
        <v>0.875</v>
      </c>
      <c r="AC219" s="15">
        <v>0.625</v>
      </c>
      <c r="AD219" s="15">
        <v>0.5</v>
      </c>
      <c r="AE219" s="15">
        <v>0.66700000000000004</v>
      </c>
      <c r="AF219" s="20">
        <v>16</v>
      </c>
      <c r="AG219" s="20" t="s">
        <v>8</v>
      </c>
      <c r="AH219" s="24">
        <v>24</v>
      </c>
      <c r="AI219" s="23">
        <f t="shared" si="7"/>
        <v>1</v>
      </c>
      <c r="AJ219" s="17">
        <v>6.75</v>
      </c>
      <c r="AK219" s="17">
        <v>7</v>
      </c>
      <c r="AL219" s="14">
        <v>13.75</v>
      </c>
      <c r="AM219" s="23" cm="1">
        <f t="array" ref="AM219">IF(OR(AN219:AZ219=""),"BLANK",IF(AND(AN219:AZ219&lt;9999999),1,IF(AND(AN219:AZ219="NA"),3,2)))</f>
        <v>1</v>
      </c>
      <c r="AN219" s="5">
        <v>9</v>
      </c>
      <c r="AO219" s="5">
        <v>2</v>
      </c>
      <c r="AP219" s="10">
        <v>3</v>
      </c>
      <c r="AQ219" s="10">
        <v>4.25</v>
      </c>
      <c r="AR219" s="10">
        <v>5.75</v>
      </c>
      <c r="AS219" s="11">
        <v>5036</v>
      </c>
      <c r="AT219" s="11">
        <v>8210</v>
      </c>
      <c r="AU219" s="11">
        <v>8645.25</v>
      </c>
      <c r="AV219" s="11">
        <v>9372.5</v>
      </c>
      <c r="AW219" s="11">
        <v>90.25</v>
      </c>
      <c r="AX219" s="11">
        <v>0</v>
      </c>
      <c r="AY219" s="11">
        <v>2088.9250000000002</v>
      </c>
      <c r="AZ219" s="11">
        <v>1214.925</v>
      </c>
      <c r="BA219" s="23">
        <v>3</v>
      </c>
      <c r="BB219" s="24" t="s">
        <v>8</v>
      </c>
    </row>
    <row r="220" spans="1:54" x14ac:dyDescent="0.2">
      <c r="A220" s="5">
        <v>1251</v>
      </c>
      <c r="B220" s="20" t="s">
        <v>73</v>
      </c>
      <c r="C220" s="18" t="s">
        <v>54</v>
      </c>
      <c r="D220" s="18">
        <v>2</v>
      </c>
      <c r="E220" s="18">
        <v>0</v>
      </c>
      <c r="F220" s="20">
        <v>4</v>
      </c>
      <c r="G220" s="18">
        <v>29</v>
      </c>
      <c r="H220" s="22" t="s">
        <v>8</v>
      </c>
      <c r="I220" s="22" t="s">
        <v>8</v>
      </c>
      <c r="J220" s="22" t="s">
        <v>8</v>
      </c>
      <c r="K220" s="22" t="s">
        <v>8</v>
      </c>
      <c r="L220" s="22" t="s">
        <v>8</v>
      </c>
      <c r="M220" s="22" t="s">
        <v>8</v>
      </c>
      <c r="N220" s="22" t="s">
        <v>8</v>
      </c>
      <c r="O220" s="22" t="s">
        <v>8</v>
      </c>
      <c r="P220" s="22" t="s">
        <v>8</v>
      </c>
      <c r="Q220" s="22" t="s">
        <v>8</v>
      </c>
      <c r="R220" s="22" t="s">
        <v>8</v>
      </c>
      <c r="S220" s="22" t="s">
        <v>8</v>
      </c>
      <c r="T220" s="5">
        <v>3</v>
      </c>
      <c r="U220" s="5">
        <v>15</v>
      </c>
      <c r="V220" s="20" t="s">
        <v>1</v>
      </c>
      <c r="W220" s="20">
        <v>5</v>
      </c>
      <c r="X220" s="20">
        <v>1</v>
      </c>
      <c r="Y220" s="5">
        <v>1</v>
      </c>
      <c r="Z220" s="20">
        <v>4</v>
      </c>
      <c r="AA220" s="23">
        <f t="shared" si="6"/>
        <v>2</v>
      </c>
      <c r="AB220" s="15">
        <v>1</v>
      </c>
      <c r="AC220" s="15">
        <v>0.875</v>
      </c>
      <c r="AD220" s="15">
        <v>0.375</v>
      </c>
      <c r="AE220" s="15">
        <v>0.75</v>
      </c>
      <c r="AF220" s="20">
        <v>18</v>
      </c>
      <c r="AG220" s="20" t="s">
        <v>8</v>
      </c>
      <c r="AH220" s="24">
        <v>24</v>
      </c>
      <c r="AI220" s="23">
        <f t="shared" si="7"/>
        <v>1</v>
      </c>
      <c r="AJ220" s="17">
        <v>8.5</v>
      </c>
      <c r="AK220" s="17">
        <v>10.75</v>
      </c>
      <c r="AL220" s="14">
        <v>19.25</v>
      </c>
      <c r="AM220" s="23" cm="1">
        <f t="array" ref="AM220">IF(OR(AN220:AZ220=""),"BLANK",IF(AND(AN220:AZ220&lt;9999999),1,IF(AND(AN220:AZ220="NA"),3,2)))</f>
        <v>1</v>
      </c>
      <c r="AN220" s="5">
        <v>6</v>
      </c>
      <c r="AO220" s="5">
        <v>2</v>
      </c>
      <c r="AP220" s="10">
        <v>4.5</v>
      </c>
      <c r="AQ220" s="10">
        <v>5.75</v>
      </c>
      <c r="AR220" s="10">
        <v>6</v>
      </c>
      <c r="AS220" s="11">
        <v>4265.5</v>
      </c>
      <c r="AT220" s="11">
        <v>21797</v>
      </c>
      <c r="AU220" s="11">
        <v>11794.75</v>
      </c>
      <c r="AV220" s="11">
        <v>10279.75</v>
      </c>
      <c r="AW220" s="11">
        <v>204.25</v>
      </c>
      <c r="AX220" s="11">
        <v>6375.875</v>
      </c>
      <c r="AY220" s="11">
        <v>7109.0972222221999</v>
      </c>
      <c r="AZ220" s="11">
        <v>1014.4214285714</v>
      </c>
      <c r="BA220" s="23">
        <v>3</v>
      </c>
      <c r="BB220" s="24" t="s">
        <v>8</v>
      </c>
    </row>
    <row r="221" spans="1:54" x14ac:dyDescent="0.2">
      <c r="A221" s="5">
        <v>1267</v>
      </c>
      <c r="B221" s="20" t="s">
        <v>69</v>
      </c>
      <c r="C221" s="18" t="s">
        <v>54</v>
      </c>
      <c r="D221" s="18">
        <v>6</v>
      </c>
      <c r="E221" s="18">
        <v>1</v>
      </c>
      <c r="F221" s="20">
        <v>2.6360000000000001</v>
      </c>
      <c r="G221" s="18">
        <v>30</v>
      </c>
      <c r="H221" s="22">
        <v>4.0027378507871321</v>
      </c>
      <c r="I221" s="22" t="s">
        <v>8</v>
      </c>
      <c r="J221" s="22" t="s">
        <v>8</v>
      </c>
      <c r="K221" s="22">
        <v>4.0027378507871321</v>
      </c>
      <c r="L221" s="22" t="s">
        <v>8</v>
      </c>
      <c r="M221" s="22" t="s">
        <v>8</v>
      </c>
      <c r="N221" s="22">
        <v>3.9917864476386038</v>
      </c>
      <c r="O221" s="22" t="s">
        <v>8</v>
      </c>
      <c r="P221" s="22" t="s">
        <v>8</v>
      </c>
      <c r="Q221" s="22" t="s">
        <v>8</v>
      </c>
      <c r="R221" s="22" t="s">
        <v>8</v>
      </c>
      <c r="S221" s="22" t="s">
        <v>8</v>
      </c>
      <c r="T221" s="5">
        <v>3</v>
      </c>
      <c r="U221" s="5">
        <v>14</v>
      </c>
      <c r="V221" s="20" t="s">
        <v>1</v>
      </c>
      <c r="W221" s="20">
        <v>5</v>
      </c>
      <c r="X221" s="20">
        <v>1</v>
      </c>
      <c r="Y221" s="5">
        <v>1</v>
      </c>
      <c r="Z221" s="20">
        <v>4</v>
      </c>
      <c r="AA221" s="23">
        <f t="shared" si="6"/>
        <v>2</v>
      </c>
      <c r="AB221" s="15">
        <v>1</v>
      </c>
      <c r="AC221" s="15">
        <v>1</v>
      </c>
      <c r="AD221" s="15">
        <v>0.5</v>
      </c>
      <c r="AE221" s="15">
        <v>0.83299999999999996</v>
      </c>
      <c r="AF221" s="20">
        <v>20</v>
      </c>
      <c r="AG221" s="20" t="s">
        <v>8</v>
      </c>
      <c r="AH221" s="24">
        <v>24</v>
      </c>
      <c r="AI221" s="23">
        <f t="shared" si="7"/>
        <v>1</v>
      </c>
      <c r="AJ221" s="17">
        <v>11.5</v>
      </c>
      <c r="AK221" s="17">
        <v>12</v>
      </c>
      <c r="AL221" s="14">
        <v>23.5</v>
      </c>
      <c r="AM221" s="23" cm="1">
        <f t="array" ref="AM221">IF(OR(AN221:AZ221=""),"BLANK",IF(AND(AN221:AZ221&lt;9999999),1,IF(AND(AN221:AZ221="NA"),3,2)))</f>
        <v>1</v>
      </c>
      <c r="AN221" s="5">
        <v>9</v>
      </c>
      <c r="AO221" s="5">
        <v>2</v>
      </c>
      <c r="AP221" s="10">
        <v>3</v>
      </c>
      <c r="AQ221" s="10">
        <v>5.5</v>
      </c>
      <c r="AR221" s="10">
        <v>5.25</v>
      </c>
      <c r="AS221" s="11">
        <v>1648.5</v>
      </c>
      <c r="AT221" s="11">
        <v>3003</v>
      </c>
      <c r="AU221" s="11">
        <v>9003.25</v>
      </c>
      <c r="AV221" s="11">
        <v>8023.75</v>
      </c>
      <c r="AW221" s="11">
        <v>0</v>
      </c>
      <c r="AX221" s="11">
        <v>0</v>
      </c>
      <c r="AY221" s="11">
        <v>719.20694444440005</v>
      </c>
      <c r="AZ221" s="11">
        <v>545.17499999999995</v>
      </c>
      <c r="BA221" s="23">
        <v>3</v>
      </c>
      <c r="BB221" s="24" t="s">
        <v>8</v>
      </c>
    </row>
    <row r="222" spans="1:54" x14ac:dyDescent="0.2">
      <c r="A222" s="5">
        <v>1272</v>
      </c>
      <c r="B222" s="20" t="s">
        <v>72</v>
      </c>
      <c r="C222" s="18" t="s">
        <v>54</v>
      </c>
      <c r="D222" s="18">
        <v>1</v>
      </c>
      <c r="E222" s="18">
        <v>0</v>
      </c>
      <c r="F222" s="20">
        <v>4</v>
      </c>
      <c r="G222" s="18">
        <v>28</v>
      </c>
      <c r="H222" s="22">
        <v>4.3039014373716631</v>
      </c>
      <c r="I222" s="22" t="s">
        <v>8</v>
      </c>
      <c r="J222" s="22" t="s">
        <v>8</v>
      </c>
      <c r="K222" s="22">
        <v>4.2381930184804926</v>
      </c>
      <c r="L222" s="22" t="s">
        <v>8</v>
      </c>
      <c r="M222" s="22" t="s">
        <v>8</v>
      </c>
      <c r="N222" s="22">
        <v>4.2436687200547567</v>
      </c>
      <c r="O222" s="22" t="s">
        <v>8</v>
      </c>
      <c r="P222" s="22" t="s">
        <v>8</v>
      </c>
      <c r="Q222" s="22" t="s">
        <v>8</v>
      </c>
      <c r="R222" s="22" t="s">
        <v>8</v>
      </c>
      <c r="S222" s="22" t="s">
        <v>8</v>
      </c>
      <c r="T222" s="5">
        <v>7</v>
      </c>
      <c r="U222" s="5">
        <v>21</v>
      </c>
      <c r="V222" s="20" t="s">
        <v>1</v>
      </c>
      <c r="W222" s="20">
        <v>5</v>
      </c>
      <c r="X222" s="20">
        <v>1</v>
      </c>
      <c r="Y222" s="5">
        <v>1</v>
      </c>
      <c r="Z222" s="20">
        <v>4</v>
      </c>
      <c r="AA222" s="23">
        <f t="shared" si="6"/>
        <v>2</v>
      </c>
      <c r="AB222" s="15">
        <v>1</v>
      </c>
      <c r="AC222" s="15">
        <v>0.875</v>
      </c>
      <c r="AD222" s="15">
        <v>0.75</v>
      </c>
      <c r="AE222" s="15">
        <v>0.875</v>
      </c>
      <c r="AF222" s="20">
        <v>21</v>
      </c>
      <c r="AG222" s="20" t="s">
        <v>8</v>
      </c>
      <c r="AH222" s="24">
        <v>24</v>
      </c>
      <c r="AI222" s="23">
        <f t="shared" si="7"/>
        <v>1</v>
      </c>
      <c r="AJ222" s="17">
        <v>7.5</v>
      </c>
      <c r="AK222" s="17">
        <v>8.75</v>
      </c>
      <c r="AL222" s="14">
        <v>16.25</v>
      </c>
      <c r="AM222" s="23" cm="1">
        <f t="array" ref="AM222">IF(OR(AN222:AZ222=""),"BLANK",IF(AND(AN222:AZ222&lt;9999999),1,IF(AND(AN222:AZ222="NA"),3,2)))</f>
        <v>1</v>
      </c>
      <c r="AN222" s="5">
        <v>9</v>
      </c>
      <c r="AO222" s="5">
        <v>2</v>
      </c>
      <c r="AP222" s="10">
        <v>3</v>
      </c>
      <c r="AQ222" s="10">
        <v>5</v>
      </c>
      <c r="AR222" s="10">
        <v>7</v>
      </c>
      <c r="AS222" s="11">
        <v>230</v>
      </c>
      <c r="AT222" s="11">
        <v>4343</v>
      </c>
      <c r="AU222" s="11">
        <v>6029.25</v>
      </c>
      <c r="AV222" s="11">
        <v>9236.75</v>
      </c>
      <c r="AW222" s="11">
        <v>0</v>
      </c>
      <c r="AX222" s="11">
        <v>0</v>
      </c>
      <c r="AY222" s="11">
        <v>1379.84375</v>
      </c>
      <c r="AZ222" s="11">
        <v>670.81948051949996</v>
      </c>
      <c r="BA222" s="23">
        <v>3</v>
      </c>
      <c r="BB222" s="24" t="s">
        <v>8</v>
      </c>
    </row>
    <row r="223" spans="1:54" x14ac:dyDescent="0.2">
      <c r="A223" s="5">
        <v>1309</v>
      </c>
      <c r="B223" s="20" t="s">
        <v>76</v>
      </c>
      <c r="C223" s="18" t="s">
        <v>55</v>
      </c>
      <c r="D223" s="18">
        <v>5</v>
      </c>
      <c r="E223" s="18">
        <v>0</v>
      </c>
      <c r="F223" s="20">
        <v>4</v>
      </c>
      <c r="G223" s="18">
        <v>30</v>
      </c>
      <c r="H223" s="22" t="s">
        <v>8</v>
      </c>
      <c r="I223" s="22" t="s">
        <v>8</v>
      </c>
      <c r="J223" s="22" t="s">
        <v>8</v>
      </c>
      <c r="K223" s="22" t="s">
        <v>8</v>
      </c>
      <c r="L223" s="22" t="s">
        <v>8</v>
      </c>
      <c r="M223" s="22" t="s">
        <v>8</v>
      </c>
      <c r="N223" s="22" t="s">
        <v>8</v>
      </c>
      <c r="O223" s="22" t="s">
        <v>8</v>
      </c>
      <c r="P223" s="22" t="s">
        <v>8</v>
      </c>
      <c r="Q223" s="22" t="s">
        <v>8</v>
      </c>
      <c r="R223" s="22" t="s">
        <v>8</v>
      </c>
      <c r="S223" s="22" t="s">
        <v>8</v>
      </c>
      <c r="T223" s="5">
        <v>3</v>
      </c>
      <c r="U223" s="5">
        <v>13</v>
      </c>
      <c r="V223" s="20" t="s">
        <v>1</v>
      </c>
      <c r="W223" s="20">
        <v>5</v>
      </c>
      <c r="X223" s="20">
        <v>1</v>
      </c>
      <c r="Y223" s="5">
        <v>1</v>
      </c>
      <c r="Z223" s="20">
        <v>4</v>
      </c>
      <c r="AA223" s="23">
        <f t="shared" si="6"/>
        <v>2</v>
      </c>
      <c r="AB223" s="15">
        <v>1</v>
      </c>
      <c r="AC223" s="15">
        <v>1</v>
      </c>
      <c r="AD223" s="15">
        <v>0.375</v>
      </c>
      <c r="AE223" s="15">
        <v>0.79200000000000004</v>
      </c>
      <c r="AF223" s="20">
        <v>19</v>
      </c>
      <c r="AG223" s="20" t="s">
        <v>8</v>
      </c>
      <c r="AH223" s="24">
        <v>24</v>
      </c>
      <c r="AI223" s="23">
        <f t="shared" si="7"/>
        <v>1</v>
      </c>
      <c r="AJ223" s="17">
        <v>8</v>
      </c>
      <c r="AK223" s="17">
        <v>0.25</v>
      </c>
      <c r="AL223" s="14">
        <v>8.25</v>
      </c>
      <c r="AM223" s="23" cm="1">
        <f t="array" ref="AM223">IF(OR(AN223:AZ223=""),"BLANK",IF(AND(AN223:AZ223&lt;9999999),1,IF(AND(AN223:AZ223="NA"),3,2)))</f>
        <v>1</v>
      </c>
      <c r="AN223" s="5">
        <v>5</v>
      </c>
      <c r="AO223" s="5">
        <v>2</v>
      </c>
      <c r="AP223" s="10">
        <v>3</v>
      </c>
      <c r="AQ223" s="10">
        <v>7.75</v>
      </c>
      <c r="AR223" s="10">
        <v>12</v>
      </c>
      <c r="AS223" s="11">
        <v>5006</v>
      </c>
      <c r="AT223" s="11">
        <v>5964.5</v>
      </c>
      <c r="AU223" s="11">
        <v>44489.75</v>
      </c>
      <c r="AV223" s="11">
        <v>77014</v>
      </c>
      <c r="AW223" s="11">
        <v>0</v>
      </c>
      <c r="AX223" s="11">
        <v>0</v>
      </c>
      <c r="AY223" s="11">
        <v>3332.5694444443998</v>
      </c>
      <c r="AZ223" s="11">
        <v>5714.9166666666997</v>
      </c>
      <c r="BA223" s="23">
        <v>3</v>
      </c>
      <c r="BB223" s="24" t="s">
        <v>8</v>
      </c>
    </row>
    <row r="224" spans="1:54" x14ac:dyDescent="0.2">
      <c r="A224" s="5">
        <v>1316</v>
      </c>
      <c r="B224" s="20" t="s">
        <v>73</v>
      </c>
      <c r="C224" s="18" t="s">
        <v>55</v>
      </c>
      <c r="D224" s="18">
        <v>5</v>
      </c>
      <c r="E224" s="18">
        <v>0</v>
      </c>
      <c r="F224" s="20">
        <v>4</v>
      </c>
      <c r="G224" s="18">
        <v>28</v>
      </c>
      <c r="H224" s="22">
        <v>3.9671457905544147</v>
      </c>
      <c r="I224" s="22">
        <v>5.1827515400410675</v>
      </c>
      <c r="J224" s="22">
        <v>9.1498973305954827</v>
      </c>
      <c r="K224" s="22">
        <v>3.9671457905544147</v>
      </c>
      <c r="L224" s="22">
        <v>5.4510609171800137</v>
      </c>
      <c r="M224" s="22">
        <v>9.4182067077344289</v>
      </c>
      <c r="N224" s="22">
        <v>3.9945242984257359</v>
      </c>
      <c r="O224" s="22">
        <v>4.8459958932238196</v>
      </c>
      <c r="P224" s="22">
        <v>8.8405201916495546</v>
      </c>
      <c r="Q224" s="22">
        <v>3.3210130047912387</v>
      </c>
      <c r="R224" s="22">
        <v>5.9137577002053385</v>
      </c>
      <c r="S224" s="22">
        <v>9.2347707049965777</v>
      </c>
      <c r="T224" s="5">
        <v>7</v>
      </c>
      <c r="U224" s="5">
        <v>21</v>
      </c>
      <c r="V224" s="20" t="s">
        <v>1</v>
      </c>
      <c r="W224" s="20">
        <v>5</v>
      </c>
      <c r="X224" s="20">
        <v>1</v>
      </c>
      <c r="Y224" s="5">
        <v>1</v>
      </c>
      <c r="Z224" s="20">
        <v>4</v>
      </c>
      <c r="AA224" s="23">
        <f t="shared" si="6"/>
        <v>2</v>
      </c>
      <c r="AB224" s="15">
        <v>0.875</v>
      </c>
      <c r="AC224" s="15">
        <v>1</v>
      </c>
      <c r="AD224" s="15">
        <v>0.875</v>
      </c>
      <c r="AE224" s="15">
        <v>0.91700000000000004</v>
      </c>
      <c r="AF224" s="20">
        <v>22</v>
      </c>
      <c r="AG224" s="20" t="s">
        <v>8</v>
      </c>
      <c r="AH224" s="24">
        <v>24</v>
      </c>
      <c r="AI224" s="23">
        <f t="shared" si="7"/>
        <v>1</v>
      </c>
      <c r="AJ224" s="17">
        <v>10.25</v>
      </c>
      <c r="AK224" s="17">
        <v>9.25</v>
      </c>
      <c r="AL224" s="14">
        <v>19.5</v>
      </c>
      <c r="AM224" s="23" cm="1">
        <f t="array" ref="AM224">IF(OR(AN224:AZ224=""),"BLANK",IF(AND(AN224:AZ224&lt;9999999),1,IF(AND(AN224:AZ224="NA"),3,2)))</f>
        <v>1</v>
      </c>
      <c r="AN224" s="5">
        <v>9</v>
      </c>
      <c r="AO224" s="5">
        <v>2</v>
      </c>
      <c r="AP224" s="10">
        <v>3</v>
      </c>
      <c r="AQ224" s="10">
        <v>4.25</v>
      </c>
      <c r="AR224" s="10">
        <v>6.25</v>
      </c>
      <c r="AS224" s="11">
        <v>4612</v>
      </c>
      <c r="AT224" s="11">
        <v>1077</v>
      </c>
      <c r="AU224" s="11">
        <v>1740.5</v>
      </c>
      <c r="AV224" s="11">
        <v>807.75</v>
      </c>
      <c r="AW224" s="11">
        <v>0</v>
      </c>
      <c r="AX224" s="11">
        <v>0</v>
      </c>
      <c r="AY224" s="11">
        <v>0</v>
      </c>
      <c r="AZ224" s="11">
        <v>0</v>
      </c>
      <c r="BA224" s="23">
        <v>3</v>
      </c>
      <c r="BB224" s="24" t="s">
        <v>8</v>
      </c>
    </row>
    <row r="225" spans="1:54" x14ac:dyDescent="0.2">
      <c r="A225" s="5">
        <v>1356</v>
      </c>
      <c r="B225" s="20" t="s">
        <v>77</v>
      </c>
      <c r="C225" s="18" t="s">
        <v>54</v>
      </c>
      <c r="D225" s="18">
        <v>5</v>
      </c>
      <c r="E225" s="18">
        <v>0</v>
      </c>
      <c r="F225" s="20">
        <v>3.4550000000000001</v>
      </c>
      <c r="G225" s="18">
        <v>28</v>
      </c>
      <c r="H225" s="22">
        <v>4.0301163586584527</v>
      </c>
      <c r="I225" s="22">
        <v>5.3497604380561263</v>
      </c>
      <c r="J225" s="22">
        <v>9.3798767967145782</v>
      </c>
      <c r="K225" s="22">
        <v>4.0301163586584527</v>
      </c>
      <c r="L225" s="22">
        <v>5.3497604380561263</v>
      </c>
      <c r="M225" s="22">
        <v>9.3798767967145782</v>
      </c>
      <c r="N225" s="22">
        <v>4.0273785078713207</v>
      </c>
      <c r="O225" s="22">
        <v>5.330595482546201</v>
      </c>
      <c r="P225" s="22">
        <v>9.3579739904175216</v>
      </c>
      <c r="Q225" s="22">
        <v>3.3127994524298425</v>
      </c>
      <c r="R225" s="22" t="s">
        <v>8</v>
      </c>
      <c r="S225" s="22" t="s">
        <v>8</v>
      </c>
      <c r="T225" s="5">
        <v>3</v>
      </c>
      <c r="U225" s="5">
        <v>14.5</v>
      </c>
      <c r="V225" s="20" t="s">
        <v>1</v>
      </c>
      <c r="W225" s="20">
        <v>5</v>
      </c>
      <c r="X225" s="20">
        <v>1</v>
      </c>
      <c r="Y225" s="5">
        <v>1</v>
      </c>
      <c r="Z225" s="20">
        <v>4</v>
      </c>
      <c r="AA225" s="23">
        <f t="shared" si="6"/>
        <v>2</v>
      </c>
      <c r="AB225" s="15">
        <v>1</v>
      </c>
      <c r="AC225" s="15">
        <v>1</v>
      </c>
      <c r="AD225" s="15">
        <v>0.875</v>
      </c>
      <c r="AE225" s="15">
        <v>0.95799999999999996</v>
      </c>
      <c r="AF225" s="20">
        <v>23</v>
      </c>
      <c r="AG225" s="20" t="s">
        <v>8</v>
      </c>
      <c r="AH225" s="24">
        <v>24</v>
      </c>
      <c r="AI225" s="23">
        <f t="shared" si="7"/>
        <v>1</v>
      </c>
      <c r="AJ225" s="17">
        <v>12</v>
      </c>
      <c r="AK225" s="17">
        <v>10.75</v>
      </c>
      <c r="AL225" s="14">
        <v>22.75</v>
      </c>
      <c r="AM225" s="23" cm="1">
        <f t="array" ref="AM225">IF(OR(AN225:AZ225=""),"BLANK",IF(AND(AN225:AZ225&lt;9999999),1,IF(AND(AN225:AZ225="NA"),3,2)))</f>
        <v>1</v>
      </c>
      <c r="AN225" s="5">
        <v>9</v>
      </c>
      <c r="AO225" s="5">
        <v>2</v>
      </c>
      <c r="AP225" s="10">
        <v>3</v>
      </c>
      <c r="AQ225" s="10">
        <v>5.75</v>
      </c>
      <c r="AR225" s="10">
        <v>6.25</v>
      </c>
      <c r="AS225" s="11">
        <v>1101</v>
      </c>
      <c r="AT225" s="11">
        <v>2647</v>
      </c>
      <c r="AU225" s="11">
        <v>4537.75</v>
      </c>
      <c r="AV225" s="11">
        <v>6426.75</v>
      </c>
      <c r="AW225" s="11">
        <v>0</v>
      </c>
      <c r="AX225" s="11">
        <v>0</v>
      </c>
      <c r="AY225" s="11">
        <v>850.99305555559999</v>
      </c>
      <c r="AZ225" s="11">
        <v>952.625</v>
      </c>
      <c r="BA225" s="23">
        <v>3</v>
      </c>
      <c r="BB225" s="24" t="s">
        <v>8</v>
      </c>
    </row>
    <row r="226" spans="1:54" x14ac:dyDescent="0.2">
      <c r="A226" s="5">
        <v>1362</v>
      </c>
      <c r="B226" s="20" t="s">
        <v>62</v>
      </c>
      <c r="C226" s="18" t="s">
        <v>54</v>
      </c>
      <c r="D226" s="18">
        <v>3</v>
      </c>
      <c r="E226" s="18">
        <v>1</v>
      </c>
      <c r="F226" s="20">
        <v>3.9089999999999998</v>
      </c>
      <c r="G226" s="18">
        <v>29</v>
      </c>
      <c r="H226" s="22">
        <v>3.9726214921286789</v>
      </c>
      <c r="I226" s="22">
        <v>5.1334702258726903</v>
      </c>
      <c r="J226" s="22">
        <v>9.1060917180013696</v>
      </c>
      <c r="K226" s="22">
        <v>3.9726214921286789</v>
      </c>
      <c r="L226" s="22">
        <v>5.4182067077344289</v>
      </c>
      <c r="M226" s="22">
        <v>9.3908281998631082</v>
      </c>
      <c r="N226" s="22" t="s">
        <v>8</v>
      </c>
      <c r="O226" s="22" t="s">
        <v>8</v>
      </c>
      <c r="P226" s="22">
        <v>9.0540725530458595</v>
      </c>
      <c r="Q226" s="22" t="s">
        <v>8</v>
      </c>
      <c r="R226" s="22" t="s">
        <v>8</v>
      </c>
      <c r="S226" s="22" t="s">
        <v>8</v>
      </c>
      <c r="T226" s="5">
        <v>5</v>
      </c>
      <c r="U226" s="5">
        <v>20</v>
      </c>
      <c r="V226" s="20" t="s">
        <v>1</v>
      </c>
      <c r="W226" s="20">
        <v>5</v>
      </c>
      <c r="X226" s="20">
        <v>1</v>
      </c>
      <c r="Y226" s="5">
        <v>1</v>
      </c>
      <c r="Z226" s="20">
        <v>4</v>
      </c>
      <c r="AA226" s="23">
        <f t="shared" si="6"/>
        <v>2</v>
      </c>
      <c r="AB226" s="15">
        <v>1</v>
      </c>
      <c r="AC226" s="15">
        <v>0.75</v>
      </c>
      <c r="AD226" s="15">
        <v>0.5</v>
      </c>
      <c r="AE226" s="15">
        <v>0.75</v>
      </c>
      <c r="AF226" s="20">
        <v>18</v>
      </c>
      <c r="AG226" s="20" t="s">
        <v>8</v>
      </c>
      <c r="AH226" s="24">
        <v>24</v>
      </c>
      <c r="AI226" s="23">
        <f t="shared" si="7"/>
        <v>1</v>
      </c>
      <c r="AJ226" s="17">
        <v>3.25</v>
      </c>
      <c r="AK226" s="17">
        <v>7</v>
      </c>
      <c r="AL226" s="14">
        <v>10.25</v>
      </c>
      <c r="AM226" s="23" cm="1">
        <f t="array" ref="AM226">IF(OR(AN226:AZ226=""),"BLANK",IF(AND(AN226:AZ226&lt;9999999),1,IF(AND(AN226:AZ226="NA"),3,2)))</f>
        <v>1</v>
      </c>
      <c r="AN226" s="5">
        <v>9</v>
      </c>
      <c r="AO226" s="5">
        <v>2</v>
      </c>
      <c r="AP226" s="10">
        <v>3</v>
      </c>
      <c r="AQ226" s="10">
        <v>4.5</v>
      </c>
      <c r="AR226" s="10">
        <v>6</v>
      </c>
      <c r="AS226" s="11">
        <v>5471.5</v>
      </c>
      <c r="AT226" s="11">
        <v>6245.5</v>
      </c>
      <c r="AU226" s="11">
        <v>11400.5</v>
      </c>
      <c r="AV226" s="11">
        <v>8407</v>
      </c>
      <c r="AW226" s="11">
        <v>0</v>
      </c>
      <c r="AX226" s="11">
        <v>0</v>
      </c>
      <c r="AY226" s="11">
        <v>0</v>
      </c>
      <c r="AZ226" s="11">
        <v>664.75</v>
      </c>
      <c r="BA226" s="23">
        <v>3</v>
      </c>
      <c r="BB226" s="24" t="s">
        <v>8</v>
      </c>
    </row>
    <row r="227" spans="1:54" x14ac:dyDescent="0.2">
      <c r="A227" s="5">
        <v>1370</v>
      </c>
      <c r="B227" s="20" t="s">
        <v>71</v>
      </c>
      <c r="C227" s="18" t="s">
        <v>54</v>
      </c>
      <c r="D227" s="18">
        <v>1</v>
      </c>
      <c r="E227" s="18">
        <v>0</v>
      </c>
      <c r="F227" s="20">
        <v>3.2730000000000001</v>
      </c>
      <c r="G227" s="18">
        <v>28</v>
      </c>
      <c r="H227" s="22">
        <v>4.1396303901437372</v>
      </c>
      <c r="I227" s="22">
        <v>5.1006160164271046</v>
      </c>
      <c r="J227" s="22">
        <v>9.2402464065708418</v>
      </c>
      <c r="K227" s="22">
        <v>4.1396303901437372</v>
      </c>
      <c r="L227" s="22">
        <v>5.1006160164271046</v>
      </c>
      <c r="M227" s="22">
        <v>9.2402464065708418</v>
      </c>
      <c r="N227" s="22">
        <v>4.1560574948665296</v>
      </c>
      <c r="O227" s="22">
        <v>5.0431211498973303</v>
      </c>
      <c r="P227" s="22">
        <v>9.1991786447638599</v>
      </c>
      <c r="Q227" s="22" t="s">
        <v>8</v>
      </c>
      <c r="R227" s="22" t="s">
        <v>8</v>
      </c>
      <c r="S227" s="22" t="s">
        <v>8</v>
      </c>
      <c r="T227" s="5">
        <v>7</v>
      </c>
      <c r="U227" s="5">
        <v>21</v>
      </c>
      <c r="V227" s="20" t="s">
        <v>1</v>
      </c>
      <c r="W227" s="20">
        <v>5</v>
      </c>
      <c r="X227" s="20">
        <v>1</v>
      </c>
      <c r="Y227" s="5">
        <v>1</v>
      </c>
      <c r="Z227" s="20">
        <v>4</v>
      </c>
      <c r="AA227" s="23">
        <f t="shared" si="6"/>
        <v>2</v>
      </c>
      <c r="AB227" s="15">
        <v>1</v>
      </c>
      <c r="AC227" s="15">
        <v>1</v>
      </c>
      <c r="AD227" s="15">
        <v>0.75</v>
      </c>
      <c r="AE227" s="15">
        <v>0.91700000000000004</v>
      </c>
      <c r="AF227" s="20">
        <v>22</v>
      </c>
      <c r="AG227" s="20" t="s">
        <v>8</v>
      </c>
      <c r="AH227" s="24">
        <v>24</v>
      </c>
      <c r="AI227" s="23">
        <f t="shared" si="7"/>
        <v>1</v>
      </c>
      <c r="AJ227" s="17">
        <v>11.75</v>
      </c>
      <c r="AK227" s="17">
        <v>11.75</v>
      </c>
      <c r="AL227" s="14">
        <v>23.5</v>
      </c>
      <c r="AM227" s="23" cm="1">
        <f t="array" ref="AM227">IF(OR(AN227:AZ227=""),"BLANK",IF(AND(AN227:AZ227&lt;9999999),1,IF(AND(AN227:AZ227="NA"),3,2)))</f>
        <v>1</v>
      </c>
      <c r="AN227" s="5">
        <v>10</v>
      </c>
      <c r="AO227" s="5">
        <v>2</v>
      </c>
      <c r="AP227" s="10">
        <v>3.5</v>
      </c>
      <c r="AQ227" s="10">
        <v>5.25</v>
      </c>
      <c r="AR227" s="10">
        <v>5</v>
      </c>
      <c r="AS227" s="11">
        <v>1947.5</v>
      </c>
      <c r="AT227" s="11">
        <v>5731</v>
      </c>
      <c r="AU227" s="11">
        <v>12576.25</v>
      </c>
      <c r="AV227" s="11">
        <v>29907</v>
      </c>
      <c r="AW227" s="11">
        <v>0</v>
      </c>
      <c r="AX227" s="11">
        <v>9.125</v>
      </c>
      <c r="AY227" s="11">
        <v>101.5416666667</v>
      </c>
      <c r="AZ227" s="11">
        <v>0</v>
      </c>
      <c r="BA227" s="23">
        <v>3</v>
      </c>
      <c r="BB227" s="24" t="s">
        <v>8</v>
      </c>
    </row>
    <row r="228" spans="1:54" x14ac:dyDescent="0.2">
      <c r="A228" s="5">
        <v>1372</v>
      </c>
      <c r="B228" s="20" t="s">
        <v>77</v>
      </c>
      <c r="C228" s="18" t="s">
        <v>55</v>
      </c>
      <c r="D228" s="18">
        <v>5</v>
      </c>
      <c r="E228" s="18">
        <v>0</v>
      </c>
      <c r="F228" s="20">
        <v>3.6360000000000001</v>
      </c>
      <c r="G228" s="18">
        <v>26</v>
      </c>
      <c r="H228" s="22" t="s">
        <v>8</v>
      </c>
      <c r="I228" s="22" t="s">
        <v>8</v>
      </c>
      <c r="J228" s="22" t="s">
        <v>8</v>
      </c>
      <c r="K228" s="22" t="s">
        <v>8</v>
      </c>
      <c r="L228" s="22" t="s">
        <v>8</v>
      </c>
      <c r="M228" s="22" t="s">
        <v>8</v>
      </c>
      <c r="N228" s="22" t="s">
        <v>8</v>
      </c>
      <c r="O228" s="22" t="s">
        <v>8</v>
      </c>
      <c r="P228" s="22" t="s">
        <v>8</v>
      </c>
      <c r="Q228" s="22" t="s">
        <v>8</v>
      </c>
      <c r="R228" s="22" t="s">
        <v>8</v>
      </c>
      <c r="S228" s="22" t="s">
        <v>8</v>
      </c>
      <c r="T228" s="5">
        <v>4</v>
      </c>
      <c r="U228" s="5">
        <v>16</v>
      </c>
      <c r="V228" s="20" t="s">
        <v>1</v>
      </c>
      <c r="W228" s="20">
        <v>5</v>
      </c>
      <c r="X228" s="20">
        <v>1</v>
      </c>
      <c r="Y228" s="5">
        <v>1</v>
      </c>
      <c r="Z228" s="20">
        <v>4</v>
      </c>
      <c r="AA228" s="23">
        <f t="shared" si="6"/>
        <v>2</v>
      </c>
      <c r="AB228" s="15">
        <v>0.875</v>
      </c>
      <c r="AC228" s="15">
        <v>0.875</v>
      </c>
      <c r="AD228" s="15">
        <v>0.125</v>
      </c>
      <c r="AE228" s="15">
        <v>0.625</v>
      </c>
      <c r="AF228" s="20">
        <v>15</v>
      </c>
      <c r="AG228" s="20" t="s">
        <v>8</v>
      </c>
      <c r="AH228" s="24">
        <v>24</v>
      </c>
      <c r="AI228" s="23">
        <f t="shared" si="7"/>
        <v>1</v>
      </c>
      <c r="AJ228" s="17">
        <v>10.75</v>
      </c>
      <c r="AK228" s="17">
        <v>12</v>
      </c>
      <c r="AL228" s="14">
        <v>22.75</v>
      </c>
      <c r="AM228" s="23" cm="1">
        <f t="array" ref="AM228">IF(OR(AN228:AZ228=""),"BLANK",IF(AND(AN228:AZ228&lt;9999999),1,IF(AND(AN228:AZ228="NA"),3,2)))</f>
        <v>1</v>
      </c>
      <c r="AN228" s="5">
        <v>9</v>
      </c>
      <c r="AO228" s="5">
        <v>2</v>
      </c>
      <c r="AP228" s="10">
        <v>3</v>
      </c>
      <c r="AQ228" s="10">
        <v>4.25</v>
      </c>
      <c r="AR228" s="10">
        <v>6.5</v>
      </c>
      <c r="AS228" s="11">
        <v>2843.5</v>
      </c>
      <c r="AT228" s="11">
        <v>3606.5</v>
      </c>
      <c r="AU228" s="11">
        <v>3367.5</v>
      </c>
      <c r="AV228" s="11">
        <v>3987</v>
      </c>
      <c r="AW228" s="11">
        <v>0</v>
      </c>
      <c r="AX228" s="11">
        <v>0</v>
      </c>
      <c r="AY228" s="11">
        <v>0</v>
      </c>
      <c r="AZ228" s="11">
        <v>495.55833333330003</v>
      </c>
      <c r="BA228" s="23">
        <v>3</v>
      </c>
      <c r="BB228" s="24" t="s">
        <v>8</v>
      </c>
    </row>
    <row r="229" spans="1:54" x14ac:dyDescent="0.2">
      <c r="A229" s="5">
        <v>1402</v>
      </c>
      <c r="B229" s="20" t="s">
        <v>70</v>
      </c>
      <c r="C229" s="18" t="s">
        <v>55</v>
      </c>
      <c r="D229" s="18">
        <v>5</v>
      </c>
      <c r="E229" s="18">
        <v>0</v>
      </c>
      <c r="F229" s="20">
        <v>3.1819999999999999</v>
      </c>
      <c r="G229" s="18">
        <v>27</v>
      </c>
      <c r="H229" s="22">
        <v>3.9726214921286789</v>
      </c>
      <c r="I229" s="22">
        <v>5.2238193018480494</v>
      </c>
      <c r="J229" s="22">
        <v>9.1964407939767288</v>
      </c>
      <c r="K229" s="22">
        <v>3.9726214921286789</v>
      </c>
      <c r="L229" s="22">
        <v>5.2238193018480494</v>
      </c>
      <c r="M229" s="22">
        <v>9.1964407939767288</v>
      </c>
      <c r="N229" s="22" t="s">
        <v>8</v>
      </c>
      <c r="O229" s="22" t="s">
        <v>8</v>
      </c>
      <c r="P229" s="22">
        <v>8.9117043121149901</v>
      </c>
      <c r="Q229" s="22" t="s">
        <v>8</v>
      </c>
      <c r="R229" s="22" t="s">
        <v>8</v>
      </c>
      <c r="S229" s="22" t="s">
        <v>8</v>
      </c>
      <c r="T229" s="5">
        <v>6</v>
      </c>
      <c r="U229" s="5">
        <v>18</v>
      </c>
      <c r="V229" s="20" t="s">
        <v>1</v>
      </c>
      <c r="W229" s="20">
        <v>5</v>
      </c>
      <c r="X229" s="20">
        <v>1</v>
      </c>
      <c r="Y229" s="5">
        <v>1</v>
      </c>
      <c r="Z229" s="20">
        <v>4</v>
      </c>
      <c r="AA229" s="23">
        <f t="shared" si="6"/>
        <v>2</v>
      </c>
      <c r="AB229" s="15">
        <v>1</v>
      </c>
      <c r="AC229" s="15">
        <v>1</v>
      </c>
      <c r="AD229" s="15">
        <v>0.5</v>
      </c>
      <c r="AE229" s="15">
        <v>0.83299999999999996</v>
      </c>
      <c r="AF229" s="20">
        <v>20</v>
      </c>
      <c r="AG229" s="20" t="s">
        <v>8</v>
      </c>
      <c r="AH229" s="24">
        <v>24</v>
      </c>
      <c r="AI229" s="23">
        <f t="shared" si="7"/>
        <v>1</v>
      </c>
      <c r="AJ229" s="17">
        <v>12.75</v>
      </c>
      <c r="AK229" s="17">
        <v>9</v>
      </c>
      <c r="AL229" s="14">
        <v>21.75</v>
      </c>
      <c r="AM229" s="23" cm="1">
        <f t="array" ref="AM229">IF(OR(AN229:AZ229=""),"BLANK",IF(AND(AN229:AZ229&lt;9999999),1,IF(AND(AN229:AZ229="NA"),3,2)))</f>
        <v>1</v>
      </c>
      <c r="AN229" s="5">
        <v>11</v>
      </c>
      <c r="AO229" s="5">
        <v>2</v>
      </c>
      <c r="AP229" s="10">
        <v>3</v>
      </c>
      <c r="AQ229" s="10">
        <v>5</v>
      </c>
      <c r="AR229" s="10">
        <v>5</v>
      </c>
      <c r="AS229" s="11">
        <v>1405.5</v>
      </c>
      <c r="AT229" s="11">
        <v>7702.5</v>
      </c>
      <c r="AU229" s="11">
        <v>17210.5</v>
      </c>
      <c r="AV229" s="11">
        <v>16431</v>
      </c>
      <c r="AW229" s="11">
        <v>0</v>
      </c>
      <c r="AX229" s="11">
        <v>0</v>
      </c>
      <c r="AY229" s="11">
        <v>2464.875</v>
      </c>
      <c r="AZ229" s="11">
        <v>73.599999999999994</v>
      </c>
      <c r="BA229" s="23">
        <v>3</v>
      </c>
      <c r="BB229" s="24" t="s">
        <v>8</v>
      </c>
    </row>
    <row r="230" spans="1:54" x14ac:dyDescent="0.2">
      <c r="A230" s="5">
        <v>1421</v>
      </c>
      <c r="B230" s="20" t="s">
        <v>67</v>
      </c>
      <c r="C230" s="18" t="s">
        <v>55</v>
      </c>
      <c r="D230" s="18">
        <v>5</v>
      </c>
      <c r="E230" s="18">
        <v>0</v>
      </c>
      <c r="F230" s="20">
        <v>3.3</v>
      </c>
      <c r="G230" s="18">
        <v>28</v>
      </c>
      <c r="H230" s="22">
        <v>3.9397672826830936</v>
      </c>
      <c r="I230" s="22" t="s">
        <v>8</v>
      </c>
      <c r="J230" s="22" t="s">
        <v>8</v>
      </c>
      <c r="K230" s="22">
        <v>4</v>
      </c>
      <c r="L230" s="22" t="s">
        <v>8</v>
      </c>
      <c r="M230" s="22" t="s">
        <v>8</v>
      </c>
      <c r="N230" s="22">
        <v>3.9698836413415468</v>
      </c>
      <c r="O230" s="22" t="s">
        <v>8</v>
      </c>
      <c r="P230" s="22" t="s">
        <v>8</v>
      </c>
      <c r="Q230" s="22">
        <v>3.2334017796030117</v>
      </c>
      <c r="R230" s="22" t="s">
        <v>8</v>
      </c>
      <c r="S230" s="22" t="s">
        <v>8</v>
      </c>
      <c r="T230" s="5">
        <v>3</v>
      </c>
      <c r="U230" s="5">
        <v>13</v>
      </c>
      <c r="V230" s="20" t="s">
        <v>1</v>
      </c>
      <c r="W230" s="20">
        <v>5</v>
      </c>
      <c r="X230" s="20">
        <v>1</v>
      </c>
      <c r="Y230" s="5">
        <v>1</v>
      </c>
      <c r="Z230" s="20">
        <v>4</v>
      </c>
      <c r="AA230" s="23">
        <f t="shared" si="6"/>
        <v>2</v>
      </c>
      <c r="AB230" s="15">
        <v>0.625</v>
      </c>
      <c r="AC230" s="15">
        <v>0.625</v>
      </c>
      <c r="AD230" s="15">
        <v>0.125</v>
      </c>
      <c r="AE230" s="15">
        <v>0.45800000000000002</v>
      </c>
      <c r="AF230" s="20">
        <v>11</v>
      </c>
      <c r="AG230" s="20" t="s">
        <v>8</v>
      </c>
      <c r="AH230" s="24">
        <v>24</v>
      </c>
      <c r="AI230" s="23">
        <f t="shared" si="7"/>
        <v>1</v>
      </c>
      <c r="AJ230" s="17">
        <v>4</v>
      </c>
      <c r="AK230" s="17">
        <v>3.75</v>
      </c>
      <c r="AL230" s="14">
        <v>7.75</v>
      </c>
      <c r="AM230" s="23" cm="1">
        <f t="array" ref="AM230">IF(OR(AN230:AZ230=""),"BLANK",IF(AND(AN230:AZ230&lt;9999999),1,IF(AND(AN230:AZ230="NA"),3,2)))</f>
        <v>1</v>
      </c>
      <c r="AN230" s="5">
        <v>8</v>
      </c>
      <c r="AO230" s="5">
        <v>2</v>
      </c>
      <c r="AP230" s="10">
        <v>3</v>
      </c>
      <c r="AQ230" s="10">
        <v>6</v>
      </c>
      <c r="AR230" s="10">
        <v>7</v>
      </c>
      <c r="AS230" s="11">
        <v>397</v>
      </c>
      <c r="AT230" s="11">
        <v>1159</v>
      </c>
      <c r="AU230" s="11">
        <v>2111.75</v>
      </c>
      <c r="AV230" s="11">
        <v>1992</v>
      </c>
      <c r="AW230" s="11">
        <v>1102.5</v>
      </c>
      <c r="AX230" s="11">
        <v>0</v>
      </c>
      <c r="AY230" s="11">
        <v>1514.6130952381</v>
      </c>
      <c r="AZ230" s="11">
        <v>0</v>
      </c>
      <c r="BA230" s="23">
        <v>3</v>
      </c>
      <c r="BB230" s="24" t="s">
        <v>8</v>
      </c>
    </row>
    <row r="231" spans="1:54" x14ac:dyDescent="0.2">
      <c r="A231" s="5">
        <v>1431</v>
      </c>
      <c r="B231" s="20" t="s">
        <v>65</v>
      </c>
      <c r="C231" s="18" t="s">
        <v>54</v>
      </c>
      <c r="D231" s="18">
        <v>4</v>
      </c>
      <c r="E231" s="18">
        <v>0</v>
      </c>
      <c r="F231" s="20">
        <v>3.9089999999999998</v>
      </c>
      <c r="G231" s="18">
        <v>29</v>
      </c>
      <c r="H231" s="22">
        <v>4.0629705681040384</v>
      </c>
      <c r="I231" s="22">
        <v>5.3086926762491444</v>
      </c>
      <c r="J231" s="22">
        <v>9.3716632443531829</v>
      </c>
      <c r="K231" s="22">
        <v>4.0629705681040384</v>
      </c>
      <c r="L231" s="22">
        <v>5.3086926762491444</v>
      </c>
      <c r="M231" s="22">
        <v>9.3716632443531829</v>
      </c>
      <c r="N231" s="22">
        <v>4.0328542094455848</v>
      </c>
      <c r="O231" s="22">
        <v>5.2292950034223136</v>
      </c>
      <c r="P231" s="22">
        <v>9.2621492128678984</v>
      </c>
      <c r="Q231" s="22">
        <v>3.7508555783709787</v>
      </c>
      <c r="R231" s="22">
        <v>5.292265571526352</v>
      </c>
      <c r="S231" s="22">
        <v>9.0431211498973312</v>
      </c>
      <c r="T231" s="5">
        <v>3</v>
      </c>
      <c r="U231" s="5">
        <v>14</v>
      </c>
      <c r="V231" s="20" t="s">
        <v>1</v>
      </c>
      <c r="W231" s="20">
        <v>5</v>
      </c>
      <c r="X231" s="20">
        <v>1</v>
      </c>
      <c r="Y231" s="5">
        <v>1</v>
      </c>
      <c r="Z231" s="20">
        <v>4</v>
      </c>
      <c r="AA231" s="23">
        <f t="shared" si="6"/>
        <v>2</v>
      </c>
      <c r="AB231" s="15">
        <v>1</v>
      </c>
      <c r="AC231" s="15">
        <v>1</v>
      </c>
      <c r="AD231" s="15">
        <v>0.75</v>
      </c>
      <c r="AE231" s="15">
        <v>0.91700000000000004</v>
      </c>
      <c r="AF231" s="20">
        <v>22</v>
      </c>
      <c r="AG231" s="20" t="s">
        <v>8</v>
      </c>
      <c r="AH231" s="24">
        <v>24</v>
      </c>
      <c r="AI231" s="23">
        <f t="shared" si="7"/>
        <v>1</v>
      </c>
      <c r="AJ231" s="17">
        <v>14</v>
      </c>
      <c r="AK231" s="17">
        <v>12</v>
      </c>
      <c r="AL231" s="14">
        <v>26</v>
      </c>
      <c r="AM231" s="23" cm="1">
        <f t="array" ref="AM231">IF(OR(AN231:AZ231=""),"BLANK",IF(AND(AN231:AZ231&lt;9999999),1,IF(AND(AN231:AZ231="NA"),3,2)))</f>
        <v>1</v>
      </c>
      <c r="AN231" s="5">
        <v>12</v>
      </c>
      <c r="AO231" s="5">
        <v>2</v>
      </c>
      <c r="AP231" s="10">
        <v>3</v>
      </c>
      <c r="AQ231" s="10">
        <v>4</v>
      </c>
      <c r="AR231" s="10">
        <v>5</v>
      </c>
      <c r="AS231" s="11">
        <v>2455.5</v>
      </c>
      <c r="AT231" s="11">
        <v>3273</v>
      </c>
      <c r="AU231" s="11">
        <v>4884.75</v>
      </c>
      <c r="AV231" s="11">
        <v>6289.5</v>
      </c>
      <c r="AW231" s="11">
        <v>0</v>
      </c>
      <c r="AX231" s="11">
        <v>0</v>
      </c>
      <c r="AY231" s="11">
        <v>0</v>
      </c>
      <c r="AZ231" s="11">
        <v>0</v>
      </c>
      <c r="BA231" s="23">
        <v>3</v>
      </c>
      <c r="BB231" s="24" t="s">
        <v>8</v>
      </c>
    </row>
    <row r="232" spans="1:54" x14ac:dyDescent="0.2">
      <c r="A232" s="5">
        <v>1432</v>
      </c>
      <c r="B232" s="20" t="s">
        <v>73</v>
      </c>
      <c r="C232" s="18" t="s">
        <v>54</v>
      </c>
      <c r="D232" s="18">
        <v>5</v>
      </c>
      <c r="E232" s="18">
        <v>0</v>
      </c>
      <c r="F232" s="20">
        <v>3.8180000000000001</v>
      </c>
      <c r="G232" s="18">
        <v>30</v>
      </c>
      <c r="H232" s="22" t="s">
        <v>8</v>
      </c>
      <c r="I232" s="22" t="s">
        <v>8</v>
      </c>
      <c r="J232" s="22" t="s">
        <v>8</v>
      </c>
      <c r="K232" s="22" t="s">
        <v>8</v>
      </c>
      <c r="L232" s="22" t="s">
        <v>8</v>
      </c>
      <c r="M232" s="22" t="s">
        <v>8</v>
      </c>
      <c r="N232" s="22" t="s">
        <v>8</v>
      </c>
      <c r="O232" s="22" t="s">
        <v>8</v>
      </c>
      <c r="P232" s="22" t="s">
        <v>8</v>
      </c>
      <c r="Q232" s="22" t="s">
        <v>8</v>
      </c>
      <c r="R232" s="22" t="s">
        <v>8</v>
      </c>
      <c r="S232" s="22" t="s">
        <v>8</v>
      </c>
      <c r="T232" s="5">
        <v>4</v>
      </c>
      <c r="U232" s="5">
        <v>16</v>
      </c>
      <c r="V232" s="20" t="s">
        <v>1</v>
      </c>
      <c r="W232" s="20">
        <v>5</v>
      </c>
      <c r="X232" s="20">
        <v>1</v>
      </c>
      <c r="Y232" s="5">
        <v>1</v>
      </c>
      <c r="Z232" s="20">
        <v>4</v>
      </c>
      <c r="AA232" s="23">
        <f t="shared" si="6"/>
        <v>2</v>
      </c>
      <c r="AB232" s="15">
        <v>1</v>
      </c>
      <c r="AC232" s="15">
        <v>0.875</v>
      </c>
      <c r="AD232" s="15">
        <v>0.625</v>
      </c>
      <c r="AE232" s="15">
        <v>0.83299999999999996</v>
      </c>
      <c r="AF232" s="20">
        <v>20</v>
      </c>
      <c r="AG232" s="20" t="s">
        <v>8</v>
      </c>
      <c r="AH232" s="24">
        <v>24</v>
      </c>
      <c r="AI232" s="23">
        <f t="shared" si="7"/>
        <v>1</v>
      </c>
      <c r="AJ232" s="17">
        <v>14</v>
      </c>
      <c r="AK232" s="17">
        <v>12</v>
      </c>
      <c r="AL232" s="14">
        <v>26</v>
      </c>
      <c r="AM232" s="23" cm="1">
        <f t="array" ref="AM232">IF(OR(AN232:AZ232=""),"BLANK",IF(AND(AN232:AZ232&lt;9999999),1,IF(AND(AN232:AZ232="NA"),3,2)))</f>
        <v>1</v>
      </c>
      <c r="AN232" s="5">
        <v>8</v>
      </c>
      <c r="AO232" s="5">
        <v>2</v>
      </c>
      <c r="AP232" s="10">
        <v>3</v>
      </c>
      <c r="AQ232" s="10">
        <v>6.25</v>
      </c>
      <c r="AR232" s="10">
        <v>8</v>
      </c>
      <c r="AS232" s="11">
        <v>3364.5</v>
      </c>
      <c r="AT232" s="11">
        <v>8482</v>
      </c>
      <c r="AU232" s="11">
        <v>8343</v>
      </c>
      <c r="AV232" s="11">
        <v>8226.5</v>
      </c>
      <c r="AW232" s="11">
        <v>501</v>
      </c>
      <c r="AX232" s="11">
        <v>1647.6666666666999</v>
      </c>
      <c r="AY232" s="11">
        <v>5447.8958333333003</v>
      </c>
      <c r="AZ232" s="11">
        <v>2353.7333333332999</v>
      </c>
      <c r="BA232" s="23">
        <v>3</v>
      </c>
      <c r="BB232" s="24" t="s">
        <v>8</v>
      </c>
    </row>
    <row r="233" spans="1:54" x14ac:dyDescent="0.2">
      <c r="A233" s="5">
        <v>1439</v>
      </c>
      <c r="B233" s="20" t="s">
        <v>79</v>
      </c>
      <c r="C233" s="18" t="s">
        <v>54</v>
      </c>
      <c r="D233" s="18">
        <v>2</v>
      </c>
      <c r="E233" s="18">
        <v>0</v>
      </c>
      <c r="F233" s="20">
        <v>2.9089999999999998</v>
      </c>
      <c r="G233" s="18">
        <v>27</v>
      </c>
      <c r="H233" s="22">
        <v>4.0711841204654347</v>
      </c>
      <c r="I233" s="22">
        <v>5.0951403148528405</v>
      </c>
      <c r="J233" s="22">
        <v>9.1663244353182751</v>
      </c>
      <c r="K233" s="22">
        <v>4.0602327173169064</v>
      </c>
      <c r="L233" s="22">
        <v>5.0951403148528405</v>
      </c>
      <c r="M233" s="22">
        <v>9.1553730321697468</v>
      </c>
      <c r="N233" s="22">
        <v>4.2546201232032859</v>
      </c>
      <c r="O233" s="22">
        <v>4.8377823408624234</v>
      </c>
      <c r="P233" s="22">
        <v>9.0924024640657084</v>
      </c>
      <c r="Q233" s="22" t="s">
        <v>8</v>
      </c>
      <c r="R233" s="22" t="s">
        <v>8</v>
      </c>
      <c r="S233" s="22" t="s">
        <v>8</v>
      </c>
      <c r="T233" s="5">
        <v>4</v>
      </c>
      <c r="U233" s="5">
        <v>16</v>
      </c>
      <c r="V233" s="20" t="s">
        <v>1</v>
      </c>
      <c r="W233" s="20">
        <v>5</v>
      </c>
      <c r="X233" s="20">
        <v>1</v>
      </c>
      <c r="Y233" s="5">
        <v>1</v>
      </c>
      <c r="Z233" s="20">
        <v>4</v>
      </c>
      <c r="AA233" s="23">
        <f t="shared" si="6"/>
        <v>2</v>
      </c>
      <c r="AB233" s="15">
        <v>1</v>
      </c>
      <c r="AC233" s="15">
        <v>1</v>
      </c>
      <c r="AD233" s="15">
        <v>0.5</v>
      </c>
      <c r="AE233" s="15">
        <v>0.83299999999999996</v>
      </c>
      <c r="AF233" s="20">
        <v>20</v>
      </c>
      <c r="AG233" s="20" t="s">
        <v>8</v>
      </c>
      <c r="AH233" s="24">
        <v>24</v>
      </c>
      <c r="AI233" s="23">
        <f t="shared" si="7"/>
        <v>1</v>
      </c>
      <c r="AJ233" s="17">
        <v>9.5</v>
      </c>
      <c r="AK233" s="17">
        <v>8.75</v>
      </c>
      <c r="AL233" s="14">
        <v>18.25</v>
      </c>
      <c r="AM233" s="23" cm="1">
        <f t="array" ref="AM233">IF(OR(AN233:AZ233=""),"BLANK",IF(AND(AN233:AZ233&lt;9999999),1,IF(AND(AN233:AZ233="NA"),3,2)))</f>
        <v>1</v>
      </c>
      <c r="AN233" s="5">
        <v>5</v>
      </c>
      <c r="AO233" s="5">
        <v>2</v>
      </c>
      <c r="AP233" s="10">
        <v>5</v>
      </c>
      <c r="AQ233" s="10">
        <v>6.5</v>
      </c>
      <c r="AR233" s="10">
        <v>7.5</v>
      </c>
      <c r="AS233" s="11">
        <v>686</v>
      </c>
      <c r="AT233" s="11">
        <v>8328</v>
      </c>
      <c r="AU233" s="11">
        <v>20237</v>
      </c>
      <c r="AV233" s="11">
        <v>19393.25</v>
      </c>
      <c r="AW233" s="11">
        <v>6.5</v>
      </c>
      <c r="AX233" s="11">
        <v>8768.75</v>
      </c>
      <c r="AY233" s="11">
        <v>7015.6458333333003</v>
      </c>
      <c r="AZ233" s="11">
        <v>4199.9611111110999</v>
      </c>
      <c r="BA233" s="23">
        <v>3</v>
      </c>
      <c r="BB233" s="24" t="s">
        <v>8</v>
      </c>
    </row>
    <row r="234" spans="1:54" x14ac:dyDescent="0.2">
      <c r="A234" s="5">
        <v>1444</v>
      </c>
      <c r="B234" s="20" t="s">
        <v>71</v>
      </c>
      <c r="C234" s="18" t="s">
        <v>54</v>
      </c>
      <c r="D234" s="18">
        <v>5</v>
      </c>
      <c r="E234" s="18">
        <v>0</v>
      </c>
      <c r="F234" s="20">
        <v>4</v>
      </c>
      <c r="G234" s="18">
        <v>28</v>
      </c>
      <c r="H234" s="22">
        <v>3.9808350444900751</v>
      </c>
      <c r="I234" s="22" t="s">
        <v>8</v>
      </c>
      <c r="J234" s="22" t="s">
        <v>8</v>
      </c>
      <c r="K234" s="22">
        <v>3.9808350444900751</v>
      </c>
      <c r="L234" s="22" t="s">
        <v>8</v>
      </c>
      <c r="M234" s="22" t="s">
        <v>8</v>
      </c>
      <c r="N234" s="22">
        <v>4.0082135523613962</v>
      </c>
      <c r="O234" s="22" t="s">
        <v>8</v>
      </c>
      <c r="P234" s="22" t="s">
        <v>8</v>
      </c>
      <c r="Q234" s="22" t="s">
        <v>8</v>
      </c>
      <c r="R234" s="22" t="s">
        <v>8</v>
      </c>
      <c r="S234" s="22" t="s">
        <v>8</v>
      </c>
      <c r="T234" s="5">
        <v>3</v>
      </c>
      <c r="U234" s="5">
        <v>15</v>
      </c>
      <c r="V234" s="20" t="s">
        <v>1</v>
      </c>
      <c r="W234" s="20">
        <v>5</v>
      </c>
      <c r="X234" s="20">
        <v>1</v>
      </c>
      <c r="Y234" s="5">
        <v>1</v>
      </c>
      <c r="Z234" s="20">
        <v>4</v>
      </c>
      <c r="AA234" s="23">
        <f t="shared" si="6"/>
        <v>2</v>
      </c>
      <c r="AB234" s="15">
        <v>0.875</v>
      </c>
      <c r="AC234" s="15">
        <v>1</v>
      </c>
      <c r="AD234" s="15">
        <v>0.75</v>
      </c>
      <c r="AE234" s="15">
        <v>0.875</v>
      </c>
      <c r="AF234" s="20">
        <v>21</v>
      </c>
      <c r="AG234" s="20" t="s">
        <v>8</v>
      </c>
      <c r="AH234" s="24">
        <v>24</v>
      </c>
      <c r="AI234" s="23">
        <f t="shared" si="7"/>
        <v>1</v>
      </c>
      <c r="AJ234" s="17">
        <v>11</v>
      </c>
      <c r="AK234" s="17">
        <v>6.75</v>
      </c>
      <c r="AL234" s="14">
        <v>17.75</v>
      </c>
      <c r="AM234" s="23" cm="1">
        <f t="array" ref="AM234">IF(OR(AN234:AZ234=""),"BLANK",IF(AND(AN234:AZ234&lt;9999999),1,IF(AND(AN234:AZ234="NA"),3,2)))</f>
        <v>1</v>
      </c>
      <c r="AN234" s="5">
        <v>7</v>
      </c>
      <c r="AO234" s="5">
        <v>2</v>
      </c>
      <c r="AP234" s="10">
        <v>3</v>
      </c>
      <c r="AQ234" s="10">
        <v>5.25</v>
      </c>
      <c r="AR234" s="10">
        <v>7.25</v>
      </c>
      <c r="AS234" s="11">
        <v>1517.5</v>
      </c>
      <c r="AT234" s="11">
        <v>1858</v>
      </c>
      <c r="AU234" s="11">
        <v>5293.25</v>
      </c>
      <c r="AV234" s="11">
        <v>4109.75</v>
      </c>
      <c r="AW234" s="11">
        <v>0</v>
      </c>
      <c r="AX234" s="11">
        <v>0</v>
      </c>
      <c r="AY234" s="11">
        <v>647.51250000000005</v>
      </c>
      <c r="AZ234" s="11">
        <v>0</v>
      </c>
      <c r="BA234" s="23">
        <v>3</v>
      </c>
      <c r="BB234" s="24" t="s">
        <v>8</v>
      </c>
    </row>
    <row r="235" spans="1:54" x14ac:dyDescent="0.2">
      <c r="A235" s="5">
        <v>1451</v>
      </c>
      <c r="B235" s="20" t="s">
        <v>79</v>
      </c>
      <c r="C235" s="18" t="s">
        <v>54</v>
      </c>
      <c r="D235" s="18">
        <v>2</v>
      </c>
      <c r="E235" s="18">
        <v>0</v>
      </c>
      <c r="F235" s="20">
        <v>4</v>
      </c>
      <c r="G235" s="18">
        <v>28</v>
      </c>
      <c r="H235" s="22">
        <v>3.9917864476386038</v>
      </c>
      <c r="I235" s="22" t="s">
        <v>8</v>
      </c>
      <c r="J235" s="22" t="s">
        <v>8</v>
      </c>
      <c r="K235" s="22">
        <v>3.9917864476386038</v>
      </c>
      <c r="L235" s="22" t="s">
        <v>8</v>
      </c>
      <c r="M235" s="22" t="s">
        <v>8</v>
      </c>
      <c r="N235" s="22">
        <v>4.0109514031485283</v>
      </c>
      <c r="O235" s="22" t="s">
        <v>8</v>
      </c>
      <c r="P235" s="22" t="s">
        <v>8</v>
      </c>
      <c r="Q235" s="22" t="s">
        <v>8</v>
      </c>
      <c r="R235" s="22" t="s">
        <v>8</v>
      </c>
      <c r="S235" s="22" t="s">
        <v>8</v>
      </c>
      <c r="T235" s="5">
        <v>3</v>
      </c>
      <c r="U235" s="5">
        <v>15</v>
      </c>
      <c r="V235" s="20" t="s">
        <v>1</v>
      </c>
      <c r="W235" s="20">
        <v>5</v>
      </c>
      <c r="X235" s="20">
        <v>1</v>
      </c>
      <c r="Y235" s="5">
        <v>1</v>
      </c>
      <c r="Z235" s="20">
        <v>4</v>
      </c>
      <c r="AA235" s="23">
        <f t="shared" si="6"/>
        <v>2</v>
      </c>
      <c r="AB235" s="15">
        <v>1</v>
      </c>
      <c r="AC235" s="15">
        <v>0.75</v>
      </c>
      <c r="AD235" s="15">
        <v>0.75</v>
      </c>
      <c r="AE235" s="15">
        <v>0.83299999999999996</v>
      </c>
      <c r="AF235" s="20">
        <v>20</v>
      </c>
      <c r="AG235" s="20" t="s">
        <v>8</v>
      </c>
      <c r="AH235" s="24">
        <v>24</v>
      </c>
      <c r="AI235" s="23">
        <f t="shared" si="7"/>
        <v>1</v>
      </c>
      <c r="AJ235" s="17">
        <v>5.5</v>
      </c>
      <c r="AK235" s="17">
        <v>6.75</v>
      </c>
      <c r="AL235" s="14">
        <v>12.25</v>
      </c>
      <c r="AM235" s="23" cm="1">
        <f t="array" ref="AM235">IF(OR(AN235:AZ235=""),"BLANK",IF(AND(AN235:AZ235&lt;9999999),1,IF(AND(AN235:AZ235="NA"),3,2)))</f>
        <v>1</v>
      </c>
      <c r="AN235" s="5">
        <v>9</v>
      </c>
      <c r="AO235" s="5">
        <v>2</v>
      </c>
      <c r="AP235" s="10">
        <v>3</v>
      </c>
      <c r="AQ235" s="10">
        <v>5.25</v>
      </c>
      <c r="AR235" s="10">
        <v>6.75</v>
      </c>
      <c r="AS235" s="11">
        <v>892.5</v>
      </c>
      <c r="AT235" s="11">
        <v>7042.5</v>
      </c>
      <c r="AU235" s="11">
        <v>7356.5</v>
      </c>
      <c r="AV235" s="11">
        <v>13410</v>
      </c>
      <c r="AW235" s="11">
        <v>0</v>
      </c>
      <c r="AX235" s="11">
        <v>0</v>
      </c>
      <c r="AY235" s="11">
        <v>5444.5</v>
      </c>
      <c r="AZ235" s="11">
        <v>1334.2409090909</v>
      </c>
      <c r="BA235" s="23">
        <v>3</v>
      </c>
      <c r="BB235" s="24" t="s">
        <v>8</v>
      </c>
    </row>
    <row r="236" spans="1:54" x14ac:dyDescent="0.2">
      <c r="A236" s="5">
        <v>1452</v>
      </c>
      <c r="B236" s="20" t="s">
        <v>76</v>
      </c>
      <c r="C236" s="18" t="s">
        <v>55</v>
      </c>
      <c r="D236" s="18">
        <v>5</v>
      </c>
      <c r="E236" s="18">
        <v>0</v>
      </c>
      <c r="F236" s="20">
        <v>3</v>
      </c>
      <c r="G236" s="18">
        <v>30</v>
      </c>
      <c r="H236" s="22">
        <v>4.2354551676933605</v>
      </c>
      <c r="I236" s="22">
        <v>5.2292950034223136</v>
      </c>
      <c r="J236" s="22">
        <v>9.464750171115675</v>
      </c>
      <c r="K236" s="22">
        <v>4.2354551676933605</v>
      </c>
      <c r="L236" s="22">
        <v>5.2320328542094456</v>
      </c>
      <c r="M236" s="22">
        <v>9.4674880219028061</v>
      </c>
      <c r="N236" s="22">
        <v>4.1149897330595486</v>
      </c>
      <c r="O236" s="22">
        <v>5.2101300479123891</v>
      </c>
      <c r="P236" s="22">
        <v>9.3251197809719368</v>
      </c>
      <c r="Q236" s="22">
        <v>3.2881587953456535</v>
      </c>
      <c r="R236" s="22">
        <v>5.9630390143737166</v>
      </c>
      <c r="S236" s="22">
        <v>9.2511978097193701</v>
      </c>
      <c r="T236" s="5">
        <v>6</v>
      </c>
      <c r="U236" s="5">
        <v>18</v>
      </c>
      <c r="V236" s="20" t="s">
        <v>1</v>
      </c>
      <c r="W236" s="20">
        <v>5</v>
      </c>
      <c r="X236" s="20">
        <v>1</v>
      </c>
      <c r="Y236" s="5">
        <v>1</v>
      </c>
      <c r="Z236" s="20">
        <v>4</v>
      </c>
      <c r="AA236" s="23">
        <f t="shared" si="6"/>
        <v>2</v>
      </c>
      <c r="AB236" s="15">
        <v>1</v>
      </c>
      <c r="AC236" s="15">
        <v>1</v>
      </c>
      <c r="AD236" s="15">
        <v>0.875</v>
      </c>
      <c r="AE236" s="15">
        <v>0.95799999999999996</v>
      </c>
      <c r="AF236" s="20">
        <v>23</v>
      </c>
      <c r="AG236" s="20" t="s">
        <v>8</v>
      </c>
      <c r="AH236" s="24">
        <v>24</v>
      </c>
      <c r="AI236" s="23">
        <f t="shared" si="7"/>
        <v>1</v>
      </c>
      <c r="AJ236" s="17">
        <v>8</v>
      </c>
      <c r="AK236" s="17">
        <v>10.75</v>
      </c>
      <c r="AL236" s="14">
        <v>18.75</v>
      </c>
      <c r="AM236" s="23" cm="1">
        <f t="array" ref="AM236">IF(OR(AN236:AZ236=""),"BLANK",IF(AND(AN236:AZ236&lt;9999999),1,IF(AND(AN236:AZ236="NA"),3,2)))</f>
        <v>1</v>
      </c>
      <c r="AN236" s="5">
        <v>11</v>
      </c>
      <c r="AO236" s="5">
        <v>2</v>
      </c>
      <c r="AP236" s="10">
        <v>3</v>
      </c>
      <c r="AQ236" s="10">
        <v>4</v>
      </c>
      <c r="AR236" s="10">
        <v>6.5</v>
      </c>
      <c r="AS236" s="11">
        <v>4781.5</v>
      </c>
      <c r="AT236" s="11">
        <v>7608</v>
      </c>
      <c r="AU236" s="11">
        <v>9759.5</v>
      </c>
      <c r="AV236" s="11">
        <v>36911</v>
      </c>
      <c r="AW236" s="11">
        <v>71.25</v>
      </c>
      <c r="AX236" s="11">
        <v>0</v>
      </c>
      <c r="AY236" s="11">
        <v>0</v>
      </c>
      <c r="AZ236" s="11">
        <v>65.2</v>
      </c>
      <c r="BA236" s="23">
        <v>3</v>
      </c>
      <c r="BB236" s="24" t="s">
        <v>8</v>
      </c>
    </row>
    <row r="237" spans="1:54" x14ac:dyDescent="0.2">
      <c r="A237" s="5">
        <v>1457</v>
      </c>
      <c r="B237" s="20" t="s">
        <v>79</v>
      </c>
      <c r="C237" s="18" t="s">
        <v>54</v>
      </c>
      <c r="D237" s="18">
        <v>5</v>
      </c>
      <c r="E237" s="18">
        <v>0</v>
      </c>
      <c r="F237" s="20">
        <v>3.3639999999999999</v>
      </c>
      <c r="G237" s="18">
        <v>30</v>
      </c>
      <c r="H237" s="22" t="s">
        <v>8</v>
      </c>
      <c r="I237" s="22" t="s">
        <v>8</v>
      </c>
      <c r="J237" s="22" t="s">
        <v>8</v>
      </c>
      <c r="K237" s="22" t="s">
        <v>8</v>
      </c>
      <c r="L237" s="22" t="s">
        <v>8</v>
      </c>
      <c r="M237" s="22" t="s">
        <v>8</v>
      </c>
      <c r="N237" s="22" t="s">
        <v>8</v>
      </c>
      <c r="O237" s="22" t="s">
        <v>8</v>
      </c>
      <c r="P237" s="22" t="s">
        <v>8</v>
      </c>
      <c r="Q237" s="22" t="s">
        <v>8</v>
      </c>
      <c r="R237" s="22" t="s">
        <v>8</v>
      </c>
      <c r="S237" s="22" t="s">
        <v>8</v>
      </c>
      <c r="T237" s="5">
        <v>2</v>
      </c>
      <c r="U237" s="5">
        <v>12</v>
      </c>
      <c r="V237" s="20" t="s">
        <v>1</v>
      </c>
      <c r="W237" s="20">
        <v>5</v>
      </c>
      <c r="X237" s="20">
        <v>1</v>
      </c>
      <c r="Y237" s="5">
        <v>1</v>
      </c>
      <c r="Z237" s="20">
        <v>4</v>
      </c>
      <c r="AA237" s="23">
        <f t="shared" si="6"/>
        <v>2</v>
      </c>
      <c r="AB237" s="15">
        <v>1</v>
      </c>
      <c r="AC237" s="15">
        <v>0.875</v>
      </c>
      <c r="AD237" s="15">
        <v>0.875</v>
      </c>
      <c r="AE237" s="15">
        <v>0.91700000000000004</v>
      </c>
      <c r="AF237" s="20">
        <v>22</v>
      </c>
      <c r="AG237" s="20" t="s">
        <v>8</v>
      </c>
      <c r="AH237" s="24">
        <v>24</v>
      </c>
      <c r="AI237" s="23">
        <f t="shared" si="7"/>
        <v>1</v>
      </c>
      <c r="AJ237" s="17">
        <v>5</v>
      </c>
      <c r="AK237" s="17">
        <v>7.5</v>
      </c>
      <c r="AL237" s="14">
        <v>12.5</v>
      </c>
      <c r="AM237" s="23" cm="1">
        <f t="array" ref="AM237">IF(OR(AN237:AZ237=""),"BLANK",IF(AND(AN237:AZ237&lt;9999999),1,IF(AND(AN237:AZ237="NA"),3,2)))</f>
        <v>1</v>
      </c>
      <c r="AN237" s="5">
        <v>10</v>
      </c>
      <c r="AO237" s="5">
        <v>2</v>
      </c>
      <c r="AP237" s="10">
        <v>3</v>
      </c>
      <c r="AQ237" s="10">
        <v>4</v>
      </c>
      <c r="AR237" s="10">
        <v>8</v>
      </c>
      <c r="AS237" s="11">
        <v>3879</v>
      </c>
      <c r="AT237" s="11">
        <v>7928.5</v>
      </c>
      <c r="AU237" s="11">
        <v>28764</v>
      </c>
      <c r="AV237" s="11">
        <v>23794.75</v>
      </c>
      <c r="AW237" s="11">
        <v>372.75</v>
      </c>
      <c r="AX237" s="11">
        <v>0</v>
      </c>
      <c r="AY237" s="11">
        <v>445.25</v>
      </c>
      <c r="AZ237" s="11">
        <v>2852.1863636364001</v>
      </c>
      <c r="BA237" s="23">
        <v>3</v>
      </c>
      <c r="BB237" s="24" t="s">
        <v>8</v>
      </c>
    </row>
    <row r="238" spans="1:54" x14ac:dyDescent="0.2">
      <c r="A238" s="5">
        <v>1467</v>
      </c>
      <c r="B238" s="20" t="s">
        <v>71</v>
      </c>
      <c r="C238" s="18" t="s">
        <v>54</v>
      </c>
      <c r="D238" s="18">
        <v>5</v>
      </c>
      <c r="E238" s="18">
        <v>0</v>
      </c>
      <c r="F238" s="20">
        <v>4</v>
      </c>
      <c r="G238" s="18">
        <v>28</v>
      </c>
      <c r="H238" s="22">
        <v>4.0054757015742641</v>
      </c>
      <c r="I238" s="22">
        <v>5.1800136892539355</v>
      </c>
      <c r="J238" s="22">
        <v>9.1854893908282005</v>
      </c>
      <c r="K238" s="22">
        <v>4.3887748117727581</v>
      </c>
      <c r="L238" s="22">
        <v>4.7967145790554415</v>
      </c>
      <c r="M238" s="22">
        <v>9.1854893908282005</v>
      </c>
      <c r="N238" s="22">
        <v>4.4106776180698155</v>
      </c>
      <c r="O238" s="22">
        <v>4.7912388774811774</v>
      </c>
      <c r="P238" s="22">
        <v>9.2019164955509929</v>
      </c>
      <c r="Q238" s="22" t="s">
        <v>8</v>
      </c>
      <c r="R238" s="22" t="s">
        <v>8</v>
      </c>
      <c r="S238" s="22" t="s">
        <v>8</v>
      </c>
      <c r="T238" s="5">
        <v>4</v>
      </c>
      <c r="U238" s="5">
        <v>16</v>
      </c>
      <c r="V238" s="20" t="s">
        <v>1</v>
      </c>
      <c r="W238" s="20">
        <v>5</v>
      </c>
      <c r="X238" s="20">
        <v>1</v>
      </c>
      <c r="Y238" s="5">
        <v>1</v>
      </c>
      <c r="Z238" s="20">
        <v>4</v>
      </c>
      <c r="AA238" s="23">
        <f t="shared" si="6"/>
        <v>2</v>
      </c>
      <c r="AB238" s="15">
        <v>1</v>
      </c>
      <c r="AC238" s="15">
        <v>1</v>
      </c>
      <c r="AD238" s="15">
        <v>1</v>
      </c>
      <c r="AE238" s="15">
        <v>1</v>
      </c>
      <c r="AF238" s="20">
        <v>20</v>
      </c>
      <c r="AG238" s="20" t="s">
        <v>8</v>
      </c>
      <c r="AH238" s="24">
        <v>20</v>
      </c>
      <c r="AI238" s="23">
        <f t="shared" si="7"/>
        <v>1</v>
      </c>
      <c r="AJ238" s="17">
        <v>10</v>
      </c>
      <c r="AK238" s="17">
        <v>10</v>
      </c>
      <c r="AL238" s="14">
        <v>20</v>
      </c>
      <c r="AM238" s="23" cm="1">
        <f t="array" ref="AM238">IF(OR(AN238:AZ238=""),"BLANK",IF(AND(AN238:AZ238&lt;9999999),1,IF(AND(AN238:AZ238="NA"),3,2)))</f>
        <v>1</v>
      </c>
      <c r="AN238" s="5">
        <v>10</v>
      </c>
      <c r="AO238" s="5">
        <v>2</v>
      </c>
      <c r="AP238" s="10">
        <v>3</v>
      </c>
      <c r="AQ238" s="10">
        <v>5.75</v>
      </c>
      <c r="AR238" s="10">
        <v>5</v>
      </c>
      <c r="AS238" s="11">
        <v>1123.5</v>
      </c>
      <c r="AT238" s="11">
        <v>2321</v>
      </c>
      <c r="AU238" s="11">
        <v>3277.25</v>
      </c>
      <c r="AV238" s="11">
        <v>5108</v>
      </c>
      <c r="AW238" s="11">
        <v>0</v>
      </c>
      <c r="AX238" s="11">
        <v>0</v>
      </c>
      <c r="AY238" s="11">
        <v>1787.4652777778001</v>
      </c>
      <c r="AZ238" s="11">
        <v>0</v>
      </c>
      <c r="BA238" s="23">
        <v>3</v>
      </c>
      <c r="BB238" s="24" t="s">
        <v>8</v>
      </c>
    </row>
    <row r="239" spans="1:54" x14ac:dyDescent="0.2">
      <c r="A239" s="5">
        <v>1468</v>
      </c>
      <c r="B239" s="20" t="s">
        <v>71</v>
      </c>
      <c r="C239" s="18" t="s">
        <v>55</v>
      </c>
      <c r="D239" s="18">
        <v>5</v>
      </c>
      <c r="E239" s="18">
        <v>0</v>
      </c>
      <c r="F239" s="20">
        <v>3.8180000000000001</v>
      </c>
      <c r="G239" s="18">
        <v>30</v>
      </c>
      <c r="H239" s="22" t="s">
        <v>8</v>
      </c>
      <c r="I239" s="22" t="s">
        <v>8</v>
      </c>
      <c r="J239" s="22">
        <v>8.944558521560575</v>
      </c>
      <c r="K239" s="22" t="s">
        <v>8</v>
      </c>
      <c r="L239" s="22" t="s">
        <v>8</v>
      </c>
      <c r="M239" s="22">
        <v>9.2347707049965777</v>
      </c>
      <c r="N239" s="22" t="s">
        <v>8</v>
      </c>
      <c r="O239" s="22" t="s">
        <v>8</v>
      </c>
      <c r="P239" s="22" t="s">
        <v>8</v>
      </c>
      <c r="Q239" s="22" t="s">
        <v>8</v>
      </c>
      <c r="R239" s="22" t="s">
        <v>8</v>
      </c>
      <c r="S239" s="22" t="s">
        <v>8</v>
      </c>
      <c r="T239" s="5">
        <v>4</v>
      </c>
      <c r="U239" s="5">
        <v>16</v>
      </c>
      <c r="V239" s="20" t="s">
        <v>1</v>
      </c>
      <c r="W239" s="20">
        <v>5</v>
      </c>
      <c r="X239" s="20">
        <v>1</v>
      </c>
      <c r="Y239" s="5">
        <v>1</v>
      </c>
      <c r="Z239" s="20">
        <v>4</v>
      </c>
      <c r="AA239" s="23">
        <f t="shared" si="6"/>
        <v>2</v>
      </c>
      <c r="AB239" s="15">
        <v>0.875</v>
      </c>
      <c r="AC239" s="15">
        <v>1</v>
      </c>
      <c r="AD239" s="15">
        <v>1</v>
      </c>
      <c r="AE239" s="15">
        <v>0.95799999999999996</v>
      </c>
      <c r="AF239" s="20">
        <v>23</v>
      </c>
      <c r="AG239" s="20" t="s">
        <v>8</v>
      </c>
      <c r="AH239" s="24">
        <v>24</v>
      </c>
      <c r="AI239" s="23">
        <f t="shared" si="7"/>
        <v>1</v>
      </c>
      <c r="AJ239" s="17">
        <v>9.75</v>
      </c>
      <c r="AK239" s="17">
        <v>9</v>
      </c>
      <c r="AL239" s="14">
        <v>18.75</v>
      </c>
      <c r="AM239" s="23" cm="1">
        <f t="array" ref="AM239">IF(OR(AN239:AZ239=""),"BLANK",IF(AND(AN239:AZ239&lt;9999999),1,IF(AND(AN239:AZ239="NA"),3,2)))</f>
        <v>1</v>
      </c>
      <c r="AN239" s="5">
        <v>8</v>
      </c>
      <c r="AO239" s="5">
        <v>2</v>
      </c>
      <c r="AP239" s="10">
        <v>3</v>
      </c>
      <c r="AQ239" s="10">
        <v>5.25</v>
      </c>
      <c r="AR239" s="10">
        <v>7.5</v>
      </c>
      <c r="AS239" s="11">
        <v>1544.5</v>
      </c>
      <c r="AT239" s="11">
        <v>6114</v>
      </c>
      <c r="AU239" s="11">
        <v>10788</v>
      </c>
      <c r="AV239" s="11">
        <v>7851</v>
      </c>
      <c r="AW239" s="11">
        <v>0</v>
      </c>
      <c r="AX239" s="11">
        <v>0</v>
      </c>
      <c r="AY239" s="11">
        <v>9065.8958333332994</v>
      </c>
      <c r="AZ239" s="11">
        <v>3784.7315476190001</v>
      </c>
      <c r="BA239" s="23">
        <v>3</v>
      </c>
      <c r="BB239" s="24" t="s">
        <v>8</v>
      </c>
    </row>
    <row r="240" spans="1:54" x14ac:dyDescent="0.2">
      <c r="A240" s="5">
        <v>1476</v>
      </c>
      <c r="B240" s="20" t="s">
        <v>75</v>
      </c>
      <c r="C240" s="18" t="s">
        <v>55</v>
      </c>
      <c r="D240" s="18">
        <v>5</v>
      </c>
      <c r="E240" s="18">
        <v>0</v>
      </c>
      <c r="F240" s="20">
        <v>3.6360000000000001</v>
      </c>
      <c r="G240" s="18">
        <v>28</v>
      </c>
      <c r="H240" s="22">
        <v>3.6331279945242985</v>
      </c>
      <c r="I240" s="22">
        <v>5.1362080766598224</v>
      </c>
      <c r="J240" s="22">
        <v>8.7693360711841208</v>
      </c>
      <c r="K240" s="22">
        <v>3.6331279945242985</v>
      </c>
      <c r="L240" s="22">
        <v>5.3689253935660508</v>
      </c>
      <c r="M240" s="22">
        <v>9.0020533880903493</v>
      </c>
      <c r="N240" s="22">
        <v>3.8110882956878851</v>
      </c>
      <c r="O240" s="22">
        <v>4.6789869952087608</v>
      </c>
      <c r="P240" s="22">
        <v>8.4900752908966464</v>
      </c>
      <c r="Q240" s="22">
        <v>3.2772073921971252</v>
      </c>
      <c r="R240" s="22">
        <v>5.8809034907597537</v>
      </c>
      <c r="S240" s="22">
        <v>9.158110882956878</v>
      </c>
      <c r="T240" s="5">
        <v>6</v>
      </c>
      <c r="U240" s="5">
        <v>18</v>
      </c>
      <c r="V240" s="20" t="s">
        <v>1</v>
      </c>
      <c r="W240" s="20">
        <v>5</v>
      </c>
      <c r="X240" s="20">
        <v>1</v>
      </c>
      <c r="Y240" s="5">
        <v>1</v>
      </c>
      <c r="Z240" s="20">
        <v>4</v>
      </c>
      <c r="AA240" s="23">
        <f t="shared" si="6"/>
        <v>2</v>
      </c>
      <c r="AB240" s="15">
        <v>0.875</v>
      </c>
      <c r="AC240" s="15">
        <v>1</v>
      </c>
      <c r="AD240" s="15">
        <v>0.625</v>
      </c>
      <c r="AE240" s="15">
        <v>0.83299999999999996</v>
      </c>
      <c r="AF240" s="20">
        <v>20</v>
      </c>
      <c r="AG240" s="20" t="s">
        <v>8</v>
      </c>
      <c r="AH240" s="24">
        <v>24</v>
      </c>
      <c r="AI240" s="23">
        <f t="shared" si="7"/>
        <v>1</v>
      </c>
      <c r="AJ240" s="17">
        <v>5</v>
      </c>
      <c r="AK240" s="17">
        <v>4</v>
      </c>
      <c r="AL240" s="14">
        <v>9</v>
      </c>
      <c r="AM240" s="23" cm="1">
        <f t="array" ref="AM240">IF(OR(AN240:AZ240=""),"BLANK",IF(AND(AN240:AZ240&lt;9999999),1,IF(AND(AN240:AZ240="NA"),3,2)))</f>
        <v>1</v>
      </c>
      <c r="AN240" s="5">
        <v>4</v>
      </c>
      <c r="AO240" s="5">
        <v>2</v>
      </c>
      <c r="AP240" s="10">
        <v>3</v>
      </c>
      <c r="AQ240" s="10">
        <v>6.5</v>
      </c>
      <c r="AR240" s="10">
        <v>9.5</v>
      </c>
      <c r="AS240" s="11">
        <v>3982</v>
      </c>
      <c r="AT240" s="11">
        <v>7331.5</v>
      </c>
      <c r="AU240" s="11">
        <v>3922.5</v>
      </c>
      <c r="AV240" s="11">
        <v>4740.75</v>
      </c>
      <c r="AW240" s="11">
        <v>279.75</v>
      </c>
      <c r="AX240" s="11">
        <v>81</v>
      </c>
      <c r="AY240" s="11">
        <v>18278.538888888899</v>
      </c>
      <c r="AZ240" s="11">
        <v>3697.4285714286002</v>
      </c>
      <c r="BA240" s="23">
        <v>3</v>
      </c>
      <c r="BB240" s="24" t="s">
        <v>8</v>
      </c>
    </row>
    <row r="241" spans="1:54" x14ac:dyDescent="0.2">
      <c r="A241" s="5">
        <v>1484</v>
      </c>
      <c r="B241" s="20" t="s">
        <v>70</v>
      </c>
      <c r="C241" s="18" t="s">
        <v>55</v>
      </c>
      <c r="D241" s="18">
        <v>5</v>
      </c>
      <c r="E241" s="18">
        <v>0</v>
      </c>
      <c r="F241" s="20">
        <v>3.9089999999999998</v>
      </c>
      <c r="G241" s="18">
        <v>28</v>
      </c>
      <c r="H241" s="22">
        <v>4.2847364818617386</v>
      </c>
      <c r="I241" s="22">
        <v>6.0013689253935665</v>
      </c>
      <c r="J241" s="22">
        <v>10.286105407255304</v>
      </c>
      <c r="K241" s="22">
        <v>4.2847364818617386</v>
      </c>
      <c r="L241" s="22">
        <v>6.0013689253935665</v>
      </c>
      <c r="M241" s="22">
        <v>10.286105407255304</v>
      </c>
      <c r="N241" s="22">
        <v>4.2628336755646821</v>
      </c>
      <c r="O241" s="22" t="s">
        <v>8</v>
      </c>
      <c r="P241" s="22" t="s">
        <v>8</v>
      </c>
      <c r="Q241" s="22">
        <v>4.128678986995209</v>
      </c>
      <c r="R241" s="22" t="s">
        <v>8</v>
      </c>
      <c r="S241" s="22" t="s">
        <v>8</v>
      </c>
      <c r="T241" s="5">
        <v>5</v>
      </c>
      <c r="U241" s="5">
        <v>17</v>
      </c>
      <c r="V241" s="20" t="s">
        <v>1</v>
      </c>
      <c r="W241" s="20">
        <v>5</v>
      </c>
      <c r="X241" s="20">
        <v>1</v>
      </c>
      <c r="Y241" s="5">
        <v>1</v>
      </c>
      <c r="Z241" s="20">
        <v>4</v>
      </c>
      <c r="AA241" s="23">
        <f t="shared" si="6"/>
        <v>2</v>
      </c>
      <c r="AB241" s="15">
        <v>0.875</v>
      </c>
      <c r="AC241" s="15">
        <v>1</v>
      </c>
      <c r="AD241" s="15">
        <v>0.25</v>
      </c>
      <c r="AE241" s="15">
        <v>0.70799999999999996</v>
      </c>
      <c r="AF241" s="20">
        <v>17</v>
      </c>
      <c r="AG241" s="20" t="s">
        <v>8</v>
      </c>
      <c r="AH241" s="24">
        <v>24</v>
      </c>
      <c r="AI241" s="23">
        <f t="shared" si="7"/>
        <v>1</v>
      </c>
      <c r="AJ241" s="17">
        <v>10.75</v>
      </c>
      <c r="AK241" s="17">
        <v>9.75</v>
      </c>
      <c r="AL241" s="14">
        <v>20.5</v>
      </c>
      <c r="AM241" s="23" cm="1">
        <f t="array" ref="AM241">IF(OR(AN241:AZ241=""),"BLANK",IF(AND(AN241:AZ241&lt;9999999),1,IF(AND(AN241:AZ241="NA"),3,2)))</f>
        <v>1</v>
      </c>
      <c r="AN241" s="5">
        <v>10</v>
      </c>
      <c r="AO241" s="5">
        <v>2</v>
      </c>
      <c r="AP241" s="10">
        <v>3</v>
      </c>
      <c r="AQ241" s="10">
        <v>4</v>
      </c>
      <c r="AR241" s="10">
        <v>7</v>
      </c>
      <c r="AS241" s="11">
        <v>3231.5</v>
      </c>
      <c r="AT241" s="11">
        <v>13245</v>
      </c>
      <c r="AU241" s="11">
        <v>8191.25</v>
      </c>
      <c r="AV241" s="11">
        <v>12757.25</v>
      </c>
      <c r="AW241" s="11">
        <v>0</v>
      </c>
      <c r="AX241" s="11">
        <v>0</v>
      </c>
      <c r="AY241" s="11">
        <v>0</v>
      </c>
      <c r="AZ241" s="11">
        <v>1988.7416666667</v>
      </c>
      <c r="BA241" s="23">
        <v>3</v>
      </c>
      <c r="BB241" s="24" t="s">
        <v>8</v>
      </c>
    </row>
    <row r="242" spans="1:54" x14ac:dyDescent="0.2">
      <c r="A242" s="5">
        <v>1531</v>
      </c>
      <c r="B242" s="20" t="s">
        <v>81</v>
      </c>
      <c r="C242" s="18" t="s">
        <v>55</v>
      </c>
      <c r="D242" s="18">
        <v>5</v>
      </c>
      <c r="E242" s="18">
        <v>0</v>
      </c>
      <c r="F242" s="20">
        <v>3.0910000000000002</v>
      </c>
      <c r="G242" s="18">
        <v>27</v>
      </c>
      <c r="H242" s="22" t="s">
        <v>8</v>
      </c>
      <c r="I242" s="22" t="s">
        <v>8</v>
      </c>
      <c r="J242" s="22" t="s">
        <v>8</v>
      </c>
      <c r="K242" s="22" t="s">
        <v>8</v>
      </c>
      <c r="L242" s="22" t="s">
        <v>8</v>
      </c>
      <c r="M242" s="22" t="s">
        <v>8</v>
      </c>
      <c r="N242" s="22" t="s">
        <v>8</v>
      </c>
      <c r="O242" s="22" t="s">
        <v>8</v>
      </c>
      <c r="P242" s="22" t="s">
        <v>8</v>
      </c>
      <c r="Q242" s="22" t="s">
        <v>8</v>
      </c>
      <c r="R242" s="22" t="s">
        <v>8</v>
      </c>
      <c r="S242" s="22" t="s">
        <v>8</v>
      </c>
      <c r="T242" s="5">
        <v>4</v>
      </c>
      <c r="U242" s="5">
        <v>16</v>
      </c>
      <c r="V242" s="20" t="s">
        <v>1</v>
      </c>
      <c r="W242" s="20">
        <v>5</v>
      </c>
      <c r="X242" s="20">
        <v>1</v>
      </c>
      <c r="Y242" s="5">
        <v>1</v>
      </c>
      <c r="Z242" s="20">
        <v>4</v>
      </c>
      <c r="AA242" s="23">
        <f t="shared" si="6"/>
        <v>2</v>
      </c>
      <c r="AB242" s="15">
        <v>0.75</v>
      </c>
      <c r="AC242" s="15">
        <v>0.25</v>
      </c>
      <c r="AD242" s="15">
        <v>0.25</v>
      </c>
      <c r="AE242" s="15">
        <v>0.41699999999999998</v>
      </c>
      <c r="AF242" s="20">
        <v>10</v>
      </c>
      <c r="AG242" s="20" t="s">
        <v>8</v>
      </c>
      <c r="AH242" s="24">
        <v>24</v>
      </c>
      <c r="AI242" s="23">
        <f t="shared" si="7"/>
        <v>1</v>
      </c>
      <c r="AJ242" s="17">
        <v>1</v>
      </c>
      <c r="AK242" s="17">
        <v>0.25</v>
      </c>
      <c r="AL242" s="14">
        <v>1.25</v>
      </c>
      <c r="AM242" s="23" cm="1">
        <f t="array" ref="AM242">IF(OR(AN242:AZ242=""),"BLANK",IF(AND(AN242:AZ242&lt;9999999),1,IF(AND(AN242:AZ242="NA"),3,2)))</f>
        <v>1</v>
      </c>
      <c r="AN242" s="5">
        <v>6</v>
      </c>
      <c r="AO242" s="5">
        <v>2</v>
      </c>
      <c r="AP242" s="10">
        <v>3</v>
      </c>
      <c r="AQ242" s="10">
        <v>5.75</v>
      </c>
      <c r="AR242" s="10">
        <v>11.5</v>
      </c>
      <c r="AS242" s="11">
        <v>6007</v>
      </c>
      <c r="AT242" s="11">
        <v>28435.5</v>
      </c>
      <c r="AU242" s="11">
        <v>11310</v>
      </c>
      <c r="AV242" s="11">
        <v>24147.5</v>
      </c>
      <c r="AW242" s="11">
        <v>0</v>
      </c>
      <c r="AX242" s="11">
        <v>0</v>
      </c>
      <c r="AY242" s="11">
        <v>9990.1597222222008</v>
      </c>
      <c r="AZ242" s="11">
        <v>39946.608333333301</v>
      </c>
      <c r="BA242" s="23">
        <v>3</v>
      </c>
      <c r="BB242" s="24" t="s">
        <v>8</v>
      </c>
    </row>
    <row r="243" spans="1:54" x14ac:dyDescent="0.2">
      <c r="A243" s="5">
        <v>1543</v>
      </c>
      <c r="B243" s="20" t="s">
        <v>66</v>
      </c>
      <c r="C243" s="18" t="s">
        <v>55</v>
      </c>
      <c r="D243" s="18">
        <v>3</v>
      </c>
      <c r="E243" s="18">
        <v>0</v>
      </c>
      <c r="F243" s="20">
        <v>3.5449999999999999</v>
      </c>
      <c r="G243" s="18">
        <v>29</v>
      </c>
      <c r="H243" s="22">
        <v>4.0985626283367553</v>
      </c>
      <c r="I243" s="22">
        <v>4.4955509924709105</v>
      </c>
      <c r="J243" s="22">
        <v>8.5941136208076667</v>
      </c>
      <c r="K243" s="22">
        <v>4.0903490759753591</v>
      </c>
      <c r="L243" s="22">
        <v>4.5037645448323067</v>
      </c>
      <c r="M243" s="22">
        <v>8.5941136208076667</v>
      </c>
      <c r="N243" s="22">
        <v>4.0711841204654347</v>
      </c>
      <c r="O243" s="22">
        <v>4.386036960985626</v>
      </c>
      <c r="P243" s="22">
        <v>8.4572210814510616</v>
      </c>
      <c r="Q243" s="22" t="s">
        <v>8</v>
      </c>
      <c r="R243" s="22" t="s">
        <v>8</v>
      </c>
      <c r="S243" s="22" t="s">
        <v>8</v>
      </c>
      <c r="T243" s="5">
        <v>6</v>
      </c>
      <c r="U243" s="5">
        <v>18</v>
      </c>
      <c r="V243" s="20" t="s">
        <v>1</v>
      </c>
      <c r="W243" s="20">
        <v>5</v>
      </c>
      <c r="X243" s="20">
        <v>1</v>
      </c>
      <c r="Y243" s="5">
        <v>1</v>
      </c>
      <c r="Z243" s="20">
        <v>4</v>
      </c>
      <c r="AA243" s="23">
        <f t="shared" si="6"/>
        <v>2</v>
      </c>
      <c r="AB243" s="15">
        <v>1</v>
      </c>
      <c r="AC243" s="15">
        <v>1</v>
      </c>
      <c r="AD243" s="15">
        <v>1</v>
      </c>
      <c r="AE243" s="15">
        <v>1</v>
      </c>
      <c r="AF243" s="20">
        <v>24</v>
      </c>
      <c r="AG243" s="20" t="s">
        <v>8</v>
      </c>
      <c r="AH243" s="24">
        <v>24</v>
      </c>
      <c r="AI243" s="23">
        <f t="shared" si="7"/>
        <v>1</v>
      </c>
      <c r="AJ243" s="17">
        <v>13</v>
      </c>
      <c r="AK243" s="17">
        <v>13.75</v>
      </c>
      <c r="AL243" s="14">
        <v>26.75</v>
      </c>
      <c r="AM243" s="23" cm="1">
        <f t="array" ref="AM243">IF(OR(AN243:AZ243=""),"BLANK",IF(AND(AN243:AZ243&lt;9999999),1,IF(AND(AN243:AZ243="NA"),3,2)))</f>
        <v>1</v>
      </c>
      <c r="AN243" s="5">
        <v>7</v>
      </c>
      <c r="AO243" s="5">
        <v>2</v>
      </c>
      <c r="AP243" s="10">
        <v>3.5</v>
      </c>
      <c r="AQ243" s="10">
        <v>5</v>
      </c>
      <c r="AR243" s="10">
        <v>6.25</v>
      </c>
      <c r="AS243" s="11">
        <v>2088.5</v>
      </c>
      <c r="AT243" s="11">
        <v>2506.5</v>
      </c>
      <c r="AU243" s="11">
        <v>5026</v>
      </c>
      <c r="AV243" s="11">
        <v>7014.25</v>
      </c>
      <c r="AW243" s="11">
        <v>0</v>
      </c>
      <c r="AX243" s="11">
        <v>0</v>
      </c>
      <c r="AY243" s="11">
        <v>2004.6875</v>
      </c>
      <c r="AZ243" s="11">
        <v>166.6527777778</v>
      </c>
      <c r="BA243" s="23">
        <v>3</v>
      </c>
      <c r="BB243" s="24" t="s">
        <v>8</v>
      </c>
    </row>
    <row r="244" spans="1:54" x14ac:dyDescent="0.2">
      <c r="A244" s="5">
        <v>1577</v>
      </c>
      <c r="B244" s="20" t="s">
        <v>72</v>
      </c>
      <c r="C244" s="18" t="s">
        <v>54</v>
      </c>
      <c r="D244" s="18">
        <v>5</v>
      </c>
      <c r="E244" s="18">
        <v>0</v>
      </c>
      <c r="F244" s="20">
        <v>3.2730000000000001</v>
      </c>
      <c r="G244" s="18">
        <v>27</v>
      </c>
      <c r="H244" s="22">
        <v>4.1478439425051334</v>
      </c>
      <c r="I244" s="22">
        <v>4.7994524298425736</v>
      </c>
      <c r="J244" s="22">
        <v>8.9472963723477079</v>
      </c>
      <c r="K244" s="22">
        <v>4.1478439425051334</v>
      </c>
      <c r="L244" s="22">
        <v>4.7994524298425736</v>
      </c>
      <c r="M244" s="22">
        <v>8.9472963723477079</v>
      </c>
      <c r="N244" s="22">
        <v>4.1670088980150579</v>
      </c>
      <c r="O244" s="22">
        <v>4.5749486652977414</v>
      </c>
      <c r="P244" s="22">
        <v>8.7419575633128002</v>
      </c>
      <c r="Q244" s="22" t="s">
        <v>8</v>
      </c>
      <c r="R244" s="22" t="s">
        <v>8</v>
      </c>
      <c r="S244" s="22" t="s">
        <v>8</v>
      </c>
      <c r="T244" s="5">
        <v>4</v>
      </c>
      <c r="U244" s="5">
        <v>16</v>
      </c>
      <c r="V244" s="20" t="s">
        <v>1</v>
      </c>
      <c r="W244" s="20">
        <v>5</v>
      </c>
      <c r="X244" s="20">
        <v>1</v>
      </c>
      <c r="Y244" s="5">
        <v>1</v>
      </c>
      <c r="Z244" s="20">
        <v>4</v>
      </c>
      <c r="AA244" s="23">
        <f t="shared" si="6"/>
        <v>2</v>
      </c>
      <c r="AB244" s="15">
        <v>1</v>
      </c>
      <c r="AC244" s="15">
        <v>0.75</v>
      </c>
      <c r="AD244" s="15">
        <v>0.625</v>
      </c>
      <c r="AE244" s="15">
        <v>0.79200000000000004</v>
      </c>
      <c r="AF244" s="20">
        <v>19</v>
      </c>
      <c r="AG244" s="20" t="s">
        <v>8</v>
      </c>
      <c r="AH244" s="24">
        <v>24</v>
      </c>
      <c r="AI244" s="23">
        <f t="shared" si="7"/>
        <v>1</v>
      </c>
      <c r="AJ244" s="17">
        <v>9.5</v>
      </c>
      <c r="AK244" s="17">
        <v>12</v>
      </c>
      <c r="AL244" s="14">
        <v>21.5</v>
      </c>
      <c r="AM244" s="23" cm="1">
        <f t="array" ref="AM244">IF(OR(AN244:AZ244=""),"BLANK",IF(AND(AN244:AZ244&lt;9999999),1,IF(AND(AN244:AZ244="NA"),3,2)))</f>
        <v>1</v>
      </c>
      <c r="AN244" s="5">
        <v>7</v>
      </c>
      <c r="AO244" s="5">
        <v>2</v>
      </c>
      <c r="AP244" s="10">
        <v>3.5</v>
      </c>
      <c r="AQ244" s="10">
        <v>6.25</v>
      </c>
      <c r="AR244" s="10">
        <v>6</v>
      </c>
      <c r="AS244" s="11">
        <v>2520</v>
      </c>
      <c r="AT244" s="11">
        <v>6797</v>
      </c>
      <c r="AU244" s="11">
        <v>7353.25</v>
      </c>
      <c r="AV244" s="11">
        <v>4367</v>
      </c>
      <c r="AW244" s="11">
        <v>4235.5</v>
      </c>
      <c r="AX244" s="11">
        <v>84.208333333300004</v>
      </c>
      <c r="AY244" s="11">
        <v>1373.2118055556</v>
      </c>
      <c r="AZ244" s="11">
        <v>2156.0571428571002</v>
      </c>
      <c r="BA244" s="23">
        <v>3</v>
      </c>
      <c r="BB244" s="24" t="s">
        <v>8</v>
      </c>
    </row>
    <row r="245" spans="1:54" x14ac:dyDescent="0.2">
      <c r="A245" s="5">
        <v>1591</v>
      </c>
      <c r="B245" s="20" t="s">
        <v>63</v>
      </c>
      <c r="C245" s="18" t="s">
        <v>54</v>
      </c>
      <c r="D245" s="18">
        <v>5</v>
      </c>
      <c r="E245" s="18">
        <v>0</v>
      </c>
      <c r="F245" s="20">
        <v>4</v>
      </c>
      <c r="G245" s="18">
        <v>28</v>
      </c>
      <c r="H245" s="22">
        <v>3.7481177275838466</v>
      </c>
      <c r="I245" s="22">
        <v>5.207392197125257</v>
      </c>
      <c r="J245" s="22">
        <v>8.9555099247091032</v>
      </c>
      <c r="K245" s="22">
        <v>3.761806981519507</v>
      </c>
      <c r="L245" s="22">
        <v>5.1937029431895958</v>
      </c>
      <c r="M245" s="22">
        <v>8.9555099247091032</v>
      </c>
      <c r="N245" s="22">
        <v>3.7453798767967146</v>
      </c>
      <c r="O245" s="22">
        <v>5.1498973305954827</v>
      </c>
      <c r="P245" s="22">
        <v>8.8952772073921977</v>
      </c>
      <c r="Q245" s="22">
        <v>3.5071868583162216</v>
      </c>
      <c r="R245" s="22" t="s">
        <v>8</v>
      </c>
      <c r="S245" s="22" t="s">
        <v>8</v>
      </c>
      <c r="T245" s="5">
        <v>4</v>
      </c>
      <c r="U245" s="5">
        <v>16</v>
      </c>
      <c r="V245" s="20" t="s">
        <v>1</v>
      </c>
      <c r="W245" s="20">
        <v>5</v>
      </c>
      <c r="X245" s="20">
        <v>1</v>
      </c>
      <c r="Y245" s="5">
        <v>1</v>
      </c>
      <c r="Z245" s="20">
        <v>4</v>
      </c>
      <c r="AA245" s="23">
        <f t="shared" si="6"/>
        <v>2</v>
      </c>
      <c r="AB245" s="15">
        <v>0.625</v>
      </c>
      <c r="AC245" s="15">
        <v>0.375</v>
      </c>
      <c r="AD245" s="15">
        <v>0.25</v>
      </c>
      <c r="AE245" s="15">
        <v>0.41699999999999998</v>
      </c>
      <c r="AF245" s="20">
        <v>10</v>
      </c>
      <c r="AG245" s="20" t="s">
        <v>8</v>
      </c>
      <c r="AH245" s="24">
        <v>24</v>
      </c>
      <c r="AI245" s="23">
        <f t="shared" si="7"/>
        <v>1</v>
      </c>
      <c r="AJ245" s="17">
        <v>8.5</v>
      </c>
      <c r="AK245" s="17">
        <v>1.75</v>
      </c>
      <c r="AL245" s="14">
        <v>10.25</v>
      </c>
      <c r="AM245" s="23" cm="1">
        <f t="array" ref="AM245">IF(OR(AN245:AZ245=""),"BLANK",IF(AND(AN245:AZ245&lt;9999999),1,IF(AND(AN245:AZ245="NA"),3,2)))</f>
        <v>1</v>
      </c>
      <c r="AN245" s="5">
        <v>4</v>
      </c>
      <c r="AO245" s="5">
        <v>2</v>
      </c>
      <c r="AP245" s="10">
        <v>3.5</v>
      </c>
      <c r="AQ245" s="10">
        <v>6.75</v>
      </c>
      <c r="AR245" s="10">
        <v>10.5</v>
      </c>
      <c r="AS245" s="11">
        <v>1816.5</v>
      </c>
      <c r="AT245" s="11">
        <v>6233.5</v>
      </c>
      <c r="AU245" s="11">
        <v>18924.5</v>
      </c>
      <c r="AV245" s="11">
        <v>16972.5</v>
      </c>
      <c r="AW245" s="11">
        <v>0</v>
      </c>
      <c r="AX245" s="11">
        <v>401.5833333333</v>
      </c>
      <c r="AY245" s="11">
        <v>4933.7708333333003</v>
      </c>
      <c r="AZ245" s="11">
        <v>12570.958333333299</v>
      </c>
      <c r="BA245" s="23">
        <v>3</v>
      </c>
      <c r="BB245" s="24" t="s">
        <v>8</v>
      </c>
    </row>
    <row r="246" spans="1:54" x14ac:dyDescent="0.2">
      <c r="A246" s="5">
        <v>1600</v>
      </c>
      <c r="B246" s="20" t="s">
        <v>83</v>
      </c>
      <c r="C246" s="18" t="s">
        <v>54</v>
      </c>
      <c r="D246" s="18">
        <v>5</v>
      </c>
      <c r="E246" s="18">
        <v>0</v>
      </c>
      <c r="F246" s="20">
        <v>3.4550000000000001</v>
      </c>
      <c r="G246" s="18">
        <v>26</v>
      </c>
      <c r="H246" s="22">
        <v>3.8165639972621492</v>
      </c>
      <c r="I246" s="22" t="s">
        <v>8</v>
      </c>
      <c r="J246" s="22" t="s">
        <v>8</v>
      </c>
      <c r="K246" s="22" t="s">
        <v>8</v>
      </c>
      <c r="L246" s="22" t="s">
        <v>8</v>
      </c>
      <c r="M246" s="22" t="s">
        <v>8</v>
      </c>
      <c r="N246" s="22">
        <v>3.7919233401779602</v>
      </c>
      <c r="O246" s="22" t="s">
        <v>8</v>
      </c>
      <c r="P246" s="22" t="s">
        <v>8</v>
      </c>
      <c r="Q246" s="22">
        <v>3.4086242299794662</v>
      </c>
      <c r="R246" s="22" t="s">
        <v>8</v>
      </c>
      <c r="S246" s="22" t="s">
        <v>8</v>
      </c>
      <c r="T246" s="5">
        <v>3</v>
      </c>
      <c r="U246" s="5">
        <v>14.5</v>
      </c>
      <c r="V246" s="20" t="s">
        <v>1</v>
      </c>
      <c r="W246" s="20">
        <v>5</v>
      </c>
      <c r="X246" s="20">
        <v>1</v>
      </c>
      <c r="Y246" s="5">
        <v>1</v>
      </c>
      <c r="Z246" s="20">
        <v>4</v>
      </c>
      <c r="AA246" s="23">
        <f t="shared" si="6"/>
        <v>2</v>
      </c>
      <c r="AB246" s="15">
        <v>0.625</v>
      </c>
      <c r="AC246" s="15">
        <v>0.25</v>
      </c>
      <c r="AD246" s="15">
        <v>0.125</v>
      </c>
      <c r="AE246" s="15">
        <v>0.33300000000000002</v>
      </c>
      <c r="AF246" s="20">
        <v>8</v>
      </c>
      <c r="AG246" s="20" t="s">
        <v>8</v>
      </c>
      <c r="AH246" s="24">
        <v>24</v>
      </c>
      <c r="AI246" s="23">
        <f t="shared" si="7"/>
        <v>1</v>
      </c>
      <c r="AJ246" s="17">
        <v>5</v>
      </c>
      <c r="AK246" s="17">
        <v>5</v>
      </c>
      <c r="AL246" s="14">
        <v>10</v>
      </c>
      <c r="AM246" s="23" cm="1">
        <f t="array" ref="AM246">IF(OR(AN246:AZ246=""),"BLANK",IF(AND(AN246:AZ246&lt;9999999),1,IF(AND(AN246:AZ246="NA"),3,2)))</f>
        <v>1</v>
      </c>
      <c r="AN246" s="5">
        <v>9</v>
      </c>
      <c r="AO246" s="5">
        <v>2</v>
      </c>
      <c r="AP246" s="10">
        <v>3</v>
      </c>
      <c r="AQ246" s="10">
        <v>5.25</v>
      </c>
      <c r="AR246" s="10">
        <v>8.5</v>
      </c>
      <c r="AS246" s="11">
        <v>1769.5</v>
      </c>
      <c r="AT246" s="11">
        <v>6308</v>
      </c>
      <c r="AU246" s="11">
        <v>11422.75</v>
      </c>
      <c r="AV246" s="11">
        <v>14045.25</v>
      </c>
      <c r="AW246" s="11">
        <v>0</v>
      </c>
      <c r="AX246" s="11">
        <v>27.833333333300001</v>
      </c>
      <c r="AY246" s="11">
        <v>25382.236111111099</v>
      </c>
      <c r="AZ246" s="11">
        <v>26086.145833333299</v>
      </c>
      <c r="BA246" s="23">
        <v>3</v>
      </c>
      <c r="BB246" s="24" t="s">
        <v>8</v>
      </c>
    </row>
    <row r="247" spans="1:54" x14ac:dyDescent="0.2">
      <c r="A247" s="5">
        <v>1613</v>
      </c>
      <c r="B247" s="20" t="s">
        <v>64</v>
      </c>
      <c r="C247" s="18" t="s">
        <v>55</v>
      </c>
      <c r="D247" s="18">
        <v>5</v>
      </c>
      <c r="E247" s="18">
        <v>0</v>
      </c>
      <c r="F247" s="20">
        <v>4</v>
      </c>
      <c r="G247" s="18">
        <v>27</v>
      </c>
      <c r="H247" s="22">
        <v>3.7672826830937716</v>
      </c>
      <c r="I247" s="22">
        <v>5.0978781656399725</v>
      </c>
      <c r="J247" s="22">
        <v>8.8651608487337441</v>
      </c>
      <c r="K247" s="22">
        <v>3.7672826830937716</v>
      </c>
      <c r="L247" s="22">
        <v>5.2320328542094456</v>
      </c>
      <c r="M247" s="22">
        <v>8.9993155373032163</v>
      </c>
      <c r="N247" s="22" t="s">
        <v>8</v>
      </c>
      <c r="O247" s="22" t="s">
        <v>8</v>
      </c>
      <c r="P247" s="22" t="s">
        <v>8</v>
      </c>
      <c r="Q247" s="22">
        <v>3.3182751540041067</v>
      </c>
      <c r="R247" s="22" t="s">
        <v>8</v>
      </c>
      <c r="S247" s="22" t="s">
        <v>8</v>
      </c>
      <c r="T247" s="5">
        <v>4</v>
      </c>
      <c r="U247" s="5">
        <v>16</v>
      </c>
      <c r="V247" s="20" t="s">
        <v>1</v>
      </c>
      <c r="W247" s="20">
        <v>5</v>
      </c>
      <c r="X247" s="20">
        <v>1</v>
      </c>
      <c r="Y247" s="5">
        <v>1</v>
      </c>
      <c r="Z247" s="20">
        <v>4</v>
      </c>
      <c r="AA247" s="23">
        <f t="shared" si="6"/>
        <v>2</v>
      </c>
      <c r="AB247" s="15">
        <v>1</v>
      </c>
      <c r="AC247" s="15">
        <v>1</v>
      </c>
      <c r="AD247" s="15">
        <v>0.66666666666666663</v>
      </c>
      <c r="AE247" s="15">
        <v>0.9</v>
      </c>
      <c r="AF247" s="20">
        <v>18</v>
      </c>
      <c r="AG247" s="20" t="s">
        <v>8</v>
      </c>
      <c r="AH247" s="24">
        <v>20</v>
      </c>
      <c r="AI247" s="23">
        <f t="shared" si="7"/>
        <v>1</v>
      </c>
      <c r="AJ247" s="17">
        <v>7</v>
      </c>
      <c r="AK247" s="17">
        <v>5.75</v>
      </c>
      <c r="AL247" s="14">
        <v>12.75</v>
      </c>
      <c r="AM247" s="23" cm="1">
        <f t="array" ref="AM247">IF(OR(AN247:AZ247=""),"BLANK",IF(AND(AN247:AZ247&lt;9999999),1,IF(AND(AN247:AZ247="NA"),3,2)))</f>
        <v>1</v>
      </c>
      <c r="AN247" s="5">
        <v>9</v>
      </c>
      <c r="AO247" s="5">
        <v>2</v>
      </c>
      <c r="AP247" s="10">
        <v>3</v>
      </c>
      <c r="AQ247" s="10">
        <v>4</v>
      </c>
      <c r="AR247" s="10">
        <v>7.5</v>
      </c>
      <c r="AS247" s="11">
        <v>5464.5</v>
      </c>
      <c r="AT247" s="11">
        <v>7571.5</v>
      </c>
      <c r="AU247" s="11">
        <v>16960.75</v>
      </c>
      <c r="AV247" s="11">
        <v>45513</v>
      </c>
      <c r="AW247" s="11">
        <v>692.5</v>
      </c>
      <c r="AX247" s="11">
        <v>0</v>
      </c>
      <c r="AY247" s="11">
        <v>6551.375</v>
      </c>
      <c r="AZ247" s="11">
        <v>28305.0910714286</v>
      </c>
      <c r="BA247" s="23">
        <v>3</v>
      </c>
      <c r="BB247" s="24" t="s">
        <v>8</v>
      </c>
    </row>
    <row r="248" spans="1:54" x14ac:dyDescent="0.2">
      <c r="A248" s="5">
        <v>1615</v>
      </c>
      <c r="B248" s="20" t="s">
        <v>73</v>
      </c>
      <c r="C248" s="18" t="s">
        <v>54</v>
      </c>
      <c r="D248" s="18">
        <v>5</v>
      </c>
      <c r="E248" s="18">
        <v>0</v>
      </c>
      <c r="F248" s="20">
        <v>3.6360000000000001</v>
      </c>
      <c r="G248" s="18">
        <v>30</v>
      </c>
      <c r="H248" s="22">
        <v>4.1396303901437372</v>
      </c>
      <c r="I248" s="22">
        <v>4.7720739219712529</v>
      </c>
      <c r="J248" s="22">
        <v>8.9117043121149901</v>
      </c>
      <c r="K248" s="22">
        <v>4.1396303901437372</v>
      </c>
      <c r="L248" s="22">
        <v>4.7720739219712529</v>
      </c>
      <c r="M248" s="22">
        <v>8.9117043121149901</v>
      </c>
      <c r="N248" s="22">
        <v>4.0136892539356603</v>
      </c>
      <c r="O248" s="22">
        <v>4.5749486652977414</v>
      </c>
      <c r="P248" s="22">
        <v>8.5886379192334026</v>
      </c>
      <c r="Q248" s="22">
        <v>3.2580424366872007</v>
      </c>
      <c r="R248" s="22">
        <v>5.9219712525667347</v>
      </c>
      <c r="S248" s="22">
        <v>9.1800136892539363</v>
      </c>
      <c r="T248" s="5">
        <v>4</v>
      </c>
      <c r="U248" s="5">
        <v>16</v>
      </c>
      <c r="V248" s="20" t="s">
        <v>1</v>
      </c>
      <c r="W248" s="20">
        <v>5</v>
      </c>
      <c r="X248" s="20">
        <v>1</v>
      </c>
      <c r="Y248" s="5">
        <v>1</v>
      </c>
      <c r="Z248" s="20">
        <v>4</v>
      </c>
      <c r="AA248" s="23">
        <f t="shared" si="6"/>
        <v>2</v>
      </c>
      <c r="AB248" s="15">
        <v>1</v>
      </c>
      <c r="AC248" s="15">
        <v>1</v>
      </c>
      <c r="AD248" s="15">
        <v>0.75</v>
      </c>
      <c r="AE248" s="15">
        <v>0.91700000000000004</v>
      </c>
      <c r="AF248" s="20">
        <v>22</v>
      </c>
      <c r="AG248" s="20" t="s">
        <v>8</v>
      </c>
      <c r="AH248" s="24">
        <v>24</v>
      </c>
      <c r="AI248" s="23">
        <f t="shared" si="7"/>
        <v>1</v>
      </c>
      <c r="AJ248" s="17">
        <v>14</v>
      </c>
      <c r="AK248" s="17">
        <v>11.25</v>
      </c>
      <c r="AL248" s="14">
        <v>25.25</v>
      </c>
      <c r="AM248" s="23" cm="1">
        <f t="array" ref="AM248">IF(OR(AN248:AZ248=""),"BLANK",IF(AND(AN248:AZ248&lt;9999999),1,IF(AND(AN248:AZ248="NA"),3,2)))</f>
        <v>1</v>
      </c>
      <c r="AN248" s="5">
        <v>8</v>
      </c>
      <c r="AO248" s="5">
        <v>2</v>
      </c>
      <c r="AP248" s="10">
        <v>3</v>
      </c>
      <c r="AQ248" s="10">
        <v>5.75</v>
      </c>
      <c r="AR248" s="10">
        <v>6.75</v>
      </c>
      <c r="AS248" s="11">
        <v>280</v>
      </c>
      <c r="AT248" s="11">
        <v>3863</v>
      </c>
      <c r="AU248" s="11">
        <v>8513.5</v>
      </c>
      <c r="AV248" s="11">
        <v>10671.25</v>
      </c>
      <c r="AW248" s="11">
        <v>0</v>
      </c>
      <c r="AX248" s="11">
        <v>0</v>
      </c>
      <c r="AY248" s="11">
        <v>1954.6944444444</v>
      </c>
      <c r="AZ248" s="11">
        <v>1136.7071428571001</v>
      </c>
      <c r="BA248" s="23">
        <v>3</v>
      </c>
      <c r="BB248" s="24" t="s">
        <v>8</v>
      </c>
    </row>
    <row r="249" spans="1:54" x14ac:dyDescent="0.2">
      <c r="A249" s="5">
        <v>1617</v>
      </c>
      <c r="B249" s="20" t="s">
        <v>63</v>
      </c>
      <c r="C249" s="18" t="s">
        <v>54</v>
      </c>
      <c r="D249" s="18">
        <v>5</v>
      </c>
      <c r="E249" s="18">
        <v>0</v>
      </c>
      <c r="F249" s="20">
        <v>4</v>
      </c>
      <c r="G249" s="18">
        <v>27</v>
      </c>
      <c r="H249" s="22">
        <v>4.0082135523613962</v>
      </c>
      <c r="I249" s="22">
        <v>4.9226557152635184</v>
      </c>
      <c r="J249" s="22">
        <v>8.9308692676249137</v>
      </c>
      <c r="K249" s="22">
        <v>4.0082135523613962</v>
      </c>
      <c r="L249" s="22">
        <v>4.9226557152635184</v>
      </c>
      <c r="M249" s="22">
        <v>8.9308692676249137</v>
      </c>
      <c r="N249" s="22" t="s">
        <v>8</v>
      </c>
      <c r="O249" s="22" t="s">
        <v>8</v>
      </c>
      <c r="P249" s="22" t="s">
        <v>8</v>
      </c>
      <c r="Q249" s="22" t="s">
        <v>8</v>
      </c>
      <c r="R249" s="22" t="s">
        <v>8</v>
      </c>
      <c r="S249" s="22" t="s">
        <v>8</v>
      </c>
      <c r="T249" s="5">
        <v>3</v>
      </c>
      <c r="U249" s="5">
        <v>14</v>
      </c>
      <c r="V249" s="20" t="s">
        <v>1</v>
      </c>
      <c r="W249" s="20">
        <v>5</v>
      </c>
      <c r="X249" s="20">
        <v>1</v>
      </c>
      <c r="Y249" s="5">
        <v>1</v>
      </c>
      <c r="Z249" s="20">
        <v>4</v>
      </c>
      <c r="AA249" s="23">
        <f t="shared" si="6"/>
        <v>2</v>
      </c>
      <c r="AB249" s="15">
        <v>0.75</v>
      </c>
      <c r="AC249" s="15">
        <v>0.875</v>
      </c>
      <c r="AD249" s="15">
        <v>0.625</v>
      </c>
      <c r="AE249" s="15">
        <v>0.75</v>
      </c>
      <c r="AF249" s="20">
        <v>18</v>
      </c>
      <c r="AG249" s="20" t="s">
        <v>8</v>
      </c>
      <c r="AH249" s="24">
        <v>24</v>
      </c>
      <c r="AI249" s="23">
        <f t="shared" si="7"/>
        <v>1</v>
      </c>
      <c r="AJ249" s="17">
        <v>8.75</v>
      </c>
      <c r="AK249" s="17">
        <v>8.75</v>
      </c>
      <c r="AL249" s="14">
        <v>17.5</v>
      </c>
      <c r="AM249" s="23" cm="1">
        <f t="array" ref="AM249">IF(OR(AN249:AZ249=""),"BLANK",IF(AND(AN249:AZ249&lt;9999999),1,IF(AND(AN249:AZ249="NA"),3,2)))</f>
        <v>1</v>
      </c>
      <c r="AN249" s="5">
        <v>6</v>
      </c>
      <c r="AO249" s="5">
        <v>3</v>
      </c>
      <c r="AP249" s="10">
        <v>3</v>
      </c>
      <c r="AQ249" s="10">
        <v>4.25</v>
      </c>
      <c r="AR249" s="10">
        <v>9.25</v>
      </c>
      <c r="AS249" s="11">
        <v>1924</v>
      </c>
      <c r="AT249" s="11">
        <v>7825.5</v>
      </c>
      <c r="AU249" s="11">
        <v>11016</v>
      </c>
      <c r="AV249" s="11">
        <v>6837.5</v>
      </c>
      <c r="AW249" s="11">
        <v>2442.25</v>
      </c>
      <c r="AX249" s="11">
        <v>1110.6666666666999</v>
      </c>
      <c r="AY249" s="11">
        <v>631.32500000000005</v>
      </c>
      <c r="AZ249" s="11">
        <v>7782.8068181817998</v>
      </c>
      <c r="BA249" s="23">
        <v>3</v>
      </c>
      <c r="BB249" s="24" t="s">
        <v>8</v>
      </c>
    </row>
    <row r="250" spans="1:54" x14ac:dyDescent="0.2">
      <c r="A250" s="5">
        <v>1626</v>
      </c>
      <c r="B250" s="20" t="s">
        <v>82</v>
      </c>
      <c r="C250" s="18" t="s">
        <v>54</v>
      </c>
      <c r="D250" s="18">
        <v>5</v>
      </c>
      <c r="E250" s="18">
        <v>0</v>
      </c>
      <c r="F250" s="20">
        <v>3.4550000000000001</v>
      </c>
      <c r="G250" s="18">
        <v>29</v>
      </c>
      <c r="H250" s="22">
        <v>3.7180013689253935</v>
      </c>
      <c r="I250" s="22" t="s">
        <v>8</v>
      </c>
      <c r="J250" s="22" t="s">
        <v>8</v>
      </c>
      <c r="K250" s="22">
        <v>3.7207392197125255</v>
      </c>
      <c r="L250" s="22" t="s">
        <v>8</v>
      </c>
      <c r="M250" s="22" t="s">
        <v>8</v>
      </c>
      <c r="N250" s="22">
        <v>3.7371663244353184</v>
      </c>
      <c r="O250" s="22" t="s">
        <v>8</v>
      </c>
      <c r="P250" s="22" t="s">
        <v>8</v>
      </c>
      <c r="Q250" s="22">
        <v>3.3921971252566734</v>
      </c>
      <c r="R250" s="22" t="s">
        <v>8</v>
      </c>
      <c r="S250" s="22" t="s">
        <v>8</v>
      </c>
      <c r="T250" s="5">
        <v>6</v>
      </c>
      <c r="U250" s="5">
        <v>18</v>
      </c>
      <c r="V250" s="20" t="s">
        <v>1</v>
      </c>
      <c r="W250" s="20">
        <v>5</v>
      </c>
      <c r="X250" s="20">
        <v>1</v>
      </c>
      <c r="Y250" s="5">
        <v>1</v>
      </c>
      <c r="Z250" s="20">
        <v>4</v>
      </c>
      <c r="AA250" s="23">
        <f t="shared" si="6"/>
        <v>2</v>
      </c>
      <c r="AB250" s="15">
        <v>0.875</v>
      </c>
      <c r="AC250" s="15">
        <v>0.75</v>
      </c>
      <c r="AD250" s="15">
        <v>0.5</v>
      </c>
      <c r="AE250" s="15">
        <v>0.70799999999999996</v>
      </c>
      <c r="AF250" s="20">
        <v>17</v>
      </c>
      <c r="AG250" s="20" t="s">
        <v>8</v>
      </c>
      <c r="AH250" s="24">
        <v>24</v>
      </c>
      <c r="AI250" s="23">
        <f t="shared" si="7"/>
        <v>1</v>
      </c>
      <c r="AJ250" s="17">
        <v>7.25</v>
      </c>
      <c r="AK250" s="17">
        <v>5.25</v>
      </c>
      <c r="AL250" s="14">
        <v>12.5</v>
      </c>
      <c r="AM250" s="23" cm="1">
        <f t="array" ref="AM250">IF(OR(AN250:AZ250=""),"BLANK",IF(AND(AN250:AZ250&lt;9999999),1,IF(AND(AN250:AZ250="NA"),3,2)))</f>
        <v>1</v>
      </c>
      <c r="AN250" s="5">
        <v>9</v>
      </c>
      <c r="AO250" s="5">
        <v>2</v>
      </c>
      <c r="AP250" s="10">
        <v>3</v>
      </c>
      <c r="AQ250" s="10">
        <v>5.25</v>
      </c>
      <c r="AR250" s="10">
        <v>7</v>
      </c>
      <c r="AS250" s="11">
        <v>2822</v>
      </c>
      <c r="AT250" s="11">
        <v>386</v>
      </c>
      <c r="AU250" s="11">
        <v>10211</v>
      </c>
      <c r="AV250" s="11">
        <v>2606.75</v>
      </c>
      <c r="AW250" s="11">
        <v>0</v>
      </c>
      <c r="AX250" s="11">
        <v>0</v>
      </c>
      <c r="AY250" s="11">
        <v>1867.8888888889001</v>
      </c>
      <c r="AZ250" s="11">
        <v>10359.4708333333</v>
      </c>
      <c r="BA250" s="23">
        <v>3</v>
      </c>
      <c r="BB250" s="24" t="s">
        <v>8</v>
      </c>
    </row>
    <row r="251" spans="1:54" x14ac:dyDescent="0.2">
      <c r="A251" s="5">
        <v>1637</v>
      </c>
      <c r="B251" s="20" t="s">
        <v>64</v>
      </c>
      <c r="C251" s="18" t="s">
        <v>54</v>
      </c>
      <c r="D251" s="18">
        <v>5</v>
      </c>
      <c r="E251" s="18">
        <v>0</v>
      </c>
      <c r="F251" s="20">
        <v>3.9089999999999998</v>
      </c>
      <c r="G251" s="18">
        <v>30</v>
      </c>
      <c r="H251" s="22">
        <v>3.8165639972621492</v>
      </c>
      <c r="I251" s="22" t="s">
        <v>8</v>
      </c>
      <c r="J251" s="22" t="s">
        <v>8</v>
      </c>
      <c r="K251" s="22">
        <v>3.8165639972621492</v>
      </c>
      <c r="L251" s="22" t="s">
        <v>8</v>
      </c>
      <c r="M251" s="22" t="s">
        <v>8</v>
      </c>
      <c r="N251" s="22">
        <v>3.7782340862422998</v>
      </c>
      <c r="O251" s="22" t="s">
        <v>8</v>
      </c>
      <c r="P251" s="22" t="s">
        <v>8</v>
      </c>
      <c r="Q251" s="22">
        <v>3.3100616016427105</v>
      </c>
      <c r="R251" s="22" t="s">
        <v>8</v>
      </c>
      <c r="S251" s="22" t="s">
        <v>8</v>
      </c>
      <c r="T251" s="5">
        <v>7</v>
      </c>
      <c r="U251" s="5">
        <v>21</v>
      </c>
      <c r="V251" s="20" t="s">
        <v>1</v>
      </c>
      <c r="W251" s="20">
        <v>5</v>
      </c>
      <c r="X251" s="20">
        <v>1</v>
      </c>
      <c r="Y251" s="5">
        <v>1</v>
      </c>
      <c r="Z251" s="20">
        <v>4</v>
      </c>
      <c r="AA251" s="23">
        <f t="shared" si="6"/>
        <v>2</v>
      </c>
      <c r="AB251" s="15">
        <v>0.875</v>
      </c>
      <c r="AC251" s="15">
        <v>0.625</v>
      </c>
      <c r="AD251" s="15">
        <v>0.625</v>
      </c>
      <c r="AE251" s="15">
        <v>0.70799999999999996</v>
      </c>
      <c r="AF251" s="20">
        <v>17</v>
      </c>
      <c r="AG251" s="20" t="s">
        <v>8</v>
      </c>
      <c r="AH251" s="24">
        <v>24</v>
      </c>
      <c r="AI251" s="23">
        <f t="shared" si="7"/>
        <v>1</v>
      </c>
      <c r="AJ251" s="17">
        <v>7.75</v>
      </c>
      <c r="AK251" s="17">
        <v>6.25</v>
      </c>
      <c r="AL251" s="14">
        <v>14</v>
      </c>
      <c r="AM251" s="23" cm="1">
        <f t="array" ref="AM251">IF(OR(AN251:AZ251=""),"BLANK",IF(AND(AN251:AZ251&lt;9999999),1,IF(AND(AN251:AZ251="NA"),3,2)))</f>
        <v>1</v>
      </c>
      <c r="AN251" s="5">
        <v>8</v>
      </c>
      <c r="AO251" s="5">
        <v>2</v>
      </c>
      <c r="AP251" s="10">
        <v>3.5</v>
      </c>
      <c r="AQ251" s="10">
        <v>4.25</v>
      </c>
      <c r="AR251" s="10">
        <v>8.5</v>
      </c>
      <c r="AS251" s="11">
        <v>1732.5</v>
      </c>
      <c r="AT251" s="11">
        <v>12855.5</v>
      </c>
      <c r="AU251" s="11">
        <v>11606.75</v>
      </c>
      <c r="AV251" s="11">
        <v>33058.5</v>
      </c>
      <c r="AW251" s="11">
        <v>0</v>
      </c>
      <c r="AX251" s="11">
        <v>28806.083333333299</v>
      </c>
      <c r="AY251" s="11">
        <v>25700.05</v>
      </c>
      <c r="AZ251" s="11">
        <v>70486.758333333302</v>
      </c>
      <c r="BA251" s="23">
        <v>3</v>
      </c>
      <c r="BB251" s="24" t="s">
        <v>8</v>
      </c>
    </row>
    <row r="252" spans="1:54" x14ac:dyDescent="0.2">
      <c r="A252" s="5">
        <v>1656</v>
      </c>
      <c r="B252" s="20" t="s">
        <v>83</v>
      </c>
      <c r="C252" s="18" t="s">
        <v>54</v>
      </c>
      <c r="D252" s="18">
        <v>5</v>
      </c>
      <c r="E252" s="18">
        <v>0</v>
      </c>
      <c r="F252" s="20">
        <v>4</v>
      </c>
      <c r="G252" s="18">
        <v>27</v>
      </c>
      <c r="H252" s="22">
        <v>3.676933607118412</v>
      </c>
      <c r="I252" s="22">
        <v>5.3114305270362765</v>
      </c>
      <c r="J252" s="22">
        <v>8.988364134154688</v>
      </c>
      <c r="K252" s="22">
        <v>3.6960985626283369</v>
      </c>
      <c r="L252" s="22">
        <v>5.292265571526352</v>
      </c>
      <c r="M252" s="22">
        <v>8.988364134154688</v>
      </c>
      <c r="N252" s="22">
        <v>3.7125256673511293</v>
      </c>
      <c r="O252" s="22">
        <v>5.2950034223134841</v>
      </c>
      <c r="P252" s="22">
        <v>9.0075290896646134</v>
      </c>
      <c r="Q252" s="22">
        <v>3.4469541409993156</v>
      </c>
      <c r="R252" s="22">
        <v>5.848049281314168</v>
      </c>
      <c r="S252" s="22">
        <v>9.2950034223134832</v>
      </c>
      <c r="T252" s="5">
        <v>4</v>
      </c>
      <c r="U252" s="5">
        <v>16</v>
      </c>
      <c r="V252" s="20" t="s">
        <v>1</v>
      </c>
      <c r="W252" s="20">
        <v>5</v>
      </c>
      <c r="X252" s="20">
        <v>1</v>
      </c>
      <c r="Y252" s="5">
        <v>1</v>
      </c>
      <c r="Z252" s="20">
        <v>4</v>
      </c>
      <c r="AA252" s="23">
        <f t="shared" si="6"/>
        <v>2</v>
      </c>
      <c r="AB252" s="15">
        <v>0.875</v>
      </c>
      <c r="AC252" s="15">
        <v>0.625</v>
      </c>
      <c r="AD252" s="15">
        <v>0.25</v>
      </c>
      <c r="AE252" s="15">
        <v>0.58299999999999996</v>
      </c>
      <c r="AF252" s="20">
        <v>14</v>
      </c>
      <c r="AG252" s="20" t="s">
        <v>8</v>
      </c>
      <c r="AH252" s="24">
        <v>24</v>
      </c>
      <c r="AI252" s="23">
        <f t="shared" si="7"/>
        <v>1</v>
      </c>
      <c r="AJ252" s="17">
        <v>7.75</v>
      </c>
      <c r="AK252" s="17">
        <v>11.75</v>
      </c>
      <c r="AL252" s="14">
        <v>19.5</v>
      </c>
      <c r="AM252" s="23" cm="1">
        <f t="array" ref="AM252">IF(OR(AN252:AZ252=""),"BLANK",IF(AND(AN252:AZ252&lt;9999999),1,IF(AND(AN252:AZ252="NA"),3,2)))</f>
        <v>1</v>
      </c>
      <c r="AN252" s="5">
        <v>6</v>
      </c>
      <c r="AO252" s="5">
        <v>2</v>
      </c>
      <c r="AP252" s="10">
        <v>3</v>
      </c>
      <c r="AQ252" s="10">
        <v>5.5</v>
      </c>
      <c r="AR252" s="10">
        <v>9.75</v>
      </c>
      <c r="AS252" s="11">
        <v>2026</v>
      </c>
      <c r="AT252" s="11">
        <v>4176.5</v>
      </c>
      <c r="AU252" s="11">
        <v>6368.75</v>
      </c>
      <c r="AV252" s="11">
        <v>8164.75</v>
      </c>
      <c r="AW252" s="11">
        <v>0</v>
      </c>
      <c r="AX252" s="11">
        <v>0</v>
      </c>
      <c r="AY252" s="11">
        <v>34768.563888888901</v>
      </c>
      <c r="AZ252" s="11">
        <v>22933.489898989901</v>
      </c>
      <c r="BA252" s="23">
        <v>3</v>
      </c>
      <c r="BB252" s="24" t="s">
        <v>8</v>
      </c>
    </row>
    <row r="253" spans="1:54" x14ac:dyDescent="0.2">
      <c r="A253" s="5">
        <v>1664</v>
      </c>
      <c r="B253" s="20" t="s">
        <v>82</v>
      </c>
      <c r="C253" s="18" t="s">
        <v>55</v>
      </c>
      <c r="D253" s="18">
        <v>5</v>
      </c>
      <c r="E253" s="18">
        <v>0</v>
      </c>
      <c r="F253" s="20">
        <v>4</v>
      </c>
      <c r="G253" s="18">
        <v>29</v>
      </c>
      <c r="H253" s="22">
        <v>3.8165639972621492</v>
      </c>
      <c r="I253" s="22">
        <v>5.415468856947296</v>
      </c>
      <c r="J253" s="22">
        <v>9.2320328542094447</v>
      </c>
      <c r="K253" s="22">
        <v>3.8329911019849416</v>
      </c>
      <c r="L253" s="22">
        <v>5.4017796030116356</v>
      </c>
      <c r="M253" s="22">
        <v>9.2347707049965777</v>
      </c>
      <c r="N253" s="22">
        <v>3.7809719370294319</v>
      </c>
      <c r="O253" s="22" t="s">
        <v>8</v>
      </c>
      <c r="P253" s="22" t="s">
        <v>8</v>
      </c>
      <c r="Q253" s="22">
        <v>3.3100616016427105</v>
      </c>
      <c r="R253" s="22" t="s">
        <v>8</v>
      </c>
      <c r="S253" s="22" t="s">
        <v>8</v>
      </c>
      <c r="T253" s="5">
        <v>2</v>
      </c>
      <c r="U253" s="5">
        <v>12</v>
      </c>
      <c r="V253" s="20" t="s">
        <v>1</v>
      </c>
      <c r="W253" s="20">
        <v>5</v>
      </c>
      <c r="X253" s="20">
        <v>1</v>
      </c>
      <c r="Y253" s="5">
        <v>1</v>
      </c>
      <c r="Z253" s="20">
        <v>4</v>
      </c>
      <c r="AA253" s="23">
        <f t="shared" si="6"/>
        <v>2</v>
      </c>
      <c r="AB253" s="15">
        <v>1</v>
      </c>
      <c r="AC253" s="15">
        <v>0.875</v>
      </c>
      <c r="AD253" s="15">
        <v>0.875</v>
      </c>
      <c r="AE253" s="15">
        <v>0.91700000000000004</v>
      </c>
      <c r="AF253" s="20">
        <v>22</v>
      </c>
      <c r="AG253" s="20" t="s">
        <v>8</v>
      </c>
      <c r="AH253" s="24">
        <v>24</v>
      </c>
      <c r="AI253" s="23">
        <f t="shared" si="7"/>
        <v>1</v>
      </c>
      <c r="AJ253" s="17">
        <v>6.25</v>
      </c>
      <c r="AK253" s="17">
        <v>8</v>
      </c>
      <c r="AL253" s="14">
        <v>14.25</v>
      </c>
      <c r="AM253" s="23" cm="1">
        <f t="array" ref="AM253">IF(OR(AN253:AZ253=""),"BLANK",IF(AND(AN253:AZ253&lt;9999999),1,IF(AND(AN253:AZ253="NA"),3,2)))</f>
        <v>1</v>
      </c>
      <c r="AN253" s="5">
        <v>9</v>
      </c>
      <c r="AO253" s="5">
        <v>2</v>
      </c>
      <c r="AP253" s="10">
        <v>3</v>
      </c>
      <c r="AQ253" s="10">
        <v>6.25</v>
      </c>
      <c r="AR253" s="10">
        <v>5.25</v>
      </c>
      <c r="AS253" s="11">
        <v>1038</v>
      </c>
      <c r="AT253" s="11">
        <v>1852</v>
      </c>
      <c r="AU253" s="11">
        <v>3003.75</v>
      </c>
      <c r="AV253" s="11">
        <v>2549.75</v>
      </c>
      <c r="AW253" s="11">
        <v>0</v>
      </c>
      <c r="AX253" s="11">
        <v>0</v>
      </c>
      <c r="AY253" s="11">
        <v>4417.5277777778001</v>
      </c>
      <c r="AZ253" s="11">
        <v>0</v>
      </c>
      <c r="BA253" s="23">
        <v>3</v>
      </c>
      <c r="BB253" s="24" t="s">
        <v>8</v>
      </c>
    </row>
    <row r="254" spans="1:54" x14ac:dyDescent="0.2">
      <c r="A254" s="5">
        <v>1665</v>
      </c>
      <c r="B254" s="20" t="s">
        <v>71</v>
      </c>
      <c r="C254" s="18" t="s">
        <v>55</v>
      </c>
      <c r="D254" s="18">
        <v>5</v>
      </c>
      <c r="E254" s="18">
        <v>0</v>
      </c>
      <c r="F254" s="20">
        <v>3.5449999999999999</v>
      </c>
      <c r="G254" s="18">
        <v>27</v>
      </c>
      <c r="H254" s="22" t="s">
        <v>8</v>
      </c>
      <c r="I254" s="22" t="s">
        <v>8</v>
      </c>
      <c r="J254" s="22" t="s">
        <v>8</v>
      </c>
      <c r="K254" s="22" t="s">
        <v>8</v>
      </c>
      <c r="L254" s="22" t="s">
        <v>8</v>
      </c>
      <c r="M254" s="22" t="s">
        <v>8</v>
      </c>
      <c r="N254" s="22" t="s">
        <v>8</v>
      </c>
      <c r="O254" s="22" t="s">
        <v>8</v>
      </c>
      <c r="P254" s="22" t="s">
        <v>8</v>
      </c>
      <c r="Q254" s="22" t="s">
        <v>8</v>
      </c>
      <c r="R254" s="22" t="s">
        <v>8</v>
      </c>
      <c r="S254" s="22" t="s">
        <v>8</v>
      </c>
      <c r="T254" s="5">
        <v>6</v>
      </c>
      <c r="U254" s="5">
        <v>18</v>
      </c>
      <c r="V254" s="20" t="s">
        <v>1</v>
      </c>
      <c r="W254" s="20">
        <v>5</v>
      </c>
      <c r="X254" s="20">
        <v>1</v>
      </c>
      <c r="Y254" s="5">
        <v>1</v>
      </c>
      <c r="Z254" s="20">
        <v>4</v>
      </c>
      <c r="AA254" s="23">
        <f t="shared" si="6"/>
        <v>2</v>
      </c>
      <c r="AB254" s="15">
        <v>1</v>
      </c>
      <c r="AC254" s="15">
        <v>0.875</v>
      </c>
      <c r="AD254" s="15">
        <v>0.875</v>
      </c>
      <c r="AE254" s="15">
        <v>0.91700000000000004</v>
      </c>
      <c r="AF254" s="20">
        <v>22</v>
      </c>
      <c r="AG254" s="20" t="s">
        <v>8</v>
      </c>
      <c r="AH254" s="24">
        <v>24</v>
      </c>
      <c r="AI254" s="23">
        <f t="shared" si="7"/>
        <v>1</v>
      </c>
      <c r="AJ254" s="17">
        <v>10</v>
      </c>
      <c r="AK254" s="17">
        <v>9.75</v>
      </c>
      <c r="AL254" s="14">
        <v>19.75</v>
      </c>
      <c r="AM254" s="23" cm="1">
        <f t="array" ref="AM254">IF(OR(AN254:AZ254=""),"BLANK",IF(AND(AN254:AZ254&lt;9999999),1,IF(AND(AN254:AZ254="NA"),3,2)))</f>
        <v>1</v>
      </c>
      <c r="AN254" s="5">
        <v>10</v>
      </c>
      <c r="AO254" s="5">
        <v>2</v>
      </c>
      <c r="AP254" s="10">
        <v>3</v>
      </c>
      <c r="AQ254" s="10">
        <v>6</v>
      </c>
      <c r="AR254" s="10">
        <v>5</v>
      </c>
      <c r="AS254" s="11">
        <v>2672.5</v>
      </c>
      <c r="AT254" s="11">
        <v>5864</v>
      </c>
      <c r="AU254" s="11">
        <v>10683.25</v>
      </c>
      <c r="AV254" s="11">
        <v>7529.25</v>
      </c>
      <c r="AW254" s="11">
        <v>376.75</v>
      </c>
      <c r="AX254" s="11">
        <v>0</v>
      </c>
      <c r="AY254" s="11">
        <v>4074.9831349206002</v>
      </c>
      <c r="AZ254" s="11">
        <v>2953.2</v>
      </c>
      <c r="BA254" s="23">
        <v>3</v>
      </c>
      <c r="BB254" s="24" t="s">
        <v>8</v>
      </c>
    </row>
    <row r="255" spans="1:54" x14ac:dyDescent="0.2">
      <c r="A255" s="5">
        <v>1685</v>
      </c>
      <c r="B255" s="20" t="s">
        <v>70</v>
      </c>
      <c r="C255" s="18" t="s">
        <v>54</v>
      </c>
      <c r="D255" s="18">
        <v>5</v>
      </c>
      <c r="E255" s="18">
        <v>0</v>
      </c>
      <c r="F255" s="20">
        <v>3.2730000000000001</v>
      </c>
      <c r="G255" s="18">
        <v>28</v>
      </c>
      <c r="H255" s="22">
        <v>3.7152635181382614</v>
      </c>
      <c r="I255" s="22">
        <v>5.0978781656399725</v>
      </c>
      <c r="J255" s="22">
        <v>8.8131416837782339</v>
      </c>
      <c r="K255" s="22">
        <v>3.7180013689253935</v>
      </c>
      <c r="L255" s="22">
        <v>5.0951403148528405</v>
      </c>
      <c r="M255" s="22">
        <v>8.8131416837782339</v>
      </c>
      <c r="N255" s="22">
        <v>3.8329911019849416</v>
      </c>
      <c r="O255" s="22">
        <v>4.6926762491444221</v>
      </c>
      <c r="P255" s="22">
        <v>8.5256673511293641</v>
      </c>
      <c r="Q255" s="22">
        <v>3.378507871321013</v>
      </c>
      <c r="R255" s="22">
        <v>5.8945927446954141</v>
      </c>
      <c r="S255" s="22">
        <v>9.2731006160164267</v>
      </c>
      <c r="T255" s="5">
        <v>6</v>
      </c>
      <c r="U255" s="5">
        <v>18</v>
      </c>
      <c r="V255" s="20" t="s">
        <v>1</v>
      </c>
      <c r="W255" s="20">
        <v>5</v>
      </c>
      <c r="X255" s="20">
        <v>1</v>
      </c>
      <c r="Y255" s="5">
        <v>1</v>
      </c>
      <c r="Z255" s="20">
        <v>4</v>
      </c>
      <c r="AA255" s="23">
        <f t="shared" si="6"/>
        <v>2</v>
      </c>
      <c r="AB255" s="15">
        <v>1</v>
      </c>
      <c r="AC255" s="15">
        <v>0.875</v>
      </c>
      <c r="AD255" s="15">
        <v>0.875</v>
      </c>
      <c r="AE255" s="15">
        <v>0.91700000000000004</v>
      </c>
      <c r="AF255" s="20">
        <v>22</v>
      </c>
      <c r="AG255" s="20" t="s">
        <v>8</v>
      </c>
      <c r="AH255" s="24">
        <v>24</v>
      </c>
      <c r="AI255" s="23">
        <f t="shared" si="7"/>
        <v>1</v>
      </c>
      <c r="AJ255" s="17">
        <v>15</v>
      </c>
      <c r="AK255" s="17">
        <v>10</v>
      </c>
      <c r="AL255" s="14">
        <v>25</v>
      </c>
      <c r="AM255" s="23" cm="1">
        <f t="array" ref="AM255">IF(OR(AN255:AZ255=""),"BLANK",IF(AND(AN255:AZ255&lt;9999999),1,IF(AND(AN255:AZ255="NA"),3,2)))</f>
        <v>1</v>
      </c>
      <c r="AN255" s="5">
        <v>9</v>
      </c>
      <c r="AO255" s="5">
        <v>2</v>
      </c>
      <c r="AP255" s="10">
        <v>3</v>
      </c>
      <c r="AQ255" s="10">
        <v>5</v>
      </c>
      <c r="AR255" s="10">
        <v>5.75</v>
      </c>
      <c r="AS255" s="11">
        <v>1250.5</v>
      </c>
      <c r="AT255" s="11">
        <v>3800.5</v>
      </c>
      <c r="AU255" s="11">
        <v>9624.5</v>
      </c>
      <c r="AV255" s="11">
        <v>17807.75</v>
      </c>
      <c r="AW255" s="11">
        <v>0</v>
      </c>
      <c r="AX255" s="11">
        <v>0</v>
      </c>
      <c r="AY255" s="11">
        <v>1680.5625</v>
      </c>
      <c r="AZ255" s="11">
        <v>478.66190476190002</v>
      </c>
      <c r="BA255" s="23">
        <v>3</v>
      </c>
      <c r="BB255" s="24" t="s">
        <v>8</v>
      </c>
    </row>
    <row r="256" spans="1:54" x14ac:dyDescent="0.2">
      <c r="A256" s="5">
        <v>1751</v>
      </c>
      <c r="B256" s="20" t="s">
        <v>77</v>
      </c>
      <c r="C256" s="18" t="s">
        <v>55</v>
      </c>
      <c r="D256" s="18">
        <v>5</v>
      </c>
      <c r="E256" s="18">
        <v>0</v>
      </c>
      <c r="F256" s="20">
        <v>3.1819999999999999</v>
      </c>
      <c r="G256" s="18">
        <v>28</v>
      </c>
      <c r="H256" s="22">
        <v>3.8193018480492813</v>
      </c>
      <c r="I256" s="22">
        <v>5.0650239561943877</v>
      </c>
      <c r="J256" s="22">
        <v>8.8843258042436695</v>
      </c>
      <c r="K256" s="22">
        <v>3.8138261464750172</v>
      </c>
      <c r="L256" s="22">
        <v>5.0650239561943877</v>
      </c>
      <c r="M256" s="22">
        <v>8.8788501026694053</v>
      </c>
      <c r="N256" s="22">
        <v>3.7371663244353184</v>
      </c>
      <c r="O256" s="22">
        <v>4.7802874743326491</v>
      </c>
      <c r="P256" s="22">
        <v>8.517453798767967</v>
      </c>
      <c r="Q256" s="22">
        <v>4.0164271047227924</v>
      </c>
      <c r="R256" s="22">
        <v>5.3826146475017111</v>
      </c>
      <c r="S256" s="22">
        <v>9.3990417522245036</v>
      </c>
      <c r="T256" s="5">
        <v>3</v>
      </c>
      <c r="U256" s="5">
        <v>15</v>
      </c>
      <c r="V256" s="20" t="s">
        <v>1</v>
      </c>
      <c r="W256" s="20">
        <v>5</v>
      </c>
      <c r="X256" s="20">
        <v>1</v>
      </c>
      <c r="Y256" s="5">
        <v>1</v>
      </c>
      <c r="Z256" s="20">
        <v>4</v>
      </c>
      <c r="AA256" s="23">
        <f t="shared" si="6"/>
        <v>2</v>
      </c>
      <c r="AB256" s="15">
        <v>0.875</v>
      </c>
      <c r="AC256" s="15">
        <v>1</v>
      </c>
      <c r="AD256" s="15">
        <v>1</v>
      </c>
      <c r="AE256" s="15">
        <v>0.95799999999999996</v>
      </c>
      <c r="AF256" s="20">
        <v>23</v>
      </c>
      <c r="AG256" s="20" t="s">
        <v>8</v>
      </c>
      <c r="AH256" s="24">
        <v>24</v>
      </c>
      <c r="AI256" s="23">
        <f t="shared" si="7"/>
        <v>1</v>
      </c>
      <c r="AJ256" s="17">
        <v>13.75</v>
      </c>
      <c r="AK256" s="17">
        <v>13.75</v>
      </c>
      <c r="AL256" s="14">
        <v>27.5</v>
      </c>
      <c r="AM256" s="23" cm="1">
        <f t="array" ref="AM256">IF(OR(AN256:AZ256=""),"BLANK",IF(AND(AN256:AZ256&lt;9999999),1,IF(AND(AN256:AZ256="NA"),3,2)))</f>
        <v>1</v>
      </c>
      <c r="AN256" s="5">
        <v>11</v>
      </c>
      <c r="AO256" s="5">
        <v>2</v>
      </c>
      <c r="AP256" s="10">
        <v>3</v>
      </c>
      <c r="AQ256" s="10">
        <v>5</v>
      </c>
      <c r="AR256" s="10">
        <v>5</v>
      </c>
      <c r="AS256" s="11">
        <v>2179</v>
      </c>
      <c r="AT256" s="11">
        <v>3415.5</v>
      </c>
      <c r="AU256" s="11">
        <v>6406.25</v>
      </c>
      <c r="AV256" s="11">
        <v>14460.5</v>
      </c>
      <c r="AW256" s="11">
        <v>0</v>
      </c>
      <c r="AX256" s="11">
        <v>0</v>
      </c>
      <c r="AY256" s="11">
        <v>1950.34375</v>
      </c>
      <c r="AZ256" s="11">
        <v>0</v>
      </c>
      <c r="BA256" s="23">
        <v>3</v>
      </c>
      <c r="BB256" s="24" t="s">
        <v>8</v>
      </c>
    </row>
    <row r="257" spans="1:54" x14ac:dyDescent="0.2">
      <c r="A257" s="5">
        <v>1759</v>
      </c>
      <c r="B257" s="20" t="s">
        <v>70</v>
      </c>
      <c r="C257" s="18" t="s">
        <v>55</v>
      </c>
      <c r="D257" s="18">
        <v>5</v>
      </c>
      <c r="E257" s="18">
        <v>0</v>
      </c>
      <c r="F257" s="20">
        <v>3.7269999999999999</v>
      </c>
      <c r="G257" s="18">
        <v>30</v>
      </c>
      <c r="H257" s="22">
        <v>4.1067761806981515</v>
      </c>
      <c r="I257" s="22">
        <v>4.7008898015058183</v>
      </c>
      <c r="J257" s="22">
        <v>8.8076659822039698</v>
      </c>
      <c r="K257" s="22">
        <v>4.1067761806981515</v>
      </c>
      <c r="L257" s="22">
        <v>4.777549623545517</v>
      </c>
      <c r="M257" s="22">
        <v>8.8843258042436695</v>
      </c>
      <c r="N257" s="22">
        <v>4.1560574948665296</v>
      </c>
      <c r="O257" s="22">
        <v>4.7173169062286107</v>
      </c>
      <c r="P257" s="22">
        <v>8.8733744010951412</v>
      </c>
      <c r="Q257" s="22" t="s">
        <v>8</v>
      </c>
      <c r="R257" s="22" t="s">
        <v>8</v>
      </c>
      <c r="S257" s="22" t="s">
        <v>8</v>
      </c>
      <c r="T257" s="5">
        <v>6</v>
      </c>
      <c r="U257" s="5">
        <v>18</v>
      </c>
      <c r="V257" s="20" t="s">
        <v>1</v>
      </c>
      <c r="W257" s="20">
        <v>5</v>
      </c>
      <c r="X257" s="20">
        <v>1</v>
      </c>
      <c r="Y257" s="5">
        <v>1</v>
      </c>
      <c r="Z257" s="20">
        <v>4</v>
      </c>
      <c r="AA257" s="23">
        <f t="shared" si="6"/>
        <v>2</v>
      </c>
      <c r="AB257" s="15">
        <v>1</v>
      </c>
      <c r="AC257" s="15">
        <v>1</v>
      </c>
      <c r="AD257" s="15">
        <v>0.875</v>
      </c>
      <c r="AE257" s="15">
        <v>0.95799999999999996</v>
      </c>
      <c r="AF257" s="20">
        <v>23</v>
      </c>
      <c r="AG257" s="20" t="s">
        <v>8</v>
      </c>
      <c r="AH257" s="24">
        <v>24</v>
      </c>
      <c r="AI257" s="23">
        <f t="shared" si="7"/>
        <v>1</v>
      </c>
      <c r="AJ257" s="17">
        <v>11.75</v>
      </c>
      <c r="AK257" s="17">
        <v>10</v>
      </c>
      <c r="AL257" s="14">
        <v>21.75</v>
      </c>
      <c r="AM257" s="23" cm="1">
        <f t="array" ref="AM257">IF(OR(AN257:AZ257=""),"BLANK",IF(AND(AN257:AZ257&lt;9999999),1,IF(AND(AN257:AZ257="NA"),3,2)))</f>
        <v>1</v>
      </c>
      <c r="AN257" s="5">
        <v>10</v>
      </c>
      <c r="AO257" s="5">
        <v>2</v>
      </c>
      <c r="AP257" s="10">
        <v>3</v>
      </c>
      <c r="AQ257" s="10">
        <v>5.25</v>
      </c>
      <c r="AR257" s="10">
        <v>5.25</v>
      </c>
      <c r="AS257" s="11">
        <v>4997.5</v>
      </c>
      <c r="AT257" s="11">
        <v>7397.5</v>
      </c>
      <c r="AU257" s="11">
        <v>4413.5</v>
      </c>
      <c r="AV257" s="11">
        <v>7326.5</v>
      </c>
      <c r="AW257" s="11">
        <v>0</v>
      </c>
      <c r="AX257" s="11">
        <v>0</v>
      </c>
      <c r="AY257" s="11">
        <v>552.97916666670005</v>
      </c>
      <c r="AZ257" s="11">
        <v>0</v>
      </c>
      <c r="BA257" s="23">
        <v>3</v>
      </c>
      <c r="BB257" s="24" t="s">
        <v>8</v>
      </c>
    </row>
    <row r="258" spans="1:54" x14ac:dyDescent="0.2">
      <c r="A258" s="5">
        <v>1767</v>
      </c>
      <c r="B258" s="20" t="s">
        <v>76</v>
      </c>
      <c r="C258" s="18" t="s">
        <v>54</v>
      </c>
      <c r="D258" s="18">
        <v>5</v>
      </c>
      <c r="E258" s="18">
        <v>0</v>
      </c>
      <c r="F258" s="20">
        <v>4</v>
      </c>
      <c r="G258" s="18">
        <v>29</v>
      </c>
      <c r="H258" s="22">
        <v>4.0219028062970565</v>
      </c>
      <c r="I258" s="22">
        <v>5.0458590006844624</v>
      </c>
      <c r="J258" s="22">
        <v>9.0677618069815189</v>
      </c>
      <c r="K258" s="22">
        <v>4.0219028062970565</v>
      </c>
      <c r="L258" s="22">
        <v>5.0458590006844624</v>
      </c>
      <c r="M258" s="22">
        <v>9.0677618069815189</v>
      </c>
      <c r="N258" s="22">
        <v>4.0355920602327169</v>
      </c>
      <c r="O258" s="22">
        <v>4.944558521560575</v>
      </c>
      <c r="P258" s="22">
        <v>8.9801505817932927</v>
      </c>
      <c r="Q258" s="22" t="s">
        <v>8</v>
      </c>
      <c r="R258" s="22" t="s">
        <v>8</v>
      </c>
      <c r="S258" s="22" t="s">
        <v>8</v>
      </c>
      <c r="T258" s="5">
        <v>4</v>
      </c>
      <c r="U258" s="5">
        <v>16</v>
      </c>
      <c r="V258" s="20" t="s">
        <v>1</v>
      </c>
      <c r="W258" s="20">
        <v>5</v>
      </c>
      <c r="X258" s="20">
        <v>1</v>
      </c>
      <c r="Y258" s="5">
        <v>1</v>
      </c>
      <c r="Z258" s="20">
        <v>4</v>
      </c>
      <c r="AA258" s="23">
        <f t="shared" si="6"/>
        <v>2</v>
      </c>
      <c r="AB258" s="15">
        <v>1</v>
      </c>
      <c r="AC258" s="15">
        <v>0.875</v>
      </c>
      <c r="AD258" s="15">
        <v>0.875</v>
      </c>
      <c r="AE258" s="15">
        <v>0.91700000000000004</v>
      </c>
      <c r="AF258" s="20">
        <v>22</v>
      </c>
      <c r="AG258" s="20" t="s">
        <v>8</v>
      </c>
      <c r="AH258" s="24">
        <v>24</v>
      </c>
      <c r="AI258" s="23">
        <f t="shared" si="7"/>
        <v>1</v>
      </c>
      <c r="AJ258" s="17">
        <v>14</v>
      </c>
      <c r="AK258" s="17">
        <v>12</v>
      </c>
      <c r="AL258" s="14">
        <v>26</v>
      </c>
      <c r="AM258" s="23" cm="1">
        <f t="array" ref="AM258">IF(OR(AN258:AZ258=""),"BLANK",IF(AND(AN258:AZ258&lt;9999999),1,IF(AND(AN258:AZ258="NA"),3,2)))</f>
        <v>1</v>
      </c>
      <c r="AN258" s="5">
        <v>9</v>
      </c>
      <c r="AO258" s="5">
        <v>2</v>
      </c>
      <c r="AP258" s="10">
        <v>3.5</v>
      </c>
      <c r="AQ258" s="10">
        <v>5.25</v>
      </c>
      <c r="AR258" s="10">
        <v>5.75</v>
      </c>
      <c r="AS258" s="11">
        <v>2262.5</v>
      </c>
      <c r="AT258" s="11">
        <v>7964.5</v>
      </c>
      <c r="AU258" s="11">
        <v>11021</v>
      </c>
      <c r="AV258" s="11">
        <v>31928</v>
      </c>
      <c r="AW258" s="11">
        <v>0</v>
      </c>
      <c r="AX258" s="11">
        <v>0</v>
      </c>
      <c r="AY258" s="11">
        <v>4801.5416666666997</v>
      </c>
      <c r="AZ258" s="11">
        <v>587.04375000000005</v>
      </c>
      <c r="BA258" s="23">
        <v>3</v>
      </c>
      <c r="BB258" s="24" t="s">
        <v>8</v>
      </c>
    </row>
    <row r="259" spans="1:54" x14ac:dyDescent="0.2">
      <c r="A259" s="5">
        <v>1775</v>
      </c>
      <c r="B259" s="20" t="s">
        <v>71</v>
      </c>
      <c r="C259" s="18" t="s">
        <v>55</v>
      </c>
      <c r="D259" s="18">
        <v>5</v>
      </c>
      <c r="E259" s="18">
        <v>0</v>
      </c>
      <c r="F259" s="20">
        <v>3.3639999999999999</v>
      </c>
      <c r="G259" s="18">
        <v>30</v>
      </c>
      <c r="H259" s="22">
        <v>3.592060232717317</v>
      </c>
      <c r="I259" s="22">
        <v>5.1964407939767279</v>
      </c>
      <c r="J259" s="22">
        <v>8.7885010266940444</v>
      </c>
      <c r="K259" s="22">
        <v>3.5838466803559208</v>
      </c>
      <c r="L259" s="22">
        <v>5.4757015742642023</v>
      </c>
      <c r="M259" s="22">
        <v>9.0595482546201236</v>
      </c>
      <c r="N259" s="22">
        <v>3.5728952772073921</v>
      </c>
      <c r="O259" s="22">
        <v>5.1553730321697468</v>
      </c>
      <c r="P259" s="22">
        <v>8.7282683093771389</v>
      </c>
      <c r="Q259" s="22">
        <v>3.2936344969199181</v>
      </c>
      <c r="R259" s="22">
        <v>5.9958932238193015</v>
      </c>
      <c r="S259" s="22">
        <v>9.2895277207392191</v>
      </c>
      <c r="T259" s="5">
        <v>4</v>
      </c>
      <c r="U259" s="5">
        <v>16</v>
      </c>
      <c r="V259" s="20" t="s">
        <v>1</v>
      </c>
      <c r="W259" s="20">
        <v>5</v>
      </c>
      <c r="X259" s="20">
        <v>1</v>
      </c>
      <c r="Y259" s="5">
        <v>1</v>
      </c>
      <c r="Z259" s="20">
        <v>4</v>
      </c>
      <c r="AA259" s="23">
        <f t="shared" ref="AA259:AA322" si="8">IF(AND(ISNUMBER(AB259), ISNUMBER(AC259),ISNUMBER(AD259), ISNUMBER(AE259), ISNUMBER(AF259),ISNUMBER(AG259), ISNUMBER(AH259)), 1, IF(AND(AB259="NA", AC259="NA", AD259="na", AE259="na", AF259="na", AG259="na", AH259="na"), 3, 2))</f>
        <v>2</v>
      </c>
      <c r="AB259" s="15">
        <v>1</v>
      </c>
      <c r="AC259" s="15">
        <v>1</v>
      </c>
      <c r="AD259" s="15">
        <v>0.875</v>
      </c>
      <c r="AE259" s="15">
        <v>0.95799999999999996</v>
      </c>
      <c r="AF259" s="20">
        <v>23</v>
      </c>
      <c r="AG259" s="20" t="s">
        <v>8</v>
      </c>
      <c r="AH259" s="24">
        <v>24</v>
      </c>
      <c r="AI259" s="23">
        <f t="shared" ref="AI259:AI322" si="9">IF(AND(ISNUMBER(AJ259), ISNUMBER(AK259),ISNUMBER(AL259)), 1, IF(AND(AJ259="NA", AK259="NA", AL259="na"), 3, 2))</f>
        <v>1</v>
      </c>
      <c r="AJ259" s="17">
        <v>13.75</v>
      </c>
      <c r="AK259" s="17">
        <v>9.75</v>
      </c>
      <c r="AL259" s="14">
        <v>23.5</v>
      </c>
      <c r="AM259" s="23" cm="1">
        <f t="array" ref="AM259">IF(OR(AN259:AZ259=""),"BLANK",IF(AND(AN259:AZ259&lt;9999999),1,IF(AND(AN259:AZ259="NA"),3,2)))</f>
        <v>1</v>
      </c>
      <c r="AN259" s="5">
        <v>12</v>
      </c>
      <c r="AO259" s="5">
        <v>2</v>
      </c>
      <c r="AP259" s="10">
        <v>3</v>
      </c>
      <c r="AQ259" s="10">
        <v>4</v>
      </c>
      <c r="AR259" s="10">
        <v>5</v>
      </c>
      <c r="AS259" s="11">
        <v>3581</v>
      </c>
      <c r="AT259" s="11">
        <v>25560</v>
      </c>
      <c r="AU259" s="11">
        <v>15197.5</v>
      </c>
      <c r="AV259" s="11">
        <v>20636.25</v>
      </c>
      <c r="AW259" s="11">
        <v>0</v>
      </c>
      <c r="AX259" s="11">
        <v>0</v>
      </c>
      <c r="AY259" s="11">
        <v>0</v>
      </c>
      <c r="AZ259" s="11">
        <v>139.19999999999999</v>
      </c>
      <c r="BA259" s="23">
        <v>3</v>
      </c>
      <c r="BB259" s="24" t="s">
        <v>8</v>
      </c>
    </row>
    <row r="260" spans="1:54" x14ac:dyDescent="0.2">
      <c r="A260" s="5">
        <v>1781</v>
      </c>
      <c r="B260" s="20" t="s">
        <v>67</v>
      </c>
      <c r="C260" s="18" t="s">
        <v>54</v>
      </c>
      <c r="D260" s="18">
        <v>5</v>
      </c>
      <c r="E260" s="18">
        <v>0</v>
      </c>
      <c r="F260" s="20">
        <v>3.7269999999999999</v>
      </c>
      <c r="G260" s="18">
        <v>29</v>
      </c>
      <c r="H260" s="22">
        <v>4.0684462696783026</v>
      </c>
      <c r="I260" s="22" t="s">
        <v>8</v>
      </c>
      <c r="J260" s="22" t="s">
        <v>8</v>
      </c>
      <c r="K260" s="22">
        <v>4.0684462696783026</v>
      </c>
      <c r="L260" s="22" t="s">
        <v>8</v>
      </c>
      <c r="M260" s="22" t="s">
        <v>8</v>
      </c>
      <c r="N260" s="22" t="s">
        <v>8</v>
      </c>
      <c r="O260" s="22" t="s">
        <v>8</v>
      </c>
      <c r="P260" s="22" t="s">
        <v>8</v>
      </c>
      <c r="Q260" s="22" t="s">
        <v>8</v>
      </c>
      <c r="R260" s="22" t="s">
        <v>8</v>
      </c>
      <c r="S260" s="22" t="s">
        <v>8</v>
      </c>
      <c r="T260" s="5">
        <v>6</v>
      </c>
      <c r="U260" s="5">
        <v>18</v>
      </c>
      <c r="V260" s="20" t="s">
        <v>1</v>
      </c>
      <c r="W260" s="20">
        <v>5</v>
      </c>
      <c r="X260" s="20">
        <v>1</v>
      </c>
      <c r="Y260" s="5">
        <v>1</v>
      </c>
      <c r="Z260" s="20">
        <v>4</v>
      </c>
      <c r="AA260" s="23">
        <f t="shared" si="8"/>
        <v>2</v>
      </c>
      <c r="AB260" s="15">
        <v>1</v>
      </c>
      <c r="AC260" s="15">
        <v>1</v>
      </c>
      <c r="AD260" s="15">
        <v>1</v>
      </c>
      <c r="AE260" s="15">
        <v>1</v>
      </c>
      <c r="AF260" s="20">
        <v>24</v>
      </c>
      <c r="AG260" s="20" t="s">
        <v>8</v>
      </c>
      <c r="AH260" s="24">
        <v>24</v>
      </c>
      <c r="AI260" s="23">
        <f t="shared" si="9"/>
        <v>1</v>
      </c>
      <c r="AJ260" s="17">
        <v>10</v>
      </c>
      <c r="AK260" s="17">
        <v>11</v>
      </c>
      <c r="AL260" s="14">
        <v>21</v>
      </c>
      <c r="AM260" s="23" cm="1">
        <f t="array" ref="AM260">IF(OR(AN260:AZ260=""),"BLANK",IF(AND(AN260:AZ260&lt;9999999),1,IF(AND(AN260:AZ260="NA"),3,2)))</f>
        <v>1</v>
      </c>
      <c r="AN260" s="5">
        <v>11</v>
      </c>
      <c r="AO260" s="5">
        <v>2</v>
      </c>
      <c r="AP260" s="10">
        <v>3</v>
      </c>
      <c r="AQ260" s="10">
        <v>4</v>
      </c>
      <c r="AR260" s="10">
        <v>6.25</v>
      </c>
      <c r="AS260" s="11">
        <v>2340.5</v>
      </c>
      <c r="AT260" s="11">
        <v>3552</v>
      </c>
      <c r="AU260" s="11">
        <v>8626.75</v>
      </c>
      <c r="AV260" s="11">
        <v>13367.75</v>
      </c>
      <c r="AW260" s="11">
        <v>0</v>
      </c>
      <c r="AX260" s="11">
        <v>0</v>
      </c>
      <c r="AY260" s="11">
        <v>0</v>
      </c>
      <c r="AZ260" s="11">
        <v>0</v>
      </c>
      <c r="BA260" s="23">
        <v>3</v>
      </c>
      <c r="BB260" s="24" t="s">
        <v>8</v>
      </c>
    </row>
    <row r="261" spans="1:54" x14ac:dyDescent="0.2">
      <c r="A261" s="5">
        <v>1784</v>
      </c>
      <c r="B261" s="20" t="s">
        <v>65</v>
      </c>
      <c r="C261" s="18" t="s">
        <v>54</v>
      </c>
      <c r="D261" s="18">
        <v>6</v>
      </c>
      <c r="E261" s="18">
        <v>1</v>
      </c>
      <c r="F261" s="20">
        <v>3.6360000000000001</v>
      </c>
      <c r="G261" s="18">
        <v>29</v>
      </c>
      <c r="H261" s="22" t="s">
        <v>8</v>
      </c>
      <c r="I261" s="22" t="s">
        <v>8</v>
      </c>
      <c r="J261" s="22" t="s">
        <v>8</v>
      </c>
      <c r="K261" s="22" t="s">
        <v>8</v>
      </c>
      <c r="L261" s="22" t="s">
        <v>8</v>
      </c>
      <c r="M261" s="22" t="s">
        <v>8</v>
      </c>
      <c r="N261" s="22" t="s">
        <v>8</v>
      </c>
      <c r="O261" s="22" t="s">
        <v>8</v>
      </c>
      <c r="P261" s="22" t="s">
        <v>8</v>
      </c>
      <c r="Q261" s="22" t="s">
        <v>8</v>
      </c>
      <c r="R261" s="22" t="s">
        <v>8</v>
      </c>
      <c r="S261" s="22" t="s">
        <v>8</v>
      </c>
      <c r="T261" s="5">
        <v>4</v>
      </c>
      <c r="U261" s="5">
        <v>16</v>
      </c>
      <c r="V261" s="20" t="s">
        <v>1</v>
      </c>
      <c r="W261" s="20">
        <v>5</v>
      </c>
      <c r="X261" s="20">
        <v>1</v>
      </c>
      <c r="Y261" s="5">
        <v>1</v>
      </c>
      <c r="Z261" s="20">
        <v>4</v>
      </c>
      <c r="AA261" s="23">
        <f t="shared" si="8"/>
        <v>2</v>
      </c>
      <c r="AB261" s="15">
        <v>0.875</v>
      </c>
      <c r="AC261" s="15">
        <v>0.75</v>
      </c>
      <c r="AD261" s="15">
        <v>0.5</v>
      </c>
      <c r="AE261" s="15">
        <v>0.70799999999999996</v>
      </c>
      <c r="AF261" s="20">
        <v>17</v>
      </c>
      <c r="AG261" s="20" t="s">
        <v>8</v>
      </c>
      <c r="AH261" s="24">
        <v>24</v>
      </c>
      <c r="AI261" s="23">
        <f t="shared" si="9"/>
        <v>1</v>
      </c>
      <c r="AJ261" s="17">
        <v>2.75</v>
      </c>
      <c r="AK261" s="17">
        <v>8.5</v>
      </c>
      <c r="AL261" s="14">
        <v>11.25</v>
      </c>
      <c r="AM261" s="23" cm="1">
        <f t="array" ref="AM261">IF(OR(AN261:AZ261=""),"BLANK",IF(AND(AN261:AZ261&lt;9999999),1,IF(AND(AN261:AZ261="NA"),3,2)))</f>
        <v>1</v>
      </c>
      <c r="AN261" s="5">
        <v>8</v>
      </c>
      <c r="AO261" s="5">
        <v>2</v>
      </c>
      <c r="AP261" s="10">
        <v>3</v>
      </c>
      <c r="AQ261" s="10">
        <v>5.75</v>
      </c>
      <c r="AR261" s="10">
        <v>7.5</v>
      </c>
      <c r="AS261" s="11">
        <v>2721</v>
      </c>
      <c r="AT261" s="11">
        <v>4890</v>
      </c>
      <c r="AU261" s="11">
        <v>15855.75</v>
      </c>
      <c r="AV261" s="11">
        <v>8405.75</v>
      </c>
      <c r="AW261" s="11">
        <v>422.75</v>
      </c>
      <c r="AX261" s="11">
        <v>0</v>
      </c>
      <c r="AY261" s="11">
        <v>9933.3402777777992</v>
      </c>
      <c r="AZ261" s="11">
        <v>2315.84375</v>
      </c>
      <c r="BA261" s="23">
        <v>3</v>
      </c>
      <c r="BB261" s="24" t="s">
        <v>8</v>
      </c>
    </row>
    <row r="262" spans="1:54" x14ac:dyDescent="0.2">
      <c r="A262" s="5">
        <v>1796</v>
      </c>
      <c r="B262" s="20" t="s">
        <v>65</v>
      </c>
      <c r="C262" s="18" t="s">
        <v>54</v>
      </c>
      <c r="D262" s="18">
        <v>1</v>
      </c>
      <c r="E262" s="18">
        <v>0</v>
      </c>
      <c r="F262" s="20">
        <v>3.6360000000000001</v>
      </c>
      <c r="G262" s="18">
        <v>30</v>
      </c>
      <c r="H262" s="22">
        <v>4.213552361396304</v>
      </c>
      <c r="I262" s="22">
        <v>4.6242299794661195</v>
      </c>
      <c r="J262" s="22">
        <v>8.8377823408624234</v>
      </c>
      <c r="K262" s="22">
        <v>4.213552361396304</v>
      </c>
      <c r="L262" s="22">
        <v>4.6242299794661195</v>
      </c>
      <c r="M262" s="22">
        <v>8.8377823408624234</v>
      </c>
      <c r="N262" s="22">
        <v>4.1505817932922655</v>
      </c>
      <c r="O262" s="22">
        <v>4.6050650239561941</v>
      </c>
      <c r="P262" s="22">
        <v>8.7556468172484596</v>
      </c>
      <c r="Q262" s="22" t="s">
        <v>8</v>
      </c>
      <c r="R262" s="22" t="s">
        <v>8</v>
      </c>
      <c r="S262" s="22" t="s">
        <v>8</v>
      </c>
      <c r="T262" s="5">
        <v>7</v>
      </c>
      <c r="U262" s="5">
        <v>21</v>
      </c>
      <c r="V262" s="20" t="s">
        <v>1</v>
      </c>
      <c r="W262" s="20">
        <v>5</v>
      </c>
      <c r="X262" s="20">
        <v>1</v>
      </c>
      <c r="Y262" s="5">
        <v>1</v>
      </c>
      <c r="Z262" s="20">
        <v>4</v>
      </c>
      <c r="AA262" s="23">
        <f t="shared" si="8"/>
        <v>2</v>
      </c>
      <c r="AB262" s="15">
        <v>1</v>
      </c>
      <c r="AC262" s="15">
        <v>0.75</v>
      </c>
      <c r="AD262" s="15">
        <v>0.75</v>
      </c>
      <c r="AE262" s="15">
        <v>0.83299999999999996</v>
      </c>
      <c r="AF262" s="20">
        <v>20</v>
      </c>
      <c r="AG262" s="20" t="s">
        <v>8</v>
      </c>
      <c r="AH262" s="24">
        <v>24</v>
      </c>
      <c r="AI262" s="23">
        <f t="shared" si="9"/>
        <v>1</v>
      </c>
      <c r="AJ262" s="17">
        <v>9.75</v>
      </c>
      <c r="AK262" s="17">
        <v>9</v>
      </c>
      <c r="AL262" s="14">
        <v>18.75</v>
      </c>
      <c r="AM262" s="23" cm="1">
        <f t="array" ref="AM262">IF(OR(AN262:AZ262=""),"BLANK",IF(AND(AN262:AZ262&lt;9999999),1,IF(AND(AN262:AZ262="NA"),3,2)))</f>
        <v>1</v>
      </c>
      <c r="AN262" s="5">
        <v>9</v>
      </c>
      <c r="AO262" s="5">
        <v>2</v>
      </c>
      <c r="AP262" s="10">
        <v>3</v>
      </c>
      <c r="AQ262" s="10">
        <v>5.25</v>
      </c>
      <c r="AR262" s="10">
        <v>5.75</v>
      </c>
      <c r="AS262" s="11">
        <v>1708</v>
      </c>
      <c r="AT262" s="11">
        <v>5618</v>
      </c>
      <c r="AU262" s="11">
        <v>18445.5</v>
      </c>
      <c r="AV262" s="11">
        <v>26182</v>
      </c>
      <c r="AW262" s="11">
        <v>0</v>
      </c>
      <c r="AX262" s="11">
        <v>0</v>
      </c>
      <c r="AY262" s="11">
        <v>1522.9027777778001</v>
      </c>
      <c r="AZ262" s="11">
        <v>298.9035714286</v>
      </c>
      <c r="BA262" s="23">
        <v>3</v>
      </c>
      <c r="BB262" s="24" t="s">
        <v>8</v>
      </c>
    </row>
    <row r="263" spans="1:54" x14ac:dyDescent="0.2">
      <c r="A263" s="5">
        <v>1797</v>
      </c>
      <c r="B263" s="20" t="s">
        <v>76</v>
      </c>
      <c r="C263" s="18" t="s">
        <v>54</v>
      </c>
      <c r="D263" s="18">
        <v>5</v>
      </c>
      <c r="E263" s="18">
        <v>0</v>
      </c>
      <c r="F263" s="20">
        <v>4</v>
      </c>
      <c r="G263" s="18">
        <v>30</v>
      </c>
      <c r="H263" s="22">
        <v>4.1615331964407938</v>
      </c>
      <c r="I263" s="22" t="s">
        <v>8</v>
      </c>
      <c r="J263" s="22" t="s">
        <v>8</v>
      </c>
      <c r="K263" s="22">
        <v>4.1615331964407938</v>
      </c>
      <c r="L263" s="22" t="s">
        <v>8</v>
      </c>
      <c r="M263" s="22" t="s">
        <v>8</v>
      </c>
      <c r="N263" s="22">
        <v>4.131416837782341</v>
      </c>
      <c r="O263" s="22" t="s">
        <v>8</v>
      </c>
      <c r="P263" s="22" t="s">
        <v>8</v>
      </c>
      <c r="Q263" s="22">
        <v>3.9561943874058865</v>
      </c>
      <c r="R263" s="22" t="s">
        <v>8</v>
      </c>
      <c r="S263" s="22" t="s">
        <v>8</v>
      </c>
      <c r="T263" s="5">
        <v>3</v>
      </c>
      <c r="U263" s="5">
        <v>14</v>
      </c>
      <c r="V263" s="20" t="s">
        <v>1</v>
      </c>
      <c r="W263" s="20">
        <v>5</v>
      </c>
      <c r="X263" s="20">
        <v>1</v>
      </c>
      <c r="Y263" s="5">
        <v>1</v>
      </c>
      <c r="Z263" s="20">
        <v>4</v>
      </c>
      <c r="AA263" s="23">
        <f t="shared" si="8"/>
        <v>2</v>
      </c>
      <c r="AB263" s="15">
        <v>0.875</v>
      </c>
      <c r="AC263" s="15">
        <v>0.75</v>
      </c>
      <c r="AD263" s="15">
        <v>0.75</v>
      </c>
      <c r="AE263" s="15">
        <v>0.79200000000000004</v>
      </c>
      <c r="AF263" s="20">
        <v>19</v>
      </c>
      <c r="AG263" s="20" t="s">
        <v>8</v>
      </c>
      <c r="AH263" s="24">
        <v>24</v>
      </c>
      <c r="AI263" s="23">
        <f t="shared" si="9"/>
        <v>1</v>
      </c>
      <c r="AJ263" s="17">
        <v>5.75</v>
      </c>
      <c r="AK263" s="17">
        <v>6.25</v>
      </c>
      <c r="AL263" s="14">
        <v>12</v>
      </c>
      <c r="AM263" s="23" cm="1">
        <f t="array" ref="AM263">IF(OR(AN263:AZ263=""),"BLANK",IF(AND(AN263:AZ263&lt;9999999),1,IF(AND(AN263:AZ263="NA"),3,2)))</f>
        <v>1</v>
      </c>
      <c r="AN263" s="5">
        <v>9</v>
      </c>
      <c r="AO263" s="5">
        <v>2</v>
      </c>
      <c r="AP263" s="10">
        <v>3</v>
      </c>
      <c r="AQ263" s="10">
        <v>5.5</v>
      </c>
      <c r="AR263" s="10">
        <v>6.25</v>
      </c>
      <c r="AS263" s="11">
        <v>375.5</v>
      </c>
      <c r="AT263" s="11">
        <v>1138</v>
      </c>
      <c r="AU263" s="11">
        <v>4241.25</v>
      </c>
      <c r="AV263" s="11">
        <v>9926.75</v>
      </c>
      <c r="AW263" s="11">
        <v>0</v>
      </c>
      <c r="AX263" s="11">
        <v>0</v>
      </c>
      <c r="AY263" s="11">
        <v>811.21944444439998</v>
      </c>
      <c r="AZ263" s="11">
        <v>801.52499999999998</v>
      </c>
      <c r="BA263" s="23">
        <v>3</v>
      </c>
      <c r="BB263" s="24" t="s">
        <v>8</v>
      </c>
    </row>
    <row r="264" spans="1:54" x14ac:dyDescent="0.2">
      <c r="A264" s="5">
        <v>1800</v>
      </c>
      <c r="B264" s="20" t="s">
        <v>75</v>
      </c>
      <c r="C264" s="18" t="s">
        <v>54</v>
      </c>
      <c r="D264" s="18">
        <v>5</v>
      </c>
      <c r="E264" s="18">
        <v>0</v>
      </c>
      <c r="F264" s="20">
        <v>3.6360000000000001</v>
      </c>
      <c r="G264" s="18">
        <v>28</v>
      </c>
      <c r="H264" s="22">
        <v>4.213552361396304</v>
      </c>
      <c r="I264" s="22" t="s">
        <v>8</v>
      </c>
      <c r="J264" s="22" t="s">
        <v>8</v>
      </c>
      <c r="K264" s="22">
        <v>5.3442847364818613</v>
      </c>
      <c r="L264" s="22" t="s">
        <v>8</v>
      </c>
      <c r="M264" s="22" t="s">
        <v>8</v>
      </c>
      <c r="N264" s="22">
        <v>4.1724845995893221</v>
      </c>
      <c r="O264" s="22" t="s">
        <v>8</v>
      </c>
      <c r="P264" s="22" t="s">
        <v>8</v>
      </c>
      <c r="Q264" s="22">
        <v>3.9890485968514717</v>
      </c>
      <c r="R264" s="22" t="s">
        <v>8</v>
      </c>
      <c r="S264" s="22" t="s">
        <v>8</v>
      </c>
      <c r="T264" s="5">
        <v>3</v>
      </c>
      <c r="U264" s="5">
        <v>14</v>
      </c>
      <c r="V264" s="20" t="s">
        <v>1</v>
      </c>
      <c r="W264" s="20">
        <v>5</v>
      </c>
      <c r="X264" s="20">
        <v>1</v>
      </c>
      <c r="Y264" s="5">
        <v>1</v>
      </c>
      <c r="Z264" s="20">
        <v>4</v>
      </c>
      <c r="AA264" s="23">
        <f t="shared" si="8"/>
        <v>2</v>
      </c>
      <c r="AB264" s="15">
        <v>0.875</v>
      </c>
      <c r="AC264" s="15">
        <v>0.875</v>
      </c>
      <c r="AD264" s="15">
        <v>0.625</v>
      </c>
      <c r="AE264" s="15">
        <v>0.79200000000000004</v>
      </c>
      <c r="AF264" s="20">
        <v>19</v>
      </c>
      <c r="AG264" s="20" t="s">
        <v>8</v>
      </c>
      <c r="AH264" s="24">
        <v>24</v>
      </c>
      <c r="AI264" s="23">
        <f t="shared" si="9"/>
        <v>1</v>
      </c>
      <c r="AJ264" s="17">
        <v>10</v>
      </c>
      <c r="AK264" s="17">
        <v>13</v>
      </c>
      <c r="AL264" s="14">
        <v>23</v>
      </c>
      <c r="AM264" s="23" cm="1">
        <f t="array" ref="AM264">IF(OR(AN264:AZ264=""),"BLANK",IF(AND(AN264:AZ264&lt;9999999),1,IF(AND(AN264:AZ264="NA"),3,2)))</f>
        <v>1</v>
      </c>
      <c r="AN264" s="5">
        <v>4</v>
      </c>
      <c r="AO264" s="5">
        <v>2</v>
      </c>
      <c r="AP264" s="10">
        <v>3.5</v>
      </c>
      <c r="AQ264" s="10">
        <v>6.75</v>
      </c>
      <c r="AR264" s="10">
        <v>8</v>
      </c>
      <c r="AS264" s="11">
        <v>893.5</v>
      </c>
      <c r="AT264" s="11">
        <v>3053</v>
      </c>
      <c r="AU264" s="11">
        <v>3792.75</v>
      </c>
      <c r="AV264" s="11">
        <v>4854.5</v>
      </c>
      <c r="AW264" s="11">
        <v>113.25</v>
      </c>
      <c r="AX264" s="11">
        <v>22637.375</v>
      </c>
      <c r="AY264" s="11">
        <v>28640.887500000001</v>
      </c>
      <c r="AZ264" s="11">
        <v>2094.8449675325</v>
      </c>
      <c r="BA264" s="23">
        <v>3</v>
      </c>
      <c r="BB264" s="24" t="s">
        <v>8</v>
      </c>
    </row>
    <row r="265" spans="1:54" x14ac:dyDescent="0.2">
      <c r="A265" s="5">
        <v>1844</v>
      </c>
      <c r="B265" s="20" t="s">
        <v>71</v>
      </c>
      <c r="C265" s="18" t="s">
        <v>55</v>
      </c>
      <c r="D265" s="18">
        <v>5</v>
      </c>
      <c r="E265" s="18">
        <v>0</v>
      </c>
      <c r="F265" s="20">
        <v>3.0910000000000002</v>
      </c>
      <c r="G265" s="18">
        <v>28</v>
      </c>
      <c r="H265" s="22">
        <v>3.5838466803559208</v>
      </c>
      <c r="I265" s="22">
        <v>5.4428473648186175</v>
      </c>
      <c r="J265" s="22">
        <v>9.0266940451745388</v>
      </c>
      <c r="K265" s="22">
        <v>3.5838466803559208</v>
      </c>
      <c r="L265" s="22">
        <v>5.4428473648186175</v>
      </c>
      <c r="M265" s="22">
        <v>9.0266940451745388</v>
      </c>
      <c r="N265" s="22">
        <v>3.592060232717317</v>
      </c>
      <c r="O265" s="22">
        <v>5.415468856947296</v>
      </c>
      <c r="P265" s="22">
        <v>9.0075290896646134</v>
      </c>
      <c r="Q265" s="22">
        <v>3.8658453114305269</v>
      </c>
      <c r="R265" s="22">
        <v>5.3880903490759753</v>
      </c>
      <c r="S265" s="22">
        <v>9.2539356605065031</v>
      </c>
      <c r="T265" s="5">
        <v>3</v>
      </c>
      <c r="U265" s="5">
        <v>14</v>
      </c>
      <c r="V265" s="20" t="s">
        <v>1</v>
      </c>
      <c r="W265" s="20">
        <v>5</v>
      </c>
      <c r="X265" s="20">
        <v>1</v>
      </c>
      <c r="Y265" s="5">
        <v>1</v>
      </c>
      <c r="Z265" s="20">
        <v>4</v>
      </c>
      <c r="AA265" s="23">
        <f t="shared" si="8"/>
        <v>2</v>
      </c>
      <c r="AB265" s="15">
        <v>1</v>
      </c>
      <c r="AC265" s="15">
        <v>1</v>
      </c>
      <c r="AD265" s="15">
        <v>0.875</v>
      </c>
      <c r="AE265" s="15">
        <v>0.95799999999999996</v>
      </c>
      <c r="AF265" s="20">
        <v>23</v>
      </c>
      <c r="AG265" s="20" t="s">
        <v>8</v>
      </c>
      <c r="AH265" s="24">
        <v>24</v>
      </c>
      <c r="AI265" s="23">
        <f t="shared" si="9"/>
        <v>1</v>
      </c>
      <c r="AJ265" s="17">
        <v>10.75</v>
      </c>
      <c r="AK265" s="17">
        <v>8</v>
      </c>
      <c r="AL265" s="14">
        <v>18.75</v>
      </c>
      <c r="AM265" s="23" cm="1">
        <f t="array" ref="AM265">IF(OR(AN265:AZ265=""),"BLANK",IF(AND(AN265:AZ265&lt;9999999),1,IF(AND(AN265:AZ265="NA"),3,2)))</f>
        <v>1</v>
      </c>
      <c r="AN265" s="5">
        <v>11</v>
      </c>
      <c r="AO265" s="5">
        <v>2</v>
      </c>
      <c r="AP265" s="10">
        <v>3</v>
      </c>
      <c r="AQ265" s="10">
        <v>4</v>
      </c>
      <c r="AR265" s="10">
        <v>5.75</v>
      </c>
      <c r="AS265" s="11">
        <v>4024</v>
      </c>
      <c r="AT265" s="11">
        <v>3880.5</v>
      </c>
      <c r="AU265" s="11">
        <v>11662.5</v>
      </c>
      <c r="AV265" s="11">
        <v>17293.75</v>
      </c>
      <c r="AW265" s="11">
        <v>0</v>
      </c>
      <c r="AX265" s="11">
        <v>0</v>
      </c>
      <c r="AY265" s="11">
        <v>0</v>
      </c>
      <c r="AZ265" s="11">
        <v>1728.1</v>
      </c>
      <c r="BA265" s="23">
        <v>3</v>
      </c>
      <c r="BB265" s="24" t="s">
        <v>8</v>
      </c>
    </row>
    <row r="266" spans="1:54" x14ac:dyDescent="0.2">
      <c r="A266" s="5">
        <v>1849</v>
      </c>
      <c r="B266" s="20" t="s">
        <v>71</v>
      </c>
      <c r="C266" s="18" t="s">
        <v>55</v>
      </c>
      <c r="D266" s="18">
        <v>5</v>
      </c>
      <c r="E266" s="18">
        <v>0</v>
      </c>
      <c r="F266" s="20">
        <v>3.7269999999999999</v>
      </c>
      <c r="G266" s="18">
        <v>27</v>
      </c>
      <c r="H266" s="22">
        <v>3.7344284736481863</v>
      </c>
      <c r="I266" s="22">
        <v>5.0020533880903493</v>
      </c>
      <c r="J266" s="22">
        <v>8.736481861738536</v>
      </c>
      <c r="K266" s="22">
        <v>3.7344284736481863</v>
      </c>
      <c r="L266" s="22">
        <v>5.0677618069815198</v>
      </c>
      <c r="M266" s="22">
        <v>8.8021902806297057</v>
      </c>
      <c r="N266" s="22">
        <v>3.7316906228610542</v>
      </c>
      <c r="O266" s="22">
        <v>4.7529089664613275</v>
      </c>
      <c r="P266" s="22">
        <v>8.4845995893223822</v>
      </c>
      <c r="Q266" s="22">
        <v>3.3949349760438055</v>
      </c>
      <c r="R266" s="22" t="s">
        <v>8</v>
      </c>
      <c r="S266" s="22" t="s">
        <v>8</v>
      </c>
      <c r="T266" s="5">
        <v>4</v>
      </c>
      <c r="U266" s="5">
        <v>16</v>
      </c>
      <c r="V266" s="20" t="s">
        <v>1</v>
      </c>
      <c r="W266" s="20">
        <v>5</v>
      </c>
      <c r="X266" s="20">
        <v>1</v>
      </c>
      <c r="Y266" s="5">
        <v>1</v>
      </c>
      <c r="Z266" s="20">
        <v>4</v>
      </c>
      <c r="AA266" s="23">
        <f t="shared" si="8"/>
        <v>2</v>
      </c>
      <c r="AB266" s="15">
        <v>1</v>
      </c>
      <c r="AC266" s="15">
        <v>1</v>
      </c>
      <c r="AD266" s="15">
        <v>1</v>
      </c>
      <c r="AE266" s="15">
        <v>1</v>
      </c>
      <c r="AF266" s="20">
        <v>24</v>
      </c>
      <c r="AG266" s="20" t="s">
        <v>8</v>
      </c>
      <c r="AH266" s="24">
        <v>24</v>
      </c>
      <c r="AI266" s="23">
        <f t="shared" si="9"/>
        <v>1</v>
      </c>
      <c r="AJ266" s="17">
        <v>9</v>
      </c>
      <c r="AK266" s="17">
        <v>6.25</v>
      </c>
      <c r="AL266" s="14">
        <v>15.25</v>
      </c>
      <c r="AM266" s="23" cm="1">
        <f t="array" ref="AM266">IF(OR(AN266:AZ266=""),"BLANK",IF(AND(AN266:AZ266&lt;9999999),1,IF(AND(AN266:AZ266="NA"),3,2)))</f>
        <v>1</v>
      </c>
      <c r="AN266" s="5">
        <v>10</v>
      </c>
      <c r="AO266" s="5">
        <v>2</v>
      </c>
      <c r="AP266" s="10">
        <v>3</v>
      </c>
      <c r="AQ266" s="10">
        <v>4</v>
      </c>
      <c r="AR266" s="10">
        <v>8</v>
      </c>
      <c r="AS266" s="11">
        <v>2487.5</v>
      </c>
      <c r="AT266" s="11">
        <v>3476.5</v>
      </c>
      <c r="AU266" s="11">
        <v>6303.75</v>
      </c>
      <c r="AV266" s="11">
        <v>11192.75</v>
      </c>
      <c r="AW266" s="11">
        <v>0</v>
      </c>
      <c r="AX266" s="11">
        <v>0</v>
      </c>
      <c r="AY266" s="11">
        <v>0</v>
      </c>
      <c r="AZ266" s="11">
        <v>165.48333333330001</v>
      </c>
      <c r="BA266" s="23">
        <v>3</v>
      </c>
      <c r="BB266" s="24" t="s">
        <v>8</v>
      </c>
    </row>
    <row r="267" spans="1:54" x14ac:dyDescent="0.2">
      <c r="A267" s="5">
        <v>1850</v>
      </c>
      <c r="B267" s="20" t="s">
        <v>71</v>
      </c>
      <c r="C267" s="18" t="s">
        <v>54</v>
      </c>
      <c r="D267" s="18">
        <v>5</v>
      </c>
      <c r="E267" s="18">
        <v>0</v>
      </c>
      <c r="F267" s="20">
        <v>3.3639999999999999</v>
      </c>
      <c r="G267" s="18">
        <v>30</v>
      </c>
      <c r="H267" s="22">
        <v>3.7070499657768652</v>
      </c>
      <c r="I267" s="22">
        <v>4.9993155373032172</v>
      </c>
      <c r="J267" s="22">
        <v>8.7063655030800824</v>
      </c>
      <c r="K267" s="22">
        <v>3.6687200547570158</v>
      </c>
      <c r="L267" s="22">
        <v>4.9993155373032172</v>
      </c>
      <c r="M267" s="22">
        <v>8.6680355920602334</v>
      </c>
      <c r="N267" s="22">
        <v>4.0629705681040384</v>
      </c>
      <c r="O267" s="22">
        <v>4.5420944558521557</v>
      </c>
      <c r="P267" s="22">
        <v>8.605065023956195</v>
      </c>
      <c r="Q267" s="22">
        <v>3.7262149212867897</v>
      </c>
      <c r="R267" s="22">
        <v>5.4674880219028061</v>
      </c>
      <c r="S267" s="22">
        <v>9.1937029431895958</v>
      </c>
      <c r="T267" s="5">
        <v>6</v>
      </c>
      <c r="U267" s="5">
        <v>18</v>
      </c>
      <c r="V267" s="20" t="s">
        <v>1</v>
      </c>
      <c r="W267" s="20">
        <v>5</v>
      </c>
      <c r="X267" s="20">
        <v>1</v>
      </c>
      <c r="Y267" s="5">
        <v>1</v>
      </c>
      <c r="Z267" s="20">
        <v>4</v>
      </c>
      <c r="AA267" s="23">
        <f t="shared" si="8"/>
        <v>2</v>
      </c>
      <c r="AB267" s="15">
        <v>1</v>
      </c>
      <c r="AC267" s="15">
        <v>0.875</v>
      </c>
      <c r="AD267" s="15">
        <v>0.625</v>
      </c>
      <c r="AE267" s="15">
        <v>0.83299999999999996</v>
      </c>
      <c r="AF267" s="20">
        <v>20</v>
      </c>
      <c r="AG267" s="20" t="s">
        <v>8</v>
      </c>
      <c r="AH267" s="24">
        <v>24</v>
      </c>
      <c r="AI267" s="23">
        <f t="shared" si="9"/>
        <v>1</v>
      </c>
      <c r="AJ267" s="17">
        <v>7.75</v>
      </c>
      <c r="AK267" s="17">
        <v>12</v>
      </c>
      <c r="AL267" s="14">
        <v>19.75</v>
      </c>
      <c r="AM267" s="23" cm="1">
        <f t="array" ref="AM267">IF(OR(AN267:AZ267=""),"BLANK",IF(AND(AN267:AZ267&lt;9999999),1,IF(AND(AN267:AZ267="NA"),3,2)))</f>
        <v>1</v>
      </c>
      <c r="AN267" s="5">
        <v>11</v>
      </c>
      <c r="AO267" s="5">
        <v>2</v>
      </c>
      <c r="AP267" s="10">
        <v>3</v>
      </c>
      <c r="AQ267" s="10">
        <v>5.25</v>
      </c>
      <c r="AR267" s="10">
        <v>5</v>
      </c>
      <c r="AS267" s="11">
        <v>2929</v>
      </c>
      <c r="AT267" s="11">
        <v>5273.5</v>
      </c>
      <c r="AU267" s="11">
        <v>10868.75</v>
      </c>
      <c r="AV267" s="11">
        <v>16938.25</v>
      </c>
      <c r="AW267" s="11">
        <v>0</v>
      </c>
      <c r="AX267" s="11">
        <v>0</v>
      </c>
      <c r="AY267" s="11">
        <v>5736.6944444443998</v>
      </c>
      <c r="AZ267" s="11">
        <v>0</v>
      </c>
      <c r="BA267" s="23">
        <v>3</v>
      </c>
      <c r="BB267" s="24" t="s">
        <v>8</v>
      </c>
    </row>
    <row r="268" spans="1:54" x14ac:dyDescent="0.2">
      <c r="A268" s="5">
        <v>1854</v>
      </c>
      <c r="B268" s="20" t="s">
        <v>79</v>
      </c>
      <c r="C268" s="18" t="s">
        <v>54</v>
      </c>
      <c r="D268" s="18">
        <v>5</v>
      </c>
      <c r="E268" s="18">
        <v>0</v>
      </c>
      <c r="F268" s="20">
        <v>3.6360000000000001</v>
      </c>
      <c r="G268" s="18">
        <v>28</v>
      </c>
      <c r="H268" s="22" t="s">
        <v>8</v>
      </c>
      <c r="I268" s="22" t="s">
        <v>8</v>
      </c>
      <c r="J268" s="22" t="s">
        <v>8</v>
      </c>
      <c r="K268" s="22" t="s">
        <v>8</v>
      </c>
      <c r="L268" s="22" t="s">
        <v>8</v>
      </c>
      <c r="M268" s="22" t="s">
        <v>8</v>
      </c>
      <c r="N268" s="22" t="s">
        <v>8</v>
      </c>
      <c r="O268" s="22" t="s">
        <v>8</v>
      </c>
      <c r="P268" s="22" t="s">
        <v>8</v>
      </c>
      <c r="Q268" s="22" t="s">
        <v>8</v>
      </c>
      <c r="R268" s="22" t="s">
        <v>8</v>
      </c>
      <c r="S268" s="22" t="s">
        <v>8</v>
      </c>
      <c r="T268" s="5">
        <v>6</v>
      </c>
      <c r="U268" s="5">
        <v>18</v>
      </c>
      <c r="V268" s="20" t="s">
        <v>1</v>
      </c>
      <c r="W268" s="20">
        <v>5</v>
      </c>
      <c r="X268" s="20">
        <v>1</v>
      </c>
      <c r="Y268" s="5">
        <v>1</v>
      </c>
      <c r="Z268" s="20">
        <v>4</v>
      </c>
      <c r="AA268" s="23">
        <f t="shared" si="8"/>
        <v>2</v>
      </c>
      <c r="AB268" s="15">
        <v>1</v>
      </c>
      <c r="AC268" s="15">
        <v>0.875</v>
      </c>
      <c r="AD268" s="15">
        <v>0.625</v>
      </c>
      <c r="AE268" s="15">
        <v>0.83299999999999996</v>
      </c>
      <c r="AF268" s="20">
        <v>20</v>
      </c>
      <c r="AG268" s="20" t="s">
        <v>8</v>
      </c>
      <c r="AH268" s="24">
        <v>24</v>
      </c>
      <c r="AI268" s="23">
        <f t="shared" si="9"/>
        <v>1</v>
      </c>
      <c r="AJ268" s="17">
        <v>8</v>
      </c>
      <c r="AK268" s="17">
        <v>9</v>
      </c>
      <c r="AL268" s="14">
        <v>17</v>
      </c>
      <c r="AM268" s="23" cm="1">
        <f t="array" ref="AM268">IF(OR(AN268:AZ268=""),"BLANK",IF(AND(AN268:AZ268&lt;9999999),1,IF(AND(AN268:AZ268="NA"),3,2)))</f>
        <v>1</v>
      </c>
      <c r="AN268" s="5">
        <v>8</v>
      </c>
      <c r="AO268" s="5">
        <v>2</v>
      </c>
      <c r="AP268" s="10">
        <v>3</v>
      </c>
      <c r="AQ268" s="10">
        <v>6.5</v>
      </c>
      <c r="AR268" s="10">
        <v>7.75</v>
      </c>
      <c r="AS268" s="11">
        <v>1226</v>
      </c>
      <c r="AT268" s="11">
        <v>10462.5</v>
      </c>
      <c r="AU268" s="11">
        <v>8424.75</v>
      </c>
      <c r="AV268" s="11">
        <v>32857.75</v>
      </c>
      <c r="AW268" s="11">
        <v>0</v>
      </c>
      <c r="AX268" s="11">
        <v>0</v>
      </c>
      <c r="AY268" s="11">
        <v>7754.6875</v>
      </c>
      <c r="AZ268" s="11">
        <v>3902.9736111111001</v>
      </c>
      <c r="BA268" s="23">
        <v>3</v>
      </c>
      <c r="BB268" s="24" t="s">
        <v>8</v>
      </c>
    </row>
    <row r="269" spans="1:54" x14ac:dyDescent="0.2">
      <c r="A269" s="5">
        <v>1856</v>
      </c>
      <c r="B269" s="20" t="s">
        <v>81</v>
      </c>
      <c r="C269" s="18" t="s">
        <v>54</v>
      </c>
      <c r="D269" s="18">
        <v>5</v>
      </c>
      <c r="E269" s="18">
        <v>0</v>
      </c>
      <c r="F269" s="20">
        <v>2.9089999999999998</v>
      </c>
      <c r="G269" s="18">
        <v>29</v>
      </c>
      <c r="H269" s="22">
        <v>3.7399041752224504</v>
      </c>
      <c r="I269" s="22" t="s">
        <v>8</v>
      </c>
      <c r="J269" s="22" t="s">
        <v>8</v>
      </c>
      <c r="K269" s="22">
        <v>3.7399041752224504</v>
      </c>
      <c r="L269" s="22" t="s">
        <v>8</v>
      </c>
      <c r="M269" s="22" t="s">
        <v>8</v>
      </c>
      <c r="N269" s="22">
        <v>3.761806981519507</v>
      </c>
      <c r="O269" s="22" t="s">
        <v>8</v>
      </c>
      <c r="P269" s="22" t="s">
        <v>8</v>
      </c>
      <c r="Q269" s="22">
        <v>3.890485968514716</v>
      </c>
      <c r="R269" s="22" t="s">
        <v>8</v>
      </c>
      <c r="S269" s="22" t="s">
        <v>8</v>
      </c>
      <c r="T269" s="5">
        <v>5</v>
      </c>
      <c r="U269" s="5">
        <v>16</v>
      </c>
      <c r="V269" s="20" t="s">
        <v>1</v>
      </c>
      <c r="W269" s="20">
        <v>5</v>
      </c>
      <c r="X269" s="20">
        <v>1</v>
      </c>
      <c r="Y269" s="5">
        <v>1</v>
      </c>
      <c r="Z269" s="20">
        <v>4</v>
      </c>
      <c r="AA269" s="23">
        <f t="shared" si="8"/>
        <v>2</v>
      </c>
      <c r="AB269" s="15">
        <v>1</v>
      </c>
      <c r="AC269" s="15">
        <v>1</v>
      </c>
      <c r="AD269" s="15">
        <v>1</v>
      </c>
      <c r="AE269" s="15">
        <v>1</v>
      </c>
      <c r="AF269" s="20">
        <v>23</v>
      </c>
      <c r="AG269" s="20" t="s">
        <v>8</v>
      </c>
      <c r="AH269" s="24">
        <v>23</v>
      </c>
      <c r="AI269" s="23">
        <f t="shared" si="9"/>
        <v>1</v>
      </c>
      <c r="AJ269" s="17">
        <v>8.75</v>
      </c>
      <c r="AK269" s="17">
        <v>9</v>
      </c>
      <c r="AL269" s="14">
        <v>17.75</v>
      </c>
      <c r="AM269" s="23" cm="1">
        <f t="array" ref="AM269">IF(OR(AN269:AZ269=""),"BLANK",IF(AND(AN269:AZ269&lt;9999999),1,IF(AND(AN269:AZ269="NA"),3,2)))</f>
        <v>1</v>
      </c>
      <c r="AN269" s="5">
        <v>7</v>
      </c>
      <c r="AO269" s="5">
        <v>2</v>
      </c>
      <c r="AP269" s="10">
        <v>4.5</v>
      </c>
      <c r="AQ269" s="10">
        <v>4.25</v>
      </c>
      <c r="AR269" s="10">
        <v>8.5</v>
      </c>
      <c r="AS269" s="11">
        <v>1976</v>
      </c>
      <c r="AT269" s="11">
        <v>10086.5</v>
      </c>
      <c r="AU269" s="11">
        <v>3032.5</v>
      </c>
      <c r="AV269" s="11">
        <v>9024.75</v>
      </c>
      <c r="AW269" s="11">
        <v>0</v>
      </c>
      <c r="AX269" s="11">
        <v>7492.1</v>
      </c>
      <c r="AY269" s="11">
        <v>5492.875</v>
      </c>
      <c r="AZ269" s="11">
        <v>5074.9458333332996</v>
      </c>
      <c r="BA269" s="23">
        <v>3</v>
      </c>
      <c r="BB269" s="24" t="s">
        <v>8</v>
      </c>
    </row>
    <row r="270" spans="1:54" x14ac:dyDescent="0.2">
      <c r="A270" s="5">
        <v>1860</v>
      </c>
      <c r="B270" s="20" t="s">
        <v>71</v>
      </c>
      <c r="C270" s="18" t="s">
        <v>55</v>
      </c>
      <c r="D270" s="18">
        <v>6</v>
      </c>
      <c r="E270" s="18">
        <v>1</v>
      </c>
      <c r="F270" s="20">
        <v>4</v>
      </c>
      <c r="G270" s="18">
        <v>30</v>
      </c>
      <c r="H270" s="22" t="s">
        <v>8</v>
      </c>
      <c r="I270" s="22" t="s">
        <v>8</v>
      </c>
      <c r="J270" s="22" t="s">
        <v>8</v>
      </c>
      <c r="K270" s="22" t="s">
        <v>8</v>
      </c>
      <c r="L270" s="22" t="s">
        <v>8</v>
      </c>
      <c r="M270" s="22" t="s">
        <v>8</v>
      </c>
      <c r="N270" s="22" t="s">
        <v>8</v>
      </c>
      <c r="O270" s="22" t="s">
        <v>8</v>
      </c>
      <c r="P270" s="22" t="s">
        <v>8</v>
      </c>
      <c r="Q270" s="22" t="s">
        <v>8</v>
      </c>
      <c r="R270" s="22" t="s">
        <v>8</v>
      </c>
      <c r="S270" s="22" t="s">
        <v>8</v>
      </c>
      <c r="T270" s="5">
        <v>3</v>
      </c>
      <c r="U270" s="5">
        <v>15</v>
      </c>
      <c r="V270" s="20" t="s">
        <v>1</v>
      </c>
      <c r="W270" s="20">
        <v>5</v>
      </c>
      <c r="X270" s="20">
        <v>1</v>
      </c>
      <c r="Y270" s="5">
        <v>1</v>
      </c>
      <c r="Z270" s="20">
        <v>4</v>
      </c>
      <c r="AA270" s="23">
        <f t="shared" si="8"/>
        <v>2</v>
      </c>
      <c r="AB270" s="15">
        <v>0.875</v>
      </c>
      <c r="AC270" s="15">
        <v>1</v>
      </c>
      <c r="AD270" s="15">
        <v>0.625</v>
      </c>
      <c r="AE270" s="15">
        <v>0.83299999999999996</v>
      </c>
      <c r="AF270" s="20">
        <v>20</v>
      </c>
      <c r="AG270" s="20" t="s">
        <v>8</v>
      </c>
      <c r="AH270" s="24">
        <v>24</v>
      </c>
      <c r="AI270" s="23">
        <f t="shared" si="9"/>
        <v>1</v>
      </c>
      <c r="AJ270" s="17">
        <v>11.5</v>
      </c>
      <c r="AK270" s="17">
        <v>11</v>
      </c>
      <c r="AL270" s="14">
        <v>22.5</v>
      </c>
      <c r="AM270" s="23" cm="1">
        <f t="array" ref="AM270">IF(OR(AN270:AZ270=""),"BLANK",IF(AND(AN270:AZ270&lt;9999999),1,IF(AND(AN270:AZ270="NA"),3,2)))</f>
        <v>1</v>
      </c>
      <c r="AN270" s="5">
        <v>9</v>
      </c>
      <c r="AO270" s="5">
        <v>2</v>
      </c>
      <c r="AP270" s="10">
        <v>3</v>
      </c>
      <c r="AQ270" s="10">
        <v>5.75</v>
      </c>
      <c r="AR270" s="10">
        <v>5.25</v>
      </c>
      <c r="AS270" s="11">
        <v>2371</v>
      </c>
      <c r="AT270" s="11">
        <v>14969.5</v>
      </c>
      <c r="AU270" s="11">
        <v>13907.25</v>
      </c>
      <c r="AV270" s="11">
        <v>25041.25</v>
      </c>
      <c r="AW270" s="11">
        <v>0</v>
      </c>
      <c r="AX270" s="11">
        <v>0</v>
      </c>
      <c r="AY270" s="11">
        <v>2620.7222222221999</v>
      </c>
      <c r="AZ270" s="11">
        <v>49.25</v>
      </c>
      <c r="BA270" s="23">
        <v>3</v>
      </c>
      <c r="BB270" s="24" t="s">
        <v>8</v>
      </c>
    </row>
    <row r="271" spans="1:54" x14ac:dyDescent="0.2">
      <c r="A271" s="5">
        <v>1862</v>
      </c>
      <c r="B271" s="20" t="s">
        <v>65</v>
      </c>
      <c r="C271" s="18" t="s">
        <v>55</v>
      </c>
      <c r="D271" s="18">
        <v>5</v>
      </c>
      <c r="E271" s="18">
        <v>0</v>
      </c>
      <c r="F271" s="20">
        <v>3.7269999999999999</v>
      </c>
      <c r="G271" s="18">
        <v>27</v>
      </c>
      <c r="H271" s="22">
        <v>4.16974674880219</v>
      </c>
      <c r="I271" s="22" t="s">
        <v>8</v>
      </c>
      <c r="J271" s="22" t="s">
        <v>8</v>
      </c>
      <c r="K271" s="22">
        <v>4.1752224503764541</v>
      </c>
      <c r="L271" s="22" t="s">
        <v>8</v>
      </c>
      <c r="M271" s="22" t="s">
        <v>8</v>
      </c>
      <c r="N271" s="22">
        <v>4.1889117043121153</v>
      </c>
      <c r="O271" s="22" t="s">
        <v>8</v>
      </c>
      <c r="P271" s="22" t="s">
        <v>8</v>
      </c>
      <c r="Q271" s="22" t="s">
        <v>8</v>
      </c>
      <c r="R271" s="22" t="s">
        <v>8</v>
      </c>
      <c r="S271" s="22" t="s">
        <v>8</v>
      </c>
      <c r="T271" s="5">
        <v>3</v>
      </c>
      <c r="U271" s="5">
        <v>15</v>
      </c>
      <c r="V271" s="20" t="s">
        <v>1</v>
      </c>
      <c r="W271" s="20">
        <v>5</v>
      </c>
      <c r="X271" s="20">
        <v>1</v>
      </c>
      <c r="Y271" s="5">
        <v>1</v>
      </c>
      <c r="Z271" s="20">
        <v>4</v>
      </c>
      <c r="AA271" s="23">
        <f t="shared" si="8"/>
        <v>2</v>
      </c>
      <c r="AB271" s="15">
        <v>1</v>
      </c>
      <c r="AC271" s="15">
        <v>1</v>
      </c>
      <c r="AD271" s="15">
        <v>0.875</v>
      </c>
      <c r="AE271" s="15">
        <v>0.95799999999999996</v>
      </c>
      <c r="AF271" s="20">
        <v>23</v>
      </c>
      <c r="AG271" s="20" t="s">
        <v>8</v>
      </c>
      <c r="AH271" s="24">
        <v>24</v>
      </c>
      <c r="AI271" s="23">
        <f t="shared" si="9"/>
        <v>1</v>
      </c>
      <c r="AJ271" s="17">
        <v>14</v>
      </c>
      <c r="AK271" s="17">
        <v>9.5</v>
      </c>
      <c r="AL271" s="14">
        <v>23.5</v>
      </c>
      <c r="AM271" s="23" cm="1">
        <f t="array" ref="AM271">IF(OR(AN271:AZ271=""),"BLANK",IF(AND(AN271:AZ271&lt;9999999),1,IF(AND(AN271:AZ271="NA"),3,2)))</f>
        <v>1</v>
      </c>
      <c r="AN271" s="5">
        <v>12</v>
      </c>
      <c r="AO271" s="5">
        <v>2</v>
      </c>
      <c r="AP271" s="10">
        <v>3</v>
      </c>
      <c r="AQ271" s="10">
        <v>4</v>
      </c>
      <c r="AR271" s="10">
        <v>5</v>
      </c>
      <c r="AS271" s="11">
        <v>2546.5</v>
      </c>
      <c r="AT271" s="11">
        <v>3509</v>
      </c>
      <c r="AU271" s="11">
        <v>11955.5</v>
      </c>
      <c r="AV271" s="11">
        <v>34549</v>
      </c>
      <c r="AW271" s="11">
        <v>0</v>
      </c>
      <c r="AX271" s="11">
        <v>263.3333333333</v>
      </c>
      <c r="AY271" s="11">
        <v>2201.6875</v>
      </c>
      <c r="AZ271" s="11">
        <v>585</v>
      </c>
      <c r="BA271" s="23">
        <v>3</v>
      </c>
      <c r="BB271" s="24" t="s">
        <v>8</v>
      </c>
    </row>
    <row r="272" spans="1:54" x14ac:dyDescent="0.2">
      <c r="A272" s="5">
        <v>1863</v>
      </c>
      <c r="B272" s="20" t="s">
        <v>81</v>
      </c>
      <c r="C272" s="18" t="s">
        <v>54</v>
      </c>
      <c r="D272" s="18">
        <v>5</v>
      </c>
      <c r="E272" s="18">
        <v>0</v>
      </c>
      <c r="F272" s="20">
        <v>4</v>
      </c>
      <c r="G272" s="18">
        <v>27</v>
      </c>
      <c r="H272" s="22">
        <v>3.9726214921286789</v>
      </c>
      <c r="I272" s="22">
        <v>4.7200547570157427</v>
      </c>
      <c r="J272" s="22">
        <v>8.6926762491444212</v>
      </c>
      <c r="K272" s="22">
        <v>3.9726214921286789</v>
      </c>
      <c r="L272" s="22">
        <v>4.8240930869267622</v>
      </c>
      <c r="M272" s="22">
        <v>8.7967145790554415</v>
      </c>
      <c r="N272" s="22">
        <v>4.0574948665297743</v>
      </c>
      <c r="O272" s="22">
        <v>4.5393566050650236</v>
      </c>
      <c r="P272" s="22">
        <v>8.5968514715947979</v>
      </c>
      <c r="Q272" s="22">
        <v>3.7782340862422998</v>
      </c>
      <c r="R272" s="22">
        <v>5.5140314852840522</v>
      </c>
      <c r="S272" s="22">
        <v>9.292265571526352</v>
      </c>
      <c r="T272" s="5">
        <v>4</v>
      </c>
      <c r="U272" s="5">
        <v>16</v>
      </c>
      <c r="V272" s="20" t="s">
        <v>1</v>
      </c>
      <c r="W272" s="20">
        <v>5</v>
      </c>
      <c r="X272" s="20">
        <v>1</v>
      </c>
      <c r="Y272" s="5">
        <v>1</v>
      </c>
      <c r="Z272" s="20">
        <v>4</v>
      </c>
      <c r="AA272" s="23">
        <f t="shared" si="8"/>
        <v>2</v>
      </c>
      <c r="AB272" s="15">
        <v>1</v>
      </c>
      <c r="AC272" s="15">
        <v>0.875</v>
      </c>
      <c r="AD272" s="15">
        <v>0.125</v>
      </c>
      <c r="AE272" s="15">
        <v>0.66700000000000004</v>
      </c>
      <c r="AF272" s="20">
        <v>16</v>
      </c>
      <c r="AG272" s="20" t="s">
        <v>8</v>
      </c>
      <c r="AH272" s="24">
        <v>24</v>
      </c>
      <c r="AI272" s="23">
        <f t="shared" si="9"/>
        <v>1</v>
      </c>
      <c r="AJ272" s="17">
        <v>8.75</v>
      </c>
      <c r="AK272" s="17">
        <v>10</v>
      </c>
      <c r="AL272" s="14">
        <v>18.75</v>
      </c>
      <c r="AM272" s="23" cm="1">
        <f t="array" ref="AM272">IF(OR(AN272:AZ272=""),"BLANK",IF(AND(AN272:AZ272&lt;9999999),1,IF(AND(AN272:AZ272="NA"),3,2)))</f>
        <v>1</v>
      </c>
      <c r="AN272" s="5">
        <v>6</v>
      </c>
      <c r="AO272" s="5">
        <v>2</v>
      </c>
      <c r="AP272" s="10">
        <v>3</v>
      </c>
      <c r="AQ272" s="10">
        <v>5.5</v>
      </c>
      <c r="AR272" s="10">
        <v>9</v>
      </c>
      <c r="AS272" s="11">
        <v>3702</v>
      </c>
      <c r="AT272" s="11">
        <v>5978</v>
      </c>
      <c r="AU272" s="11">
        <v>9870.75</v>
      </c>
      <c r="AV272" s="11">
        <v>17512.5</v>
      </c>
      <c r="AW272" s="11">
        <v>2907</v>
      </c>
      <c r="AX272" s="11">
        <v>0</v>
      </c>
      <c r="AY272" s="11">
        <v>23715.986111111099</v>
      </c>
      <c r="AZ272" s="11">
        <v>15159.875</v>
      </c>
      <c r="BA272" s="23">
        <v>3</v>
      </c>
      <c r="BB272" s="24" t="s">
        <v>8</v>
      </c>
    </row>
    <row r="273" spans="1:54" x14ac:dyDescent="0.2">
      <c r="A273" s="5">
        <v>1864</v>
      </c>
      <c r="B273" s="20" t="s">
        <v>71</v>
      </c>
      <c r="C273" s="18" t="s">
        <v>54</v>
      </c>
      <c r="D273" s="18">
        <v>1</v>
      </c>
      <c r="E273" s="18">
        <v>0</v>
      </c>
      <c r="F273" s="20">
        <v>3.5449999999999999</v>
      </c>
      <c r="G273" s="18">
        <v>29</v>
      </c>
      <c r="H273" s="22">
        <v>3.5783709787816562</v>
      </c>
      <c r="I273" s="22" t="s">
        <v>8</v>
      </c>
      <c r="J273" s="22" t="s">
        <v>8</v>
      </c>
      <c r="K273" s="22">
        <v>3.5592060232717317</v>
      </c>
      <c r="L273" s="22" t="s">
        <v>8</v>
      </c>
      <c r="M273" s="22" t="s">
        <v>8</v>
      </c>
      <c r="N273" s="22">
        <v>3.5783709787816562</v>
      </c>
      <c r="O273" s="22" t="s">
        <v>8</v>
      </c>
      <c r="P273" s="22" t="s">
        <v>8</v>
      </c>
      <c r="Q273" s="22">
        <v>3.2498288843258041</v>
      </c>
      <c r="R273" s="22" t="s">
        <v>8</v>
      </c>
      <c r="S273" s="22" t="s">
        <v>8</v>
      </c>
      <c r="T273" s="5">
        <v>6</v>
      </c>
      <c r="U273" s="5">
        <v>18</v>
      </c>
      <c r="V273" s="20" t="s">
        <v>1</v>
      </c>
      <c r="W273" s="20">
        <v>5</v>
      </c>
      <c r="X273" s="20">
        <v>1</v>
      </c>
      <c r="Y273" s="5">
        <v>1</v>
      </c>
      <c r="Z273" s="20">
        <v>4</v>
      </c>
      <c r="AA273" s="23">
        <f t="shared" si="8"/>
        <v>2</v>
      </c>
      <c r="AB273" s="15">
        <v>1</v>
      </c>
      <c r="AC273" s="15">
        <v>1</v>
      </c>
      <c r="AD273" s="15">
        <v>0.875</v>
      </c>
      <c r="AE273" s="15">
        <v>0.95799999999999996</v>
      </c>
      <c r="AF273" s="20">
        <v>23</v>
      </c>
      <c r="AG273" s="20" t="s">
        <v>8</v>
      </c>
      <c r="AH273" s="24">
        <v>24</v>
      </c>
      <c r="AI273" s="23">
        <f t="shared" si="9"/>
        <v>1</v>
      </c>
      <c r="AJ273" s="17">
        <v>9</v>
      </c>
      <c r="AK273" s="17">
        <v>9.75</v>
      </c>
      <c r="AL273" s="14">
        <v>18.75</v>
      </c>
      <c r="AM273" s="23" cm="1">
        <f t="array" ref="AM273">IF(OR(AN273:AZ273=""),"BLANK",IF(AND(AN273:AZ273&lt;9999999),1,IF(AND(AN273:AZ273="NA"),3,2)))</f>
        <v>1</v>
      </c>
      <c r="AN273" s="5">
        <v>10</v>
      </c>
      <c r="AO273" s="5">
        <v>2</v>
      </c>
      <c r="AP273" s="10">
        <v>3</v>
      </c>
      <c r="AQ273" s="10">
        <v>5.25</v>
      </c>
      <c r="AR273" s="10">
        <v>6</v>
      </c>
      <c r="AS273" s="11">
        <v>1671</v>
      </c>
      <c r="AT273" s="11">
        <v>4253</v>
      </c>
      <c r="AU273" s="11">
        <v>19780.75</v>
      </c>
      <c r="AV273" s="11">
        <v>15557.5</v>
      </c>
      <c r="AW273" s="11">
        <v>2560.5</v>
      </c>
      <c r="AX273" s="11">
        <v>0</v>
      </c>
      <c r="AY273" s="11">
        <v>881.31944444440001</v>
      </c>
      <c r="AZ273" s="11">
        <v>296.74444444440002</v>
      </c>
      <c r="BA273" s="23">
        <v>3</v>
      </c>
      <c r="BB273" s="24" t="s">
        <v>8</v>
      </c>
    </row>
    <row r="274" spans="1:54" x14ac:dyDescent="0.2">
      <c r="A274" s="5">
        <v>1866</v>
      </c>
      <c r="B274" s="20" t="s">
        <v>80</v>
      </c>
      <c r="C274" s="18" t="s">
        <v>55</v>
      </c>
      <c r="D274" s="18">
        <v>5</v>
      </c>
      <c r="E274" s="18">
        <v>0</v>
      </c>
      <c r="F274" s="20">
        <v>4</v>
      </c>
      <c r="G274" s="18">
        <v>28</v>
      </c>
      <c r="H274" s="22" t="s">
        <v>8</v>
      </c>
      <c r="I274" s="22" t="s">
        <v>8</v>
      </c>
      <c r="J274" s="22" t="s">
        <v>8</v>
      </c>
      <c r="K274" s="22" t="s">
        <v>8</v>
      </c>
      <c r="L274" s="22" t="s">
        <v>8</v>
      </c>
      <c r="M274" s="22" t="s">
        <v>8</v>
      </c>
      <c r="N274" s="22" t="s">
        <v>8</v>
      </c>
      <c r="O274" s="22" t="s">
        <v>8</v>
      </c>
      <c r="P274" s="22" t="s">
        <v>8</v>
      </c>
      <c r="Q274" s="22" t="s">
        <v>8</v>
      </c>
      <c r="R274" s="22" t="s">
        <v>8</v>
      </c>
      <c r="S274" s="22" t="s">
        <v>8</v>
      </c>
      <c r="T274" s="5">
        <v>6</v>
      </c>
      <c r="U274" s="5">
        <v>18</v>
      </c>
      <c r="V274" s="20" t="s">
        <v>1</v>
      </c>
      <c r="W274" s="20">
        <v>5</v>
      </c>
      <c r="X274" s="20">
        <v>1</v>
      </c>
      <c r="Y274" s="5">
        <v>1</v>
      </c>
      <c r="Z274" s="20">
        <v>4</v>
      </c>
      <c r="AA274" s="23">
        <f t="shared" si="8"/>
        <v>2</v>
      </c>
      <c r="AB274" s="15">
        <v>0.7142857142857143</v>
      </c>
      <c r="AC274" s="15">
        <v>0.66666666666666663</v>
      </c>
      <c r="AD274" s="15">
        <v>0</v>
      </c>
      <c r="AE274" s="15">
        <v>0.45</v>
      </c>
      <c r="AF274" s="20">
        <v>9</v>
      </c>
      <c r="AG274" s="20" t="s">
        <v>8</v>
      </c>
      <c r="AH274" s="24">
        <v>20</v>
      </c>
      <c r="AI274" s="23">
        <f t="shared" si="9"/>
        <v>1</v>
      </c>
      <c r="AJ274" s="17">
        <v>2</v>
      </c>
      <c r="AK274" s="17">
        <v>1.25</v>
      </c>
      <c r="AL274" s="14">
        <v>3.25</v>
      </c>
      <c r="AM274" s="23" cm="1">
        <f t="array" ref="AM274">IF(OR(AN274:AZ274=""),"BLANK",IF(AND(AN274:AZ274&lt;9999999),1,IF(AND(AN274:AZ274="NA"),3,2)))</f>
        <v>1</v>
      </c>
      <c r="AN274" s="5">
        <v>2</v>
      </c>
      <c r="AO274" s="5">
        <v>2</v>
      </c>
      <c r="AP274" s="10">
        <v>5.5</v>
      </c>
      <c r="AQ274" s="10">
        <v>7.25</v>
      </c>
      <c r="AR274" s="10">
        <v>11.75</v>
      </c>
      <c r="AS274" s="11">
        <v>1792</v>
      </c>
      <c r="AT274" s="11">
        <v>1486.5</v>
      </c>
      <c r="AU274" s="11">
        <v>6754.75</v>
      </c>
      <c r="AV274" s="11">
        <v>4295.25</v>
      </c>
      <c r="AW274" s="11">
        <v>0</v>
      </c>
      <c r="AX274" s="11">
        <v>97373.053571428594</v>
      </c>
      <c r="AY274" s="11">
        <v>24517.575000000001</v>
      </c>
      <c r="AZ274" s="11">
        <v>22215.600378787902</v>
      </c>
      <c r="BA274" s="23">
        <v>3</v>
      </c>
      <c r="BB274" s="24" t="s">
        <v>8</v>
      </c>
    </row>
    <row r="275" spans="1:54" x14ac:dyDescent="0.2">
      <c r="A275" s="5">
        <v>1868</v>
      </c>
      <c r="B275" s="20" t="s">
        <v>81</v>
      </c>
      <c r="C275" s="18" t="s">
        <v>54</v>
      </c>
      <c r="D275" s="18">
        <v>5</v>
      </c>
      <c r="E275" s="18">
        <v>0</v>
      </c>
      <c r="F275" s="20">
        <v>3.9089999999999998</v>
      </c>
      <c r="G275" s="18">
        <v>28</v>
      </c>
      <c r="H275" s="22">
        <v>3.7563312799452429</v>
      </c>
      <c r="I275" s="22" t="s">
        <v>8</v>
      </c>
      <c r="J275" s="22" t="s">
        <v>8</v>
      </c>
      <c r="K275" s="22">
        <v>3.7563312799452429</v>
      </c>
      <c r="L275" s="22" t="s">
        <v>8</v>
      </c>
      <c r="M275" s="22" t="s">
        <v>8</v>
      </c>
      <c r="N275" s="22">
        <v>3.761806981519507</v>
      </c>
      <c r="O275" s="22" t="s">
        <v>8</v>
      </c>
      <c r="P275" s="22" t="s">
        <v>8</v>
      </c>
      <c r="Q275" s="22">
        <v>3.14031485284052</v>
      </c>
      <c r="R275" s="22" t="s">
        <v>8</v>
      </c>
      <c r="S275" s="22" t="s">
        <v>8</v>
      </c>
      <c r="T275" s="5">
        <v>2</v>
      </c>
      <c r="U275" s="5">
        <v>12</v>
      </c>
      <c r="V275" s="20" t="s">
        <v>1</v>
      </c>
      <c r="W275" s="20">
        <v>5</v>
      </c>
      <c r="X275" s="20">
        <v>1</v>
      </c>
      <c r="Y275" s="5">
        <v>1</v>
      </c>
      <c r="Z275" s="20">
        <v>4</v>
      </c>
      <c r="AA275" s="23">
        <f t="shared" si="8"/>
        <v>2</v>
      </c>
      <c r="AB275" s="15">
        <v>1</v>
      </c>
      <c r="AC275" s="15">
        <v>0.875</v>
      </c>
      <c r="AD275" s="15">
        <v>0.625</v>
      </c>
      <c r="AE275" s="15">
        <v>0.83299999999999996</v>
      </c>
      <c r="AF275" s="20">
        <v>20</v>
      </c>
      <c r="AG275" s="20" t="s">
        <v>8</v>
      </c>
      <c r="AH275" s="24">
        <v>24</v>
      </c>
      <c r="AI275" s="23">
        <f t="shared" si="9"/>
        <v>1</v>
      </c>
      <c r="AJ275" s="17">
        <v>6.5</v>
      </c>
      <c r="AK275" s="17">
        <v>7.5</v>
      </c>
      <c r="AL275" s="14">
        <v>14</v>
      </c>
      <c r="AM275" s="23" cm="1">
        <f t="array" ref="AM275">IF(OR(AN275:AZ275=""),"BLANK",IF(AND(AN275:AZ275&lt;9999999),1,IF(AND(AN275:AZ275="NA"),3,2)))</f>
        <v>1</v>
      </c>
      <c r="AN275" s="5">
        <v>8</v>
      </c>
      <c r="AO275" s="5">
        <v>2</v>
      </c>
      <c r="AP275" s="10">
        <v>3</v>
      </c>
      <c r="AQ275" s="10">
        <v>4.5</v>
      </c>
      <c r="AR275" s="10">
        <v>6.25</v>
      </c>
      <c r="AS275" s="11">
        <v>3683</v>
      </c>
      <c r="AT275" s="11">
        <v>27426.5</v>
      </c>
      <c r="AU275" s="11">
        <v>20307.25</v>
      </c>
      <c r="AV275" s="11">
        <v>32240.5</v>
      </c>
      <c r="AW275" s="11">
        <v>0</v>
      </c>
      <c r="AX275" s="11">
        <v>1054.5</v>
      </c>
      <c r="AY275" s="11">
        <v>0</v>
      </c>
      <c r="AZ275" s="11">
        <v>1723.5555555556</v>
      </c>
      <c r="BA275" s="23">
        <v>3</v>
      </c>
      <c r="BB275" s="24" t="s">
        <v>8</v>
      </c>
    </row>
    <row r="276" spans="1:54" x14ac:dyDescent="0.2">
      <c r="A276" s="5">
        <v>1869</v>
      </c>
      <c r="B276" s="20" t="s">
        <v>71</v>
      </c>
      <c r="C276" s="18" t="s">
        <v>55</v>
      </c>
      <c r="D276" s="18">
        <v>6</v>
      </c>
      <c r="E276" s="18">
        <v>1</v>
      </c>
      <c r="F276" s="20">
        <v>2.6360000000000001</v>
      </c>
      <c r="G276" s="18">
        <v>28</v>
      </c>
      <c r="H276" s="22" t="s">
        <v>8</v>
      </c>
      <c r="I276" s="22" t="s">
        <v>8</v>
      </c>
      <c r="J276" s="22" t="s">
        <v>8</v>
      </c>
      <c r="K276" s="22" t="s">
        <v>8</v>
      </c>
      <c r="L276" s="22" t="s">
        <v>8</v>
      </c>
      <c r="M276" s="22" t="s">
        <v>8</v>
      </c>
      <c r="N276" s="22" t="s">
        <v>8</v>
      </c>
      <c r="O276" s="22" t="s">
        <v>8</v>
      </c>
      <c r="P276" s="22" t="s">
        <v>8</v>
      </c>
      <c r="Q276" s="22" t="s">
        <v>8</v>
      </c>
      <c r="R276" s="22" t="s">
        <v>8</v>
      </c>
      <c r="S276" s="22" t="s">
        <v>8</v>
      </c>
      <c r="T276" s="5">
        <v>7</v>
      </c>
      <c r="U276" s="5">
        <v>21</v>
      </c>
      <c r="V276" s="20" t="s">
        <v>1</v>
      </c>
      <c r="W276" s="20">
        <v>5</v>
      </c>
      <c r="X276" s="20">
        <v>1</v>
      </c>
      <c r="Y276" s="5">
        <v>1</v>
      </c>
      <c r="Z276" s="20">
        <v>4</v>
      </c>
      <c r="AA276" s="23">
        <f t="shared" si="8"/>
        <v>2</v>
      </c>
      <c r="AB276" s="15">
        <v>1</v>
      </c>
      <c r="AC276" s="15">
        <v>0.875</v>
      </c>
      <c r="AD276" s="15">
        <v>0.75</v>
      </c>
      <c r="AE276" s="15">
        <v>0.875</v>
      </c>
      <c r="AF276" s="20">
        <v>21</v>
      </c>
      <c r="AG276" s="20" t="s">
        <v>8</v>
      </c>
      <c r="AH276" s="24">
        <v>24</v>
      </c>
      <c r="AI276" s="23">
        <f t="shared" si="9"/>
        <v>1</v>
      </c>
      <c r="AJ276" s="17">
        <v>10</v>
      </c>
      <c r="AK276" s="17">
        <v>9</v>
      </c>
      <c r="AL276" s="14">
        <v>19</v>
      </c>
      <c r="AM276" s="23" cm="1">
        <f t="array" ref="AM276">IF(OR(AN276:AZ276=""),"BLANK",IF(AND(AN276:AZ276&lt;9999999),1,IF(AND(AN276:AZ276="NA"),3,2)))</f>
        <v>1</v>
      </c>
      <c r="AN276" s="5">
        <v>8</v>
      </c>
      <c r="AO276" s="5">
        <v>2</v>
      </c>
      <c r="AP276" s="10">
        <v>3.5</v>
      </c>
      <c r="AQ276" s="10">
        <v>4.75</v>
      </c>
      <c r="AR276" s="10">
        <v>6.75</v>
      </c>
      <c r="AS276" s="11">
        <v>1835.5</v>
      </c>
      <c r="AT276" s="11">
        <v>58469.5</v>
      </c>
      <c r="AU276" s="11">
        <v>8129</v>
      </c>
      <c r="AV276" s="11">
        <v>10570.5</v>
      </c>
      <c r="AW276" s="11">
        <v>0</v>
      </c>
      <c r="AX276" s="11">
        <v>20256.125</v>
      </c>
      <c r="AY276" s="11">
        <v>1861.1875</v>
      </c>
      <c r="AZ276" s="11">
        <v>1669.8041666667</v>
      </c>
      <c r="BA276" s="23">
        <v>3</v>
      </c>
      <c r="BB276" s="24" t="s">
        <v>8</v>
      </c>
    </row>
    <row r="277" spans="1:54" x14ac:dyDescent="0.2">
      <c r="A277" s="5">
        <v>1874</v>
      </c>
      <c r="B277" s="20" t="s">
        <v>77</v>
      </c>
      <c r="C277" s="18" t="s">
        <v>54</v>
      </c>
      <c r="D277" s="18">
        <v>5</v>
      </c>
      <c r="E277" s="18">
        <v>0</v>
      </c>
      <c r="F277" s="20">
        <v>3.4550000000000001</v>
      </c>
      <c r="G277" s="18">
        <v>30</v>
      </c>
      <c r="H277" s="22" t="s">
        <v>8</v>
      </c>
      <c r="I277" s="22" t="s">
        <v>8</v>
      </c>
      <c r="J277" s="22" t="s">
        <v>8</v>
      </c>
      <c r="K277" s="22" t="s">
        <v>8</v>
      </c>
      <c r="L277" s="22" t="s">
        <v>8</v>
      </c>
      <c r="M277" s="22" t="s">
        <v>8</v>
      </c>
      <c r="N277" s="22" t="s">
        <v>8</v>
      </c>
      <c r="O277" s="22" t="s">
        <v>8</v>
      </c>
      <c r="P277" s="22" t="s">
        <v>8</v>
      </c>
      <c r="Q277" s="22" t="s">
        <v>8</v>
      </c>
      <c r="R277" s="22" t="s">
        <v>8</v>
      </c>
      <c r="S277" s="22" t="s">
        <v>8</v>
      </c>
      <c r="T277" s="5">
        <v>6</v>
      </c>
      <c r="U277" s="5">
        <v>18</v>
      </c>
      <c r="V277" s="20" t="s">
        <v>1</v>
      </c>
      <c r="W277" s="20">
        <v>5</v>
      </c>
      <c r="X277" s="20">
        <v>1</v>
      </c>
      <c r="Y277" s="5">
        <v>1</v>
      </c>
      <c r="Z277" s="20">
        <v>4</v>
      </c>
      <c r="AA277" s="23">
        <f t="shared" si="8"/>
        <v>2</v>
      </c>
      <c r="AB277" s="15">
        <v>1</v>
      </c>
      <c r="AC277" s="15">
        <v>1</v>
      </c>
      <c r="AD277" s="15">
        <v>0.625</v>
      </c>
      <c r="AE277" s="15">
        <v>0.875</v>
      </c>
      <c r="AF277" s="20">
        <v>21</v>
      </c>
      <c r="AG277" s="20" t="s">
        <v>8</v>
      </c>
      <c r="AH277" s="24">
        <v>24</v>
      </c>
      <c r="AI277" s="23">
        <f t="shared" si="9"/>
        <v>1</v>
      </c>
      <c r="AJ277" s="17">
        <v>8.25</v>
      </c>
      <c r="AK277" s="17">
        <v>9</v>
      </c>
      <c r="AL277" s="14">
        <v>17.25</v>
      </c>
      <c r="AM277" s="23" cm="1">
        <f t="array" ref="AM277">IF(OR(AN277:AZ277=""),"BLANK",IF(AND(AN277:AZ277&lt;9999999),1,IF(AND(AN277:AZ277="NA"),3,2)))</f>
        <v>1</v>
      </c>
      <c r="AN277" s="5">
        <v>10</v>
      </c>
      <c r="AO277" s="5">
        <v>2</v>
      </c>
      <c r="AP277" s="10">
        <v>3.5</v>
      </c>
      <c r="AQ277" s="10">
        <v>4.75</v>
      </c>
      <c r="AR277" s="10">
        <v>5</v>
      </c>
      <c r="AS277" s="11">
        <v>0</v>
      </c>
      <c r="AT277" s="11">
        <v>2417.5</v>
      </c>
      <c r="AU277" s="11">
        <v>26731.25</v>
      </c>
      <c r="AV277" s="11">
        <v>18910.75</v>
      </c>
      <c r="AW277" s="11">
        <v>583.25</v>
      </c>
      <c r="AX277" s="11">
        <v>9924.5833333332994</v>
      </c>
      <c r="AY277" s="11">
        <v>2322.4821428570999</v>
      </c>
      <c r="AZ277" s="11">
        <v>611.9</v>
      </c>
      <c r="BA277" s="23">
        <v>3</v>
      </c>
      <c r="BB277" s="24" t="s">
        <v>8</v>
      </c>
    </row>
    <row r="278" spans="1:54" x14ac:dyDescent="0.2">
      <c r="A278" s="5">
        <v>1875</v>
      </c>
      <c r="B278" s="20" t="s">
        <v>78</v>
      </c>
      <c r="C278" s="18" t="s">
        <v>54</v>
      </c>
      <c r="D278" s="18">
        <v>5</v>
      </c>
      <c r="E278" s="18">
        <v>0</v>
      </c>
      <c r="F278" s="20">
        <v>4</v>
      </c>
      <c r="G278" s="18">
        <v>28</v>
      </c>
      <c r="H278" s="22">
        <v>4.1916495550992474</v>
      </c>
      <c r="I278" s="22">
        <v>4.4407939767282683</v>
      </c>
      <c r="J278" s="22">
        <v>8.6324435318275157</v>
      </c>
      <c r="K278" s="22">
        <v>4.1916495550992474</v>
      </c>
      <c r="L278" s="22">
        <v>4.4407939767282683</v>
      </c>
      <c r="M278" s="22">
        <v>8.6324435318275157</v>
      </c>
      <c r="N278" s="22">
        <v>4.216290212183436</v>
      </c>
      <c r="O278" s="22">
        <v>4.0520191649555102</v>
      </c>
      <c r="P278" s="22">
        <v>8.2683093771389462</v>
      </c>
      <c r="Q278" s="22" t="s">
        <v>8</v>
      </c>
      <c r="R278" s="22" t="s">
        <v>8</v>
      </c>
      <c r="S278" s="22" t="s">
        <v>8</v>
      </c>
      <c r="T278" s="5">
        <v>5</v>
      </c>
      <c r="U278" s="5">
        <v>18</v>
      </c>
      <c r="V278" s="20" t="s">
        <v>1</v>
      </c>
      <c r="W278" s="20">
        <v>5</v>
      </c>
      <c r="X278" s="20">
        <v>1</v>
      </c>
      <c r="Y278" s="5">
        <v>1</v>
      </c>
      <c r="Z278" s="20">
        <v>4</v>
      </c>
      <c r="AA278" s="23">
        <f t="shared" si="8"/>
        <v>2</v>
      </c>
      <c r="AB278" s="15">
        <v>1</v>
      </c>
      <c r="AC278" s="15">
        <v>1</v>
      </c>
      <c r="AD278" s="15">
        <v>0.625</v>
      </c>
      <c r="AE278" s="15">
        <v>0.875</v>
      </c>
      <c r="AF278" s="20">
        <v>21</v>
      </c>
      <c r="AG278" s="20" t="s">
        <v>8</v>
      </c>
      <c r="AH278" s="24">
        <v>24</v>
      </c>
      <c r="AI278" s="23">
        <f t="shared" si="9"/>
        <v>1</v>
      </c>
      <c r="AJ278" s="17">
        <v>12</v>
      </c>
      <c r="AK278" s="17">
        <v>9.25</v>
      </c>
      <c r="AL278" s="14">
        <v>21.25</v>
      </c>
      <c r="AM278" s="23" cm="1">
        <f t="array" ref="AM278">IF(OR(AN278:AZ278=""),"BLANK",IF(AND(AN278:AZ278&lt;9999999),1,IF(AND(AN278:AZ278="NA"),3,2)))</f>
        <v>1</v>
      </c>
      <c r="AN278" s="5">
        <v>10</v>
      </c>
      <c r="AO278" s="5">
        <v>2</v>
      </c>
      <c r="AP278" s="10">
        <v>3</v>
      </c>
      <c r="AQ278" s="10">
        <v>4.5</v>
      </c>
      <c r="AR278" s="10">
        <v>6.5</v>
      </c>
      <c r="AS278" s="11">
        <v>1199</v>
      </c>
      <c r="AT278" s="11">
        <v>3261.5</v>
      </c>
      <c r="AU278" s="11">
        <v>3248.25</v>
      </c>
      <c r="AV278" s="11">
        <v>4492.75</v>
      </c>
      <c r="AW278" s="11">
        <v>0</v>
      </c>
      <c r="AX278" s="11">
        <v>0</v>
      </c>
      <c r="AY278" s="11">
        <v>1793.1041666666999</v>
      </c>
      <c r="AZ278" s="11">
        <v>7755.7636363636002</v>
      </c>
      <c r="BA278" s="23">
        <v>3</v>
      </c>
      <c r="BB278" s="24" t="s">
        <v>8</v>
      </c>
    </row>
    <row r="279" spans="1:54" x14ac:dyDescent="0.2">
      <c r="A279" s="5">
        <v>1882</v>
      </c>
      <c r="B279" s="20" t="s">
        <v>83</v>
      </c>
      <c r="C279" s="18" t="s">
        <v>55</v>
      </c>
      <c r="D279" s="18">
        <v>5</v>
      </c>
      <c r="E279" s="18">
        <v>0</v>
      </c>
      <c r="F279" s="20" t="s">
        <v>8</v>
      </c>
      <c r="G279" s="18">
        <v>27</v>
      </c>
      <c r="H279" s="22" t="s">
        <v>8</v>
      </c>
      <c r="I279" s="22" t="s">
        <v>8</v>
      </c>
      <c r="J279" s="22" t="s">
        <v>8</v>
      </c>
      <c r="K279" s="22" t="s">
        <v>8</v>
      </c>
      <c r="L279" s="22" t="s">
        <v>8</v>
      </c>
      <c r="M279" s="22" t="s">
        <v>8</v>
      </c>
      <c r="N279" s="22" t="s">
        <v>8</v>
      </c>
      <c r="O279" s="22" t="s">
        <v>8</v>
      </c>
      <c r="P279" s="22" t="s">
        <v>8</v>
      </c>
      <c r="Q279" s="22" t="s">
        <v>8</v>
      </c>
      <c r="R279" s="22" t="s">
        <v>8</v>
      </c>
      <c r="S279" s="22" t="s">
        <v>8</v>
      </c>
      <c r="T279" s="5">
        <v>3</v>
      </c>
      <c r="U279" s="5">
        <v>14</v>
      </c>
      <c r="V279" s="20" t="s">
        <v>1</v>
      </c>
      <c r="W279" s="20">
        <v>5</v>
      </c>
      <c r="X279" s="20">
        <v>1</v>
      </c>
      <c r="Y279" s="5">
        <v>1</v>
      </c>
      <c r="Z279" s="20">
        <v>4</v>
      </c>
      <c r="AA279" s="23">
        <f t="shared" si="8"/>
        <v>2</v>
      </c>
      <c r="AB279" s="15">
        <v>0.75</v>
      </c>
      <c r="AC279" s="15">
        <v>1</v>
      </c>
      <c r="AD279" s="15">
        <v>0.5</v>
      </c>
      <c r="AE279" s="15">
        <v>0.77300000000000002</v>
      </c>
      <c r="AF279" s="20">
        <v>17</v>
      </c>
      <c r="AG279" s="20" t="s">
        <v>8</v>
      </c>
      <c r="AH279" s="24">
        <v>22</v>
      </c>
      <c r="AI279" s="23">
        <f t="shared" si="9"/>
        <v>1</v>
      </c>
      <c r="AJ279" s="17">
        <v>3.5</v>
      </c>
      <c r="AK279" s="17">
        <v>4</v>
      </c>
      <c r="AL279" s="14">
        <v>7.5</v>
      </c>
      <c r="AM279" s="23" cm="1">
        <f t="array" ref="AM279">IF(OR(AN279:AZ279=""),"BLANK",IF(AND(AN279:AZ279&lt;9999999),1,IF(AND(AN279:AZ279="NA"),3,2)))</f>
        <v>1</v>
      </c>
      <c r="AN279" s="5">
        <v>8</v>
      </c>
      <c r="AO279" s="5">
        <v>2</v>
      </c>
      <c r="AP279" s="10">
        <v>3</v>
      </c>
      <c r="AQ279" s="10">
        <v>6.5</v>
      </c>
      <c r="AR279" s="10">
        <v>8.5</v>
      </c>
      <c r="AS279" s="11">
        <v>3803.5</v>
      </c>
      <c r="AT279" s="11">
        <v>4523</v>
      </c>
      <c r="AU279" s="11">
        <v>23048</v>
      </c>
      <c r="AV279" s="11">
        <v>20029</v>
      </c>
      <c r="AW279" s="11">
        <v>0</v>
      </c>
      <c r="AX279" s="11">
        <v>0</v>
      </c>
      <c r="AY279" s="11">
        <v>2791.9444444443998</v>
      </c>
      <c r="AZ279" s="11">
        <v>1609.9791666666999</v>
      </c>
      <c r="BA279" s="23">
        <v>3</v>
      </c>
      <c r="BB279" s="24" t="s">
        <v>8</v>
      </c>
    </row>
    <row r="280" spans="1:54" x14ac:dyDescent="0.2">
      <c r="A280" s="5">
        <v>1886</v>
      </c>
      <c r="B280" s="20" t="s">
        <v>81</v>
      </c>
      <c r="C280" s="18" t="s">
        <v>54</v>
      </c>
      <c r="D280" s="18">
        <v>5</v>
      </c>
      <c r="E280" s="18">
        <v>0</v>
      </c>
      <c r="F280" s="20">
        <v>4</v>
      </c>
      <c r="G280" s="18">
        <v>27</v>
      </c>
      <c r="H280" s="22" t="s">
        <v>8</v>
      </c>
      <c r="I280" s="22" t="s">
        <v>8</v>
      </c>
      <c r="J280" s="22" t="s">
        <v>8</v>
      </c>
      <c r="K280" s="22" t="s">
        <v>8</v>
      </c>
      <c r="L280" s="22" t="s">
        <v>8</v>
      </c>
      <c r="M280" s="22" t="s">
        <v>8</v>
      </c>
      <c r="N280" s="22" t="s">
        <v>8</v>
      </c>
      <c r="O280" s="22" t="s">
        <v>8</v>
      </c>
      <c r="P280" s="22" t="s">
        <v>8</v>
      </c>
      <c r="Q280" s="22" t="s">
        <v>8</v>
      </c>
      <c r="R280" s="22" t="s">
        <v>8</v>
      </c>
      <c r="S280" s="22" t="s">
        <v>8</v>
      </c>
      <c r="T280" s="5">
        <v>3</v>
      </c>
      <c r="U280" s="5">
        <v>15</v>
      </c>
      <c r="V280" s="20" t="s">
        <v>1</v>
      </c>
      <c r="W280" s="20">
        <v>5</v>
      </c>
      <c r="X280" s="20">
        <v>1</v>
      </c>
      <c r="Y280" s="5">
        <v>1</v>
      </c>
      <c r="Z280" s="20">
        <v>4</v>
      </c>
      <c r="AA280" s="23">
        <f t="shared" si="8"/>
        <v>2</v>
      </c>
      <c r="AB280" s="15">
        <v>0.625</v>
      </c>
      <c r="AC280" s="15">
        <v>0.625</v>
      </c>
      <c r="AD280" s="15">
        <v>0</v>
      </c>
      <c r="AE280" s="15">
        <v>0.41699999999999998</v>
      </c>
      <c r="AF280" s="20">
        <v>10</v>
      </c>
      <c r="AG280" s="20" t="s">
        <v>8</v>
      </c>
      <c r="AH280" s="24">
        <v>24</v>
      </c>
      <c r="AI280" s="23">
        <f t="shared" si="9"/>
        <v>1</v>
      </c>
      <c r="AJ280" s="17">
        <v>2.25</v>
      </c>
      <c r="AK280" s="17">
        <v>4.5</v>
      </c>
      <c r="AL280" s="14">
        <v>6.75</v>
      </c>
      <c r="AM280" s="23" cm="1">
        <f t="array" ref="AM280">IF(OR(AN280:AZ280=""),"BLANK",IF(AND(AN280:AZ280&lt;9999999),1,IF(AND(AN280:AZ280="NA"),3,2)))</f>
        <v>1</v>
      </c>
      <c r="AN280" s="5">
        <v>6</v>
      </c>
      <c r="AO280" s="5">
        <v>2</v>
      </c>
      <c r="AP280" s="10">
        <v>4</v>
      </c>
      <c r="AQ280" s="10">
        <v>5.75</v>
      </c>
      <c r="AR280" s="10">
        <v>7.75</v>
      </c>
      <c r="AS280" s="11">
        <v>847.5</v>
      </c>
      <c r="AT280" s="11">
        <v>9614.5</v>
      </c>
      <c r="AU280" s="11">
        <v>7701.5</v>
      </c>
      <c r="AV280" s="11">
        <v>8731.25</v>
      </c>
      <c r="AW280" s="11">
        <v>1534.75</v>
      </c>
      <c r="AX280" s="11">
        <v>14429.3666666667</v>
      </c>
      <c r="AY280" s="11">
        <v>21399.333333333299</v>
      </c>
      <c r="AZ280" s="11">
        <v>26243.597916666698</v>
      </c>
      <c r="BA280" s="23">
        <v>3</v>
      </c>
      <c r="BB280" s="24" t="s">
        <v>8</v>
      </c>
    </row>
    <row r="281" spans="1:54" x14ac:dyDescent="0.2">
      <c r="A281" s="5">
        <v>1891</v>
      </c>
      <c r="B281" s="20" t="s">
        <v>83</v>
      </c>
      <c r="C281" s="18" t="s">
        <v>54</v>
      </c>
      <c r="D281" s="18">
        <v>5</v>
      </c>
      <c r="E281" s="18">
        <v>0</v>
      </c>
      <c r="F281" s="20">
        <v>3.8180000000000001</v>
      </c>
      <c r="G281" s="18">
        <v>29</v>
      </c>
      <c r="H281" s="22">
        <v>3.5865845311430529</v>
      </c>
      <c r="I281" s="22">
        <v>5.3004791238877482</v>
      </c>
      <c r="J281" s="22">
        <v>8.8870636550308006</v>
      </c>
      <c r="K281" s="22">
        <v>3.5865845311430529</v>
      </c>
      <c r="L281" s="22">
        <v>5.3004791238877482</v>
      </c>
      <c r="M281" s="22">
        <v>8.8870636550308006</v>
      </c>
      <c r="N281" s="22">
        <v>3.7426420260095825</v>
      </c>
      <c r="O281" s="22">
        <v>5.0924024640657084</v>
      </c>
      <c r="P281" s="22">
        <v>8.8350444900752905</v>
      </c>
      <c r="Q281" s="22">
        <v>3.6714579055441479</v>
      </c>
      <c r="R281" s="22">
        <v>5.4428473648186175</v>
      </c>
      <c r="S281" s="22">
        <v>9.1143052703627649</v>
      </c>
      <c r="T281" s="5">
        <v>5</v>
      </c>
      <c r="U281" s="5">
        <v>17</v>
      </c>
      <c r="V281" s="20" t="s">
        <v>1</v>
      </c>
      <c r="W281" s="20">
        <v>5</v>
      </c>
      <c r="X281" s="20">
        <v>1</v>
      </c>
      <c r="Y281" s="5">
        <v>1</v>
      </c>
      <c r="Z281" s="20">
        <v>4</v>
      </c>
      <c r="AA281" s="23">
        <f t="shared" si="8"/>
        <v>2</v>
      </c>
      <c r="AB281" s="15">
        <v>1</v>
      </c>
      <c r="AC281" s="15">
        <v>0.75</v>
      </c>
      <c r="AD281" s="15">
        <v>0.5</v>
      </c>
      <c r="AE281" s="15">
        <v>0.75</v>
      </c>
      <c r="AF281" s="20">
        <v>18</v>
      </c>
      <c r="AG281" s="20" t="s">
        <v>8</v>
      </c>
      <c r="AH281" s="24">
        <v>24</v>
      </c>
      <c r="AI281" s="23">
        <f t="shared" si="9"/>
        <v>1</v>
      </c>
      <c r="AJ281" s="17">
        <v>8.75</v>
      </c>
      <c r="AK281" s="17">
        <v>13.75</v>
      </c>
      <c r="AL281" s="14">
        <v>22.5</v>
      </c>
      <c r="AM281" s="23" cm="1">
        <f t="array" ref="AM281">IF(OR(AN281:AZ281=""),"BLANK",IF(AND(AN281:AZ281&lt;9999999),1,IF(AND(AN281:AZ281="NA"),3,2)))</f>
        <v>1</v>
      </c>
      <c r="AN281" s="5">
        <v>5</v>
      </c>
      <c r="AO281" s="5">
        <v>2</v>
      </c>
      <c r="AP281" s="10">
        <v>3</v>
      </c>
      <c r="AQ281" s="10">
        <v>5</v>
      </c>
      <c r="AR281" s="10">
        <v>9</v>
      </c>
      <c r="AS281" s="11">
        <v>825.5</v>
      </c>
      <c r="AT281" s="11">
        <v>5582</v>
      </c>
      <c r="AU281" s="11">
        <v>5791.5</v>
      </c>
      <c r="AV281" s="11">
        <v>21524.25</v>
      </c>
      <c r="AW281" s="11">
        <v>0</v>
      </c>
      <c r="AX281" s="11">
        <v>0</v>
      </c>
      <c r="AY281" s="11">
        <v>199.95416666669999</v>
      </c>
      <c r="AZ281" s="11">
        <v>4228.2110389609998</v>
      </c>
      <c r="BA281" s="23">
        <v>3</v>
      </c>
      <c r="BB281" s="24" t="s">
        <v>8</v>
      </c>
    </row>
    <row r="282" spans="1:54" x14ac:dyDescent="0.2">
      <c r="A282" s="5">
        <v>1915</v>
      </c>
      <c r="B282" s="20" t="s">
        <v>82</v>
      </c>
      <c r="C282" s="18" t="s">
        <v>54</v>
      </c>
      <c r="D282" s="18">
        <v>5</v>
      </c>
      <c r="E282" s="18">
        <v>0</v>
      </c>
      <c r="F282" s="20">
        <v>3.6360000000000001</v>
      </c>
      <c r="G282" s="18">
        <v>29</v>
      </c>
      <c r="H282" s="22" t="s">
        <v>8</v>
      </c>
      <c r="I282" s="22" t="s">
        <v>8</v>
      </c>
      <c r="J282" s="22" t="s">
        <v>8</v>
      </c>
      <c r="K282" s="22" t="s">
        <v>8</v>
      </c>
      <c r="L282" s="22" t="s">
        <v>8</v>
      </c>
      <c r="M282" s="22" t="s">
        <v>8</v>
      </c>
      <c r="N282" s="22" t="s">
        <v>8</v>
      </c>
      <c r="O282" s="22" t="s">
        <v>8</v>
      </c>
      <c r="P282" s="22" t="s">
        <v>8</v>
      </c>
      <c r="Q282" s="22" t="s">
        <v>8</v>
      </c>
      <c r="R282" s="22" t="s">
        <v>8</v>
      </c>
      <c r="S282" s="22" t="s">
        <v>8</v>
      </c>
      <c r="T282" s="5">
        <v>5</v>
      </c>
      <c r="U282" s="5">
        <v>16</v>
      </c>
      <c r="V282" s="20" t="s">
        <v>1</v>
      </c>
      <c r="W282" s="20">
        <v>5</v>
      </c>
      <c r="X282" s="20">
        <v>1</v>
      </c>
      <c r="Y282" s="5">
        <v>1</v>
      </c>
      <c r="Z282" s="20">
        <v>4</v>
      </c>
      <c r="AA282" s="23">
        <f t="shared" si="8"/>
        <v>2</v>
      </c>
      <c r="AB282" s="15">
        <v>1</v>
      </c>
      <c r="AC282" s="15">
        <v>0.75</v>
      </c>
      <c r="AD282" s="15">
        <v>0.625</v>
      </c>
      <c r="AE282" s="15">
        <v>0.79200000000000004</v>
      </c>
      <c r="AF282" s="20">
        <v>19</v>
      </c>
      <c r="AG282" s="20" t="s">
        <v>8</v>
      </c>
      <c r="AH282" s="24">
        <v>24</v>
      </c>
      <c r="AI282" s="23">
        <f t="shared" si="9"/>
        <v>1</v>
      </c>
      <c r="AJ282" s="17">
        <v>9</v>
      </c>
      <c r="AK282" s="17">
        <v>10.75</v>
      </c>
      <c r="AL282" s="14">
        <v>19.75</v>
      </c>
      <c r="AM282" s="23" cm="1">
        <f t="array" ref="AM282">IF(OR(AN282:AZ282=""),"BLANK",IF(AND(AN282:AZ282&lt;9999999),1,IF(AND(AN282:AZ282="NA"),3,2)))</f>
        <v>1</v>
      </c>
      <c r="AN282" s="5">
        <v>9</v>
      </c>
      <c r="AO282" s="5">
        <v>2</v>
      </c>
      <c r="AP282" s="10">
        <v>3</v>
      </c>
      <c r="AQ282" s="10">
        <v>4.75</v>
      </c>
      <c r="AR282" s="10">
        <v>6.75</v>
      </c>
      <c r="AS282" s="11">
        <v>2500</v>
      </c>
      <c r="AT282" s="11">
        <v>7251.5</v>
      </c>
      <c r="AU282" s="11">
        <v>5688.75</v>
      </c>
      <c r="AV282" s="11">
        <v>17109.75</v>
      </c>
      <c r="AW282" s="11">
        <v>0</v>
      </c>
      <c r="AX282" s="11">
        <v>0</v>
      </c>
      <c r="AY282" s="11">
        <v>3379.9166666667002</v>
      </c>
      <c r="AZ282" s="11">
        <v>17207.370833333302</v>
      </c>
      <c r="BA282" s="23">
        <v>3</v>
      </c>
      <c r="BB282" s="24" t="s">
        <v>8</v>
      </c>
    </row>
    <row r="283" spans="1:54" x14ac:dyDescent="0.2">
      <c r="A283" s="5">
        <v>1919</v>
      </c>
      <c r="B283" s="20" t="s">
        <v>76</v>
      </c>
      <c r="C283" s="18" t="s">
        <v>54</v>
      </c>
      <c r="D283" s="18">
        <v>5</v>
      </c>
      <c r="E283" s="18">
        <v>0</v>
      </c>
      <c r="F283" s="20">
        <v>3.2730000000000001</v>
      </c>
      <c r="G283" s="18">
        <v>29</v>
      </c>
      <c r="H283" s="22" t="s">
        <v>8</v>
      </c>
      <c r="I283" s="22" t="s">
        <v>8</v>
      </c>
      <c r="J283" s="22" t="s">
        <v>8</v>
      </c>
      <c r="K283" s="22" t="s">
        <v>8</v>
      </c>
      <c r="L283" s="22" t="s">
        <v>8</v>
      </c>
      <c r="M283" s="22" t="s">
        <v>8</v>
      </c>
      <c r="N283" s="22" t="s">
        <v>8</v>
      </c>
      <c r="O283" s="22" t="s">
        <v>8</v>
      </c>
      <c r="P283" s="22" t="s">
        <v>8</v>
      </c>
      <c r="Q283" s="22" t="s">
        <v>8</v>
      </c>
      <c r="R283" s="22" t="s">
        <v>8</v>
      </c>
      <c r="S283" s="22" t="s">
        <v>8</v>
      </c>
      <c r="T283" s="5">
        <v>3</v>
      </c>
      <c r="U283" s="5">
        <v>14</v>
      </c>
      <c r="V283" s="20" t="s">
        <v>1</v>
      </c>
      <c r="W283" s="20">
        <v>5</v>
      </c>
      <c r="X283" s="20">
        <v>1</v>
      </c>
      <c r="Y283" s="5">
        <v>1</v>
      </c>
      <c r="Z283" s="20">
        <v>4</v>
      </c>
      <c r="AA283" s="23">
        <f t="shared" si="8"/>
        <v>2</v>
      </c>
      <c r="AB283" s="15">
        <v>1</v>
      </c>
      <c r="AC283" s="15">
        <v>1</v>
      </c>
      <c r="AD283" s="15">
        <v>0.875</v>
      </c>
      <c r="AE283" s="15">
        <v>0.95799999999999996</v>
      </c>
      <c r="AF283" s="20">
        <v>23</v>
      </c>
      <c r="AG283" s="20" t="s">
        <v>8</v>
      </c>
      <c r="AH283" s="24">
        <v>24</v>
      </c>
      <c r="AI283" s="23">
        <f t="shared" si="9"/>
        <v>1</v>
      </c>
      <c r="AJ283" s="17">
        <v>9.75</v>
      </c>
      <c r="AK283" s="17">
        <v>10.75</v>
      </c>
      <c r="AL283" s="14">
        <v>20.5</v>
      </c>
      <c r="AM283" s="23" cm="1">
        <f t="array" ref="AM283">IF(OR(AN283:AZ283=""),"BLANK",IF(AND(AN283:AZ283&lt;9999999),1,IF(AND(AN283:AZ283="NA"),3,2)))</f>
        <v>1</v>
      </c>
      <c r="AN283" s="5">
        <v>10</v>
      </c>
      <c r="AO283" s="5">
        <v>2</v>
      </c>
      <c r="AP283" s="10">
        <v>3</v>
      </c>
      <c r="AQ283" s="10">
        <v>4</v>
      </c>
      <c r="AR283" s="10">
        <v>6.75</v>
      </c>
      <c r="AS283" s="11">
        <v>1474.5</v>
      </c>
      <c r="AT283" s="11">
        <v>2082.5</v>
      </c>
      <c r="AU283" s="11">
        <v>9207.5</v>
      </c>
      <c r="AV283" s="11">
        <v>8976</v>
      </c>
      <c r="AW283" s="11">
        <v>0</v>
      </c>
      <c r="AX283" s="11">
        <v>0</v>
      </c>
      <c r="AY283" s="11">
        <v>0</v>
      </c>
      <c r="AZ283" s="11">
        <v>292.69696969699999</v>
      </c>
      <c r="BA283" s="23">
        <v>3</v>
      </c>
      <c r="BB283" s="24" t="s">
        <v>8</v>
      </c>
    </row>
    <row r="284" spans="1:54" x14ac:dyDescent="0.2">
      <c r="A284" s="5">
        <v>1922</v>
      </c>
      <c r="B284" s="20" t="s">
        <v>76</v>
      </c>
      <c r="C284" s="18" t="s">
        <v>55</v>
      </c>
      <c r="D284" s="18">
        <v>5</v>
      </c>
      <c r="E284" s="18">
        <v>0</v>
      </c>
      <c r="F284" s="20">
        <v>4</v>
      </c>
      <c r="G284" s="18">
        <v>29</v>
      </c>
      <c r="H284" s="22" t="s">
        <v>8</v>
      </c>
      <c r="I284" s="22" t="s">
        <v>8</v>
      </c>
      <c r="J284" s="22">
        <v>8.7994524298425727</v>
      </c>
      <c r="K284" s="22" t="s">
        <v>8</v>
      </c>
      <c r="L284" s="22" t="s">
        <v>8</v>
      </c>
      <c r="M284" s="22">
        <v>8.7994524298425727</v>
      </c>
      <c r="N284" s="22" t="s">
        <v>8</v>
      </c>
      <c r="O284" s="22" t="s">
        <v>8</v>
      </c>
      <c r="P284" s="22">
        <v>8.8514715947980829</v>
      </c>
      <c r="Q284" s="22" t="s">
        <v>8</v>
      </c>
      <c r="R284" s="22" t="s">
        <v>8</v>
      </c>
      <c r="S284" s="22" t="s">
        <v>8</v>
      </c>
      <c r="T284" s="5">
        <v>5</v>
      </c>
      <c r="U284" s="5">
        <v>18</v>
      </c>
      <c r="V284" s="20" t="s">
        <v>1</v>
      </c>
      <c r="W284" s="20">
        <v>5</v>
      </c>
      <c r="X284" s="20">
        <v>1</v>
      </c>
      <c r="Y284" s="5">
        <v>1</v>
      </c>
      <c r="Z284" s="20">
        <v>4</v>
      </c>
      <c r="AA284" s="23">
        <f t="shared" si="8"/>
        <v>2</v>
      </c>
      <c r="AB284" s="15">
        <v>0.875</v>
      </c>
      <c r="AC284" s="15">
        <v>1</v>
      </c>
      <c r="AD284" s="15">
        <v>0.75</v>
      </c>
      <c r="AE284" s="15">
        <v>0.875</v>
      </c>
      <c r="AF284" s="20">
        <v>21</v>
      </c>
      <c r="AG284" s="20" t="s">
        <v>8</v>
      </c>
      <c r="AH284" s="24">
        <v>24</v>
      </c>
      <c r="AI284" s="23">
        <f t="shared" si="9"/>
        <v>1</v>
      </c>
      <c r="AJ284" s="17">
        <v>11.75</v>
      </c>
      <c r="AK284" s="17">
        <v>10.75</v>
      </c>
      <c r="AL284" s="14">
        <v>22.5</v>
      </c>
      <c r="AM284" s="23" cm="1">
        <f t="array" ref="AM284">IF(OR(AN284:AZ284=""),"BLANK",IF(AND(AN284:AZ284&lt;9999999),1,IF(AND(AN284:AZ284="NA"),3,2)))</f>
        <v>1</v>
      </c>
      <c r="AN284" s="5">
        <v>11</v>
      </c>
      <c r="AO284" s="5">
        <v>2</v>
      </c>
      <c r="AP284" s="10">
        <v>3</v>
      </c>
      <c r="AQ284" s="10">
        <v>5.25</v>
      </c>
      <c r="AR284" s="10">
        <v>5</v>
      </c>
      <c r="AS284" s="11">
        <v>2992</v>
      </c>
      <c r="AT284" s="11">
        <v>5154</v>
      </c>
      <c r="AU284" s="11">
        <v>17413</v>
      </c>
      <c r="AV284" s="11">
        <v>33869.5</v>
      </c>
      <c r="AW284" s="11">
        <v>0</v>
      </c>
      <c r="AX284" s="11">
        <v>0</v>
      </c>
      <c r="AY284" s="11">
        <v>82.145833333300004</v>
      </c>
      <c r="AZ284" s="11">
        <v>4997.1499999999996</v>
      </c>
      <c r="BA284" s="23">
        <v>3</v>
      </c>
      <c r="BB284" s="24" t="s">
        <v>8</v>
      </c>
    </row>
    <row r="285" spans="1:54" x14ac:dyDescent="0.2">
      <c r="A285" s="5">
        <v>1926</v>
      </c>
      <c r="B285" s="20" t="s">
        <v>78</v>
      </c>
      <c r="C285" s="18" t="s">
        <v>54</v>
      </c>
      <c r="D285" s="18">
        <v>5</v>
      </c>
      <c r="E285" s="18">
        <v>0</v>
      </c>
      <c r="F285" s="20">
        <v>3.6360000000000001</v>
      </c>
      <c r="G285" s="18">
        <v>29</v>
      </c>
      <c r="H285" s="22" t="s">
        <v>8</v>
      </c>
      <c r="I285" s="22" t="s">
        <v>8</v>
      </c>
      <c r="J285" s="22" t="s">
        <v>8</v>
      </c>
      <c r="K285" s="22" t="s">
        <v>8</v>
      </c>
      <c r="L285" s="22" t="s">
        <v>8</v>
      </c>
      <c r="M285" s="22" t="s">
        <v>8</v>
      </c>
      <c r="N285" s="22" t="s">
        <v>8</v>
      </c>
      <c r="O285" s="22" t="s">
        <v>8</v>
      </c>
      <c r="P285" s="22" t="s">
        <v>8</v>
      </c>
      <c r="Q285" s="22" t="s">
        <v>8</v>
      </c>
      <c r="R285" s="22" t="s">
        <v>8</v>
      </c>
      <c r="S285" s="22" t="s">
        <v>8</v>
      </c>
      <c r="T285" s="5">
        <v>6</v>
      </c>
      <c r="U285" s="5">
        <v>18</v>
      </c>
      <c r="V285" s="20" t="s">
        <v>1</v>
      </c>
      <c r="W285" s="20">
        <v>5</v>
      </c>
      <c r="X285" s="20">
        <v>1</v>
      </c>
      <c r="Y285" s="5">
        <v>1</v>
      </c>
      <c r="Z285" s="20">
        <v>4</v>
      </c>
      <c r="AA285" s="23">
        <f t="shared" si="8"/>
        <v>2</v>
      </c>
      <c r="AB285" s="15">
        <v>1</v>
      </c>
      <c r="AC285" s="15">
        <v>0.875</v>
      </c>
      <c r="AD285" s="15">
        <v>0.5</v>
      </c>
      <c r="AE285" s="15">
        <v>0.79200000000000004</v>
      </c>
      <c r="AF285" s="20">
        <v>19</v>
      </c>
      <c r="AG285" s="20" t="s">
        <v>8</v>
      </c>
      <c r="AH285" s="24">
        <v>24</v>
      </c>
      <c r="AI285" s="23">
        <f t="shared" si="9"/>
        <v>1</v>
      </c>
      <c r="AJ285" s="17">
        <v>8.5</v>
      </c>
      <c r="AK285" s="17">
        <v>7.5</v>
      </c>
      <c r="AL285" s="14">
        <v>16</v>
      </c>
      <c r="AM285" s="23" cm="1">
        <f t="array" ref="AM285">IF(OR(AN285:AZ285=""),"BLANK",IF(AND(AN285:AZ285&lt;9999999),1,IF(AND(AN285:AZ285="NA"),3,2)))</f>
        <v>1</v>
      </c>
      <c r="AN285" s="5">
        <v>8</v>
      </c>
      <c r="AO285" s="5">
        <v>2</v>
      </c>
      <c r="AP285" s="10">
        <v>3</v>
      </c>
      <c r="AQ285" s="10">
        <v>7.75</v>
      </c>
      <c r="AR285" s="10">
        <v>6.75</v>
      </c>
      <c r="AS285" s="11">
        <v>842</v>
      </c>
      <c r="AT285" s="11">
        <v>4962.5</v>
      </c>
      <c r="AU285" s="11">
        <v>8793.5</v>
      </c>
      <c r="AV285" s="11">
        <v>15467.25</v>
      </c>
      <c r="AW285" s="11">
        <v>0</v>
      </c>
      <c r="AX285" s="11">
        <v>98.5</v>
      </c>
      <c r="AY285" s="11">
        <v>6880.0763888888996</v>
      </c>
      <c r="AZ285" s="11">
        <v>62.0333333333</v>
      </c>
      <c r="BA285" s="23">
        <v>3</v>
      </c>
      <c r="BB285" s="24" t="s">
        <v>8</v>
      </c>
    </row>
    <row r="286" spans="1:54" x14ac:dyDescent="0.2">
      <c r="A286" s="5">
        <v>1928</v>
      </c>
      <c r="B286" s="20" t="s">
        <v>79</v>
      </c>
      <c r="C286" s="18" t="s">
        <v>54</v>
      </c>
      <c r="D286" s="18">
        <v>5</v>
      </c>
      <c r="E286" s="18">
        <v>0</v>
      </c>
      <c r="F286" s="20">
        <v>3.8180000000000001</v>
      </c>
      <c r="G286" s="18">
        <v>28</v>
      </c>
      <c r="H286" s="22" t="s">
        <v>8</v>
      </c>
      <c r="I286" s="22" t="s">
        <v>8</v>
      </c>
      <c r="J286" s="22" t="s">
        <v>8</v>
      </c>
      <c r="K286" s="22" t="s">
        <v>8</v>
      </c>
      <c r="L286" s="22" t="s">
        <v>8</v>
      </c>
      <c r="M286" s="22" t="s">
        <v>8</v>
      </c>
      <c r="N286" s="22" t="s">
        <v>8</v>
      </c>
      <c r="O286" s="22" t="s">
        <v>8</v>
      </c>
      <c r="P286" s="22" t="s">
        <v>8</v>
      </c>
      <c r="Q286" s="22" t="s">
        <v>8</v>
      </c>
      <c r="R286" s="22" t="s">
        <v>8</v>
      </c>
      <c r="S286" s="22" t="s">
        <v>8</v>
      </c>
      <c r="T286" s="5">
        <v>4</v>
      </c>
      <c r="U286" s="5">
        <v>16</v>
      </c>
      <c r="V286" s="20" t="s">
        <v>1</v>
      </c>
      <c r="W286" s="20">
        <v>5</v>
      </c>
      <c r="X286" s="20">
        <v>1</v>
      </c>
      <c r="Y286" s="5">
        <v>1</v>
      </c>
      <c r="Z286" s="20">
        <v>4</v>
      </c>
      <c r="AA286" s="23">
        <f t="shared" si="8"/>
        <v>2</v>
      </c>
      <c r="AB286" s="15">
        <v>1</v>
      </c>
      <c r="AC286" s="15">
        <v>1</v>
      </c>
      <c r="AD286" s="15">
        <v>0.875</v>
      </c>
      <c r="AE286" s="15">
        <v>0.95799999999999996</v>
      </c>
      <c r="AF286" s="20">
        <v>23</v>
      </c>
      <c r="AG286" s="20" t="s">
        <v>8</v>
      </c>
      <c r="AH286" s="24">
        <v>24</v>
      </c>
      <c r="AI286" s="23">
        <f t="shared" si="9"/>
        <v>1</v>
      </c>
      <c r="AJ286" s="17">
        <v>14</v>
      </c>
      <c r="AK286" s="17">
        <v>12</v>
      </c>
      <c r="AL286" s="14">
        <v>26</v>
      </c>
      <c r="AM286" s="23" cm="1">
        <f t="array" ref="AM286">IF(OR(AN286:AZ286=""),"BLANK",IF(AND(AN286:AZ286&lt;9999999),1,IF(AND(AN286:AZ286="NA"),3,2)))</f>
        <v>1</v>
      </c>
      <c r="AN286" s="5">
        <v>6</v>
      </c>
      <c r="AO286" s="5">
        <v>2</v>
      </c>
      <c r="AP286" s="10">
        <v>3.5</v>
      </c>
      <c r="AQ286" s="10">
        <v>6.25</v>
      </c>
      <c r="AR286" s="10">
        <v>6.5</v>
      </c>
      <c r="AS286" s="11">
        <v>301</v>
      </c>
      <c r="AT286" s="11">
        <v>2606.5</v>
      </c>
      <c r="AU286" s="11">
        <v>4177</v>
      </c>
      <c r="AV286" s="11">
        <v>4969.5</v>
      </c>
      <c r="AW286" s="11">
        <v>0</v>
      </c>
      <c r="AX286" s="11">
        <v>0</v>
      </c>
      <c r="AY286" s="11">
        <v>2390.7361111110999</v>
      </c>
      <c r="AZ286" s="11">
        <v>0</v>
      </c>
      <c r="BA286" s="23">
        <v>3</v>
      </c>
      <c r="BB286" s="24" t="s">
        <v>8</v>
      </c>
    </row>
    <row r="287" spans="1:54" x14ac:dyDescent="0.2">
      <c r="A287" s="5">
        <v>1933</v>
      </c>
      <c r="B287" s="20" t="s">
        <v>81</v>
      </c>
      <c r="C287" s="18" t="s">
        <v>55</v>
      </c>
      <c r="D287" s="18">
        <v>5</v>
      </c>
      <c r="E287" s="18">
        <v>0</v>
      </c>
      <c r="F287" s="20">
        <v>3.7269999999999999</v>
      </c>
      <c r="G287" s="18">
        <v>28</v>
      </c>
      <c r="H287" s="22">
        <v>3.5838466803559208</v>
      </c>
      <c r="I287" s="22" t="s">
        <v>8</v>
      </c>
      <c r="J287" s="22" t="s">
        <v>8</v>
      </c>
      <c r="K287" s="22">
        <v>3.5838466803559208</v>
      </c>
      <c r="L287" s="22" t="s">
        <v>8</v>
      </c>
      <c r="M287" s="22" t="s">
        <v>8</v>
      </c>
      <c r="N287" s="22" t="s">
        <v>8</v>
      </c>
      <c r="O287" s="22" t="s">
        <v>8</v>
      </c>
      <c r="P287" s="22" t="s">
        <v>8</v>
      </c>
      <c r="Q287" s="22" t="s">
        <v>8</v>
      </c>
      <c r="R287" s="22" t="s">
        <v>8</v>
      </c>
      <c r="S287" s="22" t="s">
        <v>8</v>
      </c>
      <c r="T287" s="5">
        <v>7</v>
      </c>
      <c r="U287" s="5">
        <v>21</v>
      </c>
      <c r="V287" s="20" t="s">
        <v>1</v>
      </c>
      <c r="W287" s="20">
        <v>5</v>
      </c>
      <c r="X287" s="20">
        <v>1</v>
      </c>
      <c r="Y287" s="5">
        <v>1</v>
      </c>
      <c r="Z287" s="20">
        <v>4</v>
      </c>
      <c r="AA287" s="23">
        <f t="shared" si="8"/>
        <v>2</v>
      </c>
      <c r="AB287" s="15">
        <v>0.875</v>
      </c>
      <c r="AC287" s="15">
        <v>0.75</v>
      </c>
      <c r="AD287" s="15">
        <v>0.25</v>
      </c>
      <c r="AE287" s="15">
        <v>0.625</v>
      </c>
      <c r="AF287" s="20">
        <v>15</v>
      </c>
      <c r="AG287" s="20" t="s">
        <v>8</v>
      </c>
      <c r="AH287" s="24">
        <v>24</v>
      </c>
      <c r="AI287" s="23">
        <f t="shared" si="9"/>
        <v>1</v>
      </c>
      <c r="AJ287" s="17">
        <v>4.5</v>
      </c>
      <c r="AK287" s="17">
        <v>7.75</v>
      </c>
      <c r="AL287" s="14">
        <v>12.25</v>
      </c>
      <c r="AM287" s="23" cm="1">
        <f t="array" ref="AM287">IF(OR(AN287:AZ287=""),"BLANK",IF(AND(AN287:AZ287&lt;9999999),1,IF(AND(AN287:AZ287="NA"),3,2)))</f>
        <v>1</v>
      </c>
      <c r="AN287" s="5">
        <v>9</v>
      </c>
      <c r="AO287" s="5">
        <v>2</v>
      </c>
      <c r="AP287" s="10">
        <v>3</v>
      </c>
      <c r="AQ287" s="10">
        <v>4.25</v>
      </c>
      <c r="AR287" s="10">
        <v>6.25</v>
      </c>
      <c r="AS287" s="11">
        <v>0</v>
      </c>
      <c r="AT287" s="11">
        <v>12382.5</v>
      </c>
      <c r="AU287" s="11">
        <v>5781.5</v>
      </c>
      <c r="AV287" s="11">
        <v>9917</v>
      </c>
      <c r="AW287" s="11">
        <v>0</v>
      </c>
      <c r="AX287" s="11">
        <v>0</v>
      </c>
      <c r="AY287" s="11">
        <v>13112.424999999999</v>
      </c>
      <c r="AZ287" s="11">
        <v>4947.6833333332997</v>
      </c>
      <c r="BA287" s="23">
        <v>3</v>
      </c>
      <c r="BB287" s="24" t="s">
        <v>8</v>
      </c>
    </row>
    <row r="288" spans="1:54" x14ac:dyDescent="0.2">
      <c r="A288" s="5">
        <v>1978</v>
      </c>
      <c r="B288" s="20" t="s">
        <v>82</v>
      </c>
      <c r="C288" s="18" t="s">
        <v>54</v>
      </c>
      <c r="D288" s="18">
        <v>5</v>
      </c>
      <c r="E288" s="18">
        <v>0</v>
      </c>
      <c r="F288" s="20">
        <v>3.9089999999999998</v>
      </c>
      <c r="G288" s="18">
        <v>28</v>
      </c>
      <c r="H288" s="22">
        <v>3.698836413415469</v>
      </c>
      <c r="I288" s="22" t="s">
        <v>8</v>
      </c>
      <c r="J288" s="22" t="s">
        <v>8</v>
      </c>
      <c r="K288" s="22">
        <v>3.698836413415469</v>
      </c>
      <c r="L288" s="22" t="s">
        <v>8</v>
      </c>
      <c r="M288" s="22" t="s">
        <v>8</v>
      </c>
      <c r="N288" s="22" t="s">
        <v>8</v>
      </c>
      <c r="O288" s="22" t="s">
        <v>8</v>
      </c>
      <c r="P288" s="22" t="s">
        <v>8</v>
      </c>
      <c r="Q288" s="22">
        <v>3.2772073921971252</v>
      </c>
      <c r="R288" s="22" t="s">
        <v>8</v>
      </c>
      <c r="S288" s="22" t="s">
        <v>8</v>
      </c>
      <c r="T288" s="5">
        <v>4</v>
      </c>
      <c r="U288" s="5">
        <v>16</v>
      </c>
      <c r="V288" s="20" t="s">
        <v>1</v>
      </c>
      <c r="W288" s="20">
        <v>5</v>
      </c>
      <c r="X288" s="20">
        <v>1</v>
      </c>
      <c r="Y288" s="5">
        <v>1</v>
      </c>
      <c r="Z288" s="20">
        <v>4</v>
      </c>
      <c r="AA288" s="23">
        <f t="shared" si="8"/>
        <v>2</v>
      </c>
      <c r="AB288" s="15">
        <v>1</v>
      </c>
      <c r="AC288" s="15">
        <v>0.75</v>
      </c>
      <c r="AD288" s="15">
        <v>0.75</v>
      </c>
      <c r="AE288" s="15">
        <v>0.83299999999999996</v>
      </c>
      <c r="AF288" s="20">
        <v>20</v>
      </c>
      <c r="AG288" s="20" t="s">
        <v>8</v>
      </c>
      <c r="AH288" s="24">
        <v>24</v>
      </c>
      <c r="AI288" s="23">
        <f t="shared" si="9"/>
        <v>1</v>
      </c>
      <c r="AJ288" s="17">
        <v>8</v>
      </c>
      <c r="AK288" s="17">
        <v>12</v>
      </c>
      <c r="AL288" s="14">
        <v>20</v>
      </c>
      <c r="AM288" s="23" cm="1">
        <f t="array" ref="AM288">IF(OR(AN288:AZ288=""),"BLANK",IF(AND(AN288:AZ288&lt;9999999),1,IF(AND(AN288:AZ288="NA"),3,2)))</f>
        <v>1</v>
      </c>
      <c r="AN288" s="5">
        <v>6</v>
      </c>
      <c r="AO288" s="5">
        <v>2</v>
      </c>
      <c r="AP288" s="10">
        <v>3</v>
      </c>
      <c r="AQ288" s="10">
        <v>6.25</v>
      </c>
      <c r="AR288" s="10">
        <v>10.5</v>
      </c>
      <c r="AS288" s="11">
        <v>4164.5</v>
      </c>
      <c r="AT288" s="11">
        <v>13180</v>
      </c>
      <c r="AU288" s="11">
        <v>4558</v>
      </c>
      <c r="AV288" s="11">
        <v>4514</v>
      </c>
      <c r="AW288" s="11">
        <v>0</v>
      </c>
      <c r="AX288" s="11">
        <v>0</v>
      </c>
      <c r="AY288" s="11">
        <v>2114.4583333332998</v>
      </c>
      <c r="AZ288" s="11">
        <v>9988.6041666667006</v>
      </c>
      <c r="BA288" s="23">
        <v>3</v>
      </c>
      <c r="BB288" s="24" t="s">
        <v>8</v>
      </c>
    </row>
    <row r="289" spans="1:54" x14ac:dyDescent="0.2">
      <c r="A289" s="5">
        <v>1993</v>
      </c>
      <c r="B289" s="20" t="s">
        <v>75</v>
      </c>
      <c r="C289" s="18" t="s">
        <v>54</v>
      </c>
      <c r="D289" s="18">
        <v>5</v>
      </c>
      <c r="E289" s="18">
        <v>0</v>
      </c>
      <c r="F289" s="20">
        <v>4</v>
      </c>
      <c r="G289" s="18">
        <v>27</v>
      </c>
      <c r="H289" s="22">
        <v>3.5208761122518824</v>
      </c>
      <c r="I289" s="22">
        <v>4.7008898015058183</v>
      </c>
      <c r="J289" s="22">
        <v>8.2217659137577002</v>
      </c>
      <c r="K289" s="22">
        <v>3.5208761122518824</v>
      </c>
      <c r="L289" s="22">
        <v>4.7008898015058183</v>
      </c>
      <c r="M289" s="22">
        <v>8.2217659137577002</v>
      </c>
      <c r="N289" s="22">
        <v>3.6550308008213555</v>
      </c>
      <c r="O289" s="22">
        <v>4.5475701574264207</v>
      </c>
      <c r="P289" s="22">
        <v>8.2026009582477748</v>
      </c>
      <c r="Q289" s="22">
        <v>3.5236139630390144</v>
      </c>
      <c r="R289" s="22">
        <v>5.420944558521561</v>
      </c>
      <c r="S289" s="22">
        <v>8.944558521560575</v>
      </c>
      <c r="T289" s="5">
        <v>3</v>
      </c>
      <c r="U289" s="5">
        <v>14</v>
      </c>
      <c r="V289" s="20" t="s">
        <v>1</v>
      </c>
      <c r="W289" s="20">
        <v>5</v>
      </c>
      <c r="X289" s="20">
        <v>1</v>
      </c>
      <c r="Y289" s="5">
        <v>1</v>
      </c>
      <c r="Z289" s="20">
        <v>4</v>
      </c>
      <c r="AA289" s="23">
        <f t="shared" si="8"/>
        <v>2</v>
      </c>
      <c r="AB289" s="15">
        <v>0.875</v>
      </c>
      <c r="AC289" s="15">
        <v>0.75</v>
      </c>
      <c r="AD289" s="15">
        <v>0.75</v>
      </c>
      <c r="AE289" s="15">
        <v>0.79200000000000004</v>
      </c>
      <c r="AF289" s="20">
        <v>19</v>
      </c>
      <c r="AG289" s="20" t="s">
        <v>8</v>
      </c>
      <c r="AH289" s="24">
        <v>24</v>
      </c>
      <c r="AI289" s="23">
        <f t="shared" si="9"/>
        <v>1</v>
      </c>
      <c r="AJ289" s="17">
        <v>10.5</v>
      </c>
      <c r="AK289" s="17">
        <v>8.75</v>
      </c>
      <c r="AL289" s="14">
        <v>19.25</v>
      </c>
      <c r="AM289" s="23" cm="1">
        <f t="array" ref="AM289">IF(OR(AN289:AZ289=""),"BLANK",IF(AND(AN289:AZ289&lt;9999999),1,IF(AND(AN289:AZ289="NA"),3,2)))</f>
        <v>1</v>
      </c>
      <c r="AN289" s="5">
        <v>10</v>
      </c>
      <c r="AO289" s="5">
        <v>2</v>
      </c>
      <c r="AP289" s="10">
        <v>3</v>
      </c>
      <c r="AQ289" s="10">
        <v>5.25</v>
      </c>
      <c r="AR289" s="10">
        <v>5.5</v>
      </c>
      <c r="AS289" s="11">
        <v>2070.5</v>
      </c>
      <c r="AT289" s="11">
        <v>4210.5</v>
      </c>
      <c r="AU289" s="11">
        <v>3549.5</v>
      </c>
      <c r="AV289" s="11">
        <v>4926.5</v>
      </c>
      <c r="AW289" s="11">
        <v>48</v>
      </c>
      <c r="AX289" s="11">
        <v>0</v>
      </c>
      <c r="AY289" s="11">
        <v>1893.4583333333001</v>
      </c>
      <c r="AZ289" s="11">
        <v>6.7928571429</v>
      </c>
      <c r="BA289" s="23">
        <v>3</v>
      </c>
      <c r="BB289" s="24" t="s">
        <v>8</v>
      </c>
    </row>
    <row r="290" spans="1:54" x14ac:dyDescent="0.2">
      <c r="A290" s="5">
        <v>2012</v>
      </c>
      <c r="B290" s="20" t="s">
        <v>83</v>
      </c>
      <c r="C290" s="18" t="s">
        <v>54</v>
      </c>
      <c r="D290" s="18">
        <v>5</v>
      </c>
      <c r="E290" s="18">
        <v>0</v>
      </c>
      <c r="F290" s="20">
        <v>4</v>
      </c>
      <c r="G290" s="18">
        <v>29</v>
      </c>
      <c r="H290" s="22">
        <v>3.6960985626283369</v>
      </c>
      <c r="I290" s="22">
        <v>4.9144421629021222</v>
      </c>
      <c r="J290" s="22">
        <v>8.6105407255304591</v>
      </c>
      <c r="K290" s="22" t="s">
        <v>8</v>
      </c>
      <c r="L290" s="22">
        <v>4.9144421629021222</v>
      </c>
      <c r="M290" s="22" t="s">
        <v>8</v>
      </c>
      <c r="N290" s="22">
        <v>4.1040383299110195</v>
      </c>
      <c r="O290" s="22">
        <v>4.2026009582477757</v>
      </c>
      <c r="P290" s="22">
        <v>8.3066392881587952</v>
      </c>
      <c r="Q290" s="22">
        <v>3.6605065023956196</v>
      </c>
      <c r="R290" s="22" t="s">
        <v>8</v>
      </c>
      <c r="S290" s="22" t="s">
        <v>8</v>
      </c>
      <c r="T290" s="5">
        <v>6</v>
      </c>
      <c r="U290" s="5">
        <v>18</v>
      </c>
      <c r="V290" s="20" t="s">
        <v>1</v>
      </c>
      <c r="W290" s="20">
        <v>5</v>
      </c>
      <c r="X290" s="20">
        <v>1</v>
      </c>
      <c r="Y290" s="5">
        <v>1</v>
      </c>
      <c r="Z290" s="20">
        <v>4</v>
      </c>
      <c r="AA290" s="23">
        <f t="shared" si="8"/>
        <v>2</v>
      </c>
      <c r="AB290" s="15">
        <v>1</v>
      </c>
      <c r="AC290" s="15">
        <v>0.875</v>
      </c>
      <c r="AD290" s="15">
        <v>0.5</v>
      </c>
      <c r="AE290" s="15">
        <v>0.79200000000000004</v>
      </c>
      <c r="AF290" s="20">
        <v>19</v>
      </c>
      <c r="AG290" s="20" t="s">
        <v>8</v>
      </c>
      <c r="AH290" s="24">
        <v>24</v>
      </c>
      <c r="AI290" s="23">
        <f t="shared" si="9"/>
        <v>1</v>
      </c>
      <c r="AJ290" s="17">
        <v>7</v>
      </c>
      <c r="AK290" s="17">
        <v>4</v>
      </c>
      <c r="AL290" s="14">
        <v>11</v>
      </c>
      <c r="AM290" s="23" cm="1">
        <f t="array" ref="AM290">IF(OR(AN290:AZ290=""),"BLANK",IF(AND(AN290:AZ290&lt;9999999),1,IF(AND(AN290:AZ290="NA"),3,2)))</f>
        <v>1</v>
      </c>
      <c r="AN290" s="5">
        <v>7</v>
      </c>
      <c r="AO290" s="5">
        <v>2</v>
      </c>
      <c r="AP290" s="10">
        <v>3</v>
      </c>
      <c r="AQ290" s="10">
        <v>6</v>
      </c>
      <c r="AR290" s="10">
        <v>7</v>
      </c>
      <c r="AS290" s="11">
        <v>3174.5</v>
      </c>
      <c r="AT290" s="11">
        <v>8347.5</v>
      </c>
      <c r="AU290" s="11">
        <v>4527.5</v>
      </c>
      <c r="AV290" s="11">
        <v>2931.5</v>
      </c>
      <c r="AW290" s="11">
        <v>304.5</v>
      </c>
      <c r="AX290" s="11">
        <v>98</v>
      </c>
      <c r="AY290" s="11">
        <v>2200.3883928570999</v>
      </c>
      <c r="AZ290" s="11">
        <v>677.54166666670005</v>
      </c>
      <c r="BA290" s="23">
        <v>3</v>
      </c>
      <c r="BB290" s="24" t="s">
        <v>8</v>
      </c>
    </row>
    <row r="291" spans="1:54" x14ac:dyDescent="0.2">
      <c r="A291" s="5">
        <v>2031</v>
      </c>
      <c r="B291" s="20" t="s">
        <v>62</v>
      </c>
      <c r="C291" s="18" t="s">
        <v>54</v>
      </c>
      <c r="D291" s="18">
        <v>5</v>
      </c>
      <c r="E291" s="18">
        <v>0</v>
      </c>
      <c r="F291" s="20">
        <v>4</v>
      </c>
      <c r="G291" s="18">
        <v>30</v>
      </c>
      <c r="H291" s="22">
        <v>3.8959616700889801</v>
      </c>
      <c r="I291" s="22" t="s">
        <v>8</v>
      </c>
      <c r="J291" s="22" t="s">
        <v>8</v>
      </c>
      <c r="K291" s="22">
        <v>3.8959616700889801</v>
      </c>
      <c r="L291" s="22" t="s">
        <v>8</v>
      </c>
      <c r="M291" s="22" t="s">
        <v>8</v>
      </c>
      <c r="N291" s="22">
        <v>3.9342915811088295</v>
      </c>
      <c r="O291" s="22" t="s">
        <v>8</v>
      </c>
      <c r="P291" s="22" t="s">
        <v>8</v>
      </c>
      <c r="Q291" s="22" t="s">
        <v>8</v>
      </c>
      <c r="R291" s="22" t="s">
        <v>8</v>
      </c>
      <c r="S291" s="22" t="s">
        <v>8</v>
      </c>
      <c r="T291" s="5">
        <v>3</v>
      </c>
      <c r="U291" s="5">
        <v>15</v>
      </c>
      <c r="V291" s="20" t="s">
        <v>1</v>
      </c>
      <c r="W291" s="20">
        <v>5</v>
      </c>
      <c r="X291" s="20">
        <v>1</v>
      </c>
      <c r="Y291" s="5">
        <v>1</v>
      </c>
      <c r="Z291" s="20">
        <v>4</v>
      </c>
      <c r="AA291" s="23">
        <f t="shared" si="8"/>
        <v>2</v>
      </c>
      <c r="AB291" s="15">
        <v>1</v>
      </c>
      <c r="AC291" s="15">
        <v>1</v>
      </c>
      <c r="AD291" s="15">
        <v>1</v>
      </c>
      <c r="AE291" s="15">
        <v>1</v>
      </c>
      <c r="AF291" s="20">
        <v>24</v>
      </c>
      <c r="AG291" s="20" t="s">
        <v>8</v>
      </c>
      <c r="AH291" s="24">
        <v>24</v>
      </c>
      <c r="AI291" s="23">
        <f t="shared" si="9"/>
        <v>1</v>
      </c>
      <c r="AJ291" s="17">
        <v>13.75</v>
      </c>
      <c r="AK291" s="17">
        <v>11</v>
      </c>
      <c r="AL291" s="14">
        <v>24.75</v>
      </c>
      <c r="AM291" s="23" cm="1">
        <f t="array" ref="AM291">IF(OR(AN291:AZ291=""),"BLANK",IF(AND(AN291:AZ291&lt;9999999),1,IF(AND(AN291:AZ291="NA"),3,2)))</f>
        <v>1</v>
      </c>
      <c r="AN291" s="5">
        <v>10</v>
      </c>
      <c r="AO291" s="5">
        <v>2</v>
      </c>
      <c r="AP291" s="10">
        <v>3</v>
      </c>
      <c r="AQ291" s="10">
        <v>4</v>
      </c>
      <c r="AR291" s="10">
        <v>8</v>
      </c>
      <c r="AS291" s="11">
        <v>1132.5</v>
      </c>
      <c r="AT291" s="11">
        <v>2908.5</v>
      </c>
      <c r="AU291" s="11">
        <v>7018.75</v>
      </c>
      <c r="AV291" s="11">
        <v>5696.75</v>
      </c>
      <c r="AW291" s="11">
        <v>0</v>
      </c>
      <c r="AX291" s="11">
        <v>0</v>
      </c>
      <c r="AY291" s="11">
        <v>0</v>
      </c>
      <c r="AZ291" s="11">
        <v>2366.375</v>
      </c>
      <c r="BA291" s="23">
        <v>3</v>
      </c>
      <c r="BB291" s="24" t="s">
        <v>8</v>
      </c>
    </row>
    <row r="292" spans="1:54" x14ac:dyDescent="0.2">
      <c r="A292" s="5">
        <v>2034</v>
      </c>
      <c r="B292" s="20" t="s">
        <v>80</v>
      </c>
      <c r="C292" s="18" t="s">
        <v>54</v>
      </c>
      <c r="D292" s="18">
        <v>5</v>
      </c>
      <c r="E292" s="18">
        <v>0</v>
      </c>
      <c r="F292" s="20">
        <v>3.2730000000000001</v>
      </c>
      <c r="G292" s="18">
        <v>28</v>
      </c>
      <c r="H292" s="22" t="s">
        <v>8</v>
      </c>
      <c r="I292" s="22" t="s">
        <v>8</v>
      </c>
      <c r="J292" s="22" t="s">
        <v>8</v>
      </c>
      <c r="K292" s="22" t="s">
        <v>8</v>
      </c>
      <c r="L292" s="22" t="s">
        <v>8</v>
      </c>
      <c r="M292" s="22" t="s">
        <v>8</v>
      </c>
      <c r="N292" s="22" t="s">
        <v>8</v>
      </c>
      <c r="O292" s="22" t="s">
        <v>8</v>
      </c>
      <c r="P292" s="22" t="s">
        <v>8</v>
      </c>
      <c r="Q292" s="22" t="s">
        <v>8</v>
      </c>
      <c r="R292" s="22" t="s">
        <v>8</v>
      </c>
      <c r="S292" s="22" t="s">
        <v>8</v>
      </c>
      <c r="T292" s="5">
        <v>3</v>
      </c>
      <c r="U292" s="5">
        <v>14</v>
      </c>
      <c r="V292" s="20" t="s">
        <v>1</v>
      </c>
      <c r="W292" s="20">
        <v>5</v>
      </c>
      <c r="X292" s="20">
        <v>1</v>
      </c>
      <c r="Y292" s="5">
        <v>1</v>
      </c>
      <c r="Z292" s="20">
        <v>4</v>
      </c>
      <c r="AA292" s="23">
        <f t="shared" si="8"/>
        <v>2</v>
      </c>
      <c r="AB292" s="15">
        <v>1</v>
      </c>
      <c r="AC292" s="15">
        <v>0.75</v>
      </c>
      <c r="AD292" s="15">
        <v>0.25</v>
      </c>
      <c r="AE292" s="15">
        <v>0.66700000000000004</v>
      </c>
      <c r="AF292" s="20">
        <v>16</v>
      </c>
      <c r="AG292" s="20" t="s">
        <v>8</v>
      </c>
      <c r="AH292" s="24">
        <v>24</v>
      </c>
      <c r="AI292" s="23">
        <f t="shared" si="9"/>
        <v>1</v>
      </c>
      <c r="AJ292" s="17">
        <v>6.75</v>
      </c>
      <c r="AK292" s="17">
        <v>4.25</v>
      </c>
      <c r="AL292" s="14">
        <v>11</v>
      </c>
      <c r="AM292" s="23" cm="1">
        <f t="array" ref="AM292">IF(OR(AN292:AZ292=""),"BLANK",IF(AND(AN292:AZ292&lt;9999999),1,IF(AND(AN292:AZ292="NA"),3,2)))</f>
        <v>1</v>
      </c>
      <c r="AN292" s="5">
        <v>7</v>
      </c>
      <c r="AO292" s="5">
        <v>2</v>
      </c>
      <c r="AP292" s="10">
        <v>3</v>
      </c>
      <c r="AQ292" s="10">
        <v>4.5</v>
      </c>
      <c r="AR292" s="10">
        <v>7.75</v>
      </c>
      <c r="AS292" s="11">
        <v>1570.5</v>
      </c>
      <c r="AT292" s="11">
        <v>6823</v>
      </c>
      <c r="AU292" s="11">
        <v>13427.5</v>
      </c>
      <c r="AV292" s="11">
        <v>7959</v>
      </c>
      <c r="AW292" s="11">
        <v>0</v>
      </c>
      <c r="AX292" s="11">
        <v>8854.5</v>
      </c>
      <c r="AY292" s="11">
        <v>7558.4375</v>
      </c>
      <c r="AZ292" s="11">
        <v>39807.795833333301</v>
      </c>
      <c r="BA292" s="23">
        <v>3</v>
      </c>
      <c r="BB292" s="24" t="s">
        <v>8</v>
      </c>
    </row>
    <row r="293" spans="1:54" x14ac:dyDescent="0.2">
      <c r="A293" s="5">
        <v>2035</v>
      </c>
      <c r="B293" s="20" t="s">
        <v>81</v>
      </c>
      <c r="C293" s="18" t="s">
        <v>55</v>
      </c>
      <c r="D293" s="18">
        <v>5</v>
      </c>
      <c r="E293" s="18">
        <v>0</v>
      </c>
      <c r="F293" s="20">
        <v>3.9089999999999998</v>
      </c>
      <c r="G293" s="18">
        <v>26</v>
      </c>
      <c r="H293" s="22">
        <v>3.4934976043805612</v>
      </c>
      <c r="I293" s="22">
        <v>4.6187542778918553</v>
      </c>
      <c r="J293" s="22">
        <v>8.1122518822724157</v>
      </c>
      <c r="K293" s="22">
        <v>3.4934976043805612</v>
      </c>
      <c r="L293" s="22">
        <v>4.6187542778918553</v>
      </c>
      <c r="M293" s="22">
        <v>8.1122518822724157</v>
      </c>
      <c r="N293" s="22">
        <v>3.4880219028062971</v>
      </c>
      <c r="O293" s="22" t="s">
        <v>8</v>
      </c>
      <c r="P293" s="22" t="s">
        <v>8</v>
      </c>
      <c r="Q293" s="22" t="s">
        <v>8</v>
      </c>
      <c r="R293" s="22" t="s">
        <v>8</v>
      </c>
      <c r="S293" s="22" t="s">
        <v>8</v>
      </c>
      <c r="T293" s="5">
        <v>6</v>
      </c>
      <c r="U293" s="5">
        <v>18</v>
      </c>
      <c r="V293" s="20" t="s">
        <v>1</v>
      </c>
      <c r="W293" s="20">
        <v>5</v>
      </c>
      <c r="X293" s="20">
        <v>1</v>
      </c>
      <c r="Y293" s="5">
        <v>1</v>
      </c>
      <c r="Z293" s="20">
        <v>4</v>
      </c>
      <c r="AA293" s="23">
        <f t="shared" si="8"/>
        <v>2</v>
      </c>
      <c r="AB293" s="15">
        <v>1</v>
      </c>
      <c r="AC293" s="15">
        <v>1</v>
      </c>
      <c r="AD293" s="15">
        <v>0.7142857142857143</v>
      </c>
      <c r="AE293" s="15">
        <v>0.91300000000000003</v>
      </c>
      <c r="AF293" s="20">
        <v>21</v>
      </c>
      <c r="AG293" s="20" t="s">
        <v>8</v>
      </c>
      <c r="AH293" s="24">
        <v>23</v>
      </c>
      <c r="AI293" s="23">
        <f t="shared" si="9"/>
        <v>1</v>
      </c>
      <c r="AJ293" s="17">
        <v>5.75</v>
      </c>
      <c r="AK293" s="17">
        <v>4</v>
      </c>
      <c r="AL293" s="14">
        <v>9.75</v>
      </c>
      <c r="AM293" s="23" cm="1">
        <f t="array" ref="AM293">IF(OR(AN293:AZ293=""),"BLANK",IF(AND(AN293:AZ293&lt;9999999),1,IF(AND(AN293:AZ293="NA"),3,2)))</f>
        <v>1</v>
      </c>
      <c r="AN293" s="5">
        <v>7</v>
      </c>
      <c r="AO293" s="5">
        <v>2</v>
      </c>
      <c r="AP293" s="10">
        <v>4</v>
      </c>
      <c r="AQ293" s="10">
        <v>5.75</v>
      </c>
      <c r="AR293" s="10">
        <v>6.75</v>
      </c>
      <c r="AS293" s="11">
        <v>7844.5</v>
      </c>
      <c r="AT293" s="11">
        <v>16212</v>
      </c>
      <c r="AU293" s="11">
        <v>20550.75</v>
      </c>
      <c r="AV293" s="11">
        <v>11743</v>
      </c>
      <c r="AW293" s="11">
        <v>0</v>
      </c>
      <c r="AX293" s="11">
        <v>1866.9333333333</v>
      </c>
      <c r="AY293" s="11">
        <v>11406.472222222201</v>
      </c>
      <c r="AZ293" s="11">
        <v>5342.6136363635997</v>
      </c>
      <c r="BA293" s="23">
        <v>3</v>
      </c>
      <c r="BB293" s="24" t="s">
        <v>8</v>
      </c>
    </row>
    <row r="294" spans="1:54" x14ac:dyDescent="0.2">
      <c r="A294" s="5">
        <v>2043</v>
      </c>
      <c r="B294" s="20" t="s">
        <v>81</v>
      </c>
      <c r="C294" s="18" t="s">
        <v>54</v>
      </c>
      <c r="D294" s="18">
        <v>5</v>
      </c>
      <c r="E294" s="18">
        <v>0</v>
      </c>
      <c r="F294" s="20">
        <v>3.5449999999999999</v>
      </c>
      <c r="G294" s="18">
        <v>28</v>
      </c>
      <c r="H294" s="22">
        <v>3.7262149212867897</v>
      </c>
      <c r="I294" s="22">
        <v>4.9774127310061598</v>
      </c>
      <c r="J294" s="22">
        <v>8.7036276522929494</v>
      </c>
      <c r="K294" s="22">
        <v>3.7262149212867897</v>
      </c>
      <c r="L294" s="22">
        <v>5.0130047912388775</v>
      </c>
      <c r="M294" s="22">
        <v>8.7392197125256672</v>
      </c>
      <c r="N294" s="22">
        <v>3.7289527720739222</v>
      </c>
      <c r="O294" s="22">
        <v>4.944558521560575</v>
      </c>
      <c r="P294" s="22">
        <v>8.6735112936344976</v>
      </c>
      <c r="Q294" s="22" t="s">
        <v>8</v>
      </c>
      <c r="R294" s="22" t="s">
        <v>8</v>
      </c>
      <c r="S294" s="22" t="s">
        <v>8</v>
      </c>
      <c r="T294" s="5">
        <v>3</v>
      </c>
      <c r="U294" s="5">
        <v>13</v>
      </c>
      <c r="V294" s="20" t="s">
        <v>1</v>
      </c>
      <c r="W294" s="20">
        <v>5</v>
      </c>
      <c r="X294" s="20">
        <v>1</v>
      </c>
      <c r="Y294" s="5">
        <v>1</v>
      </c>
      <c r="Z294" s="20">
        <v>4</v>
      </c>
      <c r="AA294" s="23">
        <f t="shared" si="8"/>
        <v>2</v>
      </c>
      <c r="AB294" s="15">
        <v>1</v>
      </c>
      <c r="AC294" s="15">
        <v>1</v>
      </c>
      <c r="AD294" s="15">
        <v>0.7142857142857143</v>
      </c>
      <c r="AE294" s="15">
        <v>0.91300000000000003</v>
      </c>
      <c r="AF294" s="20">
        <v>21</v>
      </c>
      <c r="AG294" s="20" t="s">
        <v>8</v>
      </c>
      <c r="AH294" s="24">
        <v>23</v>
      </c>
      <c r="AI294" s="23">
        <f t="shared" si="9"/>
        <v>1</v>
      </c>
      <c r="AJ294" s="17">
        <v>10</v>
      </c>
      <c r="AK294" s="17">
        <v>8.75</v>
      </c>
      <c r="AL294" s="14">
        <v>18.75</v>
      </c>
      <c r="AM294" s="23" cm="1">
        <f t="array" ref="AM294">IF(OR(AN294:AZ294=""),"BLANK",IF(AND(AN294:AZ294&lt;9999999),1,IF(AND(AN294:AZ294="NA"),3,2)))</f>
        <v>1</v>
      </c>
      <c r="AN294" s="5">
        <v>8</v>
      </c>
      <c r="AO294" s="5">
        <v>2</v>
      </c>
      <c r="AP294" s="10">
        <v>3</v>
      </c>
      <c r="AQ294" s="10">
        <v>6.75</v>
      </c>
      <c r="AR294" s="10">
        <v>5.5</v>
      </c>
      <c r="AS294" s="11">
        <v>1556</v>
      </c>
      <c r="AT294" s="11">
        <v>2827.5</v>
      </c>
      <c r="AU294" s="11">
        <v>11596.25</v>
      </c>
      <c r="AV294" s="11">
        <v>12422.25</v>
      </c>
      <c r="AW294" s="11">
        <v>0</v>
      </c>
      <c r="AX294" s="11">
        <v>0</v>
      </c>
      <c r="AY294" s="11">
        <v>2451.9777777777999</v>
      </c>
      <c r="AZ294" s="11">
        <v>375.83571428570002</v>
      </c>
      <c r="BA294" s="23">
        <v>3</v>
      </c>
      <c r="BB294" s="24" t="s">
        <v>8</v>
      </c>
    </row>
    <row r="295" spans="1:54" x14ac:dyDescent="0.2">
      <c r="A295" s="5">
        <v>2044</v>
      </c>
      <c r="B295" s="20" t="s">
        <v>83</v>
      </c>
      <c r="C295" s="18" t="s">
        <v>54</v>
      </c>
      <c r="D295" s="18">
        <v>5</v>
      </c>
      <c r="E295" s="18">
        <v>0</v>
      </c>
      <c r="F295" s="20">
        <v>4</v>
      </c>
      <c r="G295" s="18">
        <v>26</v>
      </c>
      <c r="H295" s="22" t="s">
        <v>8</v>
      </c>
      <c r="I295" s="22" t="s">
        <v>8</v>
      </c>
      <c r="J295" s="22" t="s">
        <v>8</v>
      </c>
      <c r="K295" s="22" t="s">
        <v>8</v>
      </c>
      <c r="L295" s="22" t="s">
        <v>8</v>
      </c>
      <c r="M295" s="22" t="s">
        <v>8</v>
      </c>
      <c r="N295" s="22" t="s">
        <v>8</v>
      </c>
      <c r="O295" s="22" t="s">
        <v>8</v>
      </c>
      <c r="P295" s="22" t="s">
        <v>8</v>
      </c>
      <c r="Q295" s="22" t="s">
        <v>8</v>
      </c>
      <c r="R295" s="22" t="s">
        <v>8</v>
      </c>
      <c r="S295" s="22" t="s">
        <v>8</v>
      </c>
      <c r="T295" s="5">
        <v>6</v>
      </c>
      <c r="U295" s="5">
        <v>18</v>
      </c>
      <c r="V295" s="20" t="s">
        <v>1</v>
      </c>
      <c r="W295" s="20">
        <v>5</v>
      </c>
      <c r="X295" s="20">
        <v>1</v>
      </c>
      <c r="Y295" s="5">
        <v>1</v>
      </c>
      <c r="Z295" s="20">
        <v>4</v>
      </c>
      <c r="AA295" s="23">
        <f t="shared" si="8"/>
        <v>2</v>
      </c>
      <c r="AB295" s="15">
        <v>0.875</v>
      </c>
      <c r="AC295" s="15">
        <v>0.875</v>
      </c>
      <c r="AD295" s="15">
        <v>0.5714285714285714</v>
      </c>
      <c r="AE295" s="15">
        <v>0.78300000000000003</v>
      </c>
      <c r="AF295" s="20">
        <v>18</v>
      </c>
      <c r="AG295" s="20" t="s">
        <v>8</v>
      </c>
      <c r="AH295" s="24">
        <v>23</v>
      </c>
      <c r="AI295" s="23">
        <f t="shared" si="9"/>
        <v>1</v>
      </c>
      <c r="AJ295" s="17">
        <v>6</v>
      </c>
      <c r="AK295" s="17">
        <v>4.5</v>
      </c>
      <c r="AL295" s="14">
        <v>10.5</v>
      </c>
      <c r="AM295" s="23" cm="1">
        <f t="array" ref="AM295">IF(OR(AN295:AZ295=""),"BLANK",IF(AND(AN295:AZ295&lt;9999999),1,IF(AND(AN295:AZ295="NA"),3,2)))</f>
        <v>1</v>
      </c>
      <c r="AN295" s="5">
        <v>9</v>
      </c>
      <c r="AO295" s="5">
        <v>2</v>
      </c>
      <c r="AP295" s="10">
        <v>3</v>
      </c>
      <c r="AQ295" s="10">
        <v>4.25</v>
      </c>
      <c r="AR295" s="10">
        <v>7</v>
      </c>
      <c r="AS295" s="11">
        <v>1062</v>
      </c>
      <c r="AT295" s="11">
        <v>8974.5</v>
      </c>
      <c r="AU295" s="11">
        <v>5610</v>
      </c>
      <c r="AV295" s="11">
        <v>19623.75</v>
      </c>
      <c r="AW295" s="11">
        <v>0</v>
      </c>
      <c r="AX295" s="11">
        <v>0</v>
      </c>
      <c r="AY295" s="11">
        <v>8138.8</v>
      </c>
      <c r="AZ295" s="11">
        <v>21590.870833333302</v>
      </c>
      <c r="BA295" s="23">
        <v>3</v>
      </c>
      <c r="BB295" s="24" t="s">
        <v>8</v>
      </c>
    </row>
    <row r="296" spans="1:54" x14ac:dyDescent="0.2">
      <c r="A296" s="5">
        <v>2053</v>
      </c>
      <c r="B296" s="20" t="s">
        <v>81</v>
      </c>
      <c r="C296" s="18" t="s">
        <v>54</v>
      </c>
      <c r="D296" s="18">
        <v>5</v>
      </c>
      <c r="E296" s="18">
        <v>0</v>
      </c>
      <c r="F296" s="20">
        <v>4</v>
      </c>
      <c r="G296" s="18">
        <v>30</v>
      </c>
      <c r="H296" s="22">
        <v>3.9589322381930185</v>
      </c>
      <c r="I296" s="22" t="s">
        <v>8</v>
      </c>
      <c r="J296" s="22" t="s">
        <v>8</v>
      </c>
      <c r="K296" s="22">
        <v>3.9589322381930185</v>
      </c>
      <c r="L296" s="22" t="s">
        <v>8</v>
      </c>
      <c r="M296" s="22" t="s">
        <v>8</v>
      </c>
      <c r="N296" s="22" t="s">
        <v>8</v>
      </c>
      <c r="O296" s="22" t="s">
        <v>8</v>
      </c>
      <c r="P296" s="22" t="s">
        <v>8</v>
      </c>
      <c r="Q296" s="22" t="s">
        <v>8</v>
      </c>
      <c r="R296" s="22" t="s">
        <v>8</v>
      </c>
      <c r="S296" s="22" t="s">
        <v>8</v>
      </c>
      <c r="T296" s="5">
        <v>3</v>
      </c>
      <c r="U296" s="5">
        <v>13.5</v>
      </c>
      <c r="V296" s="20" t="s">
        <v>1</v>
      </c>
      <c r="W296" s="20">
        <v>5</v>
      </c>
      <c r="X296" s="20">
        <v>1</v>
      </c>
      <c r="Y296" s="5">
        <v>1</v>
      </c>
      <c r="Z296" s="20">
        <v>4</v>
      </c>
      <c r="AA296" s="23">
        <f t="shared" si="8"/>
        <v>2</v>
      </c>
      <c r="AB296" s="15">
        <v>1</v>
      </c>
      <c r="AC296" s="15">
        <v>0.875</v>
      </c>
      <c r="AD296" s="15">
        <v>0.5</v>
      </c>
      <c r="AE296" s="15">
        <v>0.81799999999999995</v>
      </c>
      <c r="AF296" s="20">
        <v>18</v>
      </c>
      <c r="AG296" s="20" t="s">
        <v>8</v>
      </c>
      <c r="AH296" s="24">
        <v>22</v>
      </c>
      <c r="AI296" s="23">
        <f t="shared" si="9"/>
        <v>1</v>
      </c>
      <c r="AJ296" s="17">
        <v>6.75</v>
      </c>
      <c r="AK296" s="17">
        <v>3.75</v>
      </c>
      <c r="AL296" s="14">
        <v>10.5</v>
      </c>
      <c r="AM296" s="23" cm="1">
        <f t="array" ref="AM296">IF(OR(AN296:AZ296=""),"BLANK",IF(AND(AN296:AZ296&lt;9999999),1,IF(AND(AN296:AZ296="NA"),3,2)))</f>
        <v>1</v>
      </c>
      <c r="AN296" s="5">
        <v>9</v>
      </c>
      <c r="AO296" s="5">
        <v>2</v>
      </c>
      <c r="AP296" s="10">
        <v>3</v>
      </c>
      <c r="AQ296" s="10">
        <v>6.5</v>
      </c>
      <c r="AR296" s="10">
        <v>5.25</v>
      </c>
      <c r="AS296" s="11">
        <v>1018.5</v>
      </c>
      <c r="AT296" s="11">
        <v>7284.5</v>
      </c>
      <c r="AU296" s="11">
        <v>5365.75</v>
      </c>
      <c r="AV296" s="11">
        <v>5730.5</v>
      </c>
      <c r="AW296" s="11">
        <v>0</v>
      </c>
      <c r="AX296" s="11">
        <v>0</v>
      </c>
      <c r="AY296" s="11">
        <v>13891.847222222201</v>
      </c>
      <c r="AZ296" s="11">
        <v>2255.3583333332999</v>
      </c>
      <c r="BA296" s="23">
        <v>3</v>
      </c>
      <c r="BB296" s="24" t="s">
        <v>8</v>
      </c>
    </row>
    <row r="297" spans="1:54" x14ac:dyDescent="0.2">
      <c r="A297" s="5">
        <v>2054</v>
      </c>
      <c r="B297" s="20" t="s">
        <v>83</v>
      </c>
      <c r="C297" s="18" t="s">
        <v>55</v>
      </c>
      <c r="D297" s="18">
        <v>7</v>
      </c>
      <c r="E297" s="18">
        <v>0</v>
      </c>
      <c r="F297" s="20">
        <v>3.6360000000000001</v>
      </c>
      <c r="G297" s="18">
        <v>27</v>
      </c>
      <c r="H297" s="22" t="s">
        <v>8</v>
      </c>
      <c r="I297" s="22" t="s">
        <v>8</v>
      </c>
      <c r="J297" s="22" t="s">
        <v>8</v>
      </c>
      <c r="K297" s="22" t="s">
        <v>8</v>
      </c>
      <c r="L297" s="22" t="s">
        <v>8</v>
      </c>
      <c r="M297" s="22" t="s">
        <v>8</v>
      </c>
      <c r="N297" s="22" t="s">
        <v>8</v>
      </c>
      <c r="O297" s="22" t="s">
        <v>8</v>
      </c>
      <c r="P297" s="22" t="s">
        <v>8</v>
      </c>
      <c r="Q297" s="22" t="s">
        <v>8</v>
      </c>
      <c r="R297" s="22" t="s">
        <v>8</v>
      </c>
      <c r="S297" s="22" t="s">
        <v>8</v>
      </c>
      <c r="T297" s="5">
        <v>3</v>
      </c>
      <c r="U297" s="5">
        <v>13</v>
      </c>
      <c r="V297" s="20" t="s">
        <v>1</v>
      </c>
      <c r="W297" s="20">
        <v>5</v>
      </c>
      <c r="X297" s="20">
        <v>1</v>
      </c>
      <c r="Y297" s="5">
        <v>1</v>
      </c>
      <c r="Z297" s="20">
        <v>4</v>
      </c>
      <c r="AA297" s="23">
        <f t="shared" si="8"/>
        <v>2</v>
      </c>
      <c r="AB297" s="15">
        <v>0.75</v>
      </c>
      <c r="AC297" s="15">
        <v>0.5</v>
      </c>
      <c r="AD297" s="15">
        <v>0.16666666666666666</v>
      </c>
      <c r="AE297" s="15">
        <v>0.5</v>
      </c>
      <c r="AF297" s="20">
        <v>10</v>
      </c>
      <c r="AG297" s="20" t="s">
        <v>8</v>
      </c>
      <c r="AH297" s="24">
        <v>20</v>
      </c>
      <c r="AI297" s="23">
        <f t="shared" si="9"/>
        <v>1</v>
      </c>
      <c r="AJ297" s="17">
        <v>3.5</v>
      </c>
      <c r="AK297" s="17">
        <v>0.75</v>
      </c>
      <c r="AL297" s="14">
        <v>4.25</v>
      </c>
      <c r="AM297" s="23" cm="1">
        <f t="array" ref="AM297">IF(OR(AN297:AZ297=""),"BLANK",IF(AND(AN297:AZ297&lt;9999999),1,IF(AND(AN297:AZ297="NA"),3,2)))</f>
        <v>1</v>
      </c>
      <c r="AN297" s="5">
        <v>6</v>
      </c>
      <c r="AO297" s="5">
        <v>2</v>
      </c>
      <c r="AP297" s="10">
        <v>3</v>
      </c>
      <c r="AQ297" s="10">
        <v>6.75</v>
      </c>
      <c r="AR297" s="10">
        <v>7.75</v>
      </c>
      <c r="AS297" s="11">
        <v>5489.5</v>
      </c>
      <c r="AT297" s="11">
        <v>4685.5</v>
      </c>
      <c r="AU297" s="11">
        <v>17386</v>
      </c>
      <c r="AV297" s="11">
        <v>21142.5</v>
      </c>
      <c r="AW297" s="11">
        <v>0</v>
      </c>
      <c r="AX297" s="11">
        <v>0</v>
      </c>
      <c r="AY297" s="11">
        <v>30821.770833333299</v>
      </c>
      <c r="AZ297" s="11">
        <v>48652.787499999999</v>
      </c>
      <c r="BA297" s="23">
        <v>3</v>
      </c>
      <c r="BB297" s="24" t="s">
        <v>8</v>
      </c>
    </row>
    <row r="298" spans="1:54" x14ac:dyDescent="0.2">
      <c r="A298" s="5">
        <v>2058</v>
      </c>
      <c r="B298" s="20" t="s">
        <v>83</v>
      </c>
      <c r="C298" s="18" t="s">
        <v>54</v>
      </c>
      <c r="D298" s="18">
        <v>5</v>
      </c>
      <c r="E298" s="18">
        <v>0</v>
      </c>
      <c r="F298" s="20">
        <v>3.9089999999999998</v>
      </c>
      <c r="G298" s="18">
        <v>27</v>
      </c>
      <c r="H298" s="22" t="s">
        <v>8</v>
      </c>
      <c r="I298" s="22" t="s">
        <v>8</v>
      </c>
      <c r="J298" s="22" t="s">
        <v>8</v>
      </c>
      <c r="K298" s="22" t="s">
        <v>8</v>
      </c>
      <c r="L298" s="22" t="s">
        <v>8</v>
      </c>
      <c r="M298" s="22" t="s">
        <v>8</v>
      </c>
      <c r="N298" s="22" t="s">
        <v>8</v>
      </c>
      <c r="O298" s="22" t="s">
        <v>8</v>
      </c>
      <c r="P298" s="22" t="s">
        <v>8</v>
      </c>
      <c r="Q298" s="22" t="s">
        <v>8</v>
      </c>
      <c r="R298" s="22" t="s">
        <v>8</v>
      </c>
      <c r="S298" s="22" t="s">
        <v>8</v>
      </c>
      <c r="T298" s="5">
        <v>4</v>
      </c>
      <c r="U298" s="5">
        <v>16</v>
      </c>
      <c r="V298" s="20" t="s">
        <v>1</v>
      </c>
      <c r="W298" s="20">
        <v>5</v>
      </c>
      <c r="X298" s="20">
        <v>1</v>
      </c>
      <c r="Y298" s="5">
        <v>1</v>
      </c>
      <c r="Z298" s="20">
        <v>4</v>
      </c>
      <c r="AA298" s="23">
        <f t="shared" si="8"/>
        <v>2</v>
      </c>
      <c r="AB298" s="15">
        <v>0.75</v>
      </c>
      <c r="AC298" s="15">
        <v>0.625</v>
      </c>
      <c r="AD298" s="15">
        <v>0.125</v>
      </c>
      <c r="AE298" s="15">
        <v>0.5</v>
      </c>
      <c r="AF298" s="20">
        <v>12</v>
      </c>
      <c r="AG298" s="20" t="s">
        <v>8</v>
      </c>
      <c r="AH298" s="24">
        <v>24</v>
      </c>
      <c r="AI298" s="23">
        <f t="shared" si="9"/>
        <v>1</v>
      </c>
      <c r="AJ298" s="17">
        <v>1.25</v>
      </c>
      <c r="AK298" s="17">
        <v>5.25</v>
      </c>
      <c r="AL298" s="14">
        <v>6.5</v>
      </c>
      <c r="AM298" s="23" cm="1">
        <f t="array" ref="AM298">IF(OR(AN298:AZ298=""),"BLANK",IF(AND(AN298:AZ298&lt;9999999),1,IF(AND(AN298:AZ298="NA"),3,2)))</f>
        <v>1</v>
      </c>
      <c r="AN298" s="5">
        <v>8</v>
      </c>
      <c r="AO298" s="5">
        <v>2</v>
      </c>
      <c r="AP298" s="10">
        <v>3</v>
      </c>
      <c r="AQ298" s="10">
        <v>5.5</v>
      </c>
      <c r="AR298" s="10">
        <v>8.5</v>
      </c>
      <c r="AS298" s="11">
        <v>1403</v>
      </c>
      <c r="AT298" s="11">
        <v>14731</v>
      </c>
      <c r="AU298" s="11">
        <v>7874</v>
      </c>
      <c r="AV298" s="11">
        <v>13333.75</v>
      </c>
      <c r="AW298" s="11">
        <v>0</v>
      </c>
      <c r="AX298" s="11">
        <v>0</v>
      </c>
      <c r="AY298" s="11">
        <v>4862.7527777777996</v>
      </c>
      <c r="AZ298" s="11">
        <v>1465.6291666667</v>
      </c>
      <c r="BA298" s="23">
        <v>3</v>
      </c>
      <c r="BB298" s="24" t="s">
        <v>8</v>
      </c>
    </row>
    <row r="299" spans="1:54" x14ac:dyDescent="0.2">
      <c r="A299" s="5">
        <v>2062</v>
      </c>
      <c r="B299" s="20" t="s">
        <v>80</v>
      </c>
      <c r="C299" s="18" t="s">
        <v>55</v>
      </c>
      <c r="D299" s="18">
        <v>5</v>
      </c>
      <c r="E299" s="18">
        <v>0</v>
      </c>
      <c r="F299" s="20">
        <v>3.7269999999999999</v>
      </c>
      <c r="G299" s="18">
        <v>26</v>
      </c>
      <c r="H299" s="22" t="s">
        <v>8</v>
      </c>
      <c r="I299" s="22" t="s">
        <v>8</v>
      </c>
      <c r="J299" s="22" t="s">
        <v>8</v>
      </c>
      <c r="K299" s="22" t="s">
        <v>8</v>
      </c>
      <c r="L299" s="22" t="s">
        <v>8</v>
      </c>
      <c r="M299" s="22" t="s">
        <v>8</v>
      </c>
      <c r="N299" s="22" t="s">
        <v>8</v>
      </c>
      <c r="O299" s="22" t="s">
        <v>8</v>
      </c>
      <c r="P299" s="22" t="s">
        <v>8</v>
      </c>
      <c r="Q299" s="22" t="s">
        <v>8</v>
      </c>
      <c r="R299" s="22" t="s">
        <v>8</v>
      </c>
      <c r="S299" s="22" t="s">
        <v>8</v>
      </c>
      <c r="T299" s="5">
        <v>5</v>
      </c>
      <c r="U299" s="5">
        <v>18</v>
      </c>
      <c r="V299" s="20" t="s">
        <v>1</v>
      </c>
      <c r="W299" s="20">
        <v>5</v>
      </c>
      <c r="X299" s="20">
        <v>1</v>
      </c>
      <c r="Y299" s="5">
        <v>1</v>
      </c>
      <c r="Z299" s="20">
        <v>4</v>
      </c>
      <c r="AA299" s="23">
        <f t="shared" si="8"/>
        <v>2</v>
      </c>
      <c r="AB299" s="15">
        <v>0.875</v>
      </c>
      <c r="AC299" s="15">
        <v>0.75</v>
      </c>
      <c r="AD299" s="15">
        <v>0.5</v>
      </c>
      <c r="AE299" s="15">
        <v>0.70799999999999996</v>
      </c>
      <c r="AF299" s="20">
        <v>17</v>
      </c>
      <c r="AG299" s="20" t="s">
        <v>8</v>
      </c>
      <c r="AH299" s="24">
        <v>24</v>
      </c>
      <c r="AI299" s="23">
        <f t="shared" si="9"/>
        <v>1</v>
      </c>
      <c r="AJ299" s="17">
        <v>4.25</v>
      </c>
      <c r="AK299" s="17">
        <v>4</v>
      </c>
      <c r="AL299" s="14">
        <v>8.25</v>
      </c>
      <c r="AM299" s="23" cm="1">
        <f t="array" ref="AM299">IF(OR(AN299:AZ299=""),"BLANK",IF(AND(AN299:AZ299&lt;9999999),1,IF(AND(AN299:AZ299="NA"),3,2)))</f>
        <v>1</v>
      </c>
      <c r="AN299" s="5">
        <v>8</v>
      </c>
      <c r="AO299" s="5">
        <v>2</v>
      </c>
      <c r="AP299" s="10">
        <v>3</v>
      </c>
      <c r="AQ299" s="10">
        <v>6.5</v>
      </c>
      <c r="AR299" s="10">
        <v>7</v>
      </c>
      <c r="AS299" s="11">
        <v>289.5</v>
      </c>
      <c r="AT299" s="11">
        <v>23207.5</v>
      </c>
      <c r="AU299" s="11">
        <v>17452.25</v>
      </c>
      <c r="AV299" s="11">
        <v>15436.75</v>
      </c>
      <c r="AW299" s="11">
        <v>0</v>
      </c>
      <c r="AX299" s="11">
        <v>0</v>
      </c>
      <c r="AY299" s="11">
        <v>27923.680555555598</v>
      </c>
      <c r="AZ299" s="11">
        <v>6969.6583333333001</v>
      </c>
      <c r="BA299" s="23">
        <v>3</v>
      </c>
      <c r="BB299" s="24" t="s">
        <v>8</v>
      </c>
    </row>
    <row r="300" spans="1:54" x14ac:dyDescent="0.2">
      <c r="A300" s="5">
        <v>2064</v>
      </c>
      <c r="B300" s="20" t="s">
        <v>83</v>
      </c>
      <c r="C300" s="18" t="s">
        <v>54</v>
      </c>
      <c r="D300" s="18">
        <v>5</v>
      </c>
      <c r="E300" s="18">
        <v>0</v>
      </c>
      <c r="F300" s="20">
        <v>4</v>
      </c>
      <c r="G300" s="18">
        <v>27</v>
      </c>
      <c r="H300" s="22">
        <v>3.8603696098562628</v>
      </c>
      <c r="I300" s="22" t="s">
        <v>8</v>
      </c>
      <c r="J300" s="22" t="s">
        <v>8</v>
      </c>
      <c r="K300" s="22" t="s">
        <v>8</v>
      </c>
      <c r="L300" s="22" t="s">
        <v>8</v>
      </c>
      <c r="M300" s="22" t="s">
        <v>8</v>
      </c>
      <c r="N300" s="22">
        <v>3.8959616700889801</v>
      </c>
      <c r="O300" s="22" t="s">
        <v>8</v>
      </c>
      <c r="P300" s="22" t="s">
        <v>8</v>
      </c>
      <c r="Q300" s="22">
        <v>3.2553045859000687</v>
      </c>
      <c r="R300" s="22" t="s">
        <v>8</v>
      </c>
      <c r="S300" s="22" t="s">
        <v>8</v>
      </c>
      <c r="T300" s="5">
        <v>3</v>
      </c>
      <c r="U300" s="5">
        <v>12</v>
      </c>
      <c r="V300" s="20" t="s">
        <v>1</v>
      </c>
      <c r="W300" s="20">
        <v>5</v>
      </c>
      <c r="X300" s="20">
        <v>1</v>
      </c>
      <c r="Y300" s="5">
        <v>1</v>
      </c>
      <c r="Z300" s="20">
        <v>4</v>
      </c>
      <c r="AA300" s="23">
        <f t="shared" si="8"/>
        <v>2</v>
      </c>
      <c r="AB300" s="15">
        <v>1</v>
      </c>
      <c r="AC300" s="15">
        <v>0.83333333333333337</v>
      </c>
      <c r="AD300" s="15">
        <v>0.66666666666666663</v>
      </c>
      <c r="AE300" s="15">
        <v>0.85</v>
      </c>
      <c r="AF300" s="20">
        <v>17</v>
      </c>
      <c r="AG300" s="20" t="s">
        <v>8</v>
      </c>
      <c r="AH300" s="24">
        <v>20</v>
      </c>
      <c r="AI300" s="23">
        <f t="shared" si="9"/>
        <v>1</v>
      </c>
      <c r="AJ300" s="17">
        <v>5</v>
      </c>
      <c r="AK300" s="17">
        <v>6.75</v>
      </c>
      <c r="AL300" s="14">
        <v>11.75</v>
      </c>
      <c r="AM300" s="23" cm="1">
        <f t="array" ref="AM300">IF(OR(AN300:AZ300=""),"BLANK",IF(AND(AN300:AZ300&lt;9999999),1,IF(AND(AN300:AZ300="NA"),3,2)))</f>
        <v>1</v>
      </c>
      <c r="AN300" s="5">
        <v>8</v>
      </c>
      <c r="AO300" s="5">
        <v>2</v>
      </c>
      <c r="AP300" s="10">
        <v>3</v>
      </c>
      <c r="AQ300" s="10">
        <v>6.25</v>
      </c>
      <c r="AR300" s="10">
        <v>7</v>
      </c>
      <c r="AS300" s="11">
        <v>0</v>
      </c>
      <c r="AT300" s="11">
        <v>6893.5</v>
      </c>
      <c r="AU300" s="11">
        <v>7373.25</v>
      </c>
      <c r="AV300" s="11">
        <v>7549</v>
      </c>
      <c r="AW300" s="11">
        <v>0</v>
      </c>
      <c r="AX300" s="11">
        <v>1223.6666666666999</v>
      </c>
      <c r="AY300" s="11">
        <v>12753.0763888889</v>
      </c>
      <c r="AZ300" s="11">
        <v>4663.7166666666999</v>
      </c>
      <c r="BA300" s="23">
        <v>3</v>
      </c>
      <c r="BB300" s="24" t="s">
        <v>8</v>
      </c>
    </row>
    <row r="301" spans="1:54" x14ac:dyDescent="0.2">
      <c r="A301" s="5">
        <v>2067</v>
      </c>
      <c r="B301" s="20" t="s">
        <v>76</v>
      </c>
      <c r="C301" s="18" t="s">
        <v>54</v>
      </c>
      <c r="D301" s="18">
        <v>5</v>
      </c>
      <c r="E301" s="18">
        <v>0</v>
      </c>
      <c r="F301" s="20">
        <v>3.0910000000000002</v>
      </c>
      <c r="G301" s="18">
        <v>29</v>
      </c>
      <c r="H301" s="22" t="s">
        <v>8</v>
      </c>
      <c r="I301" s="22" t="s">
        <v>8</v>
      </c>
      <c r="J301" s="22" t="s">
        <v>8</v>
      </c>
      <c r="K301" s="22" t="s">
        <v>8</v>
      </c>
      <c r="L301" s="22" t="s">
        <v>8</v>
      </c>
      <c r="M301" s="22" t="s">
        <v>8</v>
      </c>
      <c r="N301" s="22" t="s">
        <v>8</v>
      </c>
      <c r="O301" s="22" t="s">
        <v>8</v>
      </c>
      <c r="P301" s="22" t="s">
        <v>8</v>
      </c>
      <c r="Q301" s="22" t="s">
        <v>8</v>
      </c>
      <c r="R301" s="22" t="s">
        <v>8</v>
      </c>
      <c r="S301" s="22" t="s">
        <v>8</v>
      </c>
      <c r="T301" s="5">
        <v>5</v>
      </c>
      <c r="U301" s="5">
        <v>17</v>
      </c>
      <c r="V301" s="20" t="s">
        <v>1</v>
      </c>
      <c r="W301" s="20">
        <v>5</v>
      </c>
      <c r="X301" s="20">
        <v>1</v>
      </c>
      <c r="Y301" s="5">
        <v>1</v>
      </c>
      <c r="Z301" s="20">
        <v>4</v>
      </c>
      <c r="AA301" s="23">
        <f t="shared" si="8"/>
        <v>2</v>
      </c>
      <c r="AB301" s="15">
        <v>1</v>
      </c>
      <c r="AC301" s="15">
        <v>0.875</v>
      </c>
      <c r="AD301" s="15">
        <v>0.5</v>
      </c>
      <c r="AE301" s="15">
        <v>0.79200000000000004</v>
      </c>
      <c r="AF301" s="20">
        <v>19</v>
      </c>
      <c r="AG301" s="20" t="s">
        <v>8</v>
      </c>
      <c r="AH301" s="24">
        <v>24</v>
      </c>
      <c r="AI301" s="23">
        <f t="shared" si="9"/>
        <v>1</v>
      </c>
      <c r="AJ301" s="17">
        <v>10.75</v>
      </c>
      <c r="AK301" s="17">
        <v>11.75</v>
      </c>
      <c r="AL301" s="14">
        <v>22.5</v>
      </c>
      <c r="AM301" s="23" cm="1">
        <f t="array" ref="AM301">IF(OR(AN301:AZ301=""),"BLANK",IF(AND(AN301:AZ301&lt;9999999),1,IF(AND(AN301:AZ301="NA"),3,2)))</f>
        <v>1</v>
      </c>
      <c r="AN301" s="5">
        <v>9</v>
      </c>
      <c r="AO301" s="5">
        <v>2</v>
      </c>
      <c r="AP301" s="10">
        <v>3</v>
      </c>
      <c r="AQ301" s="10">
        <v>5.5</v>
      </c>
      <c r="AR301" s="10">
        <v>5.25</v>
      </c>
      <c r="AS301" s="11">
        <v>1492.5</v>
      </c>
      <c r="AT301" s="11">
        <v>10009.5</v>
      </c>
      <c r="AU301" s="11">
        <v>8365.25</v>
      </c>
      <c r="AV301" s="11">
        <v>15551.25</v>
      </c>
      <c r="AW301" s="11">
        <v>66.25</v>
      </c>
      <c r="AX301" s="11">
        <v>0</v>
      </c>
      <c r="AY301" s="11">
        <v>1336.1875</v>
      </c>
      <c r="AZ301" s="11">
        <v>0</v>
      </c>
      <c r="BA301" s="23">
        <v>3</v>
      </c>
      <c r="BB301" s="24" t="s">
        <v>8</v>
      </c>
    </row>
    <row r="302" spans="1:54" x14ac:dyDescent="0.2">
      <c r="A302" s="5">
        <v>2068</v>
      </c>
      <c r="B302" s="20" t="s">
        <v>81</v>
      </c>
      <c r="C302" s="18" t="s">
        <v>55</v>
      </c>
      <c r="D302" s="18">
        <v>5</v>
      </c>
      <c r="E302" s="18">
        <v>0</v>
      </c>
      <c r="F302" s="20">
        <v>3.2730000000000001</v>
      </c>
      <c r="G302" s="18">
        <v>27</v>
      </c>
      <c r="H302" s="22">
        <v>4.2381930184804926</v>
      </c>
      <c r="I302" s="22">
        <v>4.213552361396304</v>
      </c>
      <c r="J302" s="22">
        <v>8.4517453798767974</v>
      </c>
      <c r="K302" s="22">
        <v>4.2546201232032859</v>
      </c>
      <c r="L302" s="22">
        <v>4.1971252566735116</v>
      </c>
      <c r="M302" s="22">
        <v>8.4517453798767974</v>
      </c>
      <c r="N302" s="22">
        <v>4.1232032854209448</v>
      </c>
      <c r="O302" s="22">
        <v>3.8877481177275839</v>
      </c>
      <c r="P302" s="22">
        <v>8.0109514031485283</v>
      </c>
      <c r="Q302" s="22" t="s">
        <v>8</v>
      </c>
      <c r="R302" s="22" t="s">
        <v>8</v>
      </c>
      <c r="S302" s="22" t="s">
        <v>8</v>
      </c>
      <c r="T302" s="5">
        <v>4</v>
      </c>
      <c r="U302" s="5">
        <v>16</v>
      </c>
      <c r="V302" s="20" t="s">
        <v>1</v>
      </c>
      <c r="W302" s="20">
        <v>5</v>
      </c>
      <c r="X302" s="20">
        <v>1</v>
      </c>
      <c r="Y302" s="5">
        <v>1</v>
      </c>
      <c r="Z302" s="20">
        <v>4</v>
      </c>
      <c r="AA302" s="23">
        <f t="shared" si="8"/>
        <v>2</v>
      </c>
      <c r="AB302" s="15">
        <v>1</v>
      </c>
      <c r="AC302" s="15">
        <v>0.625</v>
      </c>
      <c r="AD302" s="15">
        <v>0.375</v>
      </c>
      <c r="AE302" s="15">
        <v>0.66700000000000004</v>
      </c>
      <c r="AF302" s="20">
        <v>16</v>
      </c>
      <c r="AG302" s="20" t="s">
        <v>8</v>
      </c>
      <c r="AH302" s="24">
        <v>24</v>
      </c>
      <c r="AI302" s="23">
        <f t="shared" si="9"/>
        <v>1</v>
      </c>
      <c r="AJ302" s="17">
        <v>8.25</v>
      </c>
      <c r="AK302" s="17">
        <v>8</v>
      </c>
      <c r="AL302" s="14">
        <v>16.25</v>
      </c>
      <c r="AM302" s="23" cm="1">
        <f t="array" ref="AM302">IF(OR(AN302:AZ302=""),"BLANK",IF(AND(AN302:AZ302&lt;9999999),1,IF(AND(AN302:AZ302="NA"),3,2)))</f>
        <v>1</v>
      </c>
      <c r="AN302" s="5">
        <v>9</v>
      </c>
      <c r="AO302" s="5">
        <v>2</v>
      </c>
      <c r="AP302" s="10">
        <v>3</v>
      </c>
      <c r="AQ302" s="10">
        <v>4</v>
      </c>
      <c r="AR302" s="10">
        <v>8</v>
      </c>
      <c r="AS302" s="11">
        <v>4102.5</v>
      </c>
      <c r="AT302" s="11">
        <v>16447</v>
      </c>
      <c r="AU302" s="11">
        <v>16918.25</v>
      </c>
      <c r="AV302" s="11">
        <v>13747.25</v>
      </c>
      <c r="AW302" s="11">
        <v>0</v>
      </c>
      <c r="AX302" s="11">
        <v>0</v>
      </c>
      <c r="AY302" s="11">
        <v>301.625</v>
      </c>
      <c r="AZ302" s="11">
        <v>6569.7736111110999</v>
      </c>
      <c r="BA302" s="23">
        <v>3</v>
      </c>
      <c r="BB302" s="24" t="s">
        <v>8</v>
      </c>
    </row>
    <row r="303" spans="1:54" x14ac:dyDescent="0.2">
      <c r="A303" s="5">
        <v>2085</v>
      </c>
      <c r="B303" s="20" t="s">
        <v>66</v>
      </c>
      <c r="C303" s="18" t="s">
        <v>55</v>
      </c>
      <c r="D303" s="18">
        <v>2</v>
      </c>
      <c r="E303" s="18">
        <v>0</v>
      </c>
      <c r="F303" s="20">
        <v>4</v>
      </c>
      <c r="G303" s="18">
        <v>29</v>
      </c>
      <c r="H303" s="22">
        <v>3.6878850102669403</v>
      </c>
      <c r="I303" s="22" t="s">
        <v>8</v>
      </c>
      <c r="J303" s="22" t="s">
        <v>8</v>
      </c>
      <c r="K303" s="22">
        <v>3.6878850102669403</v>
      </c>
      <c r="L303" s="22" t="s">
        <v>8</v>
      </c>
      <c r="M303" s="22" t="s">
        <v>8</v>
      </c>
      <c r="N303" s="22">
        <v>3.7262149212867897</v>
      </c>
      <c r="O303" s="22" t="s">
        <v>8</v>
      </c>
      <c r="P303" s="22" t="s">
        <v>8</v>
      </c>
      <c r="Q303" s="22" t="s">
        <v>8</v>
      </c>
      <c r="R303" s="22" t="s">
        <v>8</v>
      </c>
      <c r="S303" s="22" t="s">
        <v>8</v>
      </c>
      <c r="T303" s="5">
        <v>4</v>
      </c>
      <c r="U303" s="5">
        <v>16</v>
      </c>
      <c r="V303" s="20" t="s">
        <v>1</v>
      </c>
      <c r="W303" s="20">
        <v>5</v>
      </c>
      <c r="X303" s="20">
        <v>1</v>
      </c>
      <c r="Y303" s="5">
        <v>1</v>
      </c>
      <c r="Z303" s="20">
        <v>4</v>
      </c>
      <c r="AA303" s="23">
        <f t="shared" si="8"/>
        <v>2</v>
      </c>
      <c r="AB303" s="15">
        <v>1</v>
      </c>
      <c r="AC303" s="15">
        <v>0.625</v>
      </c>
      <c r="AD303" s="15">
        <v>0.625</v>
      </c>
      <c r="AE303" s="15">
        <v>0.75</v>
      </c>
      <c r="AF303" s="20">
        <v>18</v>
      </c>
      <c r="AG303" s="20" t="s">
        <v>8</v>
      </c>
      <c r="AH303" s="24">
        <v>24</v>
      </c>
      <c r="AI303" s="23">
        <f t="shared" si="9"/>
        <v>1</v>
      </c>
      <c r="AJ303" s="17">
        <v>7</v>
      </c>
      <c r="AK303" s="17">
        <v>8.75</v>
      </c>
      <c r="AL303" s="14">
        <v>15.75</v>
      </c>
      <c r="AM303" s="23" cm="1">
        <f t="array" ref="AM303">IF(OR(AN303:AZ303=""),"BLANK",IF(AND(AN303:AZ303&lt;9999999),1,IF(AND(AN303:AZ303="NA"),3,2)))</f>
        <v>1</v>
      </c>
      <c r="AN303" s="5">
        <v>6</v>
      </c>
      <c r="AO303" s="5">
        <v>2</v>
      </c>
      <c r="AP303" s="10">
        <v>3.5</v>
      </c>
      <c r="AQ303" s="10">
        <v>5.75</v>
      </c>
      <c r="AR303" s="10">
        <v>9.25</v>
      </c>
      <c r="AS303" s="11">
        <v>655</v>
      </c>
      <c r="AT303" s="11">
        <v>3729.5</v>
      </c>
      <c r="AU303" s="11">
        <v>5058.25</v>
      </c>
      <c r="AV303" s="11">
        <v>2865.5</v>
      </c>
      <c r="AW303" s="11">
        <v>168</v>
      </c>
      <c r="AX303" s="11">
        <v>68.208333333300004</v>
      </c>
      <c r="AY303" s="11">
        <v>2978.2152777778001</v>
      </c>
      <c r="AZ303" s="11">
        <v>1119.04375</v>
      </c>
      <c r="BA303" s="23">
        <v>3</v>
      </c>
      <c r="BB303" s="24" t="s">
        <v>8</v>
      </c>
    </row>
    <row r="304" spans="1:54" x14ac:dyDescent="0.2">
      <c r="A304" s="5">
        <v>2087</v>
      </c>
      <c r="B304" s="20" t="s">
        <v>81</v>
      </c>
      <c r="C304" s="18" t="s">
        <v>54</v>
      </c>
      <c r="D304" s="18">
        <v>5</v>
      </c>
      <c r="E304" s="18">
        <v>0</v>
      </c>
      <c r="F304" s="20">
        <v>4</v>
      </c>
      <c r="G304" s="18">
        <v>28</v>
      </c>
      <c r="H304" s="22">
        <v>4</v>
      </c>
      <c r="I304" s="22">
        <v>4.6762491444216288</v>
      </c>
      <c r="J304" s="22">
        <v>8.6762491444216288</v>
      </c>
      <c r="K304" s="22">
        <v>4</v>
      </c>
      <c r="L304" s="22">
        <v>4.7063655030800824</v>
      </c>
      <c r="M304" s="22">
        <v>8.7063655030800824</v>
      </c>
      <c r="N304" s="22" t="s">
        <v>8</v>
      </c>
      <c r="O304" s="22" t="s">
        <v>8</v>
      </c>
      <c r="P304" s="22" t="s">
        <v>8</v>
      </c>
      <c r="Q304" s="22" t="s">
        <v>8</v>
      </c>
      <c r="R304" s="22" t="s">
        <v>8</v>
      </c>
      <c r="S304" s="22" t="s">
        <v>8</v>
      </c>
      <c r="T304" s="5">
        <v>4</v>
      </c>
      <c r="U304" s="5">
        <v>16</v>
      </c>
      <c r="V304" s="20" t="s">
        <v>1</v>
      </c>
      <c r="W304" s="20">
        <v>5</v>
      </c>
      <c r="X304" s="20">
        <v>1</v>
      </c>
      <c r="Y304" s="5">
        <v>1</v>
      </c>
      <c r="Z304" s="20">
        <v>4</v>
      </c>
      <c r="AA304" s="23">
        <f t="shared" si="8"/>
        <v>2</v>
      </c>
      <c r="AB304" s="15">
        <v>1</v>
      </c>
      <c r="AC304" s="15">
        <v>1</v>
      </c>
      <c r="AD304" s="15">
        <v>0.5</v>
      </c>
      <c r="AE304" s="15">
        <v>0.83299999999999996</v>
      </c>
      <c r="AF304" s="20">
        <v>20</v>
      </c>
      <c r="AG304" s="20" t="s">
        <v>8</v>
      </c>
      <c r="AH304" s="24">
        <v>24</v>
      </c>
      <c r="AI304" s="23">
        <f t="shared" si="9"/>
        <v>1</v>
      </c>
      <c r="AJ304" s="17">
        <v>5</v>
      </c>
      <c r="AK304" s="17">
        <v>8.75</v>
      </c>
      <c r="AL304" s="14">
        <v>13.75</v>
      </c>
      <c r="AM304" s="23" cm="1">
        <f t="array" ref="AM304">IF(OR(AN304:AZ304=""),"BLANK",IF(AND(AN304:AZ304&lt;9999999),1,IF(AND(AN304:AZ304="NA"),3,2)))</f>
        <v>1</v>
      </c>
      <c r="AN304" s="5">
        <v>6</v>
      </c>
      <c r="AO304" s="5">
        <v>2</v>
      </c>
      <c r="AP304" s="10">
        <v>4</v>
      </c>
      <c r="AQ304" s="10">
        <v>6</v>
      </c>
      <c r="AR304" s="10">
        <v>8.75</v>
      </c>
      <c r="AS304" s="11">
        <v>1559</v>
      </c>
      <c r="AT304" s="11">
        <v>5361</v>
      </c>
      <c r="AU304" s="11">
        <v>3323.75</v>
      </c>
      <c r="AV304" s="11">
        <v>6132.25</v>
      </c>
      <c r="AW304" s="11">
        <v>13402.5</v>
      </c>
      <c r="AX304" s="11">
        <v>0</v>
      </c>
      <c r="AY304" s="11">
        <v>28806.864087301601</v>
      </c>
      <c r="AZ304" s="11">
        <v>14933.6333333333</v>
      </c>
      <c r="BA304" s="23">
        <v>3</v>
      </c>
      <c r="BB304" s="24" t="s">
        <v>8</v>
      </c>
    </row>
    <row r="305" spans="1:54" x14ac:dyDescent="0.2">
      <c r="A305" s="5">
        <v>2093</v>
      </c>
      <c r="B305" s="20" t="s">
        <v>79</v>
      </c>
      <c r="C305" s="18" t="s">
        <v>55</v>
      </c>
      <c r="D305" s="18">
        <v>1</v>
      </c>
      <c r="E305" s="18">
        <v>0</v>
      </c>
      <c r="F305" s="20">
        <v>3.8180000000000001</v>
      </c>
      <c r="G305" s="18">
        <v>30</v>
      </c>
      <c r="H305" s="22">
        <v>4.3805612594113619</v>
      </c>
      <c r="I305" s="22">
        <v>4.470910335386721</v>
      </c>
      <c r="J305" s="22">
        <v>8.8514715947980829</v>
      </c>
      <c r="K305" s="22">
        <v>4.3805612594113619</v>
      </c>
      <c r="L305" s="22">
        <v>4.470910335386721</v>
      </c>
      <c r="M305" s="22">
        <v>8.8514715947980829</v>
      </c>
      <c r="N305" s="22">
        <v>4.26009582477755</v>
      </c>
      <c r="O305" s="22">
        <v>4.470910335386721</v>
      </c>
      <c r="P305" s="22">
        <v>8.7310061601642719</v>
      </c>
      <c r="Q305" s="22" t="s">
        <v>8</v>
      </c>
      <c r="R305" s="22" t="s">
        <v>8</v>
      </c>
      <c r="S305" s="22" t="s">
        <v>8</v>
      </c>
      <c r="T305" s="5">
        <v>6</v>
      </c>
      <c r="U305" s="5">
        <v>18</v>
      </c>
      <c r="V305" s="20" t="s">
        <v>1</v>
      </c>
      <c r="W305" s="20">
        <v>5</v>
      </c>
      <c r="X305" s="20">
        <v>1</v>
      </c>
      <c r="Y305" s="5">
        <v>1</v>
      </c>
      <c r="Z305" s="20">
        <v>4</v>
      </c>
      <c r="AA305" s="23">
        <f t="shared" si="8"/>
        <v>2</v>
      </c>
      <c r="AB305" s="15">
        <v>1</v>
      </c>
      <c r="AC305" s="15">
        <v>0.875</v>
      </c>
      <c r="AD305" s="15">
        <v>1</v>
      </c>
      <c r="AE305" s="15">
        <v>0.95799999999999996</v>
      </c>
      <c r="AF305" s="20">
        <v>23</v>
      </c>
      <c r="AG305" s="20" t="s">
        <v>8</v>
      </c>
      <c r="AH305" s="24">
        <v>24</v>
      </c>
      <c r="AI305" s="23">
        <f t="shared" si="9"/>
        <v>1</v>
      </c>
      <c r="AJ305" s="17">
        <v>6.5</v>
      </c>
      <c r="AK305" s="17">
        <v>1.25</v>
      </c>
      <c r="AL305" s="14">
        <v>7.75</v>
      </c>
      <c r="AM305" s="23" cm="1">
        <f t="array" ref="AM305">IF(OR(AN305:AZ305=""),"BLANK",IF(AND(AN305:AZ305&lt;9999999),1,IF(AND(AN305:AZ305="NA"),3,2)))</f>
        <v>1</v>
      </c>
      <c r="AN305" s="5">
        <v>9</v>
      </c>
      <c r="AO305" s="5">
        <v>2</v>
      </c>
      <c r="AP305" s="10">
        <v>3</v>
      </c>
      <c r="AQ305" s="10">
        <v>5.75</v>
      </c>
      <c r="AR305" s="10">
        <v>6.25</v>
      </c>
      <c r="AS305" s="11">
        <v>315.5</v>
      </c>
      <c r="AT305" s="11">
        <v>5440</v>
      </c>
      <c r="AU305" s="11">
        <v>11085.5</v>
      </c>
      <c r="AV305" s="11">
        <v>10722.75</v>
      </c>
      <c r="AW305" s="11">
        <v>0</v>
      </c>
      <c r="AX305" s="11">
        <v>0</v>
      </c>
      <c r="AY305" s="11">
        <v>663.9375</v>
      </c>
      <c r="AZ305" s="11">
        <v>298.57499999999999</v>
      </c>
      <c r="BA305" s="23">
        <v>3</v>
      </c>
      <c r="BB305" s="24" t="s">
        <v>8</v>
      </c>
    </row>
    <row r="306" spans="1:54" x14ac:dyDescent="0.2">
      <c r="A306" s="5">
        <v>2095</v>
      </c>
      <c r="B306" s="20" t="s">
        <v>66</v>
      </c>
      <c r="C306" s="18" t="s">
        <v>55</v>
      </c>
      <c r="D306" s="18">
        <v>5</v>
      </c>
      <c r="E306" s="18">
        <v>0</v>
      </c>
      <c r="F306" s="20">
        <v>3.9089999999999998</v>
      </c>
      <c r="G306" s="18">
        <v>30</v>
      </c>
      <c r="H306" s="22">
        <v>4.0054757015742641</v>
      </c>
      <c r="I306" s="22">
        <v>4.3778234086242298</v>
      </c>
      <c r="J306" s="22">
        <v>8.3832991101984948</v>
      </c>
      <c r="K306" s="22">
        <v>4.0054757015742641</v>
      </c>
      <c r="L306" s="22">
        <v>4.3778234086242298</v>
      </c>
      <c r="M306" s="22">
        <v>8.3832991101984948</v>
      </c>
      <c r="N306" s="22">
        <v>4.0191649555099245</v>
      </c>
      <c r="O306" s="22">
        <v>4.0246406570841886</v>
      </c>
      <c r="P306" s="22">
        <v>8.0438056125941131</v>
      </c>
      <c r="Q306" s="22" t="s">
        <v>8</v>
      </c>
      <c r="R306" s="22" t="s">
        <v>8</v>
      </c>
      <c r="S306" s="22" t="s">
        <v>8</v>
      </c>
      <c r="T306" s="5">
        <v>4</v>
      </c>
      <c r="U306" s="5">
        <v>16</v>
      </c>
      <c r="V306" s="20" t="s">
        <v>1</v>
      </c>
      <c r="W306" s="20">
        <v>5</v>
      </c>
      <c r="X306" s="20">
        <v>1</v>
      </c>
      <c r="Y306" s="5">
        <v>1</v>
      </c>
      <c r="Z306" s="20">
        <v>4</v>
      </c>
      <c r="AA306" s="23">
        <f t="shared" si="8"/>
        <v>2</v>
      </c>
      <c r="AB306" s="15">
        <v>1</v>
      </c>
      <c r="AC306" s="15">
        <v>0.875</v>
      </c>
      <c r="AD306" s="15">
        <v>0.875</v>
      </c>
      <c r="AE306" s="15">
        <v>0.91700000000000004</v>
      </c>
      <c r="AF306" s="20">
        <v>22</v>
      </c>
      <c r="AG306" s="20" t="s">
        <v>8</v>
      </c>
      <c r="AH306" s="24">
        <v>24</v>
      </c>
      <c r="AI306" s="23">
        <f t="shared" si="9"/>
        <v>1</v>
      </c>
      <c r="AJ306" s="17">
        <v>7.5</v>
      </c>
      <c r="AK306" s="17">
        <v>11</v>
      </c>
      <c r="AL306" s="14">
        <v>18.5</v>
      </c>
      <c r="AM306" s="23" cm="1">
        <f t="array" ref="AM306">IF(OR(AN306:AZ306=""),"BLANK",IF(AND(AN306:AZ306&lt;9999999),1,IF(AND(AN306:AZ306="NA"),3,2)))</f>
        <v>1</v>
      </c>
      <c r="AN306" s="5">
        <v>8</v>
      </c>
      <c r="AO306" s="5">
        <v>2</v>
      </c>
      <c r="AP306" s="10">
        <v>3</v>
      </c>
      <c r="AQ306" s="10">
        <v>4.25</v>
      </c>
      <c r="AR306" s="10">
        <v>9</v>
      </c>
      <c r="AS306" s="11">
        <v>2169.5</v>
      </c>
      <c r="AT306" s="11">
        <v>5696.5</v>
      </c>
      <c r="AU306" s="11">
        <v>7149.25</v>
      </c>
      <c r="AV306" s="11">
        <v>17326.5</v>
      </c>
      <c r="AW306" s="11">
        <v>0</v>
      </c>
      <c r="AX306" s="11">
        <v>237.1666666667</v>
      </c>
      <c r="AY306" s="11">
        <v>378.28750000000002</v>
      </c>
      <c r="AZ306" s="11">
        <v>1512.55</v>
      </c>
      <c r="BA306" s="23">
        <v>3</v>
      </c>
      <c r="BB306" s="24" t="s">
        <v>8</v>
      </c>
    </row>
    <row r="307" spans="1:54" x14ac:dyDescent="0.2">
      <c r="A307" s="5">
        <v>2117</v>
      </c>
      <c r="B307" s="20" t="s">
        <v>82</v>
      </c>
      <c r="C307" s="18" t="s">
        <v>54</v>
      </c>
      <c r="D307" s="18">
        <v>5</v>
      </c>
      <c r="E307" s="18">
        <v>0</v>
      </c>
      <c r="F307" s="20">
        <v>4</v>
      </c>
      <c r="G307" s="18">
        <v>28</v>
      </c>
      <c r="H307" s="22">
        <v>3.6030116358658453</v>
      </c>
      <c r="I307" s="22">
        <v>4.7145790554414786</v>
      </c>
      <c r="J307" s="22">
        <v>8.3175906913073234</v>
      </c>
      <c r="K307" s="22">
        <v>3.6030116358658453</v>
      </c>
      <c r="L307" s="22">
        <v>4.7173169062286107</v>
      </c>
      <c r="M307" s="22">
        <v>8.3203285420944564</v>
      </c>
      <c r="N307" s="22">
        <v>3.5838466803559208</v>
      </c>
      <c r="O307" s="22">
        <v>4.6187542778918553</v>
      </c>
      <c r="P307" s="22">
        <v>8.2026009582477748</v>
      </c>
      <c r="Q307" s="22">
        <v>3.5838466803559208</v>
      </c>
      <c r="R307" s="22">
        <v>5.4537987679671458</v>
      </c>
      <c r="S307" s="22">
        <v>9.037645448323067</v>
      </c>
      <c r="T307" s="5">
        <v>2</v>
      </c>
      <c r="U307" s="5">
        <v>12</v>
      </c>
      <c r="V307" s="20" t="s">
        <v>1</v>
      </c>
      <c r="W307" s="20">
        <v>5</v>
      </c>
      <c r="X307" s="20">
        <v>1</v>
      </c>
      <c r="Y307" s="5">
        <v>1</v>
      </c>
      <c r="Z307" s="20">
        <v>4</v>
      </c>
      <c r="AA307" s="23">
        <f t="shared" si="8"/>
        <v>2</v>
      </c>
      <c r="AB307" s="15">
        <v>0.875</v>
      </c>
      <c r="AC307" s="15">
        <v>0.75</v>
      </c>
      <c r="AD307" s="15">
        <v>0.375</v>
      </c>
      <c r="AE307" s="15">
        <v>0.66700000000000004</v>
      </c>
      <c r="AF307" s="20">
        <v>16</v>
      </c>
      <c r="AG307" s="20" t="s">
        <v>8</v>
      </c>
      <c r="AH307" s="24">
        <v>24</v>
      </c>
      <c r="AI307" s="23">
        <f t="shared" si="9"/>
        <v>1</v>
      </c>
      <c r="AJ307" s="17">
        <v>9.75</v>
      </c>
      <c r="AK307" s="17">
        <v>7.5</v>
      </c>
      <c r="AL307" s="14">
        <v>17.25</v>
      </c>
      <c r="AM307" s="23" cm="1">
        <f t="array" ref="AM307">IF(OR(AN307:AZ307=""),"BLANK",IF(AND(AN307:AZ307&lt;9999999),1,IF(AND(AN307:AZ307="NA"),3,2)))</f>
        <v>1</v>
      </c>
      <c r="AN307" s="5">
        <v>10</v>
      </c>
      <c r="AO307" s="5">
        <v>2</v>
      </c>
      <c r="AP307" s="10">
        <v>3</v>
      </c>
      <c r="AQ307" s="10">
        <v>4.5</v>
      </c>
      <c r="AR307" s="10">
        <v>6.75</v>
      </c>
      <c r="AS307" s="11">
        <v>2389.5</v>
      </c>
      <c r="AT307" s="11">
        <v>3438.5</v>
      </c>
      <c r="AU307" s="11">
        <v>8033</v>
      </c>
      <c r="AV307" s="11">
        <v>17569</v>
      </c>
      <c r="AW307" s="11">
        <v>1455</v>
      </c>
      <c r="AX307" s="11">
        <v>14680.833333333299</v>
      </c>
      <c r="AY307" s="11">
        <v>1456.4166666666999</v>
      </c>
      <c r="AZ307" s="11">
        <v>4610.6708333332999</v>
      </c>
      <c r="BA307" s="23">
        <v>3</v>
      </c>
      <c r="BB307" s="24" t="s">
        <v>8</v>
      </c>
    </row>
    <row r="308" spans="1:54" x14ac:dyDescent="0.2">
      <c r="A308" s="5">
        <v>2126</v>
      </c>
      <c r="B308" s="20" t="s">
        <v>80</v>
      </c>
      <c r="C308" s="18" t="s">
        <v>54</v>
      </c>
      <c r="D308" s="18">
        <v>5</v>
      </c>
      <c r="E308" s="18">
        <v>0</v>
      </c>
      <c r="F308" s="20">
        <v>4</v>
      </c>
      <c r="G308" s="18">
        <v>27</v>
      </c>
      <c r="H308" s="22" t="s">
        <v>8</v>
      </c>
      <c r="I308" s="22" t="s">
        <v>8</v>
      </c>
      <c r="J308" s="22" t="s">
        <v>8</v>
      </c>
      <c r="K308" s="22" t="s">
        <v>8</v>
      </c>
      <c r="L308" s="22" t="s">
        <v>8</v>
      </c>
      <c r="M308" s="22" t="s">
        <v>8</v>
      </c>
      <c r="N308" s="22" t="s">
        <v>8</v>
      </c>
      <c r="O308" s="22" t="s">
        <v>8</v>
      </c>
      <c r="P308" s="22" t="s">
        <v>8</v>
      </c>
      <c r="Q308" s="22" t="s">
        <v>8</v>
      </c>
      <c r="R308" s="22" t="s">
        <v>8</v>
      </c>
      <c r="S308" s="22" t="s">
        <v>8</v>
      </c>
      <c r="T308" s="5">
        <v>3</v>
      </c>
      <c r="U308" s="5">
        <v>14</v>
      </c>
      <c r="V308" s="20" t="s">
        <v>1</v>
      </c>
      <c r="W308" s="20">
        <v>5</v>
      </c>
      <c r="X308" s="20">
        <v>1</v>
      </c>
      <c r="Y308" s="5">
        <v>1</v>
      </c>
      <c r="Z308" s="20">
        <v>4</v>
      </c>
      <c r="AA308" s="23">
        <f t="shared" si="8"/>
        <v>2</v>
      </c>
      <c r="AB308" s="15">
        <v>0.875</v>
      </c>
      <c r="AC308" s="15">
        <v>0.375</v>
      </c>
      <c r="AD308" s="15">
        <v>0.375</v>
      </c>
      <c r="AE308" s="15">
        <v>0.54200000000000004</v>
      </c>
      <c r="AF308" s="20">
        <v>13</v>
      </c>
      <c r="AG308" s="20" t="s">
        <v>8</v>
      </c>
      <c r="AH308" s="24">
        <v>24</v>
      </c>
      <c r="AI308" s="23">
        <f t="shared" si="9"/>
        <v>1</v>
      </c>
      <c r="AJ308" s="17">
        <v>4.25</v>
      </c>
      <c r="AK308" s="17">
        <v>8</v>
      </c>
      <c r="AL308" s="14">
        <v>12.25</v>
      </c>
      <c r="AM308" s="23" cm="1">
        <f t="array" ref="AM308">IF(OR(AN308:AZ308=""),"BLANK",IF(AND(AN308:AZ308&lt;9999999),1,IF(AND(AN308:AZ308="NA"),3,2)))</f>
        <v>1</v>
      </c>
      <c r="AN308" s="5">
        <v>3</v>
      </c>
      <c r="AO308" s="5">
        <v>2</v>
      </c>
      <c r="AP308" s="10">
        <v>3.5</v>
      </c>
      <c r="AQ308" s="10">
        <v>7.75</v>
      </c>
      <c r="AR308" s="10">
        <v>10.25</v>
      </c>
      <c r="AS308" s="11">
        <v>0</v>
      </c>
      <c r="AT308" s="11">
        <v>7080</v>
      </c>
      <c r="AU308" s="11">
        <v>11092.5</v>
      </c>
      <c r="AV308" s="11">
        <v>11276</v>
      </c>
      <c r="AW308" s="11">
        <v>0</v>
      </c>
      <c r="AX308" s="11">
        <v>11412.458333333299</v>
      </c>
      <c r="AY308" s="11">
        <v>48540.726190476198</v>
      </c>
      <c r="AZ308" s="11">
        <v>11468.278409090901</v>
      </c>
      <c r="BA308" s="23">
        <v>3</v>
      </c>
      <c r="BB308" s="24" t="s">
        <v>8</v>
      </c>
    </row>
    <row r="309" spans="1:54" x14ac:dyDescent="0.2">
      <c r="A309" s="5">
        <v>2127</v>
      </c>
      <c r="B309" s="20" t="s">
        <v>63</v>
      </c>
      <c r="C309" s="18" t="s">
        <v>54</v>
      </c>
      <c r="D309" s="18">
        <v>5</v>
      </c>
      <c r="E309" s="18">
        <v>0</v>
      </c>
      <c r="F309" s="20">
        <v>4</v>
      </c>
      <c r="G309" s="18">
        <v>29</v>
      </c>
      <c r="H309" s="22">
        <v>4.2245037645448322</v>
      </c>
      <c r="I309" s="22" t="s">
        <v>8</v>
      </c>
      <c r="J309" s="22" t="s">
        <v>8</v>
      </c>
      <c r="K309" s="22">
        <v>4.2245037645448322</v>
      </c>
      <c r="L309" s="22" t="s">
        <v>8</v>
      </c>
      <c r="M309" s="22" t="s">
        <v>8</v>
      </c>
      <c r="N309" s="22">
        <v>4.26009582477755</v>
      </c>
      <c r="O309" s="22" t="s">
        <v>8</v>
      </c>
      <c r="P309" s="22" t="s">
        <v>8</v>
      </c>
      <c r="Q309" s="22" t="s">
        <v>8</v>
      </c>
      <c r="R309" s="22" t="s">
        <v>8</v>
      </c>
      <c r="S309" s="22" t="s">
        <v>8</v>
      </c>
      <c r="T309" s="5">
        <v>4</v>
      </c>
      <c r="U309" s="5">
        <v>16</v>
      </c>
      <c r="V309" s="20" t="s">
        <v>1</v>
      </c>
      <c r="W309" s="20">
        <v>5</v>
      </c>
      <c r="X309" s="20">
        <v>1</v>
      </c>
      <c r="Y309" s="5">
        <v>1</v>
      </c>
      <c r="Z309" s="20">
        <v>4</v>
      </c>
      <c r="AA309" s="23">
        <f t="shared" si="8"/>
        <v>2</v>
      </c>
      <c r="AB309" s="15">
        <v>0.875</v>
      </c>
      <c r="AC309" s="15">
        <v>0.75</v>
      </c>
      <c r="AD309" s="15">
        <v>0.625</v>
      </c>
      <c r="AE309" s="15">
        <v>0.75</v>
      </c>
      <c r="AF309" s="20">
        <v>18</v>
      </c>
      <c r="AG309" s="20" t="s">
        <v>8</v>
      </c>
      <c r="AH309" s="24">
        <v>24</v>
      </c>
      <c r="AI309" s="23">
        <f t="shared" si="9"/>
        <v>1</v>
      </c>
      <c r="AJ309" s="17">
        <v>5.75</v>
      </c>
      <c r="AK309" s="17">
        <v>8</v>
      </c>
      <c r="AL309" s="14">
        <v>13.75</v>
      </c>
      <c r="AM309" s="23" cm="1">
        <f t="array" ref="AM309">IF(OR(AN309:AZ309=""),"BLANK",IF(AND(AN309:AZ309&lt;9999999),1,IF(AND(AN309:AZ309="NA"),3,2)))</f>
        <v>1</v>
      </c>
      <c r="AN309" s="5">
        <v>9</v>
      </c>
      <c r="AO309" s="5">
        <v>2</v>
      </c>
      <c r="AP309" s="10">
        <v>3</v>
      </c>
      <c r="AQ309" s="10">
        <v>5.75</v>
      </c>
      <c r="AR309" s="10">
        <v>6</v>
      </c>
      <c r="AS309" s="11">
        <v>7857</v>
      </c>
      <c r="AT309" s="11">
        <v>18087.5</v>
      </c>
      <c r="AU309" s="11">
        <v>16318</v>
      </c>
      <c r="AV309" s="11">
        <v>23202</v>
      </c>
      <c r="AW309" s="11">
        <v>0</v>
      </c>
      <c r="AX309" s="11">
        <v>0</v>
      </c>
      <c r="AY309" s="11">
        <v>7901.7083333333003</v>
      </c>
      <c r="AZ309" s="11">
        <v>2942.5333333333001</v>
      </c>
      <c r="BA309" s="23">
        <v>3</v>
      </c>
      <c r="BB309" s="24" t="s">
        <v>8</v>
      </c>
    </row>
    <row r="310" spans="1:54" x14ac:dyDescent="0.2">
      <c r="A310" s="5">
        <v>2133</v>
      </c>
      <c r="B310" s="20" t="s">
        <v>82</v>
      </c>
      <c r="C310" s="18" t="s">
        <v>54</v>
      </c>
      <c r="D310" s="18">
        <v>2</v>
      </c>
      <c r="E310" s="18">
        <v>0</v>
      </c>
      <c r="F310" s="20">
        <v>3.8180000000000001</v>
      </c>
      <c r="G310" s="18">
        <v>28</v>
      </c>
      <c r="H310" s="22">
        <v>4.4325804243668721</v>
      </c>
      <c r="I310" s="22" t="s">
        <v>8</v>
      </c>
      <c r="J310" s="22" t="s">
        <v>8</v>
      </c>
      <c r="K310" s="22" t="s">
        <v>8</v>
      </c>
      <c r="L310" s="22" t="s">
        <v>8</v>
      </c>
      <c r="M310" s="22" t="s">
        <v>8</v>
      </c>
      <c r="N310" s="22">
        <v>4.2491444216290208</v>
      </c>
      <c r="O310" s="22" t="s">
        <v>8</v>
      </c>
      <c r="P310" s="22" t="s">
        <v>8</v>
      </c>
      <c r="Q310" s="22" t="s">
        <v>8</v>
      </c>
      <c r="R310" s="22" t="s">
        <v>8</v>
      </c>
      <c r="S310" s="22" t="s">
        <v>8</v>
      </c>
      <c r="T310" s="5">
        <v>3</v>
      </c>
      <c r="U310" s="5">
        <v>12</v>
      </c>
      <c r="V310" s="20" t="s">
        <v>1</v>
      </c>
      <c r="W310" s="20">
        <v>5</v>
      </c>
      <c r="X310" s="20">
        <v>1</v>
      </c>
      <c r="Y310" s="5">
        <v>1</v>
      </c>
      <c r="Z310" s="20">
        <v>4</v>
      </c>
      <c r="AA310" s="23">
        <f t="shared" si="8"/>
        <v>1</v>
      </c>
      <c r="AB310" s="15">
        <v>0.75</v>
      </c>
      <c r="AC310" s="15">
        <v>0.5</v>
      </c>
      <c r="AD310" s="15">
        <v>0.375</v>
      </c>
      <c r="AE310" s="15">
        <v>0.54200000000000004</v>
      </c>
      <c r="AF310" s="20">
        <v>13</v>
      </c>
      <c r="AG310" s="20">
        <v>5</v>
      </c>
      <c r="AH310" s="24">
        <v>24</v>
      </c>
      <c r="AI310" s="23">
        <f t="shared" si="9"/>
        <v>3</v>
      </c>
      <c r="AJ310" s="17" t="s">
        <v>8</v>
      </c>
      <c r="AK310" s="17" t="s">
        <v>8</v>
      </c>
      <c r="AL310" s="14" t="s">
        <v>8</v>
      </c>
      <c r="AM310" s="23" cm="1">
        <f t="array" ref="AM310">IF(OR(AN310:AZ310=""),"BLANK",IF(AND(AN310:AZ310&lt;9999999),1,IF(AND(AN310:AZ310="NA"),3,2)))</f>
        <v>1</v>
      </c>
      <c r="AN310" s="5">
        <v>5</v>
      </c>
      <c r="AO310" s="5">
        <v>2</v>
      </c>
      <c r="AP310" s="10">
        <v>5</v>
      </c>
      <c r="AQ310" s="10">
        <v>5.5</v>
      </c>
      <c r="AR310" s="10">
        <v>9.75</v>
      </c>
      <c r="AS310" s="11">
        <v>7473</v>
      </c>
      <c r="AT310" s="11">
        <v>5484.5</v>
      </c>
      <c r="AU310" s="11">
        <v>4494.75</v>
      </c>
      <c r="AV310" s="11">
        <v>5419.75</v>
      </c>
      <c r="AW310" s="11">
        <v>0</v>
      </c>
      <c r="AX310" s="11">
        <v>95051.428571428594</v>
      </c>
      <c r="AY310" s="11">
        <v>27127.640277777798</v>
      </c>
      <c r="AZ310" s="11">
        <v>60270.409722222197</v>
      </c>
      <c r="BA310" s="23">
        <v>3</v>
      </c>
      <c r="BB310" s="24" t="s">
        <v>8</v>
      </c>
    </row>
    <row r="311" spans="1:54" x14ac:dyDescent="0.2">
      <c r="A311" s="5">
        <v>2152</v>
      </c>
      <c r="B311" s="20" t="s">
        <v>71</v>
      </c>
      <c r="C311" s="18" t="s">
        <v>54</v>
      </c>
      <c r="D311" s="18">
        <v>1</v>
      </c>
      <c r="E311" s="18">
        <v>0</v>
      </c>
      <c r="F311" s="20">
        <v>3</v>
      </c>
      <c r="G311" s="18">
        <v>30</v>
      </c>
      <c r="H311" s="22" t="s">
        <v>8</v>
      </c>
      <c r="I311" s="22" t="s">
        <v>8</v>
      </c>
      <c r="J311" s="22" t="s">
        <v>8</v>
      </c>
      <c r="K311" s="22" t="s">
        <v>8</v>
      </c>
      <c r="L311" s="22" t="s">
        <v>8</v>
      </c>
      <c r="M311" s="22" t="s">
        <v>8</v>
      </c>
      <c r="N311" s="22" t="s">
        <v>8</v>
      </c>
      <c r="O311" s="22" t="s">
        <v>8</v>
      </c>
      <c r="P311" s="22" t="s">
        <v>8</v>
      </c>
      <c r="Q311" s="22" t="s">
        <v>8</v>
      </c>
      <c r="R311" s="22" t="s">
        <v>8</v>
      </c>
      <c r="S311" s="22" t="s">
        <v>8</v>
      </c>
      <c r="T311" s="5">
        <v>5</v>
      </c>
      <c r="U311" s="5">
        <v>17</v>
      </c>
      <c r="V311" s="20" t="s">
        <v>1</v>
      </c>
      <c r="W311" s="20">
        <v>5</v>
      </c>
      <c r="X311" s="20">
        <v>1</v>
      </c>
      <c r="Y311" s="5">
        <v>1</v>
      </c>
      <c r="Z311" s="20">
        <v>4</v>
      </c>
      <c r="AA311" s="23">
        <f t="shared" si="8"/>
        <v>2</v>
      </c>
      <c r="AB311" s="15">
        <v>1</v>
      </c>
      <c r="AC311" s="15">
        <v>1</v>
      </c>
      <c r="AD311" s="15">
        <v>0.875</v>
      </c>
      <c r="AE311" s="15">
        <v>0.95799999999999996</v>
      </c>
      <c r="AF311" s="20">
        <v>23</v>
      </c>
      <c r="AG311" s="20" t="s">
        <v>8</v>
      </c>
      <c r="AH311" s="24">
        <v>24</v>
      </c>
      <c r="AI311" s="23">
        <f t="shared" si="9"/>
        <v>1</v>
      </c>
      <c r="AJ311" s="17">
        <v>12</v>
      </c>
      <c r="AK311" s="17">
        <v>8.75</v>
      </c>
      <c r="AL311" s="14">
        <v>20.75</v>
      </c>
      <c r="AM311" s="23" cm="1">
        <f t="array" ref="AM311">IF(OR(AN311:AZ311=""),"BLANK",IF(AND(AN311:AZ311&lt;9999999),1,IF(AND(AN311:AZ311="NA"),3,2)))</f>
        <v>1</v>
      </c>
      <c r="AN311" s="5">
        <v>12</v>
      </c>
      <c r="AO311" s="5">
        <v>2</v>
      </c>
      <c r="AP311" s="10">
        <v>3</v>
      </c>
      <c r="AQ311" s="10">
        <v>4</v>
      </c>
      <c r="AR311" s="10">
        <v>5</v>
      </c>
      <c r="AS311" s="11">
        <v>749</v>
      </c>
      <c r="AT311" s="11">
        <v>3469</v>
      </c>
      <c r="AU311" s="11">
        <v>10630.25</v>
      </c>
      <c r="AV311" s="11">
        <v>8892.25</v>
      </c>
      <c r="AW311" s="11">
        <v>0</v>
      </c>
      <c r="AX311" s="11">
        <v>0</v>
      </c>
      <c r="AY311" s="11">
        <v>0</v>
      </c>
      <c r="AZ311" s="11">
        <v>0</v>
      </c>
      <c r="BA311" s="23">
        <v>3</v>
      </c>
      <c r="BB311" s="24" t="s">
        <v>8</v>
      </c>
    </row>
    <row r="312" spans="1:54" x14ac:dyDescent="0.2">
      <c r="A312" s="5">
        <v>2172</v>
      </c>
      <c r="B312" s="20" t="s">
        <v>67</v>
      </c>
      <c r="C312" s="18" t="s">
        <v>54</v>
      </c>
      <c r="D312" s="18">
        <v>5</v>
      </c>
      <c r="E312" s="18">
        <v>1</v>
      </c>
      <c r="F312" s="20">
        <v>3.8180000000000001</v>
      </c>
      <c r="G312" s="18">
        <v>30</v>
      </c>
      <c r="H312" s="22">
        <v>3.9835728952772076</v>
      </c>
      <c r="I312" s="22">
        <v>4.2026009582477757</v>
      </c>
      <c r="J312" s="22">
        <v>8.1861738535249824</v>
      </c>
      <c r="K312" s="22">
        <v>3.9835728952772076</v>
      </c>
      <c r="L312" s="22">
        <v>4.2026009582477757</v>
      </c>
      <c r="M312" s="22">
        <v>8.1861738535249824</v>
      </c>
      <c r="N312" s="22">
        <v>4.046543463381246</v>
      </c>
      <c r="O312" s="22">
        <v>3.7946611909650922</v>
      </c>
      <c r="P312" s="22">
        <v>7.8412046543463383</v>
      </c>
      <c r="Q312" s="22" t="s">
        <v>8</v>
      </c>
      <c r="R312" s="22" t="s">
        <v>8</v>
      </c>
      <c r="S312" s="22" t="s">
        <v>8</v>
      </c>
      <c r="T312" s="5">
        <v>4</v>
      </c>
      <c r="U312" s="5">
        <v>16</v>
      </c>
      <c r="V312" s="20" t="s">
        <v>1</v>
      </c>
      <c r="W312" s="20">
        <v>5</v>
      </c>
      <c r="X312" s="20">
        <v>1</v>
      </c>
      <c r="Y312" s="5">
        <v>1</v>
      </c>
      <c r="Z312" s="20">
        <v>4</v>
      </c>
      <c r="AA312" s="23">
        <f t="shared" si="8"/>
        <v>2</v>
      </c>
      <c r="AB312" s="15">
        <v>1</v>
      </c>
      <c r="AC312" s="15">
        <v>1</v>
      </c>
      <c r="AD312" s="15">
        <v>1</v>
      </c>
      <c r="AE312" s="15">
        <v>1</v>
      </c>
      <c r="AF312" s="20">
        <v>24</v>
      </c>
      <c r="AG312" s="20" t="s">
        <v>8</v>
      </c>
      <c r="AH312" s="24">
        <v>24</v>
      </c>
      <c r="AI312" s="23">
        <f t="shared" si="9"/>
        <v>1</v>
      </c>
      <c r="AJ312" s="17">
        <v>10</v>
      </c>
      <c r="AK312" s="17">
        <v>9.75</v>
      </c>
      <c r="AL312" s="14">
        <v>19.75</v>
      </c>
      <c r="AM312" s="23" cm="1">
        <f t="array" ref="AM312">IF(OR(AN312:AZ312=""),"BLANK",IF(AND(AN312:AZ312&lt;9999999),1,IF(AND(AN312:AZ312="NA"),3,2)))</f>
        <v>1</v>
      </c>
      <c r="AN312" s="5">
        <v>7</v>
      </c>
      <c r="AO312" s="5">
        <v>2</v>
      </c>
      <c r="AP312" s="10">
        <v>3</v>
      </c>
      <c r="AQ312" s="10">
        <v>6.5</v>
      </c>
      <c r="AR312" s="10">
        <v>7.75</v>
      </c>
      <c r="AS312" s="11">
        <v>1398</v>
      </c>
      <c r="AT312" s="11">
        <v>4850</v>
      </c>
      <c r="AU312" s="11">
        <v>5269.25</v>
      </c>
      <c r="AV312" s="11">
        <v>14361.75</v>
      </c>
      <c r="AW312" s="11">
        <v>0</v>
      </c>
      <c r="AX312" s="11">
        <v>0</v>
      </c>
      <c r="AY312" s="11">
        <v>1533.6458333333001</v>
      </c>
      <c r="AZ312" s="11">
        <v>5254.8220238095</v>
      </c>
      <c r="BA312" s="23">
        <v>3</v>
      </c>
      <c r="BB312" s="24" t="s">
        <v>8</v>
      </c>
    </row>
    <row r="313" spans="1:54" x14ac:dyDescent="0.2">
      <c r="A313" s="5">
        <v>2205</v>
      </c>
      <c r="B313" s="20" t="s">
        <v>73</v>
      </c>
      <c r="C313" s="18" t="s">
        <v>55</v>
      </c>
      <c r="D313" s="18">
        <v>5</v>
      </c>
      <c r="E313" s="18">
        <v>0</v>
      </c>
      <c r="F313" s="20">
        <v>3.2730000000000001</v>
      </c>
      <c r="G313" s="18">
        <v>28</v>
      </c>
      <c r="H313" s="22" t="s">
        <v>8</v>
      </c>
      <c r="I313" s="22" t="s">
        <v>8</v>
      </c>
      <c r="J313" s="22" t="s">
        <v>8</v>
      </c>
      <c r="K313" s="22" t="s">
        <v>8</v>
      </c>
      <c r="L313" s="22" t="s">
        <v>8</v>
      </c>
      <c r="M313" s="22" t="s">
        <v>8</v>
      </c>
      <c r="N313" s="22" t="s">
        <v>8</v>
      </c>
      <c r="O313" s="22" t="s">
        <v>8</v>
      </c>
      <c r="P313" s="22" t="s">
        <v>8</v>
      </c>
      <c r="Q313" s="22" t="s">
        <v>8</v>
      </c>
      <c r="R313" s="22" t="s">
        <v>8</v>
      </c>
      <c r="S313" s="22" t="s">
        <v>8</v>
      </c>
      <c r="T313" s="5">
        <v>3</v>
      </c>
      <c r="U313" s="5">
        <v>14</v>
      </c>
      <c r="V313" s="20" t="s">
        <v>1</v>
      </c>
      <c r="W313" s="20">
        <v>5</v>
      </c>
      <c r="X313" s="20">
        <v>1</v>
      </c>
      <c r="Y313" s="5">
        <v>1</v>
      </c>
      <c r="Z313" s="20">
        <v>4</v>
      </c>
      <c r="AA313" s="23">
        <f t="shared" si="8"/>
        <v>2</v>
      </c>
      <c r="AB313" s="15">
        <v>0.875</v>
      </c>
      <c r="AC313" s="15">
        <v>1</v>
      </c>
      <c r="AD313" s="15">
        <v>0.625</v>
      </c>
      <c r="AE313" s="15">
        <v>0.83299999999999996</v>
      </c>
      <c r="AF313" s="20">
        <v>20</v>
      </c>
      <c r="AG313" s="20" t="s">
        <v>8</v>
      </c>
      <c r="AH313" s="24">
        <v>24</v>
      </c>
      <c r="AI313" s="23">
        <f t="shared" si="9"/>
        <v>1</v>
      </c>
      <c r="AJ313" s="17">
        <v>13.75</v>
      </c>
      <c r="AK313" s="17">
        <v>9.75</v>
      </c>
      <c r="AL313" s="14">
        <v>23.5</v>
      </c>
      <c r="AM313" s="23" cm="1">
        <f t="array" ref="AM313">IF(OR(AN313:AZ313=""),"BLANK",IF(AND(AN313:AZ313&lt;9999999),1,IF(AND(AN313:AZ313="NA"),3,2)))</f>
        <v>1</v>
      </c>
      <c r="AN313" s="5">
        <v>9</v>
      </c>
      <c r="AO313" s="5">
        <v>2</v>
      </c>
      <c r="AP313" s="10">
        <v>3</v>
      </c>
      <c r="AQ313" s="10">
        <v>6.5</v>
      </c>
      <c r="AR313" s="10">
        <v>6.75</v>
      </c>
      <c r="AS313" s="11">
        <v>1042.5</v>
      </c>
      <c r="AT313" s="11">
        <v>1813</v>
      </c>
      <c r="AU313" s="11">
        <v>3692.25</v>
      </c>
      <c r="AV313" s="11">
        <v>3132.5</v>
      </c>
      <c r="AW313" s="11">
        <v>0</v>
      </c>
      <c r="AX313" s="11">
        <v>0</v>
      </c>
      <c r="AY313" s="11">
        <v>647.49305555559999</v>
      </c>
      <c r="AZ313" s="11">
        <v>446.25</v>
      </c>
      <c r="BA313" s="23">
        <v>3</v>
      </c>
      <c r="BB313" s="24" t="s">
        <v>8</v>
      </c>
    </row>
    <row r="314" spans="1:54" x14ac:dyDescent="0.2">
      <c r="A314" s="5">
        <v>2206</v>
      </c>
      <c r="B314" s="20" t="s">
        <v>73</v>
      </c>
      <c r="C314" s="18" t="s">
        <v>55</v>
      </c>
      <c r="D314" s="18">
        <v>5</v>
      </c>
      <c r="E314" s="18">
        <v>0</v>
      </c>
      <c r="F314" s="20">
        <v>3.1819999999999999</v>
      </c>
      <c r="G314" s="18">
        <v>28</v>
      </c>
      <c r="H314" s="22">
        <v>4.1204654346338128</v>
      </c>
      <c r="I314" s="22">
        <v>4.5119780971937029</v>
      </c>
      <c r="J314" s="22">
        <v>8.6324435318275157</v>
      </c>
      <c r="K314" s="22">
        <v>4.1779603011635862</v>
      </c>
      <c r="L314" s="22">
        <v>4.4544832306639286</v>
      </c>
      <c r="M314" s="22">
        <v>8.6324435318275157</v>
      </c>
      <c r="N314" s="22">
        <v>3.9890485968514717</v>
      </c>
      <c r="O314" s="22">
        <v>4.4900752908966464</v>
      </c>
      <c r="P314" s="22">
        <v>8.4791238877481181</v>
      </c>
      <c r="Q314" s="22" t="s">
        <v>8</v>
      </c>
      <c r="R314" s="22" t="s">
        <v>8</v>
      </c>
      <c r="S314" s="22" t="s">
        <v>8</v>
      </c>
      <c r="T314" s="5">
        <v>4</v>
      </c>
      <c r="U314" s="5">
        <v>16</v>
      </c>
      <c r="V314" s="20" t="s">
        <v>1</v>
      </c>
      <c r="W314" s="20">
        <v>5</v>
      </c>
      <c r="X314" s="20">
        <v>1</v>
      </c>
      <c r="Y314" s="5">
        <v>1</v>
      </c>
      <c r="Z314" s="20">
        <v>4</v>
      </c>
      <c r="AA314" s="23">
        <f t="shared" si="8"/>
        <v>2</v>
      </c>
      <c r="AB314" s="15">
        <v>1</v>
      </c>
      <c r="AC314" s="15">
        <v>1</v>
      </c>
      <c r="AD314" s="15">
        <v>0.875</v>
      </c>
      <c r="AE314" s="15">
        <v>0.95799999999999996</v>
      </c>
      <c r="AF314" s="20">
        <v>23</v>
      </c>
      <c r="AG314" s="20" t="s">
        <v>8</v>
      </c>
      <c r="AH314" s="24">
        <v>24</v>
      </c>
      <c r="AI314" s="23">
        <f t="shared" si="9"/>
        <v>1</v>
      </c>
      <c r="AJ314" s="17">
        <v>6</v>
      </c>
      <c r="AK314" s="17">
        <v>12</v>
      </c>
      <c r="AL314" s="14">
        <v>18</v>
      </c>
      <c r="AM314" s="23" cm="1">
        <f t="array" ref="AM314">IF(OR(AN314:AZ314=""),"BLANK",IF(AND(AN314:AZ314&lt;9999999),1,IF(AND(AN314:AZ314="NA"),3,2)))</f>
        <v>1</v>
      </c>
      <c r="AN314" s="5">
        <v>10</v>
      </c>
      <c r="AO314" s="5">
        <v>2</v>
      </c>
      <c r="AP314" s="10">
        <v>3</v>
      </c>
      <c r="AQ314" s="10">
        <v>5.25</v>
      </c>
      <c r="AR314" s="10">
        <v>6.75</v>
      </c>
      <c r="AS314" s="11">
        <v>3336.5</v>
      </c>
      <c r="AT314" s="11">
        <v>6399.5</v>
      </c>
      <c r="AU314" s="11">
        <v>6963.75</v>
      </c>
      <c r="AV314" s="11">
        <v>6219.25</v>
      </c>
      <c r="AW314" s="11">
        <v>0</v>
      </c>
      <c r="AX314" s="11">
        <v>0</v>
      </c>
      <c r="AY314" s="11">
        <v>390.19444444440001</v>
      </c>
      <c r="AZ314" s="11">
        <v>1099.3375000000001</v>
      </c>
      <c r="BA314" s="23">
        <v>3</v>
      </c>
      <c r="BB314" s="24" t="s">
        <v>8</v>
      </c>
    </row>
    <row r="315" spans="1:54" x14ac:dyDescent="0.2">
      <c r="A315" s="5">
        <v>2210</v>
      </c>
      <c r="B315" s="20" t="s">
        <v>79</v>
      </c>
      <c r="C315" s="18" t="s">
        <v>54</v>
      </c>
      <c r="D315" s="18">
        <v>5</v>
      </c>
      <c r="E315" s="18">
        <v>0</v>
      </c>
      <c r="F315" s="20">
        <v>4</v>
      </c>
      <c r="G315" s="18">
        <v>30</v>
      </c>
      <c r="H315" s="22" t="s">
        <v>8</v>
      </c>
      <c r="I315" s="22" t="s">
        <v>8</v>
      </c>
      <c r="J315" s="22" t="s">
        <v>8</v>
      </c>
      <c r="K315" s="22" t="s">
        <v>8</v>
      </c>
      <c r="L315" s="22" t="s">
        <v>8</v>
      </c>
      <c r="M315" s="22" t="s">
        <v>8</v>
      </c>
      <c r="N315" s="22" t="s">
        <v>8</v>
      </c>
      <c r="O315" s="22" t="s">
        <v>8</v>
      </c>
      <c r="P315" s="22" t="s">
        <v>8</v>
      </c>
      <c r="Q315" s="22" t="s">
        <v>8</v>
      </c>
      <c r="R315" s="22" t="s">
        <v>8</v>
      </c>
      <c r="S315" s="22" t="s">
        <v>8</v>
      </c>
      <c r="T315" s="5">
        <v>3</v>
      </c>
      <c r="U315" s="5">
        <v>15</v>
      </c>
      <c r="V315" s="20" t="s">
        <v>1</v>
      </c>
      <c r="W315" s="20">
        <v>5</v>
      </c>
      <c r="X315" s="20">
        <v>1</v>
      </c>
      <c r="Y315" s="5">
        <v>1</v>
      </c>
      <c r="Z315" s="20">
        <v>4</v>
      </c>
      <c r="AA315" s="23">
        <f t="shared" si="8"/>
        <v>2</v>
      </c>
      <c r="AB315" s="15">
        <v>1</v>
      </c>
      <c r="AC315" s="15">
        <v>1</v>
      </c>
      <c r="AD315" s="15">
        <v>0.625</v>
      </c>
      <c r="AE315" s="15">
        <v>0.875</v>
      </c>
      <c r="AF315" s="20">
        <v>21</v>
      </c>
      <c r="AG315" s="20" t="s">
        <v>8</v>
      </c>
      <c r="AH315" s="24">
        <v>24</v>
      </c>
      <c r="AI315" s="23">
        <f t="shared" si="9"/>
        <v>1</v>
      </c>
      <c r="AJ315" s="17">
        <v>11</v>
      </c>
      <c r="AK315" s="17">
        <v>7.75</v>
      </c>
      <c r="AL315" s="14">
        <v>18.75</v>
      </c>
      <c r="AM315" s="23" cm="1">
        <f t="array" ref="AM315">IF(OR(AN315:AZ315=""),"BLANK",IF(AND(AN315:AZ315&lt;9999999),1,IF(AND(AN315:AZ315="NA"),3,2)))</f>
        <v>1</v>
      </c>
      <c r="AN315" s="5">
        <v>7</v>
      </c>
      <c r="AO315" s="5">
        <v>2</v>
      </c>
      <c r="AP315" s="10">
        <v>3</v>
      </c>
      <c r="AQ315" s="10">
        <v>6.75</v>
      </c>
      <c r="AR315" s="10">
        <v>7</v>
      </c>
      <c r="AS315" s="11">
        <v>2462</v>
      </c>
      <c r="AT315" s="11">
        <v>3817.5</v>
      </c>
      <c r="AU315" s="11">
        <v>2402.75</v>
      </c>
      <c r="AV315" s="11">
        <v>5737.5</v>
      </c>
      <c r="AW315" s="11">
        <v>0</v>
      </c>
      <c r="AX315" s="11">
        <v>0</v>
      </c>
      <c r="AY315" s="11">
        <v>1293.9819444443999</v>
      </c>
      <c r="AZ315" s="11">
        <v>249.53749999999999</v>
      </c>
      <c r="BA315" s="23">
        <v>3</v>
      </c>
      <c r="BB315" s="24" t="s">
        <v>8</v>
      </c>
    </row>
    <row r="316" spans="1:54" x14ac:dyDescent="0.2">
      <c r="A316" s="5">
        <v>2213</v>
      </c>
      <c r="B316" s="20" t="s">
        <v>77</v>
      </c>
      <c r="C316" s="18" t="s">
        <v>55</v>
      </c>
      <c r="D316" s="18">
        <v>4</v>
      </c>
      <c r="E316" s="18">
        <v>0</v>
      </c>
      <c r="F316" s="20">
        <v>2.9089999999999998</v>
      </c>
      <c r="G316" s="18">
        <v>30</v>
      </c>
      <c r="H316" s="22" t="s">
        <v>8</v>
      </c>
      <c r="I316" s="22" t="s">
        <v>8</v>
      </c>
      <c r="J316" s="22">
        <v>8.5667351129363443</v>
      </c>
      <c r="K316" s="22" t="s">
        <v>8</v>
      </c>
      <c r="L316" s="22" t="s">
        <v>8</v>
      </c>
      <c r="M316" s="22">
        <v>8.5667351129363443</v>
      </c>
      <c r="N316" s="22" t="s">
        <v>8</v>
      </c>
      <c r="O316" s="22" t="s">
        <v>8</v>
      </c>
      <c r="P316" s="22" t="s">
        <v>8</v>
      </c>
      <c r="Q316" s="22" t="s">
        <v>8</v>
      </c>
      <c r="R316" s="22" t="s">
        <v>8</v>
      </c>
      <c r="S316" s="22" t="s">
        <v>8</v>
      </c>
      <c r="T316" s="5">
        <v>3</v>
      </c>
      <c r="U316" s="5">
        <v>13</v>
      </c>
      <c r="V316" s="20" t="s">
        <v>1</v>
      </c>
      <c r="W316" s="20">
        <v>5</v>
      </c>
      <c r="X316" s="20">
        <v>1</v>
      </c>
      <c r="Y316" s="5">
        <v>1</v>
      </c>
      <c r="Z316" s="20">
        <v>4</v>
      </c>
      <c r="AA316" s="23">
        <f t="shared" si="8"/>
        <v>2</v>
      </c>
      <c r="AB316" s="15">
        <v>1</v>
      </c>
      <c r="AC316" s="15">
        <v>0.75</v>
      </c>
      <c r="AD316" s="15">
        <v>0.5714285714285714</v>
      </c>
      <c r="AE316" s="15">
        <v>0.78300000000000003</v>
      </c>
      <c r="AF316" s="20">
        <v>18</v>
      </c>
      <c r="AG316" s="20" t="s">
        <v>8</v>
      </c>
      <c r="AH316" s="24">
        <v>23</v>
      </c>
      <c r="AI316" s="23">
        <f t="shared" si="9"/>
        <v>1</v>
      </c>
      <c r="AJ316" s="17">
        <v>10</v>
      </c>
      <c r="AK316" s="17">
        <v>8</v>
      </c>
      <c r="AL316" s="14">
        <v>18</v>
      </c>
      <c r="AM316" s="23" cm="1">
        <f t="array" ref="AM316">IF(OR(AN316:AZ316=""),"BLANK",IF(AND(AN316:AZ316&lt;9999999),1,IF(AND(AN316:AZ316="NA"),3,2)))</f>
        <v>1</v>
      </c>
      <c r="AN316" s="5">
        <v>8</v>
      </c>
      <c r="AO316" s="5">
        <v>2</v>
      </c>
      <c r="AP316" s="10">
        <v>3</v>
      </c>
      <c r="AQ316" s="10">
        <v>4.75</v>
      </c>
      <c r="AR316" s="10">
        <v>8</v>
      </c>
      <c r="AS316" s="11">
        <v>2473.5</v>
      </c>
      <c r="AT316" s="11">
        <v>6688</v>
      </c>
      <c r="AU316" s="11">
        <v>20147.25</v>
      </c>
      <c r="AV316" s="11">
        <v>36868.25</v>
      </c>
      <c r="AW316" s="11">
        <v>0</v>
      </c>
      <c r="AX316" s="11">
        <v>0</v>
      </c>
      <c r="AY316" s="11">
        <v>684.32916666669996</v>
      </c>
      <c r="AZ316" s="11">
        <v>3632.5625</v>
      </c>
      <c r="BA316" s="23">
        <v>3</v>
      </c>
      <c r="BB316" s="24" t="s">
        <v>8</v>
      </c>
    </row>
    <row r="317" spans="1:54" x14ac:dyDescent="0.2">
      <c r="A317" s="5">
        <v>2220</v>
      </c>
      <c r="B317" s="20" t="s">
        <v>76</v>
      </c>
      <c r="C317" s="18" t="s">
        <v>54</v>
      </c>
      <c r="D317" s="18">
        <v>5</v>
      </c>
      <c r="E317" s="18">
        <v>0</v>
      </c>
      <c r="F317" s="20">
        <v>3.8180000000000001</v>
      </c>
      <c r="G317" s="18">
        <v>30</v>
      </c>
      <c r="H317" s="22">
        <v>4.5557837097878169</v>
      </c>
      <c r="I317" s="22" t="s">
        <v>8</v>
      </c>
      <c r="J317" s="22" t="s">
        <v>8</v>
      </c>
      <c r="K317" s="22">
        <v>4.5557837097878169</v>
      </c>
      <c r="L317" s="22" t="s">
        <v>8</v>
      </c>
      <c r="M317" s="22" t="s">
        <v>8</v>
      </c>
      <c r="N317" s="22">
        <v>4.4462696783025324</v>
      </c>
      <c r="O317" s="22" t="s">
        <v>8</v>
      </c>
      <c r="P317" s="22" t="s">
        <v>8</v>
      </c>
      <c r="Q317" s="22" t="s">
        <v>8</v>
      </c>
      <c r="R317" s="22" t="s">
        <v>8</v>
      </c>
      <c r="S317" s="22" t="s">
        <v>8</v>
      </c>
      <c r="T317" s="5">
        <v>7</v>
      </c>
      <c r="U317" s="5">
        <v>21</v>
      </c>
      <c r="V317" s="20" t="s">
        <v>1</v>
      </c>
      <c r="W317" s="20">
        <v>5</v>
      </c>
      <c r="X317" s="20">
        <v>1</v>
      </c>
      <c r="Y317" s="5">
        <v>1</v>
      </c>
      <c r="Z317" s="20">
        <v>4</v>
      </c>
      <c r="AA317" s="23">
        <f t="shared" si="8"/>
        <v>2</v>
      </c>
      <c r="AB317" s="15">
        <v>1</v>
      </c>
      <c r="AC317" s="15">
        <v>1</v>
      </c>
      <c r="AD317" s="15">
        <v>1</v>
      </c>
      <c r="AE317" s="15">
        <v>1</v>
      </c>
      <c r="AF317" s="20">
        <v>24</v>
      </c>
      <c r="AG317" s="20" t="s">
        <v>8</v>
      </c>
      <c r="AH317" s="24">
        <v>24</v>
      </c>
      <c r="AI317" s="23">
        <f t="shared" si="9"/>
        <v>1</v>
      </c>
      <c r="AJ317" s="17">
        <v>13</v>
      </c>
      <c r="AK317" s="17">
        <v>13</v>
      </c>
      <c r="AL317" s="14">
        <v>26</v>
      </c>
      <c r="AM317" s="23" cm="1">
        <f t="array" ref="AM317">IF(OR(AN317:AZ317=""),"BLANK",IF(AND(AN317:AZ317&lt;9999999),1,IF(AND(AN317:AZ317="NA"),3,2)))</f>
        <v>1</v>
      </c>
      <c r="AN317" s="5">
        <v>12</v>
      </c>
      <c r="AO317" s="5">
        <v>2</v>
      </c>
      <c r="AP317" s="10">
        <v>3</v>
      </c>
      <c r="AQ317" s="10">
        <v>4</v>
      </c>
      <c r="AR317" s="10">
        <v>5</v>
      </c>
      <c r="AS317" s="11">
        <v>1681.5</v>
      </c>
      <c r="AT317" s="11">
        <v>3256</v>
      </c>
      <c r="AU317" s="11">
        <v>14721</v>
      </c>
      <c r="AV317" s="11">
        <v>45951.75</v>
      </c>
      <c r="AW317" s="11">
        <v>0</v>
      </c>
      <c r="AX317" s="11">
        <v>0</v>
      </c>
      <c r="AY317" s="11">
        <v>1465.4375</v>
      </c>
      <c r="AZ317" s="11">
        <v>42.7</v>
      </c>
      <c r="BA317" s="23">
        <v>3</v>
      </c>
      <c r="BB317" s="24" t="s">
        <v>8</v>
      </c>
    </row>
    <row r="318" spans="1:54" x14ac:dyDescent="0.2">
      <c r="A318" s="5">
        <v>2231</v>
      </c>
      <c r="B318" s="20" t="s">
        <v>63</v>
      </c>
      <c r="C318" s="18" t="s">
        <v>54</v>
      </c>
      <c r="D318" s="18">
        <v>7</v>
      </c>
      <c r="E318" s="18" t="s">
        <v>8</v>
      </c>
      <c r="F318" s="20">
        <v>4</v>
      </c>
      <c r="G318" s="18">
        <v>29</v>
      </c>
      <c r="H318" s="22" t="s">
        <v>8</v>
      </c>
      <c r="I318" s="22" t="s">
        <v>8</v>
      </c>
      <c r="J318" s="22" t="s">
        <v>8</v>
      </c>
      <c r="K318" s="22" t="s">
        <v>8</v>
      </c>
      <c r="L318" s="22" t="s">
        <v>8</v>
      </c>
      <c r="M318" s="22" t="s">
        <v>8</v>
      </c>
      <c r="N318" s="22" t="s">
        <v>8</v>
      </c>
      <c r="O318" s="22" t="s">
        <v>8</v>
      </c>
      <c r="P318" s="22" t="s">
        <v>8</v>
      </c>
      <c r="Q318" s="22" t="s">
        <v>8</v>
      </c>
      <c r="R318" s="22" t="s">
        <v>8</v>
      </c>
      <c r="S318" s="22" t="s">
        <v>8</v>
      </c>
      <c r="T318" s="5">
        <v>2</v>
      </c>
      <c r="U318" s="5">
        <v>12</v>
      </c>
      <c r="V318" s="20" t="s">
        <v>1</v>
      </c>
      <c r="W318" s="20">
        <v>5</v>
      </c>
      <c r="X318" s="20">
        <v>1</v>
      </c>
      <c r="Y318" s="5">
        <v>1</v>
      </c>
      <c r="Z318" s="20">
        <v>4</v>
      </c>
      <c r="AA318" s="23">
        <f t="shared" si="8"/>
        <v>2</v>
      </c>
      <c r="AB318" s="15">
        <v>0.75</v>
      </c>
      <c r="AC318" s="15">
        <v>0.5</v>
      </c>
      <c r="AD318" s="15">
        <v>0.125</v>
      </c>
      <c r="AE318" s="15">
        <v>0.45800000000000002</v>
      </c>
      <c r="AF318" s="20">
        <v>11</v>
      </c>
      <c r="AG318" s="20" t="s">
        <v>8</v>
      </c>
      <c r="AH318" s="24">
        <v>24</v>
      </c>
      <c r="AI318" s="23">
        <f t="shared" si="9"/>
        <v>1</v>
      </c>
      <c r="AJ318" s="17">
        <v>1</v>
      </c>
      <c r="AK318" s="17">
        <v>6.25</v>
      </c>
      <c r="AL318" s="14">
        <v>7.25</v>
      </c>
      <c r="AM318" s="23" cm="1">
        <f t="array" ref="AM318">IF(OR(AN318:AZ318=""),"BLANK",IF(AND(AN318:AZ318&lt;9999999),1,IF(AND(AN318:AZ318="NA"),3,2)))</f>
        <v>1</v>
      </c>
      <c r="AN318" s="5">
        <v>4</v>
      </c>
      <c r="AO318" s="5">
        <v>2</v>
      </c>
      <c r="AP318" s="10">
        <v>3</v>
      </c>
      <c r="AQ318" s="10">
        <v>9</v>
      </c>
      <c r="AR318" s="10">
        <v>12</v>
      </c>
      <c r="AS318" s="11">
        <v>3942</v>
      </c>
      <c r="AT318" s="11">
        <v>12250</v>
      </c>
      <c r="AU318" s="11">
        <v>5121</v>
      </c>
      <c r="AV318" s="11">
        <v>10138</v>
      </c>
      <c r="AW318" s="11">
        <v>0</v>
      </c>
      <c r="AX318" s="11">
        <v>22.166666666699999</v>
      </c>
      <c r="AY318" s="11">
        <v>3042.8888888889001</v>
      </c>
      <c r="AZ318" s="11">
        <v>28192.416666666701</v>
      </c>
      <c r="BA318" s="23">
        <v>3</v>
      </c>
      <c r="BB318" s="24" t="s">
        <v>8</v>
      </c>
    </row>
    <row r="319" spans="1:54" x14ac:dyDescent="0.2">
      <c r="A319" s="5">
        <v>2248</v>
      </c>
      <c r="B319" s="20" t="s">
        <v>79</v>
      </c>
      <c r="C319" s="18" t="s">
        <v>54</v>
      </c>
      <c r="D319" s="18">
        <v>5</v>
      </c>
      <c r="E319" s="18">
        <v>0</v>
      </c>
      <c r="F319" s="20">
        <v>3.9089999999999998</v>
      </c>
      <c r="G319" s="18">
        <v>28</v>
      </c>
      <c r="H319" s="22">
        <v>4.2327173169062284</v>
      </c>
      <c r="I319" s="22">
        <v>4.0164271047227924</v>
      </c>
      <c r="J319" s="22">
        <v>8.2491444216290208</v>
      </c>
      <c r="K319" s="22">
        <v>4.2327173169062284</v>
      </c>
      <c r="L319" s="22">
        <v>4.2381930184804926</v>
      </c>
      <c r="M319" s="22">
        <v>8.470910335386721</v>
      </c>
      <c r="N319" s="22">
        <v>4.1861738535249833</v>
      </c>
      <c r="O319" s="22">
        <v>3.7782340862422998</v>
      </c>
      <c r="P319" s="22">
        <v>7.9644079397672831</v>
      </c>
      <c r="Q319" s="22" t="s">
        <v>8</v>
      </c>
      <c r="R319" s="22" t="s">
        <v>8</v>
      </c>
      <c r="S319" s="22" t="s">
        <v>8</v>
      </c>
      <c r="T319" s="5">
        <v>7</v>
      </c>
      <c r="U319" s="5">
        <v>21</v>
      </c>
      <c r="V319" s="20" t="s">
        <v>1</v>
      </c>
      <c r="W319" s="20">
        <v>5</v>
      </c>
      <c r="X319" s="20">
        <v>1</v>
      </c>
      <c r="Y319" s="5">
        <v>1</v>
      </c>
      <c r="Z319" s="20">
        <v>4</v>
      </c>
      <c r="AA319" s="23">
        <f t="shared" si="8"/>
        <v>2</v>
      </c>
      <c r="AB319" s="15">
        <v>1</v>
      </c>
      <c r="AC319" s="15">
        <v>1</v>
      </c>
      <c r="AD319" s="15">
        <v>0.875</v>
      </c>
      <c r="AE319" s="15">
        <v>0.95799999999999996</v>
      </c>
      <c r="AF319" s="20">
        <v>23</v>
      </c>
      <c r="AG319" s="20" t="s">
        <v>8</v>
      </c>
      <c r="AH319" s="24">
        <v>24</v>
      </c>
      <c r="AI319" s="23">
        <f t="shared" si="9"/>
        <v>1</v>
      </c>
      <c r="AJ319" s="17">
        <v>11</v>
      </c>
      <c r="AK319" s="17">
        <v>8.75</v>
      </c>
      <c r="AL319" s="14">
        <v>19.75</v>
      </c>
      <c r="AM319" s="23" cm="1">
        <f t="array" ref="AM319">IF(OR(AN319:AZ319=""),"BLANK",IF(AND(AN319:AZ319&lt;9999999),1,IF(AND(AN319:AZ319="NA"),3,2)))</f>
        <v>1</v>
      </c>
      <c r="AN319" s="5">
        <v>12</v>
      </c>
      <c r="AO319" s="5">
        <v>2</v>
      </c>
      <c r="AP319" s="10">
        <v>3</v>
      </c>
      <c r="AQ319" s="10">
        <v>4</v>
      </c>
      <c r="AR319" s="10">
        <v>5</v>
      </c>
      <c r="AS319" s="11">
        <v>2502</v>
      </c>
      <c r="AT319" s="11">
        <v>4766</v>
      </c>
      <c r="AU319" s="11">
        <v>18682</v>
      </c>
      <c r="AV319" s="11">
        <v>14762.5</v>
      </c>
      <c r="AW319" s="11">
        <v>0</v>
      </c>
      <c r="AX319" s="11">
        <v>0</v>
      </c>
      <c r="AY319" s="11">
        <v>0</v>
      </c>
      <c r="AZ319" s="11">
        <v>0</v>
      </c>
      <c r="BA319" s="23">
        <v>3</v>
      </c>
      <c r="BB319" s="24" t="s">
        <v>8</v>
      </c>
    </row>
    <row r="320" spans="1:54" x14ac:dyDescent="0.2">
      <c r="A320" s="5">
        <v>2327</v>
      </c>
      <c r="B320" s="20" t="s">
        <v>82</v>
      </c>
      <c r="C320" s="18" t="s">
        <v>54</v>
      </c>
      <c r="D320" s="18">
        <v>7</v>
      </c>
      <c r="E320" s="18" t="s">
        <v>8</v>
      </c>
      <c r="F320" s="20">
        <v>3.8180000000000001</v>
      </c>
      <c r="G320" s="18">
        <v>27</v>
      </c>
      <c r="H320" s="22" t="s">
        <v>8</v>
      </c>
      <c r="I320" s="22" t="s">
        <v>8</v>
      </c>
      <c r="J320" s="22" t="s">
        <v>8</v>
      </c>
      <c r="K320" s="22" t="s">
        <v>8</v>
      </c>
      <c r="L320" s="22" t="s">
        <v>8</v>
      </c>
      <c r="M320" s="22" t="s">
        <v>8</v>
      </c>
      <c r="N320" s="22" t="s">
        <v>8</v>
      </c>
      <c r="O320" s="22" t="s">
        <v>8</v>
      </c>
      <c r="P320" s="22" t="s">
        <v>8</v>
      </c>
      <c r="Q320" s="22" t="s">
        <v>8</v>
      </c>
      <c r="R320" s="22" t="s">
        <v>8</v>
      </c>
      <c r="S320" s="22" t="s">
        <v>8</v>
      </c>
      <c r="T320" s="5">
        <v>2</v>
      </c>
      <c r="U320" s="5">
        <v>12</v>
      </c>
      <c r="V320" s="20" t="s">
        <v>1</v>
      </c>
      <c r="W320" s="20">
        <v>5</v>
      </c>
      <c r="X320" s="20">
        <v>1</v>
      </c>
      <c r="Y320" s="5">
        <v>1</v>
      </c>
      <c r="Z320" s="20">
        <v>4</v>
      </c>
      <c r="AA320" s="23">
        <f t="shared" si="8"/>
        <v>2</v>
      </c>
      <c r="AB320" s="15">
        <v>0.75</v>
      </c>
      <c r="AC320" s="15">
        <v>0.75</v>
      </c>
      <c r="AD320" s="15">
        <v>0.5</v>
      </c>
      <c r="AE320" s="15">
        <v>0.66700000000000004</v>
      </c>
      <c r="AF320" s="20">
        <v>16</v>
      </c>
      <c r="AG320" s="20" t="s">
        <v>8</v>
      </c>
      <c r="AH320" s="24">
        <v>24</v>
      </c>
      <c r="AI320" s="23">
        <f t="shared" si="9"/>
        <v>1</v>
      </c>
      <c r="AJ320" s="17">
        <v>7.5</v>
      </c>
      <c r="AK320" s="17">
        <v>7.5</v>
      </c>
      <c r="AL320" s="14">
        <v>15</v>
      </c>
      <c r="AM320" s="23" cm="1">
        <f t="array" ref="AM320">IF(OR(AN320:AZ320=""),"BLANK",IF(AND(AN320:AZ320&lt;9999999),1,IF(AND(AN320:AZ320="NA"),3,2)))</f>
        <v>1</v>
      </c>
      <c r="AN320" s="5">
        <v>7</v>
      </c>
      <c r="AO320" s="5">
        <v>2</v>
      </c>
      <c r="AP320" s="10">
        <v>3</v>
      </c>
      <c r="AQ320" s="10">
        <v>6.25</v>
      </c>
      <c r="AR320" s="10">
        <v>6.75</v>
      </c>
      <c r="AS320" s="11">
        <v>0</v>
      </c>
      <c r="AT320" s="11">
        <v>5358.5</v>
      </c>
      <c r="AU320" s="11">
        <v>4241</v>
      </c>
      <c r="AV320" s="11">
        <v>4196</v>
      </c>
      <c r="AW320" s="11">
        <v>0</v>
      </c>
      <c r="AX320" s="11">
        <v>0</v>
      </c>
      <c r="AY320" s="11">
        <v>3619.1111111110999</v>
      </c>
      <c r="AZ320" s="11">
        <v>0</v>
      </c>
      <c r="BA320" s="23">
        <v>3</v>
      </c>
      <c r="BB320" s="24" t="s">
        <v>8</v>
      </c>
    </row>
    <row r="321" spans="1:54" x14ac:dyDescent="0.2">
      <c r="A321" s="5">
        <v>2440</v>
      </c>
      <c r="B321" s="20" t="s">
        <v>74</v>
      </c>
      <c r="C321" s="18" t="s">
        <v>55</v>
      </c>
      <c r="D321" s="18">
        <v>5</v>
      </c>
      <c r="E321" s="18">
        <v>0</v>
      </c>
      <c r="F321" s="20">
        <v>3.2730000000000001</v>
      </c>
      <c r="G321" s="18">
        <v>28</v>
      </c>
      <c r="H321" s="22">
        <v>3.9835728952772076</v>
      </c>
      <c r="I321" s="22">
        <v>4.2874743326488707</v>
      </c>
      <c r="J321" s="22">
        <v>8.2710472279260774</v>
      </c>
      <c r="K321" s="22">
        <v>3.9835728952772076</v>
      </c>
      <c r="L321" s="22">
        <v>4.2874743326488707</v>
      </c>
      <c r="M321" s="22">
        <v>8.2710472279260774</v>
      </c>
      <c r="N321" s="22">
        <v>4.0821355236139629</v>
      </c>
      <c r="O321" s="22">
        <v>4.128678986995209</v>
      </c>
      <c r="P321" s="22">
        <v>8.2108145106091719</v>
      </c>
      <c r="Q321" s="22">
        <v>5.1498973305954827</v>
      </c>
      <c r="R321" s="22">
        <v>3.4715947980835042</v>
      </c>
      <c r="S321" s="22">
        <v>8.6214921286789874</v>
      </c>
      <c r="T321" s="5">
        <v>3</v>
      </c>
      <c r="U321" s="5">
        <v>14</v>
      </c>
      <c r="V321" s="20" t="s">
        <v>1</v>
      </c>
      <c r="W321" s="20">
        <v>5</v>
      </c>
      <c r="X321" s="20">
        <v>1</v>
      </c>
      <c r="Y321" s="5">
        <v>1</v>
      </c>
      <c r="Z321" s="20">
        <v>4</v>
      </c>
      <c r="AA321" s="23">
        <f t="shared" si="8"/>
        <v>2</v>
      </c>
      <c r="AB321" s="15">
        <v>0.875</v>
      </c>
      <c r="AC321" s="15">
        <v>0.875</v>
      </c>
      <c r="AD321" s="15">
        <v>0.625</v>
      </c>
      <c r="AE321" s="15">
        <v>0.79200000000000004</v>
      </c>
      <c r="AF321" s="20">
        <v>19</v>
      </c>
      <c r="AG321" s="20" t="s">
        <v>8</v>
      </c>
      <c r="AH321" s="24">
        <v>24</v>
      </c>
      <c r="AI321" s="23">
        <f t="shared" si="9"/>
        <v>1</v>
      </c>
      <c r="AJ321" s="17">
        <v>6.75</v>
      </c>
      <c r="AK321" s="17">
        <v>11</v>
      </c>
      <c r="AL321" s="14">
        <v>17.75</v>
      </c>
      <c r="AM321" s="23" cm="1">
        <f t="array" ref="AM321">IF(OR(AN321:AZ321=""),"BLANK",IF(AND(AN321:AZ321&lt;9999999),1,IF(AND(AN321:AZ321="NA"),3,2)))</f>
        <v>1</v>
      </c>
      <c r="AN321" s="5">
        <v>8</v>
      </c>
      <c r="AO321" s="5">
        <v>3</v>
      </c>
      <c r="AP321" s="10">
        <v>3</v>
      </c>
      <c r="AQ321" s="10">
        <v>6.5</v>
      </c>
      <c r="AR321" s="10">
        <v>6.75</v>
      </c>
      <c r="AS321" s="11">
        <v>3360</v>
      </c>
      <c r="AT321" s="11">
        <v>5252.5</v>
      </c>
      <c r="AU321" s="11">
        <v>11061.5</v>
      </c>
      <c r="AV321" s="11">
        <v>12602.5</v>
      </c>
      <c r="AW321" s="11">
        <v>698.5</v>
      </c>
      <c r="AX321" s="11">
        <v>2426.8333333332998</v>
      </c>
      <c r="AY321" s="11">
        <v>1855.7847222221999</v>
      </c>
      <c r="AZ321" s="11">
        <v>2676.8125</v>
      </c>
      <c r="BA321" s="23">
        <v>3</v>
      </c>
      <c r="BB321" s="24" t="s">
        <v>8</v>
      </c>
    </row>
    <row r="322" spans="1:54" x14ac:dyDescent="0.2">
      <c r="A322" s="5">
        <v>2543</v>
      </c>
      <c r="B322" s="20" t="s">
        <v>70</v>
      </c>
      <c r="C322" s="18" t="s">
        <v>54</v>
      </c>
      <c r="D322" s="18">
        <v>5</v>
      </c>
      <c r="E322" s="18">
        <v>0</v>
      </c>
      <c r="F322" s="20">
        <v>4</v>
      </c>
      <c r="G322" s="18">
        <v>29</v>
      </c>
      <c r="H322" s="22">
        <v>3.8138261464750172</v>
      </c>
      <c r="I322" s="22" t="s">
        <v>8</v>
      </c>
      <c r="J322" s="22" t="s">
        <v>8</v>
      </c>
      <c r="K322" s="22">
        <v>6.6776180698151952</v>
      </c>
      <c r="L322" s="22" t="s">
        <v>8</v>
      </c>
      <c r="M322" s="22" t="s">
        <v>8</v>
      </c>
      <c r="N322" s="22" t="s">
        <v>8</v>
      </c>
      <c r="O322" s="22" t="s">
        <v>8</v>
      </c>
      <c r="P322" s="22" t="s">
        <v>8</v>
      </c>
      <c r="Q322" s="22">
        <v>4.4052019164955514</v>
      </c>
      <c r="R322" s="22" t="s">
        <v>8</v>
      </c>
      <c r="S322" s="22" t="s">
        <v>8</v>
      </c>
      <c r="T322" s="5">
        <v>3</v>
      </c>
      <c r="U322" s="5">
        <v>13.5</v>
      </c>
      <c r="V322" s="20" t="s">
        <v>1</v>
      </c>
      <c r="W322" s="20">
        <v>5</v>
      </c>
      <c r="X322" s="20">
        <v>1</v>
      </c>
      <c r="Y322" s="5">
        <v>1</v>
      </c>
      <c r="Z322" s="20">
        <v>4</v>
      </c>
      <c r="AA322" s="23">
        <f t="shared" si="8"/>
        <v>2</v>
      </c>
      <c r="AB322" s="15">
        <v>1</v>
      </c>
      <c r="AC322" s="15">
        <v>0.875</v>
      </c>
      <c r="AD322" s="15">
        <v>0.25</v>
      </c>
      <c r="AE322" s="15">
        <v>0.70799999999999996</v>
      </c>
      <c r="AF322" s="20">
        <v>17</v>
      </c>
      <c r="AG322" s="20" t="s">
        <v>8</v>
      </c>
      <c r="AH322" s="24">
        <v>24</v>
      </c>
      <c r="AI322" s="23">
        <f t="shared" si="9"/>
        <v>1</v>
      </c>
      <c r="AJ322" s="17">
        <v>5.25</v>
      </c>
      <c r="AK322" s="17">
        <v>9.5</v>
      </c>
      <c r="AL322" s="14">
        <v>14.75</v>
      </c>
      <c r="AM322" s="23" cm="1">
        <f t="array" ref="AM322">IF(OR(AN322:AZ322=""),"BLANK",IF(AND(AN322:AZ322&lt;9999999),1,IF(AND(AN322:AZ322="NA"),3,2)))</f>
        <v>1</v>
      </c>
      <c r="AN322" s="5">
        <v>9</v>
      </c>
      <c r="AO322" s="5">
        <v>2</v>
      </c>
      <c r="AP322" s="10">
        <v>3</v>
      </c>
      <c r="AQ322" s="10">
        <v>5.25</v>
      </c>
      <c r="AR322" s="10">
        <v>7.25</v>
      </c>
      <c r="AS322" s="11">
        <v>2418.5</v>
      </c>
      <c r="AT322" s="11">
        <v>4443.5</v>
      </c>
      <c r="AU322" s="11">
        <v>6552.25</v>
      </c>
      <c r="AV322" s="11">
        <v>7495.5</v>
      </c>
      <c r="AW322" s="11">
        <v>95</v>
      </c>
      <c r="AX322" s="11">
        <v>154.6666666667</v>
      </c>
      <c r="AY322" s="11">
        <v>1908.4791666666999</v>
      </c>
      <c r="AZ322" s="11">
        <v>978.67440476189995</v>
      </c>
      <c r="BA322" s="23">
        <v>3</v>
      </c>
      <c r="BB322" s="24" t="s">
        <v>8</v>
      </c>
    </row>
    <row r="323" spans="1:54" x14ac:dyDescent="0.2">
      <c r="A323" s="5">
        <v>2561</v>
      </c>
      <c r="B323" s="20" t="s">
        <v>62</v>
      </c>
      <c r="C323" s="18" t="s">
        <v>55</v>
      </c>
      <c r="D323" s="18">
        <v>5</v>
      </c>
      <c r="E323" s="18">
        <v>0</v>
      </c>
      <c r="F323" s="20">
        <v>3.7269999999999999</v>
      </c>
      <c r="G323" s="18">
        <v>28</v>
      </c>
      <c r="H323" s="22">
        <v>3.8631074606433948</v>
      </c>
      <c r="I323" s="22">
        <v>4.2929500342231348</v>
      </c>
      <c r="J323" s="22">
        <v>8.1560574948665305</v>
      </c>
      <c r="K323" s="22">
        <v>3.8631074606433948</v>
      </c>
      <c r="L323" s="22">
        <v>4.2929500342231348</v>
      </c>
      <c r="M323" s="22">
        <v>8.1560574948665305</v>
      </c>
      <c r="N323" s="22">
        <v>3.805612594113621</v>
      </c>
      <c r="O323" s="22">
        <v>4.3312799452429847</v>
      </c>
      <c r="P323" s="22">
        <v>8.1368925393566052</v>
      </c>
      <c r="Q323" s="22" t="s">
        <v>8</v>
      </c>
      <c r="R323" s="22" t="s">
        <v>8</v>
      </c>
      <c r="S323" s="22" t="s">
        <v>8</v>
      </c>
      <c r="T323" s="5">
        <v>3</v>
      </c>
      <c r="U323" s="5">
        <v>14</v>
      </c>
      <c r="V323" s="20" t="s">
        <v>1</v>
      </c>
      <c r="W323" s="20">
        <v>5</v>
      </c>
      <c r="X323" s="20">
        <v>1</v>
      </c>
      <c r="Y323" s="5">
        <v>1</v>
      </c>
      <c r="Z323" s="20">
        <v>4</v>
      </c>
      <c r="AA323" s="23">
        <f t="shared" ref="AA323:AA386" si="10">IF(AND(ISNUMBER(AB323), ISNUMBER(AC323),ISNUMBER(AD323), ISNUMBER(AE323), ISNUMBER(AF323),ISNUMBER(AG323), ISNUMBER(AH323)), 1, IF(AND(AB323="NA", AC323="NA", AD323="na", AE323="na", AF323="na", AG323="na", AH323="na"), 3, 2))</f>
        <v>2</v>
      </c>
      <c r="AB323" s="15">
        <v>1</v>
      </c>
      <c r="AC323" s="15">
        <v>1</v>
      </c>
      <c r="AD323" s="15">
        <v>0.75</v>
      </c>
      <c r="AE323" s="15">
        <v>0.91700000000000004</v>
      </c>
      <c r="AF323" s="20">
        <v>22</v>
      </c>
      <c r="AG323" s="20" t="s">
        <v>8</v>
      </c>
      <c r="AH323" s="24">
        <v>24</v>
      </c>
      <c r="AI323" s="23">
        <f t="shared" ref="AI323:AI386" si="11">IF(AND(ISNUMBER(AJ323), ISNUMBER(AK323),ISNUMBER(AL323)), 1, IF(AND(AJ323="NA", AK323="NA", AL323="na"), 3, 2))</f>
        <v>1</v>
      </c>
      <c r="AJ323" s="17">
        <v>14</v>
      </c>
      <c r="AK323" s="17">
        <v>10</v>
      </c>
      <c r="AL323" s="14">
        <v>24</v>
      </c>
      <c r="AM323" s="23" cm="1">
        <f t="array" ref="AM323">IF(OR(AN323:AZ323=""),"BLANK",IF(AND(AN323:AZ323&lt;9999999),1,IF(AND(AN323:AZ323="NA"),3,2)))</f>
        <v>1</v>
      </c>
      <c r="AN323" s="5">
        <v>10</v>
      </c>
      <c r="AO323" s="5">
        <v>2</v>
      </c>
      <c r="AP323" s="10">
        <v>3.5</v>
      </c>
      <c r="AQ323" s="10">
        <v>4</v>
      </c>
      <c r="AR323" s="10">
        <v>5.5</v>
      </c>
      <c r="AS323" s="11">
        <v>1534</v>
      </c>
      <c r="AT323" s="11">
        <v>3293.5</v>
      </c>
      <c r="AU323" s="11">
        <v>8209.25</v>
      </c>
      <c r="AV323" s="11">
        <v>19474.25</v>
      </c>
      <c r="AW323" s="11">
        <v>0</v>
      </c>
      <c r="AX323" s="11">
        <v>728.875</v>
      </c>
      <c r="AY323" s="11">
        <v>0.9375</v>
      </c>
      <c r="AZ323" s="11">
        <v>634.67857142859998</v>
      </c>
      <c r="BA323" s="23">
        <v>3</v>
      </c>
      <c r="BB323" s="24" t="s">
        <v>8</v>
      </c>
    </row>
    <row r="324" spans="1:54" x14ac:dyDescent="0.2">
      <c r="A324" s="5">
        <v>2740</v>
      </c>
      <c r="B324" s="20" t="s">
        <v>62</v>
      </c>
      <c r="C324" s="18" t="s">
        <v>54</v>
      </c>
      <c r="D324" s="18">
        <v>2</v>
      </c>
      <c r="E324" s="18">
        <v>0</v>
      </c>
      <c r="F324" s="20">
        <v>4</v>
      </c>
      <c r="G324" s="18">
        <v>29</v>
      </c>
      <c r="H324" s="22" t="s">
        <v>8</v>
      </c>
      <c r="I324" s="22" t="s">
        <v>8</v>
      </c>
      <c r="J324" s="22" t="s">
        <v>8</v>
      </c>
      <c r="K324" s="22" t="s">
        <v>8</v>
      </c>
      <c r="L324" s="22" t="s">
        <v>8</v>
      </c>
      <c r="M324" s="22" t="s">
        <v>8</v>
      </c>
      <c r="N324" s="22" t="s">
        <v>8</v>
      </c>
      <c r="O324" s="22" t="s">
        <v>8</v>
      </c>
      <c r="P324" s="22" t="s">
        <v>8</v>
      </c>
      <c r="Q324" s="22" t="s">
        <v>8</v>
      </c>
      <c r="R324" s="22" t="s">
        <v>8</v>
      </c>
      <c r="S324" s="22" t="s">
        <v>8</v>
      </c>
      <c r="T324" s="5">
        <v>3</v>
      </c>
      <c r="U324" s="5">
        <v>14</v>
      </c>
      <c r="V324" s="20" t="s">
        <v>1</v>
      </c>
      <c r="W324" s="20">
        <v>5</v>
      </c>
      <c r="X324" s="20">
        <v>1</v>
      </c>
      <c r="Y324" s="5">
        <v>1</v>
      </c>
      <c r="Z324" s="20">
        <v>4</v>
      </c>
      <c r="AA324" s="23">
        <f t="shared" si="10"/>
        <v>2</v>
      </c>
      <c r="AB324" s="15">
        <v>0.75</v>
      </c>
      <c r="AC324" s="15">
        <v>0.25</v>
      </c>
      <c r="AD324" s="15">
        <v>0.25</v>
      </c>
      <c r="AE324" s="15">
        <v>0.41699999999999998</v>
      </c>
      <c r="AF324" s="20">
        <v>10</v>
      </c>
      <c r="AG324" s="20" t="s">
        <v>8</v>
      </c>
      <c r="AH324" s="24">
        <v>24</v>
      </c>
      <c r="AI324" s="23">
        <f t="shared" si="11"/>
        <v>1</v>
      </c>
      <c r="AJ324" s="17">
        <v>3.75</v>
      </c>
      <c r="AK324" s="17">
        <v>1.25</v>
      </c>
      <c r="AL324" s="14">
        <v>5</v>
      </c>
      <c r="AM324" s="23" cm="1">
        <f t="array" ref="AM324">IF(OR(AN324:AZ324=""),"BLANK",IF(AND(AN324:AZ324&lt;9999999),1,IF(AND(AN324:AZ324="NA"),3,2)))</f>
        <v>1</v>
      </c>
      <c r="AN324" s="5">
        <v>9</v>
      </c>
      <c r="AO324" s="5">
        <v>2</v>
      </c>
      <c r="AP324" s="10">
        <v>3</v>
      </c>
      <c r="AQ324" s="10">
        <v>6.5</v>
      </c>
      <c r="AR324" s="10">
        <v>6.75</v>
      </c>
      <c r="AS324" s="11">
        <v>2621.5</v>
      </c>
      <c r="AT324" s="11">
        <v>4387</v>
      </c>
      <c r="AU324" s="11">
        <v>4500</v>
      </c>
      <c r="AV324" s="11">
        <v>2236</v>
      </c>
      <c r="AW324" s="11">
        <v>72.75</v>
      </c>
      <c r="AX324" s="11">
        <v>287.6666666667</v>
      </c>
      <c r="AY324" s="11">
        <v>4034.4097222221999</v>
      </c>
      <c r="AZ324" s="11">
        <v>548.76250000000005</v>
      </c>
      <c r="BA324" s="23">
        <v>3</v>
      </c>
      <c r="BB324" s="24" t="s">
        <v>8</v>
      </c>
    </row>
    <row r="325" spans="1:54" x14ac:dyDescent="0.2">
      <c r="A325" s="5">
        <v>2743</v>
      </c>
      <c r="B325" s="20" t="s">
        <v>63</v>
      </c>
      <c r="C325" s="18" t="s">
        <v>55</v>
      </c>
      <c r="D325" s="18">
        <v>5</v>
      </c>
      <c r="E325" s="18">
        <v>0</v>
      </c>
      <c r="F325" s="20">
        <v>3.2730000000000001</v>
      </c>
      <c r="G325" s="18">
        <v>29</v>
      </c>
      <c r="H325" s="22">
        <v>3.5865845311430529</v>
      </c>
      <c r="I325" s="22" t="s">
        <v>8</v>
      </c>
      <c r="J325" s="22" t="s">
        <v>8</v>
      </c>
      <c r="K325" s="22">
        <v>3.5263518138261465</v>
      </c>
      <c r="L325" s="22" t="s">
        <v>8</v>
      </c>
      <c r="M325" s="22" t="s">
        <v>8</v>
      </c>
      <c r="N325" s="22">
        <v>3.7563312799452429</v>
      </c>
      <c r="O325" s="22" t="s">
        <v>8</v>
      </c>
      <c r="P325" s="22" t="s">
        <v>8</v>
      </c>
      <c r="Q325" s="22">
        <v>3.9479808350444903</v>
      </c>
      <c r="R325" s="22" t="s">
        <v>8</v>
      </c>
      <c r="S325" s="22" t="s">
        <v>8</v>
      </c>
      <c r="T325" s="5">
        <v>2</v>
      </c>
      <c r="U325" s="5">
        <v>12</v>
      </c>
      <c r="V325" s="20" t="s">
        <v>1</v>
      </c>
      <c r="W325" s="20">
        <v>5</v>
      </c>
      <c r="X325" s="20">
        <v>1</v>
      </c>
      <c r="Y325" s="5">
        <v>1</v>
      </c>
      <c r="Z325" s="20">
        <v>4</v>
      </c>
      <c r="AA325" s="23">
        <f t="shared" si="10"/>
        <v>2</v>
      </c>
      <c r="AB325" s="15">
        <v>1</v>
      </c>
      <c r="AC325" s="15">
        <v>0.625</v>
      </c>
      <c r="AD325" s="15">
        <v>0.2</v>
      </c>
      <c r="AE325" s="15">
        <v>0.66700000000000004</v>
      </c>
      <c r="AF325" s="20">
        <v>14</v>
      </c>
      <c r="AG325" s="20" t="s">
        <v>8</v>
      </c>
      <c r="AH325" s="24">
        <v>21</v>
      </c>
      <c r="AI325" s="23">
        <f t="shared" si="11"/>
        <v>1</v>
      </c>
      <c r="AJ325" s="17">
        <v>9</v>
      </c>
      <c r="AK325" s="17">
        <v>11</v>
      </c>
      <c r="AL325" s="14">
        <v>20</v>
      </c>
      <c r="AM325" s="23" cm="1">
        <f t="array" ref="AM325">IF(OR(AN325:AZ325=""),"BLANK",IF(AND(AN325:AZ325&lt;9999999),1,IF(AND(AN325:AZ325="NA"),3,2)))</f>
        <v>1</v>
      </c>
      <c r="AN325" s="5">
        <v>7</v>
      </c>
      <c r="AO325" s="5">
        <v>2</v>
      </c>
      <c r="AP325" s="10">
        <v>3.5</v>
      </c>
      <c r="AQ325" s="10">
        <v>6.5</v>
      </c>
      <c r="AR325" s="10">
        <v>6.5</v>
      </c>
      <c r="AS325" s="11">
        <v>1727.5</v>
      </c>
      <c r="AT325" s="11">
        <v>5618</v>
      </c>
      <c r="AU325" s="11">
        <v>3113.25</v>
      </c>
      <c r="AV325" s="11">
        <v>7290.5</v>
      </c>
      <c r="AW325" s="11">
        <v>0</v>
      </c>
      <c r="AX325" s="11">
        <v>663.20833333329995</v>
      </c>
      <c r="AY325" s="11">
        <v>6957.8541666666997</v>
      </c>
      <c r="AZ325" s="11">
        <v>2844.0166666667001</v>
      </c>
      <c r="BA325" s="23">
        <v>3</v>
      </c>
      <c r="BB325" s="24" t="s">
        <v>8</v>
      </c>
    </row>
    <row r="326" spans="1:54" x14ac:dyDescent="0.2">
      <c r="A326" s="5">
        <v>2748</v>
      </c>
      <c r="B326" s="20" t="s">
        <v>64</v>
      </c>
      <c r="C326" s="18" t="s">
        <v>55</v>
      </c>
      <c r="D326" s="18">
        <v>5</v>
      </c>
      <c r="E326" s="18">
        <v>0</v>
      </c>
      <c r="F326" s="20">
        <v>4</v>
      </c>
      <c r="G326" s="18">
        <v>27</v>
      </c>
      <c r="H326" s="22">
        <v>3.6194387405886381</v>
      </c>
      <c r="I326" s="22">
        <v>4.3312799452429847</v>
      </c>
      <c r="J326" s="22">
        <v>7.9507186858316219</v>
      </c>
      <c r="K326" s="22">
        <v>3.6194387405886381</v>
      </c>
      <c r="L326" s="22">
        <v>4.3312799452429847</v>
      </c>
      <c r="M326" s="22">
        <v>7.9507186858316219</v>
      </c>
      <c r="N326" s="22">
        <v>5.0650239561943877</v>
      </c>
      <c r="O326" s="22" t="s">
        <v>8</v>
      </c>
      <c r="P326" s="22" t="s">
        <v>8</v>
      </c>
      <c r="Q326" s="22">
        <v>4.8021902806297057</v>
      </c>
      <c r="R326" s="22" t="s">
        <v>8</v>
      </c>
      <c r="S326" s="22" t="s">
        <v>8</v>
      </c>
      <c r="T326" s="5">
        <v>3</v>
      </c>
      <c r="U326" s="5">
        <v>14</v>
      </c>
      <c r="V326" s="20" t="s">
        <v>1</v>
      </c>
      <c r="W326" s="20">
        <v>5</v>
      </c>
      <c r="X326" s="20">
        <v>1</v>
      </c>
      <c r="Y326" s="5">
        <v>1</v>
      </c>
      <c r="Z326" s="20">
        <v>4</v>
      </c>
      <c r="AA326" s="23">
        <f t="shared" si="10"/>
        <v>2</v>
      </c>
      <c r="AB326" s="15">
        <v>1</v>
      </c>
      <c r="AC326" s="15">
        <v>1</v>
      </c>
      <c r="AD326" s="15">
        <v>0.625</v>
      </c>
      <c r="AE326" s="15">
        <v>0.87</v>
      </c>
      <c r="AF326" s="20">
        <v>20</v>
      </c>
      <c r="AG326" s="20" t="s">
        <v>8</v>
      </c>
      <c r="AH326" s="24">
        <v>23</v>
      </c>
      <c r="AI326" s="23">
        <f t="shared" si="11"/>
        <v>1</v>
      </c>
      <c r="AJ326" s="17">
        <v>8</v>
      </c>
      <c r="AK326" s="17">
        <v>6.75</v>
      </c>
      <c r="AL326" s="14">
        <v>14.75</v>
      </c>
      <c r="AM326" s="23" cm="1">
        <f t="array" ref="AM326">IF(OR(AN326:AZ326=""),"BLANK",IF(AND(AN326:AZ326&lt;9999999),1,IF(AND(AN326:AZ326="NA"),3,2)))</f>
        <v>1</v>
      </c>
      <c r="AN326" s="5">
        <v>10</v>
      </c>
      <c r="AO326" s="5">
        <v>2</v>
      </c>
      <c r="AP326" s="10">
        <v>3</v>
      </c>
      <c r="AQ326" s="10">
        <v>6.5</v>
      </c>
      <c r="AR326" s="10">
        <v>5</v>
      </c>
      <c r="AS326" s="11">
        <v>4761.5</v>
      </c>
      <c r="AT326" s="11">
        <v>5726</v>
      </c>
      <c r="AU326" s="11">
        <v>11320.25</v>
      </c>
      <c r="AV326" s="11">
        <v>8575</v>
      </c>
      <c r="AW326" s="11">
        <v>0</v>
      </c>
      <c r="AX326" s="11">
        <v>0</v>
      </c>
      <c r="AY326" s="11">
        <v>6425.0902777778001</v>
      </c>
      <c r="AZ326" s="11">
        <v>0</v>
      </c>
      <c r="BA326" s="23">
        <v>3</v>
      </c>
      <c r="BB326" s="24" t="s">
        <v>8</v>
      </c>
    </row>
    <row r="327" spans="1:54" x14ac:dyDescent="0.2">
      <c r="A327" s="5">
        <v>2790</v>
      </c>
      <c r="B327" s="20" t="s">
        <v>75</v>
      </c>
      <c r="C327" s="18" t="s">
        <v>54</v>
      </c>
      <c r="D327" s="18">
        <v>5</v>
      </c>
      <c r="E327" s="18">
        <v>0</v>
      </c>
      <c r="F327" s="20">
        <v>3.7269999999999999</v>
      </c>
      <c r="G327" s="18">
        <v>30</v>
      </c>
      <c r="H327" s="22">
        <v>3.5975359342915811</v>
      </c>
      <c r="I327" s="22">
        <v>4.2518822724161529</v>
      </c>
      <c r="J327" s="22">
        <v>7.8494182067077345</v>
      </c>
      <c r="K327" s="22">
        <v>3.5975359342915811</v>
      </c>
      <c r="L327" s="22">
        <v>4.2518822724161529</v>
      </c>
      <c r="M327" s="22">
        <v>7.8494182067077345</v>
      </c>
      <c r="N327" s="22">
        <v>3.5838466803559208</v>
      </c>
      <c r="O327" s="22">
        <v>4.2080766598220398</v>
      </c>
      <c r="P327" s="22">
        <v>7.7919233401779602</v>
      </c>
      <c r="Q327" s="22" t="s">
        <v>8</v>
      </c>
      <c r="R327" s="22" t="s">
        <v>8</v>
      </c>
      <c r="S327" s="22" t="s">
        <v>8</v>
      </c>
      <c r="T327" s="5">
        <v>3</v>
      </c>
      <c r="U327" s="5">
        <v>14</v>
      </c>
      <c r="V327" s="20" t="s">
        <v>1</v>
      </c>
      <c r="W327" s="20">
        <v>5</v>
      </c>
      <c r="X327" s="20">
        <v>1</v>
      </c>
      <c r="Y327" s="5">
        <v>1</v>
      </c>
      <c r="Z327" s="20">
        <v>4</v>
      </c>
      <c r="AA327" s="23">
        <f t="shared" si="10"/>
        <v>2</v>
      </c>
      <c r="AB327" s="15">
        <v>0.875</v>
      </c>
      <c r="AC327" s="15">
        <v>0.875</v>
      </c>
      <c r="AD327" s="15">
        <v>0.25</v>
      </c>
      <c r="AE327" s="15">
        <v>0.66700000000000004</v>
      </c>
      <c r="AF327" s="20">
        <v>16</v>
      </c>
      <c r="AG327" s="20" t="s">
        <v>8</v>
      </c>
      <c r="AH327" s="24">
        <v>24</v>
      </c>
      <c r="AI327" s="23">
        <f t="shared" si="11"/>
        <v>1</v>
      </c>
      <c r="AJ327" s="17">
        <v>3.25</v>
      </c>
      <c r="AK327" s="17">
        <v>0.5</v>
      </c>
      <c r="AL327" s="14">
        <v>3.75</v>
      </c>
      <c r="AM327" s="23" cm="1">
        <f t="array" ref="AM327">IF(OR(AN327:AZ327=""),"BLANK",IF(AND(AN327:AZ327&lt;9999999),1,IF(AND(AN327:AZ327="NA"),3,2)))</f>
        <v>1</v>
      </c>
      <c r="AN327" s="5">
        <v>7</v>
      </c>
      <c r="AO327" s="5">
        <v>2</v>
      </c>
      <c r="AP327" s="10">
        <v>3</v>
      </c>
      <c r="AQ327" s="10">
        <v>5</v>
      </c>
      <c r="AR327" s="10">
        <v>7.25</v>
      </c>
      <c r="AS327" s="11">
        <v>4368</v>
      </c>
      <c r="AT327" s="11">
        <v>5662.5</v>
      </c>
      <c r="AU327" s="11">
        <v>3841.25</v>
      </c>
      <c r="AV327" s="11">
        <v>7344</v>
      </c>
      <c r="AW327" s="11">
        <v>311.75</v>
      </c>
      <c r="AX327" s="11">
        <v>0</v>
      </c>
      <c r="AY327" s="11">
        <v>3512.4416666666998</v>
      </c>
      <c r="AZ327" s="11">
        <v>966.83055555559997</v>
      </c>
      <c r="BA327" s="23">
        <v>3</v>
      </c>
      <c r="BB327" s="24" t="s">
        <v>8</v>
      </c>
    </row>
    <row r="328" spans="1:54" x14ac:dyDescent="0.2">
      <c r="A328" s="5">
        <v>2813</v>
      </c>
      <c r="B328" s="20" t="s">
        <v>63</v>
      </c>
      <c r="C328" s="18" t="s">
        <v>54</v>
      </c>
      <c r="D328" s="18">
        <v>5</v>
      </c>
      <c r="E328" s="18">
        <v>0</v>
      </c>
      <c r="F328" s="20">
        <v>3.6360000000000001</v>
      </c>
      <c r="G328" s="18">
        <v>28</v>
      </c>
      <c r="H328" s="22">
        <v>3.5893223819301849</v>
      </c>
      <c r="I328" s="22" t="s">
        <v>8</v>
      </c>
      <c r="J328" s="22" t="s">
        <v>8</v>
      </c>
      <c r="K328" s="22">
        <v>3.5893223819301849</v>
      </c>
      <c r="L328" s="22" t="s">
        <v>8</v>
      </c>
      <c r="M328" s="22" t="s">
        <v>8</v>
      </c>
      <c r="N328" s="22">
        <v>3.6358658453114305</v>
      </c>
      <c r="O328" s="22" t="s">
        <v>8</v>
      </c>
      <c r="P328" s="22" t="s">
        <v>8</v>
      </c>
      <c r="Q328" s="22">
        <v>4.4845995893223822</v>
      </c>
      <c r="R328" s="22" t="s">
        <v>8</v>
      </c>
      <c r="S328" s="22" t="s">
        <v>8</v>
      </c>
      <c r="T328" s="5">
        <v>3</v>
      </c>
      <c r="U328" s="5">
        <v>12</v>
      </c>
      <c r="V328" s="20" t="s">
        <v>1</v>
      </c>
      <c r="W328" s="20">
        <v>5</v>
      </c>
      <c r="X328" s="20">
        <v>1</v>
      </c>
      <c r="Y328" s="5">
        <v>1</v>
      </c>
      <c r="Z328" s="20">
        <v>4</v>
      </c>
      <c r="AA328" s="23">
        <f t="shared" si="10"/>
        <v>2</v>
      </c>
      <c r="AB328" s="15">
        <v>0.75</v>
      </c>
      <c r="AC328" s="15">
        <v>0.875</v>
      </c>
      <c r="AD328" s="15">
        <v>0.5</v>
      </c>
      <c r="AE328" s="15">
        <v>0.70799999999999996</v>
      </c>
      <c r="AF328" s="20">
        <v>17</v>
      </c>
      <c r="AG328" s="20" t="s">
        <v>8</v>
      </c>
      <c r="AH328" s="24">
        <v>24</v>
      </c>
      <c r="AI328" s="23">
        <f t="shared" si="11"/>
        <v>1</v>
      </c>
      <c r="AJ328" s="17">
        <v>-1.25</v>
      </c>
      <c r="AK328" s="17">
        <v>2.5</v>
      </c>
      <c r="AL328" s="14">
        <v>1.25</v>
      </c>
      <c r="AM328" s="23" cm="1">
        <f t="array" ref="AM328">IF(OR(AN328:AZ328=""),"BLANK",IF(AND(AN328:AZ328&lt;9999999),1,IF(AND(AN328:AZ328="NA"),3,2)))</f>
        <v>1</v>
      </c>
      <c r="AN328" s="5">
        <v>7</v>
      </c>
      <c r="AO328" s="5">
        <v>2</v>
      </c>
      <c r="AP328" s="10">
        <v>3</v>
      </c>
      <c r="AQ328" s="10">
        <v>6.75</v>
      </c>
      <c r="AR328" s="10">
        <v>6.75</v>
      </c>
      <c r="AS328" s="11">
        <v>0</v>
      </c>
      <c r="AT328" s="11">
        <v>2862.5</v>
      </c>
      <c r="AU328" s="11">
        <v>2928.75</v>
      </c>
      <c r="AV328" s="11">
        <v>8288</v>
      </c>
      <c r="AW328" s="11">
        <v>0</v>
      </c>
      <c r="AX328" s="11">
        <v>0</v>
      </c>
      <c r="AY328" s="11">
        <v>2833.0833333332998</v>
      </c>
      <c r="AZ328" s="11">
        <v>10364.378030303</v>
      </c>
      <c r="BA328" s="23">
        <v>3</v>
      </c>
      <c r="BB328" s="24" t="s">
        <v>8</v>
      </c>
    </row>
    <row r="329" spans="1:54" x14ac:dyDescent="0.2">
      <c r="A329" s="5">
        <v>2819</v>
      </c>
      <c r="B329" s="20" t="s">
        <v>78</v>
      </c>
      <c r="C329" s="18" t="s">
        <v>54</v>
      </c>
      <c r="D329" s="18">
        <v>5</v>
      </c>
      <c r="E329" s="18">
        <v>0</v>
      </c>
      <c r="F329" s="20">
        <v>3.4550000000000001</v>
      </c>
      <c r="G329" s="18">
        <v>27</v>
      </c>
      <c r="H329" s="22">
        <v>4.1971252566735116</v>
      </c>
      <c r="I329" s="22" t="s">
        <v>8</v>
      </c>
      <c r="J329" s="22" t="s">
        <v>8</v>
      </c>
      <c r="K329" s="22">
        <v>4.1916495550992474</v>
      </c>
      <c r="L329" s="22" t="s">
        <v>8</v>
      </c>
      <c r="M329" s="22" t="s">
        <v>8</v>
      </c>
      <c r="N329" s="22">
        <v>4.1642710472279258</v>
      </c>
      <c r="O329" s="22" t="s">
        <v>8</v>
      </c>
      <c r="P329" s="22" t="s">
        <v>8</v>
      </c>
      <c r="Q329" s="22">
        <v>5.1909650924024637</v>
      </c>
      <c r="R329" s="22" t="s">
        <v>8</v>
      </c>
      <c r="S329" s="22" t="s">
        <v>8</v>
      </c>
      <c r="T329" s="5">
        <v>2</v>
      </c>
      <c r="U329" s="5">
        <v>12</v>
      </c>
      <c r="V329" s="20" t="s">
        <v>1</v>
      </c>
      <c r="W329" s="20">
        <v>5</v>
      </c>
      <c r="X329" s="20">
        <v>1</v>
      </c>
      <c r="Y329" s="5">
        <v>1</v>
      </c>
      <c r="Z329" s="20">
        <v>4</v>
      </c>
      <c r="AA329" s="23">
        <f t="shared" si="10"/>
        <v>2</v>
      </c>
      <c r="AB329" s="15">
        <v>0.75</v>
      </c>
      <c r="AC329" s="15">
        <v>1</v>
      </c>
      <c r="AD329" s="15">
        <v>0.625</v>
      </c>
      <c r="AE329" s="15">
        <v>0.79200000000000004</v>
      </c>
      <c r="AF329" s="20">
        <v>19</v>
      </c>
      <c r="AG329" s="20" t="s">
        <v>8</v>
      </c>
      <c r="AH329" s="24">
        <v>24</v>
      </c>
      <c r="AI329" s="23">
        <f t="shared" si="11"/>
        <v>1</v>
      </c>
      <c r="AJ329" s="17">
        <v>4.25</v>
      </c>
      <c r="AK329" s="17">
        <v>10.25</v>
      </c>
      <c r="AL329" s="14">
        <v>14.5</v>
      </c>
      <c r="AM329" s="23" cm="1">
        <f t="array" ref="AM329">IF(OR(AN329:AZ329=""),"BLANK",IF(AND(AN329:AZ329&lt;9999999),1,IF(AND(AN329:AZ329="NA"),3,2)))</f>
        <v>1</v>
      </c>
      <c r="AN329" s="5">
        <v>9</v>
      </c>
      <c r="AO329" s="5">
        <v>3</v>
      </c>
      <c r="AP329" s="10">
        <v>4</v>
      </c>
      <c r="AQ329" s="10">
        <v>5.25</v>
      </c>
      <c r="AR329" s="10">
        <v>5</v>
      </c>
      <c r="AS329" s="11">
        <v>2485</v>
      </c>
      <c r="AT329" s="11">
        <v>1046</v>
      </c>
      <c r="AU329" s="11">
        <v>6125.75</v>
      </c>
      <c r="AV329" s="11">
        <v>2331.25</v>
      </c>
      <c r="AW329" s="11">
        <v>4718.625</v>
      </c>
      <c r="AX329" s="11">
        <v>700.2</v>
      </c>
      <c r="AY329" s="11">
        <v>285.0138888889</v>
      </c>
      <c r="AZ329" s="11">
        <v>0</v>
      </c>
      <c r="BA329" s="23">
        <v>3</v>
      </c>
      <c r="BB329" s="24" t="s">
        <v>8</v>
      </c>
    </row>
    <row r="330" spans="1:54" x14ac:dyDescent="0.2">
      <c r="A330" s="5">
        <v>2852</v>
      </c>
      <c r="B330" s="20" t="s">
        <v>74</v>
      </c>
      <c r="C330" s="18" t="s">
        <v>55</v>
      </c>
      <c r="D330" s="18">
        <v>5</v>
      </c>
      <c r="E330" s="18">
        <v>0</v>
      </c>
      <c r="F330" s="20">
        <v>3.2730000000000001</v>
      </c>
      <c r="G330" s="18">
        <v>30</v>
      </c>
      <c r="H330" s="22" t="s">
        <v>8</v>
      </c>
      <c r="I330" s="22" t="s">
        <v>8</v>
      </c>
      <c r="J330" s="22" t="s">
        <v>8</v>
      </c>
      <c r="K330" s="22" t="s">
        <v>8</v>
      </c>
      <c r="L330" s="22" t="s">
        <v>8</v>
      </c>
      <c r="M330" s="22" t="s">
        <v>8</v>
      </c>
      <c r="N330" s="22" t="s">
        <v>8</v>
      </c>
      <c r="O330" s="22" t="s">
        <v>8</v>
      </c>
      <c r="P330" s="22" t="s">
        <v>8</v>
      </c>
      <c r="Q330" s="22" t="s">
        <v>8</v>
      </c>
      <c r="R330" s="22" t="s">
        <v>8</v>
      </c>
      <c r="S330" s="22" t="s">
        <v>8</v>
      </c>
      <c r="T330" s="5">
        <v>4</v>
      </c>
      <c r="U330" s="5">
        <v>16</v>
      </c>
      <c r="V330" s="20" t="s">
        <v>1</v>
      </c>
      <c r="W330" s="20">
        <v>5</v>
      </c>
      <c r="X330" s="20">
        <v>1</v>
      </c>
      <c r="Y330" s="5">
        <v>1</v>
      </c>
      <c r="Z330" s="20">
        <v>4</v>
      </c>
      <c r="AA330" s="23">
        <f t="shared" si="10"/>
        <v>2</v>
      </c>
      <c r="AB330" s="15">
        <v>1</v>
      </c>
      <c r="AC330" s="15">
        <v>0.625</v>
      </c>
      <c r="AD330" s="15">
        <v>0.625</v>
      </c>
      <c r="AE330" s="15">
        <v>0.75</v>
      </c>
      <c r="AF330" s="20">
        <v>18</v>
      </c>
      <c r="AG330" s="20" t="s">
        <v>8</v>
      </c>
      <c r="AH330" s="24">
        <v>24</v>
      </c>
      <c r="AI330" s="23">
        <f t="shared" si="11"/>
        <v>1</v>
      </c>
      <c r="AJ330" s="17">
        <v>10</v>
      </c>
      <c r="AK330" s="17">
        <v>6.5</v>
      </c>
      <c r="AL330" s="14">
        <v>16.5</v>
      </c>
      <c r="AM330" s="23" cm="1">
        <f t="array" ref="AM330">IF(OR(AN330:AZ330=""),"BLANK",IF(AND(AN330:AZ330&lt;9999999),1,IF(AND(AN330:AZ330="NA"),3,2)))</f>
        <v>1</v>
      </c>
      <c r="AN330" s="5">
        <v>9</v>
      </c>
      <c r="AO330" s="5">
        <v>2</v>
      </c>
      <c r="AP330" s="10">
        <v>3</v>
      </c>
      <c r="AQ330" s="10">
        <v>4.5</v>
      </c>
      <c r="AR330" s="10">
        <v>7</v>
      </c>
      <c r="AS330" s="11">
        <v>0</v>
      </c>
      <c r="AT330" s="11">
        <v>3904</v>
      </c>
      <c r="AU330" s="11">
        <v>5137.25</v>
      </c>
      <c r="AV330" s="11">
        <v>3047</v>
      </c>
      <c r="AW330" s="11">
        <v>0</v>
      </c>
      <c r="AX330" s="11">
        <v>0</v>
      </c>
      <c r="AY330" s="11">
        <v>4955.4166666666997</v>
      </c>
      <c r="AZ330" s="11">
        <v>1779.3708333333</v>
      </c>
      <c r="BA330" s="23">
        <v>3</v>
      </c>
      <c r="BB330" s="24" t="s">
        <v>8</v>
      </c>
    </row>
    <row r="331" spans="1:54" x14ac:dyDescent="0.2">
      <c r="A331" s="5">
        <v>2872</v>
      </c>
      <c r="B331" s="20" t="s">
        <v>70</v>
      </c>
      <c r="C331" s="18" t="s">
        <v>54</v>
      </c>
      <c r="D331" s="18">
        <v>5</v>
      </c>
      <c r="E331" s="18">
        <v>0</v>
      </c>
      <c r="F331" s="20">
        <v>4</v>
      </c>
      <c r="G331" s="18">
        <v>28</v>
      </c>
      <c r="H331" s="22">
        <v>3.463381245722108</v>
      </c>
      <c r="I331" s="22" t="s">
        <v>8</v>
      </c>
      <c r="J331" s="22" t="s">
        <v>8</v>
      </c>
      <c r="K331" s="22">
        <v>3.4715947980835042</v>
      </c>
      <c r="L331" s="22" t="s">
        <v>8</v>
      </c>
      <c r="M331" s="22" t="s">
        <v>8</v>
      </c>
      <c r="N331" s="22">
        <v>3.7453798767967146</v>
      </c>
      <c r="O331" s="22">
        <v>3.7207392197125255</v>
      </c>
      <c r="P331" s="22">
        <v>7.4661190965092405</v>
      </c>
      <c r="Q331" s="22">
        <v>3.7125256673511293</v>
      </c>
      <c r="R331" s="22" t="s">
        <v>8</v>
      </c>
      <c r="S331" s="22" t="s">
        <v>8</v>
      </c>
      <c r="T331" s="5">
        <v>5</v>
      </c>
      <c r="U331" s="5">
        <v>17</v>
      </c>
      <c r="V331" s="20" t="s">
        <v>1</v>
      </c>
      <c r="W331" s="20">
        <v>5</v>
      </c>
      <c r="X331" s="20">
        <v>1</v>
      </c>
      <c r="Y331" s="5">
        <v>1</v>
      </c>
      <c r="Z331" s="20">
        <v>4</v>
      </c>
      <c r="AA331" s="23">
        <f t="shared" si="10"/>
        <v>2</v>
      </c>
      <c r="AB331" s="15">
        <v>1</v>
      </c>
      <c r="AC331" s="15">
        <v>1</v>
      </c>
      <c r="AD331" s="15">
        <v>0.75</v>
      </c>
      <c r="AE331" s="15">
        <v>0.91700000000000004</v>
      </c>
      <c r="AF331" s="20">
        <v>22</v>
      </c>
      <c r="AG331" s="20" t="s">
        <v>8</v>
      </c>
      <c r="AH331" s="24">
        <v>24</v>
      </c>
      <c r="AI331" s="23">
        <f t="shared" si="11"/>
        <v>1</v>
      </c>
      <c r="AJ331" s="17">
        <v>9</v>
      </c>
      <c r="AK331" s="17">
        <v>8</v>
      </c>
      <c r="AL331" s="14">
        <v>17</v>
      </c>
      <c r="AM331" s="23" cm="1">
        <f t="array" ref="AM331">IF(OR(AN331:AZ331=""),"BLANK",IF(AND(AN331:AZ331&lt;9999999),1,IF(AND(AN331:AZ331="NA"),3,2)))</f>
        <v>1</v>
      </c>
      <c r="AN331" s="5">
        <v>9</v>
      </c>
      <c r="AO331" s="5">
        <v>2</v>
      </c>
      <c r="AP331" s="10">
        <v>3.5</v>
      </c>
      <c r="AQ331" s="10">
        <v>5</v>
      </c>
      <c r="AR331" s="10">
        <v>6.25</v>
      </c>
      <c r="AS331" s="11">
        <v>2711.5</v>
      </c>
      <c r="AT331" s="11">
        <v>3667</v>
      </c>
      <c r="AU331" s="11">
        <v>11323.25</v>
      </c>
      <c r="AV331" s="11">
        <v>30899.25</v>
      </c>
      <c r="AW331" s="11">
        <v>0</v>
      </c>
      <c r="AX331" s="11">
        <v>384.0833333333</v>
      </c>
      <c r="AY331" s="11">
        <v>1707.71875</v>
      </c>
      <c r="AZ331" s="11">
        <v>3157.9250000000002</v>
      </c>
      <c r="BA331" s="23">
        <v>3</v>
      </c>
      <c r="BB331" s="24" t="s">
        <v>8</v>
      </c>
    </row>
    <row r="332" spans="1:54" x14ac:dyDescent="0.2">
      <c r="A332" s="5">
        <v>2885</v>
      </c>
      <c r="B332" s="20" t="s">
        <v>62</v>
      </c>
      <c r="C332" s="18" t="s">
        <v>54</v>
      </c>
      <c r="D332" s="18">
        <v>5</v>
      </c>
      <c r="E332" s="18">
        <v>0</v>
      </c>
      <c r="F332" s="20">
        <v>3.8180000000000001</v>
      </c>
      <c r="G332" s="18">
        <v>30</v>
      </c>
      <c r="H332" s="22">
        <v>3.6577686516084875</v>
      </c>
      <c r="I332" s="22">
        <v>4.4982888432580426</v>
      </c>
      <c r="J332" s="22">
        <v>8.1560574948665305</v>
      </c>
      <c r="K332" s="22">
        <v>3.6577686516084875</v>
      </c>
      <c r="L332" s="22">
        <v>4.5475701574264207</v>
      </c>
      <c r="M332" s="22">
        <v>8.2053388090349078</v>
      </c>
      <c r="N332" s="22">
        <v>3.7371663244353184</v>
      </c>
      <c r="O332" s="22">
        <v>4.3531827515400412</v>
      </c>
      <c r="P332" s="22">
        <v>8.0903490759753591</v>
      </c>
      <c r="Q332" s="22">
        <v>4.6160164271047224</v>
      </c>
      <c r="R332" s="22">
        <v>3.6796714579055441</v>
      </c>
      <c r="S332" s="22">
        <v>8.2956878850102669</v>
      </c>
      <c r="T332" s="5">
        <v>3</v>
      </c>
      <c r="U332" s="5">
        <v>14</v>
      </c>
      <c r="V332" s="20" t="s">
        <v>1</v>
      </c>
      <c r="W332" s="20">
        <v>5</v>
      </c>
      <c r="X332" s="20">
        <v>1</v>
      </c>
      <c r="Y332" s="5">
        <v>1</v>
      </c>
      <c r="Z332" s="20">
        <v>4</v>
      </c>
      <c r="AA332" s="23">
        <f t="shared" si="10"/>
        <v>2</v>
      </c>
      <c r="AB332" s="15">
        <v>1</v>
      </c>
      <c r="AC332" s="15">
        <v>0.75</v>
      </c>
      <c r="AD332" s="15">
        <v>0.625</v>
      </c>
      <c r="AE332" s="15">
        <v>0.79200000000000004</v>
      </c>
      <c r="AF332" s="20">
        <v>19</v>
      </c>
      <c r="AG332" s="20" t="s">
        <v>8</v>
      </c>
      <c r="AH332" s="24">
        <v>24</v>
      </c>
      <c r="AI332" s="23">
        <f t="shared" si="11"/>
        <v>1</v>
      </c>
      <c r="AJ332" s="17">
        <v>10</v>
      </c>
      <c r="AK332" s="17">
        <v>14</v>
      </c>
      <c r="AL332" s="14">
        <v>24</v>
      </c>
      <c r="AM332" s="23" cm="1">
        <f t="array" ref="AM332">IF(OR(AN332:AZ332=""),"BLANK",IF(AND(AN332:AZ332&lt;9999999),1,IF(AND(AN332:AZ332="NA"),3,2)))</f>
        <v>1</v>
      </c>
      <c r="AN332" s="5">
        <v>8</v>
      </c>
      <c r="AO332" s="5">
        <v>2</v>
      </c>
      <c r="AP332" s="10">
        <v>3</v>
      </c>
      <c r="AQ332" s="10">
        <v>5.75</v>
      </c>
      <c r="AR332" s="10">
        <v>8.5</v>
      </c>
      <c r="AS332" s="11">
        <v>2202.5</v>
      </c>
      <c r="AT332" s="11">
        <v>2105</v>
      </c>
      <c r="AU332" s="11">
        <v>3153.75</v>
      </c>
      <c r="AV332" s="11">
        <v>9739.5</v>
      </c>
      <c r="AW332" s="11">
        <v>132</v>
      </c>
      <c r="AX332" s="11">
        <v>0</v>
      </c>
      <c r="AY332" s="11">
        <v>567.36805555559999</v>
      </c>
      <c r="AZ332" s="11">
        <v>796.86666666669998</v>
      </c>
      <c r="BA332" s="23">
        <v>3</v>
      </c>
      <c r="BB332" s="24" t="s">
        <v>8</v>
      </c>
    </row>
    <row r="333" spans="1:54" x14ac:dyDescent="0.2">
      <c r="A333" s="5">
        <v>2889</v>
      </c>
      <c r="B333" s="20" t="s">
        <v>70</v>
      </c>
      <c r="C333" s="18" t="s">
        <v>55</v>
      </c>
      <c r="D333" s="18">
        <v>5</v>
      </c>
      <c r="E333" s="18">
        <v>0</v>
      </c>
      <c r="F333" s="20">
        <v>3.6360000000000001</v>
      </c>
      <c r="G333" s="18">
        <v>29</v>
      </c>
      <c r="H333" s="22" t="s">
        <v>8</v>
      </c>
      <c r="I333" s="22" t="s">
        <v>8</v>
      </c>
      <c r="J333" s="22" t="s">
        <v>8</v>
      </c>
      <c r="K333" s="22" t="s">
        <v>8</v>
      </c>
      <c r="L333" s="22" t="s">
        <v>8</v>
      </c>
      <c r="M333" s="22" t="s">
        <v>8</v>
      </c>
      <c r="N333" s="22" t="s">
        <v>8</v>
      </c>
      <c r="O333" s="22" t="s">
        <v>8</v>
      </c>
      <c r="P333" s="22" t="s">
        <v>8</v>
      </c>
      <c r="Q333" s="22" t="s">
        <v>8</v>
      </c>
      <c r="R333" s="22" t="s">
        <v>8</v>
      </c>
      <c r="S333" s="22" t="s">
        <v>8</v>
      </c>
      <c r="T333" s="5">
        <v>3</v>
      </c>
      <c r="U333" s="5">
        <v>14</v>
      </c>
      <c r="V333" s="20" t="s">
        <v>1</v>
      </c>
      <c r="W333" s="20">
        <v>5</v>
      </c>
      <c r="X333" s="20">
        <v>1</v>
      </c>
      <c r="Y333" s="5">
        <v>1</v>
      </c>
      <c r="Z333" s="20">
        <v>4</v>
      </c>
      <c r="AA333" s="23">
        <f t="shared" si="10"/>
        <v>2</v>
      </c>
      <c r="AB333" s="15">
        <v>0.875</v>
      </c>
      <c r="AC333" s="15">
        <v>0.625</v>
      </c>
      <c r="AD333" s="15">
        <v>0.5</v>
      </c>
      <c r="AE333" s="15">
        <v>0.66700000000000004</v>
      </c>
      <c r="AF333" s="20">
        <v>16</v>
      </c>
      <c r="AG333" s="20" t="s">
        <v>8</v>
      </c>
      <c r="AH333" s="24">
        <v>24</v>
      </c>
      <c r="AI333" s="23">
        <f t="shared" si="11"/>
        <v>1</v>
      </c>
      <c r="AJ333" s="17">
        <v>7.75</v>
      </c>
      <c r="AK333" s="17">
        <v>7.75</v>
      </c>
      <c r="AL333" s="14">
        <v>15.5</v>
      </c>
      <c r="AM333" s="23" cm="1">
        <f t="array" ref="AM333">IF(OR(AN333:AZ333=""),"BLANK",IF(AND(AN333:AZ333&lt;9999999),1,IF(AND(AN333:AZ333="NA"),3,2)))</f>
        <v>1</v>
      </c>
      <c r="AN333" s="5">
        <v>9</v>
      </c>
      <c r="AO333" s="5">
        <v>2</v>
      </c>
      <c r="AP333" s="10">
        <v>3</v>
      </c>
      <c r="AQ333" s="10">
        <v>5</v>
      </c>
      <c r="AR333" s="10">
        <v>8.25</v>
      </c>
      <c r="AS333" s="11">
        <v>936</v>
      </c>
      <c r="AT333" s="11">
        <v>6636.5</v>
      </c>
      <c r="AU333" s="11">
        <v>4134.5</v>
      </c>
      <c r="AV333" s="11">
        <v>2525.5</v>
      </c>
      <c r="AW333" s="11">
        <v>0</v>
      </c>
      <c r="AX333" s="11">
        <v>512.66666666670005</v>
      </c>
      <c r="AY333" s="11">
        <v>1074.59375</v>
      </c>
      <c r="AZ333" s="11">
        <v>1654.3681818181999</v>
      </c>
      <c r="BA333" s="23">
        <v>3</v>
      </c>
      <c r="BB333" s="24" t="s">
        <v>8</v>
      </c>
    </row>
    <row r="334" spans="1:54" x14ac:dyDescent="0.2">
      <c r="A334" s="5">
        <v>2893</v>
      </c>
      <c r="B334" s="20" t="s">
        <v>64</v>
      </c>
      <c r="C334" s="18" t="s">
        <v>54</v>
      </c>
      <c r="D334" s="18">
        <v>5</v>
      </c>
      <c r="E334" s="18">
        <v>0</v>
      </c>
      <c r="F334" s="20">
        <v>3.6360000000000001</v>
      </c>
      <c r="G334" s="18">
        <v>30</v>
      </c>
      <c r="H334" s="22">
        <v>3.9014373716632442</v>
      </c>
      <c r="I334" s="22" t="s">
        <v>8</v>
      </c>
      <c r="J334" s="22" t="s">
        <v>8</v>
      </c>
      <c r="K334" s="22">
        <v>3.9014373716632442</v>
      </c>
      <c r="L334" s="22" t="s">
        <v>8</v>
      </c>
      <c r="M334" s="22" t="s">
        <v>8</v>
      </c>
      <c r="N334" s="22">
        <v>3.871321013004791</v>
      </c>
      <c r="O334" s="22" t="s">
        <v>8</v>
      </c>
      <c r="P334" s="22" t="s">
        <v>8</v>
      </c>
      <c r="Q334" s="22" t="s">
        <v>8</v>
      </c>
      <c r="R334" s="22" t="s">
        <v>8</v>
      </c>
      <c r="S334" s="22" t="s">
        <v>8</v>
      </c>
      <c r="T334" s="5">
        <v>3</v>
      </c>
      <c r="U334" s="5">
        <v>15</v>
      </c>
      <c r="V334" s="20" t="s">
        <v>1</v>
      </c>
      <c r="W334" s="20">
        <v>5</v>
      </c>
      <c r="X334" s="20">
        <v>1</v>
      </c>
      <c r="Y334" s="5">
        <v>1</v>
      </c>
      <c r="Z334" s="20">
        <v>4</v>
      </c>
      <c r="AA334" s="23">
        <f t="shared" si="10"/>
        <v>2</v>
      </c>
      <c r="AB334" s="15">
        <v>1</v>
      </c>
      <c r="AC334" s="15">
        <v>0.625</v>
      </c>
      <c r="AD334" s="15">
        <v>0.5</v>
      </c>
      <c r="AE334" s="15">
        <v>0.70799999999999996</v>
      </c>
      <c r="AF334" s="20">
        <v>17</v>
      </c>
      <c r="AG334" s="20" t="s">
        <v>8</v>
      </c>
      <c r="AH334" s="24">
        <v>24</v>
      </c>
      <c r="AI334" s="23">
        <f t="shared" si="11"/>
        <v>1</v>
      </c>
      <c r="AJ334" s="17">
        <v>4.25</v>
      </c>
      <c r="AK334" s="17">
        <v>5.75</v>
      </c>
      <c r="AL334" s="14">
        <v>10</v>
      </c>
      <c r="AM334" s="23" cm="1">
        <f t="array" ref="AM334">IF(OR(AN334:AZ334=""),"BLANK",IF(AND(AN334:AZ334&lt;9999999),1,IF(AND(AN334:AZ334="NA"),3,2)))</f>
        <v>1</v>
      </c>
      <c r="AN334" s="5">
        <v>7</v>
      </c>
      <c r="AO334" s="5">
        <v>2</v>
      </c>
      <c r="AP334" s="10">
        <v>3</v>
      </c>
      <c r="AQ334" s="10">
        <v>6.5</v>
      </c>
      <c r="AR334" s="10">
        <v>7.5</v>
      </c>
      <c r="AS334" s="11">
        <v>0</v>
      </c>
      <c r="AT334" s="11">
        <v>5288.5</v>
      </c>
      <c r="AU334" s="11">
        <v>4462.25</v>
      </c>
      <c r="AV334" s="11">
        <v>5351.25</v>
      </c>
      <c r="AW334" s="11">
        <v>0</v>
      </c>
      <c r="AX334" s="11">
        <v>0</v>
      </c>
      <c r="AY334" s="11">
        <v>3479.875</v>
      </c>
      <c r="AZ334" s="11">
        <v>921.10119047620003</v>
      </c>
      <c r="BA334" s="23">
        <v>3</v>
      </c>
      <c r="BB334" s="24" t="s">
        <v>8</v>
      </c>
    </row>
    <row r="335" spans="1:54" x14ac:dyDescent="0.2">
      <c r="A335" s="5">
        <v>2909</v>
      </c>
      <c r="B335" s="20" t="s">
        <v>70</v>
      </c>
      <c r="C335" s="18" t="s">
        <v>54</v>
      </c>
      <c r="D335" s="18">
        <v>5</v>
      </c>
      <c r="E335" s="18">
        <v>0</v>
      </c>
      <c r="F335" s="20">
        <v>3.6360000000000001</v>
      </c>
      <c r="G335" s="18">
        <v>28</v>
      </c>
      <c r="H335" s="22">
        <v>3.4496919917864477</v>
      </c>
      <c r="I335" s="22">
        <v>4.0930869267624912</v>
      </c>
      <c r="J335" s="22">
        <v>7.5427789185489393</v>
      </c>
      <c r="K335" s="22">
        <v>3.4496919917864477</v>
      </c>
      <c r="L335" s="22" t="s">
        <v>8</v>
      </c>
      <c r="M335" s="22" t="s">
        <v>8</v>
      </c>
      <c r="N335" s="22">
        <v>3.4414784394250515</v>
      </c>
      <c r="O335" s="22" t="s">
        <v>8</v>
      </c>
      <c r="P335" s="22" t="s">
        <v>8</v>
      </c>
      <c r="Q335" s="22">
        <v>3.8329911019849416</v>
      </c>
      <c r="R335" s="22" t="s">
        <v>8</v>
      </c>
      <c r="S335" s="22" t="s">
        <v>8</v>
      </c>
      <c r="T335" s="5">
        <v>5</v>
      </c>
      <c r="U335" s="5">
        <v>18</v>
      </c>
      <c r="V335" s="20" t="s">
        <v>1</v>
      </c>
      <c r="W335" s="20">
        <v>5</v>
      </c>
      <c r="X335" s="20">
        <v>1</v>
      </c>
      <c r="Y335" s="5">
        <v>1</v>
      </c>
      <c r="Z335" s="20">
        <v>4</v>
      </c>
      <c r="AA335" s="23">
        <f t="shared" si="10"/>
        <v>2</v>
      </c>
      <c r="AB335" s="15">
        <v>1</v>
      </c>
      <c r="AC335" s="15">
        <v>0.75</v>
      </c>
      <c r="AD335" s="15">
        <v>0.75</v>
      </c>
      <c r="AE335" s="15">
        <v>0.83299999999999996</v>
      </c>
      <c r="AF335" s="20">
        <v>20</v>
      </c>
      <c r="AG335" s="20" t="s">
        <v>8</v>
      </c>
      <c r="AH335" s="24">
        <v>24</v>
      </c>
      <c r="AI335" s="23">
        <f t="shared" si="11"/>
        <v>1</v>
      </c>
      <c r="AJ335" s="17">
        <v>10.5</v>
      </c>
      <c r="AK335" s="17">
        <v>9.5</v>
      </c>
      <c r="AL335" s="14">
        <v>20</v>
      </c>
      <c r="AM335" s="23" cm="1">
        <f t="array" ref="AM335">IF(OR(AN335:AZ335=""),"BLANK",IF(AND(AN335:AZ335&lt;9999999),1,IF(AND(AN335:AZ335="NA"),3,2)))</f>
        <v>1</v>
      </c>
      <c r="AN335" s="5">
        <v>11</v>
      </c>
      <c r="AO335" s="5">
        <v>2</v>
      </c>
      <c r="AP335" s="10">
        <v>3</v>
      </c>
      <c r="AQ335" s="10">
        <v>4</v>
      </c>
      <c r="AR335" s="10">
        <v>5.25</v>
      </c>
      <c r="AS335" s="11">
        <v>1987</v>
      </c>
      <c r="AT335" s="11">
        <v>2479.5</v>
      </c>
      <c r="AU335" s="11">
        <v>4594.75</v>
      </c>
      <c r="AV335" s="11">
        <v>4971.5</v>
      </c>
      <c r="AW335" s="11">
        <v>156.5</v>
      </c>
      <c r="AX335" s="11">
        <v>34.5</v>
      </c>
      <c r="AY335" s="11">
        <v>306.5</v>
      </c>
      <c r="AZ335" s="11">
        <v>1335.1083333332999</v>
      </c>
      <c r="BA335" s="23">
        <v>3</v>
      </c>
      <c r="BB335" s="24" t="s">
        <v>8</v>
      </c>
    </row>
    <row r="336" spans="1:54" x14ac:dyDescent="0.2">
      <c r="A336" s="5">
        <v>2939</v>
      </c>
      <c r="B336" s="20" t="s">
        <v>64</v>
      </c>
      <c r="C336" s="18" t="s">
        <v>54</v>
      </c>
      <c r="D336" s="18">
        <v>5</v>
      </c>
      <c r="E336" s="18">
        <v>1</v>
      </c>
      <c r="F336" s="20">
        <v>4</v>
      </c>
      <c r="G336" s="18">
        <v>27</v>
      </c>
      <c r="H336" s="22" t="s">
        <v>8</v>
      </c>
      <c r="I336" s="22" t="s">
        <v>8</v>
      </c>
      <c r="J336" s="22" t="s">
        <v>8</v>
      </c>
      <c r="K336" s="22" t="s">
        <v>8</v>
      </c>
      <c r="L336" s="22" t="s">
        <v>8</v>
      </c>
      <c r="M336" s="22" t="s">
        <v>8</v>
      </c>
      <c r="N336" s="22" t="s">
        <v>8</v>
      </c>
      <c r="O336" s="22" t="s">
        <v>8</v>
      </c>
      <c r="P336" s="22" t="s">
        <v>8</v>
      </c>
      <c r="Q336" s="22" t="s">
        <v>8</v>
      </c>
      <c r="R336" s="22" t="s">
        <v>8</v>
      </c>
      <c r="S336" s="22" t="s">
        <v>8</v>
      </c>
      <c r="T336" s="5">
        <v>3</v>
      </c>
      <c r="U336" s="5">
        <v>15</v>
      </c>
      <c r="V336" s="20" t="s">
        <v>1</v>
      </c>
      <c r="W336" s="20">
        <v>5</v>
      </c>
      <c r="X336" s="20">
        <v>1</v>
      </c>
      <c r="Y336" s="5">
        <v>1</v>
      </c>
      <c r="Z336" s="20">
        <v>4</v>
      </c>
      <c r="AA336" s="23">
        <f t="shared" si="10"/>
        <v>2</v>
      </c>
      <c r="AB336" s="15">
        <v>0.75</v>
      </c>
      <c r="AC336" s="15">
        <v>0.75</v>
      </c>
      <c r="AD336" s="15">
        <v>0.5</v>
      </c>
      <c r="AE336" s="15">
        <v>0.66700000000000004</v>
      </c>
      <c r="AF336" s="20">
        <v>16</v>
      </c>
      <c r="AG336" s="20" t="s">
        <v>8</v>
      </c>
      <c r="AH336" s="24">
        <v>24</v>
      </c>
      <c r="AI336" s="23">
        <f t="shared" si="11"/>
        <v>1</v>
      </c>
      <c r="AJ336" s="17">
        <v>3.75</v>
      </c>
      <c r="AK336" s="17">
        <v>1</v>
      </c>
      <c r="AL336" s="14">
        <v>4.75</v>
      </c>
      <c r="AM336" s="23" cm="1">
        <f t="array" ref="AM336">IF(OR(AN336:AZ336=""),"BLANK",IF(AND(AN336:AZ336&lt;9999999),1,IF(AND(AN336:AZ336="NA"),3,2)))</f>
        <v>1</v>
      </c>
      <c r="AN336" s="5">
        <v>4</v>
      </c>
      <c r="AO336" s="5">
        <v>2</v>
      </c>
      <c r="AP336" s="10">
        <v>5</v>
      </c>
      <c r="AQ336" s="10">
        <v>5.25</v>
      </c>
      <c r="AR336" s="10">
        <v>9.75</v>
      </c>
      <c r="AS336" s="11">
        <v>1514</v>
      </c>
      <c r="AT336" s="11">
        <v>16834</v>
      </c>
      <c r="AU336" s="11">
        <v>10380.25</v>
      </c>
      <c r="AV336" s="11">
        <v>9199</v>
      </c>
      <c r="AW336" s="11">
        <v>5507.5</v>
      </c>
      <c r="AX336" s="11">
        <v>13402.083333333299</v>
      </c>
      <c r="AY336" s="11">
        <v>20063.46875</v>
      </c>
      <c r="AZ336" s="11">
        <v>27236.081845238099</v>
      </c>
      <c r="BA336" s="23">
        <v>3</v>
      </c>
      <c r="BB336" s="24" t="s">
        <v>8</v>
      </c>
    </row>
    <row r="337" spans="1:54" x14ac:dyDescent="0.2">
      <c r="A337" s="5">
        <v>2940</v>
      </c>
      <c r="B337" s="20" t="s">
        <v>70</v>
      </c>
      <c r="C337" s="18" t="s">
        <v>54</v>
      </c>
      <c r="D337" s="18">
        <v>5</v>
      </c>
      <c r="E337" s="18">
        <v>0</v>
      </c>
      <c r="F337" s="20">
        <v>3.2730000000000001</v>
      </c>
      <c r="G337" s="18">
        <v>29</v>
      </c>
      <c r="H337" s="22">
        <v>4.0629705681040384</v>
      </c>
      <c r="I337" s="22">
        <v>3.8740588637919235</v>
      </c>
      <c r="J337" s="22">
        <v>7.9370294318959616</v>
      </c>
      <c r="K337" s="22">
        <v>4.0629705681040384</v>
      </c>
      <c r="L337" s="22">
        <v>3.8740588637919235</v>
      </c>
      <c r="M337" s="22">
        <v>7.9370294318959616</v>
      </c>
      <c r="N337" s="22">
        <v>4.0629705681040384</v>
      </c>
      <c r="O337" s="22">
        <v>3.8384668035592062</v>
      </c>
      <c r="P337" s="22">
        <v>7.9014373716632447</v>
      </c>
      <c r="Q337" s="22">
        <v>4.5201916495550991</v>
      </c>
      <c r="R337" s="22">
        <v>3.5756331279945242</v>
      </c>
      <c r="S337" s="22">
        <v>8.0958247775496233</v>
      </c>
      <c r="T337" s="5">
        <v>3</v>
      </c>
      <c r="U337" s="5">
        <v>15</v>
      </c>
      <c r="V337" s="20" t="s">
        <v>1</v>
      </c>
      <c r="W337" s="20">
        <v>5</v>
      </c>
      <c r="X337" s="20">
        <v>1</v>
      </c>
      <c r="Y337" s="5">
        <v>1</v>
      </c>
      <c r="Z337" s="20">
        <v>4</v>
      </c>
      <c r="AA337" s="23">
        <f t="shared" si="10"/>
        <v>2</v>
      </c>
      <c r="AB337" s="15">
        <v>1</v>
      </c>
      <c r="AC337" s="15">
        <v>0.875</v>
      </c>
      <c r="AD337" s="15">
        <v>0.125</v>
      </c>
      <c r="AE337" s="15">
        <v>0.66700000000000004</v>
      </c>
      <c r="AF337" s="20">
        <v>16</v>
      </c>
      <c r="AG337" s="20" t="s">
        <v>8</v>
      </c>
      <c r="AH337" s="24">
        <v>24</v>
      </c>
      <c r="AI337" s="23">
        <f t="shared" si="11"/>
        <v>1</v>
      </c>
      <c r="AJ337" s="17">
        <v>5.25</v>
      </c>
      <c r="AK337" s="17">
        <v>5.5</v>
      </c>
      <c r="AL337" s="14">
        <v>10.75</v>
      </c>
      <c r="AM337" s="23" cm="1">
        <f t="array" ref="AM337">IF(OR(AN337:AZ337=""),"BLANK",IF(AND(AN337:AZ337&lt;9999999),1,IF(AND(AN337:AZ337="NA"),3,2)))</f>
        <v>1</v>
      </c>
      <c r="AN337" s="5">
        <v>7</v>
      </c>
      <c r="AO337" s="5">
        <v>2</v>
      </c>
      <c r="AP337" s="10">
        <v>3</v>
      </c>
      <c r="AQ337" s="10">
        <v>5.25</v>
      </c>
      <c r="AR337" s="10">
        <v>10.5</v>
      </c>
      <c r="AS337" s="11">
        <v>2800</v>
      </c>
      <c r="AT337" s="11">
        <v>5006</v>
      </c>
      <c r="AU337" s="11">
        <v>3892</v>
      </c>
      <c r="AV337" s="11">
        <v>6759.5</v>
      </c>
      <c r="AW337" s="11">
        <v>41</v>
      </c>
      <c r="AX337" s="11">
        <v>253.5</v>
      </c>
      <c r="AY337" s="11">
        <v>801.9027777778</v>
      </c>
      <c r="AZ337" s="11">
        <v>4264.0833333333003</v>
      </c>
      <c r="BA337" s="23">
        <v>3</v>
      </c>
      <c r="BB337" s="24" t="s">
        <v>8</v>
      </c>
    </row>
    <row r="338" spans="1:54" x14ac:dyDescent="0.2">
      <c r="A338" s="5">
        <v>2974</v>
      </c>
      <c r="B338" s="20" t="s">
        <v>74</v>
      </c>
      <c r="C338" s="18" t="s">
        <v>54</v>
      </c>
      <c r="D338" s="18">
        <v>5</v>
      </c>
      <c r="E338" s="18">
        <v>0</v>
      </c>
      <c r="F338" s="20">
        <v>3.2730000000000001</v>
      </c>
      <c r="G338" s="18">
        <v>29</v>
      </c>
      <c r="H338" s="22" t="s">
        <v>8</v>
      </c>
      <c r="I338" s="22" t="s">
        <v>8</v>
      </c>
      <c r="J338" s="22" t="s">
        <v>8</v>
      </c>
      <c r="K338" s="22" t="s">
        <v>8</v>
      </c>
      <c r="L338" s="22" t="s">
        <v>8</v>
      </c>
      <c r="M338" s="22" t="s">
        <v>8</v>
      </c>
      <c r="N338" s="22" t="s">
        <v>8</v>
      </c>
      <c r="O338" s="22" t="s">
        <v>8</v>
      </c>
      <c r="P338" s="22" t="s">
        <v>8</v>
      </c>
      <c r="Q338" s="22" t="s">
        <v>8</v>
      </c>
      <c r="R338" s="22" t="s">
        <v>8</v>
      </c>
      <c r="S338" s="22" t="s">
        <v>8</v>
      </c>
      <c r="T338" s="5">
        <v>3</v>
      </c>
      <c r="U338" s="5">
        <v>15</v>
      </c>
      <c r="V338" s="20" t="s">
        <v>1</v>
      </c>
      <c r="W338" s="20">
        <v>5</v>
      </c>
      <c r="X338" s="20">
        <v>1</v>
      </c>
      <c r="Y338" s="5">
        <v>1</v>
      </c>
      <c r="Z338" s="20">
        <v>4</v>
      </c>
      <c r="AA338" s="23">
        <f t="shared" si="10"/>
        <v>2</v>
      </c>
      <c r="AB338" s="15">
        <v>1</v>
      </c>
      <c r="AC338" s="15">
        <v>0.875</v>
      </c>
      <c r="AD338" s="15">
        <v>0.75</v>
      </c>
      <c r="AE338" s="15">
        <v>0.875</v>
      </c>
      <c r="AF338" s="20">
        <v>21</v>
      </c>
      <c r="AG338" s="20" t="s">
        <v>8</v>
      </c>
      <c r="AH338" s="24">
        <v>24</v>
      </c>
      <c r="AI338" s="23">
        <f t="shared" si="11"/>
        <v>1</v>
      </c>
      <c r="AJ338" s="17">
        <v>7.75</v>
      </c>
      <c r="AK338" s="17">
        <v>7.5</v>
      </c>
      <c r="AL338" s="14">
        <v>15.25</v>
      </c>
      <c r="AM338" s="23" cm="1">
        <f t="array" ref="AM338">IF(OR(AN338:AZ338=""),"BLANK",IF(AND(AN338:AZ338&lt;9999999),1,IF(AND(AN338:AZ338="NA"),3,2)))</f>
        <v>1</v>
      </c>
      <c r="AN338" s="5">
        <v>8</v>
      </c>
      <c r="AO338" s="5">
        <v>2</v>
      </c>
      <c r="AP338" s="10">
        <v>3</v>
      </c>
      <c r="AQ338" s="10">
        <v>5.25</v>
      </c>
      <c r="AR338" s="10">
        <v>8.5</v>
      </c>
      <c r="AS338" s="11">
        <v>721.5</v>
      </c>
      <c r="AT338" s="11">
        <v>5063.5</v>
      </c>
      <c r="AU338" s="11">
        <v>3935.5</v>
      </c>
      <c r="AV338" s="11">
        <v>1058.75</v>
      </c>
      <c r="AW338" s="11">
        <v>0</v>
      </c>
      <c r="AX338" s="11">
        <v>0</v>
      </c>
      <c r="AY338" s="11">
        <v>3050.2569444443998</v>
      </c>
      <c r="AZ338" s="11">
        <v>729.75238095240002</v>
      </c>
      <c r="BA338" s="23">
        <v>3</v>
      </c>
      <c r="BB338" s="24" t="s">
        <v>8</v>
      </c>
    </row>
    <row r="339" spans="1:54" x14ac:dyDescent="0.2">
      <c r="A339" s="5">
        <v>2976</v>
      </c>
      <c r="B339" s="20" t="s">
        <v>64</v>
      </c>
      <c r="C339" s="18" t="s">
        <v>54</v>
      </c>
      <c r="D339" s="18">
        <v>5</v>
      </c>
      <c r="E339" s="18">
        <v>0</v>
      </c>
      <c r="F339" s="20">
        <v>4</v>
      </c>
      <c r="G339" s="18">
        <v>29</v>
      </c>
      <c r="H339" s="22">
        <v>3.5154004106776182</v>
      </c>
      <c r="I339" s="22">
        <v>4.3258042436687196</v>
      </c>
      <c r="J339" s="22">
        <v>7.8412046543463383</v>
      </c>
      <c r="K339" s="22">
        <v>3.5154004106776182</v>
      </c>
      <c r="L339" s="22">
        <v>4.3258042436687196</v>
      </c>
      <c r="M339" s="22">
        <v>7.8412046543463383</v>
      </c>
      <c r="N339" s="22">
        <v>3.5071868583162216</v>
      </c>
      <c r="O339" s="22">
        <v>4.6242299794661195</v>
      </c>
      <c r="P339" s="22">
        <v>8.131416837782341</v>
      </c>
      <c r="Q339" s="22">
        <v>3.893223819301848</v>
      </c>
      <c r="R339" s="22">
        <v>3.8439425051334704</v>
      </c>
      <c r="S339" s="22">
        <v>7.7371663244353179</v>
      </c>
      <c r="T339" s="5">
        <v>4</v>
      </c>
      <c r="U339" s="5">
        <v>16</v>
      </c>
      <c r="V339" s="20" t="s">
        <v>1</v>
      </c>
      <c r="W339" s="20">
        <v>5</v>
      </c>
      <c r="X339" s="20">
        <v>1</v>
      </c>
      <c r="Y339" s="5">
        <v>1</v>
      </c>
      <c r="Z339" s="20">
        <v>4</v>
      </c>
      <c r="AA339" s="23">
        <f t="shared" si="10"/>
        <v>2</v>
      </c>
      <c r="AB339" s="15">
        <v>1</v>
      </c>
      <c r="AC339" s="15">
        <v>1</v>
      </c>
      <c r="AD339" s="15">
        <v>0.5</v>
      </c>
      <c r="AE339" s="15">
        <v>0.83299999999999996</v>
      </c>
      <c r="AF339" s="20">
        <v>20</v>
      </c>
      <c r="AG339" s="20" t="s">
        <v>8</v>
      </c>
      <c r="AH339" s="24">
        <v>24</v>
      </c>
      <c r="AI339" s="23">
        <f t="shared" si="11"/>
        <v>1</v>
      </c>
      <c r="AJ339" s="17">
        <v>9.75</v>
      </c>
      <c r="AK339" s="17">
        <v>7.5</v>
      </c>
      <c r="AL339" s="14">
        <v>17.25</v>
      </c>
      <c r="AM339" s="23" cm="1">
        <f t="array" ref="AM339">IF(OR(AN339:AZ339=""),"BLANK",IF(AND(AN339:AZ339&lt;9999999),1,IF(AND(AN339:AZ339="NA"),3,2)))</f>
        <v>1</v>
      </c>
      <c r="AN339" s="5">
        <v>9</v>
      </c>
      <c r="AO339" s="5">
        <v>2</v>
      </c>
      <c r="AP339" s="10">
        <v>3</v>
      </c>
      <c r="AQ339" s="10">
        <v>4.25</v>
      </c>
      <c r="AR339" s="10">
        <v>8.5</v>
      </c>
      <c r="AS339" s="11">
        <v>6330</v>
      </c>
      <c r="AT339" s="11">
        <v>10399.5</v>
      </c>
      <c r="AU339" s="11">
        <v>10618.5</v>
      </c>
      <c r="AV339" s="11">
        <v>9531</v>
      </c>
      <c r="AW339" s="11">
        <v>0</v>
      </c>
      <c r="AX339" s="11">
        <v>0</v>
      </c>
      <c r="AY339" s="11">
        <v>2213.4749999999999</v>
      </c>
      <c r="AZ339" s="11">
        <v>2019.7249999999999</v>
      </c>
      <c r="BA339" s="23">
        <v>3</v>
      </c>
      <c r="BB339" s="24" t="s">
        <v>8</v>
      </c>
    </row>
    <row r="340" spans="1:54" x14ac:dyDescent="0.2">
      <c r="A340" s="5">
        <v>3003</v>
      </c>
      <c r="B340" s="20" t="s">
        <v>74</v>
      </c>
      <c r="C340" s="18" t="s">
        <v>55</v>
      </c>
      <c r="D340" s="18">
        <v>5</v>
      </c>
      <c r="E340" s="18">
        <v>0</v>
      </c>
      <c r="F340" s="20">
        <v>3.1819999999999999</v>
      </c>
      <c r="G340" s="18">
        <v>29</v>
      </c>
      <c r="H340" s="22" t="s">
        <v>8</v>
      </c>
      <c r="I340" s="22" t="s">
        <v>8</v>
      </c>
      <c r="J340" s="22" t="s">
        <v>8</v>
      </c>
      <c r="K340" s="22" t="s">
        <v>8</v>
      </c>
      <c r="L340" s="22" t="s">
        <v>8</v>
      </c>
      <c r="M340" s="22" t="s">
        <v>8</v>
      </c>
      <c r="N340" s="22" t="s">
        <v>8</v>
      </c>
      <c r="O340" s="22" t="s">
        <v>8</v>
      </c>
      <c r="P340" s="22" t="s">
        <v>8</v>
      </c>
      <c r="Q340" s="22" t="s">
        <v>8</v>
      </c>
      <c r="R340" s="22" t="s">
        <v>8</v>
      </c>
      <c r="S340" s="22" t="s">
        <v>8</v>
      </c>
      <c r="T340" s="5">
        <v>4</v>
      </c>
      <c r="U340" s="5">
        <v>16</v>
      </c>
      <c r="V340" s="20" t="s">
        <v>1</v>
      </c>
      <c r="W340" s="20">
        <v>5</v>
      </c>
      <c r="X340" s="20">
        <v>1</v>
      </c>
      <c r="Y340" s="5">
        <v>1</v>
      </c>
      <c r="Z340" s="20">
        <v>4</v>
      </c>
      <c r="AA340" s="23">
        <f t="shared" si="10"/>
        <v>2</v>
      </c>
      <c r="AB340" s="15">
        <v>0.875</v>
      </c>
      <c r="AC340" s="15">
        <v>0.75</v>
      </c>
      <c r="AD340" s="15">
        <v>0.5</v>
      </c>
      <c r="AE340" s="15">
        <v>0.70799999999999996</v>
      </c>
      <c r="AF340" s="20">
        <v>17</v>
      </c>
      <c r="AG340" s="20" t="s">
        <v>8</v>
      </c>
      <c r="AH340" s="24">
        <v>24</v>
      </c>
      <c r="AI340" s="23">
        <f t="shared" si="11"/>
        <v>1</v>
      </c>
      <c r="AJ340" s="17">
        <v>6.25</v>
      </c>
      <c r="AK340" s="17">
        <v>10.5</v>
      </c>
      <c r="AL340" s="14">
        <v>16.75</v>
      </c>
      <c r="AM340" s="23" cm="1">
        <f t="array" ref="AM340">IF(OR(AN340:AZ340=""),"BLANK",IF(AND(AN340:AZ340&lt;9999999),1,IF(AND(AN340:AZ340="NA"),3,2)))</f>
        <v>1</v>
      </c>
      <c r="AN340" s="5">
        <v>9</v>
      </c>
      <c r="AO340" s="5">
        <v>2</v>
      </c>
      <c r="AP340" s="10">
        <v>3</v>
      </c>
      <c r="AQ340" s="10">
        <v>6.5</v>
      </c>
      <c r="AR340" s="10">
        <v>5.5</v>
      </c>
      <c r="AS340" s="11">
        <v>4648</v>
      </c>
      <c r="AT340" s="11">
        <v>4538.5</v>
      </c>
      <c r="AU340" s="11">
        <v>13925.5</v>
      </c>
      <c r="AV340" s="11">
        <v>16924.5</v>
      </c>
      <c r="AW340" s="11">
        <v>0</v>
      </c>
      <c r="AX340" s="11">
        <v>0</v>
      </c>
      <c r="AY340" s="11">
        <v>3872.2152777778001</v>
      </c>
      <c r="AZ340" s="11">
        <v>498.55714285710002</v>
      </c>
      <c r="BA340" s="23">
        <v>3</v>
      </c>
      <c r="BB340" s="24" t="s">
        <v>8</v>
      </c>
    </row>
    <row r="341" spans="1:54" x14ac:dyDescent="0.2">
      <c r="A341" s="5">
        <v>3005</v>
      </c>
      <c r="B341" s="20" t="s">
        <v>83</v>
      </c>
      <c r="C341" s="18" t="s">
        <v>54</v>
      </c>
      <c r="D341" s="18">
        <v>5</v>
      </c>
      <c r="E341" s="18">
        <v>0</v>
      </c>
      <c r="F341" s="20">
        <v>3.6360000000000001</v>
      </c>
      <c r="G341" s="18">
        <v>30</v>
      </c>
      <c r="H341" s="22">
        <v>3.7015742642026011</v>
      </c>
      <c r="I341" s="22" t="s">
        <v>8</v>
      </c>
      <c r="J341" s="22" t="s">
        <v>8</v>
      </c>
      <c r="K341" s="22">
        <v>3.7015742642026011</v>
      </c>
      <c r="L341" s="22" t="s">
        <v>8</v>
      </c>
      <c r="M341" s="22" t="s">
        <v>8</v>
      </c>
      <c r="N341" s="22">
        <v>3.676933607118412</v>
      </c>
      <c r="O341" s="22" t="s">
        <v>8</v>
      </c>
      <c r="P341" s="22" t="s">
        <v>8</v>
      </c>
      <c r="Q341" s="22">
        <v>4.4626967830253248</v>
      </c>
      <c r="R341" s="22" t="s">
        <v>8</v>
      </c>
      <c r="S341" s="22" t="s">
        <v>8</v>
      </c>
      <c r="T341" s="5">
        <v>1</v>
      </c>
      <c r="U341" s="5">
        <v>11</v>
      </c>
      <c r="V341" s="20" t="s">
        <v>1</v>
      </c>
      <c r="W341" s="20">
        <v>5</v>
      </c>
      <c r="X341" s="20">
        <v>1</v>
      </c>
      <c r="Y341" s="5">
        <v>1</v>
      </c>
      <c r="Z341" s="20">
        <v>4</v>
      </c>
      <c r="AA341" s="23">
        <f t="shared" si="10"/>
        <v>2</v>
      </c>
      <c r="AB341" s="15">
        <v>0.75</v>
      </c>
      <c r="AC341" s="15">
        <v>0.75</v>
      </c>
      <c r="AD341" s="15">
        <v>0.625</v>
      </c>
      <c r="AE341" s="15">
        <v>0.70799999999999996</v>
      </c>
      <c r="AF341" s="20">
        <v>17</v>
      </c>
      <c r="AG341" s="20" t="s">
        <v>8</v>
      </c>
      <c r="AH341" s="24">
        <v>24</v>
      </c>
      <c r="AI341" s="23">
        <f t="shared" si="11"/>
        <v>1</v>
      </c>
      <c r="AJ341" s="17">
        <v>5.75</v>
      </c>
      <c r="AK341" s="17">
        <v>4.25</v>
      </c>
      <c r="AL341" s="14">
        <v>10</v>
      </c>
      <c r="AM341" s="23" cm="1">
        <f t="array" ref="AM341">IF(OR(AN341:AZ341=""),"BLANK",IF(AND(AN341:AZ341&lt;9999999),1,IF(AND(AN341:AZ341="NA"),3,2)))</f>
        <v>1</v>
      </c>
      <c r="AN341" s="5">
        <v>8</v>
      </c>
      <c r="AO341" s="5">
        <v>2</v>
      </c>
      <c r="AP341" s="10">
        <v>3.5</v>
      </c>
      <c r="AQ341" s="10">
        <v>4.25</v>
      </c>
      <c r="AR341" s="10">
        <v>6.25</v>
      </c>
      <c r="AS341" s="11">
        <v>0</v>
      </c>
      <c r="AT341" s="11">
        <v>5026</v>
      </c>
      <c r="AU341" s="11">
        <v>2631.75</v>
      </c>
      <c r="AV341" s="11">
        <v>3065.5</v>
      </c>
      <c r="AW341" s="11">
        <v>396.25</v>
      </c>
      <c r="AX341" s="11">
        <v>13698.166666666701</v>
      </c>
      <c r="AY341" s="11">
        <v>7508.7749999999996</v>
      </c>
      <c r="AZ341" s="11">
        <v>17224.1361111111</v>
      </c>
      <c r="BA341" s="23">
        <v>3</v>
      </c>
      <c r="BB341" s="24" t="s">
        <v>8</v>
      </c>
    </row>
    <row r="342" spans="1:54" x14ac:dyDescent="0.2">
      <c r="A342" s="5">
        <v>3006</v>
      </c>
      <c r="B342" s="20" t="s">
        <v>63</v>
      </c>
      <c r="C342" s="18" t="s">
        <v>55</v>
      </c>
      <c r="D342" s="18">
        <v>5</v>
      </c>
      <c r="E342" s="18">
        <v>0</v>
      </c>
      <c r="F342" s="20">
        <v>3.8180000000000001</v>
      </c>
      <c r="G342" s="18">
        <v>29</v>
      </c>
      <c r="H342" s="22" t="s">
        <v>8</v>
      </c>
      <c r="I342" s="22" t="s">
        <v>8</v>
      </c>
      <c r="J342" s="22" t="s">
        <v>8</v>
      </c>
      <c r="K342" s="22" t="s">
        <v>8</v>
      </c>
      <c r="L342" s="22" t="s">
        <v>8</v>
      </c>
      <c r="M342" s="22" t="s">
        <v>8</v>
      </c>
      <c r="N342" s="22" t="s">
        <v>8</v>
      </c>
      <c r="O342" s="22" t="s">
        <v>8</v>
      </c>
      <c r="P342" s="22" t="s">
        <v>8</v>
      </c>
      <c r="Q342" s="22" t="s">
        <v>8</v>
      </c>
      <c r="R342" s="22" t="s">
        <v>8</v>
      </c>
      <c r="S342" s="22" t="s">
        <v>8</v>
      </c>
      <c r="T342" s="5">
        <v>3</v>
      </c>
      <c r="U342" s="5">
        <v>15</v>
      </c>
      <c r="V342" s="20" t="s">
        <v>1</v>
      </c>
      <c r="W342" s="20">
        <v>5</v>
      </c>
      <c r="X342" s="20">
        <v>1</v>
      </c>
      <c r="Y342" s="5">
        <v>1</v>
      </c>
      <c r="Z342" s="20">
        <v>4</v>
      </c>
      <c r="AA342" s="23">
        <f t="shared" si="10"/>
        <v>2</v>
      </c>
      <c r="AB342" s="15">
        <v>1</v>
      </c>
      <c r="AC342" s="15">
        <v>1</v>
      </c>
      <c r="AD342" s="15">
        <v>0.5</v>
      </c>
      <c r="AE342" s="15">
        <v>0.82599999999999996</v>
      </c>
      <c r="AF342" s="20">
        <v>19</v>
      </c>
      <c r="AG342" s="20" t="s">
        <v>8</v>
      </c>
      <c r="AH342" s="24">
        <v>23</v>
      </c>
      <c r="AI342" s="23">
        <f t="shared" si="11"/>
        <v>1</v>
      </c>
      <c r="AJ342" s="17">
        <v>6.5</v>
      </c>
      <c r="AK342" s="17">
        <v>4.5</v>
      </c>
      <c r="AL342" s="14">
        <v>11</v>
      </c>
      <c r="AM342" s="23" cm="1">
        <f t="array" ref="AM342">IF(OR(AN342:AZ342=""),"BLANK",IF(AND(AN342:AZ342&lt;9999999),1,IF(AND(AN342:AZ342="NA"),3,2)))</f>
        <v>1</v>
      </c>
      <c r="AN342" s="5">
        <v>10</v>
      </c>
      <c r="AO342" s="5">
        <v>2</v>
      </c>
      <c r="AP342" s="10">
        <v>3</v>
      </c>
      <c r="AQ342" s="10">
        <v>4</v>
      </c>
      <c r="AR342" s="10">
        <v>7.75</v>
      </c>
      <c r="AS342" s="11">
        <v>3401</v>
      </c>
      <c r="AT342" s="11">
        <v>6644</v>
      </c>
      <c r="AU342" s="11">
        <v>6601</v>
      </c>
      <c r="AV342" s="11">
        <v>5744.25</v>
      </c>
      <c r="AW342" s="11">
        <v>0</v>
      </c>
      <c r="AX342" s="11">
        <v>0</v>
      </c>
      <c r="AY342" s="11">
        <v>17.8125</v>
      </c>
      <c r="AZ342" s="11">
        <v>382.70277777780001</v>
      </c>
      <c r="BA342" s="23">
        <v>3</v>
      </c>
      <c r="BB342" s="24" t="s">
        <v>8</v>
      </c>
    </row>
    <row r="343" spans="1:54" x14ac:dyDescent="0.2">
      <c r="A343" s="5">
        <v>3010</v>
      </c>
      <c r="B343" s="20" t="s">
        <v>68</v>
      </c>
      <c r="C343" s="18" t="s">
        <v>54</v>
      </c>
      <c r="D343" s="18">
        <v>5</v>
      </c>
      <c r="E343" s="18">
        <v>0</v>
      </c>
      <c r="F343" s="20">
        <v>3.7269999999999999</v>
      </c>
      <c r="G343" s="18">
        <v>28</v>
      </c>
      <c r="H343" s="22" t="s">
        <v>8</v>
      </c>
      <c r="I343" s="22" t="s">
        <v>8</v>
      </c>
      <c r="J343" s="22" t="s">
        <v>8</v>
      </c>
      <c r="K343" s="22" t="s">
        <v>8</v>
      </c>
      <c r="L343" s="22" t="s">
        <v>8</v>
      </c>
      <c r="M343" s="22" t="s">
        <v>8</v>
      </c>
      <c r="N343" s="22" t="s">
        <v>8</v>
      </c>
      <c r="O343" s="22" t="s">
        <v>8</v>
      </c>
      <c r="P343" s="22" t="s">
        <v>8</v>
      </c>
      <c r="Q343" s="22" t="s">
        <v>8</v>
      </c>
      <c r="R343" s="22" t="s">
        <v>8</v>
      </c>
      <c r="S343" s="22" t="s">
        <v>8</v>
      </c>
      <c r="T343" s="5">
        <v>3</v>
      </c>
      <c r="U343" s="5">
        <v>14</v>
      </c>
      <c r="V343" s="20" t="s">
        <v>1</v>
      </c>
      <c r="W343" s="20">
        <v>5</v>
      </c>
      <c r="X343" s="20">
        <v>1</v>
      </c>
      <c r="Y343" s="5">
        <v>1</v>
      </c>
      <c r="Z343" s="20">
        <v>4</v>
      </c>
      <c r="AA343" s="23">
        <f t="shared" si="10"/>
        <v>2</v>
      </c>
      <c r="AB343" s="15">
        <v>1</v>
      </c>
      <c r="AC343" s="15">
        <v>0.75</v>
      </c>
      <c r="AD343" s="15">
        <v>0.42857142857142855</v>
      </c>
      <c r="AE343" s="15">
        <v>0.73899999999999999</v>
      </c>
      <c r="AF343" s="20">
        <v>17</v>
      </c>
      <c r="AG343" s="20" t="s">
        <v>8</v>
      </c>
      <c r="AH343" s="24">
        <v>23</v>
      </c>
      <c r="AI343" s="23">
        <f t="shared" si="11"/>
        <v>1</v>
      </c>
      <c r="AJ343" s="17">
        <v>7.5</v>
      </c>
      <c r="AK343" s="17">
        <v>7.25</v>
      </c>
      <c r="AL343" s="14">
        <v>14.75</v>
      </c>
      <c r="AM343" s="23" cm="1">
        <f t="array" ref="AM343">IF(OR(AN343:AZ343=""),"BLANK",IF(AND(AN343:AZ343&lt;9999999),1,IF(AND(AN343:AZ343="NA"),3,2)))</f>
        <v>1</v>
      </c>
      <c r="AN343" s="5">
        <v>8</v>
      </c>
      <c r="AO343" s="5">
        <v>2</v>
      </c>
      <c r="AP343" s="10">
        <v>3</v>
      </c>
      <c r="AQ343" s="10">
        <v>5.25</v>
      </c>
      <c r="AR343" s="10">
        <v>10.25</v>
      </c>
      <c r="AS343" s="11">
        <v>4257.5</v>
      </c>
      <c r="AT343" s="11">
        <v>8343</v>
      </c>
      <c r="AU343" s="11">
        <v>9437.25</v>
      </c>
      <c r="AV343" s="11">
        <v>9689.75</v>
      </c>
      <c r="AW343" s="11">
        <v>1454</v>
      </c>
      <c r="AX343" s="11">
        <v>1332.5</v>
      </c>
      <c r="AY343" s="11">
        <v>1067.2777777778001</v>
      </c>
      <c r="AZ343" s="11">
        <v>9642.8374999999996</v>
      </c>
      <c r="BA343" s="23">
        <v>3</v>
      </c>
      <c r="BB343" s="24" t="s">
        <v>8</v>
      </c>
    </row>
    <row r="344" spans="1:54" x14ac:dyDescent="0.2">
      <c r="A344" s="5">
        <v>3025</v>
      </c>
      <c r="B344" s="20" t="s">
        <v>78</v>
      </c>
      <c r="C344" s="18" t="s">
        <v>54</v>
      </c>
      <c r="D344" s="18">
        <v>5</v>
      </c>
      <c r="E344" s="18">
        <v>0</v>
      </c>
      <c r="F344" s="20">
        <v>4</v>
      </c>
      <c r="G344" s="18">
        <v>28</v>
      </c>
      <c r="H344" s="22">
        <v>3.4305270362765228</v>
      </c>
      <c r="I344" s="22">
        <v>4.0520191649555102</v>
      </c>
      <c r="J344" s="22">
        <v>7.482546201232033</v>
      </c>
      <c r="K344" s="22">
        <v>3.4305270362765228</v>
      </c>
      <c r="L344" s="22">
        <v>4.0547570157426422</v>
      </c>
      <c r="M344" s="22">
        <v>7.485284052019165</v>
      </c>
      <c r="N344" s="22">
        <v>3.460643394934976</v>
      </c>
      <c r="O344" s="22">
        <v>3.9972621492128679</v>
      </c>
      <c r="P344" s="22">
        <v>7.4579055441478443</v>
      </c>
      <c r="Q344" s="22">
        <v>4.1560574948665296</v>
      </c>
      <c r="R344" s="22" t="s">
        <v>8</v>
      </c>
      <c r="S344" s="22" t="s">
        <v>8</v>
      </c>
      <c r="T344" s="5">
        <v>4</v>
      </c>
      <c r="U344" s="5">
        <v>16</v>
      </c>
      <c r="V344" s="20" t="s">
        <v>1</v>
      </c>
      <c r="W344" s="20">
        <v>5</v>
      </c>
      <c r="X344" s="20">
        <v>1</v>
      </c>
      <c r="Y344" s="5">
        <v>1</v>
      </c>
      <c r="Z344" s="20">
        <v>4</v>
      </c>
      <c r="AA344" s="23">
        <f t="shared" si="10"/>
        <v>2</v>
      </c>
      <c r="AB344" s="15">
        <v>1</v>
      </c>
      <c r="AC344" s="15">
        <v>0.875</v>
      </c>
      <c r="AD344" s="15">
        <v>0.625</v>
      </c>
      <c r="AE344" s="15">
        <v>0.83299999999999996</v>
      </c>
      <c r="AF344" s="20">
        <v>20</v>
      </c>
      <c r="AG344" s="20" t="s">
        <v>8</v>
      </c>
      <c r="AH344" s="24">
        <v>24</v>
      </c>
      <c r="AI344" s="23">
        <f t="shared" si="11"/>
        <v>1</v>
      </c>
      <c r="AJ344" s="17">
        <v>10.25</v>
      </c>
      <c r="AK344" s="17">
        <v>10.5</v>
      </c>
      <c r="AL344" s="14">
        <v>20.75</v>
      </c>
      <c r="AM344" s="23" cm="1">
        <f t="array" ref="AM344">IF(OR(AN344:AZ344=""),"BLANK",IF(AND(AN344:AZ344&lt;9999999),1,IF(AND(AN344:AZ344="NA"),3,2)))</f>
        <v>1</v>
      </c>
      <c r="AN344" s="5">
        <v>9</v>
      </c>
      <c r="AO344" s="5">
        <v>2</v>
      </c>
      <c r="AP344" s="10">
        <v>3</v>
      </c>
      <c r="AQ344" s="10">
        <v>4.25</v>
      </c>
      <c r="AR344" s="10">
        <v>5.75</v>
      </c>
      <c r="AS344" s="11">
        <v>1826</v>
      </c>
      <c r="AT344" s="11">
        <v>11203</v>
      </c>
      <c r="AU344" s="11">
        <v>9389.5</v>
      </c>
      <c r="AV344" s="11">
        <v>5391.75</v>
      </c>
      <c r="AW344" s="11">
        <v>0</v>
      </c>
      <c r="AX344" s="11">
        <v>37.666666666700003</v>
      </c>
      <c r="AY344" s="11">
        <v>611.13750000000005</v>
      </c>
      <c r="AZ344" s="11">
        <v>1026.5142857143001</v>
      </c>
      <c r="BA344" s="23">
        <v>3</v>
      </c>
      <c r="BB344" s="24" t="s">
        <v>8</v>
      </c>
    </row>
    <row r="345" spans="1:54" x14ac:dyDescent="0.2">
      <c r="A345" s="5">
        <v>3053</v>
      </c>
      <c r="B345" s="20" t="s">
        <v>78</v>
      </c>
      <c r="C345" s="18" t="s">
        <v>55</v>
      </c>
      <c r="D345" s="18">
        <v>2</v>
      </c>
      <c r="E345" s="18">
        <v>0</v>
      </c>
      <c r="F345" s="20">
        <v>4</v>
      </c>
      <c r="G345" s="18">
        <v>30</v>
      </c>
      <c r="H345" s="22">
        <v>5.6290212183435999</v>
      </c>
      <c r="I345" s="22" t="s">
        <v>8</v>
      </c>
      <c r="J345" s="22" t="s">
        <v>8</v>
      </c>
      <c r="K345" s="22">
        <v>5.6344969199178641</v>
      </c>
      <c r="L345" s="22" t="s">
        <v>8</v>
      </c>
      <c r="M345" s="22" t="s">
        <v>8</v>
      </c>
      <c r="N345" s="22">
        <v>5.5797399041752227</v>
      </c>
      <c r="O345" s="22" t="s">
        <v>8</v>
      </c>
      <c r="P345" s="22" t="s">
        <v>8</v>
      </c>
      <c r="Q345" s="22" t="s">
        <v>8</v>
      </c>
      <c r="R345" s="22" t="s">
        <v>8</v>
      </c>
      <c r="S345" s="22" t="s">
        <v>8</v>
      </c>
      <c r="T345" s="5">
        <v>3</v>
      </c>
      <c r="U345" s="5">
        <v>14</v>
      </c>
      <c r="V345" s="20" t="s">
        <v>1</v>
      </c>
      <c r="W345" s="20">
        <v>5</v>
      </c>
      <c r="X345" s="20">
        <v>1</v>
      </c>
      <c r="Y345" s="5">
        <v>1</v>
      </c>
      <c r="Z345" s="20">
        <v>4</v>
      </c>
      <c r="AA345" s="23">
        <f t="shared" si="10"/>
        <v>2</v>
      </c>
      <c r="AB345" s="15">
        <v>0.75</v>
      </c>
      <c r="AC345" s="15">
        <v>0.375</v>
      </c>
      <c r="AD345" s="15">
        <v>0.5</v>
      </c>
      <c r="AE345" s="15">
        <v>0.54200000000000004</v>
      </c>
      <c r="AF345" s="20">
        <v>13</v>
      </c>
      <c r="AG345" s="20" t="s">
        <v>8</v>
      </c>
      <c r="AH345" s="24">
        <v>24</v>
      </c>
      <c r="AI345" s="23">
        <f t="shared" si="11"/>
        <v>1</v>
      </c>
      <c r="AJ345" s="17">
        <v>9.5</v>
      </c>
      <c r="AK345" s="17">
        <v>5.25</v>
      </c>
      <c r="AL345" s="14">
        <v>14.75</v>
      </c>
      <c r="AM345" s="23" cm="1">
        <f t="array" ref="AM345">IF(OR(AN345:AZ345=""),"BLANK",IF(AND(AN345:AZ345&lt;9999999),1,IF(AND(AN345:AZ345="NA"),3,2)))</f>
        <v>1</v>
      </c>
      <c r="AN345" s="5">
        <v>6</v>
      </c>
      <c r="AO345" s="5">
        <v>2</v>
      </c>
      <c r="AP345" s="10">
        <v>3.5</v>
      </c>
      <c r="AQ345" s="10">
        <v>4.5</v>
      </c>
      <c r="AR345" s="10">
        <v>8.75</v>
      </c>
      <c r="AS345" s="11">
        <v>3085</v>
      </c>
      <c r="AT345" s="11">
        <v>10053.5</v>
      </c>
      <c r="AU345" s="11">
        <v>4300.25</v>
      </c>
      <c r="AV345" s="11">
        <v>10437.25</v>
      </c>
      <c r="AW345" s="11">
        <v>0</v>
      </c>
      <c r="AX345" s="11">
        <v>4974.4166666666997</v>
      </c>
      <c r="AY345" s="11">
        <v>8090.2916666666997</v>
      </c>
      <c r="AZ345" s="11">
        <v>6054.0249999999996</v>
      </c>
      <c r="BA345" s="23">
        <v>3</v>
      </c>
      <c r="BB345" s="24" t="s">
        <v>8</v>
      </c>
    </row>
    <row r="346" spans="1:54" x14ac:dyDescent="0.2">
      <c r="A346" s="5">
        <v>3066</v>
      </c>
      <c r="B346" s="20" t="s">
        <v>78</v>
      </c>
      <c r="C346" s="18" t="s">
        <v>54</v>
      </c>
      <c r="D346" s="18">
        <v>5</v>
      </c>
      <c r="E346" s="18">
        <v>0</v>
      </c>
      <c r="F346" s="20">
        <v>3.4550000000000001</v>
      </c>
      <c r="G346" s="18">
        <v>29</v>
      </c>
      <c r="H346" s="22">
        <v>3.5619438740588638</v>
      </c>
      <c r="I346" s="22">
        <v>3.8576317590691307</v>
      </c>
      <c r="J346" s="22">
        <v>7.4195756331279945</v>
      </c>
      <c r="K346" s="22">
        <v>3.5619438740588638</v>
      </c>
      <c r="L346" s="22">
        <v>3.8576317590691307</v>
      </c>
      <c r="M346" s="22">
        <v>7.4195756331279945</v>
      </c>
      <c r="N346" s="22">
        <v>3.5318275154004106</v>
      </c>
      <c r="O346" s="22">
        <v>3.8439425051334704</v>
      </c>
      <c r="P346" s="22">
        <v>7.3757700205338805</v>
      </c>
      <c r="Q346" s="22">
        <v>3.9644079397672827</v>
      </c>
      <c r="R346" s="22" t="s">
        <v>8</v>
      </c>
      <c r="S346" s="22" t="s">
        <v>8</v>
      </c>
      <c r="T346" s="5">
        <v>3</v>
      </c>
      <c r="U346" s="5">
        <v>14</v>
      </c>
      <c r="V346" s="20" t="s">
        <v>1</v>
      </c>
      <c r="W346" s="20">
        <v>5</v>
      </c>
      <c r="X346" s="20">
        <v>1</v>
      </c>
      <c r="Y346" s="5">
        <v>1</v>
      </c>
      <c r="Z346" s="20">
        <v>4</v>
      </c>
      <c r="AA346" s="23">
        <f t="shared" si="10"/>
        <v>2</v>
      </c>
      <c r="AB346" s="15">
        <v>1</v>
      </c>
      <c r="AC346" s="15">
        <v>0.625</v>
      </c>
      <c r="AD346" s="15">
        <v>0.625</v>
      </c>
      <c r="AE346" s="15">
        <v>0.75</v>
      </c>
      <c r="AF346" s="20">
        <v>18</v>
      </c>
      <c r="AG346" s="20" t="s">
        <v>8</v>
      </c>
      <c r="AH346" s="24">
        <v>24</v>
      </c>
      <c r="AI346" s="23">
        <f t="shared" si="11"/>
        <v>1</v>
      </c>
      <c r="AJ346" s="17">
        <v>4.5</v>
      </c>
      <c r="AK346" s="17">
        <v>6.25</v>
      </c>
      <c r="AL346" s="14">
        <v>10.75</v>
      </c>
      <c r="AM346" s="23" cm="1">
        <f t="array" ref="AM346">IF(OR(AN346:AZ346=""),"BLANK",IF(AND(AN346:AZ346&lt;9999999),1,IF(AND(AN346:AZ346="NA"),3,2)))</f>
        <v>1</v>
      </c>
      <c r="AN346" s="5">
        <v>8</v>
      </c>
      <c r="AO346" s="5">
        <v>2</v>
      </c>
      <c r="AP346" s="10">
        <v>3</v>
      </c>
      <c r="AQ346" s="10">
        <v>5.25</v>
      </c>
      <c r="AR346" s="10">
        <v>10</v>
      </c>
      <c r="AS346" s="11">
        <v>6485</v>
      </c>
      <c r="AT346" s="11">
        <v>5349.5</v>
      </c>
      <c r="AU346" s="11">
        <v>10687.5</v>
      </c>
      <c r="AV346" s="11">
        <v>11593.25</v>
      </c>
      <c r="AW346" s="11">
        <v>0</v>
      </c>
      <c r="AX346" s="11">
        <v>25</v>
      </c>
      <c r="AY346" s="11">
        <v>4552.1319444443998</v>
      </c>
      <c r="AZ346" s="11">
        <v>2812.3409090908999</v>
      </c>
      <c r="BA346" s="23">
        <v>3</v>
      </c>
      <c r="BB346" s="24" t="s">
        <v>8</v>
      </c>
    </row>
    <row r="347" spans="1:54" x14ac:dyDescent="0.2">
      <c r="A347" s="5">
        <v>3086</v>
      </c>
      <c r="B347" s="20" t="s">
        <v>64</v>
      </c>
      <c r="C347" s="18" t="s">
        <v>54</v>
      </c>
      <c r="D347" s="18">
        <v>5</v>
      </c>
      <c r="E347" s="18">
        <v>0</v>
      </c>
      <c r="F347" s="20">
        <v>4</v>
      </c>
      <c r="G347" s="18">
        <v>30</v>
      </c>
      <c r="H347" s="22" t="s">
        <v>8</v>
      </c>
      <c r="I347" s="22" t="s">
        <v>8</v>
      </c>
      <c r="J347" s="22" t="s">
        <v>8</v>
      </c>
      <c r="K347" s="22" t="s">
        <v>8</v>
      </c>
      <c r="L347" s="22" t="s">
        <v>8</v>
      </c>
      <c r="M347" s="22" t="s">
        <v>8</v>
      </c>
      <c r="N347" s="22" t="s">
        <v>8</v>
      </c>
      <c r="O347" s="22" t="s">
        <v>8</v>
      </c>
      <c r="P347" s="22" t="s">
        <v>8</v>
      </c>
      <c r="Q347" s="22" t="s">
        <v>8</v>
      </c>
      <c r="R347" s="22" t="s">
        <v>8</v>
      </c>
      <c r="S347" s="22" t="s">
        <v>8</v>
      </c>
      <c r="T347" s="5">
        <v>3</v>
      </c>
      <c r="U347" s="5">
        <v>14</v>
      </c>
      <c r="V347" s="20" t="s">
        <v>1</v>
      </c>
      <c r="W347" s="20">
        <v>5</v>
      </c>
      <c r="X347" s="20">
        <v>1</v>
      </c>
      <c r="Y347" s="5">
        <v>1</v>
      </c>
      <c r="Z347" s="20">
        <v>4</v>
      </c>
      <c r="AA347" s="23">
        <f t="shared" si="10"/>
        <v>2</v>
      </c>
      <c r="AB347" s="15">
        <v>0.875</v>
      </c>
      <c r="AC347" s="15">
        <v>0.625</v>
      </c>
      <c r="AD347" s="15">
        <v>0.5</v>
      </c>
      <c r="AE347" s="15">
        <v>0.66700000000000004</v>
      </c>
      <c r="AF347" s="20">
        <v>16</v>
      </c>
      <c r="AG347" s="20" t="s">
        <v>8</v>
      </c>
      <c r="AH347" s="24">
        <v>24</v>
      </c>
      <c r="AI347" s="23">
        <f t="shared" si="11"/>
        <v>1</v>
      </c>
      <c r="AJ347" s="17">
        <v>7.5</v>
      </c>
      <c r="AK347" s="17">
        <v>6.5</v>
      </c>
      <c r="AL347" s="14">
        <v>14</v>
      </c>
      <c r="AM347" s="23" cm="1">
        <f t="array" ref="AM347">IF(OR(AN347:AZ347=""),"BLANK",IF(AND(AN347:AZ347&lt;9999999),1,IF(AND(AN347:AZ347="NA"),3,2)))</f>
        <v>1</v>
      </c>
      <c r="AN347" s="5">
        <v>5</v>
      </c>
      <c r="AO347" s="5">
        <v>2</v>
      </c>
      <c r="AP347" s="10">
        <v>3.5</v>
      </c>
      <c r="AQ347" s="10">
        <v>6</v>
      </c>
      <c r="AR347" s="10">
        <v>9.5</v>
      </c>
      <c r="AS347" s="11">
        <v>1006</v>
      </c>
      <c r="AT347" s="11">
        <v>8259</v>
      </c>
      <c r="AU347" s="11">
        <v>3808.25</v>
      </c>
      <c r="AV347" s="11">
        <v>14279</v>
      </c>
      <c r="AW347" s="11">
        <v>0</v>
      </c>
      <c r="AX347" s="11">
        <v>784.66666666670005</v>
      </c>
      <c r="AY347" s="11">
        <v>2316.0749999999998</v>
      </c>
      <c r="AZ347" s="11">
        <v>3084.9555555555999</v>
      </c>
      <c r="BA347" s="23">
        <v>3</v>
      </c>
      <c r="BB347" s="24" t="s">
        <v>8</v>
      </c>
    </row>
    <row r="348" spans="1:54" x14ac:dyDescent="0.2">
      <c r="A348" s="5">
        <v>3102</v>
      </c>
      <c r="B348" s="20" t="s">
        <v>74</v>
      </c>
      <c r="C348" s="18" t="s">
        <v>55</v>
      </c>
      <c r="D348" s="18">
        <v>5</v>
      </c>
      <c r="E348" s="18">
        <v>0</v>
      </c>
      <c r="F348" s="20">
        <v>3.9089999999999998</v>
      </c>
      <c r="G348" s="18">
        <v>28</v>
      </c>
      <c r="H348" s="22">
        <v>3.4715947980835042</v>
      </c>
      <c r="I348" s="22">
        <v>3.9753593429158109</v>
      </c>
      <c r="J348" s="22">
        <v>7.4469541409993152</v>
      </c>
      <c r="K348" s="22">
        <v>3.4688569472963722</v>
      </c>
      <c r="L348" s="22">
        <v>3.9753593429158109</v>
      </c>
      <c r="M348" s="22">
        <v>7.4442162902121831</v>
      </c>
      <c r="N348" s="22">
        <v>3.4360027378507869</v>
      </c>
      <c r="O348" s="22">
        <v>3.9698836413415468</v>
      </c>
      <c r="P348" s="22">
        <v>7.4058863791923342</v>
      </c>
      <c r="Q348" s="22">
        <v>3.8439425051334704</v>
      </c>
      <c r="R348" s="22" t="s">
        <v>8</v>
      </c>
      <c r="S348" s="22" t="s">
        <v>8</v>
      </c>
      <c r="T348" s="5">
        <v>4</v>
      </c>
      <c r="U348" s="5">
        <v>16</v>
      </c>
      <c r="V348" s="20" t="s">
        <v>1</v>
      </c>
      <c r="W348" s="20">
        <v>5</v>
      </c>
      <c r="X348" s="20">
        <v>1</v>
      </c>
      <c r="Y348" s="5">
        <v>1</v>
      </c>
      <c r="Z348" s="20">
        <v>4</v>
      </c>
      <c r="AA348" s="23">
        <f t="shared" si="10"/>
        <v>2</v>
      </c>
      <c r="AB348" s="15">
        <v>1</v>
      </c>
      <c r="AC348" s="15">
        <v>0.875</v>
      </c>
      <c r="AD348" s="15">
        <v>0.25</v>
      </c>
      <c r="AE348" s="15">
        <v>0.70799999999999996</v>
      </c>
      <c r="AF348" s="20">
        <v>17</v>
      </c>
      <c r="AG348" s="20" t="s">
        <v>8</v>
      </c>
      <c r="AH348" s="24">
        <v>24</v>
      </c>
      <c r="AI348" s="23">
        <f t="shared" si="11"/>
        <v>1</v>
      </c>
      <c r="AJ348" s="17">
        <v>3</v>
      </c>
      <c r="AK348" s="17">
        <v>2.75</v>
      </c>
      <c r="AL348" s="14">
        <v>5.75</v>
      </c>
      <c r="AM348" s="23" cm="1">
        <f t="array" ref="AM348">IF(OR(AN348:AZ348=""),"BLANK",IF(AND(AN348:AZ348&lt;9999999),1,IF(AND(AN348:AZ348="NA"),3,2)))</f>
        <v>1</v>
      </c>
      <c r="AN348" s="5">
        <v>4</v>
      </c>
      <c r="AO348" s="5">
        <v>2</v>
      </c>
      <c r="AP348" s="10">
        <v>4</v>
      </c>
      <c r="AQ348" s="10">
        <v>6.75</v>
      </c>
      <c r="AR348" s="10">
        <v>9.25</v>
      </c>
      <c r="AS348" s="11">
        <v>1709</v>
      </c>
      <c r="AT348" s="11">
        <v>12255.5</v>
      </c>
      <c r="AU348" s="11">
        <v>9314.25</v>
      </c>
      <c r="AV348" s="11">
        <v>12058.5</v>
      </c>
      <c r="AW348" s="11">
        <v>0</v>
      </c>
      <c r="AX348" s="11">
        <v>7878.8666666667004</v>
      </c>
      <c r="AY348" s="11">
        <v>22123.413888888899</v>
      </c>
      <c r="AZ348" s="11">
        <v>2482.8482142857001</v>
      </c>
      <c r="BA348" s="23">
        <v>3</v>
      </c>
      <c r="BB348" s="24" t="s">
        <v>8</v>
      </c>
    </row>
    <row r="349" spans="1:54" x14ac:dyDescent="0.2">
      <c r="A349" s="5">
        <v>3108</v>
      </c>
      <c r="B349" s="20" t="s">
        <v>62</v>
      </c>
      <c r="C349" s="18" t="s">
        <v>54</v>
      </c>
      <c r="D349" s="18">
        <v>2</v>
      </c>
      <c r="E349" s="18">
        <v>0</v>
      </c>
      <c r="F349" s="20">
        <v>4</v>
      </c>
      <c r="G349" s="18">
        <v>29</v>
      </c>
      <c r="H349" s="22" t="s">
        <v>8</v>
      </c>
      <c r="I349" s="22" t="s">
        <v>8</v>
      </c>
      <c r="J349" s="22" t="s">
        <v>8</v>
      </c>
      <c r="K349" s="22" t="s">
        <v>8</v>
      </c>
      <c r="L349" s="22" t="s">
        <v>8</v>
      </c>
      <c r="M349" s="22" t="s">
        <v>8</v>
      </c>
      <c r="N349" s="22" t="s">
        <v>8</v>
      </c>
      <c r="O349" s="22" t="s">
        <v>8</v>
      </c>
      <c r="P349" s="22" t="s">
        <v>8</v>
      </c>
      <c r="Q349" s="22" t="s">
        <v>8</v>
      </c>
      <c r="R349" s="22" t="s">
        <v>8</v>
      </c>
      <c r="S349" s="22" t="s">
        <v>8</v>
      </c>
      <c r="T349" s="5">
        <v>2</v>
      </c>
      <c r="U349" s="5">
        <v>12</v>
      </c>
      <c r="V349" s="20" t="s">
        <v>1</v>
      </c>
      <c r="W349" s="20">
        <v>5</v>
      </c>
      <c r="X349" s="20">
        <v>1</v>
      </c>
      <c r="Y349" s="5">
        <v>1</v>
      </c>
      <c r="Z349" s="20">
        <v>4</v>
      </c>
      <c r="AA349" s="23">
        <f t="shared" si="10"/>
        <v>2</v>
      </c>
      <c r="AB349" s="15">
        <v>0.625</v>
      </c>
      <c r="AC349" s="15">
        <v>0.5</v>
      </c>
      <c r="AD349" s="15">
        <v>0.5</v>
      </c>
      <c r="AE349" s="15">
        <v>0.54200000000000004</v>
      </c>
      <c r="AF349" s="20">
        <v>13</v>
      </c>
      <c r="AG349" s="20" t="s">
        <v>8</v>
      </c>
      <c r="AH349" s="24">
        <v>24</v>
      </c>
      <c r="AI349" s="23">
        <f t="shared" si="11"/>
        <v>1</v>
      </c>
      <c r="AJ349" s="17">
        <v>5</v>
      </c>
      <c r="AK349" s="17">
        <v>1.25</v>
      </c>
      <c r="AL349" s="14">
        <v>6.25</v>
      </c>
      <c r="AM349" s="23" cm="1">
        <f t="array" ref="AM349">IF(OR(AN349:AZ349=""),"BLANK",IF(AND(AN349:AZ349&lt;9999999),1,IF(AND(AN349:AZ349="NA"),3,2)))</f>
        <v>1</v>
      </c>
      <c r="AN349" s="5">
        <v>10</v>
      </c>
      <c r="AO349" s="5">
        <v>2</v>
      </c>
      <c r="AP349" s="10">
        <v>3</v>
      </c>
      <c r="AQ349" s="10">
        <v>5.75</v>
      </c>
      <c r="AR349" s="10">
        <v>5</v>
      </c>
      <c r="AS349" s="11">
        <v>1391</v>
      </c>
      <c r="AT349" s="11">
        <v>2545</v>
      </c>
      <c r="AU349" s="11">
        <v>3635.75</v>
      </c>
      <c r="AV349" s="11">
        <v>3885.75</v>
      </c>
      <c r="AW349" s="11">
        <v>0</v>
      </c>
      <c r="AX349" s="11">
        <v>0</v>
      </c>
      <c r="AY349" s="11">
        <v>3789.3194444443998</v>
      </c>
      <c r="AZ349" s="11">
        <v>585.35</v>
      </c>
      <c r="BA349" s="23">
        <v>3</v>
      </c>
      <c r="BB349" s="24" t="s">
        <v>8</v>
      </c>
    </row>
    <row r="350" spans="1:54" x14ac:dyDescent="0.2">
      <c r="A350" s="5">
        <v>3126</v>
      </c>
      <c r="B350" s="20" t="s">
        <v>64</v>
      </c>
      <c r="C350" s="18" t="s">
        <v>54</v>
      </c>
      <c r="D350" s="18">
        <v>5</v>
      </c>
      <c r="E350" s="18">
        <v>0</v>
      </c>
      <c r="F350" s="20">
        <v>3.7269999999999999</v>
      </c>
      <c r="G350" s="18">
        <v>30</v>
      </c>
      <c r="H350" s="22">
        <v>3.4770704996577688</v>
      </c>
      <c r="I350" s="22">
        <v>4.3531827515400412</v>
      </c>
      <c r="J350" s="22">
        <v>7.83025325119781</v>
      </c>
      <c r="K350" s="22">
        <v>3.5646817248459959</v>
      </c>
      <c r="L350" s="22">
        <v>4.2464065708418888</v>
      </c>
      <c r="M350" s="22">
        <v>7.8110882956878847</v>
      </c>
      <c r="N350" s="22">
        <v>3.5592060232717317</v>
      </c>
      <c r="O350" s="22">
        <v>4.1916495550992474</v>
      </c>
      <c r="P350" s="22">
        <v>7.7508555783709792</v>
      </c>
      <c r="Q350" s="22">
        <v>3.6550308008213555</v>
      </c>
      <c r="R350" s="22" t="s">
        <v>8</v>
      </c>
      <c r="S350" s="22" t="s">
        <v>8</v>
      </c>
      <c r="T350" s="5">
        <v>3</v>
      </c>
      <c r="U350" s="5">
        <v>15</v>
      </c>
      <c r="V350" s="20" t="s">
        <v>1</v>
      </c>
      <c r="W350" s="20">
        <v>5</v>
      </c>
      <c r="X350" s="20">
        <v>1</v>
      </c>
      <c r="Y350" s="5">
        <v>1</v>
      </c>
      <c r="Z350" s="20">
        <v>4</v>
      </c>
      <c r="AA350" s="23">
        <f t="shared" si="10"/>
        <v>2</v>
      </c>
      <c r="AB350" s="15">
        <v>1</v>
      </c>
      <c r="AC350" s="15">
        <v>0.75</v>
      </c>
      <c r="AD350" s="15">
        <v>0.625</v>
      </c>
      <c r="AE350" s="15">
        <v>0.79200000000000004</v>
      </c>
      <c r="AF350" s="20">
        <v>19</v>
      </c>
      <c r="AG350" s="20" t="s">
        <v>8</v>
      </c>
      <c r="AH350" s="24">
        <v>24</v>
      </c>
      <c r="AI350" s="23">
        <f t="shared" si="11"/>
        <v>1</v>
      </c>
      <c r="AJ350" s="17">
        <v>4.75</v>
      </c>
      <c r="AK350" s="17">
        <v>7</v>
      </c>
      <c r="AL350" s="14">
        <v>11.75</v>
      </c>
      <c r="AM350" s="23" cm="1">
        <f t="array" ref="AM350">IF(OR(AN350:AZ350=""),"BLANK",IF(AND(AN350:AZ350&lt;9999999),1,IF(AND(AN350:AZ350="NA"),3,2)))</f>
        <v>1</v>
      </c>
      <c r="AN350" s="5">
        <v>9</v>
      </c>
      <c r="AO350" s="5">
        <v>2</v>
      </c>
      <c r="AP350" s="10">
        <v>3</v>
      </c>
      <c r="AQ350" s="10">
        <v>4.25</v>
      </c>
      <c r="AR350" s="10">
        <v>6.75</v>
      </c>
      <c r="AS350" s="11">
        <v>3512</v>
      </c>
      <c r="AT350" s="11">
        <v>6194</v>
      </c>
      <c r="AU350" s="11">
        <v>21482</v>
      </c>
      <c r="AV350" s="11">
        <v>19976</v>
      </c>
      <c r="AW350" s="11">
        <v>377.5</v>
      </c>
      <c r="AX350" s="11">
        <v>1256.8333333333001</v>
      </c>
      <c r="AY350" s="11">
        <v>792.48749999999995</v>
      </c>
      <c r="AZ350" s="11">
        <v>3745.7607142857</v>
      </c>
      <c r="BA350" s="23">
        <v>3</v>
      </c>
      <c r="BB350" s="24" t="s">
        <v>8</v>
      </c>
    </row>
    <row r="351" spans="1:54" x14ac:dyDescent="0.2">
      <c r="A351" s="5">
        <v>3131</v>
      </c>
      <c r="B351" s="20" t="s">
        <v>68</v>
      </c>
      <c r="C351" s="18" t="s">
        <v>54</v>
      </c>
      <c r="D351" s="18">
        <v>5</v>
      </c>
      <c r="E351" s="18">
        <v>0</v>
      </c>
      <c r="F351" s="20">
        <v>4</v>
      </c>
      <c r="G351" s="18">
        <v>29</v>
      </c>
      <c r="H351" s="22">
        <v>3.5482546201232035</v>
      </c>
      <c r="I351" s="22">
        <v>4.2902121834360027</v>
      </c>
      <c r="J351" s="22">
        <v>7.8384668035592062</v>
      </c>
      <c r="K351" s="22">
        <v>3.5482546201232035</v>
      </c>
      <c r="L351" s="22">
        <v>4.2902121834360027</v>
      </c>
      <c r="M351" s="22">
        <v>7.8384668035592062</v>
      </c>
      <c r="N351" s="22">
        <v>3.5400410677618068</v>
      </c>
      <c r="O351" s="22">
        <v>4.3230663928815876</v>
      </c>
      <c r="P351" s="22">
        <v>7.8631074606433948</v>
      </c>
      <c r="Q351" s="22">
        <v>3.4086242299794662</v>
      </c>
      <c r="R351" s="22">
        <v>4.2546201232032859</v>
      </c>
      <c r="S351" s="22">
        <v>7.6632443531827512</v>
      </c>
      <c r="T351" s="5">
        <v>3</v>
      </c>
      <c r="U351" s="5">
        <v>14.5</v>
      </c>
      <c r="V351" s="20" t="s">
        <v>1</v>
      </c>
      <c r="W351" s="20">
        <v>5</v>
      </c>
      <c r="X351" s="20">
        <v>1</v>
      </c>
      <c r="Y351" s="5">
        <v>1</v>
      </c>
      <c r="Z351" s="20">
        <v>4</v>
      </c>
      <c r="AA351" s="23">
        <f t="shared" si="10"/>
        <v>2</v>
      </c>
      <c r="AB351" s="15">
        <v>0.875</v>
      </c>
      <c r="AC351" s="15">
        <v>1</v>
      </c>
      <c r="AD351" s="15">
        <v>0.625</v>
      </c>
      <c r="AE351" s="15">
        <v>0.83299999999999996</v>
      </c>
      <c r="AF351" s="20">
        <v>20</v>
      </c>
      <c r="AG351" s="20" t="s">
        <v>8</v>
      </c>
      <c r="AH351" s="24">
        <v>24</v>
      </c>
      <c r="AI351" s="23">
        <f t="shared" si="11"/>
        <v>1</v>
      </c>
      <c r="AJ351" s="17">
        <v>7.75</v>
      </c>
      <c r="AK351" s="17">
        <v>10</v>
      </c>
      <c r="AL351" s="14">
        <v>17.75</v>
      </c>
      <c r="AM351" s="23" cm="1">
        <f t="array" ref="AM351">IF(OR(AN351:AZ351=""),"BLANK",IF(AND(AN351:AZ351&lt;9999999),1,IF(AND(AN351:AZ351="NA"),3,2)))</f>
        <v>1</v>
      </c>
      <c r="AN351" s="5">
        <v>10</v>
      </c>
      <c r="AO351" s="5">
        <v>2</v>
      </c>
      <c r="AP351" s="10">
        <v>3</v>
      </c>
      <c r="AQ351" s="10">
        <v>5.25</v>
      </c>
      <c r="AR351" s="10">
        <v>6.25</v>
      </c>
      <c r="AS351" s="11">
        <v>3028</v>
      </c>
      <c r="AT351" s="11">
        <v>5178.5</v>
      </c>
      <c r="AU351" s="11">
        <v>5714.75</v>
      </c>
      <c r="AV351" s="11">
        <v>8846</v>
      </c>
      <c r="AW351" s="11">
        <v>0</v>
      </c>
      <c r="AX351" s="11">
        <v>0</v>
      </c>
      <c r="AY351" s="11">
        <v>2638.4097222221999</v>
      </c>
      <c r="AZ351" s="11">
        <v>589.97500000000002</v>
      </c>
      <c r="BA351" s="23">
        <v>3</v>
      </c>
      <c r="BB351" s="24" t="s">
        <v>8</v>
      </c>
    </row>
    <row r="352" spans="1:54" x14ac:dyDescent="0.2">
      <c r="A352" s="5">
        <v>3137</v>
      </c>
      <c r="B352" s="20" t="s">
        <v>62</v>
      </c>
      <c r="C352" s="18" t="s">
        <v>54</v>
      </c>
      <c r="D352" s="18">
        <v>5</v>
      </c>
      <c r="E352" s="18">
        <v>0</v>
      </c>
      <c r="F352" s="20">
        <v>2.5449999999999999</v>
      </c>
      <c r="G352" s="18">
        <v>28</v>
      </c>
      <c r="H352" s="22" t="s">
        <v>8</v>
      </c>
      <c r="I352" s="22" t="s">
        <v>8</v>
      </c>
      <c r="J352" s="22" t="s">
        <v>8</v>
      </c>
      <c r="K352" s="22" t="s">
        <v>8</v>
      </c>
      <c r="L352" s="22" t="s">
        <v>8</v>
      </c>
      <c r="M352" s="22" t="s">
        <v>8</v>
      </c>
      <c r="N352" s="22" t="s">
        <v>8</v>
      </c>
      <c r="O352" s="22" t="s">
        <v>8</v>
      </c>
      <c r="P352" s="22" t="s">
        <v>8</v>
      </c>
      <c r="Q352" s="22" t="s">
        <v>8</v>
      </c>
      <c r="R352" s="22" t="s">
        <v>8</v>
      </c>
      <c r="S352" s="22" t="s">
        <v>8</v>
      </c>
      <c r="T352" s="5">
        <v>2</v>
      </c>
      <c r="U352" s="5">
        <v>12</v>
      </c>
      <c r="V352" s="20" t="s">
        <v>1</v>
      </c>
      <c r="W352" s="20">
        <v>5</v>
      </c>
      <c r="X352" s="20">
        <v>1</v>
      </c>
      <c r="Y352" s="5">
        <v>1</v>
      </c>
      <c r="Z352" s="20">
        <v>4</v>
      </c>
      <c r="AA352" s="23">
        <f t="shared" si="10"/>
        <v>2</v>
      </c>
      <c r="AB352" s="15">
        <v>0.875</v>
      </c>
      <c r="AC352" s="15">
        <v>0.875</v>
      </c>
      <c r="AD352" s="15">
        <v>0.5714285714285714</v>
      </c>
      <c r="AE352" s="15">
        <v>0.78300000000000003</v>
      </c>
      <c r="AF352" s="20">
        <v>18</v>
      </c>
      <c r="AG352" s="20" t="s">
        <v>8</v>
      </c>
      <c r="AH352" s="24">
        <v>23</v>
      </c>
      <c r="AI352" s="23">
        <f t="shared" si="11"/>
        <v>1</v>
      </c>
      <c r="AJ352" s="17">
        <v>9</v>
      </c>
      <c r="AK352" s="17">
        <v>6.75</v>
      </c>
      <c r="AL352" s="14">
        <v>15.75</v>
      </c>
      <c r="AM352" s="23" cm="1">
        <f t="array" ref="AM352">IF(OR(AN352:AZ352=""),"BLANK",IF(AND(AN352:AZ352&lt;9999999),1,IF(AND(AN352:AZ352="NA"),3,2)))</f>
        <v>1</v>
      </c>
      <c r="AN352" s="5">
        <v>6</v>
      </c>
      <c r="AO352" s="5">
        <v>2</v>
      </c>
      <c r="AP352" s="10">
        <v>3</v>
      </c>
      <c r="AQ352" s="10">
        <v>7.5</v>
      </c>
      <c r="AR352" s="10">
        <v>8</v>
      </c>
      <c r="AS352" s="11">
        <v>1276.5</v>
      </c>
      <c r="AT352" s="11">
        <v>9164.5</v>
      </c>
      <c r="AU352" s="11">
        <v>7588.75</v>
      </c>
      <c r="AV352" s="11">
        <v>6558.25</v>
      </c>
      <c r="AW352" s="11">
        <v>0</v>
      </c>
      <c r="AX352" s="11">
        <v>7046.8333333333003</v>
      </c>
      <c r="AY352" s="11">
        <v>12282.5461309524</v>
      </c>
      <c r="AZ352" s="11">
        <v>1445.5181818182</v>
      </c>
      <c r="BA352" s="23">
        <v>3</v>
      </c>
      <c r="BB352" s="24" t="s">
        <v>8</v>
      </c>
    </row>
    <row r="353" spans="1:54" x14ac:dyDescent="0.2">
      <c r="A353" s="5">
        <v>3146</v>
      </c>
      <c r="B353" s="20" t="s">
        <v>64</v>
      </c>
      <c r="C353" s="18" t="s">
        <v>55</v>
      </c>
      <c r="D353" s="18">
        <v>5</v>
      </c>
      <c r="E353" s="18">
        <v>1</v>
      </c>
      <c r="F353" s="20">
        <v>3.5449999999999999</v>
      </c>
      <c r="G353" s="18">
        <v>28</v>
      </c>
      <c r="H353" s="22">
        <v>3.460643394934976</v>
      </c>
      <c r="I353" s="22">
        <v>4.5393566050650236</v>
      </c>
      <c r="J353" s="22">
        <v>8</v>
      </c>
      <c r="K353" s="22">
        <v>3.460643394934976</v>
      </c>
      <c r="L353" s="22">
        <v>4.6543463381245722</v>
      </c>
      <c r="M353" s="22">
        <v>8.1149897330595486</v>
      </c>
      <c r="N353" s="22">
        <v>3.5263518138261465</v>
      </c>
      <c r="O353" s="22">
        <v>4.4791238877481181</v>
      </c>
      <c r="P353" s="22">
        <v>8.0054757015742641</v>
      </c>
      <c r="Q353" s="22">
        <v>3.5455167693360714</v>
      </c>
      <c r="R353" s="22" t="s">
        <v>8</v>
      </c>
      <c r="S353" s="22" t="s">
        <v>8</v>
      </c>
      <c r="T353" s="5">
        <v>3</v>
      </c>
      <c r="U353" s="5">
        <v>14</v>
      </c>
      <c r="V353" s="20" t="s">
        <v>1</v>
      </c>
      <c r="W353" s="20">
        <v>5</v>
      </c>
      <c r="X353" s="20">
        <v>1</v>
      </c>
      <c r="Y353" s="5">
        <v>1</v>
      </c>
      <c r="Z353" s="20">
        <v>4</v>
      </c>
      <c r="AA353" s="23">
        <f t="shared" si="10"/>
        <v>2</v>
      </c>
      <c r="AB353" s="15">
        <v>0.625</v>
      </c>
      <c r="AC353" s="15">
        <v>1</v>
      </c>
      <c r="AD353" s="15">
        <v>0.375</v>
      </c>
      <c r="AE353" s="15">
        <v>0.66700000000000004</v>
      </c>
      <c r="AF353" s="20">
        <v>16</v>
      </c>
      <c r="AG353" s="20" t="s">
        <v>8</v>
      </c>
      <c r="AH353" s="24">
        <v>24</v>
      </c>
      <c r="AI353" s="23">
        <f t="shared" si="11"/>
        <v>1</v>
      </c>
      <c r="AJ353" s="17">
        <v>6.25</v>
      </c>
      <c r="AK353" s="17">
        <v>-3.75</v>
      </c>
      <c r="AL353" s="14">
        <v>2.5</v>
      </c>
      <c r="AM353" s="23" cm="1">
        <f t="array" ref="AM353">IF(OR(AN353:AZ353=""),"BLANK",IF(AND(AN353:AZ353&lt;9999999),1,IF(AND(AN353:AZ353="NA"),3,2)))</f>
        <v>1</v>
      </c>
      <c r="AN353" s="5">
        <v>6</v>
      </c>
      <c r="AO353" s="5">
        <v>2</v>
      </c>
      <c r="AP353" s="10">
        <v>3.5</v>
      </c>
      <c r="AQ353" s="10">
        <v>4.25</v>
      </c>
      <c r="AR353" s="10">
        <v>9.5</v>
      </c>
      <c r="AS353" s="11">
        <v>896</v>
      </c>
      <c r="AT353" s="11">
        <v>7604</v>
      </c>
      <c r="AU353" s="11">
        <v>4285</v>
      </c>
      <c r="AV353" s="11">
        <v>5198.5</v>
      </c>
      <c r="AW353" s="11">
        <v>0</v>
      </c>
      <c r="AX353" s="11">
        <v>274.875</v>
      </c>
      <c r="AY353" s="11">
        <v>0</v>
      </c>
      <c r="AZ353" s="11">
        <v>6553.7064393938999</v>
      </c>
      <c r="BA353" s="23">
        <v>3</v>
      </c>
      <c r="BB353" s="24" t="s">
        <v>8</v>
      </c>
    </row>
    <row r="354" spans="1:54" x14ac:dyDescent="0.2">
      <c r="A354" s="5">
        <v>3163</v>
      </c>
      <c r="B354" s="20" t="s">
        <v>66</v>
      </c>
      <c r="C354" s="18" t="s">
        <v>55</v>
      </c>
      <c r="D354" s="18">
        <v>5</v>
      </c>
      <c r="E354" s="18">
        <v>0</v>
      </c>
      <c r="F354" s="20">
        <v>2.4550000000000001</v>
      </c>
      <c r="G354" s="18">
        <v>26</v>
      </c>
      <c r="H354" s="22">
        <v>3.3921971252566734</v>
      </c>
      <c r="I354" s="22">
        <v>4.5010266940451746</v>
      </c>
      <c r="J354" s="22">
        <v>7.8932238193018485</v>
      </c>
      <c r="K354" s="22">
        <v>3.3921971252566734</v>
      </c>
      <c r="L354" s="22">
        <v>4.5010266940451746</v>
      </c>
      <c r="M354" s="22">
        <v>7.8932238193018485</v>
      </c>
      <c r="N354" s="22">
        <v>3.4086242299794662</v>
      </c>
      <c r="O354" s="22" t="s">
        <v>8</v>
      </c>
      <c r="P354" s="22" t="s">
        <v>8</v>
      </c>
      <c r="Q354" s="22">
        <v>3.8302532511978096</v>
      </c>
      <c r="R354" s="22" t="s">
        <v>8</v>
      </c>
      <c r="S354" s="22" t="s">
        <v>8</v>
      </c>
      <c r="T354" s="5">
        <v>4</v>
      </c>
      <c r="U354" s="5">
        <v>16</v>
      </c>
      <c r="V354" s="20" t="s">
        <v>1</v>
      </c>
      <c r="W354" s="20">
        <v>5</v>
      </c>
      <c r="X354" s="20">
        <v>1</v>
      </c>
      <c r="Y354" s="5">
        <v>1</v>
      </c>
      <c r="Z354" s="20">
        <v>4</v>
      </c>
      <c r="AA354" s="23">
        <f t="shared" si="10"/>
        <v>2</v>
      </c>
      <c r="AB354" s="15">
        <v>1</v>
      </c>
      <c r="AC354" s="15">
        <v>0.875</v>
      </c>
      <c r="AD354" s="15">
        <v>0.75</v>
      </c>
      <c r="AE354" s="15">
        <v>0.875</v>
      </c>
      <c r="AF354" s="20">
        <v>21</v>
      </c>
      <c r="AG354" s="20" t="s">
        <v>8</v>
      </c>
      <c r="AH354" s="24">
        <v>24</v>
      </c>
      <c r="AI354" s="23">
        <f t="shared" si="11"/>
        <v>1</v>
      </c>
      <c r="AJ354" s="17">
        <v>12.5</v>
      </c>
      <c r="AK354" s="17">
        <v>8.5</v>
      </c>
      <c r="AL354" s="14">
        <v>21</v>
      </c>
      <c r="AM354" s="23" cm="1">
        <f t="array" ref="AM354">IF(OR(AN354:AZ354=""),"BLANK",IF(AND(AN354:AZ354&lt;9999999),1,IF(AND(AN354:AZ354="NA"),3,2)))</f>
        <v>1</v>
      </c>
      <c r="AN354" s="5">
        <v>10</v>
      </c>
      <c r="AO354" s="5">
        <v>2</v>
      </c>
      <c r="AP354" s="10">
        <v>3</v>
      </c>
      <c r="AQ354" s="10">
        <v>6.25</v>
      </c>
      <c r="AR354" s="10">
        <v>5</v>
      </c>
      <c r="AS354" s="11">
        <v>1084</v>
      </c>
      <c r="AT354" s="11">
        <v>4105.5</v>
      </c>
      <c r="AU354" s="11">
        <v>8731.5</v>
      </c>
      <c r="AV354" s="11">
        <v>9155</v>
      </c>
      <c r="AW354" s="11">
        <v>0</v>
      </c>
      <c r="AX354" s="11">
        <v>0</v>
      </c>
      <c r="AY354" s="11">
        <v>595.14236111109994</v>
      </c>
      <c r="AZ354" s="11">
        <v>0</v>
      </c>
      <c r="BA354" s="23">
        <v>3</v>
      </c>
      <c r="BB354" s="24" t="s">
        <v>8</v>
      </c>
    </row>
    <row r="355" spans="1:54" x14ac:dyDescent="0.2">
      <c r="A355" s="5">
        <v>3182</v>
      </c>
      <c r="B355" s="20" t="s">
        <v>70</v>
      </c>
      <c r="C355" s="18" t="s">
        <v>55</v>
      </c>
      <c r="D355" s="18">
        <v>5</v>
      </c>
      <c r="E355" s="18">
        <v>0</v>
      </c>
      <c r="F355" s="20">
        <v>4</v>
      </c>
      <c r="G355" s="18">
        <v>30</v>
      </c>
      <c r="H355" s="22">
        <v>3.5509924709103355</v>
      </c>
      <c r="I355" s="22" t="s">
        <v>8</v>
      </c>
      <c r="J355" s="22" t="s">
        <v>8</v>
      </c>
      <c r="K355" s="22">
        <v>3.5646817248459959</v>
      </c>
      <c r="L355" s="22" t="s">
        <v>8</v>
      </c>
      <c r="M355" s="22" t="s">
        <v>8</v>
      </c>
      <c r="N355" s="22">
        <v>3.5509924709103355</v>
      </c>
      <c r="O355" s="22" t="s">
        <v>8</v>
      </c>
      <c r="P355" s="22" t="s">
        <v>8</v>
      </c>
      <c r="Q355" s="22">
        <v>3.3319644079397674</v>
      </c>
      <c r="R355" s="22" t="s">
        <v>8</v>
      </c>
      <c r="S355" s="22" t="s">
        <v>8</v>
      </c>
      <c r="T355" s="5">
        <v>3</v>
      </c>
      <c r="U355" s="5">
        <v>13</v>
      </c>
      <c r="V355" s="20" t="s">
        <v>1</v>
      </c>
      <c r="W355" s="20">
        <v>5</v>
      </c>
      <c r="X355" s="20">
        <v>1</v>
      </c>
      <c r="Y355" s="5">
        <v>1</v>
      </c>
      <c r="Z355" s="20">
        <v>4</v>
      </c>
      <c r="AA355" s="23">
        <f t="shared" si="10"/>
        <v>2</v>
      </c>
      <c r="AB355" s="15">
        <v>1</v>
      </c>
      <c r="AC355" s="15">
        <v>0.75</v>
      </c>
      <c r="AD355" s="15">
        <v>0.25</v>
      </c>
      <c r="AE355" s="15">
        <v>0.66700000000000004</v>
      </c>
      <c r="AF355" s="20">
        <v>16</v>
      </c>
      <c r="AG355" s="20" t="s">
        <v>8</v>
      </c>
      <c r="AH355" s="24">
        <v>24</v>
      </c>
      <c r="AI355" s="23">
        <f t="shared" si="11"/>
        <v>1</v>
      </c>
      <c r="AJ355" s="17">
        <v>2.5</v>
      </c>
      <c r="AK355" s="17">
        <v>3.75</v>
      </c>
      <c r="AL355" s="14">
        <v>6.25</v>
      </c>
      <c r="AM355" s="23" cm="1">
        <f t="array" ref="AM355">IF(OR(AN355:AZ355=""),"BLANK",IF(AND(AN355:AZ355&lt;9999999),1,IF(AND(AN355:AZ355="NA"),3,2)))</f>
        <v>1</v>
      </c>
      <c r="AN355" s="5">
        <v>7</v>
      </c>
      <c r="AO355" s="5">
        <v>2</v>
      </c>
      <c r="AP355" s="10">
        <v>4.5</v>
      </c>
      <c r="AQ355" s="10">
        <v>5.75</v>
      </c>
      <c r="AR355" s="10">
        <v>6.75</v>
      </c>
      <c r="AS355" s="11">
        <v>2062.5</v>
      </c>
      <c r="AT355" s="11">
        <v>2780</v>
      </c>
      <c r="AU355" s="11">
        <v>1504.25</v>
      </c>
      <c r="AV355" s="11">
        <v>1884.5</v>
      </c>
      <c r="AW355" s="11">
        <v>0</v>
      </c>
      <c r="AX355" s="11">
        <v>2553.9166666667002</v>
      </c>
      <c r="AY355" s="11">
        <v>19060.055555555598</v>
      </c>
      <c r="AZ355" s="11">
        <v>942.82575757580003</v>
      </c>
      <c r="BA355" s="23">
        <v>3</v>
      </c>
      <c r="BB355" s="24" t="s">
        <v>8</v>
      </c>
    </row>
    <row r="356" spans="1:54" x14ac:dyDescent="0.2">
      <c r="A356" s="5">
        <v>3211</v>
      </c>
      <c r="B356" s="20" t="s">
        <v>81</v>
      </c>
      <c r="C356" s="18" t="s">
        <v>55</v>
      </c>
      <c r="D356" s="18">
        <v>5</v>
      </c>
      <c r="E356" s="18">
        <v>0</v>
      </c>
      <c r="F356" s="20">
        <v>3.4550000000000001</v>
      </c>
      <c r="G356" s="18">
        <v>28</v>
      </c>
      <c r="H356" s="22">
        <v>3.8850102669404518</v>
      </c>
      <c r="I356" s="22">
        <v>3.7535934291581108</v>
      </c>
      <c r="J356" s="22">
        <v>7.6386036960985626</v>
      </c>
      <c r="K356" s="22">
        <v>4.3641341546885695</v>
      </c>
      <c r="L356" s="22">
        <v>3.3100616016427105</v>
      </c>
      <c r="M356" s="22">
        <v>7.6741957563312804</v>
      </c>
      <c r="N356" s="22">
        <v>4.0136892539356603</v>
      </c>
      <c r="O356" s="22">
        <v>3.6358658453114305</v>
      </c>
      <c r="P356" s="22">
        <v>7.6495550992470909</v>
      </c>
      <c r="Q356" s="22">
        <v>4.0958247775496233</v>
      </c>
      <c r="R356" s="22">
        <v>3.808350444900753</v>
      </c>
      <c r="S356" s="22">
        <v>7.9041752224503767</v>
      </c>
      <c r="T356" s="5">
        <v>4</v>
      </c>
      <c r="U356" s="5">
        <v>16</v>
      </c>
      <c r="V356" s="20" t="s">
        <v>1</v>
      </c>
      <c r="W356" s="20">
        <v>5</v>
      </c>
      <c r="X356" s="20">
        <v>1</v>
      </c>
      <c r="Y356" s="5">
        <v>1</v>
      </c>
      <c r="Z356" s="20">
        <v>4</v>
      </c>
      <c r="AA356" s="23">
        <f t="shared" si="10"/>
        <v>2</v>
      </c>
      <c r="AB356" s="15">
        <v>1</v>
      </c>
      <c r="AC356" s="15">
        <v>1</v>
      </c>
      <c r="AD356" s="15">
        <v>1</v>
      </c>
      <c r="AE356" s="15">
        <v>1</v>
      </c>
      <c r="AF356" s="20">
        <v>24</v>
      </c>
      <c r="AG356" s="20" t="s">
        <v>8</v>
      </c>
      <c r="AH356" s="24">
        <v>24</v>
      </c>
      <c r="AI356" s="23">
        <f t="shared" si="11"/>
        <v>1</v>
      </c>
      <c r="AJ356" s="17">
        <v>7</v>
      </c>
      <c r="AK356" s="17">
        <v>6.5</v>
      </c>
      <c r="AL356" s="14">
        <v>13.5</v>
      </c>
      <c r="AM356" s="23" cm="1">
        <f t="array" ref="AM356">IF(OR(AN356:AZ356=""),"BLANK",IF(AND(AN356:AZ356&lt;9999999),1,IF(AND(AN356:AZ356="NA"),3,2)))</f>
        <v>1</v>
      </c>
      <c r="AN356" s="5">
        <v>11</v>
      </c>
      <c r="AO356" s="5">
        <v>2</v>
      </c>
      <c r="AP356" s="10">
        <v>3</v>
      </c>
      <c r="AQ356" s="10">
        <v>4</v>
      </c>
      <c r="AR356" s="10">
        <v>5.25</v>
      </c>
      <c r="AS356" s="11">
        <v>3875.5</v>
      </c>
      <c r="AT356" s="11">
        <v>2599.5</v>
      </c>
      <c r="AU356" s="11">
        <v>13536.75</v>
      </c>
      <c r="AV356" s="11">
        <v>7683.75</v>
      </c>
      <c r="AW356" s="11">
        <v>0</v>
      </c>
      <c r="AX356" s="11">
        <v>0</v>
      </c>
      <c r="AY356" s="11">
        <v>0</v>
      </c>
      <c r="AZ356" s="11">
        <v>1966.1166666667</v>
      </c>
      <c r="BA356" s="23">
        <v>3</v>
      </c>
      <c r="BB356" s="24" t="s">
        <v>8</v>
      </c>
    </row>
    <row r="357" spans="1:54" x14ac:dyDescent="0.2">
      <c r="A357" s="5">
        <v>3212</v>
      </c>
      <c r="B357" s="20" t="s">
        <v>68</v>
      </c>
      <c r="C357" s="18" t="s">
        <v>54</v>
      </c>
      <c r="D357" s="18">
        <v>5</v>
      </c>
      <c r="E357" s="18">
        <v>0</v>
      </c>
      <c r="F357" s="20">
        <v>3.7269999999999999</v>
      </c>
      <c r="G357" s="18">
        <v>27</v>
      </c>
      <c r="H357" s="22" t="s">
        <v>8</v>
      </c>
      <c r="I357" s="22" t="s">
        <v>8</v>
      </c>
      <c r="J357" s="22" t="s">
        <v>8</v>
      </c>
      <c r="K357" s="22" t="s">
        <v>8</v>
      </c>
      <c r="L357" s="22" t="s">
        <v>8</v>
      </c>
      <c r="M357" s="22" t="s">
        <v>8</v>
      </c>
      <c r="N357" s="22" t="s">
        <v>8</v>
      </c>
      <c r="O357" s="22" t="s">
        <v>8</v>
      </c>
      <c r="P357" s="22" t="s">
        <v>8</v>
      </c>
      <c r="Q357" s="22" t="s">
        <v>8</v>
      </c>
      <c r="R357" s="22" t="s">
        <v>8</v>
      </c>
      <c r="S357" s="22" t="s">
        <v>8</v>
      </c>
      <c r="T357" s="5">
        <v>2</v>
      </c>
      <c r="U357" s="5">
        <v>12</v>
      </c>
      <c r="V357" s="20" t="s">
        <v>1</v>
      </c>
      <c r="W357" s="20">
        <v>5</v>
      </c>
      <c r="X357" s="20">
        <v>1</v>
      </c>
      <c r="Y357" s="5">
        <v>1</v>
      </c>
      <c r="Z357" s="20">
        <v>4</v>
      </c>
      <c r="AA357" s="23">
        <f t="shared" si="10"/>
        <v>2</v>
      </c>
      <c r="AB357" s="15">
        <v>0.875</v>
      </c>
      <c r="AC357" s="15">
        <v>0.5</v>
      </c>
      <c r="AD357" s="15">
        <v>0.25</v>
      </c>
      <c r="AE357" s="15">
        <v>0.54200000000000004</v>
      </c>
      <c r="AF357" s="20">
        <v>13</v>
      </c>
      <c r="AG357" s="20" t="s">
        <v>8</v>
      </c>
      <c r="AH357" s="24">
        <v>24</v>
      </c>
      <c r="AI357" s="23">
        <f t="shared" si="11"/>
        <v>1</v>
      </c>
      <c r="AJ357" s="17">
        <v>6.25</v>
      </c>
      <c r="AK357" s="17">
        <v>2.5</v>
      </c>
      <c r="AL357" s="14">
        <v>8.75</v>
      </c>
      <c r="AM357" s="23" cm="1">
        <f t="array" ref="AM357">IF(OR(AN357:AZ357=""),"BLANK",IF(AND(AN357:AZ357&lt;9999999),1,IF(AND(AN357:AZ357="NA"),3,2)))</f>
        <v>1</v>
      </c>
      <c r="AN357" s="5">
        <v>5</v>
      </c>
      <c r="AO357" s="5">
        <v>2</v>
      </c>
      <c r="AP357" s="10">
        <v>3.5</v>
      </c>
      <c r="AQ357" s="10">
        <v>5.25</v>
      </c>
      <c r="AR357" s="10">
        <v>10.5</v>
      </c>
      <c r="AS357" s="11">
        <v>1120</v>
      </c>
      <c r="AT357" s="11">
        <v>11748.5</v>
      </c>
      <c r="AU357" s="11">
        <v>4643</v>
      </c>
      <c r="AV357" s="11">
        <v>6524</v>
      </c>
      <c r="AW357" s="11">
        <v>0</v>
      </c>
      <c r="AX357" s="11">
        <v>83.708333333300004</v>
      </c>
      <c r="AY357" s="11">
        <v>527.66875000000005</v>
      </c>
      <c r="AZ357" s="11">
        <v>3078.5208333332998</v>
      </c>
      <c r="BA357" s="23">
        <v>3</v>
      </c>
      <c r="BB357" s="24" t="s">
        <v>8</v>
      </c>
    </row>
    <row r="358" spans="1:54" x14ac:dyDescent="0.2">
      <c r="A358" s="5">
        <v>3242</v>
      </c>
      <c r="B358" s="20" t="s">
        <v>64</v>
      </c>
      <c r="C358" s="18" t="s">
        <v>54</v>
      </c>
      <c r="D358" s="18">
        <v>5</v>
      </c>
      <c r="E358" s="18">
        <v>0</v>
      </c>
      <c r="F358" s="20">
        <v>3.8180000000000001</v>
      </c>
      <c r="G358" s="18">
        <v>29</v>
      </c>
      <c r="H358" s="22">
        <v>3.5044490075290895</v>
      </c>
      <c r="I358" s="22" t="s">
        <v>8</v>
      </c>
      <c r="J358" s="22" t="s">
        <v>8</v>
      </c>
      <c r="K358" s="22">
        <v>3.5044490075290895</v>
      </c>
      <c r="L358" s="22" t="s">
        <v>8</v>
      </c>
      <c r="M358" s="22" t="s">
        <v>8</v>
      </c>
      <c r="N358" s="22">
        <v>3.5181382614647503</v>
      </c>
      <c r="O358" s="22" t="s">
        <v>8</v>
      </c>
      <c r="P358" s="22" t="s">
        <v>8</v>
      </c>
      <c r="Q358" s="22">
        <v>3.4277891854893907</v>
      </c>
      <c r="R358" s="22" t="s">
        <v>8</v>
      </c>
      <c r="S358" s="22" t="s">
        <v>8</v>
      </c>
      <c r="T358" s="5">
        <v>3</v>
      </c>
      <c r="U358" s="5">
        <v>15</v>
      </c>
      <c r="V358" s="20" t="s">
        <v>1</v>
      </c>
      <c r="W358" s="20">
        <v>5</v>
      </c>
      <c r="X358" s="20">
        <v>1</v>
      </c>
      <c r="Y358" s="5">
        <v>1</v>
      </c>
      <c r="Z358" s="20">
        <v>4</v>
      </c>
      <c r="AA358" s="23">
        <f t="shared" si="10"/>
        <v>2</v>
      </c>
      <c r="AB358" s="15">
        <v>0.875</v>
      </c>
      <c r="AC358" s="15">
        <v>0.5</v>
      </c>
      <c r="AD358" s="15">
        <v>0.375</v>
      </c>
      <c r="AE358" s="15">
        <v>0.58299999999999996</v>
      </c>
      <c r="AF358" s="20">
        <v>14</v>
      </c>
      <c r="AG358" s="20" t="s">
        <v>8</v>
      </c>
      <c r="AH358" s="24">
        <v>24</v>
      </c>
      <c r="AI358" s="23">
        <f t="shared" si="11"/>
        <v>1</v>
      </c>
      <c r="AJ358" s="17">
        <v>1.75</v>
      </c>
      <c r="AK358" s="17">
        <v>3</v>
      </c>
      <c r="AL358" s="14">
        <v>4.75</v>
      </c>
      <c r="AM358" s="23" cm="1">
        <f t="array" ref="AM358">IF(OR(AN358:AZ358=""),"BLANK",IF(AND(AN358:AZ358&lt;9999999),1,IF(AND(AN358:AZ358="NA"),3,2)))</f>
        <v>1</v>
      </c>
      <c r="AN358" s="5">
        <v>8</v>
      </c>
      <c r="AO358" s="5">
        <v>2</v>
      </c>
      <c r="AP358" s="10">
        <v>3</v>
      </c>
      <c r="AQ358" s="10">
        <v>6</v>
      </c>
      <c r="AR358" s="10">
        <v>7</v>
      </c>
      <c r="AS358" s="11">
        <v>4183.5</v>
      </c>
      <c r="AT358" s="11">
        <v>5017</v>
      </c>
      <c r="AU358" s="11">
        <v>3133.25</v>
      </c>
      <c r="AV358" s="11">
        <v>4830.5</v>
      </c>
      <c r="AW358" s="11">
        <v>0</v>
      </c>
      <c r="AX358" s="11">
        <v>0</v>
      </c>
      <c r="AY358" s="11">
        <v>1021.8382936508</v>
      </c>
      <c r="AZ358" s="11">
        <v>2416.8874999999998</v>
      </c>
      <c r="BA358" s="23">
        <v>3</v>
      </c>
      <c r="BB358" s="24" t="s">
        <v>8</v>
      </c>
    </row>
    <row r="359" spans="1:54" x14ac:dyDescent="0.2">
      <c r="A359" s="5">
        <v>3306</v>
      </c>
      <c r="B359" s="20" t="s">
        <v>64</v>
      </c>
      <c r="C359" s="18" t="s">
        <v>54</v>
      </c>
      <c r="D359" s="18">
        <v>5</v>
      </c>
      <c r="E359" s="18">
        <v>0</v>
      </c>
      <c r="F359" s="20">
        <v>3.9089999999999998</v>
      </c>
      <c r="G359" s="18">
        <v>30</v>
      </c>
      <c r="H359" s="22">
        <v>3.4524298425735798</v>
      </c>
      <c r="I359" s="22">
        <v>3.4113620807665983</v>
      </c>
      <c r="J359" s="22">
        <v>6.8637919233401776</v>
      </c>
      <c r="K359" s="22">
        <v>3.4524298425735798</v>
      </c>
      <c r="L359" s="22">
        <v>3.4496919917864477</v>
      </c>
      <c r="M359" s="22">
        <v>6.9021218343600275</v>
      </c>
      <c r="N359" s="22">
        <v>3.4332648870636548</v>
      </c>
      <c r="O359" s="22">
        <v>3.4305270362765228</v>
      </c>
      <c r="P359" s="22">
        <v>6.8637919233401776</v>
      </c>
      <c r="Q359" s="22">
        <v>3.3648186173853527</v>
      </c>
      <c r="R359" s="22" t="s">
        <v>8</v>
      </c>
      <c r="S359" s="22" t="s">
        <v>8</v>
      </c>
      <c r="T359" s="5">
        <v>4</v>
      </c>
      <c r="U359" s="5">
        <v>16</v>
      </c>
      <c r="V359" s="20" t="s">
        <v>1</v>
      </c>
      <c r="W359" s="20">
        <v>5</v>
      </c>
      <c r="X359" s="20">
        <v>1</v>
      </c>
      <c r="Y359" s="5">
        <v>1</v>
      </c>
      <c r="Z359" s="20">
        <v>4</v>
      </c>
      <c r="AA359" s="23">
        <f t="shared" si="10"/>
        <v>1</v>
      </c>
      <c r="AB359" s="15">
        <v>1</v>
      </c>
      <c r="AC359" s="15">
        <v>0.625</v>
      </c>
      <c r="AD359" s="15">
        <v>0.25</v>
      </c>
      <c r="AE359" s="15">
        <v>0.625</v>
      </c>
      <c r="AF359" s="20">
        <v>15</v>
      </c>
      <c r="AG359" s="20">
        <v>0</v>
      </c>
      <c r="AH359" s="24">
        <v>24</v>
      </c>
      <c r="AI359" s="23">
        <f t="shared" si="11"/>
        <v>1</v>
      </c>
      <c r="AJ359" s="17">
        <v>6.75</v>
      </c>
      <c r="AK359" s="17">
        <v>5.75</v>
      </c>
      <c r="AL359" s="14">
        <v>12.5</v>
      </c>
      <c r="AM359" s="23" cm="1">
        <f t="array" ref="AM359">IF(OR(AN359:AZ359=""),"BLANK",IF(AND(AN359:AZ359&lt;9999999),1,IF(AND(AN359:AZ359="NA"),3,2)))</f>
        <v>1</v>
      </c>
      <c r="AN359" s="5">
        <v>7</v>
      </c>
      <c r="AO359" s="5">
        <v>2</v>
      </c>
      <c r="AP359" s="10">
        <v>3</v>
      </c>
      <c r="AQ359" s="10">
        <v>6</v>
      </c>
      <c r="AR359" s="10">
        <v>8.25</v>
      </c>
      <c r="AS359" s="11">
        <v>2840</v>
      </c>
      <c r="AT359" s="11">
        <v>25475.5</v>
      </c>
      <c r="AU359" s="11">
        <v>11293.75</v>
      </c>
      <c r="AV359" s="11">
        <v>15240.5</v>
      </c>
      <c r="AW359" s="11">
        <v>6483.5</v>
      </c>
      <c r="AX359" s="11">
        <v>35440.166666666701</v>
      </c>
      <c r="AY359" s="11">
        <v>11144.1611111111</v>
      </c>
      <c r="AZ359" s="11">
        <v>1726.5731060605999</v>
      </c>
      <c r="BA359" s="23">
        <v>3</v>
      </c>
      <c r="BB359" s="24" t="s">
        <v>8</v>
      </c>
    </row>
    <row r="360" spans="1:54" x14ac:dyDescent="0.2">
      <c r="A360" s="5">
        <v>3319</v>
      </c>
      <c r="B360" s="20" t="s">
        <v>63</v>
      </c>
      <c r="C360" s="18" t="s">
        <v>54</v>
      </c>
      <c r="D360" s="18">
        <v>5</v>
      </c>
      <c r="E360" s="18">
        <v>0</v>
      </c>
      <c r="F360" s="20">
        <v>4</v>
      </c>
      <c r="G360" s="18">
        <v>29</v>
      </c>
      <c r="H360" s="22">
        <v>3.6221765913757702</v>
      </c>
      <c r="I360" s="22">
        <v>4.3285420944558526</v>
      </c>
      <c r="J360" s="22">
        <v>7.9507186858316219</v>
      </c>
      <c r="K360" s="22">
        <v>3.6933607118412048</v>
      </c>
      <c r="L360" s="22">
        <v>4.2792607802874745</v>
      </c>
      <c r="M360" s="22">
        <v>7.9726214921286793</v>
      </c>
      <c r="N360" s="22">
        <v>3.871321013004791</v>
      </c>
      <c r="O360" s="22">
        <v>4.1998631074606436</v>
      </c>
      <c r="P360" s="22">
        <v>8.0711841204654338</v>
      </c>
      <c r="Q360" s="22">
        <v>3.6030116358658453</v>
      </c>
      <c r="R360" s="22" t="s">
        <v>8</v>
      </c>
      <c r="S360" s="22" t="s">
        <v>8</v>
      </c>
      <c r="T360" s="5">
        <v>1</v>
      </c>
      <c r="U360" s="5">
        <v>11</v>
      </c>
      <c r="V360" s="20" t="s">
        <v>1</v>
      </c>
      <c r="W360" s="20">
        <v>5</v>
      </c>
      <c r="X360" s="20">
        <v>1</v>
      </c>
      <c r="Y360" s="5">
        <v>1</v>
      </c>
      <c r="Z360" s="20">
        <v>4</v>
      </c>
      <c r="AA360" s="23">
        <f t="shared" si="10"/>
        <v>2</v>
      </c>
      <c r="AB360" s="15">
        <v>0.875</v>
      </c>
      <c r="AC360" s="15">
        <v>0.5</v>
      </c>
      <c r="AD360" s="15">
        <v>0.5</v>
      </c>
      <c r="AE360" s="15">
        <v>0.625</v>
      </c>
      <c r="AF360" s="20">
        <v>15</v>
      </c>
      <c r="AG360" s="20" t="s">
        <v>8</v>
      </c>
      <c r="AH360" s="24">
        <v>24</v>
      </c>
      <c r="AI360" s="23">
        <f t="shared" si="11"/>
        <v>1</v>
      </c>
      <c r="AJ360" s="17">
        <v>1.25</v>
      </c>
      <c r="AK360" s="17">
        <v>0</v>
      </c>
      <c r="AL360" s="14">
        <v>1.25</v>
      </c>
      <c r="AM360" s="23" cm="1">
        <f t="array" ref="AM360">IF(OR(AN360:AZ360=""),"BLANK",IF(AND(AN360:AZ360&lt;9999999),1,IF(AND(AN360:AZ360="NA"),3,2)))</f>
        <v>1</v>
      </c>
      <c r="AN360" s="5">
        <v>7</v>
      </c>
      <c r="AO360" s="5">
        <v>2</v>
      </c>
      <c r="AP360" s="10">
        <v>3</v>
      </c>
      <c r="AQ360" s="10">
        <v>5.75</v>
      </c>
      <c r="AR360" s="10">
        <v>8.5</v>
      </c>
      <c r="AS360" s="11">
        <v>5512</v>
      </c>
      <c r="AT360" s="11">
        <v>18628.5</v>
      </c>
      <c r="AU360" s="11">
        <v>17545.25</v>
      </c>
      <c r="AV360" s="11">
        <v>6886.25</v>
      </c>
      <c r="AW360" s="11">
        <v>0</v>
      </c>
      <c r="AX360" s="11">
        <v>35558.5</v>
      </c>
      <c r="AY360" s="11">
        <v>17637.958333333299</v>
      </c>
      <c r="AZ360" s="11">
        <v>23957.568055555599</v>
      </c>
      <c r="BA360" s="23">
        <v>3</v>
      </c>
      <c r="BB360" s="24" t="s">
        <v>8</v>
      </c>
    </row>
    <row r="361" spans="1:54" x14ac:dyDescent="0.2">
      <c r="A361" s="5">
        <v>3328</v>
      </c>
      <c r="B361" s="20" t="s">
        <v>63</v>
      </c>
      <c r="C361" s="18" t="s">
        <v>55</v>
      </c>
      <c r="D361" s="18">
        <v>5</v>
      </c>
      <c r="E361" s="18">
        <v>0</v>
      </c>
      <c r="F361" s="20">
        <v>4</v>
      </c>
      <c r="G361" s="18">
        <v>30</v>
      </c>
      <c r="H361" s="22">
        <v>3.7015742642026011</v>
      </c>
      <c r="I361" s="22">
        <v>4.5694729637234772</v>
      </c>
      <c r="J361" s="22">
        <v>8.2710472279260774</v>
      </c>
      <c r="K361" s="22">
        <v>3.7015742642026011</v>
      </c>
      <c r="L361" s="22">
        <v>4.5694729637234772</v>
      </c>
      <c r="M361" s="22">
        <v>8.2710472279260774</v>
      </c>
      <c r="N361" s="22">
        <v>4.687200547570157</v>
      </c>
      <c r="O361" s="22">
        <v>3.5044490075290895</v>
      </c>
      <c r="P361" s="22">
        <v>8.1916495550992465</v>
      </c>
      <c r="Q361" s="22" t="s">
        <v>8</v>
      </c>
      <c r="R361" s="22" t="s">
        <v>8</v>
      </c>
      <c r="S361" s="22" t="s">
        <v>8</v>
      </c>
      <c r="T361" s="5">
        <v>3</v>
      </c>
      <c r="U361" s="5">
        <v>13</v>
      </c>
      <c r="V361" s="20" t="s">
        <v>1</v>
      </c>
      <c r="W361" s="20">
        <v>5</v>
      </c>
      <c r="X361" s="20">
        <v>1</v>
      </c>
      <c r="Y361" s="5">
        <v>1</v>
      </c>
      <c r="Z361" s="20">
        <v>4</v>
      </c>
      <c r="AA361" s="23">
        <f t="shared" si="10"/>
        <v>2</v>
      </c>
      <c r="AB361" s="15">
        <v>0.625</v>
      </c>
      <c r="AC361" s="15">
        <v>0.625</v>
      </c>
      <c r="AD361" s="15">
        <v>0.5</v>
      </c>
      <c r="AE361" s="15">
        <v>0.58299999999999996</v>
      </c>
      <c r="AF361" s="20">
        <v>14</v>
      </c>
      <c r="AG361" s="20" t="s">
        <v>8</v>
      </c>
      <c r="AH361" s="24">
        <v>24</v>
      </c>
      <c r="AI361" s="23">
        <f t="shared" si="11"/>
        <v>1</v>
      </c>
      <c r="AJ361" s="17">
        <v>6.5</v>
      </c>
      <c r="AK361" s="17">
        <v>3.5</v>
      </c>
      <c r="AL361" s="14">
        <v>10</v>
      </c>
      <c r="AM361" s="23" cm="1">
        <f t="array" ref="AM361">IF(OR(AN361:AZ361=""),"BLANK",IF(AND(AN361:AZ361&lt;9999999),1,IF(AND(AN361:AZ361="NA"),3,2)))</f>
        <v>1</v>
      </c>
      <c r="AN361" s="5">
        <v>5</v>
      </c>
      <c r="AO361" s="5">
        <v>2</v>
      </c>
      <c r="AP361" s="10">
        <v>4</v>
      </c>
      <c r="AQ361" s="10">
        <v>6.5</v>
      </c>
      <c r="AR361" s="10">
        <v>6.75</v>
      </c>
      <c r="AS361" s="11">
        <v>3845.5</v>
      </c>
      <c r="AT361" s="11">
        <v>5511.5</v>
      </c>
      <c r="AU361" s="11">
        <v>22164</v>
      </c>
      <c r="AV361" s="11">
        <v>29504.25</v>
      </c>
      <c r="AW361" s="11">
        <v>0</v>
      </c>
      <c r="AX361" s="11">
        <v>1324.2</v>
      </c>
      <c r="AY361" s="11">
        <v>8957.8562500000007</v>
      </c>
      <c r="AZ361" s="11">
        <v>6286.7265873016004</v>
      </c>
      <c r="BA361" s="23">
        <v>3</v>
      </c>
      <c r="BB361" s="24" t="s">
        <v>8</v>
      </c>
    </row>
    <row r="362" spans="1:54" x14ac:dyDescent="0.2">
      <c r="A362" s="5">
        <v>3331</v>
      </c>
      <c r="B362" s="20" t="s">
        <v>75</v>
      </c>
      <c r="C362" s="18" t="s">
        <v>54</v>
      </c>
      <c r="D362" s="18">
        <v>5</v>
      </c>
      <c r="E362" s="18">
        <v>0</v>
      </c>
      <c r="F362" s="20">
        <v>3.7269999999999999</v>
      </c>
      <c r="G362" s="18">
        <v>29</v>
      </c>
      <c r="H362" s="22" t="s">
        <v>8</v>
      </c>
      <c r="I362" s="22" t="s">
        <v>8</v>
      </c>
      <c r="J362" s="22" t="s">
        <v>8</v>
      </c>
      <c r="K362" s="22" t="s">
        <v>8</v>
      </c>
      <c r="L362" s="22" t="s">
        <v>8</v>
      </c>
      <c r="M362" s="22" t="s">
        <v>8</v>
      </c>
      <c r="N362" s="22" t="s">
        <v>8</v>
      </c>
      <c r="O362" s="22" t="s">
        <v>8</v>
      </c>
      <c r="P362" s="22" t="s">
        <v>8</v>
      </c>
      <c r="Q362" s="22" t="s">
        <v>8</v>
      </c>
      <c r="R362" s="22" t="s">
        <v>8</v>
      </c>
      <c r="S362" s="22" t="s">
        <v>8</v>
      </c>
      <c r="T362" s="5">
        <v>3</v>
      </c>
      <c r="U362" s="5">
        <v>15</v>
      </c>
      <c r="V362" s="20" t="s">
        <v>1</v>
      </c>
      <c r="W362" s="20">
        <v>5</v>
      </c>
      <c r="X362" s="20">
        <v>1</v>
      </c>
      <c r="Y362" s="5">
        <v>1</v>
      </c>
      <c r="Z362" s="20">
        <v>4</v>
      </c>
      <c r="AA362" s="23">
        <f t="shared" si="10"/>
        <v>2</v>
      </c>
      <c r="AB362" s="15">
        <v>0.875</v>
      </c>
      <c r="AC362" s="15">
        <v>0.875</v>
      </c>
      <c r="AD362" s="15">
        <v>0.75</v>
      </c>
      <c r="AE362" s="15">
        <v>0.83299999999999996</v>
      </c>
      <c r="AF362" s="20">
        <v>20</v>
      </c>
      <c r="AG362" s="20" t="s">
        <v>8</v>
      </c>
      <c r="AH362" s="24">
        <v>24</v>
      </c>
      <c r="AI362" s="23">
        <f t="shared" si="11"/>
        <v>1</v>
      </c>
      <c r="AJ362" s="17">
        <v>8</v>
      </c>
      <c r="AK362" s="17">
        <v>5.75</v>
      </c>
      <c r="AL362" s="14">
        <v>13.75</v>
      </c>
      <c r="AM362" s="23" cm="1">
        <f t="array" ref="AM362">IF(OR(AN362:AZ362=""),"BLANK",IF(AND(AN362:AZ362&lt;9999999),1,IF(AND(AN362:AZ362="NA"),3,2)))</f>
        <v>1</v>
      </c>
      <c r="AN362" s="5">
        <v>8</v>
      </c>
      <c r="AO362" s="5">
        <v>2</v>
      </c>
      <c r="AP362" s="10">
        <v>3</v>
      </c>
      <c r="AQ362" s="10">
        <v>6</v>
      </c>
      <c r="AR362" s="10">
        <v>8.5</v>
      </c>
      <c r="AS362" s="11">
        <v>4746.5</v>
      </c>
      <c r="AT362" s="11">
        <v>22085</v>
      </c>
      <c r="AU362" s="11">
        <v>31950</v>
      </c>
      <c r="AV362" s="11">
        <v>26145</v>
      </c>
      <c r="AW362" s="11">
        <v>380.75</v>
      </c>
      <c r="AX362" s="11">
        <v>1493.3333333333001</v>
      </c>
      <c r="AY362" s="11">
        <v>12097.8988095238</v>
      </c>
      <c r="AZ362" s="11">
        <v>2841.9375</v>
      </c>
      <c r="BA362" s="23">
        <v>3</v>
      </c>
      <c r="BB362" s="24" t="s">
        <v>8</v>
      </c>
    </row>
    <row r="363" spans="1:54" x14ac:dyDescent="0.2">
      <c r="A363" s="5">
        <v>3334</v>
      </c>
      <c r="B363" s="20" t="s">
        <v>74</v>
      </c>
      <c r="C363" s="18" t="s">
        <v>55</v>
      </c>
      <c r="D363" s="18">
        <v>5</v>
      </c>
      <c r="E363" s="18">
        <v>0</v>
      </c>
      <c r="F363" s="20">
        <v>3.6360000000000001</v>
      </c>
      <c r="G363" s="18">
        <v>29</v>
      </c>
      <c r="H363" s="22">
        <v>3.5290896646132786</v>
      </c>
      <c r="I363" s="22">
        <v>4.4681724845995889</v>
      </c>
      <c r="J363" s="22">
        <v>7.9972621492128679</v>
      </c>
      <c r="K363" s="22">
        <v>4.774811772758385</v>
      </c>
      <c r="L363" s="22">
        <v>3.2224503764544834</v>
      </c>
      <c r="M363" s="22">
        <v>7.9972621492128679</v>
      </c>
      <c r="N363" s="22">
        <v>3.5236139630390144</v>
      </c>
      <c r="O363" s="22">
        <v>4.3915126625598901</v>
      </c>
      <c r="P363" s="22">
        <v>7.915126625598905</v>
      </c>
      <c r="Q363" s="22">
        <v>3.3456536618754278</v>
      </c>
      <c r="R363" s="22">
        <v>4.4079397672826834</v>
      </c>
      <c r="S363" s="22">
        <v>7.7535934291581112</v>
      </c>
      <c r="T363" s="5">
        <v>3</v>
      </c>
      <c r="U363" s="5">
        <v>14</v>
      </c>
      <c r="V363" s="20" t="s">
        <v>1</v>
      </c>
      <c r="W363" s="20">
        <v>5</v>
      </c>
      <c r="X363" s="20">
        <v>1</v>
      </c>
      <c r="Y363" s="5">
        <v>1</v>
      </c>
      <c r="Z363" s="20">
        <v>4</v>
      </c>
      <c r="AA363" s="23">
        <f t="shared" si="10"/>
        <v>2</v>
      </c>
      <c r="AB363" s="15">
        <v>1</v>
      </c>
      <c r="AC363" s="15">
        <v>1</v>
      </c>
      <c r="AD363" s="15">
        <v>1</v>
      </c>
      <c r="AE363" s="15">
        <v>1</v>
      </c>
      <c r="AF363" s="20">
        <v>24</v>
      </c>
      <c r="AG363" s="20" t="s">
        <v>8</v>
      </c>
      <c r="AH363" s="24">
        <v>24</v>
      </c>
      <c r="AI363" s="23">
        <f t="shared" si="11"/>
        <v>1</v>
      </c>
      <c r="AJ363" s="17">
        <v>8.75</v>
      </c>
      <c r="AK363" s="17">
        <v>10.75</v>
      </c>
      <c r="AL363" s="14">
        <v>19.5</v>
      </c>
      <c r="AM363" s="23" cm="1">
        <f t="array" ref="AM363">IF(OR(AN363:AZ363=""),"BLANK",IF(AND(AN363:AZ363&lt;9999999),1,IF(AND(AN363:AZ363="NA"),3,2)))</f>
        <v>1</v>
      </c>
      <c r="AN363" s="5">
        <v>10</v>
      </c>
      <c r="AO363" s="5">
        <v>2</v>
      </c>
      <c r="AP363" s="10">
        <v>3</v>
      </c>
      <c r="AQ363" s="10">
        <v>4</v>
      </c>
      <c r="AR363" s="10">
        <v>6.5</v>
      </c>
      <c r="AS363" s="11">
        <v>1828.5</v>
      </c>
      <c r="AT363" s="11">
        <v>7317.5</v>
      </c>
      <c r="AU363" s="11">
        <v>6968.5</v>
      </c>
      <c r="AV363" s="11">
        <v>5487.5</v>
      </c>
      <c r="AW363" s="11">
        <v>294</v>
      </c>
      <c r="AX363" s="11">
        <v>530</v>
      </c>
      <c r="AY363" s="11">
        <v>356.6875</v>
      </c>
      <c r="AZ363" s="11">
        <v>1696.9916666667</v>
      </c>
      <c r="BA363" s="23">
        <v>3</v>
      </c>
      <c r="BB363" s="24" t="s">
        <v>8</v>
      </c>
    </row>
    <row r="364" spans="1:54" x14ac:dyDescent="0.2">
      <c r="A364" s="5">
        <v>3344</v>
      </c>
      <c r="B364" s="20" t="s">
        <v>75</v>
      </c>
      <c r="C364" s="18" t="s">
        <v>55</v>
      </c>
      <c r="D364" s="18">
        <v>5</v>
      </c>
      <c r="E364" s="18">
        <v>0</v>
      </c>
      <c r="F364" s="20">
        <v>4</v>
      </c>
      <c r="G364" s="18">
        <v>28</v>
      </c>
      <c r="H364" s="22" t="s">
        <v>8</v>
      </c>
      <c r="I364" s="22" t="s">
        <v>8</v>
      </c>
      <c r="J364" s="22" t="s">
        <v>8</v>
      </c>
      <c r="K364" s="22" t="s">
        <v>8</v>
      </c>
      <c r="L364" s="22" t="s">
        <v>8</v>
      </c>
      <c r="M364" s="22" t="s">
        <v>8</v>
      </c>
      <c r="N364" s="22" t="s">
        <v>8</v>
      </c>
      <c r="O364" s="22" t="s">
        <v>8</v>
      </c>
      <c r="P364" s="22" t="s">
        <v>8</v>
      </c>
      <c r="Q364" s="22" t="s">
        <v>8</v>
      </c>
      <c r="R364" s="22" t="s">
        <v>8</v>
      </c>
      <c r="S364" s="22" t="s">
        <v>8</v>
      </c>
      <c r="T364" s="5">
        <v>4</v>
      </c>
      <c r="U364" s="5">
        <v>16</v>
      </c>
      <c r="V364" s="20" t="s">
        <v>1</v>
      </c>
      <c r="W364" s="20">
        <v>5</v>
      </c>
      <c r="X364" s="20">
        <v>1</v>
      </c>
      <c r="Y364" s="5">
        <v>1</v>
      </c>
      <c r="Z364" s="20">
        <v>4</v>
      </c>
      <c r="AA364" s="23">
        <f t="shared" si="10"/>
        <v>2</v>
      </c>
      <c r="AB364" s="15">
        <v>1</v>
      </c>
      <c r="AC364" s="15">
        <v>1</v>
      </c>
      <c r="AD364" s="15">
        <v>0.25</v>
      </c>
      <c r="AE364" s="15">
        <v>0.75</v>
      </c>
      <c r="AF364" s="20">
        <v>18</v>
      </c>
      <c r="AG364" s="20" t="s">
        <v>8</v>
      </c>
      <c r="AH364" s="24">
        <v>24</v>
      </c>
      <c r="AI364" s="23">
        <f t="shared" si="11"/>
        <v>1</v>
      </c>
      <c r="AJ364" s="17">
        <v>2.75</v>
      </c>
      <c r="AK364" s="17">
        <v>3</v>
      </c>
      <c r="AL364" s="14">
        <v>5.75</v>
      </c>
      <c r="AM364" s="23" cm="1">
        <f t="array" ref="AM364">IF(OR(AN364:AZ364=""),"BLANK",IF(AND(AN364:AZ364&lt;9999999),1,IF(AND(AN364:AZ364="NA"),3,2)))</f>
        <v>1</v>
      </c>
      <c r="AN364" s="5">
        <v>5</v>
      </c>
      <c r="AO364" s="5">
        <v>2</v>
      </c>
      <c r="AP364" s="10">
        <v>3</v>
      </c>
      <c r="AQ364" s="10">
        <v>6.75</v>
      </c>
      <c r="AR364" s="10">
        <v>7.75</v>
      </c>
      <c r="AS364" s="11">
        <v>7115.5</v>
      </c>
      <c r="AT364" s="11">
        <v>13888.5</v>
      </c>
      <c r="AU364" s="11">
        <v>14118.75</v>
      </c>
      <c r="AV364" s="11">
        <v>31806.75</v>
      </c>
      <c r="AW364" s="11">
        <v>904.75</v>
      </c>
      <c r="AX364" s="11">
        <v>0</v>
      </c>
      <c r="AY364" s="11">
        <v>16597.219444444399</v>
      </c>
      <c r="AZ364" s="11">
        <v>2071.181547619</v>
      </c>
      <c r="BA364" s="23">
        <v>3</v>
      </c>
      <c r="BB364" s="24" t="s">
        <v>8</v>
      </c>
    </row>
    <row r="365" spans="1:54" x14ac:dyDescent="0.2">
      <c r="A365" s="5">
        <v>3350</v>
      </c>
      <c r="B365" s="20" t="s">
        <v>62</v>
      </c>
      <c r="C365" s="18" t="s">
        <v>54</v>
      </c>
      <c r="D365" s="18">
        <v>5</v>
      </c>
      <c r="E365" s="18">
        <v>0</v>
      </c>
      <c r="F365" s="20">
        <v>3.4550000000000001</v>
      </c>
      <c r="G365" s="18">
        <v>29</v>
      </c>
      <c r="H365" s="22" t="s">
        <v>8</v>
      </c>
      <c r="I365" s="22" t="s">
        <v>8</v>
      </c>
      <c r="J365" s="22" t="s">
        <v>8</v>
      </c>
      <c r="K365" s="22" t="s">
        <v>8</v>
      </c>
      <c r="L365" s="22" t="s">
        <v>8</v>
      </c>
      <c r="M365" s="22" t="s">
        <v>8</v>
      </c>
      <c r="N365" s="22" t="s">
        <v>8</v>
      </c>
      <c r="O365" s="22" t="s">
        <v>8</v>
      </c>
      <c r="P365" s="22" t="s">
        <v>8</v>
      </c>
      <c r="Q365" s="22" t="s">
        <v>8</v>
      </c>
      <c r="R365" s="22" t="s">
        <v>8</v>
      </c>
      <c r="S365" s="22" t="s">
        <v>8</v>
      </c>
      <c r="T365" s="5">
        <v>3</v>
      </c>
      <c r="U365" s="5">
        <v>14</v>
      </c>
      <c r="V365" s="20" t="s">
        <v>1</v>
      </c>
      <c r="W365" s="20">
        <v>5</v>
      </c>
      <c r="X365" s="20">
        <v>1</v>
      </c>
      <c r="Y365" s="5">
        <v>1</v>
      </c>
      <c r="Z365" s="20">
        <v>4</v>
      </c>
      <c r="AA365" s="23">
        <f t="shared" si="10"/>
        <v>2</v>
      </c>
      <c r="AB365" s="15">
        <v>0.875</v>
      </c>
      <c r="AC365" s="15">
        <v>0.75</v>
      </c>
      <c r="AD365" s="15">
        <v>0.625</v>
      </c>
      <c r="AE365" s="15">
        <v>0.75</v>
      </c>
      <c r="AF365" s="20">
        <v>18</v>
      </c>
      <c r="AG365" s="20" t="s">
        <v>8</v>
      </c>
      <c r="AH365" s="24">
        <v>24</v>
      </c>
      <c r="AI365" s="23">
        <f t="shared" si="11"/>
        <v>1</v>
      </c>
      <c r="AJ365" s="17">
        <v>5.5</v>
      </c>
      <c r="AK365" s="17">
        <v>3</v>
      </c>
      <c r="AL365" s="14">
        <v>8.5</v>
      </c>
      <c r="AM365" s="23" cm="1">
        <f t="array" ref="AM365">IF(OR(AN365:AZ365=""),"BLANK",IF(AND(AN365:AZ365&lt;9999999),1,IF(AND(AN365:AZ365="NA"),3,2)))</f>
        <v>1</v>
      </c>
      <c r="AN365" s="5">
        <v>8</v>
      </c>
      <c r="AO365" s="5">
        <v>2</v>
      </c>
      <c r="AP365" s="10">
        <v>3</v>
      </c>
      <c r="AQ365" s="10">
        <v>4.75</v>
      </c>
      <c r="AR365" s="10">
        <v>8</v>
      </c>
      <c r="AS365" s="11">
        <v>565.5</v>
      </c>
      <c r="AT365" s="11">
        <v>9765</v>
      </c>
      <c r="AU365" s="11">
        <v>6618</v>
      </c>
      <c r="AV365" s="11">
        <v>5699.75</v>
      </c>
      <c r="AW365" s="11">
        <v>0</v>
      </c>
      <c r="AX365" s="11">
        <v>0</v>
      </c>
      <c r="AY365" s="11">
        <v>3707.5267857142999</v>
      </c>
      <c r="AZ365" s="11">
        <v>2096.7217261904998</v>
      </c>
      <c r="BA365" s="23">
        <v>3</v>
      </c>
      <c r="BB365" s="24" t="s">
        <v>8</v>
      </c>
    </row>
    <row r="366" spans="1:54" x14ac:dyDescent="0.2">
      <c r="A366" s="5">
        <v>3377</v>
      </c>
      <c r="B366" s="20" t="s">
        <v>64</v>
      </c>
      <c r="C366" s="18" t="s">
        <v>55</v>
      </c>
      <c r="D366" s="18">
        <v>5</v>
      </c>
      <c r="E366" s="18">
        <v>0</v>
      </c>
      <c r="F366" s="20">
        <v>3.5449999999999999</v>
      </c>
      <c r="G366" s="18">
        <v>29</v>
      </c>
      <c r="H366" s="22" t="s">
        <v>8</v>
      </c>
      <c r="I366" s="22" t="s">
        <v>8</v>
      </c>
      <c r="J366" s="22" t="s">
        <v>8</v>
      </c>
      <c r="K366" s="22" t="s">
        <v>8</v>
      </c>
      <c r="L366" s="22" t="s">
        <v>8</v>
      </c>
      <c r="M366" s="22" t="s">
        <v>8</v>
      </c>
      <c r="N366" s="22" t="s">
        <v>8</v>
      </c>
      <c r="O366" s="22" t="s">
        <v>8</v>
      </c>
      <c r="P366" s="22" t="s">
        <v>8</v>
      </c>
      <c r="Q366" s="22" t="s">
        <v>8</v>
      </c>
      <c r="R366" s="22" t="s">
        <v>8</v>
      </c>
      <c r="S366" s="22" t="s">
        <v>8</v>
      </c>
      <c r="T366" s="5">
        <v>4</v>
      </c>
      <c r="U366" s="5">
        <v>16</v>
      </c>
      <c r="V366" s="20" t="s">
        <v>1</v>
      </c>
      <c r="W366" s="20">
        <v>5</v>
      </c>
      <c r="X366" s="20">
        <v>1</v>
      </c>
      <c r="Y366" s="5">
        <v>1</v>
      </c>
      <c r="Z366" s="20">
        <v>4</v>
      </c>
      <c r="AA366" s="23">
        <f t="shared" si="10"/>
        <v>2</v>
      </c>
      <c r="AB366" s="15">
        <v>1</v>
      </c>
      <c r="AC366" s="15">
        <v>1</v>
      </c>
      <c r="AD366" s="15">
        <v>0.875</v>
      </c>
      <c r="AE366" s="15">
        <v>0.95799999999999996</v>
      </c>
      <c r="AF366" s="20">
        <v>23</v>
      </c>
      <c r="AG366" s="20" t="s">
        <v>8</v>
      </c>
      <c r="AH366" s="24">
        <v>24</v>
      </c>
      <c r="AI366" s="23">
        <f t="shared" si="11"/>
        <v>1</v>
      </c>
      <c r="AJ366" s="17">
        <v>5.75</v>
      </c>
      <c r="AK366" s="17">
        <v>4.25</v>
      </c>
      <c r="AL366" s="14">
        <v>10</v>
      </c>
      <c r="AM366" s="23" cm="1">
        <f t="array" ref="AM366">IF(OR(AN366:AZ366=""),"BLANK",IF(AND(AN366:AZ366&lt;9999999),1,IF(AND(AN366:AZ366="NA"),3,2)))</f>
        <v>1</v>
      </c>
      <c r="AN366" s="5">
        <v>10</v>
      </c>
      <c r="AO366" s="5">
        <v>2</v>
      </c>
      <c r="AP366" s="10">
        <v>3</v>
      </c>
      <c r="AQ366" s="10">
        <v>4</v>
      </c>
      <c r="AR366" s="10">
        <v>7</v>
      </c>
      <c r="AS366" s="11">
        <v>2364.5</v>
      </c>
      <c r="AT366" s="11">
        <v>16256</v>
      </c>
      <c r="AU366" s="11">
        <v>20590.75</v>
      </c>
      <c r="AV366" s="11">
        <v>14510.5</v>
      </c>
      <c r="AW366" s="11">
        <v>0</v>
      </c>
      <c r="AX366" s="11">
        <v>3093.8333333332998</v>
      </c>
      <c r="AY366" s="11">
        <v>2392.5</v>
      </c>
      <c r="AZ366" s="11">
        <v>1174.5875000000001</v>
      </c>
      <c r="BA366" s="23">
        <v>3</v>
      </c>
      <c r="BB366" s="24" t="s">
        <v>8</v>
      </c>
    </row>
    <row r="367" spans="1:54" x14ac:dyDescent="0.2">
      <c r="A367" s="5">
        <v>3392</v>
      </c>
      <c r="B367" s="20" t="s">
        <v>64</v>
      </c>
      <c r="C367" s="18" t="s">
        <v>55</v>
      </c>
      <c r="D367" s="18">
        <v>5</v>
      </c>
      <c r="E367" s="18">
        <v>0</v>
      </c>
      <c r="F367" s="20">
        <v>3.7269999999999999</v>
      </c>
      <c r="G367" s="18">
        <v>26</v>
      </c>
      <c r="H367" s="22" t="s">
        <v>8</v>
      </c>
      <c r="I367" s="22" t="s">
        <v>8</v>
      </c>
      <c r="J367" s="22" t="s">
        <v>8</v>
      </c>
      <c r="K367" s="22" t="s">
        <v>8</v>
      </c>
      <c r="L367" s="22" t="s">
        <v>8</v>
      </c>
      <c r="M367" s="22" t="s">
        <v>8</v>
      </c>
      <c r="N367" s="22" t="s">
        <v>8</v>
      </c>
      <c r="O367" s="22" t="s">
        <v>8</v>
      </c>
      <c r="P367" s="22" t="s">
        <v>8</v>
      </c>
      <c r="Q367" s="22" t="s">
        <v>8</v>
      </c>
      <c r="R367" s="22" t="s">
        <v>8</v>
      </c>
      <c r="S367" s="22" t="s">
        <v>8</v>
      </c>
      <c r="T367" s="5">
        <v>5</v>
      </c>
      <c r="U367" s="5">
        <v>16</v>
      </c>
      <c r="V367" s="20" t="s">
        <v>1</v>
      </c>
      <c r="W367" s="20">
        <v>5</v>
      </c>
      <c r="X367" s="20">
        <v>1</v>
      </c>
      <c r="Y367" s="5">
        <v>1</v>
      </c>
      <c r="Z367" s="20">
        <v>4</v>
      </c>
      <c r="AA367" s="23">
        <f t="shared" si="10"/>
        <v>2</v>
      </c>
      <c r="AB367" s="15">
        <v>0.875</v>
      </c>
      <c r="AC367" s="15">
        <v>0.625</v>
      </c>
      <c r="AD367" s="15">
        <v>0.625</v>
      </c>
      <c r="AE367" s="15">
        <v>0.70799999999999996</v>
      </c>
      <c r="AF367" s="20">
        <v>17</v>
      </c>
      <c r="AG367" s="20" t="s">
        <v>8</v>
      </c>
      <c r="AH367" s="24">
        <v>24</v>
      </c>
      <c r="AI367" s="23">
        <f t="shared" si="11"/>
        <v>1</v>
      </c>
      <c r="AJ367" s="17">
        <v>3.5</v>
      </c>
      <c r="AK367" s="17">
        <v>7</v>
      </c>
      <c r="AL367" s="14">
        <v>10.5</v>
      </c>
      <c r="AM367" s="23" cm="1">
        <f t="array" ref="AM367">IF(OR(AN367:AZ367=""),"BLANK",IF(AND(AN367:AZ367&lt;9999999),1,IF(AND(AN367:AZ367="NA"),3,2)))</f>
        <v>1</v>
      </c>
      <c r="AN367" s="5">
        <v>9</v>
      </c>
      <c r="AO367" s="5">
        <v>2</v>
      </c>
      <c r="AP367" s="10">
        <v>3</v>
      </c>
      <c r="AQ367" s="10">
        <v>6.25</v>
      </c>
      <c r="AR367" s="10">
        <v>6.75</v>
      </c>
      <c r="AS367" s="11">
        <v>4520</v>
      </c>
      <c r="AT367" s="11">
        <v>10510.5</v>
      </c>
      <c r="AU367" s="11">
        <v>18098.5</v>
      </c>
      <c r="AV367" s="11">
        <v>15918.5</v>
      </c>
      <c r="AW367" s="11">
        <v>0</v>
      </c>
      <c r="AX367" s="11">
        <v>429.8333333333</v>
      </c>
      <c r="AY367" s="11">
        <v>6750.6180555556002</v>
      </c>
      <c r="AZ367" s="11">
        <v>2038.5083333333</v>
      </c>
      <c r="BA367" s="23">
        <v>3</v>
      </c>
      <c r="BB367" s="24" t="s">
        <v>8</v>
      </c>
    </row>
    <row r="368" spans="1:54" x14ac:dyDescent="0.2">
      <c r="A368" s="5">
        <v>3406</v>
      </c>
      <c r="B368" s="20" t="s">
        <v>66</v>
      </c>
      <c r="C368" s="18" t="s">
        <v>54</v>
      </c>
      <c r="D368" s="18">
        <v>2</v>
      </c>
      <c r="E368" s="18">
        <v>0</v>
      </c>
      <c r="F368" s="20">
        <v>4</v>
      </c>
      <c r="G368" s="18">
        <v>29</v>
      </c>
      <c r="H368" s="22" t="s">
        <v>8</v>
      </c>
      <c r="I368" s="22" t="s">
        <v>8</v>
      </c>
      <c r="J368" s="22" t="s">
        <v>8</v>
      </c>
      <c r="K368" s="22" t="s">
        <v>8</v>
      </c>
      <c r="L368" s="22" t="s">
        <v>8</v>
      </c>
      <c r="M368" s="22" t="s">
        <v>8</v>
      </c>
      <c r="N368" s="22" t="s">
        <v>8</v>
      </c>
      <c r="O368" s="22" t="s">
        <v>8</v>
      </c>
      <c r="P368" s="22" t="s">
        <v>8</v>
      </c>
      <c r="Q368" s="22" t="s">
        <v>8</v>
      </c>
      <c r="R368" s="22" t="s">
        <v>8</v>
      </c>
      <c r="S368" s="22" t="s">
        <v>8</v>
      </c>
      <c r="T368" s="5">
        <v>3</v>
      </c>
      <c r="U368" s="5">
        <v>12</v>
      </c>
      <c r="V368" s="20" t="s">
        <v>1</v>
      </c>
      <c r="W368" s="20">
        <v>5</v>
      </c>
      <c r="X368" s="20">
        <v>1</v>
      </c>
      <c r="Y368" s="5">
        <v>1</v>
      </c>
      <c r="Z368" s="20">
        <v>4</v>
      </c>
      <c r="AA368" s="23">
        <f t="shared" si="10"/>
        <v>1</v>
      </c>
      <c r="AB368" s="15">
        <v>0.75</v>
      </c>
      <c r="AC368" s="15">
        <v>0.75</v>
      </c>
      <c r="AD368" s="15">
        <v>0.75</v>
      </c>
      <c r="AE368" s="15">
        <v>0.75</v>
      </c>
      <c r="AF368" s="20">
        <v>18</v>
      </c>
      <c r="AG368" s="20">
        <v>2</v>
      </c>
      <c r="AH368" s="24">
        <v>24</v>
      </c>
      <c r="AI368" s="23">
        <f t="shared" si="11"/>
        <v>1</v>
      </c>
      <c r="AJ368" s="17">
        <v>6.25</v>
      </c>
      <c r="AK368" s="17">
        <v>10.5</v>
      </c>
      <c r="AL368" s="14">
        <v>16.75</v>
      </c>
      <c r="AM368" s="23" cm="1">
        <f t="array" ref="AM368">IF(OR(AN368:AZ368=""),"BLANK",IF(AND(AN368:AZ368&lt;9999999),1,IF(AND(AN368:AZ368="NA"),3,2)))</f>
        <v>1</v>
      </c>
      <c r="AN368" s="5">
        <v>6</v>
      </c>
      <c r="AO368" s="5">
        <v>2</v>
      </c>
      <c r="AP368" s="10">
        <v>3</v>
      </c>
      <c r="AQ368" s="10">
        <v>7.25</v>
      </c>
      <c r="AR368" s="10">
        <v>7.25</v>
      </c>
      <c r="AS368" s="11">
        <v>3897.5</v>
      </c>
      <c r="AT368" s="11">
        <v>10589.5</v>
      </c>
      <c r="AU368" s="11">
        <v>3383.5</v>
      </c>
      <c r="AV368" s="11">
        <v>16708.5</v>
      </c>
      <c r="AW368" s="11">
        <v>0</v>
      </c>
      <c r="AX368" s="11">
        <v>3.1666666666999999</v>
      </c>
      <c r="AY368" s="11">
        <v>5211.8333333333003</v>
      </c>
      <c r="AZ368" s="11">
        <v>2406.4255952381</v>
      </c>
      <c r="BA368" s="23">
        <v>3</v>
      </c>
      <c r="BB368" s="24" t="s">
        <v>8</v>
      </c>
    </row>
    <row r="369" spans="1:54" x14ac:dyDescent="0.2">
      <c r="A369" s="5">
        <v>3446</v>
      </c>
      <c r="B369" s="20" t="s">
        <v>66</v>
      </c>
      <c r="C369" s="18" t="s">
        <v>54</v>
      </c>
      <c r="D369" s="18">
        <v>5</v>
      </c>
      <c r="E369" s="18">
        <v>0</v>
      </c>
      <c r="F369" s="20">
        <v>4</v>
      </c>
      <c r="G369" s="18">
        <v>27</v>
      </c>
      <c r="H369" s="22" t="s">
        <v>8</v>
      </c>
      <c r="I369" s="22" t="s">
        <v>8</v>
      </c>
      <c r="J369" s="22" t="s">
        <v>8</v>
      </c>
      <c r="K369" s="22" t="s">
        <v>8</v>
      </c>
      <c r="L369" s="22" t="s">
        <v>8</v>
      </c>
      <c r="M369" s="22" t="s">
        <v>8</v>
      </c>
      <c r="N369" s="22" t="s">
        <v>8</v>
      </c>
      <c r="O369" s="22" t="s">
        <v>8</v>
      </c>
      <c r="P369" s="22" t="s">
        <v>8</v>
      </c>
      <c r="Q369" s="22" t="s">
        <v>8</v>
      </c>
      <c r="R369" s="22" t="s">
        <v>8</v>
      </c>
      <c r="S369" s="22" t="s">
        <v>8</v>
      </c>
      <c r="T369" s="5">
        <v>4</v>
      </c>
      <c r="U369" s="5">
        <v>16</v>
      </c>
      <c r="V369" s="20" t="s">
        <v>1</v>
      </c>
      <c r="W369" s="20">
        <v>5</v>
      </c>
      <c r="X369" s="20">
        <v>1</v>
      </c>
      <c r="Y369" s="5">
        <v>1</v>
      </c>
      <c r="Z369" s="20">
        <v>4</v>
      </c>
      <c r="AA369" s="23">
        <f t="shared" si="10"/>
        <v>2</v>
      </c>
      <c r="AB369" s="15">
        <v>0.875</v>
      </c>
      <c r="AC369" s="15">
        <v>0.875</v>
      </c>
      <c r="AD369" s="15">
        <v>0</v>
      </c>
      <c r="AE369" s="15">
        <v>0.63600000000000001</v>
      </c>
      <c r="AF369" s="20">
        <v>14</v>
      </c>
      <c r="AG369" s="20" t="s">
        <v>8</v>
      </c>
      <c r="AH369" s="24">
        <v>22</v>
      </c>
      <c r="AI369" s="23">
        <f t="shared" si="11"/>
        <v>1</v>
      </c>
      <c r="AJ369" s="17">
        <v>5</v>
      </c>
      <c r="AK369" s="17">
        <v>7.5</v>
      </c>
      <c r="AL369" s="14">
        <v>12.5</v>
      </c>
      <c r="AM369" s="23" cm="1">
        <f t="array" ref="AM369">IF(OR(AN369:AZ369=""),"BLANK",IF(AND(AN369:AZ369&lt;9999999),1,IF(AND(AN369:AZ369="NA"),3,2)))</f>
        <v>1</v>
      </c>
      <c r="AN369" s="5">
        <v>6</v>
      </c>
      <c r="AO369" s="5">
        <v>2</v>
      </c>
      <c r="AP369" s="10">
        <v>3</v>
      </c>
      <c r="AQ369" s="10">
        <v>6</v>
      </c>
      <c r="AR369" s="10">
        <v>8.25</v>
      </c>
      <c r="AS369" s="11">
        <v>0</v>
      </c>
      <c r="AT369" s="11">
        <v>17949.5</v>
      </c>
      <c r="AU369" s="11">
        <v>12374</v>
      </c>
      <c r="AV369" s="11">
        <v>8137.75</v>
      </c>
      <c r="AW369" s="11">
        <v>0</v>
      </c>
      <c r="AX369" s="11">
        <v>136</v>
      </c>
      <c r="AY369" s="11">
        <v>2267.4888888889</v>
      </c>
      <c r="AZ369" s="11">
        <v>2589.7938311687999</v>
      </c>
      <c r="BA369" s="23">
        <v>3</v>
      </c>
      <c r="BB369" s="24" t="s">
        <v>8</v>
      </c>
    </row>
    <row r="370" spans="1:54" x14ac:dyDescent="0.2">
      <c r="A370" s="5">
        <v>3457</v>
      </c>
      <c r="B370" s="20" t="s">
        <v>82</v>
      </c>
      <c r="C370" s="18" t="s">
        <v>54</v>
      </c>
      <c r="D370" s="18">
        <v>5</v>
      </c>
      <c r="E370" s="18">
        <v>0</v>
      </c>
      <c r="F370" s="20">
        <v>4</v>
      </c>
      <c r="G370" s="18">
        <v>28</v>
      </c>
      <c r="H370" s="22">
        <v>4.0027378507871321</v>
      </c>
      <c r="I370" s="22">
        <v>3.2525667351129361</v>
      </c>
      <c r="J370" s="22">
        <v>7.2553045859000687</v>
      </c>
      <c r="K370" s="22">
        <v>4.0027378507871321</v>
      </c>
      <c r="L370" s="22">
        <v>3.2525667351129361</v>
      </c>
      <c r="M370" s="22">
        <v>7.2553045859000687</v>
      </c>
      <c r="N370" s="22">
        <v>4.043805612594114</v>
      </c>
      <c r="O370" s="22">
        <v>3.247091033538672</v>
      </c>
      <c r="P370" s="22">
        <v>7.2908966461327855</v>
      </c>
      <c r="Q370" s="22">
        <v>3.9863107460643397</v>
      </c>
      <c r="R370" s="22">
        <v>3.4305270362765228</v>
      </c>
      <c r="S370" s="22">
        <v>7.4168377823408624</v>
      </c>
      <c r="T370" s="5">
        <v>2</v>
      </c>
      <c r="U370" s="5">
        <v>12</v>
      </c>
      <c r="V370" s="20" t="s">
        <v>1</v>
      </c>
      <c r="W370" s="20">
        <v>5</v>
      </c>
      <c r="X370" s="20">
        <v>1</v>
      </c>
      <c r="Y370" s="5">
        <v>1</v>
      </c>
      <c r="Z370" s="20">
        <v>4</v>
      </c>
      <c r="AA370" s="23">
        <f t="shared" si="10"/>
        <v>2</v>
      </c>
      <c r="AB370" s="15">
        <v>1</v>
      </c>
      <c r="AC370" s="15">
        <v>1</v>
      </c>
      <c r="AD370" s="15">
        <v>0.8571428571428571</v>
      </c>
      <c r="AE370" s="15">
        <v>0.95499999999999996</v>
      </c>
      <c r="AF370" s="20">
        <v>21</v>
      </c>
      <c r="AG370" s="20" t="s">
        <v>8</v>
      </c>
      <c r="AH370" s="24">
        <v>22</v>
      </c>
      <c r="AI370" s="23">
        <f t="shared" si="11"/>
        <v>1</v>
      </c>
      <c r="AJ370" s="17">
        <v>4.5</v>
      </c>
      <c r="AK370" s="17">
        <v>6.5</v>
      </c>
      <c r="AL370" s="14">
        <v>11</v>
      </c>
      <c r="AM370" s="23" cm="1">
        <f t="array" ref="AM370">IF(OR(AN370:AZ370=""),"BLANK",IF(AND(AN370:AZ370&lt;9999999),1,IF(AND(AN370:AZ370="NA"),3,2)))</f>
        <v>1</v>
      </c>
      <c r="AN370" s="5">
        <v>9</v>
      </c>
      <c r="AO370" s="5">
        <v>2</v>
      </c>
      <c r="AP370" s="10">
        <v>3</v>
      </c>
      <c r="AQ370" s="10">
        <v>4.5</v>
      </c>
      <c r="AR370" s="10">
        <v>6.25</v>
      </c>
      <c r="AS370" s="11">
        <v>1808</v>
      </c>
      <c r="AT370" s="11">
        <v>5233.5</v>
      </c>
      <c r="AU370" s="11">
        <v>33589</v>
      </c>
      <c r="AV370" s="11">
        <v>20234.75</v>
      </c>
      <c r="AW370" s="11">
        <v>0</v>
      </c>
      <c r="AX370" s="11">
        <v>0</v>
      </c>
      <c r="AY370" s="11">
        <v>728.77083333329995</v>
      </c>
      <c r="AZ370" s="11">
        <v>1175.0916666666999</v>
      </c>
      <c r="BA370" s="23">
        <v>3</v>
      </c>
      <c r="BB370" s="24" t="s">
        <v>8</v>
      </c>
    </row>
    <row r="371" spans="1:54" x14ac:dyDescent="0.2">
      <c r="A371" s="5">
        <v>3462</v>
      </c>
      <c r="B371" s="20" t="s">
        <v>62</v>
      </c>
      <c r="C371" s="18" t="s">
        <v>55</v>
      </c>
      <c r="D371" s="18">
        <v>2</v>
      </c>
      <c r="E371" s="18">
        <v>0</v>
      </c>
      <c r="F371" s="20" t="s">
        <v>8</v>
      </c>
      <c r="G371" s="18">
        <v>29</v>
      </c>
      <c r="H371" s="22" t="s">
        <v>8</v>
      </c>
      <c r="I371" s="22" t="s">
        <v>8</v>
      </c>
      <c r="J371" s="22" t="s">
        <v>8</v>
      </c>
      <c r="K371" s="22" t="s">
        <v>8</v>
      </c>
      <c r="L371" s="22" t="s">
        <v>8</v>
      </c>
      <c r="M371" s="22" t="s">
        <v>8</v>
      </c>
      <c r="N371" s="22" t="s">
        <v>8</v>
      </c>
      <c r="O371" s="22" t="s">
        <v>8</v>
      </c>
      <c r="P371" s="22" t="s">
        <v>8</v>
      </c>
      <c r="Q371" s="22" t="s">
        <v>8</v>
      </c>
      <c r="R371" s="22" t="s">
        <v>8</v>
      </c>
      <c r="S371" s="22" t="s">
        <v>8</v>
      </c>
      <c r="T371" s="5">
        <v>3</v>
      </c>
      <c r="U371" s="5">
        <v>13</v>
      </c>
      <c r="V371" s="20" t="s">
        <v>1</v>
      </c>
      <c r="W371" s="20">
        <v>5</v>
      </c>
      <c r="X371" s="20">
        <v>1</v>
      </c>
      <c r="Y371" s="5">
        <v>1</v>
      </c>
      <c r="Z371" s="20">
        <v>4</v>
      </c>
      <c r="AA371" s="23">
        <f t="shared" si="10"/>
        <v>2</v>
      </c>
      <c r="AB371" s="15">
        <v>1</v>
      </c>
      <c r="AC371" s="15">
        <v>0.625</v>
      </c>
      <c r="AD371" s="15">
        <v>0</v>
      </c>
      <c r="AE371" s="15">
        <v>0.54200000000000004</v>
      </c>
      <c r="AF371" s="20">
        <v>13</v>
      </c>
      <c r="AG371" s="20" t="s">
        <v>8</v>
      </c>
      <c r="AH371" s="24">
        <v>24</v>
      </c>
      <c r="AI371" s="23">
        <f t="shared" si="11"/>
        <v>1</v>
      </c>
      <c r="AJ371" s="17">
        <v>8.5</v>
      </c>
      <c r="AK371" s="17">
        <v>6</v>
      </c>
      <c r="AL371" s="14">
        <v>14.5</v>
      </c>
      <c r="AM371" s="23" cm="1">
        <f t="array" ref="AM371">IF(OR(AN371:AZ371=""),"BLANK",IF(AND(AN371:AZ371&lt;9999999),1,IF(AND(AN371:AZ371="NA"),3,2)))</f>
        <v>1</v>
      </c>
      <c r="AN371" s="5">
        <v>10</v>
      </c>
      <c r="AO371" s="5">
        <v>2</v>
      </c>
      <c r="AP371" s="10">
        <v>3</v>
      </c>
      <c r="AQ371" s="10">
        <v>5</v>
      </c>
      <c r="AR371" s="10">
        <v>6.75</v>
      </c>
      <c r="AS371" s="11">
        <v>1125</v>
      </c>
      <c r="AT371" s="11">
        <v>7127.5</v>
      </c>
      <c r="AU371" s="11">
        <v>14917</v>
      </c>
      <c r="AV371" s="11">
        <v>27887</v>
      </c>
      <c r="AW371" s="11">
        <v>20.5</v>
      </c>
      <c r="AX371" s="11">
        <v>5070.8333333333003</v>
      </c>
      <c r="AY371" s="11">
        <v>3325.90625</v>
      </c>
      <c r="AZ371" s="11">
        <v>2929.5124999999998</v>
      </c>
      <c r="BA371" s="23">
        <v>3</v>
      </c>
      <c r="BB371" s="24" t="s">
        <v>8</v>
      </c>
    </row>
    <row r="372" spans="1:54" x14ac:dyDescent="0.2">
      <c r="A372" s="5">
        <v>3531</v>
      </c>
      <c r="B372" s="20" t="s">
        <v>62</v>
      </c>
      <c r="C372" s="18" t="s">
        <v>54</v>
      </c>
      <c r="D372" s="18">
        <v>2</v>
      </c>
      <c r="E372" s="18">
        <v>0</v>
      </c>
      <c r="F372" s="20">
        <v>4</v>
      </c>
      <c r="G372" s="18">
        <v>27</v>
      </c>
      <c r="H372" s="22">
        <v>3.5236139630390144</v>
      </c>
      <c r="I372" s="22">
        <v>3.6139630390143735</v>
      </c>
      <c r="J372" s="22">
        <v>7.137577002053388</v>
      </c>
      <c r="K372" s="22">
        <v>3.5236139630390144</v>
      </c>
      <c r="L372" s="22">
        <v>3.6139630390143735</v>
      </c>
      <c r="M372" s="22">
        <v>7.137577002053388</v>
      </c>
      <c r="N372" s="22">
        <v>3.485284052019165</v>
      </c>
      <c r="O372" s="22">
        <v>3.5263518138261465</v>
      </c>
      <c r="P372" s="22">
        <v>7.0116358658453111</v>
      </c>
      <c r="Q372" s="22">
        <v>3.6714579055441479</v>
      </c>
      <c r="R372" s="22">
        <v>3.4140999315537304</v>
      </c>
      <c r="S372" s="22">
        <v>7.0855578370978778</v>
      </c>
      <c r="T372" s="5">
        <v>3</v>
      </c>
      <c r="U372" s="5">
        <v>15</v>
      </c>
      <c r="V372" s="20" t="s">
        <v>1</v>
      </c>
      <c r="W372" s="20">
        <v>5</v>
      </c>
      <c r="X372" s="20">
        <v>1</v>
      </c>
      <c r="Y372" s="5">
        <v>1</v>
      </c>
      <c r="Z372" s="20">
        <v>4</v>
      </c>
      <c r="AA372" s="23">
        <f t="shared" si="10"/>
        <v>2</v>
      </c>
      <c r="AB372" s="15">
        <v>1</v>
      </c>
      <c r="AC372" s="15">
        <v>0.75</v>
      </c>
      <c r="AD372" s="15">
        <v>0.75</v>
      </c>
      <c r="AE372" s="15">
        <v>0.83299999999999996</v>
      </c>
      <c r="AF372" s="20">
        <v>20</v>
      </c>
      <c r="AG372" s="20" t="s">
        <v>8</v>
      </c>
      <c r="AH372" s="24">
        <v>24</v>
      </c>
      <c r="AI372" s="23">
        <f t="shared" si="11"/>
        <v>1</v>
      </c>
      <c r="AJ372" s="17">
        <v>8</v>
      </c>
      <c r="AK372" s="17">
        <v>8.75</v>
      </c>
      <c r="AL372" s="14">
        <v>16.75</v>
      </c>
      <c r="AM372" s="23" cm="1">
        <f t="array" ref="AM372">IF(OR(AN372:AZ372=""),"BLANK",IF(AND(AN372:AZ372&lt;9999999),1,IF(AND(AN372:AZ372="NA"),3,2)))</f>
        <v>1</v>
      </c>
      <c r="AN372" s="5">
        <v>8</v>
      </c>
      <c r="AO372" s="5">
        <v>2</v>
      </c>
      <c r="AP372" s="10">
        <v>3</v>
      </c>
      <c r="AQ372" s="10">
        <v>6.5</v>
      </c>
      <c r="AR372" s="10">
        <v>8.5</v>
      </c>
      <c r="AS372" s="11">
        <v>6888</v>
      </c>
      <c r="AT372" s="11">
        <v>12501.5</v>
      </c>
      <c r="AU372" s="11">
        <v>19068</v>
      </c>
      <c r="AV372" s="11">
        <v>22813.5</v>
      </c>
      <c r="AW372" s="11">
        <v>376.5</v>
      </c>
      <c r="AX372" s="11">
        <v>7014.3333333333003</v>
      </c>
      <c r="AY372" s="11">
        <v>9940.3680555556002</v>
      </c>
      <c r="AZ372" s="11">
        <v>4578.4916666667004</v>
      </c>
      <c r="BA372" s="23">
        <v>3</v>
      </c>
      <c r="BB372" s="24" t="s">
        <v>8</v>
      </c>
    </row>
    <row r="373" spans="1:54" x14ac:dyDescent="0.2">
      <c r="A373" s="5">
        <v>3535</v>
      </c>
      <c r="B373" s="20" t="s">
        <v>74</v>
      </c>
      <c r="C373" s="18" t="s">
        <v>55</v>
      </c>
      <c r="D373" s="18">
        <v>2</v>
      </c>
      <c r="E373" s="18">
        <v>0</v>
      </c>
      <c r="F373" s="20">
        <v>3</v>
      </c>
      <c r="G373" s="18">
        <v>27</v>
      </c>
      <c r="H373" s="22">
        <v>3.4989733059548254</v>
      </c>
      <c r="I373" s="22" t="s">
        <v>8</v>
      </c>
      <c r="J373" s="22" t="s">
        <v>8</v>
      </c>
      <c r="K373" s="22">
        <v>3.4989733059548254</v>
      </c>
      <c r="L373" s="22" t="s">
        <v>8</v>
      </c>
      <c r="M373" s="22" t="s">
        <v>8</v>
      </c>
      <c r="N373" s="22">
        <v>3.5208761122518824</v>
      </c>
      <c r="O373" s="22" t="s">
        <v>8</v>
      </c>
      <c r="P373" s="22" t="s">
        <v>8</v>
      </c>
      <c r="Q373" s="22">
        <v>4.0054757015742641</v>
      </c>
      <c r="R373" s="22" t="s">
        <v>8</v>
      </c>
      <c r="S373" s="22" t="s">
        <v>8</v>
      </c>
      <c r="T373" s="5">
        <v>3</v>
      </c>
      <c r="U373" s="5">
        <v>14</v>
      </c>
      <c r="V373" s="20" t="s">
        <v>1</v>
      </c>
      <c r="W373" s="20">
        <v>5</v>
      </c>
      <c r="X373" s="20">
        <v>1</v>
      </c>
      <c r="Y373" s="5">
        <v>1</v>
      </c>
      <c r="Z373" s="20">
        <v>4</v>
      </c>
      <c r="AA373" s="23">
        <f t="shared" si="10"/>
        <v>2</v>
      </c>
      <c r="AB373" s="15">
        <v>1</v>
      </c>
      <c r="AC373" s="15">
        <v>1</v>
      </c>
      <c r="AD373" s="15">
        <v>0.75</v>
      </c>
      <c r="AE373" s="15">
        <v>0.91700000000000004</v>
      </c>
      <c r="AF373" s="20">
        <v>22</v>
      </c>
      <c r="AG373" s="20" t="s">
        <v>8</v>
      </c>
      <c r="AH373" s="24">
        <v>24</v>
      </c>
      <c r="AI373" s="23">
        <f t="shared" si="11"/>
        <v>1</v>
      </c>
      <c r="AJ373" s="17">
        <v>5.25</v>
      </c>
      <c r="AK373" s="17">
        <v>7.5</v>
      </c>
      <c r="AL373" s="14">
        <v>12.75</v>
      </c>
      <c r="AM373" s="23" cm="1">
        <f t="array" ref="AM373">IF(OR(AN373:AZ373=""),"BLANK",IF(AND(AN373:AZ373&lt;9999999),1,IF(AND(AN373:AZ373="NA"),3,2)))</f>
        <v>1</v>
      </c>
      <c r="AN373" s="5">
        <v>11</v>
      </c>
      <c r="AO373" s="5">
        <v>2</v>
      </c>
      <c r="AP373" s="10">
        <v>3</v>
      </c>
      <c r="AQ373" s="10">
        <v>5</v>
      </c>
      <c r="AR373" s="10">
        <v>5</v>
      </c>
      <c r="AS373" s="11">
        <v>2578</v>
      </c>
      <c r="AT373" s="11">
        <v>17145.5</v>
      </c>
      <c r="AU373" s="11">
        <v>9899.25</v>
      </c>
      <c r="AV373" s="11">
        <v>16118.25</v>
      </c>
      <c r="AW373" s="11">
        <v>144</v>
      </c>
      <c r="AX373" s="11">
        <v>0</v>
      </c>
      <c r="AY373" s="11">
        <v>648.40625</v>
      </c>
      <c r="AZ373" s="11">
        <v>0</v>
      </c>
      <c r="BA373" s="23">
        <v>3</v>
      </c>
      <c r="BB373" s="24" t="s">
        <v>8</v>
      </c>
    </row>
    <row r="374" spans="1:54" x14ac:dyDescent="0.2">
      <c r="A374" s="5">
        <v>3537</v>
      </c>
      <c r="B374" s="20" t="s">
        <v>70</v>
      </c>
      <c r="C374" s="18" t="s">
        <v>54</v>
      </c>
      <c r="D374" s="18">
        <v>5</v>
      </c>
      <c r="E374" s="18">
        <v>0</v>
      </c>
      <c r="F374" s="20">
        <v>3.3639999999999999</v>
      </c>
      <c r="G374" s="18">
        <v>29</v>
      </c>
      <c r="H374" s="22">
        <v>3.4277891854893907</v>
      </c>
      <c r="I374" s="22">
        <v>4.1587953456536617</v>
      </c>
      <c r="J374" s="22">
        <v>7.5865845311430524</v>
      </c>
      <c r="K374" s="22">
        <v>3.4277891854893907</v>
      </c>
      <c r="L374" s="22">
        <v>4.5037645448323067</v>
      </c>
      <c r="M374" s="22">
        <v>7.9315537303216974</v>
      </c>
      <c r="N374" s="22" t="s">
        <v>8</v>
      </c>
      <c r="O374" s="22" t="s">
        <v>8</v>
      </c>
      <c r="P374" s="22">
        <v>7.5646817248459959</v>
      </c>
      <c r="Q374" s="22" t="s">
        <v>8</v>
      </c>
      <c r="R374" s="22" t="s">
        <v>8</v>
      </c>
      <c r="S374" s="22">
        <v>7.8001368925393564</v>
      </c>
      <c r="T374" s="5">
        <v>3</v>
      </c>
      <c r="U374" s="5">
        <v>15</v>
      </c>
      <c r="V374" s="20" t="s">
        <v>1</v>
      </c>
      <c r="W374" s="20">
        <v>5</v>
      </c>
      <c r="X374" s="20">
        <v>1</v>
      </c>
      <c r="Y374" s="5">
        <v>1</v>
      </c>
      <c r="Z374" s="20">
        <v>4</v>
      </c>
      <c r="AA374" s="23">
        <f t="shared" si="10"/>
        <v>2</v>
      </c>
      <c r="AB374" s="15">
        <v>1</v>
      </c>
      <c r="AC374" s="15">
        <v>0.875</v>
      </c>
      <c r="AD374" s="15">
        <v>0.5</v>
      </c>
      <c r="AE374" s="15">
        <v>0.79200000000000004</v>
      </c>
      <c r="AF374" s="20">
        <v>19</v>
      </c>
      <c r="AG374" s="20" t="s">
        <v>8</v>
      </c>
      <c r="AH374" s="24">
        <v>24</v>
      </c>
      <c r="AI374" s="23">
        <f t="shared" si="11"/>
        <v>1</v>
      </c>
      <c r="AJ374" s="17">
        <v>10</v>
      </c>
      <c r="AK374" s="17">
        <v>12</v>
      </c>
      <c r="AL374" s="14">
        <v>22</v>
      </c>
      <c r="AM374" s="23" cm="1">
        <f t="array" ref="AM374">IF(OR(AN374:AZ374=""),"BLANK",IF(AND(AN374:AZ374&lt;9999999),1,IF(AND(AN374:AZ374="NA"),3,2)))</f>
        <v>1</v>
      </c>
      <c r="AN374" s="5">
        <v>8</v>
      </c>
      <c r="AO374" s="5">
        <v>2</v>
      </c>
      <c r="AP374" s="10">
        <v>3</v>
      </c>
      <c r="AQ374" s="10">
        <v>5.75</v>
      </c>
      <c r="AR374" s="10">
        <v>7</v>
      </c>
      <c r="AS374" s="11">
        <v>0</v>
      </c>
      <c r="AT374" s="11">
        <v>11802</v>
      </c>
      <c r="AU374" s="11">
        <v>10261</v>
      </c>
      <c r="AV374" s="11">
        <v>11087</v>
      </c>
      <c r="AW374" s="11">
        <v>0</v>
      </c>
      <c r="AX374" s="11">
        <v>0</v>
      </c>
      <c r="AY374" s="11">
        <v>2820.1944444443998</v>
      </c>
      <c r="AZ374" s="11">
        <v>1201.5291666666999</v>
      </c>
      <c r="BA374" s="23">
        <v>3</v>
      </c>
      <c r="BB374" s="24" t="s">
        <v>8</v>
      </c>
    </row>
    <row r="375" spans="1:54" x14ac:dyDescent="0.2">
      <c r="A375" s="5">
        <v>3567</v>
      </c>
      <c r="B375" s="20" t="s">
        <v>75</v>
      </c>
      <c r="C375" s="18" t="s">
        <v>55</v>
      </c>
      <c r="D375" s="18">
        <v>5</v>
      </c>
      <c r="E375" s="18">
        <v>0</v>
      </c>
      <c r="F375" s="20">
        <v>3.7269999999999999</v>
      </c>
      <c r="G375" s="18">
        <v>28</v>
      </c>
      <c r="H375" s="22">
        <v>3.5482546201232035</v>
      </c>
      <c r="I375" s="22">
        <v>3.9069130732375084</v>
      </c>
      <c r="J375" s="22">
        <v>7.4551676933607123</v>
      </c>
      <c r="K375" s="22">
        <v>3.5482546201232035</v>
      </c>
      <c r="L375" s="22">
        <v>3.9069130732375084</v>
      </c>
      <c r="M375" s="22">
        <v>7.4551676933607123</v>
      </c>
      <c r="N375" s="22">
        <v>3.5646817248459959</v>
      </c>
      <c r="O375" s="22">
        <v>3.8986995208761122</v>
      </c>
      <c r="P375" s="22">
        <v>7.4633812457221085</v>
      </c>
      <c r="Q375" s="22">
        <v>4.0410677618069819</v>
      </c>
      <c r="R375" s="22">
        <v>3.5455167693360714</v>
      </c>
      <c r="S375" s="22">
        <v>7.5865845311430524</v>
      </c>
      <c r="T375" s="5">
        <v>4</v>
      </c>
      <c r="U375" s="5">
        <v>16</v>
      </c>
      <c r="V375" s="20" t="s">
        <v>1</v>
      </c>
      <c r="W375" s="20">
        <v>5</v>
      </c>
      <c r="X375" s="20">
        <v>1</v>
      </c>
      <c r="Y375" s="5">
        <v>1</v>
      </c>
      <c r="Z375" s="20">
        <v>4</v>
      </c>
      <c r="AA375" s="23">
        <f t="shared" si="10"/>
        <v>2</v>
      </c>
      <c r="AB375" s="15">
        <v>1</v>
      </c>
      <c r="AC375" s="15">
        <v>1</v>
      </c>
      <c r="AD375" s="15">
        <v>0.75</v>
      </c>
      <c r="AE375" s="15">
        <v>0.91700000000000004</v>
      </c>
      <c r="AF375" s="20">
        <v>22</v>
      </c>
      <c r="AG375" s="20" t="s">
        <v>8</v>
      </c>
      <c r="AH375" s="24">
        <v>24</v>
      </c>
      <c r="AI375" s="23">
        <f t="shared" si="11"/>
        <v>1</v>
      </c>
      <c r="AJ375" s="17">
        <v>9.75</v>
      </c>
      <c r="AK375" s="17">
        <v>6</v>
      </c>
      <c r="AL375" s="14">
        <v>15.75</v>
      </c>
      <c r="AM375" s="23" cm="1">
        <f t="array" ref="AM375">IF(OR(AN375:AZ375=""),"BLANK",IF(AND(AN375:AZ375&lt;9999999),1,IF(AND(AN375:AZ375="NA"),3,2)))</f>
        <v>1</v>
      </c>
      <c r="AN375" s="5">
        <v>10</v>
      </c>
      <c r="AO375" s="5">
        <v>2</v>
      </c>
      <c r="AP375" s="10">
        <v>3</v>
      </c>
      <c r="AQ375" s="10">
        <v>4</v>
      </c>
      <c r="AR375" s="10">
        <v>6.75</v>
      </c>
      <c r="AS375" s="11">
        <v>946.5</v>
      </c>
      <c r="AT375" s="11">
        <v>1602</v>
      </c>
      <c r="AU375" s="11">
        <v>3663.75</v>
      </c>
      <c r="AV375" s="11">
        <v>7084.75</v>
      </c>
      <c r="AW375" s="11">
        <v>0</v>
      </c>
      <c r="AX375" s="11">
        <v>0</v>
      </c>
      <c r="AY375" s="11">
        <v>0</v>
      </c>
      <c r="AZ375" s="11">
        <v>362.3659090909</v>
      </c>
      <c r="BA375" s="23">
        <v>3</v>
      </c>
      <c r="BB375" s="24" t="s">
        <v>8</v>
      </c>
    </row>
    <row r="376" spans="1:54" x14ac:dyDescent="0.2">
      <c r="A376" s="5">
        <v>3571</v>
      </c>
      <c r="B376" s="20" t="s">
        <v>66</v>
      </c>
      <c r="C376" s="18" t="s">
        <v>55</v>
      </c>
      <c r="D376" s="18">
        <v>5</v>
      </c>
      <c r="E376" s="18">
        <v>0</v>
      </c>
      <c r="F376" s="20">
        <v>4</v>
      </c>
      <c r="G376" s="18">
        <v>30</v>
      </c>
      <c r="H376" s="22">
        <v>3.4962354551676933</v>
      </c>
      <c r="I376" s="22">
        <v>4.0191649555099245</v>
      </c>
      <c r="J376" s="22">
        <v>7.5154004106776178</v>
      </c>
      <c r="K376" s="22">
        <v>3.893223819301848</v>
      </c>
      <c r="L376" s="22">
        <v>3.6221765913757702</v>
      </c>
      <c r="M376" s="22">
        <v>7.5154004106776178</v>
      </c>
      <c r="N376" s="22">
        <v>3.5592060232717317</v>
      </c>
      <c r="O376" s="22">
        <v>3.9123887748117729</v>
      </c>
      <c r="P376" s="22">
        <v>7.4715947980835047</v>
      </c>
      <c r="Q376" s="22">
        <v>3.7973990417522243</v>
      </c>
      <c r="R376" s="22" t="s">
        <v>8</v>
      </c>
      <c r="S376" s="22" t="s">
        <v>8</v>
      </c>
      <c r="T376" s="5">
        <v>4</v>
      </c>
      <c r="U376" s="5">
        <v>16</v>
      </c>
      <c r="V376" s="20" t="s">
        <v>1</v>
      </c>
      <c r="W376" s="20">
        <v>5</v>
      </c>
      <c r="X376" s="20">
        <v>1</v>
      </c>
      <c r="Y376" s="5">
        <v>1</v>
      </c>
      <c r="Z376" s="20">
        <v>4</v>
      </c>
      <c r="AA376" s="23">
        <f t="shared" si="10"/>
        <v>2</v>
      </c>
      <c r="AB376" s="15">
        <v>1</v>
      </c>
      <c r="AC376" s="15">
        <v>1</v>
      </c>
      <c r="AD376" s="15">
        <v>0.625</v>
      </c>
      <c r="AE376" s="15">
        <v>0.875</v>
      </c>
      <c r="AF376" s="20">
        <v>21</v>
      </c>
      <c r="AG376" s="20" t="s">
        <v>8</v>
      </c>
      <c r="AH376" s="24">
        <v>24</v>
      </c>
      <c r="AI376" s="23">
        <f t="shared" si="11"/>
        <v>1</v>
      </c>
      <c r="AJ376" s="17">
        <v>12.5</v>
      </c>
      <c r="AK376" s="17">
        <v>10</v>
      </c>
      <c r="AL376" s="14">
        <v>22.5</v>
      </c>
      <c r="AM376" s="23" cm="1">
        <f t="array" ref="AM376">IF(OR(AN376:AZ376=""),"BLANK",IF(AND(AN376:AZ376&lt;9999999),1,IF(AND(AN376:AZ376="NA"),3,2)))</f>
        <v>1</v>
      </c>
      <c r="AN376" s="5">
        <v>8</v>
      </c>
      <c r="AO376" s="5">
        <v>2</v>
      </c>
      <c r="AP376" s="10">
        <v>3.5</v>
      </c>
      <c r="AQ376" s="10">
        <v>4.25</v>
      </c>
      <c r="AR376" s="10">
        <v>8.5</v>
      </c>
      <c r="AS376" s="11">
        <v>1558</v>
      </c>
      <c r="AT376" s="11">
        <v>1950.5</v>
      </c>
      <c r="AU376" s="11">
        <v>4382.75</v>
      </c>
      <c r="AV376" s="11">
        <v>12516.75</v>
      </c>
      <c r="AW376" s="11">
        <v>0</v>
      </c>
      <c r="AX376" s="11">
        <v>135.375</v>
      </c>
      <c r="AY376" s="11">
        <v>425.27499999999998</v>
      </c>
      <c r="AZ376" s="11">
        <v>1859.5208333333001</v>
      </c>
      <c r="BA376" s="23">
        <v>3</v>
      </c>
      <c r="BB376" s="24" t="s">
        <v>8</v>
      </c>
    </row>
    <row r="377" spans="1:54" x14ac:dyDescent="0.2">
      <c r="A377" s="5">
        <v>3592</v>
      </c>
      <c r="B377" s="20" t="s">
        <v>62</v>
      </c>
      <c r="C377" s="18" t="s">
        <v>55</v>
      </c>
      <c r="D377" s="18">
        <v>5</v>
      </c>
      <c r="E377" s="18">
        <v>0</v>
      </c>
      <c r="F377" s="20">
        <v>3.0910000000000002</v>
      </c>
      <c r="G377" s="18">
        <v>30</v>
      </c>
      <c r="H377" s="22">
        <v>3.4469541409993156</v>
      </c>
      <c r="I377" s="22">
        <v>4.1095140314852845</v>
      </c>
      <c r="J377" s="22">
        <v>7.5564681724845997</v>
      </c>
      <c r="K377" s="22">
        <v>3.4469541409993156</v>
      </c>
      <c r="L377" s="22">
        <v>4.1095140314852845</v>
      </c>
      <c r="M377" s="22">
        <v>7.5564681724845997</v>
      </c>
      <c r="N377" s="22">
        <v>3.4387405886379194</v>
      </c>
      <c r="O377" s="22">
        <v>4.1615331964407938</v>
      </c>
      <c r="P377" s="22">
        <v>7.6002737850787137</v>
      </c>
      <c r="Q377" s="22">
        <v>4.0657084188911705</v>
      </c>
      <c r="R377" s="22">
        <v>3.6632443531827517</v>
      </c>
      <c r="S377" s="22">
        <v>7.7289527720739217</v>
      </c>
      <c r="T377" s="5">
        <v>3</v>
      </c>
      <c r="U377" s="5">
        <v>14</v>
      </c>
      <c r="V377" s="20" t="s">
        <v>1</v>
      </c>
      <c r="W377" s="20">
        <v>5</v>
      </c>
      <c r="X377" s="20">
        <v>1</v>
      </c>
      <c r="Y377" s="5">
        <v>1</v>
      </c>
      <c r="Z377" s="20">
        <v>4</v>
      </c>
      <c r="AA377" s="23">
        <f t="shared" si="10"/>
        <v>2</v>
      </c>
      <c r="AB377" s="15">
        <v>1</v>
      </c>
      <c r="AC377" s="15">
        <v>0.875</v>
      </c>
      <c r="AD377" s="15">
        <v>0.625</v>
      </c>
      <c r="AE377" s="15">
        <v>0.83299999999999996</v>
      </c>
      <c r="AF377" s="20">
        <v>20</v>
      </c>
      <c r="AG377" s="20" t="s">
        <v>8</v>
      </c>
      <c r="AH377" s="24">
        <v>24</v>
      </c>
      <c r="AI377" s="23">
        <f t="shared" si="11"/>
        <v>1</v>
      </c>
      <c r="AJ377" s="17">
        <v>12.75</v>
      </c>
      <c r="AK377" s="17">
        <v>10.5</v>
      </c>
      <c r="AL377" s="14">
        <v>23.25</v>
      </c>
      <c r="AM377" s="23" cm="1">
        <f t="array" ref="AM377">IF(OR(AN377:AZ377=""),"BLANK",IF(AND(AN377:AZ377&lt;9999999),1,IF(AND(AN377:AZ377="NA"),3,2)))</f>
        <v>1</v>
      </c>
      <c r="AN377" s="5">
        <v>10</v>
      </c>
      <c r="AO377" s="5">
        <v>2</v>
      </c>
      <c r="AP377" s="10">
        <v>3</v>
      </c>
      <c r="AQ377" s="10">
        <v>4</v>
      </c>
      <c r="AR377" s="10">
        <v>8.5</v>
      </c>
      <c r="AS377" s="11">
        <v>2651</v>
      </c>
      <c r="AT377" s="11">
        <v>9810.5</v>
      </c>
      <c r="AU377" s="11">
        <v>7548.25</v>
      </c>
      <c r="AV377" s="11">
        <v>6405.75</v>
      </c>
      <c r="AW377" s="11">
        <v>0</v>
      </c>
      <c r="AX377" s="11">
        <v>0</v>
      </c>
      <c r="AY377" s="11">
        <v>0</v>
      </c>
      <c r="AZ377" s="11">
        <v>3553.9</v>
      </c>
      <c r="BA377" s="23">
        <v>3</v>
      </c>
      <c r="BB377" s="24" t="s">
        <v>8</v>
      </c>
    </row>
    <row r="378" spans="1:54" x14ac:dyDescent="0.2">
      <c r="A378" s="5">
        <v>3608</v>
      </c>
      <c r="B378" s="20" t="s">
        <v>64</v>
      </c>
      <c r="C378" s="18" t="s">
        <v>55</v>
      </c>
      <c r="D378" s="18">
        <v>5</v>
      </c>
      <c r="E378" s="18">
        <v>0</v>
      </c>
      <c r="F378" s="20">
        <v>3.4550000000000001</v>
      </c>
      <c r="G378" s="18">
        <v>29</v>
      </c>
      <c r="H378" s="22">
        <v>3.5071868583162216</v>
      </c>
      <c r="I378" s="22">
        <v>3.9370294318959616</v>
      </c>
      <c r="J378" s="22">
        <v>7.4442162902121831</v>
      </c>
      <c r="K378" s="22">
        <v>3.5071868583162216</v>
      </c>
      <c r="L378" s="22">
        <v>3.9397672826830936</v>
      </c>
      <c r="M378" s="22">
        <v>7.4469541409993152</v>
      </c>
      <c r="N378" s="22">
        <v>3.6194387405886381</v>
      </c>
      <c r="O378" s="22">
        <v>3.8275154004106775</v>
      </c>
      <c r="P378" s="22">
        <v>7.4469541409993152</v>
      </c>
      <c r="Q378" s="22">
        <v>4.0027378507871321</v>
      </c>
      <c r="R378" s="22">
        <v>3.5728952772073921</v>
      </c>
      <c r="S378" s="22">
        <v>7.5756331279945242</v>
      </c>
      <c r="T378" s="5">
        <v>5</v>
      </c>
      <c r="U378" s="5">
        <v>17</v>
      </c>
      <c r="V378" s="20" t="s">
        <v>1</v>
      </c>
      <c r="W378" s="20">
        <v>5</v>
      </c>
      <c r="X378" s="20">
        <v>1</v>
      </c>
      <c r="Y378" s="5">
        <v>1</v>
      </c>
      <c r="Z378" s="20">
        <v>4</v>
      </c>
      <c r="AA378" s="23">
        <f t="shared" si="10"/>
        <v>2</v>
      </c>
      <c r="AB378" s="15">
        <v>0.875</v>
      </c>
      <c r="AC378" s="15">
        <v>0.75</v>
      </c>
      <c r="AD378" s="15">
        <v>0.5</v>
      </c>
      <c r="AE378" s="15">
        <v>0.70799999999999996</v>
      </c>
      <c r="AF378" s="20">
        <v>17</v>
      </c>
      <c r="AG378" s="20" t="s">
        <v>8</v>
      </c>
      <c r="AH378" s="24">
        <v>24</v>
      </c>
      <c r="AI378" s="23">
        <f t="shared" si="11"/>
        <v>1</v>
      </c>
      <c r="AJ378" s="17">
        <v>7.25</v>
      </c>
      <c r="AK378" s="17">
        <v>5</v>
      </c>
      <c r="AL378" s="14">
        <v>12.25</v>
      </c>
      <c r="AM378" s="23" cm="1">
        <f t="array" ref="AM378">IF(OR(AN378:AZ378=""),"BLANK",IF(AND(AN378:AZ378&lt;9999999),1,IF(AND(AN378:AZ378="NA"),3,2)))</f>
        <v>1</v>
      </c>
      <c r="AN378" s="5">
        <v>9</v>
      </c>
      <c r="AO378" s="5">
        <v>2</v>
      </c>
      <c r="AP378" s="10">
        <v>3</v>
      </c>
      <c r="AQ378" s="10">
        <v>5.25</v>
      </c>
      <c r="AR378" s="10">
        <v>8.5</v>
      </c>
      <c r="AS378" s="11">
        <v>0</v>
      </c>
      <c r="AT378" s="11">
        <v>5750.5</v>
      </c>
      <c r="AU378" s="11">
        <v>3668.25</v>
      </c>
      <c r="AV378" s="11">
        <v>13199</v>
      </c>
      <c r="AW378" s="11">
        <v>0</v>
      </c>
      <c r="AX378" s="11">
        <v>0</v>
      </c>
      <c r="AY378" s="11">
        <v>9381.2291666667006</v>
      </c>
      <c r="AZ378" s="11">
        <v>3233.9208333332999</v>
      </c>
      <c r="BA378" s="23">
        <v>3</v>
      </c>
      <c r="BB378" s="24" t="s">
        <v>8</v>
      </c>
    </row>
    <row r="379" spans="1:54" x14ac:dyDescent="0.2">
      <c r="A379" s="5">
        <v>3621</v>
      </c>
      <c r="B379" s="20" t="s">
        <v>70</v>
      </c>
      <c r="C379" s="18" t="s">
        <v>54</v>
      </c>
      <c r="D379" s="18">
        <v>5</v>
      </c>
      <c r="E379" s="18">
        <v>0</v>
      </c>
      <c r="F379" s="20">
        <v>4</v>
      </c>
      <c r="G379" s="18">
        <v>27</v>
      </c>
      <c r="H379" s="22">
        <v>3.8576317590691307</v>
      </c>
      <c r="I379" s="22" t="s">
        <v>8</v>
      </c>
      <c r="J379" s="22" t="s">
        <v>8</v>
      </c>
      <c r="K379" s="22">
        <v>3.868583162217659</v>
      </c>
      <c r="L379" s="22" t="s">
        <v>8</v>
      </c>
      <c r="M379" s="22" t="s">
        <v>8</v>
      </c>
      <c r="N379" s="22" t="s">
        <v>8</v>
      </c>
      <c r="O379" s="22" t="s">
        <v>8</v>
      </c>
      <c r="P379" s="22" t="s">
        <v>8</v>
      </c>
      <c r="Q379" s="22" t="s">
        <v>8</v>
      </c>
      <c r="R379" s="22" t="s">
        <v>8</v>
      </c>
      <c r="S379" s="22" t="s">
        <v>8</v>
      </c>
      <c r="T379" s="5">
        <v>3</v>
      </c>
      <c r="U379" s="5">
        <v>15</v>
      </c>
      <c r="V379" s="20" t="s">
        <v>1</v>
      </c>
      <c r="W379" s="20">
        <v>5</v>
      </c>
      <c r="X379" s="20">
        <v>1</v>
      </c>
      <c r="Y379" s="5">
        <v>1</v>
      </c>
      <c r="Z379" s="20">
        <v>4</v>
      </c>
      <c r="AA379" s="23">
        <f t="shared" si="10"/>
        <v>2</v>
      </c>
      <c r="AB379" s="15">
        <v>1</v>
      </c>
      <c r="AC379" s="15">
        <v>0.75</v>
      </c>
      <c r="AD379" s="15">
        <v>0.625</v>
      </c>
      <c r="AE379" s="15">
        <v>0.79200000000000004</v>
      </c>
      <c r="AF379" s="20">
        <v>19</v>
      </c>
      <c r="AG379" s="20" t="s">
        <v>8</v>
      </c>
      <c r="AH379" s="24">
        <v>24</v>
      </c>
      <c r="AI379" s="23">
        <f t="shared" si="11"/>
        <v>1</v>
      </c>
      <c r="AJ379" s="17">
        <v>10.75</v>
      </c>
      <c r="AK379" s="17">
        <v>11.75</v>
      </c>
      <c r="AL379" s="14">
        <v>22.5</v>
      </c>
      <c r="AM379" s="23" cm="1">
        <f t="array" ref="AM379">IF(OR(AN379:AZ379=""),"BLANK",IF(AND(AN379:AZ379&lt;9999999),1,IF(AND(AN379:AZ379="NA"),3,2)))</f>
        <v>1</v>
      </c>
      <c r="AN379" s="5">
        <v>9</v>
      </c>
      <c r="AO379" s="5">
        <v>2</v>
      </c>
      <c r="AP379" s="10">
        <v>3</v>
      </c>
      <c r="AQ379" s="10">
        <v>5.25</v>
      </c>
      <c r="AR379" s="10">
        <v>5.75</v>
      </c>
      <c r="AS379" s="11">
        <v>1949</v>
      </c>
      <c r="AT379" s="11">
        <v>3081.5</v>
      </c>
      <c r="AU379" s="11">
        <v>3675</v>
      </c>
      <c r="AV379" s="11">
        <v>6255.25</v>
      </c>
      <c r="AW379" s="11">
        <v>0</v>
      </c>
      <c r="AX379" s="11">
        <v>0</v>
      </c>
      <c r="AY379" s="11">
        <v>955.20833333329995</v>
      </c>
      <c r="AZ379" s="11">
        <v>72.242857142899993</v>
      </c>
      <c r="BA379" s="23">
        <v>3</v>
      </c>
      <c r="BB379" s="24" t="s">
        <v>8</v>
      </c>
    </row>
    <row r="380" spans="1:54" x14ac:dyDescent="0.2">
      <c r="A380" s="5">
        <v>3639</v>
      </c>
      <c r="B380" s="20" t="s">
        <v>74</v>
      </c>
      <c r="C380" s="18" t="s">
        <v>54</v>
      </c>
      <c r="D380" s="18">
        <v>5</v>
      </c>
      <c r="E380" s="18">
        <v>0</v>
      </c>
      <c r="F380" s="20">
        <v>4</v>
      </c>
      <c r="G380" s="18">
        <v>29</v>
      </c>
      <c r="H380" s="22">
        <v>3.4469541409993156</v>
      </c>
      <c r="I380" s="22" t="s">
        <v>8</v>
      </c>
      <c r="J380" s="22" t="s">
        <v>8</v>
      </c>
      <c r="K380" s="22">
        <v>3.4469541409993156</v>
      </c>
      <c r="L380" s="22" t="s">
        <v>8</v>
      </c>
      <c r="M380" s="22" t="s">
        <v>8</v>
      </c>
      <c r="N380" s="22">
        <v>3.57015742642026</v>
      </c>
      <c r="O380" s="22" t="s">
        <v>8</v>
      </c>
      <c r="P380" s="22" t="s">
        <v>8</v>
      </c>
      <c r="Q380" s="22">
        <v>4.6214921286789874</v>
      </c>
      <c r="R380" s="22" t="s">
        <v>8</v>
      </c>
      <c r="S380" s="22" t="s">
        <v>8</v>
      </c>
      <c r="T380" s="5">
        <v>4</v>
      </c>
      <c r="U380" s="5">
        <v>16</v>
      </c>
      <c r="V380" s="20" t="s">
        <v>1</v>
      </c>
      <c r="W380" s="20">
        <v>5</v>
      </c>
      <c r="X380" s="20">
        <v>1</v>
      </c>
      <c r="Y380" s="5">
        <v>1</v>
      </c>
      <c r="Z380" s="20">
        <v>4</v>
      </c>
      <c r="AA380" s="23">
        <f t="shared" si="10"/>
        <v>2</v>
      </c>
      <c r="AB380" s="15">
        <v>1</v>
      </c>
      <c r="AC380" s="15">
        <v>0.875</v>
      </c>
      <c r="AD380" s="15">
        <v>0.625</v>
      </c>
      <c r="AE380" s="15">
        <v>0.83299999999999996</v>
      </c>
      <c r="AF380" s="20">
        <v>20</v>
      </c>
      <c r="AG380" s="20" t="s">
        <v>8</v>
      </c>
      <c r="AH380" s="24">
        <v>24</v>
      </c>
      <c r="AI380" s="23">
        <f t="shared" si="11"/>
        <v>1</v>
      </c>
      <c r="AJ380" s="17">
        <v>9</v>
      </c>
      <c r="AK380" s="17">
        <v>10.5</v>
      </c>
      <c r="AL380" s="14">
        <v>19.5</v>
      </c>
      <c r="AM380" s="23" cm="1">
        <f t="array" ref="AM380">IF(OR(AN380:AZ380=""),"BLANK",IF(AND(AN380:AZ380&lt;9999999),1,IF(AND(AN380:AZ380="NA"),3,2)))</f>
        <v>1</v>
      </c>
      <c r="AN380" s="5">
        <v>7</v>
      </c>
      <c r="AO380" s="5">
        <v>2</v>
      </c>
      <c r="AP380" s="10">
        <v>3</v>
      </c>
      <c r="AQ380" s="10">
        <v>6.5</v>
      </c>
      <c r="AR380" s="10">
        <v>8.5</v>
      </c>
      <c r="AS380" s="11">
        <v>4456.5</v>
      </c>
      <c r="AT380" s="11">
        <v>11355</v>
      </c>
      <c r="AU380" s="11">
        <v>7942.5</v>
      </c>
      <c r="AV380" s="11">
        <v>7036.5</v>
      </c>
      <c r="AW380" s="11">
        <v>0</v>
      </c>
      <c r="AX380" s="11">
        <v>0</v>
      </c>
      <c r="AY380" s="11">
        <v>2347.5694444443998</v>
      </c>
      <c r="AZ380" s="11">
        <v>991.8928030303</v>
      </c>
      <c r="BA380" s="23">
        <v>3</v>
      </c>
      <c r="BB380" s="24" t="s">
        <v>8</v>
      </c>
    </row>
    <row r="381" spans="1:54" x14ac:dyDescent="0.2">
      <c r="A381" s="5">
        <v>3653</v>
      </c>
      <c r="B381" s="20" t="s">
        <v>75</v>
      </c>
      <c r="C381" s="18" t="s">
        <v>54</v>
      </c>
      <c r="D381" s="18">
        <v>5</v>
      </c>
      <c r="E381" s="18">
        <v>0</v>
      </c>
      <c r="F381" s="20">
        <v>4</v>
      </c>
      <c r="G381" s="18">
        <v>29</v>
      </c>
      <c r="H381" s="22">
        <v>3.4688569472963722</v>
      </c>
      <c r="I381" s="22">
        <v>3.9479808350444903</v>
      </c>
      <c r="J381" s="22">
        <v>7.4168377823408624</v>
      </c>
      <c r="K381" s="22">
        <v>3.482546201232033</v>
      </c>
      <c r="L381" s="22">
        <v>3.9342915811088295</v>
      </c>
      <c r="M381" s="22">
        <v>7.4168377823408624</v>
      </c>
      <c r="N381" s="22">
        <v>3.4360027378507869</v>
      </c>
      <c r="O381" s="22">
        <v>3.9178644763860371</v>
      </c>
      <c r="P381" s="22">
        <v>7.353867214236824</v>
      </c>
      <c r="Q381" s="22">
        <v>3.9315537303216974</v>
      </c>
      <c r="R381" s="22">
        <v>3.5756331279945242</v>
      </c>
      <c r="S381" s="22">
        <v>7.5071868583162216</v>
      </c>
      <c r="T381" s="5">
        <v>3</v>
      </c>
      <c r="U381" s="5">
        <v>14</v>
      </c>
      <c r="V381" s="20" t="s">
        <v>1</v>
      </c>
      <c r="W381" s="20">
        <v>5</v>
      </c>
      <c r="X381" s="20">
        <v>1</v>
      </c>
      <c r="Y381" s="5">
        <v>1</v>
      </c>
      <c r="Z381" s="20">
        <v>4</v>
      </c>
      <c r="AA381" s="23">
        <f t="shared" si="10"/>
        <v>2</v>
      </c>
      <c r="AB381" s="15">
        <v>0.875</v>
      </c>
      <c r="AC381" s="15">
        <v>1</v>
      </c>
      <c r="AD381" s="15">
        <v>0.25</v>
      </c>
      <c r="AE381" s="15">
        <v>0.69599999999999995</v>
      </c>
      <c r="AF381" s="20">
        <v>16</v>
      </c>
      <c r="AG381" s="20" t="s">
        <v>8</v>
      </c>
      <c r="AH381" s="24">
        <v>23</v>
      </c>
      <c r="AI381" s="23">
        <f t="shared" si="11"/>
        <v>1</v>
      </c>
      <c r="AJ381" s="17">
        <v>7.75</v>
      </c>
      <c r="AK381" s="17">
        <v>9.75</v>
      </c>
      <c r="AL381" s="14">
        <v>17.5</v>
      </c>
      <c r="AM381" s="23" cm="1">
        <f t="array" ref="AM381">IF(OR(AN381:AZ381=""),"BLANK",IF(AND(AN381:AZ381&lt;9999999),1,IF(AND(AN381:AZ381="NA"),3,2)))</f>
        <v>1</v>
      </c>
      <c r="AN381" s="5">
        <v>6</v>
      </c>
      <c r="AO381" s="5">
        <v>2</v>
      </c>
      <c r="AP381" s="10">
        <v>3.5</v>
      </c>
      <c r="AQ381" s="10">
        <v>6.75</v>
      </c>
      <c r="AR381" s="10">
        <v>6</v>
      </c>
      <c r="AS381" s="11">
        <v>16727.5</v>
      </c>
      <c r="AT381" s="11">
        <v>48768.5</v>
      </c>
      <c r="AU381" s="11">
        <v>12735.5</v>
      </c>
      <c r="AV381" s="11">
        <v>16976</v>
      </c>
      <c r="AW381" s="11">
        <v>0</v>
      </c>
      <c r="AX381" s="11">
        <v>1616.4166666666999</v>
      </c>
      <c r="AY381" s="11">
        <v>6620.2048611111004</v>
      </c>
      <c r="AZ381" s="11">
        <v>1617.6714285713999</v>
      </c>
      <c r="BA381" s="23">
        <v>3</v>
      </c>
      <c r="BB381" s="24" t="s">
        <v>8</v>
      </c>
    </row>
    <row r="382" spans="1:54" x14ac:dyDescent="0.2">
      <c r="A382" s="5">
        <v>3658</v>
      </c>
      <c r="B382" s="20" t="s">
        <v>75</v>
      </c>
      <c r="C382" s="18" t="s">
        <v>55</v>
      </c>
      <c r="D382" s="18">
        <v>5</v>
      </c>
      <c r="E382" s="18">
        <v>0</v>
      </c>
      <c r="F382" s="20">
        <v>3.2730000000000001</v>
      </c>
      <c r="G382" s="18">
        <v>30</v>
      </c>
      <c r="H382" s="22">
        <v>3.5564681724845997</v>
      </c>
      <c r="I382" s="22">
        <v>4.084873374401095</v>
      </c>
      <c r="J382" s="22">
        <v>7.6413415468856947</v>
      </c>
      <c r="K382" s="22">
        <v>4.3121149897330593</v>
      </c>
      <c r="L382" s="22">
        <v>3.3702943189596168</v>
      </c>
      <c r="M382" s="22">
        <v>7.6824093086926766</v>
      </c>
      <c r="N382" s="22">
        <v>3.5017111567419574</v>
      </c>
      <c r="O382" s="22">
        <v>4.0301163586584527</v>
      </c>
      <c r="P382" s="22">
        <v>7.5318275154004111</v>
      </c>
      <c r="Q382" s="22">
        <v>3.9288158795345653</v>
      </c>
      <c r="R382" s="22">
        <v>3.9123887748117729</v>
      </c>
      <c r="S382" s="22">
        <v>7.8412046543463383</v>
      </c>
      <c r="T382" s="5">
        <v>4</v>
      </c>
      <c r="U382" s="5">
        <v>16</v>
      </c>
      <c r="V382" s="20" t="s">
        <v>1</v>
      </c>
      <c r="W382" s="20">
        <v>5</v>
      </c>
      <c r="X382" s="20">
        <v>1</v>
      </c>
      <c r="Y382" s="5">
        <v>1</v>
      </c>
      <c r="Z382" s="20">
        <v>4</v>
      </c>
      <c r="AA382" s="23">
        <f t="shared" si="10"/>
        <v>2</v>
      </c>
      <c r="AB382" s="15">
        <v>1</v>
      </c>
      <c r="AC382" s="15">
        <v>0.75</v>
      </c>
      <c r="AD382" s="15">
        <v>0.5</v>
      </c>
      <c r="AE382" s="15">
        <v>0.75</v>
      </c>
      <c r="AF382" s="20">
        <v>18</v>
      </c>
      <c r="AG382" s="20" t="s">
        <v>8</v>
      </c>
      <c r="AH382" s="24">
        <v>24</v>
      </c>
      <c r="AI382" s="23">
        <f t="shared" si="11"/>
        <v>1</v>
      </c>
      <c r="AJ382" s="17">
        <v>5.25</v>
      </c>
      <c r="AK382" s="17">
        <v>5.75</v>
      </c>
      <c r="AL382" s="14">
        <v>11</v>
      </c>
      <c r="AM382" s="23" cm="1">
        <f t="array" ref="AM382">IF(OR(AN382:AZ382=""),"BLANK",IF(AND(AN382:AZ382&lt;9999999),1,IF(AND(AN382:AZ382="NA"),3,2)))</f>
        <v>1</v>
      </c>
      <c r="AN382" s="5">
        <v>10</v>
      </c>
      <c r="AO382" s="5">
        <v>2</v>
      </c>
      <c r="AP382" s="10">
        <v>3</v>
      </c>
      <c r="AQ382" s="10">
        <v>5.25</v>
      </c>
      <c r="AR382" s="10">
        <v>6.5</v>
      </c>
      <c r="AS382" s="11">
        <v>558.5</v>
      </c>
      <c r="AT382" s="11">
        <v>13873</v>
      </c>
      <c r="AU382" s="11">
        <v>4202.75</v>
      </c>
      <c r="AV382" s="11">
        <v>8933</v>
      </c>
      <c r="AW382" s="11">
        <v>0</v>
      </c>
      <c r="AX382" s="11">
        <v>508.6666666667</v>
      </c>
      <c r="AY382" s="11">
        <v>6163.9166666666997</v>
      </c>
      <c r="AZ382" s="11">
        <v>4164.3318181818004</v>
      </c>
      <c r="BA382" s="23">
        <v>3</v>
      </c>
      <c r="BB382" s="24" t="s">
        <v>8</v>
      </c>
    </row>
    <row r="383" spans="1:54" x14ac:dyDescent="0.2">
      <c r="A383" s="5">
        <v>3660</v>
      </c>
      <c r="B383" s="20" t="s">
        <v>75</v>
      </c>
      <c r="C383" s="18" t="s">
        <v>54</v>
      </c>
      <c r="D383" s="18">
        <v>5</v>
      </c>
      <c r="E383" s="18">
        <v>0</v>
      </c>
      <c r="F383" s="20">
        <v>3.7269999999999999</v>
      </c>
      <c r="G383" s="18">
        <v>30</v>
      </c>
      <c r="H383" s="22">
        <v>3.4387405886379194</v>
      </c>
      <c r="I383" s="22">
        <v>4.1971252566735116</v>
      </c>
      <c r="J383" s="22">
        <v>7.6358658453114305</v>
      </c>
      <c r="K383" s="22">
        <v>3.4579055441478439</v>
      </c>
      <c r="L383" s="22">
        <v>4.1670088980150579</v>
      </c>
      <c r="M383" s="22">
        <v>7.6249144421629023</v>
      </c>
      <c r="N383" s="22">
        <v>3.4661190965092401</v>
      </c>
      <c r="O383" s="22">
        <v>4.216290212183436</v>
      </c>
      <c r="P383" s="22">
        <v>7.6824093086926766</v>
      </c>
      <c r="Q383" s="22">
        <v>3.485284052019165</v>
      </c>
      <c r="R383" s="22">
        <v>4.1779603011635862</v>
      </c>
      <c r="S383" s="22">
        <v>7.6632443531827512</v>
      </c>
      <c r="T383" s="5">
        <v>4</v>
      </c>
      <c r="U383" s="5">
        <v>16</v>
      </c>
      <c r="V383" s="20" t="s">
        <v>1</v>
      </c>
      <c r="W383" s="20">
        <v>5</v>
      </c>
      <c r="X383" s="20">
        <v>1</v>
      </c>
      <c r="Y383" s="5">
        <v>1</v>
      </c>
      <c r="Z383" s="20">
        <v>4</v>
      </c>
      <c r="AA383" s="23">
        <f t="shared" si="10"/>
        <v>2</v>
      </c>
      <c r="AB383" s="15">
        <v>1</v>
      </c>
      <c r="AC383" s="15">
        <v>0.875</v>
      </c>
      <c r="AD383" s="15">
        <v>0.8571428571428571</v>
      </c>
      <c r="AE383" s="15">
        <v>0.91300000000000003</v>
      </c>
      <c r="AF383" s="20">
        <v>21</v>
      </c>
      <c r="AG383" s="20" t="s">
        <v>8</v>
      </c>
      <c r="AH383" s="24">
        <v>23</v>
      </c>
      <c r="AI383" s="23">
        <f t="shared" si="11"/>
        <v>1</v>
      </c>
      <c r="AJ383" s="17">
        <v>5</v>
      </c>
      <c r="AK383" s="17">
        <v>3.75</v>
      </c>
      <c r="AL383" s="14">
        <v>8.75</v>
      </c>
      <c r="AM383" s="23" cm="1">
        <f t="array" ref="AM383">IF(OR(AN383:AZ383=""),"BLANK",IF(AND(AN383:AZ383&lt;9999999),1,IF(AND(AN383:AZ383="NA"),3,2)))</f>
        <v>1</v>
      </c>
      <c r="AN383" s="5">
        <v>7</v>
      </c>
      <c r="AO383" s="5">
        <v>2</v>
      </c>
      <c r="AP383" s="10">
        <v>3</v>
      </c>
      <c r="AQ383" s="10">
        <v>5.5</v>
      </c>
      <c r="AR383" s="10">
        <v>7.5</v>
      </c>
      <c r="AS383" s="11">
        <v>1276.5</v>
      </c>
      <c r="AT383" s="11">
        <v>1717.5</v>
      </c>
      <c r="AU383" s="11">
        <v>5458.75</v>
      </c>
      <c r="AV383" s="11">
        <v>4544.5</v>
      </c>
      <c r="AW383" s="11">
        <v>0</v>
      </c>
      <c r="AX383" s="11">
        <v>0</v>
      </c>
      <c r="AY383" s="11">
        <v>394.2083333333</v>
      </c>
      <c r="AZ383" s="11">
        <v>305.25773809520001</v>
      </c>
      <c r="BA383" s="23">
        <v>3</v>
      </c>
      <c r="BB383" s="24" t="s">
        <v>8</v>
      </c>
    </row>
    <row r="384" spans="1:54" x14ac:dyDescent="0.2">
      <c r="A384" s="5">
        <v>3693</v>
      </c>
      <c r="B384" s="20" t="s">
        <v>70</v>
      </c>
      <c r="C384" s="18" t="s">
        <v>54</v>
      </c>
      <c r="D384" s="18">
        <v>5</v>
      </c>
      <c r="E384" s="18">
        <v>0</v>
      </c>
      <c r="F384" s="20">
        <v>4</v>
      </c>
      <c r="G384" s="18">
        <v>30</v>
      </c>
      <c r="H384" s="22">
        <v>3.4743326488706368</v>
      </c>
      <c r="I384" s="22">
        <v>4.0273785078713207</v>
      </c>
      <c r="J384" s="22">
        <v>7.5017111567419574</v>
      </c>
      <c r="K384" s="22">
        <v>3.4743326488706368</v>
      </c>
      <c r="L384" s="22">
        <v>4.0273785078713207</v>
      </c>
      <c r="M384" s="22">
        <v>7.5017111567419574</v>
      </c>
      <c r="N384" s="22">
        <v>3.4880219028062971</v>
      </c>
      <c r="O384" s="22" t="s">
        <v>8</v>
      </c>
      <c r="P384" s="22" t="s">
        <v>8</v>
      </c>
      <c r="Q384" s="22">
        <v>4.0766598220396988</v>
      </c>
      <c r="R384" s="22" t="s">
        <v>8</v>
      </c>
      <c r="S384" s="22" t="s">
        <v>8</v>
      </c>
      <c r="T384" s="5">
        <v>4</v>
      </c>
      <c r="U384" s="5">
        <v>16</v>
      </c>
      <c r="V384" s="20" t="s">
        <v>1</v>
      </c>
      <c r="W384" s="20">
        <v>5</v>
      </c>
      <c r="X384" s="20">
        <v>1</v>
      </c>
      <c r="Y384" s="5">
        <v>1</v>
      </c>
      <c r="Z384" s="20">
        <v>4</v>
      </c>
      <c r="AA384" s="23">
        <f t="shared" si="10"/>
        <v>2</v>
      </c>
      <c r="AB384" s="15">
        <v>1</v>
      </c>
      <c r="AC384" s="15">
        <v>1</v>
      </c>
      <c r="AD384" s="15">
        <v>1</v>
      </c>
      <c r="AE384" s="15">
        <v>1</v>
      </c>
      <c r="AF384" s="20">
        <v>21</v>
      </c>
      <c r="AG384" s="20" t="s">
        <v>8</v>
      </c>
      <c r="AH384" s="24">
        <v>21</v>
      </c>
      <c r="AI384" s="23">
        <f t="shared" si="11"/>
        <v>1</v>
      </c>
      <c r="AJ384" s="17">
        <v>7</v>
      </c>
      <c r="AK384" s="17">
        <v>7</v>
      </c>
      <c r="AL384" s="14">
        <v>14</v>
      </c>
      <c r="AM384" s="23" cm="1">
        <f t="array" ref="AM384">IF(OR(AN384:AZ384=""),"BLANK",IF(AND(AN384:AZ384&lt;9999999),1,IF(AND(AN384:AZ384="NA"),3,2)))</f>
        <v>1</v>
      </c>
      <c r="AN384" s="5">
        <v>10</v>
      </c>
      <c r="AO384" s="5">
        <v>2</v>
      </c>
      <c r="AP384" s="10">
        <v>3</v>
      </c>
      <c r="AQ384" s="10">
        <v>4.5</v>
      </c>
      <c r="AR384" s="10">
        <v>6.25</v>
      </c>
      <c r="AS384" s="11">
        <v>4345</v>
      </c>
      <c r="AT384" s="11">
        <v>15384</v>
      </c>
      <c r="AU384" s="11">
        <v>37883.5</v>
      </c>
      <c r="AV384" s="11">
        <v>41201.75</v>
      </c>
      <c r="AW384" s="11">
        <v>0</v>
      </c>
      <c r="AX384" s="11">
        <v>0</v>
      </c>
      <c r="AY384" s="11">
        <v>1776.1666666666999</v>
      </c>
      <c r="AZ384" s="11">
        <v>2305.7249999999999</v>
      </c>
      <c r="BA384" s="23">
        <v>3</v>
      </c>
      <c r="BB384" s="24" t="s">
        <v>8</v>
      </c>
    </row>
    <row r="385" spans="1:54" x14ac:dyDescent="0.2">
      <c r="A385" s="5">
        <v>3727</v>
      </c>
      <c r="B385" s="20" t="s">
        <v>75</v>
      </c>
      <c r="C385" s="18" t="s">
        <v>55</v>
      </c>
      <c r="D385" s="18">
        <v>5</v>
      </c>
      <c r="E385" s="18">
        <v>0</v>
      </c>
      <c r="F385" s="20">
        <v>3.6360000000000001</v>
      </c>
      <c r="G385" s="18">
        <v>27</v>
      </c>
      <c r="H385" s="22">
        <v>3.4195756331279945</v>
      </c>
      <c r="I385" s="22" t="s">
        <v>8</v>
      </c>
      <c r="J385" s="22" t="s">
        <v>8</v>
      </c>
      <c r="K385" s="22">
        <v>3.4195756331279945</v>
      </c>
      <c r="L385" s="22" t="s">
        <v>8</v>
      </c>
      <c r="M385" s="22" t="s">
        <v>8</v>
      </c>
      <c r="N385" s="22">
        <v>3.4140999315537304</v>
      </c>
      <c r="O385" s="22" t="s">
        <v>8</v>
      </c>
      <c r="P385" s="22" t="s">
        <v>8</v>
      </c>
      <c r="Q385" s="22">
        <v>4.5968514715947979</v>
      </c>
      <c r="R385" s="22" t="s">
        <v>8</v>
      </c>
      <c r="S385" s="22" t="s">
        <v>8</v>
      </c>
      <c r="T385" s="5">
        <v>3</v>
      </c>
      <c r="U385" s="5">
        <v>15</v>
      </c>
      <c r="V385" s="20" t="s">
        <v>1</v>
      </c>
      <c r="W385" s="20">
        <v>5</v>
      </c>
      <c r="X385" s="20">
        <v>1</v>
      </c>
      <c r="Y385" s="5">
        <v>1</v>
      </c>
      <c r="Z385" s="20">
        <v>4</v>
      </c>
      <c r="AA385" s="23">
        <f t="shared" si="10"/>
        <v>2</v>
      </c>
      <c r="AB385" s="15">
        <v>1</v>
      </c>
      <c r="AC385" s="15">
        <v>0.75</v>
      </c>
      <c r="AD385" s="15">
        <v>0.625</v>
      </c>
      <c r="AE385" s="15">
        <v>0.79200000000000004</v>
      </c>
      <c r="AF385" s="20">
        <v>19</v>
      </c>
      <c r="AG385" s="20" t="s">
        <v>8</v>
      </c>
      <c r="AH385" s="24">
        <v>24</v>
      </c>
      <c r="AI385" s="23">
        <f t="shared" si="11"/>
        <v>1</v>
      </c>
      <c r="AJ385" s="17">
        <v>2.25</v>
      </c>
      <c r="AK385" s="17">
        <v>3.5</v>
      </c>
      <c r="AL385" s="14">
        <v>5.75</v>
      </c>
      <c r="AM385" s="23" cm="1">
        <f t="array" ref="AM385">IF(OR(AN385:AZ385=""),"BLANK",IF(AND(AN385:AZ385&lt;9999999),1,IF(AND(AN385:AZ385="NA"),3,2)))</f>
        <v>1</v>
      </c>
      <c r="AN385" s="5">
        <v>7</v>
      </c>
      <c r="AO385" s="5">
        <v>2</v>
      </c>
      <c r="AP385" s="10">
        <v>3</v>
      </c>
      <c r="AQ385" s="10">
        <v>5.25</v>
      </c>
      <c r="AR385" s="10">
        <v>8</v>
      </c>
      <c r="AS385" s="11">
        <v>1417.5</v>
      </c>
      <c r="AT385" s="11">
        <v>12737</v>
      </c>
      <c r="AU385" s="11">
        <v>15188.5</v>
      </c>
      <c r="AV385" s="11">
        <v>15565.75</v>
      </c>
      <c r="AW385" s="11">
        <v>4301.25</v>
      </c>
      <c r="AX385" s="11">
        <v>409.6666666667</v>
      </c>
      <c r="AY385" s="11">
        <v>14521.483333333301</v>
      </c>
      <c r="AZ385" s="11">
        <v>5095.1875</v>
      </c>
      <c r="BA385" s="23">
        <v>3</v>
      </c>
      <c r="BB385" s="24" t="s">
        <v>8</v>
      </c>
    </row>
    <row r="386" spans="1:54" x14ac:dyDescent="0.2">
      <c r="A386" s="5">
        <v>3737</v>
      </c>
      <c r="B386" s="20" t="s">
        <v>66</v>
      </c>
      <c r="C386" s="18" t="s">
        <v>54</v>
      </c>
      <c r="D386" s="18">
        <v>5</v>
      </c>
      <c r="E386" s="18">
        <v>0</v>
      </c>
      <c r="F386" s="20">
        <v>4</v>
      </c>
      <c r="G386" s="18">
        <v>29</v>
      </c>
      <c r="H386" s="22" t="s">
        <v>8</v>
      </c>
      <c r="I386" s="22" t="s">
        <v>8</v>
      </c>
      <c r="J386" s="22" t="s">
        <v>8</v>
      </c>
      <c r="K386" s="22" t="s">
        <v>8</v>
      </c>
      <c r="L386" s="22" t="s">
        <v>8</v>
      </c>
      <c r="M386" s="22" t="s">
        <v>8</v>
      </c>
      <c r="N386" s="22" t="s">
        <v>8</v>
      </c>
      <c r="O386" s="22" t="s">
        <v>8</v>
      </c>
      <c r="P386" s="22" t="s">
        <v>8</v>
      </c>
      <c r="Q386" s="22" t="s">
        <v>8</v>
      </c>
      <c r="R386" s="22" t="s">
        <v>8</v>
      </c>
      <c r="S386" s="22" t="s">
        <v>8</v>
      </c>
      <c r="T386" s="5">
        <v>3</v>
      </c>
      <c r="U386" s="5">
        <v>13</v>
      </c>
      <c r="V386" s="20" t="s">
        <v>1</v>
      </c>
      <c r="W386" s="20">
        <v>5</v>
      </c>
      <c r="X386" s="20">
        <v>1</v>
      </c>
      <c r="Y386" s="5">
        <v>1</v>
      </c>
      <c r="Z386" s="20">
        <v>4</v>
      </c>
      <c r="AA386" s="23">
        <f t="shared" si="10"/>
        <v>2</v>
      </c>
      <c r="AB386" s="15">
        <v>0.875</v>
      </c>
      <c r="AC386" s="15">
        <v>0.625</v>
      </c>
      <c r="AD386" s="15">
        <v>0.5</v>
      </c>
      <c r="AE386" s="15">
        <v>0.66700000000000004</v>
      </c>
      <c r="AF386" s="20">
        <v>16</v>
      </c>
      <c r="AG386" s="20" t="s">
        <v>8</v>
      </c>
      <c r="AH386" s="24">
        <v>24</v>
      </c>
      <c r="AI386" s="23">
        <f t="shared" si="11"/>
        <v>1</v>
      </c>
      <c r="AJ386" s="17">
        <v>3</v>
      </c>
      <c r="AK386" s="17">
        <v>7.25</v>
      </c>
      <c r="AL386" s="14">
        <v>10.25</v>
      </c>
      <c r="AM386" s="23" cm="1">
        <f t="array" ref="AM386">IF(OR(AN386:AZ386=""),"BLANK",IF(AND(AN386:AZ386&lt;9999999),1,IF(AND(AN386:AZ386="NA"),3,2)))</f>
        <v>1</v>
      </c>
      <c r="AN386" s="5">
        <v>12</v>
      </c>
      <c r="AO386" s="5">
        <v>2</v>
      </c>
      <c r="AP386" s="10">
        <v>3</v>
      </c>
      <c r="AQ386" s="10">
        <v>4</v>
      </c>
      <c r="AR386" s="10">
        <v>5</v>
      </c>
      <c r="AS386" s="11">
        <v>1287.5</v>
      </c>
      <c r="AT386" s="11">
        <v>3478.5</v>
      </c>
      <c r="AU386" s="11">
        <v>4412</v>
      </c>
      <c r="AV386" s="11">
        <v>9697</v>
      </c>
      <c r="AW386" s="11">
        <v>0</v>
      </c>
      <c r="AX386" s="11">
        <v>434.6666666667</v>
      </c>
      <c r="AY386" s="11">
        <v>266.75</v>
      </c>
      <c r="AZ386" s="11">
        <v>0</v>
      </c>
      <c r="BA386" s="23">
        <v>3</v>
      </c>
      <c r="BB386" s="24" t="s">
        <v>8</v>
      </c>
    </row>
    <row r="387" spans="1:54" x14ac:dyDescent="0.2">
      <c r="A387" s="5">
        <v>3744</v>
      </c>
      <c r="B387" s="20" t="s">
        <v>64</v>
      </c>
      <c r="C387" s="18" t="s">
        <v>55</v>
      </c>
      <c r="D387" s="18">
        <v>5</v>
      </c>
      <c r="E387" s="18">
        <v>0</v>
      </c>
      <c r="F387" s="20">
        <v>2.8180000000000001</v>
      </c>
      <c r="G387" s="18">
        <v>28</v>
      </c>
      <c r="H387" s="22">
        <v>3.9616700889801506</v>
      </c>
      <c r="I387" s="22">
        <v>3.1321013004791238</v>
      </c>
      <c r="J387" s="22">
        <v>7.0937713894592749</v>
      </c>
      <c r="K387" s="22">
        <v>3.9616700889801506</v>
      </c>
      <c r="L387" s="22">
        <v>3.1540041067761808</v>
      </c>
      <c r="M387" s="22">
        <v>7.1156741957563314</v>
      </c>
      <c r="N387" s="22">
        <v>3.9835728952772076</v>
      </c>
      <c r="O387" s="22">
        <v>3.052703627652293</v>
      </c>
      <c r="P387" s="22">
        <v>7.0362765229295006</v>
      </c>
      <c r="Q387" s="22">
        <v>3.9452429842573578</v>
      </c>
      <c r="R387" s="22">
        <v>3.1074606433949348</v>
      </c>
      <c r="S387" s="22">
        <v>7.052703627652293</v>
      </c>
      <c r="T387" s="5">
        <v>3</v>
      </c>
      <c r="U387" s="5">
        <v>15</v>
      </c>
      <c r="V387" s="20" t="s">
        <v>1</v>
      </c>
      <c r="W387" s="20">
        <v>5</v>
      </c>
      <c r="X387" s="20">
        <v>1</v>
      </c>
      <c r="Y387" s="5">
        <v>1</v>
      </c>
      <c r="Z387" s="20">
        <v>4</v>
      </c>
      <c r="AA387" s="23">
        <f t="shared" ref="AA387:AA450" si="12">IF(AND(ISNUMBER(AB387), ISNUMBER(AC387),ISNUMBER(AD387), ISNUMBER(AE387), ISNUMBER(AF387),ISNUMBER(AG387), ISNUMBER(AH387)), 1, IF(AND(AB387="NA", AC387="NA", AD387="na", AE387="na", AF387="na", AG387="na", AH387="na"), 3, 2))</f>
        <v>1</v>
      </c>
      <c r="AB387" s="15">
        <v>1</v>
      </c>
      <c r="AC387" s="15">
        <v>0.875</v>
      </c>
      <c r="AD387" s="15">
        <v>0.5</v>
      </c>
      <c r="AE387" s="15">
        <v>0.79200000000000004</v>
      </c>
      <c r="AF387" s="20">
        <v>19</v>
      </c>
      <c r="AG387" s="20">
        <v>6</v>
      </c>
      <c r="AH387" s="24">
        <v>24</v>
      </c>
      <c r="AI387" s="23">
        <f t="shared" ref="AI387:AI450" si="13">IF(AND(ISNUMBER(AJ387), ISNUMBER(AK387),ISNUMBER(AL387)), 1, IF(AND(AJ387="NA", AK387="NA", AL387="na"), 3, 2))</f>
        <v>1</v>
      </c>
      <c r="AJ387" s="17">
        <v>2</v>
      </c>
      <c r="AK387" s="17">
        <v>3.5</v>
      </c>
      <c r="AL387" s="14">
        <v>5.5</v>
      </c>
      <c r="AM387" s="23" cm="1">
        <f t="array" ref="AM387">IF(OR(AN387:AZ387=""),"BLANK",IF(AND(AN387:AZ387&lt;9999999),1,IF(AND(AN387:AZ387="NA"),3,2)))</f>
        <v>1</v>
      </c>
      <c r="AN387" s="5">
        <v>7</v>
      </c>
      <c r="AO387" s="5">
        <v>3</v>
      </c>
      <c r="AP387" s="10">
        <v>3</v>
      </c>
      <c r="AQ387" s="10">
        <v>4.25</v>
      </c>
      <c r="AR387" s="10">
        <v>8.75</v>
      </c>
      <c r="AS387" s="11">
        <v>2037.5</v>
      </c>
      <c r="AT387" s="11">
        <v>7523</v>
      </c>
      <c r="AU387" s="11">
        <v>3436</v>
      </c>
      <c r="AV387" s="11">
        <v>8026</v>
      </c>
      <c r="AW387" s="11">
        <v>1502.125</v>
      </c>
      <c r="AX387" s="11">
        <v>0</v>
      </c>
      <c r="AY387" s="11">
        <v>14813.4125</v>
      </c>
      <c r="AZ387" s="11">
        <v>10239.833333333299</v>
      </c>
      <c r="BA387" s="23">
        <v>3</v>
      </c>
      <c r="BB387" s="24" t="s">
        <v>8</v>
      </c>
    </row>
    <row r="388" spans="1:54" x14ac:dyDescent="0.2">
      <c r="A388" s="5">
        <v>3799</v>
      </c>
      <c r="B388" s="20" t="s">
        <v>66</v>
      </c>
      <c r="C388" s="18" t="s">
        <v>55</v>
      </c>
      <c r="D388" s="18">
        <v>5</v>
      </c>
      <c r="E388" s="18">
        <v>0</v>
      </c>
      <c r="F388" s="20">
        <v>3.2730000000000001</v>
      </c>
      <c r="G388" s="18">
        <v>29</v>
      </c>
      <c r="H388" s="22" t="s">
        <v>8</v>
      </c>
      <c r="I388" s="22" t="s">
        <v>8</v>
      </c>
      <c r="J388" s="22" t="s">
        <v>8</v>
      </c>
      <c r="K388" s="22" t="s">
        <v>8</v>
      </c>
      <c r="L388" s="22" t="s">
        <v>8</v>
      </c>
      <c r="M388" s="22" t="s">
        <v>8</v>
      </c>
      <c r="N388" s="22" t="s">
        <v>8</v>
      </c>
      <c r="O388" s="22" t="s">
        <v>8</v>
      </c>
      <c r="P388" s="22" t="s">
        <v>8</v>
      </c>
      <c r="Q388" s="22" t="s">
        <v>8</v>
      </c>
      <c r="R388" s="22" t="s">
        <v>8</v>
      </c>
      <c r="S388" s="22" t="s">
        <v>8</v>
      </c>
      <c r="T388" s="5">
        <v>4</v>
      </c>
      <c r="U388" s="5">
        <v>16</v>
      </c>
      <c r="V388" s="20" t="s">
        <v>1</v>
      </c>
      <c r="W388" s="20">
        <v>5</v>
      </c>
      <c r="X388" s="20">
        <v>1</v>
      </c>
      <c r="Y388" s="5">
        <v>1</v>
      </c>
      <c r="Z388" s="20">
        <v>4</v>
      </c>
      <c r="AA388" s="23">
        <f t="shared" si="12"/>
        <v>2</v>
      </c>
      <c r="AB388" s="15">
        <v>0.875</v>
      </c>
      <c r="AC388" s="15">
        <v>0.875</v>
      </c>
      <c r="AD388" s="15">
        <v>0.375</v>
      </c>
      <c r="AE388" s="15">
        <v>0.70799999999999996</v>
      </c>
      <c r="AF388" s="20">
        <v>17</v>
      </c>
      <c r="AG388" s="20" t="s">
        <v>8</v>
      </c>
      <c r="AH388" s="24">
        <v>24</v>
      </c>
      <c r="AI388" s="23">
        <f t="shared" si="13"/>
        <v>1</v>
      </c>
      <c r="AJ388" s="17">
        <v>9.25</v>
      </c>
      <c r="AK388" s="17">
        <v>7.25</v>
      </c>
      <c r="AL388" s="14">
        <v>16.5</v>
      </c>
      <c r="AM388" s="23" cm="1">
        <f t="array" ref="AM388">IF(OR(AN388:AZ388=""),"BLANK",IF(AND(AN388:AZ388&lt;9999999),1,IF(AND(AN388:AZ388="NA"),3,2)))</f>
        <v>1</v>
      </c>
      <c r="AN388" s="5">
        <v>10</v>
      </c>
      <c r="AO388" s="5">
        <v>2</v>
      </c>
      <c r="AP388" s="10">
        <v>3</v>
      </c>
      <c r="AQ388" s="10">
        <v>4</v>
      </c>
      <c r="AR388" s="10">
        <v>7</v>
      </c>
      <c r="AS388" s="11">
        <v>2149</v>
      </c>
      <c r="AT388" s="11">
        <v>4996.5</v>
      </c>
      <c r="AU388" s="11">
        <v>10279.5</v>
      </c>
      <c r="AV388" s="11">
        <v>11259.5</v>
      </c>
      <c r="AW388" s="11">
        <v>0</v>
      </c>
      <c r="AX388" s="11">
        <v>0</v>
      </c>
      <c r="AY388" s="11">
        <v>0</v>
      </c>
      <c r="AZ388" s="11">
        <v>1820.1487012987</v>
      </c>
      <c r="BA388" s="23">
        <v>3</v>
      </c>
      <c r="BB388" s="24" t="s">
        <v>8</v>
      </c>
    </row>
    <row r="389" spans="1:54" x14ac:dyDescent="0.2">
      <c r="A389" s="5">
        <v>3841</v>
      </c>
      <c r="B389" s="20" t="s">
        <v>70</v>
      </c>
      <c r="C389" s="18" t="s">
        <v>54</v>
      </c>
      <c r="D389" s="18">
        <v>6</v>
      </c>
      <c r="E389" s="18">
        <v>1</v>
      </c>
      <c r="F389" s="20">
        <v>3.4550000000000001</v>
      </c>
      <c r="G389" s="18">
        <v>28</v>
      </c>
      <c r="H389" s="22" t="s">
        <v>8</v>
      </c>
      <c r="I389" s="22" t="s">
        <v>8</v>
      </c>
      <c r="J389" s="22" t="s">
        <v>8</v>
      </c>
      <c r="K389" s="22" t="s">
        <v>8</v>
      </c>
      <c r="L389" s="22" t="s">
        <v>8</v>
      </c>
      <c r="M389" s="22" t="s">
        <v>8</v>
      </c>
      <c r="N389" s="22" t="s">
        <v>8</v>
      </c>
      <c r="O389" s="22" t="s">
        <v>8</v>
      </c>
      <c r="P389" s="22" t="s">
        <v>8</v>
      </c>
      <c r="Q389" s="22" t="s">
        <v>8</v>
      </c>
      <c r="R389" s="22" t="s">
        <v>8</v>
      </c>
      <c r="S389" s="22" t="s">
        <v>8</v>
      </c>
      <c r="T389" s="5">
        <v>3</v>
      </c>
      <c r="U389" s="5">
        <v>13</v>
      </c>
      <c r="V389" s="20" t="s">
        <v>1</v>
      </c>
      <c r="W389" s="20">
        <v>5</v>
      </c>
      <c r="X389" s="20">
        <v>1</v>
      </c>
      <c r="Y389" s="5">
        <v>1</v>
      </c>
      <c r="Z389" s="20">
        <v>4</v>
      </c>
      <c r="AA389" s="23">
        <f t="shared" si="12"/>
        <v>2</v>
      </c>
      <c r="AB389" s="15">
        <v>0.625</v>
      </c>
      <c r="AC389" s="15">
        <v>0.5</v>
      </c>
      <c r="AD389" s="15">
        <v>0.125</v>
      </c>
      <c r="AE389" s="15">
        <v>0.41699999999999998</v>
      </c>
      <c r="AF389" s="20">
        <v>10</v>
      </c>
      <c r="AG389" s="20" t="s">
        <v>8</v>
      </c>
      <c r="AH389" s="24">
        <v>24</v>
      </c>
      <c r="AI389" s="23">
        <f t="shared" si="13"/>
        <v>1</v>
      </c>
      <c r="AJ389" s="17">
        <v>2.5</v>
      </c>
      <c r="AK389" s="17">
        <v>6.5</v>
      </c>
      <c r="AL389" s="14">
        <v>9</v>
      </c>
      <c r="AM389" s="23" cm="1">
        <f t="array" ref="AM389">IF(OR(AN389:AZ389=""),"BLANK",IF(AND(AN389:AZ389&lt;9999999),1,IF(AND(AN389:AZ389="NA"),3,2)))</f>
        <v>1</v>
      </c>
      <c r="AN389" s="5">
        <v>9</v>
      </c>
      <c r="AO389" s="5">
        <v>2</v>
      </c>
      <c r="AP389" s="10">
        <v>3</v>
      </c>
      <c r="AQ389" s="10">
        <v>4.5</v>
      </c>
      <c r="AR389" s="10">
        <v>5.75</v>
      </c>
      <c r="AS389" s="11">
        <v>2669.5</v>
      </c>
      <c r="AT389" s="11">
        <v>7750.5</v>
      </c>
      <c r="AU389" s="11">
        <v>13302.5</v>
      </c>
      <c r="AV389" s="11">
        <v>12564.5</v>
      </c>
      <c r="AW389" s="11">
        <v>52.75</v>
      </c>
      <c r="AX389" s="11">
        <v>344.1666666667</v>
      </c>
      <c r="AY389" s="11">
        <v>2983.8333333332998</v>
      </c>
      <c r="AZ389" s="11">
        <v>708.21428571429999</v>
      </c>
      <c r="BA389" s="23">
        <v>3</v>
      </c>
      <c r="BB389" s="24" t="s">
        <v>8</v>
      </c>
    </row>
    <row r="390" spans="1:54" x14ac:dyDescent="0.2">
      <c r="A390" s="5">
        <v>3846</v>
      </c>
      <c r="B390" s="20" t="s">
        <v>82</v>
      </c>
      <c r="C390" s="18" t="s">
        <v>54</v>
      </c>
      <c r="D390" s="18">
        <v>2</v>
      </c>
      <c r="E390" s="18">
        <v>0</v>
      </c>
      <c r="F390" s="20">
        <v>4</v>
      </c>
      <c r="G390" s="18">
        <v>27</v>
      </c>
      <c r="H390" s="22">
        <v>3.5838466803559208</v>
      </c>
      <c r="I390" s="22" t="s">
        <v>8</v>
      </c>
      <c r="J390" s="22" t="s">
        <v>8</v>
      </c>
      <c r="K390" s="22">
        <v>3.5838466803559208</v>
      </c>
      <c r="L390" s="22" t="s">
        <v>8</v>
      </c>
      <c r="M390" s="22" t="s">
        <v>8</v>
      </c>
      <c r="N390" s="22">
        <v>3.5592060232717317</v>
      </c>
      <c r="O390" s="22" t="s">
        <v>8</v>
      </c>
      <c r="P390" s="22" t="s">
        <v>8</v>
      </c>
      <c r="Q390" s="22">
        <v>3.9425051334702257</v>
      </c>
      <c r="R390" s="22" t="s">
        <v>8</v>
      </c>
      <c r="S390" s="22" t="s">
        <v>8</v>
      </c>
      <c r="T390" s="5">
        <v>4</v>
      </c>
      <c r="U390" s="5">
        <v>16</v>
      </c>
      <c r="V390" s="20" t="s">
        <v>1</v>
      </c>
      <c r="W390" s="20">
        <v>5</v>
      </c>
      <c r="X390" s="20">
        <v>1</v>
      </c>
      <c r="Y390" s="5">
        <v>1</v>
      </c>
      <c r="Z390" s="20">
        <v>4</v>
      </c>
      <c r="AA390" s="23">
        <f t="shared" si="12"/>
        <v>2</v>
      </c>
      <c r="AB390" s="15">
        <v>0.75</v>
      </c>
      <c r="AC390" s="15">
        <v>0.625</v>
      </c>
      <c r="AD390" s="15">
        <v>0.625</v>
      </c>
      <c r="AE390" s="15">
        <v>0.66700000000000004</v>
      </c>
      <c r="AF390" s="20">
        <v>16</v>
      </c>
      <c r="AG390" s="20" t="s">
        <v>8</v>
      </c>
      <c r="AH390" s="24">
        <v>24</v>
      </c>
      <c r="AI390" s="23">
        <f t="shared" si="13"/>
        <v>1</v>
      </c>
      <c r="AJ390" s="17">
        <v>4.5</v>
      </c>
      <c r="AK390" s="17">
        <v>4.25</v>
      </c>
      <c r="AL390" s="14">
        <v>8.75</v>
      </c>
      <c r="AM390" s="23" cm="1">
        <f t="array" ref="AM390">IF(OR(AN390:AZ390=""),"BLANK",IF(AND(AN390:AZ390&lt;9999999),1,IF(AND(AN390:AZ390="NA"),3,2)))</f>
        <v>1</v>
      </c>
      <c r="AN390" s="5">
        <v>4</v>
      </c>
      <c r="AO390" s="5">
        <v>2</v>
      </c>
      <c r="AP390" s="10">
        <v>6</v>
      </c>
      <c r="AQ390" s="10">
        <v>7</v>
      </c>
      <c r="AR390" s="10">
        <v>9.25</v>
      </c>
      <c r="AS390" s="11">
        <v>904</v>
      </c>
      <c r="AT390" s="11">
        <v>7989.5</v>
      </c>
      <c r="AU390" s="11">
        <v>4962.25</v>
      </c>
      <c r="AV390" s="11">
        <v>1982.25</v>
      </c>
      <c r="AW390" s="11">
        <v>502</v>
      </c>
      <c r="AX390" s="11">
        <v>14345.0285714286</v>
      </c>
      <c r="AY390" s="11">
        <v>4193.5625</v>
      </c>
      <c r="AZ390" s="11">
        <v>2465.5895833333002</v>
      </c>
      <c r="BA390" s="23">
        <v>3</v>
      </c>
      <c r="BB390" s="24" t="s">
        <v>8</v>
      </c>
    </row>
    <row r="391" spans="1:54" x14ac:dyDescent="0.2">
      <c r="A391" s="5">
        <v>3863</v>
      </c>
      <c r="B391" s="20" t="s">
        <v>70</v>
      </c>
      <c r="C391" s="18" t="s">
        <v>54</v>
      </c>
      <c r="D391" s="18">
        <v>5</v>
      </c>
      <c r="E391" s="18">
        <v>0</v>
      </c>
      <c r="F391" s="20">
        <v>4</v>
      </c>
      <c r="G391" s="18">
        <v>28</v>
      </c>
      <c r="H391" s="22">
        <v>3.5592060232717317</v>
      </c>
      <c r="I391" s="22">
        <v>3.8384668035592062</v>
      </c>
      <c r="J391" s="22">
        <v>7.397672826830938</v>
      </c>
      <c r="K391" s="22">
        <v>3.5592060232717317</v>
      </c>
      <c r="L391" s="22">
        <v>3.8384668035592062</v>
      </c>
      <c r="M391" s="22">
        <v>7.397672826830938</v>
      </c>
      <c r="N391" s="22">
        <v>3.6057494866529773</v>
      </c>
      <c r="O391" s="22">
        <v>3.8001368925393568</v>
      </c>
      <c r="P391" s="22">
        <v>7.4058863791923342</v>
      </c>
      <c r="Q391" s="22">
        <v>3.8877481177275839</v>
      </c>
      <c r="R391" s="22">
        <v>3.5263518138261465</v>
      </c>
      <c r="S391" s="22">
        <v>7.4140999315537304</v>
      </c>
      <c r="T391" s="5">
        <v>4</v>
      </c>
      <c r="U391" s="5">
        <v>16</v>
      </c>
      <c r="V391" s="20" t="s">
        <v>1</v>
      </c>
      <c r="W391" s="20">
        <v>5</v>
      </c>
      <c r="X391" s="20">
        <v>1</v>
      </c>
      <c r="Y391" s="5">
        <v>1</v>
      </c>
      <c r="Z391" s="20">
        <v>4</v>
      </c>
      <c r="AA391" s="23">
        <f t="shared" si="12"/>
        <v>2</v>
      </c>
      <c r="AB391" s="15">
        <v>1</v>
      </c>
      <c r="AC391" s="15">
        <v>1</v>
      </c>
      <c r="AD391" s="15">
        <v>0.625</v>
      </c>
      <c r="AE391" s="15">
        <v>0.875</v>
      </c>
      <c r="AF391" s="20">
        <v>21</v>
      </c>
      <c r="AG391" s="20" t="s">
        <v>8</v>
      </c>
      <c r="AH391" s="24">
        <v>24</v>
      </c>
      <c r="AI391" s="23">
        <f t="shared" si="13"/>
        <v>1</v>
      </c>
      <c r="AJ391" s="17">
        <v>6.5</v>
      </c>
      <c r="AK391" s="17">
        <v>9.25</v>
      </c>
      <c r="AL391" s="14">
        <v>15.75</v>
      </c>
      <c r="AM391" s="23" cm="1">
        <f t="array" ref="AM391">IF(OR(AN391:AZ391=""),"BLANK",IF(AND(AN391:AZ391&lt;9999999),1,IF(AND(AN391:AZ391="NA"),3,2)))</f>
        <v>1</v>
      </c>
      <c r="AN391" s="5">
        <v>8</v>
      </c>
      <c r="AO391" s="5">
        <v>2</v>
      </c>
      <c r="AP391" s="10">
        <v>3</v>
      </c>
      <c r="AQ391" s="10">
        <v>6.25</v>
      </c>
      <c r="AR391" s="10">
        <v>8.5</v>
      </c>
      <c r="AS391" s="11">
        <v>1482</v>
      </c>
      <c r="AT391" s="11">
        <v>2402</v>
      </c>
      <c r="AU391" s="11">
        <v>1456.75</v>
      </c>
      <c r="AV391" s="11">
        <v>2538</v>
      </c>
      <c r="AW391" s="11">
        <v>1121.25</v>
      </c>
      <c r="AX391" s="11">
        <v>0</v>
      </c>
      <c r="AY391" s="11">
        <v>696.61111111109994</v>
      </c>
      <c r="AZ391" s="11">
        <v>671.11249999999995</v>
      </c>
      <c r="BA391" s="23">
        <v>3</v>
      </c>
      <c r="BB391" s="24" t="s">
        <v>8</v>
      </c>
    </row>
    <row r="392" spans="1:54" x14ac:dyDescent="0.2">
      <c r="A392" s="5">
        <v>3898</v>
      </c>
      <c r="B392" s="20" t="s">
        <v>64</v>
      </c>
      <c r="C392" s="18" t="s">
        <v>55</v>
      </c>
      <c r="D392" s="18">
        <v>5</v>
      </c>
      <c r="E392" s="18">
        <v>0</v>
      </c>
      <c r="F392" s="20">
        <v>3.1819999999999999</v>
      </c>
      <c r="G392" s="18">
        <v>28</v>
      </c>
      <c r="H392" s="22">
        <v>4.9719370294318956</v>
      </c>
      <c r="I392" s="22" t="s">
        <v>8</v>
      </c>
      <c r="J392" s="22" t="s">
        <v>8</v>
      </c>
      <c r="K392" s="22">
        <v>4.9719370294318956</v>
      </c>
      <c r="L392" s="22" t="s">
        <v>8</v>
      </c>
      <c r="M392" s="22" t="s">
        <v>8</v>
      </c>
      <c r="N392" s="22">
        <v>4.9281314168377826</v>
      </c>
      <c r="O392" s="22" t="s">
        <v>8</v>
      </c>
      <c r="P392" s="22" t="s">
        <v>8</v>
      </c>
      <c r="Q392" s="22">
        <v>4.862422997946612</v>
      </c>
      <c r="R392" s="22" t="s">
        <v>8</v>
      </c>
      <c r="S392" s="22" t="s">
        <v>8</v>
      </c>
      <c r="T392" s="5">
        <v>4</v>
      </c>
      <c r="U392" s="5">
        <v>16</v>
      </c>
      <c r="V392" s="20" t="s">
        <v>1</v>
      </c>
      <c r="W392" s="20">
        <v>5</v>
      </c>
      <c r="X392" s="20">
        <v>1</v>
      </c>
      <c r="Y392" s="5">
        <v>1</v>
      </c>
      <c r="Z392" s="20">
        <v>4</v>
      </c>
      <c r="AA392" s="23">
        <f t="shared" si="12"/>
        <v>1</v>
      </c>
      <c r="AB392" s="15">
        <v>1</v>
      </c>
      <c r="AC392" s="15">
        <v>0.875</v>
      </c>
      <c r="AD392" s="15">
        <v>0.75</v>
      </c>
      <c r="AE392" s="15">
        <v>0.875</v>
      </c>
      <c r="AF392" s="20">
        <v>21</v>
      </c>
      <c r="AG392" s="20">
        <v>2</v>
      </c>
      <c r="AH392" s="24">
        <v>24</v>
      </c>
      <c r="AI392" s="23">
        <f t="shared" si="13"/>
        <v>1</v>
      </c>
      <c r="AJ392" s="17">
        <v>4</v>
      </c>
      <c r="AK392" s="17">
        <v>6.5</v>
      </c>
      <c r="AL392" s="14">
        <v>10.5</v>
      </c>
      <c r="AM392" s="23" cm="1">
        <f t="array" ref="AM392">IF(OR(AN392:AZ392=""),"BLANK",IF(AND(AN392:AZ392&lt;9999999),1,IF(AND(AN392:AZ392="NA"),3,2)))</f>
        <v>1</v>
      </c>
      <c r="AN392" s="5">
        <v>9</v>
      </c>
      <c r="AO392" s="5">
        <v>2</v>
      </c>
      <c r="AP392" s="10">
        <v>3</v>
      </c>
      <c r="AQ392" s="10">
        <v>5.25</v>
      </c>
      <c r="AR392" s="10">
        <v>8</v>
      </c>
      <c r="AS392" s="11">
        <v>1902.5</v>
      </c>
      <c r="AT392" s="11">
        <v>6019.5</v>
      </c>
      <c r="AU392" s="11">
        <v>5957.5</v>
      </c>
      <c r="AV392" s="11">
        <v>8550.5</v>
      </c>
      <c r="AW392" s="11">
        <v>0</v>
      </c>
      <c r="AX392" s="11">
        <v>0</v>
      </c>
      <c r="AY392" s="11">
        <v>8377.1944444443998</v>
      </c>
      <c r="AZ392" s="11">
        <v>1627.5545454544999</v>
      </c>
      <c r="BA392" s="23">
        <v>3</v>
      </c>
      <c r="BB392" s="24" t="s">
        <v>8</v>
      </c>
    </row>
    <row r="393" spans="1:54" x14ac:dyDescent="0.2">
      <c r="A393" s="5">
        <v>3899</v>
      </c>
      <c r="B393" s="20" t="s">
        <v>82</v>
      </c>
      <c r="C393" s="18" t="s">
        <v>54</v>
      </c>
      <c r="D393" s="18">
        <v>5</v>
      </c>
      <c r="E393" s="18">
        <v>0</v>
      </c>
      <c r="F393" s="20">
        <v>3.2730000000000001</v>
      </c>
      <c r="G393" s="18">
        <v>28</v>
      </c>
      <c r="H393" s="22">
        <v>3.5263518138261465</v>
      </c>
      <c r="I393" s="22" t="s">
        <v>8</v>
      </c>
      <c r="J393" s="22" t="s">
        <v>8</v>
      </c>
      <c r="K393" s="22">
        <v>3.5263518138261465</v>
      </c>
      <c r="L393" s="22" t="s">
        <v>8</v>
      </c>
      <c r="M393" s="22" t="s">
        <v>8</v>
      </c>
      <c r="N393" s="22">
        <v>3.6002737850787132</v>
      </c>
      <c r="O393" s="22" t="s">
        <v>8</v>
      </c>
      <c r="P393" s="22" t="s">
        <v>8</v>
      </c>
      <c r="Q393" s="22">
        <v>4.5749486652977414</v>
      </c>
      <c r="R393" s="22" t="s">
        <v>8</v>
      </c>
      <c r="S393" s="22" t="s">
        <v>8</v>
      </c>
      <c r="T393" s="5">
        <v>3</v>
      </c>
      <c r="U393" s="5">
        <v>12</v>
      </c>
      <c r="V393" s="20" t="s">
        <v>1</v>
      </c>
      <c r="W393" s="20">
        <v>5</v>
      </c>
      <c r="X393" s="20">
        <v>1</v>
      </c>
      <c r="Y393" s="5">
        <v>1</v>
      </c>
      <c r="Z393" s="20">
        <v>4</v>
      </c>
      <c r="AA393" s="23">
        <f t="shared" si="12"/>
        <v>2</v>
      </c>
      <c r="AB393" s="15">
        <v>0.75</v>
      </c>
      <c r="AC393" s="15">
        <v>0.5</v>
      </c>
      <c r="AD393" s="15">
        <v>0.125</v>
      </c>
      <c r="AE393" s="15">
        <v>0.45800000000000002</v>
      </c>
      <c r="AF393" s="20">
        <v>11</v>
      </c>
      <c r="AG393" s="20" t="s">
        <v>8</v>
      </c>
      <c r="AH393" s="24">
        <v>24</v>
      </c>
      <c r="AI393" s="23">
        <f t="shared" si="13"/>
        <v>1</v>
      </c>
      <c r="AJ393" s="17">
        <v>4.25</v>
      </c>
      <c r="AK393" s="17">
        <v>5</v>
      </c>
      <c r="AL393" s="14">
        <v>9.25</v>
      </c>
      <c r="AM393" s="23" cm="1">
        <f t="array" ref="AM393">IF(OR(AN393:AZ393=""),"BLANK",IF(AND(AN393:AZ393&lt;9999999),1,IF(AND(AN393:AZ393="NA"),3,2)))</f>
        <v>1</v>
      </c>
      <c r="AN393" s="5">
        <v>11</v>
      </c>
      <c r="AO393" s="5">
        <v>2</v>
      </c>
      <c r="AP393" s="10">
        <v>3</v>
      </c>
      <c r="AQ393" s="10">
        <v>4</v>
      </c>
      <c r="AR393" s="10">
        <v>6.75</v>
      </c>
      <c r="AS393" s="11">
        <v>5533</v>
      </c>
      <c r="AT393" s="11">
        <v>21579.5</v>
      </c>
      <c r="AU393" s="11">
        <v>8724.75</v>
      </c>
      <c r="AV393" s="11">
        <v>6270.75</v>
      </c>
      <c r="AW393" s="11">
        <v>1991.25</v>
      </c>
      <c r="AX393" s="11">
        <v>0</v>
      </c>
      <c r="AY393" s="11">
        <v>1098.125</v>
      </c>
      <c r="AZ393" s="11">
        <v>430.52916666670001</v>
      </c>
      <c r="BA393" s="23">
        <v>3</v>
      </c>
      <c r="BB393" s="24" t="s">
        <v>8</v>
      </c>
    </row>
    <row r="394" spans="1:54" x14ac:dyDescent="0.2">
      <c r="A394" s="5">
        <v>3907</v>
      </c>
      <c r="B394" s="20" t="s">
        <v>68</v>
      </c>
      <c r="C394" s="18" t="s">
        <v>55</v>
      </c>
      <c r="D394" s="18">
        <v>5</v>
      </c>
      <c r="E394" s="18">
        <v>0</v>
      </c>
      <c r="F394" s="20">
        <v>3.2730000000000001</v>
      </c>
      <c r="G394" s="18">
        <v>30</v>
      </c>
      <c r="H394" s="22" t="s">
        <v>8</v>
      </c>
      <c r="I394" s="22" t="s">
        <v>8</v>
      </c>
      <c r="J394" s="22" t="s">
        <v>8</v>
      </c>
      <c r="K394" s="22" t="s">
        <v>8</v>
      </c>
      <c r="L394" s="22" t="s">
        <v>8</v>
      </c>
      <c r="M394" s="22" t="s">
        <v>8</v>
      </c>
      <c r="N394" s="22" t="s">
        <v>8</v>
      </c>
      <c r="O394" s="22" t="s">
        <v>8</v>
      </c>
      <c r="P394" s="22" t="s">
        <v>8</v>
      </c>
      <c r="Q394" s="22" t="s">
        <v>8</v>
      </c>
      <c r="R394" s="22" t="s">
        <v>8</v>
      </c>
      <c r="S394" s="22" t="s">
        <v>8</v>
      </c>
      <c r="T394" s="5">
        <v>3</v>
      </c>
      <c r="U394" s="5">
        <v>15</v>
      </c>
      <c r="V394" s="20" t="s">
        <v>1</v>
      </c>
      <c r="W394" s="20">
        <v>5</v>
      </c>
      <c r="X394" s="20">
        <v>1</v>
      </c>
      <c r="Y394" s="5">
        <v>1</v>
      </c>
      <c r="Z394" s="20">
        <v>4</v>
      </c>
      <c r="AA394" s="23">
        <f t="shared" si="12"/>
        <v>1</v>
      </c>
      <c r="AB394" s="15">
        <v>0.5</v>
      </c>
      <c r="AC394" s="15">
        <v>0.33333333333333331</v>
      </c>
      <c r="AD394" s="15">
        <v>0</v>
      </c>
      <c r="AE394" s="15">
        <v>0.29399999999999998</v>
      </c>
      <c r="AF394" s="20">
        <v>5</v>
      </c>
      <c r="AG394" s="20">
        <v>0</v>
      </c>
      <c r="AH394" s="24">
        <v>17</v>
      </c>
      <c r="AI394" s="23">
        <f t="shared" si="13"/>
        <v>1</v>
      </c>
      <c r="AJ394" s="17">
        <v>4.75</v>
      </c>
      <c r="AK394" s="17">
        <v>7.75</v>
      </c>
      <c r="AL394" s="14">
        <v>12.5</v>
      </c>
      <c r="AM394" s="23" cm="1">
        <f t="array" ref="AM394">IF(OR(AN394:AZ394=""),"BLANK",IF(AND(AN394:AZ394&lt;9999999),1,IF(AND(AN394:AZ394="NA"),3,2)))</f>
        <v>1</v>
      </c>
      <c r="AN394" s="5">
        <v>9</v>
      </c>
      <c r="AO394" s="5">
        <v>2</v>
      </c>
      <c r="AP394" s="10">
        <v>4.5</v>
      </c>
      <c r="AQ394" s="10">
        <v>4.5</v>
      </c>
      <c r="AR394" s="10">
        <v>5.25</v>
      </c>
      <c r="AS394" s="11">
        <v>1294</v>
      </c>
      <c r="AT394" s="11">
        <v>27198.5</v>
      </c>
      <c r="AU394" s="11">
        <v>8385.5</v>
      </c>
      <c r="AV394" s="11">
        <v>2199.25</v>
      </c>
      <c r="AW394" s="11">
        <v>1481.5</v>
      </c>
      <c r="AX394" s="11">
        <v>4877.25</v>
      </c>
      <c r="AY394" s="11">
        <v>2368.875</v>
      </c>
      <c r="AZ394" s="11">
        <v>3666.2666666667001</v>
      </c>
      <c r="BA394" s="23">
        <v>3</v>
      </c>
      <c r="BB394" s="24" t="s">
        <v>8</v>
      </c>
    </row>
    <row r="395" spans="1:54" x14ac:dyDescent="0.2">
      <c r="A395" s="5">
        <v>3911</v>
      </c>
      <c r="B395" s="20" t="s">
        <v>66</v>
      </c>
      <c r="C395" s="18" t="s">
        <v>54</v>
      </c>
      <c r="D395" s="18">
        <v>5</v>
      </c>
      <c r="E395" s="18">
        <v>0</v>
      </c>
      <c r="F395" s="20">
        <v>4</v>
      </c>
      <c r="G395" s="18">
        <v>30</v>
      </c>
      <c r="H395" s="22">
        <v>3.6030116358658453</v>
      </c>
      <c r="I395" s="22">
        <v>3.9014373716632442</v>
      </c>
      <c r="J395" s="22">
        <v>7.5044490075290895</v>
      </c>
      <c r="K395" s="22">
        <v>3.6030116358658453</v>
      </c>
      <c r="L395" s="22">
        <v>3.9014373716632442</v>
      </c>
      <c r="M395" s="22">
        <v>7.5044490075290895</v>
      </c>
      <c r="N395" s="22">
        <v>3.6139630390143735</v>
      </c>
      <c r="O395" s="22">
        <v>3.9206023271731691</v>
      </c>
      <c r="P395" s="22">
        <v>7.5345653661875431</v>
      </c>
      <c r="Q395" s="22">
        <v>3.9616700889801506</v>
      </c>
      <c r="R395" s="22">
        <v>3.7727583846680357</v>
      </c>
      <c r="S395" s="22">
        <v>7.7344284736481859</v>
      </c>
      <c r="T395" s="5">
        <v>4</v>
      </c>
      <c r="U395" s="5">
        <v>16</v>
      </c>
      <c r="V395" s="20" t="s">
        <v>1</v>
      </c>
      <c r="W395" s="20">
        <v>5</v>
      </c>
      <c r="X395" s="20">
        <v>1</v>
      </c>
      <c r="Y395" s="5">
        <v>1</v>
      </c>
      <c r="Z395" s="20">
        <v>4</v>
      </c>
      <c r="AA395" s="23">
        <f t="shared" si="12"/>
        <v>2</v>
      </c>
      <c r="AB395" s="15">
        <v>1</v>
      </c>
      <c r="AC395" s="15">
        <v>0.875</v>
      </c>
      <c r="AD395" s="15">
        <v>0.75</v>
      </c>
      <c r="AE395" s="15">
        <v>0.875</v>
      </c>
      <c r="AF395" s="20">
        <v>21</v>
      </c>
      <c r="AG395" s="20" t="s">
        <v>8</v>
      </c>
      <c r="AH395" s="24">
        <v>24</v>
      </c>
      <c r="AI395" s="23">
        <f t="shared" si="13"/>
        <v>1</v>
      </c>
      <c r="AJ395" s="17">
        <v>11.5</v>
      </c>
      <c r="AK395" s="17">
        <v>7</v>
      </c>
      <c r="AL395" s="14">
        <v>18.5</v>
      </c>
      <c r="AM395" s="23" cm="1">
        <f t="array" ref="AM395">IF(OR(AN395:AZ395=""),"BLANK",IF(AND(AN395:AZ395&lt;9999999),1,IF(AND(AN395:AZ395="NA"),3,2)))</f>
        <v>1</v>
      </c>
      <c r="AN395" s="5">
        <v>11</v>
      </c>
      <c r="AO395" s="5">
        <v>2</v>
      </c>
      <c r="AP395" s="10">
        <v>3</v>
      </c>
      <c r="AQ395" s="10">
        <v>5.25</v>
      </c>
      <c r="AR395" s="10">
        <v>5</v>
      </c>
      <c r="AS395" s="11">
        <v>3716.5</v>
      </c>
      <c r="AT395" s="11">
        <v>5038</v>
      </c>
      <c r="AU395" s="11">
        <v>6252.25</v>
      </c>
      <c r="AV395" s="11">
        <v>11347.75</v>
      </c>
      <c r="AW395" s="11">
        <v>0</v>
      </c>
      <c r="AX395" s="11">
        <v>0</v>
      </c>
      <c r="AY395" s="11">
        <v>1773.8055555556</v>
      </c>
      <c r="AZ395" s="11">
        <v>0</v>
      </c>
      <c r="BA395" s="23">
        <v>3</v>
      </c>
      <c r="BB395" s="24" t="s">
        <v>8</v>
      </c>
    </row>
    <row r="396" spans="1:54" x14ac:dyDescent="0.2">
      <c r="A396" s="5">
        <v>3946</v>
      </c>
      <c r="B396" s="20" t="s">
        <v>63</v>
      </c>
      <c r="C396" s="18" t="s">
        <v>54</v>
      </c>
      <c r="D396" s="18">
        <v>5</v>
      </c>
      <c r="E396" s="18">
        <v>0</v>
      </c>
      <c r="F396" s="20">
        <v>3.6360000000000001</v>
      </c>
      <c r="G396" s="18">
        <v>29</v>
      </c>
      <c r="H396" s="22">
        <v>2.4996577686516086</v>
      </c>
      <c r="I396" s="22">
        <v>4.3367556468172488</v>
      </c>
      <c r="J396" s="22">
        <v>6.8364134154688569</v>
      </c>
      <c r="K396" s="22">
        <v>2.4996577686516086</v>
      </c>
      <c r="L396" s="22">
        <v>4.3367556468172488</v>
      </c>
      <c r="M396" s="22">
        <v>6.8364134154688569</v>
      </c>
      <c r="N396" s="22">
        <v>2.5078713210130048</v>
      </c>
      <c r="O396" s="22">
        <v>4.2847364818617386</v>
      </c>
      <c r="P396" s="22">
        <v>6.792607802874743</v>
      </c>
      <c r="Q396" s="22">
        <v>3.2963723477070501</v>
      </c>
      <c r="R396" s="22">
        <v>3.7371663244353184</v>
      </c>
      <c r="S396" s="22">
        <v>7.0335386721423685</v>
      </c>
      <c r="T396" s="5">
        <v>5</v>
      </c>
      <c r="U396" s="5">
        <v>16.5</v>
      </c>
      <c r="V396" s="20" t="s">
        <v>1</v>
      </c>
      <c r="W396" s="20">
        <v>5</v>
      </c>
      <c r="X396" s="20">
        <v>1</v>
      </c>
      <c r="Y396" s="5">
        <v>1</v>
      </c>
      <c r="Z396" s="20">
        <v>4</v>
      </c>
      <c r="AA396" s="23">
        <f t="shared" si="12"/>
        <v>1</v>
      </c>
      <c r="AB396" s="15">
        <v>1</v>
      </c>
      <c r="AC396" s="15">
        <v>0.875</v>
      </c>
      <c r="AD396" s="15">
        <v>0.875</v>
      </c>
      <c r="AE396" s="15">
        <v>0.91700000000000004</v>
      </c>
      <c r="AF396" s="20">
        <v>22</v>
      </c>
      <c r="AG396" s="20">
        <v>4</v>
      </c>
      <c r="AH396" s="24">
        <v>24</v>
      </c>
      <c r="AI396" s="23">
        <f t="shared" si="13"/>
        <v>1</v>
      </c>
      <c r="AJ396" s="17">
        <v>8.75</v>
      </c>
      <c r="AK396" s="17">
        <v>7.75</v>
      </c>
      <c r="AL396" s="14">
        <v>16.5</v>
      </c>
      <c r="AM396" s="23" cm="1">
        <f t="array" ref="AM396">IF(OR(AN396:AZ396=""),"BLANK",IF(AND(AN396:AZ396&lt;9999999),1,IF(AND(AN396:AZ396="NA"),3,2)))</f>
        <v>1</v>
      </c>
      <c r="AN396" s="5">
        <v>6</v>
      </c>
      <c r="AO396" s="5">
        <v>2</v>
      </c>
      <c r="AP396" s="10">
        <v>3</v>
      </c>
      <c r="AQ396" s="10">
        <v>7.75</v>
      </c>
      <c r="AR396" s="10">
        <v>7.75</v>
      </c>
      <c r="AS396" s="11">
        <v>4806.5</v>
      </c>
      <c r="AT396" s="11">
        <v>9458.5</v>
      </c>
      <c r="AU396" s="11">
        <v>23055.25</v>
      </c>
      <c r="AV396" s="11">
        <v>10328.75</v>
      </c>
      <c r="AW396" s="11">
        <v>0</v>
      </c>
      <c r="AX396" s="11">
        <v>0</v>
      </c>
      <c r="AY396" s="11">
        <v>6171.8888888888996</v>
      </c>
      <c r="AZ396" s="11">
        <v>777.25404040399997</v>
      </c>
      <c r="BA396" s="23">
        <v>3</v>
      </c>
      <c r="BB396" s="24" t="s">
        <v>8</v>
      </c>
    </row>
    <row r="397" spans="1:54" x14ac:dyDescent="0.2">
      <c r="A397" s="5">
        <v>3983</v>
      </c>
      <c r="B397" s="20" t="s">
        <v>70</v>
      </c>
      <c r="C397" s="18" t="s">
        <v>54</v>
      </c>
      <c r="D397" s="18">
        <v>5</v>
      </c>
      <c r="E397" s="18">
        <v>0</v>
      </c>
      <c r="F397" s="20">
        <v>3.8180000000000001</v>
      </c>
      <c r="G397" s="18">
        <v>29</v>
      </c>
      <c r="H397" s="22" t="s">
        <v>8</v>
      </c>
      <c r="I397" s="22" t="s">
        <v>8</v>
      </c>
      <c r="J397" s="22" t="s">
        <v>8</v>
      </c>
      <c r="K397" s="22" t="s">
        <v>8</v>
      </c>
      <c r="L397" s="22" t="s">
        <v>8</v>
      </c>
      <c r="M397" s="22" t="s">
        <v>8</v>
      </c>
      <c r="N397" s="22" t="s">
        <v>8</v>
      </c>
      <c r="O397" s="22" t="s">
        <v>8</v>
      </c>
      <c r="P397" s="22" t="s">
        <v>8</v>
      </c>
      <c r="Q397" s="22" t="s">
        <v>8</v>
      </c>
      <c r="R397" s="22" t="s">
        <v>8</v>
      </c>
      <c r="S397" s="22" t="s">
        <v>8</v>
      </c>
      <c r="T397" s="5">
        <v>3</v>
      </c>
      <c r="U397" s="5">
        <v>13</v>
      </c>
      <c r="V397" s="20" t="s">
        <v>1</v>
      </c>
      <c r="W397" s="20">
        <v>5</v>
      </c>
      <c r="X397" s="20">
        <v>1</v>
      </c>
      <c r="Y397" s="5">
        <v>1</v>
      </c>
      <c r="Z397" s="20">
        <v>4</v>
      </c>
      <c r="AA397" s="23">
        <f t="shared" si="12"/>
        <v>2</v>
      </c>
      <c r="AB397" s="15">
        <v>1</v>
      </c>
      <c r="AC397" s="15">
        <v>0.875</v>
      </c>
      <c r="AD397" s="15">
        <v>0.5</v>
      </c>
      <c r="AE397" s="15">
        <v>0.79200000000000004</v>
      </c>
      <c r="AF397" s="20">
        <v>19</v>
      </c>
      <c r="AG397" s="20" t="s">
        <v>8</v>
      </c>
      <c r="AH397" s="24">
        <v>24</v>
      </c>
      <c r="AI397" s="23">
        <f t="shared" si="13"/>
        <v>1</v>
      </c>
      <c r="AJ397" s="17">
        <v>10.5</v>
      </c>
      <c r="AK397" s="17">
        <v>10.5</v>
      </c>
      <c r="AL397" s="14">
        <v>21</v>
      </c>
      <c r="AM397" s="23" cm="1">
        <f t="array" ref="AM397">IF(OR(AN397:AZ397=""),"BLANK",IF(AND(AN397:AZ397&lt;9999999),1,IF(AND(AN397:AZ397="NA"),3,2)))</f>
        <v>1</v>
      </c>
      <c r="AN397" s="5">
        <v>6</v>
      </c>
      <c r="AO397" s="5">
        <v>2</v>
      </c>
      <c r="AP397" s="10">
        <v>3</v>
      </c>
      <c r="AQ397" s="10">
        <v>6</v>
      </c>
      <c r="AR397" s="10">
        <v>9</v>
      </c>
      <c r="AS397" s="11">
        <v>1612</v>
      </c>
      <c r="AT397" s="11">
        <v>3126</v>
      </c>
      <c r="AU397" s="11">
        <v>2683.5</v>
      </c>
      <c r="AV397" s="11">
        <v>7636.25</v>
      </c>
      <c r="AW397" s="11">
        <v>0</v>
      </c>
      <c r="AX397" s="11">
        <v>0</v>
      </c>
      <c r="AY397" s="11">
        <v>967.21666666670001</v>
      </c>
      <c r="AZ397" s="11">
        <v>188.9</v>
      </c>
      <c r="BA397" s="23">
        <v>3</v>
      </c>
      <c r="BB397" s="24" t="s">
        <v>8</v>
      </c>
    </row>
    <row r="398" spans="1:54" x14ac:dyDescent="0.2">
      <c r="A398" s="5">
        <v>3999</v>
      </c>
      <c r="B398" s="20" t="s">
        <v>78</v>
      </c>
      <c r="C398" s="18" t="s">
        <v>54</v>
      </c>
      <c r="D398" s="18">
        <v>2</v>
      </c>
      <c r="E398" s="18">
        <v>0</v>
      </c>
      <c r="F398" s="20">
        <v>2.9089999999999998</v>
      </c>
      <c r="G398" s="18">
        <v>27</v>
      </c>
      <c r="H398" s="22" t="s">
        <v>8</v>
      </c>
      <c r="I398" s="22" t="s">
        <v>8</v>
      </c>
      <c r="J398" s="22" t="s">
        <v>8</v>
      </c>
      <c r="K398" s="22" t="s">
        <v>8</v>
      </c>
      <c r="L398" s="22" t="s">
        <v>8</v>
      </c>
      <c r="M398" s="22" t="s">
        <v>8</v>
      </c>
      <c r="N398" s="22" t="s">
        <v>8</v>
      </c>
      <c r="O398" s="22" t="s">
        <v>8</v>
      </c>
      <c r="P398" s="22" t="s">
        <v>8</v>
      </c>
      <c r="Q398" s="22" t="s">
        <v>8</v>
      </c>
      <c r="R398" s="22" t="s">
        <v>8</v>
      </c>
      <c r="S398" s="22" t="s">
        <v>8</v>
      </c>
      <c r="T398" s="5">
        <v>3</v>
      </c>
      <c r="U398" s="5">
        <v>15</v>
      </c>
      <c r="V398" s="20" t="s">
        <v>1</v>
      </c>
      <c r="W398" s="20">
        <v>5</v>
      </c>
      <c r="X398" s="20">
        <v>1</v>
      </c>
      <c r="Y398" s="5">
        <v>1</v>
      </c>
      <c r="Z398" s="20">
        <v>4</v>
      </c>
      <c r="AA398" s="23">
        <f t="shared" si="12"/>
        <v>2</v>
      </c>
      <c r="AB398" s="15">
        <v>0.875</v>
      </c>
      <c r="AC398" s="15">
        <v>0.375</v>
      </c>
      <c r="AD398" s="15">
        <v>0.25</v>
      </c>
      <c r="AE398" s="15">
        <v>0.5</v>
      </c>
      <c r="AF398" s="20">
        <v>12</v>
      </c>
      <c r="AG398" s="20" t="s">
        <v>8</v>
      </c>
      <c r="AH398" s="24">
        <v>24</v>
      </c>
      <c r="AI398" s="23">
        <f t="shared" si="13"/>
        <v>1</v>
      </c>
      <c r="AJ398" s="17">
        <v>0</v>
      </c>
      <c r="AK398" s="17">
        <v>1.5</v>
      </c>
      <c r="AL398" s="14">
        <v>1.5</v>
      </c>
      <c r="AM398" s="23" cm="1">
        <f t="array" ref="AM398">IF(OR(AN398:AZ398=""),"BLANK",IF(AND(AN398:AZ398&lt;9999999),1,IF(AND(AN398:AZ398="NA"),3,2)))</f>
        <v>1</v>
      </c>
      <c r="AN398" s="5">
        <v>7</v>
      </c>
      <c r="AO398" s="5">
        <v>2</v>
      </c>
      <c r="AP398" s="10">
        <v>3</v>
      </c>
      <c r="AQ398" s="10">
        <v>5.5</v>
      </c>
      <c r="AR398" s="10">
        <v>7.5</v>
      </c>
      <c r="AS398" s="11">
        <v>276</v>
      </c>
      <c r="AT398" s="11">
        <v>7017</v>
      </c>
      <c r="AU398" s="11">
        <v>9550.25</v>
      </c>
      <c r="AV398" s="11">
        <v>7311</v>
      </c>
      <c r="AW398" s="11">
        <v>0</v>
      </c>
      <c r="AX398" s="11">
        <v>11143.833333333299</v>
      </c>
      <c r="AY398" s="11">
        <v>27273.027777777799</v>
      </c>
      <c r="AZ398" s="11">
        <v>6518.5708333332996</v>
      </c>
      <c r="BA398" s="23">
        <v>3</v>
      </c>
      <c r="BB398" s="24" t="s">
        <v>8</v>
      </c>
    </row>
    <row r="399" spans="1:54" x14ac:dyDescent="0.2">
      <c r="A399" s="5">
        <v>4030</v>
      </c>
      <c r="B399" s="20" t="s">
        <v>74</v>
      </c>
      <c r="C399" s="18" t="s">
        <v>54</v>
      </c>
      <c r="D399" s="18">
        <v>5</v>
      </c>
      <c r="E399" s="18">
        <v>0</v>
      </c>
      <c r="F399" s="20">
        <v>4</v>
      </c>
      <c r="G399" s="18">
        <v>27</v>
      </c>
      <c r="H399" s="22" t="s">
        <v>8</v>
      </c>
      <c r="I399" s="22" t="s">
        <v>8</v>
      </c>
      <c r="J399" s="22" t="s">
        <v>8</v>
      </c>
      <c r="K399" s="22" t="s">
        <v>8</v>
      </c>
      <c r="L399" s="22" t="s">
        <v>8</v>
      </c>
      <c r="M399" s="22" t="s">
        <v>8</v>
      </c>
      <c r="N399" s="22" t="s">
        <v>8</v>
      </c>
      <c r="O399" s="22" t="s">
        <v>8</v>
      </c>
      <c r="P399" s="22" t="s">
        <v>8</v>
      </c>
      <c r="Q399" s="22" t="s">
        <v>8</v>
      </c>
      <c r="R399" s="22" t="s">
        <v>8</v>
      </c>
      <c r="S399" s="22" t="s">
        <v>8</v>
      </c>
      <c r="T399" s="5">
        <v>2</v>
      </c>
      <c r="U399" s="5">
        <v>12</v>
      </c>
      <c r="V399" s="20" t="s">
        <v>1</v>
      </c>
      <c r="W399" s="20">
        <v>5</v>
      </c>
      <c r="X399" s="20">
        <v>1</v>
      </c>
      <c r="Y399" s="5">
        <v>1</v>
      </c>
      <c r="Z399" s="20">
        <v>4</v>
      </c>
      <c r="AA399" s="23">
        <f t="shared" si="12"/>
        <v>2</v>
      </c>
      <c r="AB399" s="15">
        <v>0.75</v>
      </c>
      <c r="AC399" s="15">
        <v>0.875</v>
      </c>
      <c r="AD399" s="15">
        <v>0.625</v>
      </c>
      <c r="AE399" s="15">
        <v>0.75</v>
      </c>
      <c r="AF399" s="20">
        <v>18</v>
      </c>
      <c r="AG399" s="20" t="s">
        <v>8</v>
      </c>
      <c r="AH399" s="24">
        <v>24</v>
      </c>
      <c r="AI399" s="23">
        <f t="shared" si="13"/>
        <v>1</v>
      </c>
      <c r="AJ399" s="17">
        <v>8</v>
      </c>
      <c r="AK399" s="17">
        <v>7</v>
      </c>
      <c r="AL399" s="14">
        <v>15</v>
      </c>
      <c r="AM399" s="23" cm="1">
        <f t="array" ref="AM399">IF(OR(AN399:AZ399=""),"BLANK",IF(AND(AN399:AZ399&lt;9999999),1,IF(AND(AN399:AZ399="NA"),3,2)))</f>
        <v>1</v>
      </c>
      <c r="AN399" s="5">
        <v>8</v>
      </c>
      <c r="AO399" s="5">
        <v>2</v>
      </c>
      <c r="AP399" s="10">
        <v>3</v>
      </c>
      <c r="AQ399" s="10">
        <v>6.25</v>
      </c>
      <c r="AR399" s="10">
        <v>7</v>
      </c>
      <c r="AS399" s="11">
        <v>5816.5</v>
      </c>
      <c r="AT399" s="11">
        <v>16997.5</v>
      </c>
      <c r="AU399" s="11">
        <v>22804.75</v>
      </c>
      <c r="AV399" s="11">
        <v>22297.5</v>
      </c>
      <c r="AW399" s="11">
        <v>0</v>
      </c>
      <c r="AX399" s="11">
        <v>239.5</v>
      </c>
      <c r="AY399" s="11">
        <v>4039.5208333332998</v>
      </c>
      <c r="AZ399" s="11">
        <v>2919.1958333333</v>
      </c>
      <c r="BA399" s="23">
        <v>3</v>
      </c>
      <c r="BB399" s="24" t="s">
        <v>8</v>
      </c>
    </row>
    <row r="400" spans="1:54" x14ac:dyDescent="0.2">
      <c r="A400" s="5">
        <v>4033</v>
      </c>
      <c r="B400" s="20" t="s">
        <v>70</v>
      </c>
      <c r="C400" s="18" t="s">
        <v>55</v>
      </c>
      <c r="D400" s="18">
        <v>2</v>
      </c>
      <c r="E400" s="18">
        <v>0</v>
      </c>
      <c r="F400" s="20">
        <v>3.6360000000000001</v>
      </c>
      <c r="G400" s="18">
        <v>27</v>
      </c>
      <c r="H400" s="22">
        <v>3.4770704996577688</v>
      </c>
      <c r="I400" s="22" t="s">
        <v>8</v>
      </c>
      <c r="J400" s="22" t="s">
        <v>8</v>
      </c>
      <c r="K400" s="22">
        <v>3.4770704996577688</v>
      </c>
      <c r="L400" s="22" t="s">
        <v>8</v>
      </c>
      <c r="M400" s="22" t="s">
        <v>8</v>
      </c>
      <c r="N400" s="22">
        <v>3.485284052019165</v>
      </c>
      <c r="O400" s="22" t="s">
        <v>8</v>
      </c>
      <c r="P400" s="22" t="s">
        <v>8</v>
      </c>
      <c r="Q400" s="22">
        <v>4.0355920602327169</v>
      </c>
      <c r="R400" s="22" t="s">
        <v>8</v>
      </c>
      <c r="S400" s="22" t="s">
        <v>8</v>
      </c>
      <c r="T400" s="5">
        <v>4</v>
      </c>
      <c r="U400" s="5">
        <v>16</v>
      </c>
      <c r="V400" s="20" t="s">
        <v>1</v>
      </c>
      <c r="W400" s="20">
        <v>5</v>
      </c>
      <c r="X400" s="20">
        <v>1</v>
      </c>
      <c r="Y400" s="5">
        <v>1</v>
      </c>
      <c r="Z400" s="20">
        <v>4</v>
      </c>
      <c r="AA400" s="23">
        <f t="shared" si="12"/>
        <v>2</v>
      </c>
      <c r="AB400" s="15">
        <v>1</v>
      </c>
      <c r="AC400" s="15">
        <v>0.7142857142857143</v>
      </c>
      <c r="AD400" s="15">
        <v>0.33333333333333331</v>
      </c>
      <c r="AE400" s="15">
        <v>0.71399999999999997</v>
      </c>
      <c r="AF400" s="20">
        <v>15</v>
      </c>
      <c r="AG400" s="20" t="s">
        <v>8</v>
      </c>
      <c r="AH400" s="24">
        <v>21</v>
      </c>
      <c r="AI400" s="23">
        <f t="shared" si="13"/>
        <v>1</v>
      </c>
      <c r="AJ400" s="17">
        <v>3.75</v>
      </c>
      <c r="AK400" s="17">
        <v>8</v>
      </c>
      <c r="AL400" s="14">
        <v>11.75</v>
      </c>
      <c r="AM400" s="23" cm="1">
        <f t="array" ref="AM400">IF(OR(AN400:AZ400=""),"BLANK",IF(AND(AN400:AZ400&lt;9999999),1,IF(AND(AN400:AZ400="NA"),3,2)))</f>
        <v>1</v>
      </c>
      <c r="AN400" s="5">
        <v>7</v>
      </c>
      <c r="AO400" s="5">
        <v>2</v>
      </c>
      <c r="AP400" s="10">
        <v>3</v>
      </c>
      <c r="AQ400" s="10">
        <v>6.25</v>
      </c>
      <c r="AR400" s="10">
        <v>8.25</v>
      </c>
      <c r="AS400" s="11">
        <v>8770</v>
      </c>
      <c r="AT400" s="11">
        <v>13122</v>
      </c>
      <c r="AU400" s="11">
        <v>10975.25</v>
      </c>
      <c r="AV400" s="11">
        <v>10195.5</v>
      </c>
      <c r="AW400" s="11">
        <v>8264.5</v>
      </c>
      <c r="AX400" s="11">
        <v>142.6666666667</v>
      </c>
      <c r="AY400" s="11">
        <v>2385.9201388889001</v>
      </c>
      <c r="AZ400" s="11">
        <v>1433.5833333333001</v>
      </c>
      <c r="BA400" s="23">
        <v>3</v>
      </c>
      <c r="BB400" s="24" t="s">
        <v>8</v>
      </c>
    </row>
    <row r="401" spans="1:54" x14ac:dyDescent="0.2">
      <c r="A401" s="5">
        <v>4104</v>
      </c>
      <c r="B401" s="20" t="s">
        <v>62</v>
      </c>
      <c r="C401" s="18" t="s">
        <v>54</v>
      </c>
      <c r="D401" s="18">
        <v>5</v>
      </c>
      <c r="E401" s="18">
        <v>0</v>
      </c>
      <c r="F401" s="20">
        <v>4</v>
      </c>
      <c r="G401" s="18">
        <v>27</v>
      </c>
      <c r="H401" s="22">
        <v>3.6605065023956196</v>
      </c>
      <c r="I401" s="22" t="s">
        <v>8</v>
      </c>
      <c r="J401" s="22" t="s">
        <v>8</v>
      </c>
      <c r="K401" s="22">
        <v>3.6605065023956196</v>
      </c>
      <c r="L401" s="22" t="s">
        <v>8</v>
      </c>
      <c r="M401" s="22" t="s">
        <v>8</v>
      </c>
      <c r="N401" s="22">
        <v>3.6659822039698837</v>
      </c>
      <c r="O401" s="22" t="s">
        <v>8</v>
      </c>
      <c r="P401" s="22" t="s">
        <v>8</v>
      </c>
      <c r="Q401" s="22" t="s">
        <v>8</v>
      </c>
      <c r="R401" s="22" t="s">
        <v>8</v>
      </c>
      <c r="S401" s="22" t="s">
        <v>8</v>
      </c>
      <c r="T401" s="5">
        <v>3</v>
      </c>
      <c r="U401" s="5">
        <v>14</v>
      </c>
      <c r="V401" s="20" t="s">
        <v>1</v>
      </c>
      <c r="W401" s="20">
        <v>5</v>
      </c>
      <c r="X401" s="20">
        <v>1</v>
      </c>
      <c r="Y401" s="5">
        <v>1</v>
      </c>
      <c r="Z401" s="20">
        <v>4</v>
      </c>
      <c r="AA401" s="23">
        <f t="shared" si="12"/>
        <v>2</v>
      </c>
      <c r="AB401" s="15">
        <v>0.875</v>
      </c>
      <c r="AC401" s="15">
        <v>0.5</v>
      </c>
      <c r="AD401" s="15">
        <v>0.25</v>
      </c>
      <c r="AE401" s="15">
        <v>0.54200000000000004</v>
      </c>
      <c r="AF401" s="20">
        <v>13</v>
      </c>
      <c r="AG401" s="20" t="s">
        <v>8</v>
      </c>
      <c r="AH401" s="24">
        <v>24</v>
      </c>
      <c r="AI401" s="23">
        <f t="shared" si="13"/>
        <v>1</v>
      </c>
      <c r="AJ401" s="17">
        <v>3.25</v>
      </c>
      <c r="AK401" s="17">
        <v>1.5</v>
      </c>
      <c r="AL401" s="14">
        <v>4.75</v>
      </c>
      <c r="AM401" s="23" cm="1">
        <f t="array" ref="AM401">IF(OR(AN401:AZ401=""),"BLANK",IF(AND(AN401:AZ401&lt;9999999),1,IF(AND(AN401:AZ401="NA"),3,2)))</f>
        <v>1</v>
      </c>
      <c r="AN401" s="5">
        <v>9</v>
      </c>
      <c r="AO401" s="5">
        <v>2</v>
      </c>
      <c r="AP401" s="10">
        <v>3</v>
      </c>
      <c r="AQ401" s="10">
        <v>4</v>
      </c>
      <c r="AR401" s="10">
        <v>10.25</v>
      </c>
      <c r="AS401" s="11">
        <v>3831</v>
      </c>
      <c r="AT401" s="11">
        <v>14469.5</v>
      </c>
      <c r="AU401" s="11">
        <v>2760</v>
      </c>
      <c r="AV401" s="11">
        <v>7383.5</v>
      </c>
      <c r="AW401" s="11">
        <v>255.25</v>
      </c>
      <c r="AX401" s="11">
        <v>312.5</v>
      </c>
      <c r="AY401" s="11">
        <v>3084.5625</v>
      </c>
      <c r="AZ401" s="11">
        <v>6274.2583333332996</v>
      </c>
      <c r="BA401" s="23">
        <v>3</v>
      </c>
      <c r="BB401" s="24" t="s">
        <v>8</v>
      </c>
    </row>
    <row r="402" spans="1:54" x14ac:dyDescent="0.2">
      <c r="A402" s="5">
        <v>4129</v>
      </c>
      <c r="B402" s="20" t="s">
        <v>78</v>
      </c>
      <c r="C402" s="18" t="s">
        <v>54</v>
      </c>
      <c r="D402" s="18">
        <v>5</v>
      </c>
      <c r="E402" s="18">
        <v>0</v>
      </c>
      <c r="F402" s="20">
        <v>3.8180000000000001</v>
      </c>
      <c r="G402" s="18">
        <v>27</v>
      </c>
      <c r="H402" s="22">
        <v>3.9069130732375084</v>
      </c>
      <c r="I402" s="22" t="s">
        <v>8</v>
      </c>
      <c r="J402" s="22" t="s">
        <v>8</v>
      </c>
      <c r="K402" s="22">
        <v>3.9014373716632442</v>
      </c>
      <c r="L402" s="22" t="s">
        <v>8</v>
      </c>
      <c r="M402" s="22" t="s">
        <v>8</v>
      </c>
      <c r="N402" s="22">
        <v>3.9644079397672827</v>
      </c>
      <c r="O402" s="22" t="s">
        <v>8</v>
      </c>
      <c r="P402" s="22" t="s">
        <v>8</v>
      </c>
      <c r="Q402" s="22" t="s">
        <v>8</v>
      </c>
      <c r="R402" s="22" t="s">
        <v>8</v>
      </c>
      <c r="S402" s="22" t="s">
        <v>8</v>
      </c>
      <c r="T402" s="5">
        <v>3</v>
      </c>
      <c r="U402" s="5">
        <v>14</v>
      </c>
      <c r="V402" s="20" t="s">
        <v>1</v>
      </c>
      <c r="W402" s="20">
        <v>5</v>
      </c>
      <c r="X402" s="20">
        <v>1</v>
      </c>
      <c r="Y402" s="5">
        <v>1</v>
      </c>
      <c r="Z402" s="20">
        <v>4</v>
      </c>
      <c r="AA402" s="23">
        <f t="shared" si="12"/>
        <v>1</v>
      </c>
      <c r="AB402" s="15">
        <v>1</v>
      </c>
      <c r="AC402" s="15">
        <v>0.875</v>
      </c>
      <c r="AD402" s="15">
        <v>0.5</v>
      </c>
      <c r="AE402" s="15">
        <v>0.79200000000000004</v>
      </c>
      <c r="AF402" s="20">
        <v>19</v>
      </c>
      <c r="AG402" s="20">
        <v>4</v>
      </c>
      <c r="AH402" s="24">
        <v>24</v>
      </c>
      <c r="AI402" s="23">
        <f t="shared" si="13"/>
        <v>1</v>
      </c>
      <c r="AJ402" s="17">
        <v>2.5</v>
      </c>
      <c r="AK402" s="17">
        <v>6.5</v>
      </c>
      <c r="AL402" s="14">
        <v>9</v>
      </c>
      <c r="AM402" s="23" cm="1">
        <f t="array" ref="AM402">IF(OR(AN402:AZ402=""),"BLANK",IF(AND(AN402:AZ402&lt;9999999),1,IF(AND(AN402:AZ402="NA"),3,2)))</f>
        <v>1</v>
      </c>
      <c r="AN402" s="5">
        <v>7</v>
      </c>
      <c r="AO402" s="5">
        <v>2</v>
      </c>
      <c r="AP402" s="10">
        <v>3</v>
      </c>
      <c r="AQ402" s="10">
        <v>6.75</v>
      </c>
      <c r="AR402" s="10">
        <v>7.25</v>
      </c>
      <c r="AS402" s="11">
        <v>2453.5</v>
      </c>
      <c r="AT402" s="11">
        <v>5391</v>
      </c>
      <c r="AU402" s="11">
        <v>2817.75</v>
      </c>
      <c r="AV402" s="11">
        <v>5167</v>
      </c>
      <c r="AW402" s="11">
        <v>285.75</v>
      </c>
      <c r="AX402" s="11">
        <v>36415.166666666701</v>
      </c>
      <c r="AY402" s="11">
        <v>6832.2166666666999</v>
      </c>
      <c r="AZ402" s="11">
        <v>1359.5279761905001</v>
      </c>
      <c r="BA402" s="23">
        <v>3</v>
      </c>
      <c r="BB402" s="24" t="s">
        <v>8</v>
      </c>
    </row>
    <row r="403" spans="1:54" x14ac:dyDescent="0.2">
      <c r="A403" s="5">
        <v>4165</v>
      </c>
      <c r="B403" s="20" t="s">
        <v>63</v>
      </c>
      <c r="C403" s="18" t="s">
        <v>54</v>
      </c>
      <c r="D403" s="18">
        <v>5</v>
      </c>
      <c r="E403" s="18">
        <v>0</v>
      </c>
      <c r="F403" s="20">
        <v>3.6360000000000001</v>
      </c>
      <c r="G403" s="18">
        <v>27</v>
      </c>
      <c r="H403" s="22" t="s">
        <v>8</v>
      </c>
      <c r="I403" s="22" t="s">
        <v>8</v>
      </c>
      <c r="J403" s="22" t="s">
        <v>8</v>
      </c>
      <c r="K403" s="22" t="s">
        <v>8</v>
      </c>
      <c r="L403" s="22" t="s">
        <v>8</v>
      </c>
      <c r="M403" s="22" t="s">
        <v>8</v>
      </c>
      <c r="N403" s="22" t="s">
        <v>8</v>
      </c>
      <c r="O403" s="22" t="s">
        <v>8</v>
      </c>
      <c r="P403" s="22" t="s">
        <v>8</v>
      </c>
      <c r="Q403" s="22" t="s">
        <v>8</v>
      </c>
      <c r="R403" s="22" t="s">
        <v>8</v>
      </c>
      <c r="S403" s="22" t="s">
        <v>8</v>
      </c>
      <c r="T403" s="5">
        <v>3</v>
      </c>
      <c r="U403" s="5">
        <v>14</v>
      </c>
      <c r="V403" s="20" t="s">
        <v>1</v>
      </c>
      <c r="W403" s="20">
        <v>5</v>
      </c>
      <c r="X403" s="20">
        <v>1</v>
      </c>
      <c r="Y403" s="5">
        <v>1</v>
      </c>
      <c r="Z403" s="20">
        <v>4</v>
      </c>
      <c r="AA403" s="23">
        <f t="shared" si="12"/>
        <v>2</v>
      </c>
      <c r="AB403" s="15">
        <v>1</v>
      </c>
      <c r="AC403" s="15">
        <v>0.75</v>
      </c>
      <c r="AD403" s="15">
        <v>0.125</v>
      </c>
      <c r="AE403" s="15">
        <v>0.625</v>
      </c>
      <c r="AF403" s="20">
        <v>15</v>
      </c>
      <c r="AG403" s="20" t="s">
        <v>8</v>
      </c>
      <c r="AH403" s="24">
        <v>24</v>
      </c>
      <c r="AI403" s="23">
        <f t="shared" si="13"/>
        <v>1</v>
      </c>
      <c r="AJ403" s="17">
        <v>6.5</v>
      </c>
      <c r="AK403" s="17">
        <v>6.25</v>
      </c>
      <c r="AL403" s="14">
        <v>12.75</v>
      </c>
      <c r="AM403" s="23" cm="1">
        <f t="array" ref="AM403">IF(OR(AN403:AZ403=""),"BLANK",IF(AND(AN403:AZ403&lt;9999999),1,IF(AND(AN403:AZ403="NA"),3,2)))</f>
        <v>1</v>
      </c>
      <c r="AN403" s="5">
        <v>7</v>
      </c>
      <c r="AO403" s="5">
        <v>2</v>
      </c>
      <c r="AP403" s="10">
        <v>3.5</v>
      </c>
      <c r="AQ403" s="10">
        <v>5</v>
      </c>
      <c r="AR403" s="10">
        <v>6.25</v>
      </c>
      <c r="AS403" s="11">
        <v>780</v>
      </c>
      <c r="AT403" s="11">
        <v>7189.5</v>
      </c>
      <c r="AU403" s="11">
        <v>2646.25</v>
      </c>
      <c r="AV403" s="11">
        <v>1821.75</v>
      </c>
      <c r="AW403" s="11">
        <v>0</v>
      </c>
      <c r="AX403" s="11">
        <v>0</v>
      </c>
      <c r="AY403" s="11">
        <v>448.07857142860001</v>
      </c>
      <c r="AZ403" s="11">
        <v>15.788888888900001</v>
      </c>
      <c r="BA403" s="23">
        <v>3</v>
      </c>
      <c r="BB403" s="24" t="s">
        <v>8</v>
      </c>
    </row>
    <row r="404" spans="1:54" x14ac:dyDescent="0.2">
      <c r="A404" s="5">
        <v>4169</v>
      </c>
      <c r="B404" s="20" t="s">
        <v>63</v>
      </c>
      <c r="C404" s="18" t="s">
        <v>54</v>
      </c>
      <c r="D404" s="18">
        <v>5</v>
      </c>
      <c r="E404" s="18">
        <v>0</v>
      </c>
      <c r="F404" s="20">
        <v>4</v>
      </c>
      <c r="G404" s="18">
        <v>29</v>
      </c>
      <c r="H404" s="22">
        <v>3.6906228610540723</v>
      </c>
      <c r="I404" s="22" t="s">
        <v>8</v>
      </c>
      <c r="J404" s="22" t="s">
        <v>8</v>
      </c>
      <c r="K404" s="22">
        <v>4.0027378507871321</v>
      </c>
      <c r="L404" s="22" t="s">
        <v>8</v>
      </c>
      <c r="M404" s="22" t="s">
        <v>8</v>
      </c>
      <c r="N404" s="22">
        <v>3.676933607118412</v>
      </c>
      <c r="O404" s="22" t="s">
        <v>8</v>
      </c>
      <c r="P404" s="22" t="s">
        <v>8</v>
      </c>
      <c r="Q404" s="22" t="s">
        <v>8</v>
      </c>
      <c r="R404" s="22" t="s">
        <v>8</v>
      </c>
      <c r="S404" s="22" t="s">
        <v>8</v>
      </c>
      <c r="T404" s="5">
        <v>4</v>
      </c>
      <c r="U404" s="5">
        <v>16</v>
      </c>
      <c r="V404" s="20" t="s">
        <v>1</v>
      </c>
      <c r="W404" s="20">
        <v>5</v>
      </c>
      <c r="X404" s="20">
        <v>1</v>
      </c>
      <c r="Y404" s="5">
        <v>1</v>
      </c>
      <c r="Z404" s="20">
        <v>4</v>
      </c>
      <c r="AA404" s="23">
        <f t="shared" si="12"/>
        <v>2</v>
      </c>
      <c r="AB404" s="15">
        <v>1</v>
      </c>
      <c r="AC404" s="15">
        <v>1</v>
      </c>
      <c r="AD404" s="15">
        <v>0.5</v>
      </c>
      <c r="AE404" s="15">
        <v>0.86399999999999999</v>
      </c>
      <c r="AF404" s="20">
        <v>19</v>
      </c>
      <c r="AG404" s="20" t="s">
        <v>8</v>
      </c>
      <c r="AH404" s="24">
        <v>22</v>
      </c>
      <c r="AI404" s="23">
        <f t="shared" si="13"/>
        <v>1</v>
      </c>
      <c r="AJ404" s="17">
        <v>4.75</v>
      </c>
      <c r="AK404" s="17">
        <v>0.75</v>
      </c>
      <c r="AL404" s="14">
        <v>5.5</v>
      </c>
      <c r="AM404" s="23" cm="1">
        <f t="array" ref="AM404">IF(OR(AN404:AZ404=""),"BLANK",IF(AND(AN404:AZ404&lt;9999999),1,IF(AND(AN404:AZ404="NA"),3,2)))</f>
        <v>1</v>
      </c>
      <c r="AN404" s="5">
        <v>6</v>
      </c>
      <c r="AO404" s="5">
        <v>2</v>
      </c>
      <c r="AP404" s="10">
        <v>3</v>
      </c>
      <c r="AQ404" s="10">
        <v>6</v>
      </c>
      <c r="AR404" s="10">
        <v>9.25</v>
      </c>
      <c r="AS404" s="11">
        <v>3706.5</v>
      </c>
      <c r="AT404" s="11">
        <v>13670.5</v>
      </c>
      <c r="AU404" s="11">
        <v>10031.75</v>
      </c>
      <c r="AV404" s="11">
        <v>10312</v>
      </c>
      <c r="AW404" s="11">
        <v>0</v>
      </c>
      <c r="AX404" s="11">
        <v>0</v>
      </c>
      <c r="AY404" s="11">
        <v>17788.540674603199</v>
      </c>
      <c r="AZ404" s="11">
        <v>6738.7235119048</v>
      </c>
      <c r="BA404" s="23">
        <v>3</v>
      </c>
      <c r="BB404" s="24" t="s">
        <v>8</v>
      </c>
    </row>
    <row r="405" spans="1:54" x14ac:dyDescent="0.2">
      <c r="A405" s="5">
        <v>4172</v>
      </c>
      <c r="B405" s="20" t="s">
        <v>62</v>
      </c>
      <c r="C405" s="18" t="s">
        <v>55</v>
      </c>
      <c r="D405" s="18">
        <v>5</v>
      </c>
      <c r="E405" s="18">
        <v>0</v>
      </c>
      <c r="F405" s="20">
        <v>3.7269999999999999</v>
      </c>
      <c r="G405" s="18">
        <v>29</v>
      </c>
      <c r="H405" s="22">
        <v>3.5838466803559208</v>
      </c>
      <c r="I405" s="22" t="s">
        <v>8</v>
      </c>
      <c r="J405" s="22" t="s">
        <v>8</v>
      </c>
      <c r="K405" s="22">
        <v>3.5838466803559208</v>
      </c>
      <c r="L405" s="22" t="s">
        <v>8</v>
      </c>
      <c r="M405" s="22" t="s">
        <v>8</v>
      </c>
      <c r="N405" s="22">
        <v>3.6030116358658453</v>
      </c>
      <c r="O405" s="22" t="s">
        <v>8</v>
      </c>
      <c r="P405" s="22" t="s">
        <v>8</v>
      </c>
      <c r="Q405" s="22">
        <v>3.8302532511978096</v>
      </c>
      <c r="R405" s="22" t="s">
        <v>8</v>
      </c>
      <c r="S405" s="22" t="s">
        <v>8</v>
      </c>
      <c r="T405" s="5">
        <v>1</v>
      </c>
      <c r="U405" s="5">
        <v>11</v>
      </c>
      <c r="V405" s="20" t="s">
        <v>1</v>
      </c>
      <c r="W405" s="20">
        <v>5</v>
      </c>
      <c r="X405" s="20">
        <v>1</v>
      </c>
      <c r="Y405" s="5">
        <v>1</v>
      </c>
      <c r="Z405" s="20">
        <v>4</v>
      </c>
      <c r="AA405" s="23">
        <f t="shared" si="12"/>
        <v>2</v>
      </c>
      <c r="AB405" s="15">
        <v>1</v>
      </c>
      <c r="AC405" s="15">
        <v>0.625</v>
      </c>
      <c r="AD405" s="15">
        <v>0.375</v>
      </c>
      <c r="AE405" s="15">
        <v>0.66700000000000004</v>
      </c>
      <c r="AF405" s="20">
        <v>16</v>
      </c>
      <c r="AG405" s="20" t="s">
        <v>8</v>
      </c>
      <c r="AH405" s="24">
        <v>24</v>
      </c>
      <c r="AI405" s="23">
        <f t="shared" si="13"/>
        <v>1</v>
      </c>
      <c r="AJ405" s="17">
        <v>11.5</v>
      </c>
      <c r="AK405" s="17">
        <v>11.75</v>
      </c>
      <c r="AL405" s="14">
        <v>23.25</v>
      </c>
      <c r="AM405" s="23" cm="1">
        <f t="array" ref="AM405">IF(OR(AN405:AZ405=""),"BLANK",IF(AND(AN405:AZ405&lt;9999999),1,IF(AND(AN405:AZ405="NA"),3,2)))</f>
        <v>1</v>
      </c>
      <c r="AN405" s="5">
        <v>7</v>
      </c>
      <c r="AO405" s="5">
        <v>2</v>
      </c>
      <c r="AP405" s="10">
        <v>3</v>
      </c>
      <c r="AQ405" s="10">
        <v>7</v>
      </c>
      <c r="AR405" s="10">
        <v>5.75</v>
      </c>
      <c r="AS405" s="11">
        <v>440</v>
      </c>
      <c r="AT405" s="11">
        <v>4301.5</v>
      </c>
      <c r="AU405" s="11">
        <v>13826.75</v>
      </c>
      <c r="AV405" s="11">
        <v>10463.5</v>
      </c>
      <c r="AW405" s="11">
        <v>54.75</v>
      </c>
      <c r="AX405" s="11">
        <v>0</v>
      </c>
      <c r="AY405" s="11">
        <v>8613.9166666667006</v>
      </c>
      <c r="AZ405" s="11">
        <v>753.2845238095</v>
      </c>
      <c r="BA405" s="23">
        <v>3</v>
      </c>
      <c r="BB405" s="24" t="s">
        <v>8</v>
      </c>
    </row>
    <row r="406" spans="1:54" x14ac:dyDescent="0.2">
      <c r="A406" s="5">
        <v>4195</v>
      </c>
      <c r="B406" s="20" t="s">
        <v>64</v>
      </c>
      <c r="C406" s="18" t="s">
        <v>55</v>
      </c>
      <c r="D406" s="18">
        <v>5</v>
      </c>
      <c r="E406" s="18">
        <v>0</v>
      </c>
      <c r="F406" s="20">
        <v>3.6360000000000001</v>
      </c>
      <c r="G406" s="18">
        <v>30</v>
      </c>
      <c r="H406" s="22" t="s">
        <v>8</v>
      </c>
      <c r="I406" s="22" t="s">
        <v>8</v>
      </c>
      <c r="J406" s="22" t="s">
        <v>8</v>
      </c>
      <c r="K406" s="22" t="s">
        <v>8</v>
      </c>
      <c r="L406" s="22" t="s">
        <v>8</v>
      </c>
      <c r="M406" s="22" t="s">
        <v>8</v>
      </c>
      <c r="N406" s="22" t="s">
        <v>8</v>
      </c>
      <c r="O406" s="22" t="s">
        <v>8</v>
      </c>
      <c r="P406" s="22" t="s">
        <v>8</v>
      </c>
      <c r="Q406" s="22" t="s">
        <v>8</v>
      </c>
      <c r="R406" s="22" t="s">
        <v>8</v>
      </c>
      <c r="S406" s="22" t="s">
        <v>8</v>
      </c>
      <c r="T406" s="5">
        <v>2</v>
      </c>
      <c r="U406" s="5">
        <v>12</v>
      </c>
      <c r="V406" s="20" t="s">
        <v>1</v>
      </c>
      <c r="W406" s="20">
        <v>5</v>
      </c>
      <c r="X406" s="20">
        <v>1</v>
      </c>
      <c r="Y406" s="5">
        <v>1</v>
      </c>
      <c r="Z406" s="20">
        <v>4</v>
      </c>
      <c r="AA406" s="23">
        <f t="shared" si="12"/>
        <v>1</v>
      </c>
      <c r="AB406" s="15">
        <v>0.875</v>
      </c>
      <c r="AC406" s="15">
        <v>0.625</v>
      </c>
      <c r="AD406" s="15">
        <v>0.125</v>
      </c>
      <c r="AE406" s="15">
        <v>0.54200000000000004</v>
      </c>
      <c r="AF406" s="20">
        <v>13</v>
      </c>
      <c r="AG406" s="20">
        <v>7</v>
      </c>
      <c r="AH406" s="24">
        <v>24</v>
      </c>
      <c r="AI406" s="23">
        <f t="shared" si="13"/>
        <v>3</v>
      </c>
      <c r="AJ406" s="17" t="s">
        <v>8</v>
      </c>
      <c r="AK406" s="17" t="s">
        <v>8</v>
      </c>
      <c r="AL406" s="14" t="s">
        <v>8</v>
      </c>
      <c r="AM406" s="23" cm="1">
        <f t="array" ref="AM406">IF(OR(AN406:AZ406=""),"BLANK",IF(AND(AN406:AZ406&lt;9999999),1,IF(AND(AN406:AZ406="NA"),3,2)))</f>
        <v>1</v>
      </c>
      <c r="AN406" s="5">
        <v>9</v>
      </c>
      <c r="AO406" s="5">
        <v>2</v>
      </c>
      <c r="AP406" s="10">
        <v>3</v>
      </c>
      <c r="AQ406" s="10">
        <v>5.25</v>
      </c>
      <c r="AR406" s="10">
        <v>7.75</v>
      </c>
      <c r="AS406" s="11">
        <v>1556.5</v>
      </c>
      <c r="AT406" s="11">
        <v>11527.5</v>
      </c>
      <c r="AU406" s="11">
        <v>11642</v>
      </c>
      <c r="AV406" s="11">
        <v>15833.25</v>
      </c>
      <c r="AW406" s="11">
        <v>0</v>
      </c>
      <c r="AX406" s="11">
        <v>0</v>
      </c>
      <c r="AY406" s="11">
        <v>9075.0625</v>
      </c>
      <c r="AZ406" s="11">
        <v>3351.8555555555999</v>
      </c>
      <c r="BA406" s="23">
        <v>3</v>
      </c>
      <c r="BB406" s="24" t="s">
        <v>8</v>
      </c>
    </row>
    <row r="407" spans="1:54" x14ac:dyDescent="0.2">
      <c r="A407" s="5">
        <v>4196</v>
      </c>
      <c r="B407" s="20" t="s">
        <v>81</v>
      </c>
      <c r="C407" s="18" t="s">
        <v>55</v>
      </c>
      <c r="D407" s="18">
        <v>5</v>
      </c>
      <c r="E407" s="18">
        <v>0</v>
      </c>
      <c r="F407" s="20">
        <v>3.2730000000000001</v>
      </c>
      <c r="G407" s="18">
        <v>29</v>
      </c>
      <c r="H407" s="22">
        <v>3.4579055441478439</v>
      </c>
      <c r="I407" s="22">
        <v>4.0109514031485283</v>
      </c>
      <c r="J407" s="22">
        <v>7.4688569472963726</v>
      </c>
      <c r="K407" s="22">
        <v>3.4579055441478439</v>
      </c>
      <c r="L407" s="22">
        <v>4.0136892539356603</v>
      </c>
      <c r="M407" s="22">
        <v>7.4715947980835047</v>
      </c>
      <c r="N407" s="22">
        <v>3.4168377823408624</v>
      </c>
      <c r="O407" s="22">
        <v>3.5865845311430529</v>
      </c>
      <c r="P407" s="22">
        <v>7.0034223134839149</v>
      </c>
      <c r="Q407" s="22">
        <v>3.5181382614647503</v>
      </c>
      <c r="R407" s="22" t="s">
        <v>8</v>
      </c>
      <c r="S407" s="22" t="s">
        <v>8</v>
      </c>
      <c r="T407" s="5">
        <v>3</v>
      </c>
      <c r="U407" s="5">
        <v>14</v>
      </c>
      <c r="V407" s="20" t="s">
        <v>1</v>
      </c>
      <c r="W407" s="20">
        <v>5</v>
      </c>
      <c r="X407" s="20">
        <v>1</v>
      </c>
      <c r="Y407" s="5">
        <v>1</v>
      </c>
      <c r="Z407" s="20">
        <v>4</v>
      </c>
      <c r="AA407" s="23">
        <f t="shared" si="12"/>
        <v>1</v>
      </c>
      <c r="AB407" s="15">
        <v>0.875</v>
      </c>
      <c r="AC407" s="15">
        <v>0.75</v>
      </c>
      <c r="AD407" s="15">
        <v>0.625</v>
      </c>
      <c r="AE407" s="15">
        <v>0.75</v>
      </c>
      <c r="AF407" s="20">
        <v>18</v>
      </c>
      <c r="AG407" s="20">
        <v>3</v>
      </c>
      <c r="AH407" s="24">
        <v>24</v>
      </c>
      <c r="AI407" s="23">
        <f t="shared" si="13"/>
        <v>1</v>
      </c>
      <c r="AJ407" s="17">
        <v>5.5</v>
      </c>
      <c r="AK407" s="17">
        <v>6.75</v>
      </c>
      <c r="AL407" s="14">
        <v>12.25</v>
      </c>
      <c r="AM407" s="23" cm="1">
        <f t="array" ref="AM407">IF(OR(AN407:AZ407=""),"BLANK",IF(AND(AN407:AZ407&lt;9999999),1,IF(AND(AN407:AZ407="NA"),3,2)))</f>
        <v>1</v>
      </c>
      <c r="AN407" s="5">
        <v>8</v>
      </c>
      <c r="AO407" s="5">
        <v>2</v>
      </c>
      <c r="AP407" s="10">
        <v>3</v>
      </c>
      <c r="AQ407" s="10">
        <v>6.25</v>
      </c>
      <c r="AR407" s="10">
        <v>7</v>
      </c>
      <c r="AS407" s="11">
        <v>2137.5</v>
      </c>
      <c r="AT407" s="11">
        <v>4946.5</v>
      </c>
      <c r="AU407" s="11">
        <v>2517.25</v>
      </c>
      <c r="AV407" s="11">
        <v>4194.75</v>
      </c>
      <c r="AW407" s="11">
        <v>502.5</v>
      </c>
      <c r="AX407" s="11">
        <v>7415</v>
      </c>
      <c r="AY407" s="11">
        <v>18631.239583333299</v>
      </c>
      <c r="AZ407" s="11">
        <v>6083.15</v>
      </c>
      <c r="BA407" s="23">
        <v>3</v>
      </c>
      <c r="BB407" s="24" t="s">
        <v>8</v>
      </c>
    </row>
    <row r="408" spans="1:54" x14ac:dyDescent="0.2">
      <c r="A408" s="5">
        <v>4240</v>
      </c>
      <c r="B408" s="20" t="s">
        <v>82</v>
      </c>
      <c r="C408" s="18" t="s">
        <v>55</v>
      </c>
      <c r="D408" s="18">
        <v>5</v>
      </c>
      <c r="E408" s="18">
        <v>0</v>
      </c>
      <c r="F408" s="20">
        <v>3.6360000000000001</v>
      </c>
      <c r="G408" s="18">
        <v>29</v>
      </c>
      <c r="H408" s="22">
        <v>3.5838466803559208</v>
      </c>
      <c r="I408" s="22" t="s">
        <v>8</v>
      </c>
      <c r="J408" s="22" t="s">
        <v>8</v>
      </c>
      <c r="K408" s="22">
        <v>3.5838466803559208</v>
      </c>
      <c r="L408" s="22" t="s">
        <v>8</v>
      </c>
      <c r="M408" s="22" t="s">
        <v>8</v>
      </c>
      <c r="N408" s="22">
        <v>3.7946611909650922</v>
      </c>
      <c r="O408" s="22" t="s">
        <v>8</v>
      </c>
      <c r="P408" s="22" t="s">
        <v>8</v>
      </c>
      <c r="Q408" s="22">
        <v>3.7344284736481863</v>
      </c>
      <c r="R408" s="22" t="s">
        <v>8</v>
      </c>
      <c r="S408" s="22" t="s">
        <v>8</v>
      </c>
      <c r="T408" s="5">
        <v>4</v>
      </c>
      <c r="U408" s="5">
        <v>16</v>
      </c>
      <c r="V408" s="20" t="s">
        <v>1</v>
      </c>
      <c r="W408" s="20">
        <v>5</v>
      </c>
      <c r="X408" s="20">
        <v>1</v>
      </c>
      <c r="Y408" s="5">
        <v>1</v>
      </c>
      <c r="Z408" s="20">
        <v>4</v>
      </c>
      <c r="AA408" s="23">
        <f t="shared" si="12"/>
        <v>2</v>
      </c>
      <c r="AB408" s="15">
        <v>0.83333333333333337</v>
      </c>
      <c r="AC408" s="15">
        <v>0.6</v>
      </c>
      <c r="AD408" s="15">
        <v>0.6</v>
      </c>
      <c r="AE408" s="15">
        <v>0.68799999999999994</v>
      </c>
      <c r="AF408" s="20">
        <v>11</v>
      </c>
      <c r="AG408" s="20" t="s">
        <v>8</v>
      </c>
      <c r="AH408" s="24">
        <v>16</v>
      </c>
      <c r="AI408" s="23">
        <f t="shared" si="13"/>
        <v>1</v>
      </c>
      <c r="AJ408" s="17">
        <v>3.25</v>
      </c>
      <c r="AK408" s="17">
        <v>3.25</v>
      </c>
      <c r="AL408" s="14">
        <v>6.5</v>
      </c>
      <c r="AM408" s="23" cm="1">
        <f t="array" ref="AM408">IF(OR(AN408:AZ408=""),"BLANK",IF(AND(AN408:AZ408&lt;9999999),1,IF(AND(AN408:AZ408="NA"),3,2)))</f>
        <v>1</v>
      </c>
      <c r="AN408" s="5">
        <v>8</v>
      </c>
      <c r="AO408" s="5">
        <v>2</v>
      </c>
      <c r="AP408" s="10">
        <v>4</v>
      </c>
      <c r="AQ408" s="10">
        <v>5</v>
      </c>
      <c r="AR408" s="10">
        <v>7.25</v>
      </c>
      <c r="AS408" s="11">
        <v>2999.5</v>
      </c>
      <c r="AT408" s="11">
        <v>23737</v>
      </c>
      <c r="AU408" s="11">
        <v>23849</v>
      </c>
      <c r="AV408" s="11">
        <v>35495.5</v>
      </c>
      <c r="AW408" s="11">
        <v>0</v>
      </c>
      <c r="AX408" s="11">
        <v>3399.4666666666999</v>
      </c>
      <c r="AY408" s="11">
        <v>6354.03125</v>
      </c>
      <c r="AZ408" s="11">
        <v>24302.276190476201</v>
      </c>
      <c r="BA408" s="23">
        <v>3</v>
      </c>
      <c r="BB408" s="24" t="s">
        <v>8</v>
      </c>
    </row>
    <row r="409" spans="1:54" x14ac:dyDescent="0.2">
      <c r="A409" s="5">
        <v>4245</v>
      </c>
      <c r="B409" s="20" t="s">
        <v>66</v>
      </c>
      <c r="C409" s="18" t="s">
        <v>54</v>
      </c>
      <c r="D409" s="18">
        <v>5</v>
      </c>
      <c r="E409" s="18">
        <v>0</v>
      </c>
      <c r="F409" s="20">
        <v>4</v>
      </c>
      <c r="G409" s="18" t="s">
        <v>8</v>
      </c>
      <c r="H409" s="22" t="s">
        <v>8</v>
      </c>
      <c r="I409" s="22" t="s">
        <v>8</v>
      </c>
      <c r="J409" s="22" t="s">
        <v>8</v>
      </c>
      <c r="K409" s="22" t="s">
        <v>8</v>
      </c>
      <c r="L409" s="22" t="s">
        <v>8</v>
      </c>
      <c r="M409" s="22" t="s">
        <v>8</v>
      </c>
      <c r="N409" s="22" t="s">
        <v>8</v>
      </c>
      <c r="O409" s="22" t="s">
        <v>8</v>
      </c>
      <c r="P409" s="22" t="s">
        <v>8</v>
      </c>
      <c r="Q409" s="22" t="s">
        <v>8</v>
      </c>
      <c r="R409" s="22" t="s">
        <v>8</v>
      </c>
      <c r="S409" s="22" t="s">
        <v>8</v>
      </c>
      <c r="T409" s="5">
        <v>3</v>
      </c>
      <c r="U409" s="5">
        <v>13</v>
      </c>
      <c r="V409" s="20" t="s">
        <v>1</v>
      </c>
      <c r="W409" s="20">
        <v>5</v>
      </c>
      <c r="X409" s="20">
        <v>1</v>
      </c>
      <c r="Y409" s="5">
        <v>1</v>
      </c>
      <c r="Z409" s="20">
        <v>4</v>
      </c>
      <c r="AA409" s="23">
        <f t="shared" si="12"/>
        <v>3</v>
      </c>
      <c r="AB409" s="15" t="s">
        <v>8</v>
      </c>
      <c r="AC409" s="15" t="s">
        <v>8</v>
      </c>
      <c r="AD409" s="15" t="s">
        <v>8</v>
      </c>
      <c r="AE409" s="15" t="s">
        <v>8</v>
      </c>
      <c r="AF409" s="20" t="s">
        <v>8</v>
      </c>
      <c r="AG409" s="20" t="s">
        <v>8</v>
      </c>
      <c r="AH409" s="24" t="s">
        <v>8</v>
      </c>
      <c r="AI409" s="23">
        <f t="shared" si="13"/>
        <v>3</v>
      </c>
      <c r="AJ409" s="17" t="s">
        <v>8</v>
      </c>
      <c r="AK409" s="17" t="s">
        <v>8</v>
      </c>
      <c r="AL409" s="14" t="s">
        <v>8</v>
      </c>
      <c r="AM409" s="23" cm="1">
        <f t="array" ref="AM409">IF(OR(AN409:AZ409=""),"BLANK",IF(AND(AN409:AZ409&lt;9999999),1,IF(AND(AN409:AZ409="NA"),3,2)))</f>
        <v>1</v>
      </c>
      <c r="AN409" s="5">
        <v>8</v>
      </c>
      <c r="AO409" s="5">
        <v>2</v>
      </c>
      <c r="AP409" s="10">
        <v>3</v>
      </c>
      <c r="AQ409" s="10">
        <v>5.25</v>
      </c>
      <c r="AR409" s="10">
        <v>8</v>
      </c>
      <c r="AS409" s="11">
        <v>2763</v>
      </c>
      <c r="AT409" s="11">
        <v>11227</v>
      </c>
      <c r="AU409" s="11">
        <v>10233.5</v>
      </c>
      <c r="AV409" s="11">
        <v>14037.25</v>
      </c>
      <c r="AW409" s="11">
        <v>0</v>
      </c>
      <c r="AX409" s="11">
        <v>0</v>
      </c>
      <c r="AY409" s="11">
        <v>2088.9027777778001</v>
      </c>
      <c r="AZ409" s="11">
        <v>1362.3333333333001</v>
      </c>
      <c r="BA409" s="23">
        <v>3</v>
      </c>
      <c r="BB409" s="24" t="s">
        <v>8</v>
      </c>
    </row>
    <row r="410" spans="1:54" x14ac:dyDescent="0.2">
      <c r="A410" s="5">
        <v>4265</v>
      </c>
      <c r="B410" s="20" t="s">
        <v>64</v>
      </c>
      <c r="C410" s="18" t="s">
        <v>54</v>
      </c>
      <c r="D410" s="18">
        <v>5</v>
      </c>
      <c r="E410" s="18">
        <v>0</v>
      </c>
      <c r="F410" s="20">
        <v>3.6360000000000001</v>
      </c>
      <c r="G410" s="18">
        <v>30</v>
      </c>
      <c r="H410" s="22">
        <v>3.5126625598904861</v>
      </c>
      <c r="I410" s="22" t="s">
        <v>8</v>
      </c>
      <c r="J410" s="22" t="s">
        <v>8</v>
      </c>
      <c r="K410" s="22">
        <v>3.5126625598904861</v>
      </c>
      <c r="L410" s="22" t="s">
        <v>8</v>
      </c>
      <c r="M410" s="22" t="s">
        <v>8</v>
      </c>
      <c r="N410" s="22">
        <v>3.5017111567419574</v>
      </c>
      <c r="O410" s="22" t="s">
        <v>8</v>
      </c>
      <c r="P410" s="22" t="s">
        <v>8</v>
      </c>
      <c r="Q410" s="22">
        <v>3.6605065023956196</v>
      </c>
      <c r="R410" s="22" t="s">
        <v>8</v>
      </c>
      <c r="S410" s="22" t="s">
        <v>8</v>
      </c>
      <c r="T410" s="5">
        <v>3</v>
      </c>
      <c r="U410" s="5">
        <v>14</v>
      </c>
      <c r="V410" s="20" t="s">
        <v>1</v>
      </c>
      <c r="W410" s="20">
        <v>5</v>
      </c>
      <c r="X410" s="20">
        <v>1</v>
      </c>
      <c r="Y410" s="5">
        <v>1</v>
      </c>
      <c r="Z410" s="20">
        <v>4</v>
      </c>
      <c r="AA410" s="23">
        <f t="shared" si="12"/>
        <v>1</v>
      </c>
      <c r="AB410" s="15">
        <v>1</v>
      </c>
      <c r="AC410" s="15">
        <v>0.875</v>
      </c>
      <c r="AD410" s="15">
        <v>0.5</v>
      </c>
      <c r="AE410" s="15">
        <v>0.79200000000000004</v>
      </c>
      <c r="AF410" s="20">
        <v>19</v>
      </c>
      <c r="AG410" s="20">
        <v>3</v>
      </c>
      <c r="AH410" s="24">
        <v>24</v>
      </c>
      <c r="AI410" s="23">
        <f t="shared" si="13"/>
        <v>1</v>
      </c>
      <c r="AJ410" s="17">
        <v>3.75</v>
      </c>
      <c r="AK410" s="17">
        <v>6.75</v>
      </c>
      <c r="AL410" s="14">
        <v>10.5</v>
      </c>
      <c r="AM410" s="23" cm="1">
        <f t="array" ref="AM410">IF(OR(AN410:AZ410=""),"BLANK",IF(AND(AN410:AZ410&lt;9999999),1,IF(AND(AN410:AZ410="NA"),3,2)))</f>
        <v>1</v>
      </c>
      <c r="AN410" s="5">
        <v>10</v>
      </c>
      <c r="AO410" s="5">
        <v>2</v>
      </c>
      <c r="AP410" s="10">
        <v>3</v>
      </c>
      <c r="AQ410" s="10">
        <v>5.75</v>
      </c>
      <c r="AR410" s="10">
        <v>5</v>
      </c>
      <c r="AS410" s="11">
        <v>5376.5</v>
      </c>
      <c r="AT410" s="11">
        <v>6269</v>
      </c>
      <c r="AU410" s="11">
        <v>17798</v>
      </c>
      <c r="AV410" s="11">
        <v>14070</v>
      </c>
      <c r="AW410" s="11">
        <v>0</v>
      </c>
      <c r="AX410" s="11">
        <v>0</v>
      </c>
      <c r="AY410" s="11">
        <v>4637.6527777778001</v>
      </c>
      <c r="AZ410" s="11">
        <v>0</v>
      </c>
      <c r="BA410" s="23">
        <v>3</v>
      </c>
      <c r="BB410" s="24" t="s">
        <v>8</v>
      </c>
    </row>
    <row r="411" spans="1:54" x14ac:dyDescent="0.2">
      <c r="A411" s="5">
        <v>4288</v>
      </c>
      <c r="B411" s="20" t="s">
        <v>64</v>
      </c>
      <c r="C411" s="18" t="s">
        <v>54</v>
      </c>
      <c r="D411" s="18">
        <v>5</v>
      </c>
      <c r="E411" s="18">
        <v>0</v>
      </c>
      <c r="F411" s="20">
        <v>4</v>
      </c>
      <c r="G411" s="18">
        <v>30</v>
      </c>
      <c r="H411" s="22">
        <v>3.4715947980835042</v>
      </c>
      <c r="I411" s="22">
        <v>3.6851471594798082</v>
      </c>
      <c r="J411" s="22">
        <v>7.1567419575633124</v>
      </c>
      <c r="K411" s="22">
        <v>3.4715947980835042</v>
      </c>
      <c r="L411" s="22">
        <v>3.7316906228610542</v>
      </c>
      <c r="M411" s="22">
        <v>7.2032854209445585</v>
      </c>
      <c r="N411" s="22">
        <v>3.4880219028062971</v>
      </c>
      <c r="O411" s="22" t="s">
        <v>8</v>
      </c>
      <c r="P411" s="22" t="s">
        <v>8</v>
      </c>
      <c r="Q411" s="22">
        <v>3.6577686516084875</v>
      </c>
      <c r="R411" s="22" t="s">
        <v>8</v>
      </c>
      <c r="S411" s="22" t="s">
        <v>8</v>
      </c>
      <c r="T411" s="5">
        <v>4</v>
      </c>
      <c r="U411" s="5">
        <v>16</v>
      </c>
      <c r="V411" s="20" t="s">
        <v>1</v>
      </c>
      <c r="W411" s="20">
        <v>5</v>
      </c>
      <c r="X411" s="20">
        <v>1</v>
      </c>
      <c r="Y411" s="5">
        <v>1</v>
      </c>
      <c r="Z411" s="20">
        <v>4</v>
      </c>
      <c r="AA411" s="23">
        <f t="shared" si="12"/>
        <v>1</v>
      </c>
      <c r="AB411" s="15">
        <v>1</v>
      </c>
      <c r="AC411" s="15">
        <v>1</v>
      </c>
      <c r="AD411" s="15">
        <v>0.875</v>
      </c>
      <c r="AE411" s="15">
        <v>0.95799999999999996</v>
      </c>
      <c r="AF411" s="20">
        <v>23</v>
      </c>
      <c r="AG411" s="20">
        <v>3</v>
      </c>
      <c r="AH411" s="24">
        <v>24</v>
      </c>
      <c r="AI411" s="23">
        <f t="shared" si="13"/>
        <v>1</v>
      </c>
      <c r="AJ411" s="17">
        <v>11</v>
      </c>
      <c r="AK411" s="17">
        <v>7.5</v>
      </c>
      <c r="AL411" s="14">
        <v>18.5</v>
      </c>
      <c r="AM411" s="23" cm="1">
        <f t="array" ref="AM411">IF(OR(AN411:AZ411=""),"BLANK",IF(AND(AN411:AZ411&lt;9999999),1,IF(AND(AN411:AZ411="NA"),3,2)))</f>
        <v>1</v>
      </c>
      <c r="AN411" s="5">
        <v>10</v>
      </c>
      <c r="AO411" s="5">
        <v>2</v>
      </c>
      <c r="AP411" s="10">
        <v>3</v>
      </c>
      <c r="AQ411" s="10">
        <v>5.25</v>
      </c>
      <c r="AR411" s="10">
        <v>5.25</v>
      </c>
      <c r="AS411" s="11">
        <v>1662.5</v>
      </c>
      <c r="AT411" s="11">
        <v>5104</v>
      </c>
      <c r="AU411" s="11">
        <v>27493.75</v>
      </c>
      <c r="AV411" s="11">
        <v>16799.25</v>
      </c>
      <c r="AW411" s="11">
        <v>0</v>
      </c>
      <c r="AX411" s="11">
        <v>0</v>
      </c>
      <c r="AY411" s="11">
        <v>1388.5486111110999</v>
      </c>
      <c r="AZ411" s="11">
        <v>0</v>
      </c>
      <c r="BA411" s="23">
        <v>3</v>
      </c>
      <c r="BB411" s="24" t="s">
        <v>8</v>
      </c>
    </row>
    <row r="412" spans="1:54" x14ac:dyDescent="0.2">
      <c r="A412" s="5">
        <v>4301</v>
      </c>
      <c r="B412" s="20" t="s">
        <v>64</v>
      </c>
      <c r="C412" s="18" t="s">
        <v>54</v>
      </c>
      <c r="D412" s="18">
        <v>5</v>
      </c>
      <c r="E412" s="18">
        <v>0</v>
      </c>
      <c r="F412" s="20">
        <v>3.7269999999999999</v>
      </c>
      <c r="G412" s="18">
        <v>28</v>
      </c>
      <c r="H412" s="22">
        <v>3.5537303216974676</v>
      </c>
      <c r="I412" s="22" t="s">
        <v>8</v>
      </c>
      <c r="J412" s="22" t="s">
        <v>8</v>
      </c>
      <c r="K412" s="22">
        <v>3.9315537303216974</v>
      </c>
      <c r="L412" s="22" t="s">
        <v>8</v>
      </c>
      <c r="M412" s="22" t="s">
        <v>8</v>
      </c>
      <c r="N412" s="22">
        <v>3.5181382614647503</v>
      </c>
      <c r="O412" s="22" t="s">
        <v>8</v>
      </c>
      <c r="P412" s="22" t="s">
        <v>8</v>
      </c>
      <c r="Q412" s="22">
        <v>3.893223819301848</v>
      </c>
      <c r="R412" s="22" t="s">
        <v>8</v>
      </c>
      <c r="S412" s="22" t="s">
        <v>8</v>
      </c>
      <c r="T412" s="5">
        <v>3</v>
      </c>
      <c r="U412" s="5">
        <v>13</v>
      </c>
      <c r="V412" s="20" t="s">
        <v>1</v>
      </c>
      <c r="W412" s="20">
        <v>5</v>
      </c>
      <c r="X412" s="20">
        <v>1</v>
      </c>
      <c r="Y412" s="5">
        <v>1</v>
      </c>
      <c r="Z412" s="20">
        <v>4</v>
      </c>
      <c r="AA412" s="23">
        <f t="shared" si="12"/>
        <v>1</v>
      </c>
      <c r="AB412" s="15">
        <v>1</v>
      </c>
      <c r="AC412" s="15">
        <v>0.875</v>
      </c>
      <c r="AD412" s="15">
        <v>0.5</v>
      </c>
      <c r="AE412" s="15">
        <v>0.79200000000000004</v>
      </c>
      <c r="AF412" s="20">
        <v>19</v>
      </c>
      <c r="AG412" s="20">
        <v>0.28000000000000003</v>
      </c>
      <c r="AH412" s="24">
        <v>24</v>
      </c>
      <c r="AI412" s="23">
        <f t="shared" si="13"/>
        <v>1</v>
      </c>
      <c r="AJ412" s="17">
        <v>2.5</v>
      </c>
      <c r="AK412" s="17">
        <v>2.25</v>
      </c>
      <c r="AL412" s="14">
        <v>4.75</v>
      </c>
      <c r="AM412" s="23" cm="1">
        <f t="array" ref="AM412">IF(OR(AN412:AZ412=""),"BLANK",IF(AND(AN412:AZ412&lt;9999999),1,IF(AND(AN412:AZ412="NA"),3,2)))</f>
        <v>1</v>
      </c>
      <c r="AN412" s="5">
        <v>10</v>
      </c>
      <c r="AO412" s="5">
        <v>2</v>
      </c>
      <c r="AP412" s="10">
        <v>3</v>
      </c>
      <c r="AQ412" s="10">
        <v>4</v>
      </c>
      <c r="AR412" s="10">
        <v>7</v>
      </c>
      <c r="AS412" s="11">
        <v>2279</v>
      </c>
      <c r="AT412" s="11">
        <v>6369</v>
      </c>
      <c r="AU412" s="11">
        <v>1659.25</v>
      </c>
      <c r="AV412" s="11">
        <v>4067.25</v>
      </c>
      <c r="AW412" s="11">
        <v>0</v>
      </c>
      <c r="AX412" s="11">
        <v>0</v>
      </c>
      <c r="AY412" s="11">
        <v>0</v>
      </c>
      <c r="AZ412" s="11">
        <v>3253.6624999999999</v>
      </c>
      <c r="BA412" s="23">
        <v>3</v>
      </c>
      <c r="BB412" s="24" t="s">
        <v>8</v>
      </c>
    </row>
    <row r="413" spans="1:54" x14ac:dyDescent="0.2">
      <c r="A413" s="5">
        <v>4312</v>
      </c>
      <c r="B413" s="20" t="s">
        <v>74</v>
      </c>
      <c r="C413" s="18" t="s">
        <v>54</v>
      </c>
      <c r="D413" s="18">
        <v>5</v>
      </c>
      <c r="E413" s="18">
        <v>0</v>
      </c>
      <c r="F413" s="20">
        <v>3.4550000000000001</v>
      </c>
      <c r="G413" s="18">
        <v>30</v>
      </c>
      <c r="H413" s="22">
        <v>3.7563312799452429</v>
      </c>
      <c r="I413" s="22">
        <v>3.3566050650239561</v>
      </c>
      <c r="J413" s="22">
        <v>7.1129363449691994</v>
      </c>
      <c r="K413" s="22">
        <v>3.7563312799452429</v>
      </c>
      <c r="L413" s="22">
        <v>3.3566050650239561</v>
      </c>
      <c r="M413" s="22">
        <v>7.1129363449691994</v>
      </c>
      <c r="N413" s="22">
        <v>3.9096509240246409</v>
      </c>
      <c r="O413" s="22">
        <v>3.1266255989048597</v>
      </c>
      <c r="P413" s="22">
        <v>7.0362765229295006</v>
      </c>
      <c r="Q413" s="22">
        <v>3.6605065023956196</v>
      </c>
      <c r="R413" s="22">
        <v>3.3702943189596168</v>
      </c>
      <c r="S413" s="22">
        <v>7.0308008213552364</v>
      </c>
      <c r="T413" s="5">
        <v>3</v>
      </c>
      <c r="U413" s="5">
        <v>14</v>
      </c>
      <c r="V413" s="20" t="s">
        <v>1</v>
      </c>
      <c r="W413" s="20">
        <v>5</v>
      </c>
      <c r="X413" s="20">
        <v>1</v>
      </c>
      <c r="Y413" s="5">
        <v>1</v>
      </c>
      <c r="Z413" s="20">
        <v>4</v>
      </c>
      <c r="AA413" s="23">
        <f t="shared" si="12"/>
        <v>1</v>
      </c>
      <c r="AB413" s="15">
        <v>0.875</v>
      </c>
      <c r="AC413" s="15">
        <v>0.875</v>
      </c>
      <c r="AD413" s="15">
        <v>0.375</v>
      </c>
      <c r="AE413" s="15">
        <v>0.70799999999999996</v>
      </c>
      <c r="AF413" s="20">
        <v>17</v>
      </c>
      <c r="AG413" s="20">
        <v>6</v>
      </c>
      <c r="AH413" s="24">
        <v>24</v>
      </c>
      <c r="AI413" s="23">
        <f t="shared" si="13"/>
        <v>1</v>
      </c>
      <c r="AJ413" s="17">
        <v>9.75</v>
      </c>
      <c r="AK413" s="17">
        <v>8.5</v>
      </c>
      <c r="AL413" s="14">
        <v>18.25</v>
      </c>
      <c r="AM413" s="23" cm="1">
        <f t="array" ref="AM413">IF(OR(AN413:AZ413=""),"BLANK",IF(AND(AN413:AZ413&lt;9999999),1,IF(AND(AN413:AZ413="NA"),3,2)))</f>
        <v>1</v>
      </c>
      <c r="AN413" s="5">
        <v>8</v>
      </c>
      <c r="AO413" s="5">
        <v>2</v>
      </c>
      <c r="AP413" s="10">
        <v>3</v>
      </c>
      <c r="AQ413" s="10">
        <v>4.25</v>
      </c>
      <c r="AR413" s="10">
        <v>8.75</v>
      </c>
      <c r="AS413" s="11">
        <v>1473.5</v>
      </c>
      <c r="AT413" s="11">
        <v>6897</v>
      </c>
      <c r="AU413" s="11">
        <v>8262.75</v>
      </c>
      <c r="AV413" s="11">
        <v>9741.25</v>
      </c>
      <c r="AW413" s="11">
        <v>0</v>
      </c>
      <c r="AX413" s="11">
        <v>0</v>
      </c>
      <c r="AY413" s="11">
        <v>2847.75</v>
      </c>
      <c r="AZ413" s="11">
        <v>4555.7875000000004</v>
      </c>
      <c r="BA413" s="23">
        <v>3</v>
      </c>
      <c r="BB413" s="24" t="s">
        <v>8</v>
      </c>
    </row>
    <row r="414" spans="1:54" x14ac:dyDescent="0.2">
      <c r="A414" s="5">
        <v>4315</v>
      </c>
      <c r="B414" s="20" t="s">
        <v>82</v>
      </c>
      <c r="C414" s="18" t="s">
        <v>55</v>
      </c>
      <c r="D414" s="18">
        <v>5</v>
      </c>
      <c r="E414" s="18">
        <v>0</v>
      </c>
      <c r="F414" s="20">
        <v>3.6360000000000001</v>
      </c>
      <c r="G414" s="18">
        <v>30</v>
      </c>
      <c r="H414" s="22">
        <v>2.4695414099931554</v>
      </c>
      <c r="I414" s="22">
        <v>4.3778234086242298</v>
      </c>
      <c r="J414" s="22">
        <v>6.8473648186173852</v>
      </c>
      <c r="K414" s="22">
        <v>2.4695414099931554</v>
      </c>
      <c r="L414" s="22">
        <v>4.3778234086242298</v>
      </c>
      <c r="M414" s="22">
        <v>6.8473648186173852</v>
      </c>
      <c r="N414" s="22">
        <v>2.622861054072553</v>
      </c>
      <c r="O414" s="22">
        <v>4.1889117043121153</v>
      </c>
      <c r="P414" s="22">
        <v>6.8117727583846683</v>
      </c>
      <c r="Q414" s="22">
        <v>2.9295003422313486</v>
      </c>
      <c r="R414" s="22" t="s">
        <v>8</v>
      </c>
      <c r="S414" s="22" t="s">
        <v>8</v>
      </c>
      <c r="T414" s="5">
        <v>3</v>
      </c>
      <c r="U414" s="5">
        <v>15</v>
      </c>
      <c r="V414" s="20" t="s">
        <v>1</v>
      </c>
      <c r="W414" s="20">
        <v>5</v>
      </c>
      <c r="X414" s="20">
        <v>1</v>
      </c>
      <c r="Y414" s="5">
        <v>1</v>
      </c>
      <c r="Z414" s="20">
        <v>4</v>
      </c>
      <c r="AA414" s="23">
        <f t="shared" si="12"/>
        <v>2</v>
      </c>
      <c r="AB414" s="15">
        <v>0.875</v>
      </c>
      <c r="AC414" s="15">
        <v>0.875</v>
      </c>
      <c r="AD414" s="15">
        <v>0.375</v>
      </c>
      <c r="AE414" s="15">
        <v>0.70799999999999996</v>
      </c>
      <c r="AF414" s="20">
        <v>17</v>
      </c>
      <c r="AG414" s="20" t="s">
        <v>8</v>
      </c>
      <c r="AH414" s="24">
        <v>24</v>
      </c>
      <c r="AI414" s="23">
        <f t="shared" si="13"/>
        <v>1</v>
      </c>
      <c r="AJ414" s="17">
        <v>8.5</v>
      </c>
      <c r="AK414" s="17">
        <v>7.75</v>
      </c>
      <c r="AL414" s="14">
        <v>16.25</v>
      </c>
      <c r="AM414" s="23" cm="1">
        <f t="array" ref="AM414">IF(OR(AN414:AZ414=""),"BLANK",IF(AND(AN414:AZ414&lt;9999999),1,IF(AND(AN414:AZ414="NA"),3,2)))</f>
        <v>1</v>
      </c>
      <c r="AN414" s="5">
        <v>9</v>
      </c>
      <c r="AO414" s="5">
        <v>2</v>
      </c>
      <c r="AP414" s="10">
        <v>3</v>
      </c>
      <c r="AQ414" s="10">
        <v>5.25</v>
      </c>
      <c r="AR414" s="10">
        <v>7</v>
      </c>
      <c r="AS414" s="11">
        <v>3824.5</v>
      </c>
      <c r="AT414" s="11">
        <v>16503.5</v>
      </c>
      <c r="AU414" s="11">
        <v>11882.75</v>
      </c>
      <c r="AV414" s="11">
        <v>21370</v>
      </c>
      <c r="AW414" s="11">
        <v>87.75</v>
      </c>
      <c r="AX414" s="11">
        <v>0</v>
      </c>
      <c r="AY414" s="11">
        <v>1004.7430555556</v>
      </c>
      <c r="AZ414" s="11">
        <v>7276.3458333333001</v>
      </c>
      <c r="BA414" s="23">
        <v>3</v>
      </c>
      <c r="BB414" s="24" t="s">
        <v>8</v>
      </c>
    </row>
    <row r="415" spans="1:54" x14ac:dyDescent="0.2">
      <c r="A415" s="5">
        <v>4328</v>
      </c>
      <c r="B415" s="20" t="s">
        <v>81</v>
      </c>
      <c r="C415" s="18" t="s">
        <v>55</v>
      </c>
      <c r="D415" s="18">
        <v>5</v>
      </c>
      <c r="E415" s="18">
        <v>0</v>
      </c>
      <c r="F415" s="20">
        <v>3.2730000000000001</v>
      </c>
      <c r="G415" s="18">
        <v>27</v>
      </c>
      <c r="H415" s="22">
        <v>3.5099247091033541</v>
      </c>
      <c r="I415" s="22">
        <v>3.2005475701574264</v>
      </c>
      <c r="J415" s="22">
        <v>6.71047227926078</v>
      </c>
      <c r="K415" s="22">
        <v>3.5099247091033541</v>
      </c>
      <c r="L415" s="22">
        <v>3.2005475701574264</v>
      </c>
      <c r="M415" s="22">
        <v>6.71047227926078</v>
      </c>
      <c r="N415" s="22">
        <v>3.5345653661875427</v>
      </c>
      <c r="O415" s="22">
        <v>3.2525667351129361</v>
      </c>
      <c r="P415" s="22">
        <v>6.7871321013004788</v>
      </c>
      <c r="Q415" s="22">
        <v>3.4223134839151266</v>
      </c>
      <c r="R415" s="22">
        <v>3.3730321697467489</v>
      </c>
      <c r="S415" s="22">
        <v>6.795345653661875</v>
      </c>
      <c r="T415" s="5">
        <v>7</v>
      </c>
      <c r="U415" s="5">
        <v>21</v>
      </c>
      <c r="V415" s="20" t="s">
        <v>1</v>
      </c>
      <c r="W415" s="20">
        <v>5</v>
      </c>
      <c r="X415" s="20">
        <v>1</v>
      </c>
      <c r="Y415" s="5">
        <v>1</v>
      </c>
      <c r="Z415" s="20">
        <v>4</v>
      </c>
      <c r="AA415" s="23">
        <f t="shared" si="12"/>
        <v>1</v>
      </c>
      <c r="AB415" s="15">
        <v>1</v>
      </c>
      <c r="AC415" s="15">
        <v>0.5</v>
      </c>
      <c r="AD415" s="15">
        <v>0.375</v>
      </c>
      <c r="AE415" s="15">
        <v>0.625</v>
      </c>
      <c r="AF415" s="20">
        <v>15</v>
      </c>
      <c r="AG415" s="20">
        <v>7</v>
      </c>
      <c r="AH415" s="24">
        <v>24</v>
      </c>
      <c r="AI415" s="23">
        <f t="shared" si="13"/>
        <v>1</v>
      </c>
      <c r="AJ415" s="17">
        <v>4.5</v>
      </c>
      <c r="AK415" s="17">
        <v>7.25</v>
      </c>
      <c r="AL415" s="14">
        <v>11.75</v>
      </c>
      <c r="AM415" s="23" cm="1">
        <f t="array" ref="AM415">IF(OR(AN415:AZ415=""),"BLANK",IF(AND(AN415:AZ415&lt;9999999),1,IF(AND(AN415:AZ415="NA"),3,2)))</f>
        <v>1</v>
      </c>
      <c r="AN415" s="5">
        <v>10</v>
      </c>
      <c r="AO415" s="5">
        <v>2</v>
      </c>
      <c r="AP415" s="10">
        <v>3</v>
      </c>
      <c r="AQ415" s="10">
        <v>5.25</v>
      </c>
      <c r="AR415" s="10">
        <v>6.75</v>
      </c>
      <c r="AS415" s="11">
        <v>1565.5</v>
      </c>
      <c r="AT415" s="11">
        <v>9093.5</v>
      </c>
      <c r="AU415" s="11">
        <v>14188</v>
      </c>
      <c r="AV415" s="11">
        <v>26556.25</v>
      </c>
      <c r="AW415" s="11">
        <v>0</v>
      </c>
      <c r="AX415" s="11">
        <v>0</v>
      </c>
      <c r="AY415" s="11">
        <v>3575.9027777778001</v>
      </c>
      <c r="AZ415" s="11">
        <v>1646.1708333332999</v>
      </c>
      <c r="BA415" s="23">
        <v>3</v>
      </c>
      <c r="BB415" s="24" t="s">
        <v>8</v>
      </c>
    </row>
    <row r="416" spans="1:54" x14ac:dyDescent="0.2">
      <c r="A416" s="5">
        <v>4329</v>
      </c>
      <c r="B416" s="20" t="s">
        <v>68</v>
      </c>
      <c r="C416" s="18" t="s">
        <v>54</v>
      </c>
      <c r="D416" s="18">
        <v>5</v>
      </c>
      <c r="E416" s="18">
        <v>0</v>
      </c>
      <c r="F416" s="20">
        <v>4</v>
      </c>
      <c r="G416" s="18">
        <v>27</v>
      </c>
      <c r="H416" s="22" t="s">
        <v>8</v>
      </c>
      <c r="I416" s="22" t="s">
        <v>8</v>
      </c>
      <c r="J416" s="22" t="s">
        <v>8</v>
      </c>
      <c r="K416" s="22" t="s">
        <v>8</v>
      </c>
      <c r="L416" s="22" t="s">
        <v>8</v>
      </c>
      <c r="M416" s="22" t="s">
        <v>8</v>
      </c>
      <c r="N416" s="22" t="s">
        <v>8</v>
      </c>
      <c r="O416" s="22" t="s">
        <v>8</v>
      </c>
      <c r="P416" s="22" t="s">
        <v>8</v>
      </c>
      <c r="Q416" s="22" t="s">
        <v>8</v>
      </c>
      <c r="R416" s="22" t="s">
        <v>8</v>
      </c>
      <c r="S416" s="22" t="s">
        <v>8</v>
      </c>
      <c r="T416" s="5">
        <v>3</v>
      </c>
      <c r="U416" s="5">
        <v>14</v>
      </c>
      <c r="V416" s="20" t="s">
        <v>1</v>
      </c>
      <c r="W416" s="20">
        <v>5</v>
      </c>
      <c r="X416" s="20">
        <v>1</v>
      </c>
      <c r="Y416" s="5">
        <v>1</v>
      </c>
      <c r="Z416" s="20">
        <v>4</v>
      </c>
      <c r="AA416" s="23">
        <f t="shared" si="12"/>
        <v>1</v>
      </c>
      <c r="AB416" s="15">
        <v>0.875</v>
      </c>
      <c r="AC416" s="15">
        <v>0.375</v>
      </c>
      <c r="AD416" s="15">
        <v>0.375</v>
      </c>
      <c r="AE416" s="15">
        <v>0.54200000000000004</v>
      </c>
      <c r="AF416" s="20">
        <v>13</v>
      </c>
      <c r="AG416" s="20">
        <v>1</v>
      </c>
      <c r="AH416" s="24">
        <v>24</v>
      </c>
      <c r="AI416" s="23">
        <f t="shared" si="13"/>
        <v>1</v>
      </c>
      <c r="AJ416" s="17">
        <v>5</v>
      </c>
      <c r="AK416" s="17">
        <v>2.75</v>
      </c>
      <c r="AL416" s="14">
        <v>7.75</v>
      </c>
      <c r="AM416" s="23" cm="1">
        <f t="array" ref="AM416">IF(OR(AN416:AZ416=""),"BLANK",IF(AND(AN416:AZ416&lt;9999999),1,IF(AND(AN416:AZ416="NA"),3,2)))</f>
        <v>1</v>
      </c>
      <c r="AN416" s="5">
        <v>4</v>
      </c>
      <c r="AO416" s="5">
        <v>2</v>
      </c>
      <c r="AP416" s="10">
        <v>4.5</v>
      </c>
      <c r="AQ416" s="10">
        <v>6.5</v>
      </c>
      <c r="AR416" s="10">
        <v>9.5</v>
      </c>
      <c r="AS416" s="11">
        <v>2400</v>
      </c>
      <c r="AT416" s="11">
        <v>16981</v>
      </c>
      <c r="AU416" s="11">
        <v>3347.25</v>
      </c>
      <c r="AV416" s="11">
        <v>7312.25</v>
      </c>
      <c r="AW416" s="11">
        <v>608.25</v>
      </c>
      <c r="AX416" s="11">
        <v>5021.6750000000002</v>
      </c>
      <c r="AY416" s="11">
        <v>21765</v>
      </c>
      <c r="AZ416" s="11">
        <v>15333.0625</v>
      </c>
      <c r="BA416" s="23">
        <v>3</v>
      </c>
      <c r="BB416" s="24" t="s">
        <v>8</v>
      </c>
    </row>
    <row r="417" spans="1:54" x14ac:dyDescent="0.2">
      <c r="A417" s="5">
        <v>4362</v>
      </c>
      <c r="B417" s="20" t="s">
        <v>74</v>
      </c>
      <c r="C417" s="18" t="s">
        <v>54</v>
      </c>
      <c r="D417" s="18">
        <v>5</v>
      </c>
      <c r="E417" s="18">
        <v>0</v>
      </c>
      <c r="F417" s="20">
        <v>3.3639999999999999</v>
      </c>
      <c r="G417" s="18">
        <v>29</v>
      </c>
      <c r="H417" s="22" t="s">
        <v>8</v>
      </c>
      <c r="I417" s="22" t="s">
        <v>8</v>
      </c>
      <c r="J417" s="22" t="s">
        <v>8</v>
      </c>
      <c r="K417" s="22" t="s">
        <v>8</v>
      </c>
      <c r="L417" s="22" t="s">
        <v>8</v>
      </c>
      <c r="M417" s="22" t="s">
        <v>8</v>
      </c>
      <c r="N417" s="22" t="s">
        <v>8</v>
      </c>
      <c r="O417" s="22" t="s">
        <v>8</v>
      </c>
      <c r="P417" s="22" t="s">
        <v>8</v>
      </c>
      <c r="Q417" s="22" t="s">
        <v>8</v>
      </c>
      <c r="R417" s="22" t="s">
        <v>8</v>
      </c>
      <c r="S417" s="22" t="s">
        <v>8</v>
      </c>
      <c r="T417" s="5">
        <v>3</v>
      </c>
      <c r="U417" s="5">
        <v>15</v>
      </c>
      <c r="V417" s="20" t="s">
        <v>1</v>
      </c>
      <c r="W417" s="20">
        <v>5</v>
      </c>
      <c r="X417" s="20">
        <v>1</v>
      </c>
      <c r="Y417" s="5">
        <v>1</v>
      </c>
      <c r="Z417" s="20">
        <v>4</v>
      </c>
      <c r="AA417" s="23">
        <f t="shared" si="12"/>
        <v>1</v>
      </c>
      <c r="AB417" s="15">
        <v>0.7142857142857143</v>
      </c>
      <c r="AC417" s="15">
        <v>0.8571428571428571</v>
      </c>
      <c r="AD417" s="15">
        <v>0.5</v>
      </c>
      <c r="AE417" s="15">
        <v>0.7</v>
      </c>
      <c r="AF417" s="20">
        <v>14</v>
      </c>
      <c r="AG417" s="20">
        <v>0</v>
      </c>
      <c r="AH417" s="24">
        <v>20</v>
      </c>
      <c r="AI417" s="23">
        <f t="shared" si="13"/>
        <v>1</v>
      </c>
      <c r="AJ417" s="17">
        <v>6.5</v>
      </c>
      <c r="AK417" s="17">
        <v>3.25</v>
      </c>
      <c r="AL417" s="14">
        <v>9.75</v>
      </c>
      <c r="AM417" s="23" cm="1">
        <f t="array" ref="AM417">IF(OR(AN417:AZ417=""),"BLANK",IF(AND(AN417:AZ417&lt;9999999),1,IF(AND(AN417:AZ417="NA"),3,2)))</f>
        <v>1</v>
      </c>
      <c r="AN417" s="5">
        <v>7</v>
      </c>
      <c r="AO417" s="5">
        <v>2</v>
      </c>
      <c r="AP417" s="10">
        <v>3</v>
      </c>
      <c r="AQ417" s="10">
        <v>6.25</v>
      </c>
      <c r="AR417" s="10">
        <v>8</v>
      </c>
      <c r="AS417" s="11">
        <v>4622.5</v>
      </c>
      <c r="AT417" s="11">
        <v>9214.5</v>
      </c>
      <c r="AU417" s="11">
        <v>9066.25</v>
      </c>
      <c r="AV417" s="11">
        <v>25503.5</v>
      </c>
      <c r="AW417" s="11">
        <v>0</v>
      </c>
      <c r="AX417" s="11">
        <v>400.6666666667</v>
      </c>
      <c r="AY417" s="11">
        <v>5650.625</v>
      </c>
      <c r="AZ417" s="11">
        <v>4915.0430555556004</v>
      </c>
      <c r="BA417" s="23">
        <v>3</v>
      </c>
      <c r="BB417" s="24" t="s">
        <v>8</v>
      </c>
    </row>
    <row r="418" spans="1:54" x14ac:dyDescent="0.2">
      <c r="A418" s="5">
        <v>4394</v>
      </c>
      <c r="B418" s="20" t="s">
        <v>66</v>
      </c>
      <c r="C418" s="18" t="s">
        <v>55</v>
      </c>
      <c r="D418" s="18">
        <v>2</v>
      </c>
      <c r="E418" s="18">
        <v>0</v>
      </c>
      <c r="F418" s="20">
        <v>3.4550000000000001</v>
      </c>
      <c r="G418" s="18">
        <v>28</v>
      </c>
      <c r="H418" s="22">
        <v>3.9589322381930185</v>
      </c>
      <c r="I418" s="22">
        <v>3.1868583162217661</v>
      </c>
      <c r="J418" s="22">
        <v>7.1457905544147842</v>
      </c>
      <c r="K418" s="22">
        <v>3.9479808350444903</v>
      </c>
      <c r="L418" s="22">
        <v>3.184120465434634</v>
      </c>
      <c r="M418" s="22">
        <v>7.1321013004791238</v>
      </c>
      <c r="N418" s="22">
        <v>3.9479808350444903</v>
      </c>
      <c r="O418" s="22">
        <v>3.2224503764544834</v>
      </c>
      <c r="P418" s="22">
        <v>7.1704312114989737</v>
      </c>
      <c r="Q418" s="22">
        <v>3.8850102669404518</v>
      </c>
      <c r="R418" s="22">
        <v>3.2553045859000687</v>
      </c>
      <c r="S418" s="22">
        <v>7.14031485284052</v>
      </c>
      <c r="T418" s="5">
        <v>3</v>
      </c>
      <c r="U418" s="5">
        <v>14</v>
      </c>
      <c r="V418" s="20" t="s">
        <v>1</v>
      </c>
      <c r="W418" s="20">
        <v>5</v>
      </c>
      <c r="X418" s="20">
        <v>1</v>
      </c>
      <c r="Y418" s="5">
        <v>1</v>
      </c>
      <c r="Z418" s="20">
        <v>4</v>
      </c>
      <c r="AA418" s="23">
        <f t="shared" si="12"/>
        <v>1</v>
      </c>
      <c r="AB418" s="15">
        <v>1</v>
      </c>
      <c r="AC418" s="15">
        <v>1</v>
      </c>
      <c r="AD418" s="15">
        <v>0.75</v>
      </c>
      <c r="AE418" s="15">
        <v>0.91700000000000004</v>
      </c>
      <c r="AF418" s="20">
        <v>22</v>
      </c>
      <c r="AG418" s="20">
        <v>6</v>
      </c>
      <c r="AH418" s="24">
        <v>24</v>
      </c>
      <c r="AI418" s="23">
        <f t="shared" si="13"/>
        <v>1</v>
      </c>
      <c r="AJ418" s="17">
        <v>10.75</v>
      </c>
      <c r="AK418" s="17">
        <v>9.25</v>
      </c>
      <c r="AL418" s="14">
        <v>20</v>
      </c>
      <c r="AM418" s="23" cm="1">
        <f t="array" ref="AM418">IF(OR(AN418:AZ418=""),"BLANK",IF(AND(AN418:AZ418&lt;9999999),1,IF(AND(AN418:AZ418="NA"),3,2)))</f>
        <v>1</v>
      </c>
      <c r="AN418" s="5">
        <v>11</v>
      </c>
      <c r="AO418" s="5">
        <v>2</v>
      </c>
      <c r="AP418" s="10">
        <v>3</v>
      </c>
      <c r="AQ418" s="10">
        <v>4</v>
      </c>
      <c r="AR418" s="10">
        <v>5.5</v>
      </c>
      <c r="AS418" s="11">
        <v>3365</v>
      </c>
      <c r="AT418" s="11">
        <v>17624.5</v>
      </c>
      <c r="AU418" s="11">
        <v>13201.25</v>
      </c>
      <c r="AV418" s="11">
        <v>32621.5</v>
      </c>
      <c r="AW418" s="11">
        <v>0</v>
      </c>
      <c r="AX418" s="11">
        <v>0</v>
      </c>
      <c r="AY418" s="11">
        <v>227.625</v>
      </c>
      <c r="AZ418" s="11">
        <v>387.17142857139999</v>
      </c>
      <c r="BA418" s="23">
        <v>3</v>
      </c>
      <c r="BB418" s="24" t="s">
        <v>8</v>
      </c>
    </row>
    <row r="419" spans="1:54" x14ac:dyDescent="0.2">
      <c r="A419" s="5">
        <v>4398</v>
      </c>
      <c r="B419" s="20" t="s">
        <v>64</v>
      </c>
      <c r="C419" s="18" t="s">
        <v>55</v>
      </c>
      <c r="D419" s="18">
        <v>5</v>
      </c>
      <c r="E419" s="18">
        <v>0</v>
      </c>
      <c r="F419" s="20">
        <v>4</v>
      </c>
      <c r="G419" s="18">
        <v>29</v>
      </c>
      <c r="H419" s="22">
        <v>3.4770704996577688</v>
      </c>
      <c r="I419" s="22" t="s">
        <v>8</v>
      </c>
      <c r="J419" s="22" t="s">
        <v>8</v>
      </c>
      <c r="K419" s="22">
        <v>3.4770704996577688</v>
      </c>
      <c r="L419" s="22" t="s">
        <v>8</v>
      </c>
      <c r="M419" s="22" t="s">
        <v>8</v>
      </c>
      <c r="N419" s="22" t="s">
        <v>8</v>
      </c>
      <c r="O419" s="22" t="s">
        <v>8</v>
      </c>
      <c r="P419" s="22" t="s">
        <v>8</v>
      </c>
      <c r="Q419" s="22" t="s">
        <v>8</v>
      </c>
      <c r="R419" s="22" t="s">
        <v>8</v>
      </c>
      <c r="S419" s="22" t="s">
        <v>8</v>
      </c>
      <c r="T419" s="5">
        <v>4</v>
      </c>
      <c r="U419" s="5">
        <v>16</v>
      </c>
      <c r="V419" s="20" t="s">
        <v>1</v>
      </c>
      <c r="W419" s="20">
        <v>5</v>
      </c>
      <c r="X419" s="20">
        <v>1</v>
      </c>
      <c r="Y419" s="5">
        <v>1</v>
      </c>
      <c r="Z419" s="20">
        <v>4</v>
      </c>
      <c r="AA419" s="23">
        <f t="shared" si="12"/>
        <v>1</v>
      </c>
      <c r="AB419" s="15">
        <v>0.875</v>
      </c>
      <c r="AC419" s="15">
        <v>0.75</v>
      </c>
      <c r="AD419" s="15">
        <v>0.375</v>
      </c>
      <c r="AE419" s="15">
        <v>0.66700000000000004</v>
      </c>
      <c r="AF419" s="20">
        <v>16</v>
      </c>
      <c r="AG419" s="20">
        <v>3</v>
      </c>
      <c r="AH419" s="24">
        <v>24</v>
      </c>
      <c r="AI419" s="23">
        <f t="shared" si="13"/>
        <v>1</v>
      </c>
      <c r="AJ419" s="17">
        <v>4</v>
      </c>
      <c r="AK419" s="17">
        <v>7.5</v>
      </c>
      <c r="AL419" s="14">
        <v>11.5</v>
      </c>
      <c r="AM419" s="23" cm="1">
        <f t="array" ref="AM419">IF(OR(AN419:AZ419=""),"BLANK",IF(AND(AN419:AZ419&lt;9999999),1,IF(AND(AN419:AZ419="NA"),3,2)))</f>
        <v>1</v>
      </c>
      <c r="AN419" s="5">
        <v>7</v>
      </c>
      <c r="AO419" s="5">
        <v>2</v>
      </c>
      <c r="AP419" s="10">
        <v>3</v>
      </c>
      <c r="AQ419" s="10">
        <v>5.25</v>
      </c>
      <c r="AR419" s="10">
        <v>12</v>
      </c>
      <c r="AS419" s="11">
        <v>2408</v>
      </c>
      <c r="AT419" s="11">
        <v>10890</v>
      </c>
      <c r="AU419" s="11">
        <v>17807.75</v>
      </c>
      <c r="AV419" s="11">
        <v>29282.333333333299</v>
      </c>
      <c r="AW419" s="11">
        <v>546</v>
      </c>
      <c r="AX419" s="11">
        <v>3828</v>
      </c>
      <c r="AY419" s="11">
        <v>7033.3541666666997</v>
      </c>
      <c r="AZ419" s="11">
        <v>16401.416666666701</v>
      </c>
      <c r="BA419" s="23">
        <v>3</v>
      </c>
      <c r="BB419" s="24" t="s">
        <v>8</v>
      </c>
    </row>
    <row r="420" spans="1:54" x14ac:dyDescent="0.2">
      <c r="A420" s="5">
        <v>4451</v>
      </c>
      <c r="B420" s="20" t="s">
        <v>66</v>
      </c>
      <c r="C420" s="18" t="s">
        <v>55</v>
      </c>
      <c r="D420" s="18">
        <v>5</v>
      </c>
      <c r="E420" s="18">
        <v>1</v>
      </c>
      <c r="F420" s="20">
        <v>3.6360000000000001</v>
      </c>
      <c r="G420" s="18">
        <v>26</v>
      </c>
      <c r="H420" s="22">
        <v>3.4168377823408624</v>
      </c>
      <c r="I420" s="22">
        <v>3.6030116358658453</v>
      </c>
      <c r="J420" s="22">
        <v>7.0198494182067082</v>
      </c>
      <c r="K420" s="22">
        <v>3.485284052019165</v>
      </c>
      <c r="L420" s="22">
        <v>3.5345653661875427</v>
      </c>
      <c r="M420" s="22">
        <v>7.0198494182067082</v>
      </c>
      <c r="N420" s="22">
        <v>3.4387405886379194</v>
      </c>
      <c r="O420" s="22">
        <v>3.6030116358658453</v>
      </c>
      <c r="P420" s="22">
        <v>7.0417522245037647</v>
      </c>
      <c r="Q420" s="22">
        <v>3.5044490075290895</v>
      </c>
      <c r="R420" s="22">
        <v>3.57015742642026</v>
      </c>
      <c r="S420" s="22">
        <v>7.0746064339493495</v>
      </c>
      <c r="T420" s="5">
        <v>3</v>
      </c>
      <c r="U420" s="5">
        <v>14</v>
      </c>
      <c r="V420" s="20" t="s">
        <v>1</v>
      </c>
      <c r="W420" s="20">
        <v>5</v>
      </c>
      <c r="X420" s="20">
        <v>1</v>
      </c>
      <c r="Y420" s="5">
        <v>1</v>
      </c>
      <c r="Z420" s="20">
        <v>4</v>
      </c>
      <c r="AA420" s="23">
        <f t="shared" si="12"/>
        <v>1</v>
      </c>
      <c r="AB420" s="15">
        <v>0.875</v>
      </c>
      <c r="AC420" s="15">
        <v>0.625</v>
      </c>
      <c r="AD420" s="15">
        <v>0.375</v>
      </c>
      <c r="AE420" s="15">
        <v>0.625</v>
      </c>
      <c r="AF420" s="20">
        <v>15</v>
      </c>
      <c r="AG420" s="20">
        <v>9.4499999999999993</v>
      </c>
      <c r="AH420" s="24">
        <v>24</v>
      </c>
      <c r="AI420" s="23">
        <f t="shared" si="13"/>
        <v>1</v>
      </c>
      <c r="AJ420" s="17">
        <v>3.75</v>
      </c>
      <c r="AK420" s="17">
        <v>3.75</v>
      </c>
      <c r="AL420" s="14">
        <v>7.5</v>
      </c>
      <c r="AM420" s="23" cm="1">
        <f t="array" ref="AM420">IF(OR(AN420:AZ420=""),"BLANK",IF(AND(AN420:AZ420&lt;9999999),1,IF(AND(AN420:AZ420="NA"),3,2)))</f>
        <v>1</v>
      </c>
      <c r="AN420" s="5">
        <v>5</v>
      </c>
      <c r="AO420" s="5">
        <v>2</v>
      </c>
      <c r="AP420" s="10">
        <v>3.5</v>
      </c>
      <c r="AQ420" s="10">
        <v>6.75</v>
      </c>
      <c r="AR420" s="10">
        <v>7.5</v>
      </c>
      <c r="AS420" s="11">
        <v>482</v>
      </c>
      <c r="AT420" s="11">
        <v>18287.5</v>
      </c>
      <c r="AU420" s="11">
        <v>7928</v>
      </c>
      <c r="AV420" s="11">
        <v>3474.25</v>
      </c>
      <c r="AW420" s="11">
        <v>5409</v>
      </c>
      <c r="AX420" s="11">
        <v>544.25</v>
      </c>
      <c r="AY420" s="11">
        <v>4154.6236111111002</v>
      </c>
      <c r="AZ420" s="11">
        <v>35.394642857100003</v>
      </c>
      <c r="BA420" s="23">
        <v>3</v>
      </c>
      <c r="BB420" s="24" t="s">
        <v>8</v>
      </c>
    </row>
    <row r="421" spans="1:54" x14ac:dyDescent="0.2">
      <c r="A421" s="5">
        <v>4461</v>
      </c>
      <c r="B421" s="20" t="s">
        <v>75</v>
      </c>
      <c r="C421" s="18" t="s">
        <v>55</v>
      </c>
      <c r="D421" s="18">
        <v>5</v>
      </c>
      <c r="E421" s="18">
        <v>0</v>
      </c>
      <c r="F421" s="20">
        <v>3.6360000000000001</v>
      </c>
      <c r="G421" s="18">
        <v>28</v>
      </c>
      <c r="H421" s="22">
        <v>3.463381245722108</v>
      </c>
      <c r="I421" s="22">
        <v>3.3648186173853527</v>
      </c>
      <c r="J421" s="22">
        <v>6.8281998631074607</v>
      </c>
      <c r="K421" s="22">
        <v>3.463381245722108</v>
      </c>
      <c r="L421" s="22">
        <v>3.3648186173853527</v>
      </c>
      <c r="M421" s="22">
        <v>6.8281998631074607</v>
      </c>
      <c r="N421" s="22">
        <v>3.4387405886379194</v>
      </c>
      <c r="O421" s="22">
        <v>3.4277891854893907</v>
      </c>
      <c r="P421" s="22">
        <v>6.8665297741273097</v>
      </c>
      <c r="Q421" s="22">
        <v>3.3949349760438055</v>
      </c>
      <c r="R421" s="22">
        <v>3.5017111567419574</v>
      </c>
      <c r="S421" s="22">
        <v>6.8966461327857633</v>
      </c>
      <c r="T421" s="5">
        <v>5</v>
      </c>
      <c r="U421" s="5">
        <v>17</v>
      </c>
      <c r="V421" s="20" t="s">
        <v>1</v>
      </c>
      <c r="W421" s="20">
        <v>5</v>
      </c>
      <c r="X421" s="20">
        <v>1</v>
      </c>
      <c r="Y421" s="5">
        <v>1</v>
      </c>
      <c r="Z421" s="20">
        <v>4</v>
      </c>
      <c r="AA421" s="23">
        <f t="shared" si="12"/>
        <v>1</v>
      </c>
      <c r="AB421" s="15">
        <v>1</v>
      </c>
      <c r="AC421" s="15">
        <v>0.75</v>
      </c>
      <c r="AD421" s="15">
        <v>0.75</v>
      </c>
      <c r="AE421" s="15">
        <v>0.83299999999999996</v>
      </c>
      <c r="AF421" s="20">
        <v>20</v>
      </c>
      <c r="AG421" s="20">
        <v>3</v>
      </c>
      <c r="AH421" s="24">
        <v>24</v>
      </c>
      <c r="AI421" s="23">
        <f t="shared" si="13"/>
        <v>1</v>
      </c>
      <c r="AJ421" s="17">
        <v>8</v>
      </c>
      <c r="AK421" s="17">
        <v>7.75</v>
      </c>
      <c r="AL421" s="14">
        <v>15.75</v>
      </c>
      <c r="AM421" s="23" cm="1">
        <f t="array" ref="AM421">IF(OR(AN421:AZ421=""),"BLANK",IF(AND(AN421:AZ421&lt;9999999),1,IF(AND(AN421:AZ421="NA"),3,2)))</f>
        <v>1</v>
      </c>
      <c r="AN421" s="5">
        <v>8</v>
      </c>
      <c r="AO421" s="5">
        <v>2</v>
      </c>
      <c r="AP421" s="10">
        <v>3</v>
      </c>
      <c r="AQ421" s="10">
        <v>5.25</v>
      </c>
      <c r="AR421" s="10">
        <v>9</v>
      </c>
      <c r="AS421" s="11">
        <v>4117.5</v>
      </c>
      <c r="AT421" s="11">
        <v>4012</v>
      </c>
      <c r="AU421" s="11">
        <v>20204.5</v>
      </c>
      <c r="AV421" s="11">
        <v>18171</v>
      </c>
      <c r="AW421" s="11">
        <v>0</v>
      </c>
      <c r="AX421" s="11">
        <v>0</v>
      </c>
      <c r="AY421" s="11">
        <v>400.38194444440001</v>
      </c>
      <c r="AZ421" s="11">
        <v>1110.4154761904999</v>
      </c>
      <c r="BA421" s="23">
        <v>3</v>
      </c>
      <c r="BB421" s="24" t="s">
        <v>8</v>
      </c>
    </row>
    <row r="422" spans="1:54" x14ac:dyDescent="0.2">
      <c r="A422" s="5">
        <v>4467</v>
      </c>
      <c r="B422" s="20" t="s">
        <v>83</v>
      </c>
      <c r="C422" s="18" t="s">
        <v>55</v>
      </c>
      <c r="D422" s="18">
        <v>5</v>
      </c>
      <c r="E422" s="18">
        <v>0</v>
      </c>
      <c r="F422" s="20">
        <v>3.9089999999999998</v>
      </c>
      <c r="G422" s="18">
        <v>28</v>
      </c>
      <c r="H422" s="22" t="s">
        <v>8</v>
      </c>
      <c r="I422" s="22" t="s">
        <v>8</v>
      </c>
      <c r="J422" s="22" t="s">
        <v>8</v>
      </c>
      <c r="K422" s="22" t="s">
        <v>8</v>
      </c>
      <c r="L422" s="22" t="s">
        <v>8</v>
      </c>
      <c r="M422" s="22" t="s">
        <v>8</v>
      </c>
      <c r="N422" s="22" t="s">
        <v>8</v>
      </c>
      <c r="O422" s="22" t="s">
        <v>8</v>
      </c>
      <c r="P422" s="22" t="s">
        <v>8</v>
      </c>
      <c r="Q422" s="22" t="s">
        <v>8</v>
      </c>
      <c r="R422" s="22" t="s">
        <v>8</v>
      </c>
      <c r="S422" s="22" t="s">
        <v>8</v>
      </c>
      <c r="T422" s="5">
        <v>4</v>
      </c>
      <c r="U422" s="5">
        <v>16</v>
      </c>
      <c r="V422" s="20" t="s">
        <v>1</v>
      </c>
      <c r="W422" s="20">
        <v>5</v>
      </c>
      <c r="X422" s="20">
        <v>1</v>
      </c>
      <c r="Y422" s="5">
        <v>1</v>
      </c>
      <c r="Z422" s="20">
        <v>4</v>
      </c>
      <c r="AA422" s="23">
        <f t="shared" si="12"/>
        <v>1</v>
      </c>
      <c r="AB422" s="15">
        <v>0.625</v>
      </c>
      <c r="AC422" s="15">
        <v>0.25</v>
      </c>
      <c r="AD422" s="15">
        <v>0.25</v>
      </c>
      <c r="AE422" s="15">
        <v>0.375</v>
      </c>
      <c r="AF422" s="20">
        <v>9</v>
      </c>
      <c r="AG422" s="20">
        <v>7</v>
      </c>
      <c r="AH422" s="24">
        <v>24</v>
      </c>
      <c r="AI422" s="23">
        <f t="shared" si="13"/>
        <v>1</v>
      </c>
      <c r="AJ422" s="17">
        <v>6</v>
      </c>
      <c r="AK422" s="17">
        <v>4.5</v>
      </c>
      <c r="AL422" s="14">
        <v>10.5</v>
      </c>
      <c r="AM422" s="23" cm="1">
        <f t="array" ref="AM422">IF(OR(AN422:AZ422=""),"BLANK",IF(AND(AN422:AZ422&lt;9999999),1,IF(AND(AN422:AZ422="NA"),3,2)))</f>
        <v>1</v>
      </c>
      <c r="AN422" s="5">
        <v>7</v>
      </c>
      <c r="AO422" s="5">
        <v>2</v>
      </c>
      <c r="AP422" s="10">
        <v>3</v>
      </c>
      <c r="AQ422" s="10">
        <v>5.75</v>
      </c>
      <c r="AR422" s="10">
        <v>8.5</v>
      </c>
      <c r="AS422" s="11">
        <v>0</v>
      </c>
      <c r="AT422" s="11">
        <v>8578</v>
      </c>
      <c r="AU422" s="11">
        <v>4169.25</v>
      </c>
      <c r="AV422" s="11">
        <v>9118.5</v>
      </c>
      <c r="AW422" s="11">
        <v>0</v>
      </c>
      <c r="AX422" s="11">
        <v>9657.5</v>
      </c>
      <c r="AY422" s="11">
        <v>8646.7430555556002</v>
      </c>
      <c r="AZ422" s="11">
        <v>3059.4094696970001</v>
      </c>
      <c r="BA422" s="23">
        <v>3</v>
      </c>
      <c r="BB422" s="24" t="s">
        <v>8</v>
      </c>
    </row>
    <row r="423" spans="1:54" x14ac:dyDescent="0.2">
      <c r="A423" s="5">
        <v>4488</v>
      </c>
      <c r="B423" s="20" t="s">
        <v>63</v>
      </c>
      <c r="C423" s="18" t="s">
        <v>54</v>
      </c>
      <c r="D423" s="18">
        <v>5</v>
      </c>
      <c r="E423" s="18">
        <v>0</v>
      </c>
      <c r="F423" s="20" t="s">
        <v>8</v>
      </c>
      <c r="G423" s="18">
        <v>30</v>
      </c>
      <c r="H423" s="22">
        <v>3.460643394934976</v>
      </c>
      <c r="I423" s="22">
        <v>3.5345653661875427</v>
      </c>
      <c r="J423" s="22">
        <v>6.9952087611225187</v>
      </c>
      <c r="K423" s="22">
        <v>4.6379192334017798</v>
      </c>
      <c r="L423" s="22">
        <v>2.3572895277207393</v>
      </c>
      <c r="M423" s="22">
        <v>6.9952087611225187</v>
      </c>
      <c r="N423" s="22">
        <v>3.6303901437371664</v>
      </c>
      <c r="O423" s="22" t="s">
        <v>8</v>
      </c>
      <c r="P423" s="22" t="s">
        <v>8</v>
      </c>
      <c r="Q423" s="22">
        <v>3.5126625598904861</v>
      </c>
      <c r="R423" s="22" t="s">
        <v>8</v>
      </c>
      <c r="S423" s="22" t="s">
        <v>8</v>
      </c>
      <c r="T423" s="5">
        <v>3</v>
      </c>
      <c r="U423" s="5">
        <v>14</v>
      </c>
      <c r="V423" s="20" t="s">
        <v>1</v>
      </c>
      <c r="W423" s="20">
        <v>5</v>
      </c>
      <c r="X423" s="20">
        <v>1</v>
      </c>
      <c r="Y423" s="5">
        <v>1</v>
      </c>
      <c r="Z423" s="20">
        <v>4</v>
      </c>
      <c r="AA423" s="23">
        <f t="shared" si="12"/>
        <v>1</v>
      </c>
      <c r="AB423" s="15">
        <v>0.875</v>
      </c>
      <c r="AC423" s="15">
        <v>0.75</v>
      </c>
      <c r="AD423" s="15">
        <v>0.625</v>
      </c>
      <c r="AE423" s="15">
        <v>0.75</v>
      </c>
      <c r="AF423" s="20">
        <v>18</v>
      </c>
      <c r="AG423" s="20">
        <v>1</v>
      </c>
      <c r="AH423" s="24">
        <v>24</v>
      </c>
      <c r="AI423" s="23">
        <f t="shared" si="13"/>
        <v>1</v>
      </c>
      <c r="AJ423" s="17">
        <v>2.5</v>
      </c>
      <c r="AK423" s="17">
        <v>5</v>
      </c>
      <c r="AL423" s="14">
        <v>7.5</v>
      </c>
      <c r="AM423" s="23" cm="1">
        <f t="array" ref="AM423">IF(OR(AN423:AZ423=""),"BLANK",IF(AND(AN423:AZ423&lt;9999999),1,IF(AND(AN423:AZ423="NA"),3,2)))</f>
        <v>1</v>
      </c>
      <c r="AN423" s="5">
        <v>8</v>
      </c>
      <c r="AO423" s="5">
        <v>2</v>
      </c>
      <c r="AP423" s="10">
        <v>3</v>
      </c>
      <c r="AQ423" s="10">
        <v>4.5</v>
      </c>
      <c r="AR423" s="10">
        <v>8</v>
      </c>
      <c r="AS423" s="11">
        <v>1462.5</v>
      </c>
      <c r="AT423" s="11">
        <v>4573.5</v>
      </c>
      <c r="AU423" s="11">
        <v>6214</v>
      </c>
      <c r="AV423" s="11">
        <v>8595.25</v>
      </c>
      <c r="AW423" s="11">
        <v>0</v>
      </c>
      <c r="AX423" s="11">
        <v>0</v>
      </c>
      <c r="AY423" s="11">
        <v>2857.0208333332998</v>
      </c>
      <c r="AZ423" s="11">
        <v>5287.6416666667001</v>
      </c>
      <c r="BA423" s="23">
        <v>3</v>
      </c>
      <c r="BB423" s="24" t="s">
        <v>8</v>
      </c>
    </row>
    <row r="424" spans="1:54" x14ac:dyDescent="0.2">
      <c r="A424" s="5">
        <v>4507</v>
      </c>
      <c r="B424" s="20" t="s">
        <v>82</v>
      </c>
      <c r="C424" s="18" t="s">
        <v>55</v>
      </c>
      <c r="D424" s="18">
        <v>5</v>
      </c>
      <c r="E424" s="18">
        <v>0</v>
      </c>
      <c r="F424" s="20">
        <v>3.7269999999999999</v>
      </c>
      <c r="G424" s="18">
        <v>27</v>
      </c>
      <c r="H424" s="22">
        <v>3.4223134839151266</v>
      </c>
      <c r="I424" s="22" t="s">
        <v>8</v>
      </c>
      <c r="J424" s="22" t="s">
        <v>8</v>
      </c>
      <c r="K424" s="22">
        <v>3.4223134839151266</v>
      </c>
      <c r="L424" s="22" t="s">
        <v>8</v>
      </c>
      <c r="M424" s="22" t="s">
        <v>8</v>
      </c>
      <c r="N424" s="22" t="s">
        <v>8</v>
      </c>
      <c r="O424" s="22" t="s">
        <v>8</v>
      </c>
      <c r="P424" s="22" t="s">
        <v>8</v>
      </c>
      <c r="Q424" s="22">
        <v>3.4496919917864477</v>
      </c>
      <c r="R424" s="22" t="s">
        <v>8</v>
      </c>
      <c r="S424" s="22" t="s">
        <v>8</v>
      </c>
      <c r="T424" s="5">
        <v>4</v>
      </c>
      <c r="U424" s="5">
        <v>16</v>
      </c>
      <c r="V424" s="20" t="s">
        <v>1</v>
      </c>
      <c r="W424" s="20">
        <v>5</v>
      </c>
      <c r="X424" s="20">
        <v>1</v>
      </c>
      <c r="Y424" s="5">
        <v>1</v>
      </c>
      <c r="Z424" s="20">
        <v>4</v>
      </c>
      <c r="AA424" s="23">
        <f t="shared" si="12"/>
        <v>1</v>
      </c>
      <c r="AB424" s="15">
        <v>0.75</v>
      </c>
      <c r="AC424" s="15">
        <v>0.625</v>
      </c>
      <c r="AD424" s="15">
        <v>0.375</v>
      </c>
      <c r="AE424" s="15">
        <v>0.58299999999999996</v>
      </c>
      <c r="AF424" s="20">
        <v>14</v>
      </c>
      <c r="AG424" s="20">
        <v>4</v>
      </c>
      <c r="AH424" s="24">
        <v>24</v>
      </c>
      <c r="AI424" s="23">
        <f t="shared" si="13"/>
        <v>1</v>
      </c>
      <c r="AJ424" s="17">
        <v>3.75</v>
      </c>
      <c r="AK424" s="17">
        <v>4.5</v>
      </c>
      <c r="AL424" s="14">
        <v>8.25</v>
      </c>
      <c r="AM424" s="23" cm="1">
        <f t="array" ref="AM424">IF(OR(AN424:AZ424=""),"BLANK",IF(AND(AN424:AZ424&lt;9999999),1,IF(AND(AN424:AZ424="NA"),3,2)))</f>
        <v>1</v>
      </c>
      <c r="AN424" s="5">
        <v>4</v>
      </c>
      <c r="AO424" s="5">
        <v>2</v>
      </c>
      <c r="AP424" s="10">
        <v>3</v>
      </c>
      <c r="AQ424" s="10">
        <v>8</v>
      </c>
      <c r="AR424" s="10">
        <v>8</v>
      </c>
      <c r="AS424" s="11">
        <v>760</v>
      </c>
      <c r="AT424" s="11">
        <v>965.5</v>
      </c>
      <c r="AU424" s="11">
        <v>5889.25</v>
      </c>
      <c r="AV424" s="11">
        <v>8610</v>
      </c>
      <c r="AW424" s="11">
        <v>169.75</v>
      </c>
      <c r="AX424" s="11">
        <v>0</v>
      </c>
      <c r="AY424" s="11">
        <v>4863.2083333333003</v>
      </c>
      <c r="AZ424" s="11">
        <v>2024.318452381</v>
      </c>
      <c r="BA424" s="23">
        <v>3</v>
      </c>
      <c r="BB424" s="24" t="s">
        <v>8</v>
      </c>
    </row>
    <row r="425" spans="1:54" x14ac:dyDescent="0.2">
      <c r="A425" s="5">
        <v>4539</v>
      </c>
      <c r="B425" s="20" t="s">
        <v>81</v>
      </c>
      <c r="C425" s="18" t="s">
        <v>54</v>
      </c>
      <c r="D425" s="18">
        <v>5</v>
      </c>
      <c r="E425" s="18">
        <v>0</v>
      </c>
      <c r="F425" s="20">
        <v>3.9089999999999998</v>
      </c>
      <c r="G425" s="18">
        <v>29</v>
      </c>
      <c r="H425" s="22" t="s">
        <v>8</v>
      </c>
      <c r="I425" s="22" t="s">
        <v>8</v>
      </c>
      <c r="J425" s="22" t="s">
        <v>8</v>
      </c>
      <c r="K425" s="22" t="s">
        <v>8</v>
      </c>
      <c r="L425" s="22" t="s">
        <v>8</v>
      </c>
      <c r="M425" s="22" t="s">
        <v>8</v>
      </c>
      <c r="N425" s="22" t="s">
        <v>8</v>
      </c>
      <c r="O425" s="22" t="s">
        <v>8</v>
      </c>
      <c r="P425" s="22" t="s">
        <v>8</v>
      </c>
      <c r="Q425" s="22" t="s">
        <v>8</v>
      </c>
      <c r="R425" s="22" t="s">
        <v>8</v>
      </c>
      <c r="S425" s="22" t="s">
        <v>8</v>
      </c>
      <c r="T425" s="5">
        <v>3</v>
      </c>
      <c r="U425" s="5">
        <v>13</v>
      </c>
      <c r="V425" s="20" t="s">
        <v>1</v>
      </c>
      <c r="W425" s="20">
        <v>5</v>
      </c>
      <c r="X425" s="20">
        <v>1</v>
      </c>
      <c r="Y425" s="5">
        <v>1</v>
      </c>
      <c r="Z425" s="20">
        <v>4</v>
      </c>
      <c r="AA425" s="23">
        <f t="shared" si="12"/>
        <v>1</v>
      </c>
      <c r="AB425" s="15">
        <v>0.75</v>
      </c>
      <c r="AC425" s="15">
        <v>0.375</v>
      </c>
      <c r="AD425" s="15">
        <v>0</v>
      </c>
      <c r="AE425" s="15">
        <v>0.375</v>
      </c>
      <c r="AF425" s="20">
        <v>9</v>
      </c>
      <c r="AG425" s="20">
        <v>9.4499999999999993</v>
      </c>
      <c r="AH425" s="24">
        <v>24</v>
      </c>
      <c r="AI425" s="23">
        <f t="shared" si="13"/>
        <v>1</v>
      </c>
      <c r="AJ425" s="17">
        <v>2.75</v>
      </c>
      <c r="AK425" s="17">
        <v>2.5</v>
      </c>
      <c r="AL425" s="14">
        <v>5.25</v>
      </c>
      <c r="AM425" s="23" cm="1">
        <f t="array" ref="AM425">IF(OR(AN425:AZ425=""),"BLANK",IF(AND(AN425:AZ425&lt;9999999),1,IF(AND(AN425:AZ425="NA"),3,2)))</f>
        <v>1</v>
      </c>
      <c r="AN425" s="5">
        <v>6</v>
      </c>
      <c r="AO425" s="5">
        <v>3</v>
      </c>
      <c r="AP425" s="10">
        <v>3</v>
      </c>
      <c r="AQ425" s="10">
        <v>4.75</v>
      </c>
      <c r="AR425" s="10">
        <v>7.5</v>
      </c>
      <c r="AS425" s="11">
        <v>2554.5</v>
      </c>
      <c r="AT425" s="11">
        <v>6021</v>
      </c>
      <c r="AU425" s="11">
        <v>9688.5</v>
      </c>
      <c r="AV425" s="11">
        <v>6147.5</v>
      </c>
      <c r="AW425" s="11">
        <v>0</v>
      </c>
      <c r="AX425" s="11">
        <v>879.16666666670005</v>
      </c>
      <c r="AY425" s="11">
        <v>3182.3625000000002</v>
      </c>
      <c r="AZ425" s="11">
        <v>5457.4883116883002</v>
      </c>
      <c r="BA425" s="23">
        <v>3</v>
      </c>
      <c r="BB425" s="24" t="s">
        <v>8</v>
      </c>
    </row>
    <row r="426" spans="1:54" x14ac:dyDescent="0.2">
      <c r="A426" s="5">
        <v>4540</v>
      </c>
      <c r="B426" s="20" t="s">
        <v>68</v>
      </c>
      <c r="C426" s="18" t="s">
        <v>54</v>
      </c>
      <c r="D426" s="18">
        <v>5</v>
      </c>
      <c r="E426" s="18">
        <v>1</v>
      </c>
      <c r="F426" s="20" t="s">
        <v>8</v>
      </c>
      <c r="G426" s="18">
        <v>26</v>
      </c>
      <c r="H426" s="22">
        <v>3.4442162902121836</v>
      </c>
      <c r="I426" s="22">
        <v>3.5838466803559208</v>
      </c>
      <c r="J426" s="22">
        <v>7.0280629705681044</v>
      </c>
      <c r="K426" s="22">
        <v>3.6659822039698837</v>
      </c>
      <c r="L426" s="22" t="s">
        <v>8</v>
      </c>
      <c r="M426" s="22" t="s">
        <v>8</v>
      </c>
      <c r="N426" s="22">
        <v>3.4113620807665983</v>
      </c>
      <c r="O426" s="22" t="s">
        <v>8</v>
      </c>
      <c r="P426" s="22" t="s">
        <v>8</v>
      </c>
      <c r="Q426" s="22">
        <v>3.5318275154004106</v>
      </c>
      <c r="R426" s="22" t="s">
        <v>8</v>
      </c>
      <c r="S426" s="22" t="s">
        <v>8</v>
      </c>
      <c r="T426" s="5">
        <v>3</v>
      </c>
      <c r="U426" s="5">
        <v>15</v>
      </c>
      <c r="V426" s="20" t="s">
        <v>1</v>
      </c>
      <c r="W426" s="20">
        <v>5</v>
      </c>
      <c r="X426" s="20">
        <v>1</v>
      </c>
      <c r="Y426" s="5">
        <v>1</v>
      </c>
      <c r="Z426" s="20">
        <v>4</v>
      </c>
      <c r="AA426" s="23">
        <f t="shared" si="12"/>
        <v>1</v>
      </c>
      <c r="AB426" s="15">
        <v>0.75</v>
      </c>
      <c r="AC426" s="15">
        <v>0.625</v>
      </c>
      <c r="AD426" s="15">
        <v>0.125</v>
      </c>
      <c r="AE426" s="15">
        <v>0.5</v>
      </c>
      <c r="AF426" s="20">
        <v>12</v>
      </c>
      <c r="AG426" s="20">
        <v>2</v>
      </c>
      <c r="AH426" s="24">
        <v>24</v>
      </c>
      <c r="AI426" s="23">
        <f t="shared" si="13"/>
        <v>1</v>
      </c>
      <c r="AJ426" s="17">
        <v>0.25</v>
      </c>
      <c r="AK426" s="17">
        <v>0.25</v>
      </c>
      <c r="AL426" s="14">
        <v>0.5</v>
      </c>
      <c r="AM426" s="23" cm="1">
        <f t="array" ref="AM426">IF(OR(AN426:AZ426=""),"BLANK",IF(AND(AN426:AZ426&lt;9999999),1,IF(AND(AN426:AZ426="NA"),3,2)))</f>
        <v>1</v>
      </c>
      <c r="AN426" s="5">
        <v>9</v>
      </c>
      <c r="AO426" s="5">
        <v>2</v>
      </c>
      <c r="AP426" s="10">
        <v>3</v>
      </c>
      <c r="AQ426" s="10">
        <v>5.25</v>
      </c>
      <c r="AR426" s="10">
        <v>5.75</v>
      </c>
      <c r="AS426" s="11">
        <v>1392</v>
      </c>
      <c r="AT426" s="11">
        <v>12351</v>
      </c>
      <c r="AU426" s="11">
        <v>6114.5</v>
      </c>
      <c r="AV426" s="11">
        <v>8539.25</v>
      </c>
      <c r="AW426" s="11">
        <v>70.5</v>
      </c>
      <c r="AX426" s="11">
        <v>0</v>
      </c>
      <c r="AY426" s="11">
        <v>8502.8958333332994</v>
      </c>
      <c r="AZ426" s="11">
        <v>3802.4928571429</v>
      </c>
      <c r="BA426" s="23">
        <v>3</v>
      </c>
      <c r="BB426" s="24" t="s">
        <v>8</v>
      </c>
    </row>
    <row r="427" spans="1:54" x14ac:dyDescent="0.2">
      <c r="A427" s="5">
        <v>4556</v>
      </c>
      <c r="B427" s="20" t="s">
        <v>64</v>
      </c>
      <c r="C427" s="18" t="s">
        <v>55</v>
      </c>
      <c r="D427" s="18">
        <v>2</v>
      </c>
      <c r="E427" s="18">
        <v>0</v>
      </c>
      <c r="F427" s="20">
        <v>4</v>
      </c>
      <c r="G427" s="18">
        <v>30</v>
      </c>
      <c r="H427" s="22" t="s">
        <v>8</v>
      </c>
      <c r="I427" s="22" t="s">
        <v>8</v>
      </c>
      <c r="J427" s="22" t="s">
        <v>8</v>
      </c>
      <c r="K427" s="22" t="s">
        <v>8</v>
      </c>
      <c r="L427" s="22" t="s">
        <v>8</v>
      </c>
      <c r="M427" s="22" t="s">
        <v>8</v>
      </c>
      <c r="N427" s="22" t="s">
        <v>8</v>
      </c>
      <c r="O427" s="22" t="s">
        <v>8</v>
      </c>
      <c r="P427" s="22" t="s">
        <v>8</v>
      </c>
      <c r="Q427" s="22" t="s">
        <v>8</v>
      </c>
      <c r="R427" s="22" t="s">
        <v>8</v>
      </c>
      <c r="S427" s="22" t="s">
        <v>8</v>
      </c>
      <c r="T427" s="5">
        <v>6</v>
      </c>
      <c r="U427" s="5">
        <v>18</v>
      </c>
      <c r="V427" s="20" t="s">
        <v>1</v>
      </c>
      <c r="W427" s="20">
        <v>5</v>
      </c>
      <c r="X427" s="20">
        <v>1</v>
      </c>
      <c r="Y427" s="5">
        <v>1</v>
      </c>
      <c r="Z427" s="20">
        <v>4</v>
      </c>
      <c r="AA427" s="23">
        <f t="shared" si="12"/>
        <v>1</v>
      </c>
      <c r="AB427" s="15">
        <v>0.75</v>
      </c>
      <c r="AC427" s="15">
        <v>0.75</v>
      </c>
      <c r="AD427" s="15">
        <v>0.5</v>
      </c>
      <c r="AE427" s="15">
        <v>0.66700000000000004</v>
      </c>
      <c r="AF427" s="20">
        <v>16</v>
      </c>
      <c r="AG427" s="20">
        <v>5</v>
      </c>
      <c r="AH427" s="24">
        <v>24</v>
      </c>
      <c r="AI427" s="23">
        <f t="shared" si="13"/>
        <v>1</v>
      </c>
      <c r="AJ427" s="17">
        <v>3.25</v>
      </c>
      <c r="AK427" s="17">
        <v>4.5</v>
      </c>
      <c r="AL427" s="14">
        <v>7.75</v>
      </c>
      <c r="AM427" s="23" cm="1">
        <f t="array" ref="AM427">IF(OR(AN427:AZ427=""),"BLANK",IF(AND(AN427:AZ427&lt;9999999),1,IF(AND(AN427:AZ427="NA"),3,2)))</f>
        <v>1</v>
      </c>
      <c r="AN427" s="5">
        <v>10</v>
      </c>
      <c r="AO427" s="5">
        <v>2</v>
      </c>
      <c r="AP427" s="10">
        <v>3</v>
      </c>
      <c r="AQ427" s="10">
        <v>4.5</v>
      </c>
      <c r="AR427" s="10">
        <v>6.25</v>
      </c>
      <c r="AS427" s="11">
        <v>1606.5</v>
      </c>
      <c r="AT427" s="11">
        <v>9564</v>
      </c>
      <c r="AU427" s="11">
        <v>10841.75</v>
      </c>
      <c r="AV427" s="11">
        <v>11938.75</v>
      </c>
      <c r="AW427" s="11">
        <v>159.25</v>
      </c>
      <c r="AX427" s="11">
        <v>0</v>
      </c>
      <c r="AY427" s="11">
        <v>8101.8541666666997</v>
      </c>
      <c r="AZ427" s="11">
        <v>4869.8249999999998</v>
      </c>
      <c r="BA427" s="23">
        <v>3</v>
      </c>
      <c r="BB427" s="24" t="s">
        <v>8</v>
      </c>
    </row>
    <row r="428" spans="1:54" x14ac:dyDescent="0.2">
      <c r="A428" s="5">
        <v>4565</v>
      </c>
      <c r="B428" s="20" t="s">
        <v>80</v>
      </c>
      <c r="C428" s="18" t="s">
        <v>54</v>
      </c>
      <c r="D428" s="18">
        <v>5</v>
      </c>
      <c r="E428" s="18">
        <v>0</v>
      </c>
      <c r="F428" s="20">
        <v>2.9089999999999998</v>
      </c>
      <c r="G428" s="18">
        <v>29</v>
      </c>
      <c r="H428" s="22">
        <v>3.7946611909650922</v>
      </c>
      <c r="I428" s="22" t="s">
        <v>8</v>
      </c>
      <c r="J428" s="22" t="s">
        <v>8</v>
      </c>
      <c r="K428" s="22">
        <v>3.7946611909650922</v>
      </c>
      <c r="L428" s="22" t="s">
        <v>8</v>
      </c>
      <c r="M428" s="22" t="s">
        <v>8</v>
      </c>
      <c r="N428" s="22">
        <v>3.8658453114305269</v>
      </c>
      <c r="O428" s="22" t="s">
        <v>8</v>
      </c>
      <c r="P428" s="22" t="s">
        <v>8</v>
      </c>
      <c r="Q428" s="22">
        <v>3.5811088295687883</v>
      </c>
      <c r="R428" s="22" t="s">
        <v>8</v>
      </c>
      <c r="S428" s="22" t="s">
        <v>8</v>
      </c>
      <c r="T428" s="5">
        <v>3</v>
      </c>
      <c r="U428" s="5">
        <v>15</v>
      </c>
      <c r="V428" s="20" t="s">
        <v>1</v>
      </c>
      <c r="W428" s="20">
        <v>5</v>
      </c>
      <c r="X428" s="20">
        <v>1</v>
      </c>
      <c r="Y428" s="5">
        <v>1</v>
      </c>
      <c r="Z428" s="20">
        <v>4</v>
      </c>
      <c r="AA428" s="23">
        <f t="shared" si="12"/>
        <v>1</v>
      </c>
      <c r="AB428" s="15">
        <v>0.75</v>
      </c>
      <c r="AC428" s="15">
        <v>0.375</v>
      </c>
      <c r="AD428" s="15">
        <v>0.25</v>
      </c>
      <c r="AE428" s="15">
        <v>0.45800000000000002</v>
      </c>
      <c r="AF428" s="20">
        <v>11</v>
      </c>
      <c r="AG428" s="20">
        <v>7</v>
      </c>
      <c r="AH428" s="24">
        <v>24</v>
      </c>
      <c r="AI428" s="23">
        <f t="shared" si="13"/>
        <v>1</v>
      </c>
      <c r="AJ428" s="17">
        <v>4.5</v>
      </c>
      <c r="AK428" s="17">
        <v>5.5</v>
      </c>
      <c r="AL428" s="14">
        <v>10</v>
      </c>
      <c r="AM428" s="23" cm="1">
        <f t="array" ref="AM428">IF(OR(AN428:AZ428=""),"BLANK",IF(AND(AN428:AZ428&lt;9999999),1,IF(AND(AN428:AZ428="NA"),3,2)))</f>
        <v>1</v>
      </c>
      <c r="AN428" s="5">
        <v>7</v>
      </c>
      <c r="AO428" s="5">
        <v>2</v>
      </c>
      <c r="AP428" s="10">
        <v>3</v>
      </c>
      <c r="AQ428" s="10">
        <v>7</v>
      </c>
      <c r="AR428" s="10">
        <v>6.75</v>
      </c>
      <c r="AS428" s="11">
        <v>5210.5</v>
      </c>
      <c r="AT428" s="11">
        <v>39436.5</v>
      </c>
      <c r="AU428" s="11">
        <v>23260</v>
      </c>
      <c r="AV428" s="11">
        <v>36008.5</v>
      </c>
      <c r="AW428" s="11">
        <v>748.25</v>
      </c>
      <c r="AX428" s="11">
        <v>584.33333333329995</v>
      </c>
      <c r="AY428" s="11">
        <v>26468.159722222201</v>
      </c>
      <c r="AZ428" s="11">
        <v>3736.5465277777998</v>
      </c>
      <c r="BA428" s="23">
        <v>3</v>
      </c>
      <c r="BB428" s="24" t="s">
        <v>8</v>
      </c>
    </row>
    <row r="429" spans="1:54" x14ac:dyDescent="0.2">
      <c r="A429" s="5">
        <v>4575</v>
      </c>
      <c r="B429" s="20" t="s">
        <v>80</v>
      </c>
      <c r="C429" s="18" t="s">
        <v>55</v>
      </c>
      <c r="D429" s="18">
        <v>5</v>
      </c>
      <c r="E429" s="18">
        <v>0</v>
      </c>
      <c r="F429" s="20">
        <v>3.8180000000000001</v>
      </c>
      <c r="G429" s="18">
        <v>29</v>
      </c>
      <c r="H429" s="22" t="s">
        <v>8</v>
      </c>
      <c r="I429" s="22" t="s">
        <v>8</v>
      </c>
      <c r="J429" s="22" t="s">
        <v>8</v>
      </c>
      <c r="K429" s="22" t="s">
        <v>8</v>
      </c>
      <c r="L429" s="22" t="s">
        <v>8</v>
      </c>
      <c r="M429" s="22" t="s">
        <v>8</v>
      </c>
      <c r="N429" s="22" t="s">
        <v>8</v>
      </c>
      <c r="O429" s="22" t="s">
        <v>8</v>
      </c>
      <c r="P429" s="22" t="s">
        <v>8</v>
      </c>
      <c r="Q429" s="22" t="s">
        <v>8</v>
      </c>
      <c r="R429" s="22" t="s">
        <v>8</v>
      </c>
      <c r="S429" s="22" t="s">
        <v>8</v>
      </c>
      <c r="T429" s="5">
        <v>3</v>
      </c>
      <c r="U429" s="5">
        <v>14</v>
      </c>
      <c r="V429" s="20" t="s">
        <v>1</v>
      </c>
      <c r="W429" s="20">
        <v>5</v>
      </c>
      <c r="X429" s="20">
        <v>1</v>
      </c>
      <c r="Y429" s="5">
        <v>1</v>
      </c>
      <c r="Z429" s="20">
        <v>4</v>
      </c>
      <c r="AA429" s="23">
        <f t="shared" si="12"/>
        <v>1</v>
      </c>
      <c r="AB429" s="15">
        <v>1</v>
      </c>
      <c r="AC429" s="15">
        <v>0.75</v>
      </c>
      <c r="AD429" s="15">
        <v>0.25</v>
      </c>
      <c r="AE429" s="15">
        <v>0.66700000000000004</v>
      </c>
      <c r="AF429" s="20">
        <v>16</v>
      </c>
      <c r="AG429" s="20">
        <v>6</v>
      </c>
      <c r="AH429" s="24">
        <v>24</v>
      </c>
      <c r="AI429" s="23">
        <f t="shared" si="13"/>
        <v>1</v>
      </c>
      <c r="AJ429" s="17">
        <v>9.75</v>
      </c>
      <c r="AK429" s="17">
        <v>6.75</v>
      </c>
      <c r="AL429" s="14">
        <v>16.5</v>
      </c>
      <c r="AM429" s="23" cm="1">
        <f t="array" ref="AM429">IF(OR(AN429:AZ429=""),"BLANK",IF(AND(AN429:AZ429&lt;9999999),1,IF(AND(AN429:AZ429="NA"),3,2)))</f>
        <v>1</v>
      </c>
      <c r="AN429" s="5">
        <v>8</v>
      </c>
      <c r="AO429" s="5">
        <v>2</v>
      </c>
      <c r="AP429" s="10">
        <v>3</v>
      </c>
      <c r="AQ429" s="10">
        <v>5.25</v>
      </c>
      <c r="AR429" s="10">
        <v>8.75</v>
      </c>
      <c r="AS429" s="11">
        <v>4252.5</v>
      </c>
      <c r="AT429" s="11">
        <v>4978</v>
      </c>
      <c r="AU429" s="11">
        <v>17701</v>
      </c>
      <c r="AV429" s="11">
        <v>16892</v>
      </c>
      <c r="AW429" s="11">
        <v>0</v>
      </c>
      <c r="AX429" s="11">
        <v>0</v>
      </c>
      <c r="AY429" s="11">
        <v>3949.9166666667002</v>
      </c>
      <c r="AZ429" s="11">
        <v>6990.8666666667004</v>
      </c>
      <c r="BA429" s="23">
        <v>3</v>
      </c>
      <c r="BB429" s="24" t="s">
        <v>8</v>
      </c>
    </row>
    <row r="430" spans="1:54" x14ac:dyDescent="0.2">
      <c r="A430" s="5">
        <v>4581</v>
      </c>
      <c r="B430" s="20" t="s">
        <v>63</v>
      </c>
      <c r="C430" s="18" t="s">
        <v>54</v>
      </c>
      <c r="D430" s="18">
        <v>5</v>
      </c>
      <c r="E430" s="18">
        <v>0</v>
      </c>
      <c r="F430" s="20">
        <v>4</v>
      </c>
      <c r="G430" s="18">
        <v>29</v>
      </c>
      <c r="H430" s="22">
        <v>3.4715947980835042</v>
      </c>
      <c r="I430" s="22">
        <v>3.4469541409993156</v>
      </c>
      <c r="J430" s="22">
        <v>6.9185489390828199</v>
      </c>
      <c r="K430" s="22">
        <v>3.4579055441478439</v>
      </c>
      <c r="L430" s="22">
        <v>3.5455167693360714</v>
      </c>
      <c r="M430" s="22">
        <v>7.0034223134839149</v>
      </c>
      <c r="N430" s="22">
        <v>3.5154004106776182</v>
      </c>
      <c r="O430" s="22">
        <v>3.1978097193702943</v>
      </c>
      <c r="P430" s="22">
        <v>6.7132101300479121</v>
      </c>
      <c r="Q430" s="22">
        <v>3.4880219028062971</v>
      </c>
      <c r="R430" s="22">
        <v>3.4496919917864477</v>
      </c>
      <c r="S430" s="22">
        <v>6.9377138945927443</v>
      </c>
      <c r="T430" s="5">
        <v>3</v>
      </c>
      <c r="U430" s="5">
        <v>14</v>
      </c>
      <c r="V430" s="20" t="s">
        <v>1</v>
      </c>
      <c r="W430" s="20">
        <v>5</v>
      </c>
      <c r="X430" s="20">
        <v>1</v>
      </c>
      <c r="Y430" s="5">
        <v>1</v>
      </c>
      <c r="Z430" s="20">
        <v>4</v>
      </c>
      <c r="AA430" s="23">
        <f t="shared" si="12"/>
        <v>1</v>
      </c>
      <c r="AB430" s="15">
        <v>1</v>
      </c>
      <c r="AC430" s="15">
        <v>0.75</v>
      </c>
      <c r="AD430" s="15">
        <v>0.875</v>
      </c>
      <c r="AE430" s="15">
        <v>0.875</v>
      </c>
      <c r="AF430" s="20">
        <v>21</v>
      </c>
      <c r="AG430" s="20">
        <v>5</v>
      </c>
      <c r="AH430" s="24">
        <v>24</v>
      </c>
      <c r="AI430" s="23">
        <f t="shared" si="13"/>
        <v>1</v>
      </c>
      <c r="AJ430" s="17">
        <v>6</v>
      </c>
      <c r="AK430" s="17">
        <v>9.5</v>
      </c>
      <c r="AL430" s="14">
        <v>15.5</v>
      </c>
      <c r="AM430" s="23" cm="1">
        <f t="array" ref="AM430">IF(OR(AN430:AZ430=""),"BLANK",IF(AND(AN430:AZ430&lt;9999999),1,IF(AND(AN430:AZ430="NA"),3,2)))</f>
        <v>1</v>
      </c>
      <c r="AN430" s="5">
        <v>7</v>
      </c>
      <c r="AO430" s="5">
        <v>3</v>
      </c>
      <c r="AP430" s="10">
        <v>3.5</v>
      </c>
      <c r="AQ430" s="10">
        <v>5.25</v>
      </c>
      <c r="AR430" s="10">
        <v>6.75</v>
      </c>
      <c r="AS430" s="11">
        <v>2261.5</v>
      </c>
      <c r="AT430" s="11">
        <v>10770.5</v>
      </c>
      <c r="AU430" s="11">
        <v>11061.75</v>
      </c>
      <c r="AV430" s="11">
        <v>17577.25</v>
      </c>
      <c r="AW430" s="11">
        <v>0</v>
      </c>
      <c r="AX430" s="11">
        <v>258.625</v>
      </c>
      <c r="AY430" s="11">
        <v>2173.5374999999999</v>
      </c>
      <c r="AZ430" s="11">
        <v>5280.2208333333001</v>
      </c>
      <c r="BA430" s="23">
        <v>3</v>
      </c>
      <c r="BB430" s="24" t="s">
        <v>8</v>
      </c>
    </row>
    <row r="431" spans="1:54" x14ac:dyDescent="0.2">
      <c r="A431" s="5">
        <v>4582</v>
      </c>
      <c r="B431" s="20" t="s">
        <v>68</v>
      </c>
      <c r="C431" s="18" t="s">
        <v>54</v>
      </c>
      <c r="D431" s="18">
        <v>5</v>
      </c>
      <c r="E431" s="18">
        <v>0</v>
      </c>
      <c r="F431" s="20">
        <v>2.8180000000000001</v>
      </c>
      <c r="G431" s="18">
        <v>28</v>
      </c>
      <c r="H431" s="22">
        <v>3.4113620807665983</v>
      </c>
      <c r="I431" s="22">
        <v>3.4195756331279945</v>
      </c>
      <c r="J431" s="22">
        <v>6.8309377138945928</v>
      </c>
      <c r="K431" s="22">
        <v>3.3401779603011637</v>
      </c>
      <c r="L431" s="22">
        <v>3.3894592744695413</v>
      </c>
      <c r="M431" s="22">
        <v>6.7296372347707054</v>
      </c>
      <c r="N431" s="22">
        <v>3.5838466803559208</v>
      </c>
      <c r="O431" s="22">
        <v>3.1950718685831623</v>
      </c>
      <c r="P431" s="22">
        <v>6.7789185489390826</v>
      </c>
      <c r="Q431" s="22">
        <v>3.2388774811772758</v>
      </c>
      <c r="R431" s="22" t="s">
        <v>8</v>
      </c>
      <c r="S431" s="22" t="s">
        <v>8</v>
      </c>
      <c r="T431" s="5">
        <v>4</v>
      </c>
      <c r="U431" s="5">
        <v>16</v>
      </c>
      <c r="V431" s="20" t="s">
        <v>1</v>
      </c>
      <c r="W431" s="20">
        <v>5</v>
      </c>
      <c r="X431" s="20">
        <v>1</v>
      </c>
      <c r="Y431" s="5">
        <v>1</v>
      </c>
      <c r="Z431" s="20">
        <v>4</v>
      </c>
      <c r="AA431" s="23">
        <f t="shared" si="12"/>
        <v>1</v>
      </c>
      <c r="AB431" s="15">
        <v>1</v>
      </c>
      <c r="AC431" s="15">
        <v>0.875</v>
      </c>
      <c r="AD431" s="15">
        <v>0.75</v>
      </c>
      <c r="AE431" s="15">
        <v>0.875</v>
      </c>
      <c r="AF431" s="20">
        <v>21</v>
      </c>
      <c r="AG431" s="20">
        <v>1</v>
      </c>
      <c r="AH431" s="24">
        <v>24</v>
      </c>
      <c r="AI431" s="23">
        <f t="shared" si="13"/>
        <v>1</v>
      </c>
      <c r="AJ431" s="17">
        <v>10</v>
      </c>
      <c r="AK431" s="17">
        <v>10</v>
      </c>
      <c r="AL431" s="14">
        <v>20</v>
      </c>
      <c r="AM431" s="23" cm="1">
        <f t="array" ref="AM431">IF(OR(AN431:AZ431=""),"BLANK",IF(AND(AN431:AZ431&lt;9999999),1,IF(AND(AN431:AZ431="NA"),3,2)))</f>
        <v>3</v>
      </c>
      <c r="AN431" s="5" t="s">
        <v>8</v>
      </c>
      <c r="AO431" s="5" t="s">
        <v>8</v>
      </c>
      <c r="AP431" s="10" t="s">
        <v>8</v>
      </c>
      <c r="AQ431" s="10" t="s">
        <v>8</v>
      </c>
      <c r="AR431" s="10" t="s">
        <v>8</v>
      </c>
      <c r="AS431" s="11" t="s">
        <v>8</v>
      </c>
      <c r="AT431" s="11" t="s">
        <v>8</v>
      </c>
      <c r="AU431" s="11" t="s">
        <v>8</v>
      </c>
      <c r="AV431" s="11" t="s">
        <v>8</v>
      </c>
      <c r="AW431" s="11" t="s">
        <v>8</v>
      </c>
      <c r="AX431" s="11" t="s">
        <v>8</v>
      </c>
      <c r="AY431" s="11" t="s">
        <v>8</v>
      </c>
      <c r="AZ431" s="11" t="s">
        <v>8</v>
      </c>
      <c r="BA431" s="23">
        <v>3</v>
      </c>
      <c r="BB431" s="24" t="s">
        <v>8</v>
      </c>
    </row>
    <row r="432" spans="1:54" x14ac:dyDescent="0.2">
      <c r="A432" s="5">
        <v>4586</v>
      </c>
      <c r="B432" s="20" t="s">
        <v>81</v>
      </c>
      <c r="C432" s="18" t="s">
        <v>55</v>
      </c>
      <c r="D432" s="18">
        <v>5</v>
      </c>
      <c r="E432" s="18">
        <v>0</v>
      </c>
      <c r="F432" s="20">
        <v>3.5449999999999999</v>
      </c>
      <c r="G432" s="18">
        <v>29</v>
      </c>
      <c r="H432" s="22">
        <v>3.8494182067077345</v>
      </c>
      <c r="I432" s="22" t="s">
        <v>8</v>
      </c>
      <c r="J432" s="22" t="s">
        <v>8</v>
      </c>
      <c r="K432" s="22">
        <v>3.8494182067077345</v>
      </c>
      <c r="L432" s="22" t="s">
        <v>8</v>
      </c>
      <c r="M432" s="22" t="s">
        <v>8</v>
      </c>
      <c r="N432" s="22" t="s">
        <v>8</v>
      </c>
      <c r="O432" s="22" t="s">
        <v>8</v>
      </c>
      <c r="P432" s="22" t="s">
        <v>8</v>
      </c>
      <c r="Q432" s="22" t="s">
        <v>8</v>
      </c>
      <c r="R432" s="22" t="s">
        <v>8</v>
      </c>
      <c r="S432" s="22" t="s">
        <v>8</v>
      </c>
      <c r="T432" s="5">
        <v>4</v>
      </c>
      <c r="U432" s="5">
        <v>16</v>
      </c>
      <c r="V432" s="20" t="s">
        <v>1</v>
      </c>
      <c r="W432" s="20">
        <v>5</v>
      </c>
      <c r="X432" s="20">
        <v>1</v>
      </c>
      <c r="Y432" s="5">
        <v>1</v>
      </c>
      <c r="Z432" s="20">
        <v>4</v>
      </c>
      <c r="AA432" s="23">
        <f t="shared" si="12"/>
        <v>1</v>
      </c>
      <c r="AB432" s="15">
        <v>0.875</v>
      </c>
      <c r="AC432" s="15">
        <v>0.75</v>
      </c>
      <c r="AD432" s="15">
        <v>0.875</v>
      </c>
      <c r="AE432" s="15">
        <v>0.83299999999999996</v>
      </c>
      <c r="AF432" s="20">
        <v>20</v>
      </c>
      <c r="AG432" s="20">
        <v>2</v>
      </c>
      <c r="AH432" s="24">
        <v>24</v>
      </c>
      <c r="AI432" s="23">
        <f t="shared" si="13"/>
        <v>1</v>
      </c>
      <c r="AJ432" s="17">
        <v>2.5</v>
      </c>
      <c r="AK432" s="17">
        <v>7</v>
      </c>
      <c r="AL432" s="14">
        <v>9.5</v>
      </c>
      <c r="AM432" s="23" cm="1">
        <f t="array" ref="AM432">IF(OR(AN432:AZ432=""),"BLANK",IF(AND(AN432:AZ432&lt;9999999),1,IF(AND(AN432:AZ432="NA"),3,2)))</f>
        <v>1</v>
      </c>
      <c r="AN432" s="5">
        <v>6</v>
      </c>
      <c r="AO432" s="5">
        <v>2</v>
      </c>
      <c r="AP432" s="10">
        <v>4.5</v>
      </c>
      <c r="AQ432" s="10">
        <v>5.25</v>
      </c>
      <c r="AR432" s="10">
        <v>9.25</v>
      </c>
      <c r="AS432" s="11">
        <v>4989</v>
      </c>
      <c r="AT432" s="11">
        <v>27815.5</v>
      </c>
      <c r="AU432" s="11">
        <v>22037.75</v>
      </c>
      <c r="AV432" s="11">
        <v>32640.25</v>
      </c>
      <c r="AW432" s="11">
        <v>0</v>
      </c>
      <c r="AX432" s="11">
        <v>1528.4166666666999</v>
      </c>
      <c r="AY432" s="11">
        <v>7082.8055555556002</v>
      </c>
      <c r="AZ432" s="11">
        <v>8359.1428571429005</v>
      </c>
      <c r="BA432" s="23">
        <v>3</v>
      </c>
      <c r="BB432" s="24" t="s">
        <v>8</v>
      </c>
    </row>
    <row r="433" spans="1:54" x14ac:dyDescent="0.2">
      <c r="A433" s="5">
        <v>4607</v>
      </c>
      <c r="B433" s="20" t="s">
        <v>63</v>
      </c>
      <c r="C433" s="18" t="s">
        <v>55</v>
      </c>
      <c r="D433" s="18">
        <v>5</v>
      </c>
      <c r="E433" s="18">
        <v>0</v>
      </c>
      <c r="F433" s="20">
        <v>3.2730000000000001</v>
      </c>
      <c r="G433" s="18">
        <v>26</v>
      </c>
      <c r="H433" s="22">
        <v>4.3148528405201914</v>
      </c>
      <c r="I433" s="22" t="s">
        <v>8</v>
      </c>
      <c r="J433" s="22" t="s">
        <v>8</v>
      </c>
      <c r="K433" s="22">
        <v>4.3148528405201914</v>
      </c>
      <c r="L433" s="22" t="s">
        <v>8</v>
      </c>
      <c r="M433" s="22" t="s">
        <v>8</v>
      </c>
      <c r="N433" s="22">
        <v>4.2737850787132103</v>
      </c>
      <c r="O433" s="22" t="s">
        <v>8</v>
      </c>
      <c r="P433" s="22" t="s">
        <v>8</v>
      </c>
      <c r="Q433" s="22">
        <v>4.2518822724161529</v>
      </c>
      <c r="R433" s="22" t="s">
        <v>8</v>
      </c>
      <c r="S433" s="22" t="s">
        <v>8</v>
      </c>
      <c r="T433" s="5">
        <v>3</v>
      </c>
      <c r="U433" s="5">
        <v>15</v>
      </c>
      <c r="V433" s="20" t="s">
        <v>1</v>
      </c>
      <c r="W433" s="20">
        <v>5</v>
      </c>
      <c r="X433" s="20">
        <v>1</v>
      </c>
      <c r="Y433" s="5">
        <v>1</v>
      </c>
      <c r="Z433" s="20">
        <v>4</v>
      </c>
      <c r="AA433" s="23">
        <f t="shared" si="12"/>
        <v>1</v>
      </c>
      <c r="AB433" s="15">
        <v>1</v>
      </c>
      <c r="AC433" s="15">
        <v>0.625</v>
      </c>
      <c r="AD433" s="15">
        <v>0.25</v>
      </c>
      <c r="AE433" s="15">
        <v>0.625</v>
      </c>
      <c r="AF433" s="20">
        <v>15</v>
      </c>
      <c r="AG433" s="20">
        <v>0</v>
      </c>
      <c r="AH433" s="24">
        <v>24</v>
      </c>
      <c r="AI433" s="23">
        <f t="shared" si="13"/>
        <v>1</v>
      </c>
      <c r="AJ433" s="17">
        <v>6</v>
      </c>
      <c r="AK433" s="17">
        <v>5.75</v>
      </c>
      <c r="AL433" s="14">
        <v>11.75</v>
      </c>
      <c r="AM433" s="23" cm="1">
        <f t="array" ref="AM433">IF(OR(AN433:AZ433=""),"BLANK",IF(AND(AN433:AZ433&lt;9999999),1,IF(AND(AN433:AZ433="NA"),3,2)))</f>
        <v>1</v>
      </c>
      <c r="AN433" s="5">
        <v>8</v>
      </c>
      <c r="AO433" s="5">
        <v>2</v>
      </c>
      <c r="AP433" s="10">
        <v>3</v>
      </c>
      <c r="AQ433" s="10">
        <v>6.25</v>
      </c>
      <c r="AR433" s="10">
        <v>6.25</v>
      </c>
      <c r="AS433" s="11">
        <v>3162.5</v>
      </c>
      <c r="AT433" s="11">
        <v>13418.5</v>
      </c>
      <c r="AU433" s="11">
        <v>14289</v>
      </c>
      <c r="AV433" s="11">
        <v>11247.75</v>
      </c>
      <c r="AW433" s="11">
        <v>110.25</v>
      </c>
      <c r="AX433" s="11">
        <v>0</v>
      </c>
      <c r="AY433" s="11">
        <v>10805.6319444444</v>
      </c>
      <c r="AZ433" s="11">
        <v>2134.5500000000002</v>
      </c>
      <c r="BA433" s="23">
        <v>3</v>
      </c>
      <c r="BB433" s="24" t="s">
        <v>8</v>
      </c>
    </row>
    <row r="434" spans="1:54" x14ac:dyDescent="0.2">
      <c r="A434" s="5">
        <v>4613</v>
      </c>
      <c r="B434" s="20" t="s">
        <v>68</v>
      </c>
      <c r="C434" s="18" t="s">
        <v>55</v>
      </c>
      <c r="D434" s="18">
        <v>3</v>
      </c>
      <c r="E434" s="18">
        <v>0</v>
      </c>
      <c r="F434" s="20">
        <v>3.7269999999999999</v>
      </c>
      <c r="G434" s="18">
        <v>28</v>
      </c>
      <c r="H434" s="22">
        <v>3.5044490075290895</v>
      </c>
      <c r="I434" s="22" t="s">
        <v>8</v>
      </c>
      <c r="J434" s="22" t="s">
        <v>8</v>
      </c>
      <c r="K434" s="22">
        <v>3.6057494866529773</v>
      </c>
      <c r="L434" s="22" t="s">
        <v>8</v>
      </c>
      <c r="M434" s="22" t="s">
        <v>8</v>
      </c>
      <c r="N434" s="22">
        <v>3.5044490075290895</v>
      </c>
      <c r="O434" s="22" t="s">
        <v>8</v>
      </c>
      <c r="P434" s="22" t="s">
        <v>8</v>
      </c>
      <c r="Q434" s="22">
        <v>3.4880219028062971</v>
      </c>
      <c r="R434" s="22" t="s">
        <v>8</v>
      </c>
      <c r="S434" s="22" t="s">
        <v>8</v>
      </c>
      <c r="T434" s="5">
        <v>3</v>
      </c>
      <c r="U434" s="5">
        <v>15</v>
      </c>
      <c r="V434" s="20" t="s">
        <v>1</v>
      </c>
      <c r="W434" s="20">
        <v>5</v>
      </c>
      <c r="X434" s="20">
        <v>1</v>
      </c>
      <c r="Y434" s="5">
        <v>1</v>
      </c>
      <c r="Z434" s="20">
        <v>4</v>
      </c>
      <c r="AA434" s="23">
        <f t="shared" si="12"/>
        <v>1</v>
      </c>
      <c r="AB434" s="15">
        <v>1</v>
      </c>
      <c r="AC434" s="15">
        <v>0.875</v>
      </c>
      <c r="AD434" s="15">
        <v>0.5714285714285714</v>
      </c>
      <c r="AE434" s="15">
        <v>0.82599999999999996</v>
      </c>
      <c r="AF434" s="20">
        <v>19</v>
      </c>
      <c r="AG434" s="20">
        <v>0</v>
      </c>
      <c r="AH434" s="24">
        <v>23</v>
      </c>
      <c r="AI434" s="23">
        <f t="shared" si="13"/>
        <v>1</v>
      </c>
      <c r="AJ434" s="17">
        <v>4.75</v>
      </c>
      <c r="AK434" s="17">
        <v>9</v>
      </c>
      <c r="AL434" s="14">
        <v>13.75</v>
      </c>
      <c r="AM434" s="23" cm="1">
        <f t="array" ref="AM434">IF(OR(AN434:AZ434=""),"BLANK",IF(AND(AN434:AZ434&lt;9999999),1,IF(AND(AN434:AZ434="NA"),3,2)))</f>
        <v>1</v>
      </c>
      <c r="AN434" s="5">
        <v>9</v>
      </c>
      <c r="AO434" s="5">
        <v>2</v>
      </c>
      <c r="AP434" s="10">
        <v>3.5</v>
      </c>
      <c r="AQ434" s="10">
        <v>5.25</v>
      </c>
      <c r="AR434" s="10">
        <v>6.5</v>
      </c>
      <c r="AS434" s="11">
        <v>0</v>
      </c>
      <c r="AT434" s="11">
        <v>15294</v>
      </c>
      <c r="AU434" s="11">
        <v>24680.75</v>
      </c>
      <c r="AV434" s="11">
        <v>14134.75</v>
      </c>
      <c r="AW434" s="11">
        <v>0</v>
      </c>
      <c r="AX434" s="11">
        <v>1176.75</v>
      </c>
      <c r="AY434" s="11">
        <v>7915.0555555556002</v>
      </c>
      <c r="AZ434" s="11">
        <v>6684.85</v>
      </c>
      <c r="BA434" s="23">
        <v>3</v>
      </c>
      <c r="BB434" s="24" t="s">
        <v>8</v>
      </c>
    </row>
    <row r="435" spans="1:54" x14ac:dyDescent="0.2">
      <c r="A435" s="5">
        <v>4615</v>
      </c>
      <c r="B435" s="20" t="s">
        <v>82</v>
      </c>
      <c r="C435" s="18" t="s">
        <v>55</v>
      </c>
      <c r="D435" s="18">
        <v>5</v>
      </c>
      <c r="E435" s="18">
        <v>0</v>
      </c>
      <c r="F435" s="20">
        <v>3.4550000000000001</v>
      </c>
      <c r="G435" s="18">
        <v>29</v>
      </c>
      <c r="H435" s="22">
        <v>3.4469541409993156</v>
      </c>
      <c r="I435" s="22" t="s">
        <v>8</v>
      </c>
      <c r="J435" s="22" t="s">
        <v>8</v>
      </c>
      <c r="K435" s="22">
        <v>3.3730321697467489</v>
      </c>
      <c r="L435" s="22" t="s">
        <v>8</v>
      </c>
      <c r="M435" s="22" t="s">
        <v>8</v>
      </c>
      <c r="N435" s="22">
        <v>3.5345653661875427</v>
      </c>
      <c r="O435" s="22" t="s">
        <v>8</v>
      </c>
      <c r="P435" s="22" t="s">
        <v>8</v>
      </c>
      <c r="Q435" s="22">
        <v>3.6358658453114305</v>
      </c>
      <c r="R435" s="22" t="s">
        <v>8</v>
      </c>
      <c r="S435" s="22" t="s">
        <v>8</v>
      </c>
      <c r="T435" s="5">
        <v>3</v>
      </c>
      <c r="U435" s="5">
        <v>14</v>
      </c>
      <c r="V435" s="20" t="s">
        <v>1</v>
      </c>
      <c r="W435" s="20">
        <v>5</v>
      </c>
      <c r="X435" s="20">
        <v>1</v>
      </c>
      <c r="Y435" s="5">
        <v>1</v>
      </c>
      <c r="Z435" s="20">
        <v>4</v>
      </c>
      <c r="AA435" s="23">
        <f t="shared" si="12"/>
        <v>1</v>
      </c>
      <c r="AB435" s="15">
        <v>1</v>
      </c>
      <c r="AC435" s="15">
        <v>0.375</v>
      </c>
      <c r="AD435" s="15">
        <v>0.375</v>
      </c>
      <c r="AE435" s="15">
        <v>0.58299999999999996</v>
      </c>
      <c r="AF435" s="20">
        <v>14</v>
      </c>
      <c r="AG435" s="20">
        <v>3</v>
      </c>
      <c r="AH435" s="24">
        <v>24</v>
      </c>
      <c r="AI435" s="23">
        <f t="shared" si="13"/>
        <v>1</v>
      </c>
      <c r="AJ435" s="17">
        <v>4.5</v>
      </c>
      <c r="AK435" s="17">
        <v>4.25</v>
      </c>
      <c r="AL435" s="14">
        <v>8.75</v>
      </c>
      <c r="AM435" s="23" cm="1">
        <f t="array" ref="AM435">IF(OR(AN435:AZ435=""),"BLANK",IF(AND(AN435:AZ435&lt;9999999),1,IF(AND(AN435:AZ435="NA"),3,2)))</f>
        <v>1</v>
      </c>
      <c r="AN435" s="5">
        <v>9</v>
      </c>
      <c r="AO435" s="5">
        <v>2</v>
      </c>
      <c r="AP435" s="10">
        <v>3</v>
      </c>
      <c r="AQ435" s="10">
        <v>5.75</v>
      </c>
      <c r="AR435" s="10">
        <v>5.25</v>
      </c>
      <c r="AS435" s="11">
        <v>1724.5</v>
      </c>
      <c r="AT435" s="11">
        <v>12881.5</v>
      </c>
      <c r="AU435" s="11">
        <v>18025.25</v>
      </c>
      <c r="AV435" s="11">
        <v>22679.75</v>
      </c>
      <c r="AW435" s="11">
        <v>0</v>
      </c>
      <c r="AX435" s="11">
        <v>0</v>
      </c>
      <c r="AY435" s="11">
        <v>11855.75</v>
      </c>
      <c r="AZ435" s="11">
        <v>16115.45</v>
      </c>
      <c r="BA435" s="23">
        <v>3</v>
      </c>
      <c r="BB435" s="24" t="s">
        <v>8</v>
      </c>
    </row>
    <row r="436" spans="1:54" x14ac:dyDescent="0.2">
      <c r="A436" s="5">
        <v>4629</v>
      </c>
      <c r="B436" s="20" t="s">
        <v>63</v>
      </c>
      <c r="C436" s="18" t="s">
        <v>54</v>
      </c>
      <c r="D436" s="18">
        <v>5</v>
      </c>
      <c r="E436" s="18">
        <v>0</v>
      </c>
      <c r="F436" s="20">
        <v>3.5449999999999999</v>
      </c>
      <c r="G436" s="18">
        <v>29</v>
      </c>
      <c r="H436" s="22">
        <v>3.4798083504449009</v>
      </c>
      <c r="I436" s="22" t="s">
        <v>8</v>
      </c>
      <c r="J436" s="22" t="s">
        <v>8</v>
      </c>
      <c r="K436" s="22">
        <v>3.4305270362765228</v>
      </c>
      <c r="L436" s="22" t="s">
        <v>8</v>
      </c>
      <c r="M436" s="22" t="s">
        <v>8</v>
      </c>
      <c r="N436" s="22" t="s">
        <v>8</v>
      </c>
      <c r="O436" s="22" t="s">
        <v>8</v>
      </c>
      <c r="P436" s="22" t="s">
        <v>8</v>
      </c>
      <c r="Q436" s="22" t="s">
        <v>8</v>
      </c>
      <c r="R436" s="22" t="s">
        <v>8</v>
      </c>
      <c r="S436" s="22" t="s">
        <v>8</v>
      </c>
      <c r="T436" s="5">
        <v>4</v>
      </c>
      <c r="U436" s="5">
        <v>16</v>
      </c>
      <c r="V436" s="20" t="s">
        <v>1</v>
      </c>
      <c r="W436" s="20">
        <v>5</v>
      </c>
      <c r="X436" s="20">
        <v>1</v>
      </c>
      <c r="Y436" s="5">
        <v>1</v>
      </c>
      <c r="Z436" s="20">
        <v>4</v>
      </c>
      <c r="AA436" s="23">
        <f t="shared" si="12"/>
        <v>1</v>
      </c>
      <c r="AB436" s="15">
        <v>1</v>
      </c>
      <c r="AC436" s="15">
        <v>0.875</v>
      </c>
      <c r="AD436" s="15">
        <v>0.625</v>
      </c>
      <c r="AE436" s="15">
        <v>0.83299999999999996</v>
      </c>
      <c r="AF436" s="20">
        <v>20</v>
      </c>
      <c r="AG436" s="20">
        <v>7</v>
      </c>
      <c r="AH436" s="24">
        <v>24</v>
      </c>
      <c r="AI436" s="23">
        <f t="shared" si="13"/>
        <v>1</v>
      </c>
      <c r="AJ436" s="17">
        <v>12.75</v>
      </c>
      <c r="AK436" s="17">
        <v>8.25</v>
      </c>
      <c r="AL436" s="14">
        <v>21</v>
      </c>
      <c r="AM436" s="23" cm="1">
        <f t="array" ref="AM436">IF(OR(AN436:AZ436=""),"BLANK",IF(AND(AN436:AZ436&lt;9999999),1,IF(AND(AN436:AZ436="NA"),3,2)))</f>
        <v>1</v>
      </c>
      <c r="AN436" s="5">
        <v>11</v>
      </c>
      <c r="AO436" s="5">
        <v>2</v>
      </c>
      <c r="AP436" s="10">
        <v>3</v>
      </c>
      <c r="AQ436" s="10">
        <v>4</v>
      </c>
      <c r="AR436" s="10">
        <v>6.75</v>
      </c>
      <c r="AS436" s="11">
        <v>2218</v>
      </c>
      <c r="AT436" s="11">
        <v>7199</v>
      </c>
      <c r="AU436" s="11">
        <v>6598.75</v>
      </c>
      <c r="AV436" s="11">
        <v>4492.75</v>
      </c>
      <c r="AW436" s="11">
        <v>0</v>
      </c>
      <c r="AX436" s="11">
        <v>0</v>
      </c>
      <c r="AY436" s="11">
        <v>1300.1875</v>
      </c>
      <c r="AZ436" s="11">
        <v>1233.0916666666999</v>
      </c>
      <c r="BA436" s="23">
        <v>3</v>
      </c>
      <c r="BB436" s="24" t="s">
        <v>8</v>
      </c>
    </row>
    <row r="437" spans="1:54" x14ac:dyDescent="0.2">
      <c r="A437" s="5">
        <v>4641</v>
      </c>
      <c r="B437" s="20" t="s">
        <v>64</v>
      </c>
      <c r="C437" s="18" t="s">
        <v>54</v>
      </c>
      <c r="D437" s="18">
        <v>5</v>
      </c>
      <c r="E437" s="18">
        <v>0</v>
      </c>
      <c r="F437" s="20">
        <v>3.6360000000000001</v>
      </c>
      <c r="G437" s="18">
        <v>30</v>
      </c>
      <c r="H437" s="22">
        <v>3.4195756331279945</v>
      </c>
      <c r="I437" s="22">
        <v>3.40041067761807</v>
      </c>
      <c r="J437" s="22">
        <v>6.8199863107460645</v>
      </c>
      <c r="K437" s="22">
        <v>3.4469541409993156</v>
      </c>
      <c r="L437" s="22">
        <v>3.4688569472963722</v>
      </c>
      <c r="M437" s="22">
        <v>6.9158110882956878</v>
      </c>
      <c r="N437" s="22">
        <v>3.3921971252566734</v>
      </c>
      <c r="O437" s="22">
        <v>3.378507871321013</v>
      </c>
      <c r="P437" s="22">
        <v>6.7707049965776864</v>
      </c>
      <c r="Q437" s="22">
        <v>3.3292265571526354</v>
      </c>
      <c r="R437" s="22" t="s">
        <v>8</v>
      </c>
      <c r="S437" s="22" t="s">
        <v>8</v>
      </c>
      <c r="T437" s="5">
        <v>3</v>
      </c>
      <c r="U437" s="5">
        <v>14</v>
      </c>
      <c r="V437" s="20" t="s">
        <v>1</v>
      </c>
      <c r="W437" s="20">
        <v>5</v>
      </c>
      <c r="X437" s="20">
        <v>1</v>
      </c>
      <c r="Y437" s="5">
        <v>1</v>
      </c>
      <c r="Z437" s="20">
        <v>4</v>
      </c>
      <c r="AA437" s="23">
        <f t="shared" si="12"/>
        <v>1</v>
      </c>
      <c r="AB437" s="15">
        <v>0.75</v>
      </c>
      <c r="AC437" s="15">
        <v>1</v>
      </c>
      <c r="AD437" s="15">
        <v>0.375</v>
      </c>
      <c r="AE437" s="15">
        <v>0.70799999999999996</v>
      </c>
      <c r="AF437" s="20">
        <v>17</v>
      </c>
      <c r="AG437" s="20">
        <v>4</v>
      </c>
      <c r="AH437" s="24">
        <v>24</v>
      </c>
      <c r="AI437" s="23">
        <f t="shared" si="13"/>
        <v>1</v>
      </c>
      <c r="AJ437" s="17">
        <v>8</v>
      </c>
      <c r="AK437" s="17">
        <v>6.75</v>
      </c>
      <c r="AL437" s="14">
        <v>14.75</v>
      </c>
      <c r="AM437" s="23" cm="1">
        <f t="array" ref="AM437">IF(OR(AN437:AZ437=""),"BLANK",IF(AND(AN437:AZ437&lt;9999999),1,IF(AND(AN437:AZ437="NA"),3,2)))</f>
        <v>1</v>
      </c>
      <c r="AN437" s="5">
        <v>6</v>
      </c>
      <c r="AO437" s="5">
        <v>2</v>
      </c>
      <c r="AP437" s="10">
        <v>3.5</v>
      </c>
      <c r="AQ437" s="10">
        <v>6.5</v>
      </c>
      <c r="AR437" s="10">
        <v>8</v>
      </c>
      <c r="AS437" s="11">
        <v>1185</v>
      </c>
      <c r="AT437" s="11">
        <v>10007.5</v>
      </c>
      <c r="AU437" s="11">
        <v>11322</v>
      </c>
      <c r="AV437" s="11">
        <v>16967.5</v>
      </c>
      <c r="AW437" s="11">
        <v>2143.5</v>
      </c>
      <c r="AX437" s="11">
        <v>7644.5833333333003</v>
      </c>
      <c r="AY437" s="11">
        <v>15424.1805555556</v>
      </c>
      <c r="AZ437" s="11">
        <v>6268.4180555556004</v>
      </c>
      <c r="BA437" s="23">
        <v>3</v>
      </c>
      <c r="BB437" s="24" t="s">
        <v>8</v>
      </c>
    </row>
    <row r="438" spans="1:54" x14ac:dyDescent="0.2">
      <c r="A438" s="5">
        <v>4658</v>
      </c>
      <c r="B438" s="20" t="s">
        <v>63</v>
      </c>
      <c r="C438" s="18" t="s">
        <v>54</v>
      </c>
      <c r="D438" s="18">
        <v>5</v>
      </c>
      <c r="E438" s="18">
        <v>0</v>
      </c>
      <c r="F438" s="20">
        <v>4</v>
      </c>
      <c r="G438" s="18">
        <v>29</v>
      </c>
      <c r="H438" s="22">
        <v>3.7508555783709787</v>
      </c>
      <c r="I438" s="22">
        <v>2.9897330595482545</v>
      </c>
      <c r="J438" s="22">
        <v>6.7405886379192337</v>
      </c>
      <c r="K438" s="22">
        <v>3.786447638603696</v>
      </c>
      <c r="L438" s="22">
        <v>2.9377138945927448</v>
      </c>
      <c r="M438" s="22">
        <v>6.7241615331964404</v>
      </c>
      <c r="N438" s="22">
        <v>3.7180013689253935</v>
      </c>
      <c r="O438" s="22" t="s">
        <v>8</v>
      </c>
      <c r="P438" s="22" t="s">
        <v>8</v>
      </c>
      <c r="Q438" s="22">
        <v>3.6933607118412048</v>
      </c>
      <c r="R438" s="22" t="s">
        <v>8</v>
      </c>
      <c r="S438" s="22" t="s">
        <v>8</v>
      </c>
      <c r="T438" s="5">
        <v>3</v>
      </c>
      <c r="U438" s="5">
        <v>14</v>
      </c>
      <c r="V438" s="20" t="s">
        <v>1</v>
      </c>
      <c r="W438" s="20">
        <v>5</v>
      </c>
      <c r="X438" s="20">
        <v>1</v>
      </c>
      <c r="Y438" s="5">
        <v>1</v>
      </c>
      <c r="Z438" s="20">
        <v>4</v>
      </c>
      <c r="AA438" s="23">
        <f t="shared" si="12"/>
        <v>1</v>
      </c>
      <c r="AB438" s="15">
        <v>0.875</v>
      </c>
      <c r="AC438" s="15">
        <v>0.875</v>
      </c>
      <c r="AD438" s="15">
        <v>0.5</v>
      </c>
      <c r="AE438" s="15">
        <v>0.75</v>
      </c>
      <c r="AF438" s="20">
        <v>18</v>
      </c>
      <c r="AG438" s="20">
        <v>0.18</v>
      </c>
      <c r="AH438" s="24">
        <v>24</v>
      </c>
      <c r="AI438" s="23">
        <f t="shared" si="13"/>
        <v>1</v>
      </c>
      <c r="AJ438" s="17">
        <v>2.5</v>
      </c>
      <c r="AK438" s="17">
        <v>4</v>
      </c>
      <c r="AL438" s="14">
        <v>6.5</v>
      </c>
      <c r="AM438" s="23" cm="1">
        <f t="array" ref="AM438">IF(OR(AN438:AZ438=""),"BLANK",IF(AND(AN438:AZ438&lt;9999999),1,IF(AND(AN438:AZ438="NA"),3,2)))</f>
        <v>1</v>
      </c>
      <c r="AN438" s="5">
        <v>9</v>
      </c>
      <c r="AO438" s="5">
        <v>2</v>
      </c>
      <c r="AP438" s="10">
        <v>3</v>
      </c>
      <c r="AQ438" s="10">
        <v>5.25</v>
      </c>
      <c r="AR438" s="10">
        <v>6</v>
      </c>
      <c r="AS438" s="11">
        <v>2371.5</v>
      </c>
      <c r="AT438" s="11">
        <v>7351</v>
      </c>
      <c r="AU438" s="11">
        <v>7063.5</v>
      </c>
      <c r="AV438" s="11">
        <v>23907.25</v>
      </c>
      <c r="AW438" s="11">
        <v>0</v>
      </c>
      <c r="AX438" s="11">
        <v>0</v>
      </c>
      <c r="AY438" s="11">
        <v>8925.3263888888996</v>
      </c>
      <c r="AZ438" s="11">
        <v>1870.4</v>
      </c>
      <c r="BA438" s="23">
        <v>3</v>
      </c>
      <c r="BB438" s="24" t="s">
        <v>8</v>
      </c>
    </row>
    <row r="439" spans="1:54" x14ac:dyDescent="0.2">
      <c r="A439" s="5">
        <v>4659</v>
      </c>
      <c r="B439" s="20" t="s">
        <v>82</v>
      </c>
      <c r="C439" s="18" t="s">
        <v>54</v>
      </c>
      <c r="D439" s="18">
        <v>5</v>
      </c>
      <c r="E439" s="18">
        <v>0</v>
      </c>
      <c r="F439" s="20">
        <v>4</v>
      </c>
      <c r="G439" s="18">
        <v>28</v>
      </c>
      <c r="H439" s="22" t="s">
        <v>8</v>
      </c>
      <c r="I439" s="22" t="s">
        <v>8</v>
      </c>
      <c r="J439" s="22" t="s">
        <v>8</v>
      </c>
      <c r="K439" s="22" t="s">
        <v>8</v>
      </c>
      <c r="L439" s="22" t="s">
        <v>8</v>
      </c>
      <c r="M439" s="22" t="s">
        <v>8</v>
      </c>
      <c r="N439" s="22" t="s">
        <v>8</v>
      </c>
      <c r="O439" s="22" t="s">
        <v>8</v>
      </c>
      <c r="P439" s="22" t="s">
        <v>8</v>
      </c>
      <c r="Q439" s="22" t="s">
        <v>8</v>
      </c>
      <c r="R439" s="22" t="s">
        <v>8</v>
      </c>
      <c r="S439" s="22" t="s">
        <v>8</v>
      </c>
      <c r="T439" s="5">
        <v>2</v>
      </c>
      <c r="U439" s="5">
        <v>12</v>
      </c>
      <c r="V439" s="20" t="s">
        <v>1</v>
      </c>
      <c r="W439" s="20">
        <v>5</v>
      </c>
      <c r="X439" s="20">
        <v>1</v>
      </c>
      <c r="Y439" s="5">
        <v>1</v>
      </c>
      <c r="Z439" s="20">
        <v>4</v>
      </c>
      <c r="AA439" s="23">
        <f t="shared" si="12"/>
        <v>1</v>
      </c>
      <c r="AB439" s="15">
        <v>0.75</v>
      </c>
      <c r="AC439" s="15">
        <v>0.75</v>
      </c>
      <c r="AD439" s="15">
        <v>0.375</v>
      </c>
      <c r="AE439" s="15">
        <v>0.625</v>
      </c>
      <c r="AF439" s="20">
        <v>15</v>
      </c>
      <c r="AG439" s="20">
        <v>9.6</v>
      </c>
      <c r="AH439" s="24">
        <v>24</v>
      </c>
      <c r="AI439" s="23">
        <f t="shared" si="13"/>
        <v>1</v>
      </c>
      <c r="AJ439" s="17">
        <v>6.75</v>
      </c>
      <c r="AK439" s="17">
        <v>7.75</v>
      </c>
      <c r="AL439" s="14">
        <v>14.5</v>
      </c>
      <c r="AM439" s="23" cm="1">
        <f t="array" ref="AM439">IF(OR(AN439:AZ439=""),"BLANK",IF(AND(AN439:AZ439&lt;9999999),1,IF(AND(AN439:AZ439="NA"),3,2)))</f>
        <v>1</v>
      </c>
      <c r="AN439" s="5">
        <v>7</v>
      </c>
      <c r="AO439" s="5">
        <v>2</v>
      </c>
      <c r="AP439" s="10">
        <v>4</v>
      </c>
      <c r="AQ439" s="10">
        <v>5.25</v>
      </c>
      <c r="AR439" s="10">
        <v>7.5</v>
      </c>
      <c r="AS439" s="11">
        <v>1132</v>
      </c>
      <c r="AT439" s="11">
        <v>17024.5</v>
      </c>
      <c r="AU439" s="11">
        <v>8767.75</v>
      </c>
      <c r="AV439" s="11">
        <v>20521</v>
      </c>
      <c r="AW439" s="11">
        <v>0</v>
      </c>
      <c r="AX439" s="11">
        <v>151</v>
      </c>
      <c r="AY439" s="11">
        <v>29552.84375</v>
      </c>
      <c r="AZ439" s="11">
        <v>22044.65</v>
      </c>
      <c r="BA439" s="23">
        <v>3</v>
      </c>
      <c r="BB439" s="24" t="s">
        <v>8</v>
      </c>
    </row>
    <row r="440" spans="1:54" x14ac:dyDescent="0.2">
      <c r="A440" s="5">
        <v>4660</v>
      </c>
      <c r="B440" s="20" t="s">
        <v>74</v>
      </c>
      <c r="C440" s="18" t="s">
        <v>54</v>
      </c>
      <c r="D440" s="18">
        <v>5</v>
      </c>
      <c r="E440" s="18">
        <v>0</v>
      </c>
      <c r="F440" s="20">
        <v>4</v>
      </c>
      <c r="G440" s="18">
        <v>28</v>
      </c>
      <c r="H440" s="22" t="s">
        <v>8</v>
      </c>
      <c r="I440" s="22" t="s">
        <v>8</v>
      </c>
      <c r="J440" s="22" t="s">
        <v>8</v>
      </c>
      <c r="K440" s="22" t="s">
        <v>8</v>
      </c>
      <c r="L440" s="22" t="s">
        <v>8</v>
      </c>
      <c r="M440" s="22" t="s">
        <v>8</v>
      </c>
      <c r="N440" s="22" t="s">
        <v>8</v>
      </c>
      <c r="O440" s="22" t="s">
        <v>8</v>
      </c>
      <c r="P440" s="22" t="s">
        <v>8</v>
      </c>
      <c r="Q440" s="22" t="s">
        <v>8</v>
      </c>
      <c r="R440" s="22" t="s">
        <v>8</v>
      </c>
      <c r="S440" s="22" t="s">
        <v>8</v>
      </c>
      <c r="T440" s="5">
        <v>3</v>
      </c>
      <c r="U440" s="5">
        <v>14</v>
      </c>
      <c r="V440" s="20" t="s">
        <v>1</v>
      </c>
      <c r="W440" s="20">
        <v>5</v>
      </c>
      <c r="X440" s="20">
        <v>1</v>
      </c>
      <c r="Y440" s="5">
        <v>1</v>
      </c>
      <c r="Z440" s="20">
        <v>4</v>
      </c>
      <c r="AA440" s="23">
        <f t="shared" si="12"/>
        <v>1</v>
      </c>
      <c r="AB440" s="15">
        <v>1</v>
      </c>
      <c r="AC440" s="15">
        <v>0.375</v>
      </c>
      <c r="AD440" s="15">
        <v>0.25</v>
      </c>
      <c r="AE440" s="15">
        <v>0.54200000000000004</v>
      </c>
      <c r="AF440" s="20">
        <v>13</v>
      </c>
      <c r="AG440" s="20">
        <v>4</v>
      </c>
      <c r="AH440" s="24">
        <v>24</v>
      </c>
      <c r="AI440" s="23">
        <f t="shared" si="13"/>
        <v>1</v>
      </c>
      <c r="AJ440" s="17">
        <v>10</v>
      </c>
      <c r="AK440" s="17">
        <v>8</v>
      </c>
      <c r="AL440" s="14">
        <v>18</v>
      </c>
      <c r="AM440" s="23" cm="1">
        <f t="array" ref="AM440">IF(OR(AN440:AZ440=""),"BLANK",IF(AND(AN440:AZ440&lt;9999999),1,IF(AND(AN440:AZ440="NA"),3,2)))</f>
        <v>1</v>
      </c>
      <c r="AN440" s="5">
        <v>8</v>
      </c>
      <c r="AO440" s="5">
        <v>2</v>
      </c>
      <c r="AP440" s="10">
        <v>3</v>
      </c>
      <c r="AQ440" s="10">
        <v>7.5</v>
      </c>
      <c r="AR440" s="10">
        <v>6</v>
      </c>
      <c r="AS440" s="11">
        <v>2554.5</v>
      </c>
      <c r="AT440" s="11">
        <v>8364</v>
      </c>
      <c r="AU440" s="11">
        <v>6631.75</v>
      </c>
      <c r="AV440" s="11">
        <v>14653.75</v>
      </c>
      <c r="AW440" s="11">
        <v>0</v>
      </c>
      <c r="AX440" s="11">
        <v>553.5</v>
      </c>
      <c r="AY440" s="11">
        <v>8954.21875</v>
      </c>
      <c r="AZ440" s="11">
        <v>781.66111111110001</v>
      </c>
      <c r="BA440" s="23">
        <v>3</v>
      </c>
      <c r="BB440" s="24" t="s">
        <v>8</v>
      </c>
    </row>
    <row r="441" spans="1:54" x14ac:dyDescent="0.2">
      <c r="A441" s="5">
        <v>4664</v>
      </c>
      <c r="B441" s="20" t="s">
        <v>63</v>
      </c>
      <c r="C441" s="18" t="s">
        <v>55</v>
      </c>
      <c r="D441" s="18">
        <v>5</v>
      </c>
      <c r="E441" s="18">
        <v>0</v>
      </c>
      <c r="F441" s="20">
        <v>2.8180000000000001</v>
      </c>
      <c r="G441" s="18">
        <v>30</v>
      </c>
      <c r="H441" s="22">
        <v>3.9671457905544147</v>
      </c>
      <c r="I441" s="22" t="s">
        <v>8</v>
      </c>
      <c r="J441" s="22" t="s">
        <v>8</v>
      </c>
      <c r="K441" s="22">
        <v>4.1587953456536617</v>
      </c>
      <c r="L441" s="22" t="s">
        <v>8</v>
      </c>
      <c r="M441" s="22" t="s">
        <v>8</v>
      </c>
      <c r="N441" s="22">
        <v>3.9534565366187544</v>
      </c>
      <c r="O441" s="22" t="s">
        <v>8</v>
      </c>
      <c r="P441" s="22" t="s">
        <v>8</v>
      </c>
      <c r="Q441" s="22">
        <v>4.0383299110198498</v>
      </c>
      <c r="R441" s="22" t="s">
        <v>8</v>
      </c>
      <c r="S441" s="22" t="s">
        <v>8</v>
      </c>
      <c r="T441" s="5">
        <v>4</v>
      </c>
      <c r="U441" s="5">
        <v>16</v>
      </c>
      <c r="V441" s="20" t="s">
        <v>1</v>
      </c>
      <c r="W441" s="20">
        <v>5</v>
      </c>
      <c r="X441" s="20">
        <v>1</v>
      </c>
      <c r="Y441" s="5">
        <v>1</v>
      </c>
      <c r="Z441" s="20">
        <v>4</v>
      </c>
      <c r="AA441" s="23">
        <f t="shared" si="12"/>
        <v>1</v>
      </c>
      <c r="AB441" s="15">
        <v>1</v>
      </c>
      <c r="AC441" s="15">
        <v>1</v>
      </c>
      <c r="AD441" s="15">
        <v>0.625</v>
      </c>
      <c r="AE441" s="15">
        <v>0.87</v>
      </c>
      <c r="AF441" s="20">
        <v>20</v>
      </c>
      <c r="AG441" s="20">
        <v>0</v>
      </c>
      <c r="AH441" s="24">
        <v>23</v>
      </c>
      <c r="AI441" s="23">
        <f t="shared" si="13"/>
        <v>1</v>
      </c>
      <c r="AJ441" s="17">
        <v>7</v>
      </c>
      <c r="AK441" s="17">
        <v>8</v>
      </c>
      <c r="AL441" s="14">
        <v>15</v>
      </c>
      <c r="AM441" s="23" cm="1">
        <f t="array" ref="AM441">IF(OR(AN441:AZ441=""),"BLANK",IF(AND(AN441:AZ441&lt;9999999),1,IF(AND(AN441:AZ441="NA"),3,2)))</f>
        <v>1</v>
      </c>
      <c r="AN441" s="5">
        <v>9</v>
      </c>
      <c r="AO441" s="5">
        <v>2</v>
      </c>
      <c r="AP441" s="10">
        <v>3</v>
      </c>
      <c r="AQ441" s="10">
        <v>5.25</v>
      </c>
      <c r="AR441" s="10">
        <v>6.25</v>
      </c>
      <c r="AS441" s="11">
        <v>3374</v>
      </c>
      <c r="AT441" s="11">
        <v>15446</v>
      </c>
      <c r="AU441" s="11">
        <v>12527.25</v>
      </c>
      <c r="AV441" s="11">
        <v>13311.25</v>
      </c>
      <c r="AW441" s="11">
        <v>1413.25</v>
      </c>
      <c r="AX441" s="11">
        <v>1856.5</v>
      </c>
      <c r="AY441" s="11">
        <v>3938.8263888889001</v>
      </c>
      <c r="AZ441" s="11">
        <v>654.06071428569999</v>
      </c>
      <c r="BA441" s="23">
        <v>3</v>
      </c>
      <c r="BB441" s="24" t="s">
        <v>8</v>
      </c>
    </row>
    <row r="442" spans="1:54" x14ac:dyDescent="0.2">
      <c r="A442" s="5">
        <v>4679</v>
      </c>
      <c r="B442" s="20" t="s">
        <v>64</v>
      </c>
      <c r="C442" s="18" t="s">
        <v>55</v>
      </c>
      <c r="D442" s="18">
        <v>5</v>
      </c>
      <c r="E442" s="18">
        <v>0</v>
      </c>
      <c r="F442" s="20">
        <v>3.8180000000000001</v>
      </c>
      <c r="G442" s="18">
        <v>27</v>
      </c>
      <c r="H442" s="22">
        <v>3.5427789185489389</v>
      </c>
      <c r="I442" s="22">
        <v>3.2169746748802188</v>
      </c>
      <c r="J442" s="22">
        <v>6.7597535934291582</v>
      </c>
      <c r="K442" s="22">
        <v>3.5427789185489389</v>
      </c>
      <c r="L442" s="22">
        <v>3.2443531827515399</v>
      </c>
      <c r="M442" s="22">
        <v>6.7871321013004788</v>
      </c>
      <c r="N442" s="22">
        <v>3.592060232717317</v>
      </c>
      <c r="O442" s="22">
        <v>3.1321013004791238</v>
      </c>
      <c r="P442" s="22">
        <v>6.7241615331964404</v>
      </c>
      <c r="Q442" s="22">
        <v>3.9096509240246409</v>
      </c>
      <c r="R442" s="22">
        <v>2.9322381930184807</v>
      </c>
      <c r="S442" s="22">
        <v>6.8418891170431211</v>
      </c>
      <c r="T442" s="5">
        <v>6</v>
      </c>
      <c r="U442" s="5">
        <v>18</v>
      </c>
      <c r="V442" s="20" t="s">
        <v>1</v>
      </c>
      <c r="W442" s="20">
        <v>5</v>
      </c>
      <c r="X442" s="20">
        <v>1</v>
      </c>
      <c r="Y442" s="5">
        <v>1</v>
      </c>
      <c r="Z442" s="20">
        <v>4</v>
      </c>
      <c r="AA442" s="23">
        <f t="shared" si="12"/>
        <v>1</v>
      </c>
      <c r="AB442" s="15">
        <v>1</v>
      </c>
      <c r="AC442" s="15">
        <v>1</v>
      </c>
      <c r="AD442" s="15">
        <v>0.875</v>
      </c>
      <c r="AE442" s="15">
        <v>0.95799999999999996</v>
      </c>
      <c r="AF442" s="20">
        <v>23</v>
      </c>
      <c r="AG442" s="20">
        <v>2</v>
      </c>
      <c r="AH442" s="24">
        <v>24</v>
      </c>
      <c r="AI442" s="23">
        <f t="shared" si="13"/>
        <v>1</v>
      </c>
      <c r="AJ442" s="17">
        <v>10.75</v>
      </c>
      <c r="AK442" s="17">
        <v>10.75</v>
      </c>
      <c r="AL442" s="14">
        <v>21.5</v>
      </c>
      <c r="AM442" s="23" cm="1">
        <f t="array" ref="AM442">IF(OR(AN442:AZ442=""),"BLANK",IF(AND(AN442:AZ442&lt;9999999),1,IF(AND(AN442:AZ442="NA"),3,2)))</f>
        <v>1</v>
      </c>
      <c r="AN442" s="5">
        <v>12</v>
      </c>
      <c r="AO442" s="5">
        <v>2</v>
      </c>
      <c r="AP442" s="10">
        <v>3</v>
      </c>
      <c r="AQ442" s="10">
        <v>4</v>
      </c>
      <c r="AR442" s="10">
        <v>5</v>
      </c>
      <c r="AS442" s="11">
        <v>3992.5</v>
      </c>
      <c r="AT442" s="11">
        <v>3279.5</v>
      </c>
      <c r="AU442" s="11">
        <v>16494.75</v>
      </c>
      <c r="AV442" s="11">
        <v>22870.5</v>
      </c>
      <c r="AW442" s="11">
        <v>0</v>
      </c>
      <c r="AX442" s="11">
        <v>0</v>
      </c>
      <c r="AY442" s="11">
        <v>0</v>
      </c>
      <c r="AZ442" s="11">
        <v>473.1</v>
      </c>
      <c r="BA442" s="23">
        <v>3</v>
      </c>
      <c r="BB442" s="24" t="s">
        <v>8</v>
      </c>
    </row>
    <row r="443" spans="1:54" x14ac:dyDescent="0.2">
      <c r="A443" s="5">
        <v>4682</v>
      </c>
      <c r="B443" s="20" t="s">
        <v>66</v>
      </c>
      <c r="C443" s="18" t="s">
        <v>55</v>
      </c>
      <c r="D443" s="18">
        <v>5</v>
      </c>
      <c r="E443" s="18">
        <v>0</v>
      </c>
      <c r="F443" s="20">
        <v>3.4550000000000001</v>
      </c>
      <c r="G443" s="18">
        <v>29</v>
      </c>
      <c r="H443" s="22">
        <v>3.4962354551676933</v>
      </c>
      <c r="I443" s="22" t="s">
        <v>8</v>
      </c>
      <c r="J443" s="22" t="s">
        <v>8</v>
      </c>
      <c r="K443" s="22">
        <v>3.4770704996577688</v>
      </c>
      <c r="L443" s="22" t="s">
        <v>8</v>
      </c>
      <c r="M443" s="22" t="s">
        <v>8</v>
      </c>
      <c r="N443" s="22">
        <v>3.4058863791923342</v>
      </c>
      <c r="O443" s="22" t="s">
        <v>8</v>
      </c>
      <c r="P443" s="22" t="s">
        <v>8</v>
      </c>
      <c r="Q443" s="22" t="s">
        <v>8</v>
      </c>
      <c r="R443" s="22" t="s">
        <v>8</v>
      </c>
      <c r="S443" s="22" t="s">
        <v>8</v>
      </c>
      <c r="T443" s="5">
        <v>3</v>
      </c>
      <c r="U443" s="5">
        <v>13</v>
      </c>
      <c r="V443" s="20" t="s">
        <v>1</v>
      </c>
      <c r="W443" s="20">
        <v>5</v>
      </c>
      <c r="X443" s="20">
        <v>1</v>
      </c>
      <c r="Y443" s="5">
        <v>1</v>
      </c>
      <c r="Z443" s="20">
        <v>4</v>
      </c>
      <c r="AA443" s="23">
        <f t="shared" si="12"/>
        <v>1</v>
      </c>
      <c r="AB443" s="15">
        <v>0.875</v>
      </c>
      <c r="AC443" s="15">
        <v>0.875</v>
      </c>
      <c r="AD443" s="15">
        <v>0.375</v>
      </c>
      <c r="AE443" s="15">
        <v>0.70799999999999996</v>
      </c>
      <c r="AF443" s="20">
        <v>17</v>
      </c>
      <c r="AG443" s="20">
        <v>0</v>
      </c>
      <c r="AH443" s="24">
        <v>24</v>
      </c>
      <c r="AI443" s="23">
        <f t="shared" si="13"/>
        <v>1</v>
      </c>
      <c r="AJ443" s="17">
        <v>4.25</v>
      </c>
      <c r="AK443" s="17">
        <v>6.5</v>
      </c>
      <c r="AL443" s="14">
        <v>10.75</v>
      </c>
      <c r="AM443" s="23" cm="1">
        <f t="array" ref="AM443">IF(OR(AN443:AZ443=""),"BLANK",IF(AND(AN443:AZ443&lt;9999999),1,IF(AND(AN443:AZ443="NA"),3,2)))</f>
        <v>1</v>
      </c>
      <c r="AN443" s="5">
        <v>6</v>
      </c>
      <c r="AO443" s="5">
        <v>2</v>
      </c>
      <c r="AP443" s="10">
        <v>3.5</v>
      </c>
      <c r="AQ443" s="10">
        <v>5.75</v>
      </c>
      <c r="AR443" s="10">
        <v>8.5</v>
      </c>
      <c r="AS443" s="11">
        <v>1347.5</v>
      </c>
      <c r="AT443" s="11">
        <v>4263.5</v>
      </c>
      <c r="AU443" s="11">
        <v>2763</v>
      </c>
      <c r="AV443" s="11">
        <v>10418.25</v>
      </c>
      <c r="AW443" s="11">
        <v>0</v>
      </c>
      <c r="AX443" s="11">
        <v>1575.875</v>
      </c>
      <c r="AY443" s="11">
        <v>3035.0902777778001</v>
      </c>
      <c r="AZ443" s="11">
        <v>1126.8931818182</v>
      </c>
      <c r="BA443" s="23">
        <v>3</v>
      </c>
      <c r="BB443" s="24" t="s">
        <v>8</v>
      </c>
    </row>
    <row r="444" spans="1:54" x14ac:dyDescent="0.2">
      <c r="A444" s="5">
        <v>4684</v>
      </c>
      <c r="B444" s="20" t="s">
        <v>78</v>
      </c>
      <c r="C444" s="18" t="s">
        <v>55</v>
      </c>
      <c r="D444" s="18">
        <v>5</v>
      </c>
      <c r="E444" s="18">
        <v>0</v>
      </c>
      <c r="F444" s="20">
        <v>3</v>
      </c>
      <c r="G444" s="18">
        <v>27</v>
      </c>
      <c r="H444" s="22">
        <v>3.4579055441478439</v>
      </c>
      <c r="I444" s="22">
        <v>3.1759069130732374</v>
      </c>
      <c r="J444" s="22">
        <v>6.6338124572210813</v>
      </c>
      <c r="K444" s="22">
        <v>3.4496919917864477</v>
      </c>
      <c r="L444" s="22">
        <v>3.1759069130732374</v>
      </c>
      <c r="M444" s="22">
        <v>6.6255989048596851</v>
      </c>
      <c r="N444" s="22">
        <v>3.3511293634496919</v>
      </c>
      <c r="O444" s="22" t="s">
        <v>8</v>
      </c>
      <c r="P444" s="22" t="s">
        <v>8</v>
      </c>
      <c r="Q444" s="22">
        <v>3.3949349760438055</v>
      </c>
      <c r="R444" s="22" t="s">
        <v>8</v>
      </c>
      <c r="S444" s="22" t="s">
        <v>8</v>
      </c>
      <c r="T444" s="5">
        <v>4</v>
      </c>
      <c r="U444" s="5">
        <v>16</v>
      </c>
      <c r="V444" s="20" t="s">
        <v>1</v>
      </c>
      <c r="W444" s="20">
        <v>5</v>
      </c>
      <c r="X444" s="20">
        <v>1</v>
      </c>
      <c r="Y444" s="5">
        <v>1</v>
      </c>
      <c r="Z444" s="20">
        <v>4</v>
      </c>
      <c r="AA444" s="23">
        <f t="shared" si="12"/>
        <v>1</v>
      </c>
      <c r="AB444" s="15">
        <v>0.875</v>
      </c>
      <c r="AC444" s="15">
        <v>0.8571428571428571</v>
      </c>
      <c r="AD444" s="15">
        <v>0.375</v>
      </c>
      <c r="AE444" s="15">
        <v>0.69599999999999995</v>
      </c>
      <c r="AF444" s="20">
        <v>16</v>
      </c>
      <c r="AG444" s="20">
        <v>4</v>
      </c>
      <c r="AH444" s="24">
        <v>23</v>
      </c>
      <c r="AI444" s="23">
        <f t="shared" si="13"/>
        <v>1</v>
      </c>
      <c r="AJ444" s="17">
        <v>7</v>
      </c>
      <c r="AK444" s="17">
        <v>4.25</v>
      </c>
      <c r="AL444" s="14">
        <v>11.25</v>
      </c>
      <c r="AM444" s="23" cm="1">
        <f t="array" ref="AM444">IF(OR(AN444:AZ444=""),"BLANK",IF(AND(AN444:AZ444&lt;9999999),1,IF(AND(AN444:AZ444="NA"),3,2)))</f>
        <v>1</v>
      </c>
      <c r="AN444" s="5">
        <v>6</v>
      </c>
      <c r="AO444" s="5">
        <v>2</v>
      </c>
      <c r="AP444" s="10">
        <v>3</v>
      </c>
      <c r="AQ444" s="10">
        <v>7</v>
      </c>
      <c r="AR444" s="10">
        <v>7</v>
      </c>
      <c r="AS444" s="11">
        <v>1611</v>
      </c>
      <c r="AT444" s="11">
        <v>4031.5</v>
      </c>
      <c r="AU444" s="11">
        <v>5894.5</v>
      </c>
      <c r="AV444" s="11">
        <v>9428</v>
      </c>
      <c r="AW444" s="11">
        <v>4571.5</v>
      </c>
      <c r="AX444" s="11">
        <v>0</v>
      </c>
      <c r="AY444" s="11">
        <v>25234.256944444402</v>
      </c>
      <c r="AZ444" s="11">
        <v>1450.1166666667</v>
      </c>
      <c r="BA444" s="23">
        <v>3</v>
      </c>
      <c r="BB444" s="24" t="s">
        <v>8</v>
      </c>
    </row>
    <row r="445" spans="1:54" x14ac:dyDescent="0.2">
      <c r="A445" s="5">
        <v>4691</v>
      </c>
      <c r="B445" s="20" t="s">
        <v>63</v>
      </c>
      <c r="C445" s="18" t="s">
        <v>55</v>
      </c>
      <c r="D445" s="18">
        <v>6</v>
      </c>
      <c r="E445" s="18">
        <v>1</v>
      </c>
      <c r="F445" s="20">
        <v>3.2730000000000001</v>
      </c>
      <c r="G445" s="18">
        <v>26</v>
      </c>
      <c r="H445" s="22">
        <v>4.2108145106091719</v>
      </c>
      <c r="I445" s="22" t="s">
        <v>8</v>
      </c>
      <c r="J445" s="22" t="s">
        <v>8</v>
      </c>
      <c r="K445" s="22">
        <v>4.1971252566735116</v>
      </c>
      <c r="L445" s="22" t="s">
        <v>8</v>
      </c>
      <c r="M445" s="22" t="s">
        <v>8</v>
      </c>
      <c r="N445" s="22">
        <v>4.1368925393566052</v>
      </c>
      <c r="O445" s="22" t="s">
        <v>8</v>
      </c>
      <c r="P445" s="22" t="s">
        <v>8</v>
      </c>
      <c r="Q445" s="22">
        <v>4.1423682409308693</v>
      </c>
      <c r="R445" s="22" t="s">
        <v>8</v>
      </c>
      <c r="S445" s="22" t="s">
        <v>8</v>
      </c>
      <c r="T445" s="5">
        <v>3</v>
      </c>
      <c r="U445" s="5">
        <v>13.5</v>
      </c>
      <c r="V445" s="20" t="s">
        <v>1</v>
      </c>
      <c r="W445" s="20">
        <v>5</v>
      </c>
      <c r="X445" s="20">
        <v>1</v>
      </c>
      <c r="Y445" s="5">
        <v>1</v>
      </c>
      <c r="Z445" s="20">
        <v>4</v>
      </c>
      <c r="AA445" s="23">
        <f t="shared" si="12"/>
        <v>1</v>
      </c>
      <c r="AB445" s="15">
        <v>0.8571428571428571</v>
      </c>
      <c r="AC445" s="15">
        <v>0.8571428571428571</v>
      </c>
      <c r="AD445" s="15">
        <v>0.5</v>
      </c>
      <c r="AE445" s="15">
        <v>0.75</v>
      </c>
      <c r="AF445" s="20">
        <v>15</v>
      </c>
      <c r="AG445" s="20">
        <v>0</v>
      </c>
      <c r="AH445" s="24">
        <v>20</v>
      </c>
      <c r="AI445" s="23">
        <f t="shared" si="13"/>
        <v>1</v>
      </c>
      <c r="AJ445" s="17">
        <v>3.5</v>
      </c>
      <c r="AK445" s="17">
        <v>3</v>
      </c>
      <c r="AL445" s="14">
        <v>6.5</v>
      </c>
      <c r="AM445" s="23" cm="1">
        <f t="array" ref="AM445">IF(OR(AN445:AZ445=""),"BLANK",IF(AND(AN445:AZ445&lt;9999999),1,IF(AND(AN445:AZ445="NA"),3,2)))</f>
        <v>1</v>
      </c>
      <c r="AN445" s="5">
        <v>6</v>
      </c>
      <c r="AO445" s="5">
        <v>2</v>
      </c>
      <c r="AP445" s="10">
        <v>3</v>
      </c>
      <c r="AQ445" s="10">
        <v>4.75</v>
      </c>
      <c r="AR445" s="10">
        <v>10.5</v>
      </c>
      <c r="AS445" s="11">
        <v>27962</v>
      </c>
      <c r="AT445" s="11">
        <v>69966</v>
      </c>
      <c r="AU445" s="11">
        <v>22065.5</v>
      </c>
      <c r="AV445" s="11">
        <v>31554.5</v>
      </c>
      <c r="AW445" s="11">
        <v>0</v>
      </c>
      <c r="AX445" s="11">
        <v>3990.8333333332998</v>
      </c>
      <c r="AY445" s="11">
        <v>8601.7458333332997</v>
      </c>
      <c r="AZ445" s="11">
        <v>7904.5833333333003</v>
      </c>
      <c r="BA445" s="23">
        <v>3</v>
      </c>
      <c r="BB445" s="24" t="s">
        <v>8</v>
      </c>
    </row>
    <row r="446" spans="1:54" x14ac:dyDescent="0.2">
      <c r="A446" s="5">
        <v>4722</v>
      </c>
      <c r="B446" s="20" t="s">
        <v>78</v>
      </c>
      <c r="C446" s="18" t="s">
        <v>54</v>
      </c>
      <c r="D446" s="18">
        <v>5</v>
      </c>
      <c r="E446" s="18">
        <v>1</v>
      </c>
      <c r="F446" s="20">
        <v>2.4550000000000001</v>
      </c>
      <c r="G446" s="18">
        <v>30</v>
      </c>
      <c r="H446" s="22" t="s">
        <v>8</v>
      </c>
      <c r="I446" s="22" t="s">
        <v>8</v>
      </c>
      <c r="J446" s="22" t="s">
        <v>8</v>
      </c>
      <c r="K446" s="22" t="s">
        <v>8</v>
      </c>
      <c r="L446" s="22" t="s">
        <v>8</v>
      </c>
      <c r="M446" s="22" t="s">
        <v>8</v>
      </c>
      <c r="N446" s="22" t="s">
        <v>8</v>
      </c>
      <c r="O446" s="22" t="s">
        <v>8</v>
      </c>
      <c r="P446" s="22" t="s">
        <v>8</v>
      </c>
      <c r="Q446" s="22" t="s">
        <v>8</v>
      </c>
      <c r="R446" s="22" t="s">
        <v>8</v>
      </c>
      <c r="S446" s="22" t="s">
        <v>8</v>
      </c>
      <c r="T446" s="5">
        <v>3</v>
      </c>
      <c r="U446" s="5">
        <v>15</v>
      </c>
      <c r="V446" s="20" t="s">
        <v>1</v>
      </c>
      <c r="W446" s="20">
        <v>5</v>
      </c>
      <c r="X446" s="20">
        <v>1</v>
      </c>
      <c r="Y446" s="5">
        <v>1</v>
      </c>
      <c r="Z446" s="20">
        <v>4</v>
      </c>
      <c r="AA446" s="23">
        <f t="shared" si="12"/>
        <v>1</v>
      </c>
      <c r="AB446" s="15">
        <v>0.875</v>
      </c>
      <c r="AC446" s="15">
        <v>0.5</v>
      </c>
      <c r="AD446" s="15">
        <v>0.125</v>
      </c>
      <c r="AE446" s="15">
        <v>0.5</v>
      </c>
      <c r="AF446" s="20">
        <v>12</v>
      </c>
      <c r="AG446" s="20">
        <v>7</v>
      </c>
      <c r="AH446" s="24">
        <v>24</v>
      </c>
      <c r="AI446" s="23">
        <f t="shared" si="13"/>
        <v>1</v>
      </c>
      <c r="AJ446" s="17">
        <v>7.5</v>
      </c>
      <c r="AK446" s="17">
        <v>2.5</v>
      </c>
      <c r="AL446" s="14">
        <v>10</v>
      </c>
      <c r="AM446" s="23" cm="1">
        <f t="array" ref="AM446">IF(OR(AN446:AZ446=""),"BLANK",IF(AND(AN446:AZ446&lt;9999999),1,IF(AND(AN446:AZ446="NA"),3,2)))</f>
        <v>1</v>
      </c>
      <c r="AN446" s="5">
        <v>7</v>
      </c>
      <c r="AO446" s="5">
        <v>2</v>
      </c>
      <c r="AP446" s="10">
        <v>3</v>
      </c>
      <c r="AQ446" s="10">
        <v>5.75</v>
      </c>
      <c r="AR446" s="10">
        <v>7.5</v>
      </c>
      <c r="AS446" s="11">
        <v>1229.5</v>
      </c>
      <c r="AT446" s="11">
        <v>4690.5</v>
      </c>
      <c r="AU446" s="11">
        <v>11915.75</v>
      </c>
      <c r="AV446" s="11">
        <v>9558.5</v>
      </c>
      <c r="AW446" s="11">
        <v>0</v>
      </c>
      <c r="AX446" s="11">
        <v>0</v>
      </c>
      <c r="AY446" s="11">
        <v>13671.5</v>
      </c>
      <c r="AZ446" s="11">
        <v>11483.9458333333</v>
      </c>
      <c r="BA446" s="23">
        <v>3</v>
      </c>
      <c r="BB446" s="24" t="s">
        <v>8</v>
      </c>
    </row>
    <row r="447" spans="1:54" x14ac:dyDescent="0.2">
      <c r="A447" s="5">
        <v>4727</v>
      </c>
      <c r="B447" s="20" t="s">
        <v>75</v>
      </c>
      <c r="C447" s="18" t="s">
        <v>55</v>
      </c>
      <c r="D447" s="18">
        <v>5</v>
      </c>
      <c r="E447" s="18">
        <v>0</v>
      </c>
      <c r="F447" s="20">
        <v>3.1819999999999999</v>
      </c>
      <c r="G447" s="18">
        <v>29</v>
      </c>
      <c r="H447" s="22">
        <v>3.3867214236824092</v>
      </c>
      <c r="I447" s="22" t="s">
        <v>8</v>
      </c>
      <c r="J447" s="22" t="s">
        <v>8</v>
      </c>
      <c r="K447" s="22">
        <v>3.3867214236824092</v>
      </c>
      <c r="L447" s="22" t="s">
        <v>8</v>
      </c>
      <c r="M447" s="22" t="s">
        <v>8</v>
      </c>
      <c r="N447" s="22" t="s">
        <v>8</v>
      </c>
      <c r="O447" s="22" t="s">
        <v>8</v>
      </c>
      <c r="P447" s="22" t="s">
        <v>8</v>
      </c>
      <c r="Q447" s="22" t="s">
        <v>8</v>
      </c>
      <c r="R447" s="22" t="s">
        <v>8</v>
      </c>
      <c r="S447" s="22" t="s">
        <v>8</v>
      </c>
      <c r="T447" s="5">
        <v>6</v>
      </c>
      <c r="U447" s="5">
        <v>18</v>
      </c>
      <c r="V447" s="20" t="s">
        <v>1</v>
      </c>
      <c r="W447" s="20">
        <v>5</v>
      </c>
      <c r="X447" s="20">
        <v>1</v>
      </c>
      <c r="Y447" s="5">
        <v>1</v>
      </c>
      <c r="Z447" s="20">
        <v>4</v>
      </c>
      <c r="AA447" s="23">
        <f t="shared" si="12"/>
        <v>1</v>
      </c>
      <c r="AB447" s="15">
        <v>1</v>
      </c>
      <c r="AC447" s="15">
        <v>0.875</v>
      </c>
      <c r="AD447" s="15">
        <v>1</v>
      </c>
      <c r="AE447" s="15">
        <v>0.95799999999999996</v>
      </c>
      <c r="AF447" s="20">
        <v>23</v>
      </c>
      <c r="AG447" s="20">
        <v>3</v>
      </c>
      <c r="AH447" s="24">
        <v>24</v>
      </c>
      <c r="AI447" s="23">
        <f t="shared" si="13"/>
        <v>1</v>
      </c>
      <c r="AJ447" s="17">
        <v>10</v>
      </c>
      <c r="AK447" s="17">
        <v>10.75</v>
      </c>
      <c r="AL447" s="14">
        <v>20.75</v>
      </c>
      <c r="AM447" s="23" cm="1">
        <f t="array" ref="AM447">IF(OR(AN447:AZ447=""),"BLANK",IF(AND(AN447:AZ447&lt;9999999),1,IF(AND(AN447:AZ447="NA"),3,2)))</f>
        <v>1</v>
      </c>
      <c r="AN447" s="5">
        <v>11</v>
      </c>
      <c r="AO447" s="5">
        <v>2</v>
      </c>
      <c r="AP447" s="10">
        <v>3</v>
      </c>
      <c r="AQ447" s="10">
        <v>4</v>
      </c>
      <c r="AR447" s="10">
        <v>5.25</v>
      </c>
      <c r="AS447" s="11">
        <v>2655.5</v>
      </c>
      <c r="AT447" s="11">
        <v>9225.5</v>
      </c>
      <c r="AU447" s="11">
        <v>31217</v>
      </c>
      <c r="AV447" s="11">
        <v>30381.75</v>
      </c>
      <c r="AW447" s="11">
        <v>0</v>
      </c>
      <c r="AX447" s="11">
        <v>0</v>
      </c>
      <c r="AY447" s="11">
        <v>0</v>
      </c>
      <c r="AZ447" s="11">
        <v>1262.0999999999999</v>
      </c>
      <c r="BA447" s="23">
        <v>3</v>
      </c>
      <c r="BB447" s="24" t="s">
        <v>8</v>
      </c>
    </row>
    <row r="448" spans="1:54" x14ac:dyDescent="0.2">
      <c r="A448" s="5">
        <v>4737</v>
      </c>
      <c r="B448" s="20" t="s">
        <v>62</v>
      </c>
      <c r="C448" s="18" t="s">
        <v>55</v>
      </c>
      <c r="D448" s="18">
        <v>5</v>
      </c>
      <c r="E448" s="18">
        <v>0</v>
      </c>
      <c r="F448" s="20">
        <v>3.4550000000000001</v>
      </c>
      <c r="G448" s="18">
        <v>26</v>
      </c>
      <c r="H448" s="22">
        <v>3.4907597535934292</v>
      </c>
      <c r="I448" s="22" t="s">
        <v>8</v>
      </c>
      <c r="J448" s="22" t="s">
        <v>8</v>
      </c>
      <c r="K448" s="22">
        <v>3.4907597535934292</v>
      </c>
      <c r="L448" s="22" t="s">
        <v>8</v>
      </c>
      <c r="M448" s="22" t="s">
        <v>8</v>
      </c>
      <c r="N448" s="22">
        <v>3.485284052019165</v>
      </c>
      <c r="O448" s="22" t="s">
        <v>8</v>
      </c>
      <c r="P448" s="22" t="s">
        <v>8</v>
      </c>
      <c r="Q448" s="22">
        <v>3.5017111567419574</v>
      </c>
      <c r="R448" s="22" t="s">
        <v>8</v>
      </c>
      <c r="S448" s="22" t="s">
        <v>8</v>
      </c>
      <c r="T448" s="5">
        <v>4</v>
      </c>
      <c r="U448" s="5">
        <v>16</v>
      </c>
      <c r="V448" s="20" t="s">
        <v>1</v>
      </c>
      <c r="W448" s="20">
        <v>5</v>
      </c>
      <c r="X448" s="20">
        <v>1</v>
      </c>
      <c r="Y448" s="5">
        <v>1</v>
      </c>
      <c r="Z448" s="20">
        <v>4</v>
      </c>
      <c r="AA448" s="23">
        <f t="shared" si="12"/>
        <v>1</v>
      </c>
      <c r="AB448" s="15">
        <v>1</v>
      </c>
      <c r="AC448" s="15">
        <v>0.625</v>
      </c>
      <c r="AD448" s="15">
        <v>0.625</v>
      </c>
      <c r="AE448" s="15">
        <v>0.75</v>
      </c>
      <c r="AF448" s="20">
        <v>18</v>
      </c>
      <c r="AG448" s="20">
        <v>1</v>
      </c>
      <c r="AH448" s="24">
        <v>24</v>
      </c>
      <c r="AI448" s="23">
        <f t="shared" si="13"/>
        <v>1</v>
      </c>
      <c r="AJ448" s="17">
        <v>9</v>
      </c>
      <c r="AK448" s="17">
        <v>6</v>
      </c>
      <c r="AL448" s="14">
        <v>15</v>
      </c>
      <c r="AM448" s="23" cm="1">
        <f t="array" ref="AM448">IF(OR(AN448:AZ448=""),"BLANK",IF(AND(AN448:AZ448&lt;9999999),1,IF(AND(AN448:AZ448="NA"),3,2)))</f>
        <v>1</v>
      </c>
      <c r="AN448" s="5">
        <v>7</v>
      </c>
      <c r="AO448" s="5">
        <v>2</v>
      </c>
      <c r="AP448" s="10">
        <v>3</v>
      </c>
      <c r="AQ448" s="10">
        <v>6.25</v>
      </c>
      <c r="AR448" s="10">
        <v>8.75</v>
      </c>
      <c r="AS448" s="11">
        <v>1904.5</v>
      </c>
      <c r="AT448" s="11">
        <v>5619.5</v>
      </c>
      <c r="AU448" s="11">
        <v>12120</v>
      </c>
      <c r="AV448" s="11">
        <v>8875.75</v>
      </c>
      <c r="AW448" s="11">
        <v>0</v>
      </c>
      <c r="AX448" s="11">
        <v>0</v>
      </c>
      <c r="AY448" s="11">
        <v>6441.1805555556002</v>
      </c>
      <c r="AZ448" s="11">
        <v>3135.7208333333001</v>
      </c>
      <c r="BA448" s="23">
        <v>3</v>
      </c>
      <c r="BB448" s="24" t="s">
        <v>8</v>
      </c>
    </row>
    <row r="449" spans="1:54" x14ac:dyDescent="0.2">
      <c r="A449" s="5">
        <v>4743</v>
      </c>
      <c r="B449" s="20" t="s">
        <v>78</v>
      </c>
      <c r="C449" s="18" t="s">
        <v>54</v>
      </c>
      <c r="D449" s="18">
        <v>5</v>
      </c>
      <c r="E449" s="18">
        <v>0</v>
      </c>
      <c r="F449" s="20">
        <v>3.7269999999999999</v>
      </c>
      <c r="G449" s="18">
        <v>28</v>
      </c>
      <c r="H449" s="22">
        <v>3.485284052019165</v>
      </c>
      <c r="I449" s="22" t="s">
        <v>8</v>
      </c>
      <c r="J449" s="22" t="s">
        <v>8</v>
      </c>
      <c r="K449" s="22">
        <v>3.5318275154004106</v>
      </c>
      <c r="L449" s="22" t="s">
        <v>8</v>
      </c>
      <c r="M449" s="22" t="s">
        <v>8</v>
      </c>
      <c r="N449" s="22">
        <v>3.4962354551676933</v>
      </c>
      <c r="O449" s="22" t="s">
        <v>8</v>
      </c>
      <c r="P449" s="22" t="s">
        <v>8</v>
      </c>
      <c r="Q449" s="22">
        <v>3.353867214236824</v>
      </c>
      <c r="R449" s="22" t="s">
        <v>8</v>
      </c>
      <c r="S449" s="22" t="s">
        <v>8</v>
      </c>
      <c r="T449" s="5">
        <v>3</v>
      </c>
      <c r="U449" s="5">
        <v>14</v>
      </c>
      <c r="V449" s="20" t="s">
        <v>1</v>
      </c>
      <c r="W449" s="20">
        <v>5</v>
      </c>
      <c r="X449" s="20">
        <v>1</v>
      </c>
      <c r="Y449" s="5">
        <v>1</v>
      </c>
      <c r="Z449" s="20">
        <v>4</v>
      </c>
      <c r="AA449" s="23">
        <f t="shared" si="12"/>
        <v>1</v>
      </c>
      <c r="AB449" s="15">
        <v>1</v>
      </c>
      <c r="AC449" s="15">
        <v>1</v>
      </c>
      <c r="AD449" s="15">
        <v>0.875</v>
      </c>
      <c r="AE449" s="15">
        <v>0.95799999999999996</v>
      </c>
      <c r="AF449" s="20">
        <v>23</v>
      </c>
      <c r="AG449" s="20">
        <v>3.28</v>
      </c>
      <c r="AH449" s="24">
        <v>24</v>
      </c>
      <c r="AI449" s="23">
        <f t="shared" si="13"/>
        <v>1</v>
      </c>
      <c r="AJ449" s="17">
        <v>7.5</v>
      </c>
      <c r="AK449" s="17">
        <v>6.75</v>
      </c>
      <c r="AL449" s="14">
        <v>14.25</v>
      </c>
      <c r="AM449" s="23" cm="1">
        <f t="array" ref="AM449">IF(OR(AN449:AZ449=""),"BLANK",IF(AND(AN449:AZ449&lt;9999999),1,IF(AND(AN449:AZ449="NA"),3,2)))</f>
        <v>1</v>
      </c>
      <c r="AN449" s="5">
        <v>10</v>
      </c>
      <c r="AO449" s="5">
        <v>2</v>
      </c>
      <c r="AP449" s="10">
        <v>3</v>
      </c>
      <c r="AQ449" s="10">
        <v>4.5</v>
      </c>
      <c r="AR449" s="10">
        <v>5.75</v>
      </c>
      <c r="AS449" s="11">
        <v>2393.5</v>
      </c>
      <c r="AT449" s="11">
        <v>9437.5</v>
      </c>
      <c r="AU449" s="11">
        <v>11991.25</v>
      </c>
      <c r="AV449" s="11">
        <v>13374</v>
      </c>
      <c r="AW449" s="11">
        <v>0</v>
      </c>
      <c r="AX449" s="11">
        <v>0</v>
      </c>
      <c r="AY449" s="11">
        <v>1001.5416666667001</v>
      </c>
      <c r="AZ449" s="11">
        <v>146.4375</v>
      </c>
      <c r="BA449" s="23">
        <v>3</v>
      </c>
      <c r="BB449" s="24" t="s">
        <v>8</v>
      </c>
    </row>
    <row r="450" spans="1:54" x14ac:dyDescent="0.2">
      <c r="A450" s="5">
        <v>4749</v>
      </c>
      <c r="B450" s="20" t="s">
        <v>78</v>
      </c>
      <c r="C450" s="18" t="s">
        <v>54</v>
      </c>
      <c r="D450" s="18">
        <v>5</v>
      </c>
      <c r="E450" s="18">
        <v>0</v>
      </c>
      <c r="F450" s="20">
        <v>3.7269999999999999</v>
      </c>
      <c r="G450" s="18">
        <v>30</v>
      </c>
      <c r="H450" s="22">
        <v>3.4579055441478439</v>
      </c>
      <c r="I450" s="22" t="s">
        <v>8</v>
      </c>
      <c r="J450" s="22" t="s">
        <v>8</v>
      </c>
      <c r="K450" s="22">
        <v>3.460643394934976</v>
      </c>
      <c r="L450" s="22" t="s">
        <v>8</v>
      </c>
      <c r="M450" s="22" t="s">
        <v>8</v>
      </c>
      <c r="N450" s="22">
        <v>3.4934976043805612</v>
      </c>
      <c r="O450" s="22" t="s">
        <v>8</v>
      </c>
      <c r="P450" s="22" t="s">
        <v>8</v>
      </c>
      <c r="Q450" s="22">
        <v>3.482546201232033</v>
      </c>
      <c r="R450" s="22" t="s">
        <v>8</v>
      </c>
      <c r="S450" s="22" t="s">
        <v>8</v>
      </c>
      <c r="T450" s="5">
        <v>3</v>
      </c>
      <c r="U450" s="5">
        <v>14</v>
      </c>
      <c r="V450" s="20" t="s">
        <v>1</v>
      </c>
      <c r="W450" s="20">
        <v>5</v>
      </c>
      <c r="X450" s="20">
        <v>1</v>
      </c>
      <c r="Y450" s="5">
        <v>1</v>
      </c>
      <c r="Z450" s="20">
        <v>4</v>
      </c>
      <c r="AA450" s="23">
        <f t="shared" si="12"/>
        <v>1</v>
      </c>
      <c r="AB450" s="15">
        <v>0.875</v>
      </c>
      <c r="AC450" s="15">
        <v>0.875</v>
      </c>
      <c r="AD450" s="15">
        <v>0.5</v>
      </c>
      <c r="AE450" s="15">
        <v>0.75</v>
      </c>
      <c r="AF450" s="20">
        <v>18</v>
      </c>
      <c r="AG450" s="20">
        <v>4</v>
      </c>
      <c r="AH450" s="24">
        <v>24</v>
      </c>
      <c r="AI450" s="23">
        <f t="shared" si="13"/>
        <v>1</v>
      </c>
      <c r="AJ450" s="17">
        <v>10.75</v>
      </c>
      <c r="AK450" s="17">
        <v>7.75</v>
      </c>
      <c r="AL450" s="14">
        <v>18.5</v>
      </c>
      <c r="AM450" s="23" cm="1">
        <f t="array" ref="AM450">IF(OR(AN450:AZ450=""),"BLANK",IF(AND(AN450:AZ450&lt;9999999),1,IF(AND(AN450:AZ450="NA"),3,2)))</f>
        <v>1</v>
      </c>
      <c r="AN450" s="5">
        <v>7</v>
      </c>
      <c r="AO450" s="5">
        <v>2</v>
      </c>
      <c r="AP450" s="10">
        <v>3</v>
      </c>
      <c r="AQ450" s="10">
        <v>6.5</v>
      </c>
      <c r="AR450" s="10">
        <v>7.75</v>
      </c>
      <c r="AS450" s="11">
        <v>1727.5</v>
      </c>
      <c r="AT450" s="11">
        <v>8192</v>
      </c>
      <c r="AU450" s="11">
        <v>17128.25</v>
      </c>
      <c r="AV450" s="11">
        <v>17978.5</v>
      </c>
      <c r="AW450" s="11">
        <v>0</v>
      </c>
      <c r="AX450" s="11">
        <v>3735.6666666667002</v>
      </c>
      <c r="AY450" s="11">
        <v>5091.5783730159001</v>
      </c>
      <c r="AZ450" s="11">
        <v>3378.1916666666998</v>
      </c>
      <c r="BA450" s="23">
        <v>3</v>
      </c>
      <c r="BB450" s="24" t="s">
        <v>8</v>
      </c>
    </row>
    <row r="451" spans="1:54" x14ac:dyDescent="0.2">
      <c r="A451" s="5">
        <v>4754</v>
      </c>
      <c r="B451" s="20" t="s">
        <v>62</v>
      </c>
      <c r="C451" s="18" t="s">
        <v>55</v>
      </c>
      <c r="D451" s="18">
        <v>5</v>
      </c>
      <c r="E451" s="18">
        <v>0</v>
      </c>
      <c r="F451" s="20">
        <v>4</v>
      </c>
      <c r="G451" s="18">
        <v>30</v>
      </c>
      <c r="H451" s="22" t="s">
        <v>8</v>
      </c>
      <c r="I451" s="22" t="s">
        <v>8</v>
      </c>
      <c r="J451" s="22" t="s">
        <v>8</v>
      </c>
      <c r="K451" s="22" t="s">
        <v>8</v>
      </c>
      <c r="L451" s="22" t="s">
        <v>8</v>
      </c>
      <c r="M451" s="22" t="s">
        <v>8</v>
      </c>
      <c r="N451" s="22" t="s">
        <v>8</v>
      </c>
      <c r="O451" s="22" t="s">
        <v>8</v>
      </c>
      <c r="P451" s="22" t="s">
        <v>8</v>
      </c>
      <c r="Q451" s="22" t="s">
        <v>8</v>
      </c>
      <c r="R451" s="22" t="s">
        <v>8</v>
      </c>
      <c r="S451" s="22" t="s">
        <v>8</v>
      </c>
      <c r="T451" s="5">
        <v>3</v>
      </c>
      <c r="U451" s="5">
        <v>13</v>
      </c>
      <c r="V451" s="20" t="s">
        <v>1</v>
      </c>
      <c r="W451" s="20">
        <v>5</v>
      </c>
      <c r="X451" s="20">
        <v>1</v>
      </c>
      <c r="Y451" s="5">
        <v>1</v>
      </c>
      <c r="Z451" s="20">
        <v>4</v>
      </c>
      <c r="AA451" s="23">
        <f t="shared" ref="AA451:AA465" si="14">IF(AND(ISNUMBER(AB451), ISNUMBER(AC451),ISNUMBER(AD451), ISNUMBER(AE451), ISNUMBER(AF451),ISNUMBER(AG451), ISNUMBER(AH451)), 1, IF(AND(AB451="NA", AC451="NA", AD451="na", AE451="na", AF451="na", AG451="na", AH451="na"), 3, 2))</f>
        <v>1</v>
      </c>
      <c r="AB451" s="15">
        <v>1</v>
      </c>
      <c r="AC451" s="15">
        <v>0.875</v>
      </c>
      <c r="AD451" s="15">
        <v>0.875</v>
      </c>
      <c r="AE451" s="15">
        <v>0.91700000000000004</v>
      </c>
      <c r="AF451" s="20">
        <v>22</v>
      </c>
      <c r="AG451" s="20">
        <v>6</v>
      </c>
      <c r="AH451" s="24">
        <v>24</v>
      </c>
      <c r="AI451" s="23">
        <f t="shared" ref="AI451:AI465" si="15">IF(AND(ISNUMBER(AJ451), ISNUMBER(AK451),ISNUMBER(AL451)), 1, IF(AND(AJ451="NA", AK451="NA", AL451="na"), 3, 2))</f>
        <v>1</v>
      </c>
      <c r="AJ451" s="17">
        <v>13.75</v>
      </c>
      <c r="AK451" s="17">
        <v>12.75</v>
      </c>
      <c r="AL451" s="14">
        <v>26.5</v>
      </c>
      <c r="AM451" s="23" cm="1">
        <f t="array" ref="AM451">IF(OR(AN451:AZ451=""),"BLANK",IF(AND(AN451:AZ451&lt;9999999),1,IF(AND(AN451:AZ451="NA"),3,2)))</f>
        <v>1</v>
      </c>
      <c r="AN451" s="5">
        <v>7</v>
      </c>
      <c r="AO451" s="5">
        <v>2</v>
      </c>
      <c r="AP451" s="10">
        <v>3.5</v>
      </c>
      <c r="AQ451" s="10">
        <v>6.5</v>
      </c>
      <c r="AR451" s="10">
        <v>8.25</v>
      </c>
      <c r="AS451" s="11">
        <v>3237.5</v>
      </c>
      <c r="AT451" s="11">
        <v>5354.5</v>
      </c>
      <c r="AU451" s="11">
        <v>3814.5</v>
      </c>
      <c r="AV451" s="11">
        <v>4322.75</v>
      </c>
      <c r="AW451" s="11">
        <v>0</v>
      </c>
      <c r="AX451" s="11">
        <v>0</v>
      </c>
      <c r="AY451" s="11">
        <v>518.77083333329995</v>
      </c>
      <c r="AZ451" s="11">
        <v>747.07424242419995</v>
      </c>
      <c r="BA451" s="23">
        <v>3</v>
      </c>
      <c r="BB451" s="24" t="s">
        <v>8</v>
      </c>
    </row>
    <row r="452" spans="1:54" x14ac:dyDescent="0.2">
      <c r="A452" s="5">
        <v>4769</v>
      </c>
      <c r="B452" s="20" t="s">
        <v>78</v>
      </c>
      <c r="C452" s="18" t="s">
        <v>54</v>
      </c>
      <c r="D452" s="18">
        <v>5</v>
      </c>
      <c r="E452" s="18">
        <v>0</v>
      </c>
      <c r="F452" s="20">
        <v>3.8180000000000001</v>
      </c>
      <c r="G452" s="18">
        <v>29</v>
      </c>
      <c r="H452" s="22">
        <v>3.4661190965092401</v>
      </c>
      <c r="I452" s="22">
        <v>3.2772073921971252</v>
      </c>
      <c r="J452" s="22">
        <v>6.7433264887063658</v>
      </c>
      <c r="K452" s="22">
        <v>3.4661190965092401</v>
      </c>
      <c r="L452" s="22">
        <v>3.2772073921971252</v>
      </c>
      <c r="M452" s="22">
        <v>6.7433264887063658</v>
      </c>
      <c r="N452" s="22">
        <v>3.4414784394250515</v>
      </c>
      <c r="O452" s="22">
        <v>3.1813826146475015</v>
      </c>
      <c r="P452" s="22">
        <v>6.622861054072553</v>
      </c>
      <c r="Q452" s="22">
        <v>3.2388774811772758</v>
      </c>
      <c r="R452" s="22" t="s">
        <v>8</v>
      </c>
      <c r="S452" s="22" t="s">
        <v>8</v>
      </c>
      <c r="T452" s="5">
        <v>3</v>
      </c>
      <c r="U452" s="5">
        <v>14.5</v>
      </c>
      <c r="V452" s="20" t="s">
        <v>1</v>
      </c>
      <c r="W452" s="20">
        <v>5</v>
      </c>
      <c r="X452" s="20">
        <v>1</v>
      </c>
      <c r="Y452" s="5">
        <v>1</v>
      </c>
      <c r="Z452" s="20">
        <v>4</v>
      </c>
      <c r="AA452" s="23">
        <f t="shared" si="14"/>
        <v>1</v>
      </c>
      <c r="AB452" s="15">
        <v>0.75</v>
      </c>
      <c r="AC452" s="15">
        <v>0.75</v>
      </c>
      <c r="AD452" s="15">
        <v>0.5</v>
      </c>
      <c r="AE452" s="15">
        <v>0.66700000000000004</v>
      </c>
      <c r="AF452" s="20">
        <v>16</v>
      </c>
      <c r="AG452" s="20">
        <v>6</v>
      </c>
      <c r="AH452" s="24">
        <v>24</v>
      </c>
      <c r="AI452" s="23">
        <f t="shared" si="15"/>
        <v>1</v>
      </c>
      <c r="AJ452" s="17">
        <v>8.25</v>
      </c>
      <c r="AK452" s="17">
        <v>12</v>
      </c>
      <c r="AL452" s="14">
        <v>20.25</v>
      </c>
      <c r="AM452" s="23" cm="1">
        <f t="array" ref="AM452">IF(OR(AN452:AZ452=""),"BLANK",IF(AND(AN452:AZ452&lt;9999999),1,IF(AND(AN452:AZ452="NA"),3,2)))</f>
        <v>1</v>
      </c>
      <c r="AN452" s="5">
        <v>7</v>
      </c>
      <c r="AO452" s="5">
        <v>2</v>
      </c>
      <c r="AP452" s="10">
        <v>3.5</v>
      </c>
      <c r="AQ452" s="10">
        <v>5.25</v>
      </c>
      <c r="AR452" s="10">
        <v>8.75</v>
      </c>
      <c r="AS452" s="11">
        <v>2474.5</v>
      </c>
      <c r="AT452" s="11">
        <v>6984</v>
      </c>
      <c r="AU452" s="11">
        <v>10969.75</v>
      </c>
      <c r="AV452" s="11">
        <v>12507.75</v>
      </c>
      <c r="AW452" s="11">
        <v>0</v>
      </c>
      <c r="AX452" s="11">
        <v>1453.75</v>
      </c>
      <c r="AY452" s="11">
        <v>548.4097222222</v>
      </c>
      <c r="AZ452" s="11">
        <v>1260.2541666667</v>
      </c>
      <c r="BA452" s="23">
        <v>3</v>
      </c>
      <c r="BB452" s="24" t="s">
        <v>8</v>
      </c>
    </row>
    <row r="453" spans="1:54" x14ac:dyDescent="0.2">
      <c r="A453" s="5">
        <v>4788</v>
      </c>
      <c r="B453" s="20" t="s">
        <v>74</v>
      </c>
      <c r="C453" s="18" t="s">
        <v>54</v>
      </c>
      <c r="D453" s="18">
        <v>5</v>
      </c>
      <c r="E453" s="18">
        <v>1</v>
      </c>
      <c r="F453" s="20">
        <v>2.9089999999999998</v>
      </c>
      <c r="G453" s="18">
        <v>27</v>
      </c>
      <c r="H453" s="22">
        <v>3.6741957563312799</v>
      </c>
      <c r="I453" s="22" t="s">
        <v>8</v>
      </c>
      <c r="J453" s="22" t="s">
        <v>8</v>
      </c>
      <c r="K453" s="22">
        <v>3.6632443531827517</v>
      </c>
      <c r="L453" s="22" t="s">
        <v>8</v>
      </c>
      <c r="M453" s="22" t="s">
        <v>8</v>
      </c>
      <c r="N453" s="22">
        <v>3.4715947980835042</v>
      </c>
      <c r="O453" s="22" t="s">
        <v>8</v>
      </c>
      <c r="P453" s="22" t="s">
        <v>8</v>
      </c>
      <c r="Q453" s="22">
        <v>3.4140999315537304</v>
      </c>
      <c r="R453" s="22" t="s">
        <v>8</v>
      </c>
      <c r="S453" s="22" t="s">
        <v>8</v>
      </c>
      <c r="T453" s="5">
        <v>3</v>
      </c>
      <c r="U453" s="5">
        <v>14</v>
      </c>
      <c r="V453" s="20" t="s">
        <v>1</v>
      </c>
      <c r="W453" s="20">
        <v>5</v>
      </c>
      <c r="X453" s="20">
        <v>1</v>
      </c>
      <c r="Y453" s="5">
        <v>1</v>
      </c>
      <c r="Z453" s="20">
        <v>4</v>
      </c>
      <c r="AA453" s="23">
        <f t="shared" si="14"/>
        <v>1</v>
      </c>
      <c r="AB453" s="15">
        <v>0.875</v>
      </c>
      <c r="AC453" s="15">
        <v>0.625</v>
      </c>
      <c r="AD453" s="15">
        <v>0.5</v>
      </c>
      <c r="AE453" s="15">
        <v>0.66700000000000004</v>
      </c>
      <c r="AF453" s="20">
        <v>16</v>
      </c>
      <c r="AG453" s="20">
        <v>5</v>
      </c>
      <c r="AH453" s="24">
        <v>24</v>
      </c>
      <c r="AI453" s="23">
        <f t="shared" si="15"/>
        <v>1</v>
      </c>
      <c r="AJ453" s="17">
        <v>5.75</v>
      </c>
      <c r="AK453" s="17">
        <v>5.5</v>
      </c>
      <c r="AL453" s="14">
        <v>11.25</v>
      </c>
      <c r="AM453" s="23" cm="1">
        <f t="array" ref="AM453">IF(OR(AN453:AZ453=""),"BLANK",IF(AND(AN453:AZ453&lt;9999999),1,IF(AND(AN453:AZ453="NA"),3,2)))</f>
        <v>1</v>
      </c>
      <c r="AN453" s="5">
        <v>8</v>
      </c>
      <c r="AO453" s="5">
        <v>2</v>
      </c>
      <c r="AP453" s="10">
        <v>3</v>
      </c>
      <c r="AQ453" s="10">
        <v>4.75</v>
      </c>
      <c r="AR453" s="10">
        <v>7.25</v>
      </c>
      <c r="AS453" s="11">
        <v>1977</v>
      </c>
      <c r="AT453" s="11">
        <v>5427.5</v>
      </c>
      <c r="AU453" s="11">
        <v>4025.25</v>
      </c>
      <c r="AV453" s="11">
        <v>4576</v>
      </c>
      <c r="AW453" s="11">
        <v>0</v>
      </c>
      <c r="AX453" s="11">
        <v>0</v>
      </c>
      <c r="AY453" s="11">
        <v>695.57916669999997</v>
      </c>
      <c r="AZ453" s="11">
        <v>3144.6398810000001</v>
      </c>
      <c r="BA453" s="23">
        <v>3</v>
      </c>
      <c r="BB453" s="24" t="s">
        <v>8</v>
      </c>
    </row>
    <row r="454" spans="1:54" x14ac:dyDescent="0.2">
      <c r="A454" s="5">
        <v>4791</v>
      </c>
      <c r="B454" s="20" t="s">
        <v>78</v>
      </c>
      <c r="C454" s="18" t="s">
        <v>54</v>
      </c>
      <c r="D454" s="18">
        <v>2</v>
      </c>
      <c r="E454" s="18">
        <v>0</v>
      </c>
      <c r="F454" s="20" t="s">
        <v>8</v>
      </c>
      <c r="G454" s="18">
        <v>29</v>
      </c>
      <c r="H454" s="22" t="s">
        <v>8</v>
      </c>
      <c r="I454" s="22" t="s">
        <v>8</v>
      </c>
      <c r="J454" s="22" t="s">
        <v>8</v>
      </c>
      <c r="K454" s="22" t="s">
        <v>8</v>
      </c>
      <c r="L454" s="22" t="s">
        <v>8</v>
      </c>
      <c r="M454" s="22" t="s">
        <v>8</v>
      </c>
      <c r="N454" s="22" t="s">
        <v>8</v>
      </c>
      <c r="O454" s="22" t="s">
        <v>8</v>
      </c>
      <c r="P454" s="22" t="s">
        <v>8</v>
      </c>
      <c r="Q454" s="22" t="s">
        <v>8</v>
      </c>
      <c r="R454" s="22" t="s">
        <v>8</v>
      </c>
      <c r="S454" s="22" t="s">
        <v>8</v>
      </c>
      <c r="T454" s="5" t="s">
        <v>8</v>
      </c>
      <c r="U454" s="5" t="s">
        <v>8</v>
      </c>
      <c r="V454" s="20" t="s">
        <v>1</v>
      </c>
      <c r="W454" s="20">
        <v>5</v>
      </c>
      <c r="X454" s="20">
        <v>1</v>
      </c>
      <c r="Y454" s="5">
        <v>1</v>
      </c>
      <c r="Z454" s="20">
        <v>4</v>
      </c>
      <c r="AA454" s="23">
        <f t="shared" si="14"/>
        <v>1</v>
      </c>
      <c r="AB454" s="15">
        <v>0.875</v>
      </c>
      <c r="AC454" s="15">
        <v>0.75</v>
      </c>
      <c r="AD454" s="15">
        <v>0.5</v>
      </c>
      <c r="AE454" s="15">
        <v>0.70799999999999996</v>
      </c>
      <c r="AF454" s="20">
        <v>17</v>
      </c>
      <c r="AG454" s="20">
        <v>4</v>
      </c>
      <c r="AH454" s="24">
        <v>24</v>
      </c>
      <c r="AI454" s="23">
        <f t="shared" si="15"/>
        <v>1</v>
      </c>
      <c r="AJ454" s="17">
        <v>5.5</v>
      </c>
      <c r="AK454" s="17">
        <v>3.5</v>
      </c>
      <c r="AL454" s="14">
        <v>9</v>
      </c>
      <c r="AM454" s="23" cm="1">
        <f t="array" ref="AM454">IF(OR(AN454:AZ454=""),"BLANK",IF(AND(AN454:AZ454&lt;9999999),1,IF(AND(AN454:AZ454="NA"),3,2)))</f>
        <v>1</v>
      </c>
      <c r="AN454" s="5">
        <v>8</v>
      </c>
      <c r="AO454" s="5">
        <v>2</v>
      </c>
      <c r="AP454" s="10">
        <v>3</v>
      </c>
      <c r="AQ454" s="10">
        <v>4.75</v>
      </c>
      <c r="AR454" s="10">
        <v>8.75</v>
      </c>
      <c r="AS454" s="11">
        <v>2010</v>
      </c>
      <c r="AT454" s="11">
        <v>4649.5</v>
      </c>
      <c r="AU454" s="11">
        <v>5272.25</v>
      </c>
      <c r="AV454" s="11">
        <v>25901.25</v>
      </c>
      <c r="AW454" s="11">
        <v>0</v>
      </c>
      <c r="AX454" s="11">
        <v>0</v>
      </c>
      <c r="AY454" s="11">
        <v>4353.6875</v>
      </c>
      <c r="AZ454" s="11">
        <v>18886.870833333302</v>
      </c>
      <c r="BA454" s="23">
        <v>3</v>
      </c>
      <c r="BB454" s="24" t="s">
        <v>8</v>
      </c>
    </row>
    <row r="455" spans="1:54" x14ac:dyDescent="0.2">
      <c r="A455" s="5">
        <v>4794</v>
      </c>
      <c r="B455" s="20" t="s">
        <v>64</v>
      </c>
      <c r="C455" s="18" t="s">
        <v>54</v>
      </c>
      <c r="D455" s="18">
        <v>5</v>
      </c>
      <c r="E455" s="18">
        <v>0</v>
      </c>
      <c r="F455" s="20">
        <v>3.7269999999999999</v>
      </c>
      <c r="G455" s="18">
        <v>27</v>
      </c>
      <c r="H455" s="22" t="s">
        <v>8</v>
      </c>
      <c r="I455" s="22" t="s">
        <v>8</v>
      </c>
      <c r="J455" s="22" t="s">
        <v>8</v>
      </c>
      <c r="K455" s="22" t="s">
        <v>8</v>
      </c>
      <c r="L455" s="22" t="s">
        <v>8</v>
      </c>
      <c r="M455" s="22" t="s">
        <v>8</v>
      </c>
      <c r="N455" s="22" t="s">
        <v>8</v>
      </c>
      <c r="O455" s="22" t="s">
        <v>8</v>
      </c>
      <c r="P455" s="22" t="s">
        <v>8</v>
      </c>
      <c r="Q455" s="22" t="s">
        <v>8</v>
      </c>
      <c r="R455" s="22" t="s">
        <v>8</v>
      </c>
      <c r="S455" s="22" t="s">
        <v>8</v>
      </c>
      <c r="T455" s="5">
        <v>5</v>
      </c>
      <c r="U455" s="5">
        <v>17</v>
      </c>
      <c r="V455" s="20" t="s">
        <v>1</v>
      </c>
      <c r="W455" s="20">
        <v>5</v>
      </c>
      <c r="X455" s="20">
        <v>1</v>
      </c>
      <c r="Y455" s="5">
        <v>1</v>
      </c>
      <c r="Z455" s="20">
        <v>4</v>
      </c>
      <c r="AA455" s="23">
        <f t="shared" si="14"/>
        <v>1</v>
      </c>
      <c r="AB455" s="15">
        <v>1</v>
      </c>
      <c r="AC455" s="15">
        <v>0.875</v>
      </c>
      <c r="AD455" s="15">
        <v>0.75</v>
      </c>
      <c r="AE455" s="15">
        <v>0.875</v>
      </c>
      <c r="AF455" s="20">
        <v>21</v>
      </c>
      <c r="AG455" s="20">
        <v>4</v>
      </c>
      <c r="AH455" s="24">
        <v>24</v>
      </c>
      <c r="AI455" s="23">
        <f t="shared" si="15"/>
        <v>1</v>
      </c>
      <c r="AJ455" s="17">
        <v>5.75</v>
      </c>
      <c r="AK455" s="17">
        <v>7</v>
      </c>
      <c r="AL455" s="14">
        <v>12.75</v>
      </c>
      <c r="AM455" s="23" cm="1">
        <f t="array" ref="AM455">IF(OR(AN455:AZ455=""),"BLANK",IF(AND(AN455:AZ455&lt;9999999),1,IF(AND(AN455:AZ455="NA"),3,2)))</f>
        <v>1</v>
      </c>
      <c r="AN455" s="5">
        <v>4</v>
      </c>
      <c r="AO455" s="5">
        <v>2</v>
      </c>
      <c r="AP455" s="10">
        <v>3.5</v>
      </c>
      <c r="AQ455" s="10">
        <v>7.75</v>
      </c>
      <c r="AR455" s="10">
        <v>7.75</v>
      </c>
      <c r="AS455" s="11">
        <v>1341</v>
      </c>
      <c r="AT455" s="11">
        <v>5086</v>
      </c>
      <c r="AU455" s="11">
        <v>4818.75</v>
      </c>
      <c r="AV455" s="11">
        <v>5517</v>
      </c>
      <c r="AW455" s="11">
        <v>0</v>
      </c>
      <c r="AX455" s="11">
        <v>14486.875</v>
      </c>
      <c r="AY455" s="11">
        <v>8531.8452380952003</v>
      </c>
      <c r="AZ455" s="11">
        <v>6475.8395833332997</v>
      </c>
      <c r="BA455" s="23">
        <v>3</v>
      </c>
      <c r="BB455" s="24" t="s">
        <v>8</v>
      </c>
    </row>
    <row r="456" spans="1:54" x14ac:dyDescent="0.2">
      <c r="A456" s="5">
        <v>4795</v>
      </c>
      <c r="B456" s="20" t="s">
        <v>78</v>
      </c>
      <c r="C456" s="18" t="s">
        <v>54</v>
      </c>
      <c r="D456" s="18">
        <v>5</v>
      </c>
      <c r="E456" s="18">
        <v>0</v>
      </c>
      <c r="F456" s="20">
        <v>3.6360000000000001</v>
      </c>
      <c r="G456" s="18">
        <v>28</v>
      </c>
      <c r="H456" s="22">
        <v>3.2197125256673513</v>
      </c>
      <c r="I456" s="22">
        <v>3.0800821355236141</v>
      </c>
      <c r="J456" s="22">
        <v>6.2997946611909654</v>
      </c>
      <c r="K456" s="22">
        <v>3.2197125256673513</v>
      </c>
      <c r="L456" s="22">
        <v>3.1129363449691994</v>
      </c>
      <c r="M456" s="22">
        <v>6.3326488706365502</v>
      </c>
      <c r="N456" s="22">
        <v>3.2963723477070501</v>
      </c>
      <c r="O456" s="22">
        <v>2.9514031485284051</v>
      </c>
      <c r="P456" s="22">
        <v>6.2477754962354553</v>
      </c>
      <c r="Q456" s="22">
        <v>3.5263518138261465</v>
      </c>
      <c r="R456" s="22" t="s">
        <v>8</v>
      </c>
      <c r="S456" s="22" t="s">
        <v>8</v>
      </c>
      <c r="T456" s="5">
        <v>6</v>
      </c>
      <c r="U456" s="5">
        <v>18</v>
      </c>
      <c r="V456" s="20" t="s">
        <v>1</v>
      </c>
      <c r="W456" s="20">
        <v>5</v>
      </c>
      <c r="X456" s="20">
        <v>1</v>
      </c>
      <c r="Y456" s="5">
        <v>1</v>
      </c>
      <c r="Z456" s="20">
        <v>4</v>
      </c>
      <c r="AA456" s="23">
        <f t="shared" si="14"/>
        <v>1</v>
      </c>
      <c r="AB456" s="15">
        <v>1</v>
      </c>
      <c r="AC456" s="15">
        <v>1</v>
      </c>
      <c r="AD456" s="15">
        <v>0.875</v>
      </c>
      <c r="AE456" s="15">
        <v>0.95799999999999996</v>
      </c>
      <c r="AF456" s="20">
        <v>23</v>
      </c>
      <c r="AG456" s="20">
        <v>0.27</v>
      </c>
      <c r="AH456" s="24">
        <v>24</v>
      </c>
      <c r="AI456" s="23">
        <f t="shared" si="15"/>
        <v>1</v>
      </c>
      <c r="AJ456" s="17">
        <v>9.75</v>
      </c>
      <c r="AK456" s="17">
        <v>12</v>
      </c>
      <c r="AL456" s="14">
        <v>21.75</v>
      </c>
      <c r="AM456" s="23" cm="1">
        <f t="array" ref="AM456">IF(OR(AN456:AZ456=""),"BLANK",IF(AND(AN456:AZ456&lt;9999999),1,IF(AND(AN456:AZ456="NA"),3,2)))</f>
        <v>1</v>
      </c>
      <c r="AN456" s="5">
        <v>7</v>
      </c>
      <c r="AO456" s="5">
        <v>2</v>
      </c>
      <c r="AP456" s="10">
        <v>3.5</v>
      </c>
      <c r="AQ456" s="10">
        <v>4.5</v>
      </c>
      <c r="AR456" s="10">
        <v>8.5</v>
      </c>
      <c r="AS456" s="11">
        <v>4670.5</v>
      </c>
      <c r="AT456" s="11">
        <v>4019</v>
      </c>
      <c r="AU456" s="11">
        <v>21734.75</v>
      </c>
      <c r="AV456" s="11">
        <v>21695.75</v>
      </c>
      <c r="AW456" s="11">
        <v>0</v>
      </c>
      <c r="AX456" s="11">
        <v>950.75</v>
      </c>
      <c r="AY456" s="11">
        <v>2741.4375</v>
      </c>
      <c r="AZ456" s="11">
        <v>1325.4007575758001</v>
      </c>
      <c r="BA456" s="23">
        <v>3</v>
      </c>
      <c r="BB456" s="24" t="s">
        <v>8</v>
      </c>
    </row>
    <row r="457" spans="1:54" x14ac:dyDescent="0.2">
      <c r="A457" s="5">
        <v>4799</v>
      </c>
      <c r="B457" s="20" t="s">
        <v>70</v>
      </c>
      <c r="C457" s="18" t="s">
        <v>54</v>
      </c>
      <c r="D457" s="18">
        <v>6</v>
      </c>
      <c r="E457" s="18">
        <v>1</v>
      </c>
      <c r="F457" s="20">
        <v>3.9089999999999998</v>
      </c>
      <c r="G457" s="18">
        <v>28</v>
      </c>
      <c r="H457" s="22" t="s">
        <v>8</v>
      </c>
      <c r="I457" s="22" t="s">
        <v>8</v>
      </c>
      <c r="J457" s="22" t="s">
        <v>8</v>
      </c>
      <c r="K457" s="22" t="s">
        <v>8</v>
      </c>
      <c r="L457" s="22" t="s">
        <v>8</v>
      </c>
      <c r="M457" s="22" t="s">
        <v>8</v>
      </c>
      <c r="N457" s="22" t="s">
        <v>8</v>
      </c>
      <c r="O457" s="22" t="s">
        <v>8</v>
      </c>
      <c r="P457" s="22" t="s">
        <v>8</v>
      </c>
      <c r="Q457" s="22" t="s">
        <v>8</v>
      </c>
      <c r="R457" s="22" t="s">
        <v>8</v>
      </c>
      <c r="S457" s="22" t="s">
        <v>8</v>
      </c>
      <c r="T457" s="5">
        <v>3</v>
      </c>
      <c r="U457" s="5">
        <v>12</v>
      </c>
      <c r="V457" s="20" t="s">
        <v>1</v>
      </c>
      <c r="W457" s="20">
        <v>5</v>
      </c>
      <c r="X457" s="20">
        <v>1</v>
      </c>
      <c r="Y457" s="5">
        <v>1</v>
      </c>
      <c r="Z457" s="20">
        <v>4</v>
      </c>
      <c r="AA457" s="23">
        <f t="shared" si="14"/>
        <v>1</v>
      </c>
      <c r="AB457" s="15">
        <v>1</v>
      </c>
      <c r="AC457" s="15">
        <v>0.625</v>
      </c>
      <c r="AD457" s="15">
        <v>0.5</v>
      </c>
      <c r="AE457" s="15">
        <v>0.70799999999999996</v>
      </c>
      <c r="AF457" s="20">
        <v>17</v>
      </c>
      <c r="AG457" s="20">
        <v>0.8</v>
      </c>
      <c r="AH457" s="24">
        <v>24</v>
      </c>
      <c r="AI457" s="23">
        <f t="shared" si="15"/>
        <v>1</v>
      </c>
      <c r="AJ457" s="17">
        <v>6.25</v>
      </c>
      <c r="AK457" s="17">
        <v>6</v>
      </c>
      <c r="AL457" s="14">
        <v>12.25</v>
      </c>
      <c r="AM457" s="23" cm="1">
        <f t="array" ref="AM457">IF(OR(AN457:AZ457=""),"BLANK",IF(AND(AN457:AZ457&lt;9999999),1,IF(AND(AN457:AZ457="NA"),3,2)))</f>
        <v>1</v>
      </c>
      <c r="AN457" s="5">
        <v>8</v>
      </c>
      <c r="AO457" s="5">
        <v>2</v>
      </c>
      <c r="AP457" s="10">
        <v>3</v>
      </c>
      <c r="AQ457" s="10">
        <v>5.25</v>
      </c>
      <c r="AR457" s="10">
        <v>8</v>
      </c>
      <c r="AS457" s="11">
        <v>9486</v>
      </c>
      <c r="AT457" s="11">
        <v>30063.5</v>
      </c>
      <c r="AU457" s="11">
        <v>32558</v>
      </c>
      <c r="AV457" s="11">
        <v>27190.25</v>
      </c>
      <c r="AW457" s="11">
        <v>0</v>
      </c>
      <c r="AX457" s="11">
        <v>10853.833333333299</v>
      </c>
      <c r="AY457" s="11">
        <v>1826.9583333333001</v>
      </c>
      <c r="AZ457" s="11">
        <v>456.5142857143</v>
      </c>
      <c r="BA457" s="23">
        <v>3</v>
      </c>
      <c r="BB457" s="24" t="s">
        <v>8</v>
      </c>
    </row>
    <row r="458" spans="1:54" x14ac:dyDescent="0.2">
      <c r="A458" s="5">
        <v>4800</v>
      </c>
      <c r="B458" s="20" t="s">
        <v>62</v>
      </c>
      <c r="C458" s="18" t="s">
        <v>54</v>
      </c>
      <c r="D458" s="18">
        <v>5</v>
      </c>
      <c r="E458" s="18">
        <v>0</v>
      </c>
      <c r="F458" s="20">
        <v>3.7269999999999999</v>
      </c>
      <c r="G458" s="18">
        <v>30</v>
      </c>
      <c r="H458" s="22">
        <v>3.5674195756331279</v>
      </c>
      <c r="I458" s="22" t="s">
        <v>8</v>
      </c>
      <c r="J458" s="22" t="s">
        <v>8</v>
      </c>
      <c r="K458" s="22">
        <v>3.5674195756331279</v>
      </c>
      <c r="L458" s="22" t="s">
        <v>8</v>
      </c>
      <c r="M458" s="22" t="s">
        <v>8</v>
      </c>
      <c r="N458" s="22">
        <v>3.4743326488706368</v>
      </c>
      <c r="O458" s="22" t="s">
        <v>8</v>
      </c>
      <c r="P458" s="22" t="s">
        <v>8</v>
      </c>
      <c r="Q458" s="22">
        <v>3.8028747433264889</v>
      </c>
      <c r="R458" s="22" t="s">
        <v>8</v>
      </c>
      <c r="S458" s="22" t="s">
        <v>8</v>
      </c>
      <c r="T458" s="5">
        <v>4</v>
      </c>
      <c r="U458" s="5">
        <v>16</v>
      </c>
      <c r="V458" s="20" t="s">
        <v>1</v>
      </c>
      <c r="W458" s="20">
        <v>5</v>
      </c>
      <c r="X458" s="20">
        <v>1</v>
      </c>
      <c r="Y458" s="5">
        <v>1</v>
      </c>
      <c r="Z458" s="20">
        <v>4</v>
      </c>
      <c r="AA458" s="23">
        <f t="shared" si="14"/>
        <v>1</v>
      </c>
      <c r="AB458" s="15">
        <v>1</v>
      </c>
      <c r="AC458" s="15">
        <v>0.875</v>
      </c>
      <c r="AD458" s="15">
        <v>0.875</v>
      </c>
      <c r="AE458" s="15">
        <v>0.91700000000000004</v>
      </c>
      <c r="AF458" s="20">
        <v>22</v>
      </c>
      <c r="AG458" s="20">
        <v>7</v>
      </c>
      <c r="AH458" s="24">
        <v>24</v>
      </c>
      <c r="AI458" s="23">
        <f t="shared" si="15"/>
        <v>1</v>
      </c>
      <c r="AJ458" s="17">
        <v>14</v>
      </c>
      <c r="AK458" s="17">
        <v>11.75</v>
      </c>
      <c r="AL458" s="14">
        <v>25.75</v>
      </c>
      <c r="AM458" s="23" cm="1">
        <f t="array" ref="AM458">IF(OR(AN458:AZ458=""),"BLANK",IF(AND(AN458:AZ458&lt;9999999),1,IF(AND(AN458:AZ458="NA"),3,2)))</f>
        <v>1</v>
      </c>
      <c r="AN458" s="5">
        <v>12</v>
      </c>
      <c r="AO458" s="5">
        <v>2</v>
      </c>
      <c r="AP458" s="10">
        <v>3</v>
      </c>
      <c r="AQ458" s="10">
        <v>4</v>
      </c>
      <c r="AR458" s="10">
        <v>5</v>
      </c>
      <c r="AS458" s="11">
        <v>2444</v>
      </c>
      <c r="AT458" s="11">
        <v>2560</v>
      </c>
      <c r="AU458" s="11">
        <v>14776</v>
      </c>
      <c r="AV458" s="11">
        <v>26718.5</v>
      </c>
      <c r="AW458" s="11">
        <v>0</v>
      </c>
      <c r="AX458" s="11">
        <v>0</v>
      </c>
      <c r="AY458" s="11">
        <v>0</v>
      </c>
      <c r="AZ458" s="11">
        <v>0</v>
      </c>
      <c r="BA458" s="23">
        <v>3</v>
      </c>
      <c r="BB458" s="24" t="s">
        <v>8</v>
      </c>
    </row>
    <row r="459" spans="1:54" x14ac:dyDescent="0.2">
      <c r="A459" s="5">
        <v>4805</v>
      </c>
      <c r="B459" s="20" t="s">
        <v>75</v>
      </c>
      <c r="C459" s="18" t="s">
        <v>54</v>
      </c>
      <c r="D459" s="18">
        <v>5</v>
      </c>
      <c r="E459" s="18">
        <v>0</v>
      </c>
      <c r="F459" s="20">
        <v>3.7269999999999999</v>
      </c>
      <c r="G459" s="18">
        <v>29</v>
      </c>
      <c r="H459" s="22">
        <v>3.676933607118412</v>
      </c>
      <c r="I459" s="22" t="s">
        <v>8</v>
      </c>
      <c r="J459" s="22" t="s">
        <v>8</v>
      </c>
      <c r="K459" s="22" t="s">
        <v>8</v>
      </c>
      <c r="L459" s="22" t="s">
        <v>8</v>
      </c>
      <c r="M459" s="22" t="s">
        <v>8</v>
      </c>
      <c r="N459" s="22" t="s">
        <v>8</v>
      </c>
      <c r="O459" s="22" t="s">
        <v>8</v>
      </c>
      <c r="P459" s="22" t="s">
        <v>8</v>
      </c>
      <c r="Q459" s="22">
        <v>3.5811088295687883</v>
      </c>
      <c r="R459" s="22" t="s">
        <v>8</v>
      </c>
      <c r="S459" s="22" t="s">
        <v>8</v>
      </c>
      <c r="T459" s="5">
        <v>3</v>
      </c>
      <c r="U459" s="5">
        <v>13</v>
      </c>
      <c r="V459" s="20" t="s">
        <v>1</v>
      </c>
      <c r="W459" s="20">
        <v>5</v>
      </c>
      <c r="X459" s="20">
        <v>1</v>
      </c>
      <c r="Y459" s="5">
        <v>1</v>
      </c>
      <c r="Z459" s="20">
        <v>4</v>
      </c>
      <c r="AA459" s="23">
        <f t="shared" si="14"/>
        <v>1</v>
      </c>
      <c r="AB459" s="15">
        <v>1</v>
      </c>
      <c r="AC459" s="15">
        <v>0.875</v>
      </c>
      <c r="AD459" s="15">
        <v>0.625</v>
      </c>
      <c r="AE459" s="15">
        <v>0.83299999999999996</v>
      </c>
      <c r="AF459" s="20">
        <v>20</v>
      </c>
      <c r="AG459" s="20">
        <v>7</v>
      </c>
      <c r="AH459" s="24">
        <v>24</v>
      </c>
      <c r="AI459" s="23">
        <f t="shared" si="15"/>
        <v>1</v>
      </c>
      <c r="AJ459" s="17">
        <v>10.75</v>
      </c>
      <c r="AK459" s="17">
        <v>5.5</v>
      </c>
      <c r="AL459" s="14">
        <v>16.25</v>
      </c>
      <c r="AM459" s="23" cm="1">
        <f t="array" ref="AM459">IF(OR(AN459:AZ459=""),"BLANK",IF(AND(AN459:AZ459&lt;9999999),1,IF(AND(AN459:AZ459="NA"),3,2)))</f>
        <v>1</v>
      </c>
      <c r="AN459" s="5">
        <v>6</v>
      </c>
      <c r="AO459" s="5">
        <v>2</v>
      </c>
      <c r="AP459" s="10">
        <v>3</v>
      </c>
      <c r="AQ459" s="10">
        <v>5.25</v>
      </c>
      <c r="AR459" s="10">
        <v>10</v>
      </c>
      <c r="AS459" s="11">
        <v>2511</v>
      </c>
      <c r="AT459" s="11">
        <v>4550.5</v>
      </c>
      <c r="AU459" s="11">
        <v>3269</v>
      </c>
      <c r="AV459" s="11">
        <v>6603</v>
      </c>
      <c r="AW459" s="11">
        <v>11</v>
      </c>
      <c r="AX459" s="11">
        <v>0</v>
      </c>
      <c r="AY459" s="11">
        <v>745.78125</v>
      </c>
      <c r="AZ459" s="11">
        <v>2000.9829545455</v>
      </c>
      <c r="BA459" s="23">
        <v>3</v>
      </c>
      <c r="BB459" s="24" t="s">
        <v>8</v>
      </c>
    </row>
    <row r="460" spans="1:54" x14ac:dyDescent="0.2">
      <c r="A460" s="5">
        <v>4828</v>
      </c>
      <c r="B460" s="20" t="s">
        <v>63</v>
      </c>
      <c r="C460" s="18" t="s">
        <v>55</v>
      </c>
      <c r="D460" s="18">
        <v>5</v>
      </c>
      <c r="E460" s="18">
        <v>0</v>
      </c>
      <c r="F460" s="20">
        <v>4</v>
      </c>
      <c r="G460" s="18">
        <v>29</v>
      </c>
      <c r="H460" s="22" t="s">
        <v>8</v>
      </c>
      <c r="I460" s="22" t="s">
        <v>8</v>
      </c>
      <c r="J460" s="22" t="s">
        <v>8</v>
      </c>
      <c r="K460" s="22" t="s">
        <v>8</v>
      </c>
      <c r="L460" s="22" t="s">
        <v>8</v>
      </c>
      <c r="M460" s="22" t="s">
        <v>8</v>
      </c>
      <c r="N460" s="22" t="s">
        <v>8</v>
      </c>
      <c r="O460" s="22" t="s">
        <v>8</v>
      </c>
      <c r="P460" s="22" t="s">
        <v>8</v>
      </c>
      <c r="Q460" s="22" t="s">
        <v>8</v>
      </c>
      <c r="R460" s="22" t="s">
        <v>8</v>
      </c>
      <c r="S460" s="22" t="s">
        <v>8</v>
      </c>
      <c r="T460" s="5">
        <v>3</v>
      </c>
      <c r="U460" s="5">
        <v>14</v>
      </c>
      <c r="V460" s="20" t="s">
        <v>1</v>
      </c>
      <c r="W460" s="20">
        <v>5</v>
      </c>
      <c r="X460" s="20">
        <v>1</v>
      </c>
      <c r="Y460" s="5">
        <v>1</v>
      </c>
      <c r="Z460" s="20">
        <v>4</v>
      </c>
      <c r="AA460" s="23">
        <f t="shared" si="14"/>
        <v>1</v>
      </c>
      <c r="AB460" s="15">
        <v>1</v>
      </c>
      <c r="AC460" s="15">
        <v>0.625</v>
      </c>
      <c r="AD460" s="15">
        <v>0.42857142857142855</v>
      </c>
      <c r="AE460" s="15">
        <v>0.69599999999999995</v>
      </c>
      <c r="AF460" s="20">
        <v>16</v>
      </c>
      <c r="AG460" s="20">
        <v>5</v>
      </c>
      <c r="AH460" s="24">
        <v>23</v>
      </c>
      <c r="AI460" s="23">
        <f t="shared" si="15"/>
        <v>1</v>
      </c>
      <c r="AJ460" s="17">
        <v>6.75</v>
      </c>
      <c r="AK460" s="17">
        <v>6</v>
      </c>
      <c r="AL460" s="14">
        <v>12.75</v>
      </c>
      <c r="AM460" s="23" cm="1">
        <f t="array" ref="AM460">IF(OR(AN460:AZ460=""),"BLANK",IF(AND(AN460:AZ460&lt;9999999),1,IF(AND(AN460:AZ460="NA"),3,2)))</f>
        <v>1</v>
      </c>
      <c r="AN460" s="5">
        <v>6</v>
      </c>
      <c r="AO460" s="5">
        <v>2</v>
      </c>
      <c r="AP460" s="10">
        <v>5</v>
      </c>
      <c r="AQ460" s="10">
        <v>6</v>
      </c>
      <c r="AR460" s="10">
        <v>7.75</v>
      </c>
      <c r="AS460" s="11">
        <v>1430.5</v>
      </c>
      <c r="AT460" s="11">
        <v>7692</v>
      </c>
      <c r="AU460" s="11">
        <v>3663.5</v>
      </c>
      <c r="AV460" s="11">
        <v>3150.75</v>
      </c>
      <c r="AW460" s="11">
        <v>2060.75</v>
      </c>
      <c r="AX460" s="11">
        <v>8529.9761904761999</v>
      </c>
      <c r="AY460" s="11">
        <v>8849.6289682539991</v>
      </c>
      <c r="AZ460" s="11">
        <v>5623.0797619047999</v>
      </c>
      <c r="BA460" s="23">
        <v>3</v>
      </c>
      <c r="BB460" s="24" t="s">
        <v>8</v>
      </c>
    </row>
    <row r="461" spans="1:54" x14ac:dyDescent="0.2">
      <c r="A461" s="5">
        <v>4841</v>
      </c>
      <c r="B461" s="20" t="s">
        <v>74</v>
      </c>
      <c r="C461" s="18" t="s">
        <v>54</v>
      </c>
      <c r="D461" s="18">
        <v>5</v>
      </c>
      <c r="E461" s="18">
        <v>0</v>
      </c>
      <c r="F461" s="20">
        <v>3.4550000000000001</v>
      </c>
      <c r="G461" s="18">
        <v>30</v>
      </c>
      <c r="H461" s="22">
        <v>3.5427789185489389</v>
      </c>
      <c r="I461" s="22" t="s">
        <v>8</v>
      </c>
      <c r="J461" s="22" t="s">
        <v>8</v>
      </c>
      <c r="K461" s="22">
        <v>3.5427789185489389</v>
      </c>
      <c r="L461" s="22" t="s">
        <v>8</v>
      </c>
      <c r="M461" s="22" t="s">
        <v>8</v>
      </c>
      <c r="N461" s="22">
        <v>3.5126625598904861</v>
      </c>
      <c r="O461" s="22" t="s">
        <v>8</v>
      </c>
      <c r="P461" s="22" t="s">
        <v>8</v>
      </c>
      <c r="Q461" s="22" t="s">
        <v>8</v>
      </c>
      <c r="R461" s="22" t="s">
        <v>8</v>
      </c>
      <c r="S461" s="22" t="s">
        <v>8</v>
      </c>
      <c r="T461" s="5">
        <v>3</v>
      </c>
      <c r="U461" s="5">
        <v>14</v>
      </c>
      <c r="V461" s="20" t="s">
        <v>1</v>
      </c>
      <c r="W461" s="20">
        <v>5</v>
      </c>
      <c r="X461" s="20">
        <v>1</v>
      </c>
      <c r="Y461" s="5">
        <v>1</v>
      </c>
      <c r="Z461" s="20">
        <v>4</v>
      </c>
      <c r="AA461" s="23">
        <f t="shared" si="14"/>
        <v>1</v>
      </c>
      <c r="AB461" s="15">
        <v>1</v>
      </c>
      <c r="AC461" s="15">
        <v>1</v>
      </c>
      <c r="AD461" s="15">
        <v>0.75</v>
      </c>
      <c r="AE461" s="15">
        <v>0.91300000000000003</v>
      </c>
      <c r="AF461" s="20">
        <v>21</v>
      </c>
      <c r="AG461" s="20">
        <v>2</v>
      </c>
      <c r="AH461" s="24">
        <v>23</v>
      </c>
      <c r="AI461" s="23">
        <f t="shared" si="15"/>
        <v>1</v>
      </c>
      <c r="AJ461" s="17">
        <v>7.25</v>
      </c>
      <c r="AK461" s="17">
        <v>7</v>
      </c>
      <c r="AL461" s="14">
        <v>14.25</v>
      </c>
      <c r="AM461" s="23" cm="1">
        <f t="array" ref="AM461">IF(OR(AN461:AZ461=""),"BLANK",IF(AND(AN461:AZ461&lt;9999999),1,IF(AND(AN461:AZ461="NA"),3,2)))</f>
        <v>1</v>
      </c>
      <c r="AN461" s="5">
        <v>7</v>
      </c>
      <c r="AO461" s="5">
        <v>2</v>
      </c>
      <c r="AP461" s="10">
        <v>3</v>
      </c>
      <c r="AQ461" s="10">
        <v>5.25</v>
      </c>
      <c r="AR461" s="10">
        <v>9.75</v>
      </c>
      <c r="AS461" s="11">
        <v>2556</v>
      </c>
      <c r="AT461" s="11">
        <v>7017</v>
      </c>
      <c r="AU461" s="11">
        <v>13033.5</v>
      </c>
      <c r="AV461" s="11">
        <v>4854</v>
      </c>
      <c r="AW461" s="11">
        <v>0</v>
      </c>
      <c r="AX461" s="11">
        <v>0</v>
      </c>
      <c r="AY461" s="11">
        <v>1519.9583333333001</v>
      </c>
      <c r="AZ461" s="11">
        <v>5834.4305555556002</v>
      </c>
      <c r="BA461" s="23">
        <v>3</v>
      </c>
      <c r="BB461" s="24" t="s">
        <v>8</v>
      </c>
    </row>
    <row r="462" spans="1:54" x14ac:dyDescent="0.2">
      <c r="A462" s="5">
        <v>4847</v>
      </c>
      <c r="B462" s="20" t="s">
        <v>64</v>
      </c>
      <c r="C462" s="18" t="s">
        <v>54</v>
      </c>
      <c r="D462" s="18">
        <v>5</v>
      </c>
      <c r="E462" s="18">
        <v>0</v>
      </c>
      <c r="F462" s="20">
        <v>3.8180000000000001</v>
      </c>
      <c r="G462" s="18">
        <v>28</v>
      </c>
      <c r="H462" s="22">
        <v>3.1649555099247091</v>
      </c>
      <c r="I462" s="22">
        <v>2.9815195071868583</v>
      </c>
      <c r="J462" s="22">
        <v>6.1464750171115679</v>
      </c>
      <c r="K462" s="22">
        <v>3.1676933607118412</v>
      </c>
      <c r="L462" s="22" t="s">
        <v>8</v>
      </c>
      <c r="M462" s="22" t="s">
        <v>8</v>
      </c>
      <c r="N462" s="22">
        <v>3.1813826146475015</v>
      </c>
      <c r="O462" s="22">
        <v>2.967830253251198</v>
      </c>
      <c r="P462" s="22">
        <v>6.1492128678986999</v>
      </c>
      <c r="Q462" s="22">
        <v>2.7980835044490076</v>
      </c>
      <c r="R462" s="22" t="s">
        <v>8</v>
      </c>
      <c r="S462" s="22" t="s">
        <v>8</v>
      </c>
      <c r="T462" s="5">
        <v>6</v>
      </c>
      <c r="U462" s="5">
        <v>18</v>
      </c>
      <c r="V462" s="20" t="s">
        <v>1</v>
      </c>
      <c r="W462" s="20">
        <v>5</v>
      </c>
      <c r="X462" s="20">
        <v>1</v>
      </c>
      <c r="Y462" s="5">
        <v>1</v>
      </c>
      <c r="Z462" s="20">
        <v>4</v>
      </c>
      <c r="AA462" s="23">
        <f t="shared" si="14"/>
        <v>1</v>
      </c>
      <c r="AB462" s="15">
        <v>0.875</v>
      </c>
      <c r="AC462" s="15">
        <v>0.875</v>
      </c>
      <c r="AD462" s="15">
        <v>0.8571428571428571</v>
      </c>
      <c r="AE462" s="15">
        <v>0.87</v>
      </c>
      <c r="AF462" s="20">
        <v>20</v>
      </c>
      <c r="AG462" s="20">
        <v>6</v>
      </c>
      <c r="AH462" s="24">
        <v>23</v>
      </c>
      <c r="AI462" s="23">
        <f t="shared" si="15"/>
        <v>1</v>
      </c>
      <c r="AJ462" s="17">
        <v>11.75</v>
      </c>
      <c r="AK462" s="17">
        <v>8.75</v>
      </c>
      <c r="AL462" s="14">
        <v>20.5</v>
      </c>
      <c r="AM462" s="23" cm="1">
        <f t="array" ref="AM462">IF(OR(AN462:AZ462=""),"BLANK",IF(AND(AN462:AZ462&lt;9999999),1,IF(AND(AN462:AZ462="NA"),3,2)))</f>
        <v>1</v>
      </c>
      <c r="AN462" s="5">
        <v>11</v>
      </c>
      <c r="AO462" s="5">
        <v>2</v>
      </c>
      <c r="AP462" s="10">
        <v>3</v>
      </c>
      <c r="AQ462" s="10">
        <v>4</v>
      </c>
      <c r="AR462" s="10">
        <v>6.75</v>
      </c>
      <c r="AS462" s="11">
        <v>2757</v>
      </c>
      <c r="AT462" s="11">
        <v>4961</v>
      </c>
      <c r="AU462" s="11">
        <v>4169.25</v>
      </c>
      <c r="AV462" s="11">
        <v>9642.5</v>
      </c>
      <c r="AW462" s="11">
        <v>0</v>
      </c>
      <c r="AX462" s="11">
        <v>0</v>
      </c>
      <c r="AY462" s="11">
        <v>0</v>
      </c>
      <c r="AZ462" s="11">
        <v>742.27499999999998</v>
      </c>
      <c r="BA462" s="23">
        <v>3</v>
      </c>
      <c r="BB462" s="24" t="s">
        <v>8</v>
      </c>
    </row>
    <row r="463" spans="1:54" x14ac:dyDescent="0.2">
      <c r="A463" s="5">
        <v>4868</v>
      </c>
      <c r="B463" s="20" t="s">
        <v>75</v>
      </c>
      <c r="C463" s="18" t="s">
        <v>54</v>
      </c>
      <c r="D463" s="18">
        <v>5</v>
      </c>
      <c r="E463" s="18">
        <v>0</v>
      </c>
      <c r="F463" s="20">
        <v>4</v>
      </c>
      <c r="G463" s="18">
        <v>30</v>
      </c>
      <c r="H463" s="22">
        <v>3.1567419575633129</v>
      </c>
      <c r="I463" s="22">
        <v>2.9212867898699519</v>
      </c>
      <c r="J463" s="22">
        <v>6.0780287474332653</v>
      </c>
      <c r="K463" s="22">
        <v>3.159479808350445</v>
      </c>
      <c r="L463" s="22">
        <v>2.9596167008898013</v>
      </c>
      <c r="M463" s="22">
        <v>6.1190965092402463</v>
      </c>
      <c r="N463" s="22">
        <v>3.0855578370978782</v>
      </c>
      <c r="O463" s="22">
        <v>2.97056810403833</v>
      </c>
      <c r="P463" s="22">
        <v>6.0561259411362078</v>
      </c>
      <c r="Q463" s="22">
        <v>2.8336755646817249</v>
      </c>
      <c r="R463" s="22" t="s">
        <v>8</v>
      </c>
      <c r="S463" s="22" t="s">
        <v>8</v>
      </c>
      <c r="T463" s="5">
        <v>3</v>
      </c>
      <c r="U463" s="5">
        <v>14</v>
      </c>
      <c r="V463" s="20" t="s">
        <v>1</v>
      </c>
      <c r="W463" s="20">
        <v>5</v>
      </c>
      <c r="X463" s="20">
        <v>1</v>
      </c>
      <c r="Y463" s="5">
        <v>1</v>
      </c>
      <c r="Z463" s="20">
        <v>4</v>
      </c>
      <c r="AA463" s="23">
        <f t="shared" si="14"/>
        <v>1</v>
      </c>
      <c r="AB463" s="15">
        <v>1</v>
      </c>
      <c r="AC463" s="15">
        <v>1</v>
      </c>
      <c r="AD463" s="15">
        <v>0.75</v>
      </c>
      <c r="AE463" s="15">
        <v>0.91700000000000004</v>
      </c>
      <c r="AF463" s="20">
        <v>22</v>
      </c>
      <c r="AG463" s="20">
        <v>4</v>
      </c>
      <c r="AH463" s="24">
        <v>24</v>
      </c>
      <c r="AI463" s="23">
        <f t="shared" si="15"/>
        <v>1</v>
      </c>
      <c r="AJ463" s="17">
        <v>6</v>
      </c>
      <c r="AK463" s="17">
        <v>5.5</v>
      </c>
      <c r="AL463" s="14">
        <v>11.5</v>
      </c>
      <c r="AM463" s="23" cm="1">
        <f t="array" ref="AM463">IF(OR(AN463:AZ463=""),"BLANK",IF(AND(AN463:AZ463&lt;9999999),1,IF(AND(AN463:AZ463="NA"),3,2)))</f>
        <v>1</v>
      </c>
      <c r="AN463" s="5">
        <v>9</v>
      </c>
      <c r="AO463" s="5">
        <v>2</v>
      </c>
      <c r="AP463" s="10">
        <v>3</v>
      </c>
      <c r="AQ463" s="10">
        <v>5.25</v>
      </c>
      <c r="AR463" s="10">
        <v>6.5</v>
      </c>
      <c r="AS463" s="11">
        <v>2337</v>
      </c>
      <c r="AT463" s="11">
        <v>4550</v>
      </c>
      <c r="AU463" s="11">
        <v>10172</v>
      </c>
      <c r="AV463" s="11">
        <v>9791</v>
      </c>
      <c r="AW463" s="11">
        <v>0</v>
      </c>
      <c r="AX463" s="11">
        <v>0</v>
      </c>
      <c r="AY463" s="11">
        <v>2071.2708333332998</v>
      </c>
      <c r="AZ463" s="11">
        <v>2597.7436507937</v>
      </c>
      <c r="BA463" s="23">
        <v>3</v>
      </c>
      <c r="BB463" s="24" t="s">
        <v>8</v>
      </c>
    </row>
    <row r="464" spans="1:54" x14ac:dyDescent="0.2">
      <c r="A464" s="5">
        <v>4869</v>
      </c>
      <c r="B464" s="20" t="s">
        <v>63</v>
      </c>
      <c r="C464" s="18" t="s">
        <v>55</v>
      </c>
      <c r="D464" s="18">
        <v>5</v>
      </c>
      <c r="E464" s="18">
        <v>0</v>
      </c>
      <c r="F464" s="20">
        <v>4</v>
      </c>
      <c r="G464" s="18">
        <v>27</v>
      </c>
      <c r="H464" s="22">
        <v>3.2525667351129361</v>
      </c>
      <c r="I464" s="22">
        <v>2.8583162217659139</v>
      </c>
      <c r="J464" s="22">
        <v>6.1108829568788501</v>
      </c>
      <c r="K464" s="22">
        <v>3.2525667351129361</v>
      </c>
      <c r="L464" s="22">
        <v>2.8583162217659139</v>
      </c>
      <c r="M464" s="22">
        <v>6.1108829568788501</v>
      </c>
      <c r="N464" s="22">
        <v>3.2580424366872007</v>
      </c>
      <c r="O464" s="22">
        <v>2.8884325804243667</v>
      </c>
      <c r="P464" s="22">
        <v>6.1464750171115679</v>
      </c>
      <c r="Q464" s="22">
        <v>2.8966461327857633</v>
      </c>
      <c r="R464" s="22" t="s">
        <v>8</v>
      </c>
      <c r="S464" s="22" t="s">
        <v>8</v>
      </c>
      <c r="T464" s="5">
        <v>3</v>
      </c>
      <c r="U464" s="5">
        <v>14</v>
      </c>
      <c r="V464" s="20" t="s">
        <v>1</v>
      </c>
      <c r="W464" s="20">
        <v>5</v>
      </c>
      <c r="X464" s="20">
        <v>1</v>
      </c>
      <c r="Y464" s="5">
        <v>1</v>
      </c>
      <c r="Z464" s="20">
        <v>4</v>
      </c>
      <c r="AA464" s="23">
        <f t="shared" si="14"/>
        <v>1</v>
      </c>
      <c r="AB464" s="15">
        <v>0.875</v>
      </c>
      <c r="AC464" s="15">
        <v>0.875</v>
      </c>
      <c r="AD464" s="15">
        <v>0.14285714285714285</v>
      </c>
      <c r="AE464" s="15">
        <v>0.65200000000000002</v>
      </c>
      <c r="AF464" s="20">
        <v>15</v>
      </c>
      <c r="AG464" s="20">
        <v>0</v>
      </c>
      <c r="AH464" s="24">
        <v>23</v>
      </c>
      <c r="AI464" s="23">
        <f t="shared" si="15"/>
        <v>1</v>
      </c>
      <c r="AJ464" s="17">
        <v>2</v>
      </c>
      <c r="AK464" s="17">
        <v>2.75</v>
      </c>
      <c r="AL464" s="14">
        <v>4.75</v>
      </c>
      <c r="AM464" s="23" cm="1">
        <f t="array" ref="AM464">IF(OR(AN464:AZ464=""),"BLANK",IF(AND(AN464:AZ464&lt;9999999),1,IF(AND(AN464:AZ464="NA"),3,2)))</f>
        <v>1</v>
      </c>
      <c r="AN464" s="5">
        <v>8</v>
      </c>
      <c r="AO464" s="5">
        <v>2</v>
      </c>
      <c r="AP464" s="10">
        <v>3</v>
      </c>
      <c r="AQ464" s="10">
        <v>5.5</v>
      </c>
      <c r="AR464" s="10">
        <v>8.25</v>
      </c>
      <c r="AS464" s="11">
        <v>3032.5</v>
      </c>
      <c r="AT464" s="11">
        <v>9305.5</v>
      </c>
      <c r="AU464" s="11">
        <v>15536.25</v>
      </c>
      <c r="AV464" s="11">
        <v>10611.5</v>
      </c>
      <c r="AW464" s="11">
        <v>0</v>
      </c>
      <c r="AX464" s="11">
        <v>242.5</v>
      </c>
      <c r="AY464" s="11">
        <v>739.78055555560002</v>
      </c>
      <c r="AZ464" s="11">
        <v>1808.9901515152001</v>
      </c>
      <c r="BA464" s="23">
        <v>3</v>
      </c>
      <c r="BB464" s="24" t="s">
        <v>8</v>
      </c>
    </row>
    <row r="465" spans="1:54" s="37" customFormat="1" ht="17" thickBot="1" x14ac:dyDescent="0.25">
      <c r="A465" s="42">
        <v>4876</v>
      </c>
      <c r="B465" s="37" t="s">
        <v>75</v>
      </c>
      <c r="C465" s="45" t="s">
        <v>54</v>
      </c>
      <c r="D465" s="45">
        <v>5</v>
      </c>
      <c r="E465" s="45">
        <v>0</v>
      </c>
      <c r="F465" s="37">
        <v>3.9089999999999998</v>
      </c>
      <c r="G465" s="45">
        <v>30</v>
      </c>
      <c r="H465" s="36">
        <v>3.2826830937713893</v>
      </c>
      <c r="I465" s="36">
        <v>3.0006844626967832</v>
      </c>
      <c r="J465" s="36">
        <v>6.2833675564681721</v>
      </c>
      <c r="K465" s="36">
        <v>3.2826830937713893</v>
      </c>
      <c r="L465" s="36" t="s">
        <v>8</v>
      </c>
      <c r="M465" s="36" t="s">
        <v>8</v>
      </c>
      <c r="N465" s="36">
        <v>3.2936344969199181</v>
      </c>
      <c r="O465" s="36">
        <v>2.9760438056125942</v>
      </c>
      <c r="P465" s="36">
        <v>6.2696783025325118</v>
      </c>
      <c r="Q465" s="36" t="s">
        <v>8</v>
      </c>
      <c r="R465" s="36" t="s">
        <v>8</v>
      </c>
      <c r="S465" s="36">
        <v>5.9958932238193015</v>
      </c>
      <c r="T465" s="42">
        <v>3</v>
      </c>
      <c r="U465" s="42">
        <v>15</v>
      </c>
      <c r="V465" s="37" t="s">
        <v>1</v>
      </c>
      <c r="W465" s="37">
        <v>5</v>
      </c>
      <c r="X465" s="37">
        <v>1</v>
      </c>
      <c r="Y465" s="42">
        <v>1</v>
      </c>
      <c r="Z465" s="37">
        <v>4</v>
      </c>
      <c r="AA465" s="38">
        <f t="shared" si="14"/>
        <v>1</v>
      </c>
      <c r="AB465" s="39">
        <v>0.875</v>
      </c>
      <c r="AC465" s="39">
        <v>0.625</v>
      </c>
      <c r="AD465" s="39">
        <v>0.625</v>
      </c>
      <c r="AE465" s="39">
        <v>0.70799999999999996</v>
      </c>
      <c r="AF465" s="37">
        <v>17</v>
      </c>
      <c r="AG465" s="37">
        <v>6</v>
      </c>
      <c r="AH465" s="41">
        <v>24</v>
      </c>
      <c r="AI465" s="38">
        <f t="shared" si="15"/>
        <v>1</v>
      </c>
      <c r="AJ465" s="46">
        <v>6.5</v>
      </c>
      <c r="AK465" s="46">
        <v>11</v>
      </c>
      <c r="AL465" s="47">
        <v>17.5</v>
      </c>
      <c r="AM465" s="38" cm="1">
        <f t="array" ref="AM465">IF(OR(AN465:AZ465=""),"BLANK",IF(AND(AN465:AZ465&lt;9999999),1,IF(AND(AN465:AZ465="NA"),3,2)))</f>
        <v>1</v>
      </c>
      <c r="AN465" s="42">
        <v>8</v>
      </c>
      <c r="AO465" s="42">
        <v>2</v>
      </c>
      <c r="AP465" s="48">
        <v>3</v>
      </c>
      <c r="AQ465" s="48">
        <v>4.5</v>
      </c>
      <c r="AR465" s="48">
        <v>8.75</v>
      </c>
      <c r="AS465" s="49">
        <v>1720</v>
      </c>
      <c r="AT465" s="49">
        <v>6872.5</v>
      </c>
      <c r="AU465" s="49">
        <v>6966.25</v>
      </c>
      <c r="AV465" s="49">
        <v>6250.75</v>
      </c>
      <c r="AW465" s="49">
        <v>0</v>
      </c>
      <c r="AX465" s="49">
        <v>0</v>
      </c>
      <c r="AY465" s="49">
        <v>0</v>
      </c>
      <c r="AZ465" s="49">
        <v>1078.1773268397999</v>
      </c>
      <c r="BA465" s="38">
        <v>3</v>
      </c>
      <c r="BB465" s="41" t="s">
        <v>8</v>
      </c>
    </row>
    <row r="466" spans="1:54" x14ac:dyDescent="0.2">
      <c r="C466" s="27"/>
      <c r="D466" s="27"/>
      <c r="E466" s="27"/>
      <c r="F466" s="20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5"/>
      <c r="U466" s="5"/>
    </row>
    <row r="467" spans="1:54" x14ac:dyDescent="0.2">
      <c r="C467" s="27"/>
      <c r="D467" s="27"/>
      <c r="E467" s="27"/>
      <c r="F467" s="20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5"/>
      <c r="U467" s="5"/>
    </row>
    <row r="468" spans="1:54" x14ac:dyDescent="0.2">
      <c r="C468" s="27"/>
      <c r="D468" s="27"/>
      <c r="E468" s="27"/>
      <c r="F468" s="20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5"/>
      <c r="U468" s="5"/>
    </row>
    <row r="469" spans="1:54" x14ac:dyDescent="0.2">
      <c r="C469" s="27"/>
      <c r="D469" s="27"/>
      <c r="E469" s="27"/>
      <c r="F469" s="20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5"/>
      <c r="U469" s="5"/>
    </row>
    <row r="470" spans="1:54" x14ac:dyDescent="0.2">
      <c r="C470" s="27"/>
      <c r="D470" s="27"/>
      <c r="E470" s="27"/>
      <c r="F470" s="20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5"/>
      <c r="U470" s="5"/>
    </row>
    <row r="471" spans="1:54" x14ac:dyDescent="0.2">
      <c r="C471" s="27"/>
      <c r="D471" s="27"/>
      <c r="E471" s="27"/>
      <c r="F471" s="20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5"/>
      <c r="U471" s="5"/>
    </row>
    <row r="472" spans="1:54" x14ac:dyDescent="0.2">
      <c r="C472" s="27"/>
      <c r="D472" s="27"/>
      <c r="E472" s="27"/>
      <c r="F472" s="20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5"/>
      <c r="U472" s="5"/>
    </row>
    <row r="473" spans="1:54" x14ac:dyDescent="0.2">
      <c r="C473" s="27"/>
      <c r="D473" s="27"/>
      <c r="E473" s="27"/>
      <c r="F473" s="20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5"/>
      <c r="U473" s="5"/>
    </row>
    <row r="474" spans="1:54" x14ac:dyDescent="0.2">
      <c r="C474" s="27"/>
      <c r="D474" s="27"/>
      <c r="E474" s="27"/>
      <c r="F474" s="20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5"/>
      <c r="U474" s="5"/>
    </row>
    <row r="475" spans="1:54" x14ac:dyDescent="0.2">
      <c r="C475" s="27"/>
      <c r="D475" s="27"/>
      <c r="E475" s="27"/>
      <c r="F475" s="20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5"/>
      <c r="U475" s="5"/>
    </row>
    <row r="476" spans="1:54" x14ac:dyDescent="0.2">
      <c r="C476" s="27"/>
      <c r="D476" s="27"/>
      <c r="E476" s="27"/>
      <c r="F476" s="20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5"/>
      <c r="U476" s="5"/>
    </row>
    <row r="477" spans="1:54" x14ac:dyDescent="0.2">
      <c r="C477" s="27"/>
      <c r="D477" s="27"/>
      <c r="E477" s="27"/>
      <c r="F477" s="20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5"/>
      <c r="U477" s="5"/>
    </row>
    <row r="478" spans="1:54" x14ac:dyDescent="0.2">
      <c r="C478" s="27"/>
      <c r="D478" s="27"/>
      <c r="E478" s="27"/>
      <c r="F478" s="20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5"/>
      <c r="U478" s="5"/>
    </row>
    <row r="479" spans="1:54" x14ac:dyDescent="0.2">
      <c r="C479" s="27"/>
      <c r="D479" s="27"/>
      <c r="E479" s="27"/>
      <c r="F479" s="20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5"/>
      <c r="U479" s="5"/>
    </row>
    <row r="480" spans="1:54" x14ac:dyDescent="0.2">
      <c r="C480" s="27"/>
      <c r="D480" s="27"/>
      <c r="E480" s="27"/>
      <c r="F480" s="20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5"/>
      <c r="U480" s="5"/>
    </row>
    <row r="481" spans="3:21" x14ac:dyDescent="0.2">
      <c r="C481" s="27"/>
      <c r="D481" s="27"/>
      <c r="E481" s="27"/>
      <c r="F481" s="20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5"/>
      <c r="U481" s="5"/>
    </row>
    <row r="482" spans="3:21" x14ac:dyDescent="0.2">
      <c r="C482" s="27"/>
      <c r="D482" s="27"/>
      <c r="E482" s="27"/>
      <c r="F482" s="20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5"/>
      <c r="U482" s="5"/>
    </row>
    <row r="483" spans="3:21" x14ac:dyDescent="0.2">
      <c r="C483" s="27"/>
      <c r="D483" s="27"/>
      <c r="E483" s="27"/>
      <c r="F483" s="20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5"/>
      <c r="U483" s="5"/>
    </row>
    <row r="484" spans="3:21" x14ac:dyDescent="0.2">
      <c r="C484" s="27"/>
      <c r="D484" s="27"/>
      <c r="E484" s="27"/>
      <c r="F484" s="20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5"/>
      <c r="U484" s="5"/>
    </row>
    <row r="485" spans="3:21" x14ac:dyDescent="0.2">
      <c r="C485" s="27"/>
      <c r="D485" s="27"/>
      <c r="E485" s="27"/>
      <c r="F485" s="20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5"/>
      <c r="U485" s="5"/>
    </row>
    <row r="486" spans="3:21" x14ac:dyDescent="0.2">
      <c r="C486" s="27"/>
      <c r="D486" s="27"/>
      <c r="E486" s="27"/>
      <c r="F486" s="20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5"/>
      <c r="U486" s="5"/>
    </row>
    <row r="487" spans="3:21" x14ac:dyDescent="0.2">
      <c r="C487" s="27"/>
      <c r="D487" s="27"/>
      <c r="E487" s="27"/>
      <c r="F487" s="20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5"/>
      <c r="U487" s="5"/>
    </row>
    <row r="488" spans="3:21" x14ac:dyDescent="0.2">
      <c r="C488" s="27"/>
      <c r="D488" s="27"/>
      <c r="E488" s="27"/>
      <c r="F488" s="20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5"/>
      <c r="U488" s="5"/>
    </row>
    <row r="489" spans="3:21" x14ac:dyDescent="0.2">
      <c r="C489" s="27"/>
      <c r="D489" s="27"/>
      <c r="E489" s="27"/>
      <c r="F489" s="20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5"/>
      <c r="U489" s="5"/>
    </row>
    <row r="490" spans="3:21" x14ac:dyDescent="0.2">
      <c r="C490" s="27"/>
      <c r="D490" s="27"/>
      <c r="E490" s="27"/>
      <c r="F490" s="20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5"/>
      <c r="U490" s="5"/>
    </row>
    <row r="491" spans="3:21" x14ac:dyDescent="0.2">
      <c r="C491" s="27"/>
      <c r="D491" s="27"/>
      <c r="E491" s="27"/>
      <c r="F491" s="20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5"/>
      <c r="U491" s="5"/>
    </row>
    <row r="492" spans="3:21" x14ac:dyDescent="0.2">
      <c r="C492" s="27"/>
      <c r="D492" s="27"/>
      <c r="E492" s="27"/>
      <c r="F492" s="20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5"/>
      <c r="U492" s="5"/>
    </row>
    <row r="493" spans="3:21" x14ac:dyDescent="0.2">
      <c r="C493" s="27"/>
      <c r="D493" s="27"/>
      <c r="E493" s="27"/>
      <c r="F493" s="20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5"/>
      <c r="U493" s="5"/>
    </row>
    <row r="494" spans="3:21" x14ac:dyDescent="0.2">
      <c r="C494" s="27"/>
      <c r="D494" s="27"/>
      <c r="E494" s="27"/>
      <c r="F494" s="20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5"/>
      <c r="U494" s="5"/>
    </row>
    <row r="495" spans="3:21" x14ac:dyDescent="0.2">
      <c r="C495" s="27"/>
      <c r="D495" s="27"/>
      <c r="E495" s="27"/>
      <c r="F495" s="20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5"/>
      <c r="U495" s="5"/>
    </row>
    <row r="496" spans="3:21" x14ac:dyDescent="0.2">
      <c r="C496" s="27"/>
      <c r="D496" s="27"/>
      <c r="E496" s="27"/>
      <c r="F496" s="20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5"/>
      <c r="U496" s="5"/>
    </row>
    <row r="497" spans="3:21" x14ac:dyDescent="0.2">
      <c r="C497" s="27"/>
      <c r="D497" s="27"/>
      <c r="E497" s="27"/>
      <c r="F497" s="20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5"/>
      <c r="U497" s="5"/>
    </row>
    <row r="498" spans="3:21" x14ac:dyDescent="0.2">
      <c r="C498" s="27"/>
      <c r="D498" s="27"/>
      <c r="E498" s="27"/>
      <c r="F498" s="20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5"/>
      <c r="U498" s="5"/>
    </row>
    <row r="499" spans="3:21" x14ac:dyDescent="0.2">
      <c r="C499" s="27"/>
      <c r="D499" s="27"/>
      <c r="E499" s="27"/>
      <c r="F499" s="20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5"/>
      <c r="U499" s="5"/>
    </row>
    <row r="500" spans="3:21" x14ac:dyDescent="0.2">
      <c r="C500" s="27"/>
      <c r="D500" s="27"/>
      <c r="E500" s="27"/>
      <c r="F500" s="20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5"/>
      <c r="U500" s="5"/>
    </row>
    <row r="501" spans="3:21" x14ac:dyDescent="0.2">
      <c r="C501" s="27"/>
      <c r="D501" s="27"/>
      <c r="E501" s="27"/>
      <c r="F501" s="20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5"/>
      <c r="U501" s="5"/>
    </row>
    <row r="502" spans="3:21" x14ac:dyDescent="0.2">
      <c r="C502" s="27"/>
      <c r="D502" s="27"/>
      <c r="E502" s="27"/>
      <c r="F502" s="20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5"/>
      <c r="U502" s="5"/>
    </row>
    <row r="503" spans="3:21" x14ac:dyDescent="0.2">
      <c r="C503" s="27"/>
      <c r="D503" s="27"/>
      <c r="E503" s="27"/>
      <c r="F503" s="20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5"/>
      <c r="U503" s="5"/>
    </row>
    <row r="504" spans="3:21" x14ac:dyDescent="0.2">
      <c r="C504" s="27"/>
      <c r="D504" s="27"/>
      <c r="E504" s="27"/>
      <c r="F504" s="20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5"/>
      <c r="U504" s="5"/>
    </row>
    <row r="505" spans="3:21" x14ac:dyDescent="0.2">
      <c r="C505" s="27"/>
      <c r="D505" s="27"/>
      <c r="E505" s="27"/>
      <c r="F505" s="20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5"/>
      <c r="U505" s="5"/>
    </row>
    <row r="506" spans="3:21" x14ac:dyDescent="0.2">
      <c r="C506" s="27"/>
      <c r="D506" s="27"/>
      <c r="E506" s="27"/>
      <c r="F506" s="20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5"/>
      <c r="U506" s="5"/>
    </row>
    <row r="507" spans="3:21" x14ac:dyDescent="0.2">
      <c r="C507" s="27"/>
      <c r="D507" s="27"/>
      <c r="E507" s="27"/>
      <c r="F507" s="20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5"/>
      <c r="U507" s="5"/>
    </row>
    <row r="508" spans="3:21" x14ac:dyDescent="0.2">
      <c r="C508" s="27"/>
      <c r="D508" s="27"/>
      <c r="E508" s="27"/>
      <c r="F508" s="20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5"/>
      <c r="U508" s="5"/>
    </row>
    <row r="509" spans="3:21" x14ac:dyDescent="0.2">
      <c r="C509" s="27"/>
      <c r="D509" s="27"/>
      <c r="E509" s="27"/>
      <c r="F509" s="20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5"/>
      <c r="U509" s="5"/>
    </row>
    <row r="510" spans="3:21" x14ac:dyDescent="0.2">
      <c r="C510" s="27"/>
      <c r="D510" s="27"/>
      <c r="E510" s="27"/>
      <c r="F510" s="20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5"/>
      <c r="U510" s="5"/>
    </row>
    <row r="511" spans="3:21" x14ac:dyDescent="0.2">
      <c r="C511" s="27"/>
      <c r="D511" s="27"/>
      <c r="E511" s="27"/>
      <c r="F511" s="20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5"/>
      <c r="U511" s="5"/>
    </row>
    <row r="512" spans="3:21" x14ac:dyDescent="0.2">
      <c r="C512" s="27"/>
      <c r="D512" s="27"/>
      <c r="E512" s="27"/>
      <c r="F512" s="20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5"/>
      <c r="U512" s="5"/>
    </row>
    <row r="513" spans="3:21" x14ac:dyDescent="0.2">
      <c r="C513" s="27"/>
      <c r="D513" s="27"/>
      <c r="E513" s="27"/>
      <c r="F513" s="20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5"/>
      <c r="U513" s="5"/>
    </row>
    <row r="514" spans="3:21" x14ac:dyDescent="0.2">
      <c r="C514" s="27"/>
      <c r="D514" s="27"/>
      <c r="E514" s="27"/>
      <c r="F514" s="20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5"/>
      <c r="U514" s="5"/>
    </row>
    <row r="515" spans="3:21" x14ac:dyDescent="0.2">
      <c r="C515" s="27"/>
      <c r="D515" s="27"/>
      <c r="E515" s="27"/>
      <c r="F515" s="20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5"/>
      <c r="U515" s="5"/>
    </row>
    <row r="516" spans="3:21" x14ac:dyDescent="0.2">
      <c r="C516" s="27"/>
      <c r="D516" s="27"/>
      <c r="E516" s="27"/>
      <c r="F516" s="20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5"/>
      <c r="U516" s="5"/>
    </row>
    <row r="517" spans="3:21" x14ac:dyDescent="0.2">
      <c r="C517" s="27"/>
      <c r="D517" s="27"/>
      <c r="E517" s="27"/>
      <c r="F517" s="20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5"/>
      <c r="U517" s="5"/>
    </row>
    <row r="518" spans="3:21" x14ac:dyDescent="0.2">
      <c r="C518" s="27"/>
      <c r="D518" s="27"/>
      <c r="E518" s="27"/>
      <c r="F518" s="20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5"/>
      <c r="U518" s="5"/>
    </row>
    <row r="519" spans="3:21" x14ac:dyDescent="0.2">
      <c r="C519" s="27"/>
      <c r="D519" s="27"/>
      <c r="E519" s="27"/>
      <c r="F519" s="20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5"/>
      <c r="U519" s="5"/>
    </row>
    <row r="520" spans="3:21" x14ac:dyDescent="0.2">
      <c r="C520" s="27"/>
      <c r="D520" s="27"/>
      <c r="E520" s="27"/>
      <c r="F520" s="20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5"/>
      <c r="U520" s="5"/>
    </row>
    <row r="521" spans="3:21" x14ac:dyDescent="0.2">
      <c r="C521" s="27"/>
      <c r="D521" s="27"/>
      <c r="E521" s="27"/>
      <c r="F521" s="20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5"/>
      <c r="U521" s="5"/>
    </row>
    <row r="522" spans="3:21" x14ac:dyDescent="0.2">
      <c r="C522" s="27"/>
      <c r="D522" s="27"/>
      <c r="E522" s="27"/>
      <c r="F522" s="20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5"/>
      <c r="U522" s="5"/>
    </row>
    <row r="523" spans="3:21" x14ac:dyDescent="0.2">
      <c r="C523" s="27"/>
      <c r="D523" s="27"/>
      <c r="E523" s="27"/>
      <c r="F523" s="20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5"/>
      <c r="U523" s="5"/>
    </row>
    <row r="524" spans="3:21" x14ac:dyDescent="0.2">
      <c r="C524" s="27"/>
      <c r="D524" s="27"/>
      <c r="E524" s="27"/>
      <c r="F524" s="20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5"/>
      <c r="U524" s="5"/>
    </row>
    <row r="525" spans="3:21" x14ac:dyDescent="0.2">
      <c r="C525" s="27"/>
      <c r="D525" s="27"/>
      <c r="E525" s="27"/>
      <c r="F525" s="20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5"/>
      <c r="U525" s="5"/>
    </row>
    <row r="526" spans="3:21" x14ac:dyDescent="0.2">
      <c r="C526" s="27"/>
      <c r="D526" s="27"/>
      <c r="E526" s="27"/>
      <c r="F526" s="20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5"/>
      <c r="U526" s="5"/>
    </row>
    <row r="527" spans="3:21" x14ac:dyDescent="0.2">
      <c r="C527" s="27"/>
      <c r="D527" s="27"/>
      <c r="E527" s="27"/>
      <c r="F527" s="20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5"/>
      <c r="U527" s="5"/>
    </row>
    <row r="528" spans="3:21" x14ac:dyDescent="0.2">
      <c r="C528" s="27"/>
      <c r="D528" s="27"/>
      <c r="E528" s="27"/>
      <c r="F528" s="20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5"/>
      <c r="U528" s="5"/>
    </row>
    <row r="529" spans="3:21" x14ac:dyDescent="0.2">
      <c r="C529" s="27"/>
      <c r="D529" s="27"/>
      <c r="E529" s="27"/>
      <c r="F529" s="20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5"/>
      <c r="U529" s="5"/>
    </row>
    <row r="530" spans="3:21" x14ac:dyDescent="0.2">
      <c r="C530" s="27"/>
      <c r="D530" s="27"/>
      <c r="E530" s="27"/>
      <c r="F530" s="20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5"/>
      <c r="U530" s="5"/>
    </row>
    <row r="531" spans="3:21" x14ac:dyDescent="0.2">
      <c r="C531" s="27"/>
      <c r="D531" s="27"/>
      <c r="E531" s="27"/>
      <c r="F531" s="20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5"/>
      <c r="U531" s="5"/>
    </row>
    <row r="532" spans="3:21" x14ac:dyDescent="0.2">
      <c r="C532" s="27"/>
      <c r="D532" s="27"/>
      <c r="E532" s="27"/>
      <c r="F532" s="20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5"/>
      <c r="U532" s="5"/>
    </row>
    <row r="533" spans="3:21" x14ac:dyDescent="0.2">
      <c r="C533" s="27"/>
      <c r="D533" s="27"/>
      <c r="E533" s="27"/>
      <c r="F533" s="20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5"/>
      <c r="U533" s="5"/>
    </row>
    <row r="534" spans="3:21" x14ac:dyDescent="0.2">
      <c r="C534" s="27"/>
      <c r="D534" s="27"/>
      <c r="E534" s="27"/>
      <c r="F534" s="20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5"/>
      <c r="U534" s="5"/>
    </row>
    <row r="535" spans="3:21" x14ac:dyDescent="0.2">
      <c r="C535" s="27"/>
      <c r="D535" s="27"/>
      <c r="E535" s="27"/>
      <c r="F535" s="20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5"/>
      <c r="U535" s="5"/>
    </row>
    <row r="536" spans="3:21" x14ac:dyDescent="0.2">
      <c r="C536" s="27"/>
      <c r="D536" s="27"/>
      <c r="E536" s="27"/>
      <c r="F536" s="20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5"/>
      <c r="U536" s="5"/>
    </row>
    <row r="537" spans="3:21" x14ac:dyDescent="0.2">
      <c r="C537" s="27"/>
      <c r="D537" s="27"/>
      <c r="E537" s="27"/>
      <c r="F537" s="20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5"/>
      <c r="U537" s="5"/>
    </row>
    <row r="538" spans="3:21" x14ac:dyDescent="0.2">
      <c r="C538" s="27"/>
      <c r="D538" s="27"/>
      <c r="E538" s="27"/>
      <c r="F538" s="20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5"/>
      <c r="U538" s="5"/>
    </row>
    <row r="539" spans="3:21" x14ac:dyDescent="0.2">
      <c r="C539" s="27"/>
      <c r="D539" s="27"/>
      <c r="E539" s="27"/>
      <c r="F539" s="20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5"/>
      <c r="U539" s="5"/>
    </row>
    <row r="540" spans="3:21" x14ac:dyDescent="0.2">
      <c r="C540" s="27"/>
      <c r="D540" s="27"/>
      <c r="E540" s="27"/>
      <c r="F540" s="20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5"/>
      <c r="U540" s="5"/>
    </row>
    <row r="541" spans="3:21" x14ac:dyDescent="0.2">
      <c r="C541" s="27"/>
      <c r="D541" s="27"/>
      <c r="E541" s="27"/>
      <c r="F541" s="20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5"/>
      <c r="U541" s="5"/>
    </row>
    <row r="542" spans="3:21" x14ac:dyDescent="0.2">
      <c r="C542" s="27"/>
      <c r="D542" s="27"/>
      <c r="E542" s="27"/>
      <c r="F542" s="20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5"/>
      <c r="U542" s="5"/>
    </row>
    <row r="543" spans="3:21" x14ac:dyDescent="0.2">
      <c r="C543" s="27"/>
      <c r="D543" s="27"/>
      <c r="E543" s="27"/>
      <c r="F543" s="20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5"/>
      <c r="U543" s="5"/>
    </row>
    <row r="544" spans="3:21" x14ac:dyDescent="0.2">
      <c r="C544" s="27"/>
      <c r="D544" s="27"/>
      <c r="E544" s="27"/>
      <c r="F544" s="20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5"/>
      <c r="U544" s="5"/>
    </row>
    <row r="545" spans="3:21" x14ac:dyDescent="0.2">
      <c r="C545" s="27"/>
      <c r="D545" s="27"/>
      <c r="E545" s="27"/>
      <c r="F545" s="20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5"/>
      <c r="U545" s="5"/>
    </row>
    <row r="546" spans="3:21" x14ac:dyDescent="0.2">
      <c r="C546" s="27"/>
      <c r="D546" s="27"/>
      <c r="E546" s="27"/>
      <c r="F546" s="20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5"/>
      <c r="U546" s="5"/>
    </row>
    <row r="547" spans="3:21" x14ac:dyDescent="0.2">
      <c r="C547" s="27"/>
      <c r="D547" s="27"/>
      <c r="E547" s="27"/>
      <c r="F547" s="20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5"/>
      <c r="U547" s="5"/>
    </row>
    <row r="548" spans="3:21" x14ac:dyDescent="0.2">
      <c r="C548" s="27"/>
      <c r="D548" s="27"/>
      <c r="E548" s="27"/>
      <c r="F548" s="20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5"/>
      <c r="U548" s="5"/>
    </row>
    <row r="549" spans="3:21" x14ac:dyDescent="0.2">
      <c r="C549" s="27"/>
      <c r="D549" s="27"/>
      <c r="E549" s="27"/>
      <c r="F549" s="20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5"/>
      <c r="U549" s="5"/>
    </row>
    <row r="550" spans="3:21" x14ac:dyDescent="0.2">
      <c r="C550" s="27"/>
      <c r="D550" s="27"/>
      <c r="E550" s="27"/>
      <c r="F550" s="20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5"/>
      <c r="U550" s="5"/>
    </row>
    <row r="551" spans="3:21" x14ac:dyDescent="0.2">
      <c r="C551" s="27"/>
      <c r="D551" s="27"/>
      <c r="E551" s="27"/>
      <c r="F551" s="20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5"/>
      <c r="U551" s="5"/>
    </row>
    <row r="552" spans="3:21" x14ac:dyDescent="0.2">
      <c r="C552" s="27"/>
      <c r="D552" s="27"/>
      <c r="E552" s="27"/>
      <c r="F552" s="20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5"/>
      <c r="U552" s="5"/>
    </row>
    <row r="553" spans="3:21" x14ac:dyDescent="0.2">
      <c r="C553" s="27"/>
      <c r="D553" s="27"/>
      <c r="E553" s="27"/>
      <c r="F553" s="20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5"/>
      <c r="U553" s="5"/>
    </row>
    <row r="554" spans="3:21" x14ac:dyDescent="0.2">
      <c r="C554" s="27"/>
      <c r="D554" s="27"/>
      <c r="E554" s="27"/>
      <c r="F554" s="20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5"/>
      <c r="U554" s="5"/>
    </row>
    <row r="555" spans="3:21" x14ac:dyDescent="0.2">
      <c r="C555" s="27"/>
      <c r="D555" s="27"/>
      <c r="E555" s="27"/>
      <c r="F555" s="20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5"/>
      <c r="U555" s="5"/>
    </row>
    <row r="556" spans="3:21" x14ac:dyDescent="0.2">
      <c r="C556" s="27"/>
      <c r="D556" s="27"/>
      <c r="E556" s="27"/>
      <c r="F556" s="20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5"/>
      <c r="U556" s="5"/>
    </row>
    <row r="557" spans="3:21" x14ac:dyDescent="0.2">
      <c r="C557" s="27"/>
      <c r="D557" s="27"/>
      <c r="E557" s="27"/>
      <c r="F557" s="20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5"/>
      <c r="U557" s="5"/>
    </row>
    <row r="558" spans="3:21" x14ac:dyDescent="0.2">
      <c r="C558" s="27"/>
      <c r="D558" s="27"/>
      <c r="E558" s="27"/>
      <c r="F558" s="20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5"/>
      <c r="U558" s="5"/>
    </row>
    <row r="559" spans="3:21" x14ac:dyDescent="0.2">
      <c r="C559" s="27"/>
      <c r="D559" s="27"/>
      <c r="E559" s="27"/>
      <c r="F559" s="20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5"/>
      <c r="U559" s="5"/>
    </row>
    <row r="560" spans="3:21" x14ac:dyDescent="0.2">
      <c r="C560" s="27"/>
      <c r="D560" s="27"/>
      <c r="E560" s="27"/>
      <c r="F560" s="20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5"/>
      <c r="U560" s="5"/>
    </row>
    <row r="561" spans="3:21" x14ac:dyDescent="0.2">
      <c r="C561" s="27"/>
      <c r="D561" s="27"/>
      <c r="E561" s="27"/>
      <c r="F561" s="20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5"/>
      <c r="U561" s="5"/>
    </row>
    <row r="562" spans="3:21" x14ac:dyDescent="0.2">
      <c r="C562" s="27"/>
      <c r="D562" s="27"/>
      <c r="E562" s="27"/>
      <c r="F562" s="20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5"/>
      <c r="U562" s="5"/>
    </row>
    <row r="563" spans="3:21" x14ac:dyDescent="0.2">
      <c r="C563" s="27"/>
      <c r="D563" s="27"/>
      <c r="E563" s="27"/>
      <c r="F563" s="20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5"/>
      <c r="U563" s="5"/>
    </row>
    <row r="564" spans="3:21" x14ac:dyDescent="0.2">
      <c r="C564" s="27"/>
      <c r="D564" s="27"/>
      <c r="E564" s="27"/>
      <c r="F564" s="20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5"/>
      <c r="U564" s="5"/>
    </row>
    <row r="565" spans="3:21" x14ac:dyDescent="0.2">
      <c r="C565" s="27"/>
      <c r="D565" s="27"/>
      <c r="E565" s="27"/>
      <c r="F565" s="20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5"/>
      <c r="U565" s="5"/>
    </row>
    <row r="566" spans="3:21" x14ac:dyDescent="0.2">
      <c r="C566" s="27"/>
      <c r="D566" s="27"/>
      <c r="E566" s="27"/>
      <c r="F566" s="20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5"/>
      <c r="U566" s="5"/>
    </row>
    <row r="567" spans="3:21" x14ac:dyDescent="0.2">
      <c r="C567" s="27"/>
      <c r="D567" s="27"/>
      <c r="E567" s="27"/>
      <c r="F567" s="20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5"/>
      <c r="U567" s="5"/>
    </row>
    <row r="568" spans="3:21" x14ac:dyDescent="0.2">
      <c r="C568" s="27"/>
      <c r="D568" s="27"/>
      <c r="E568" s="27"/>
      <c r="F568" s="20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5"/>
      <c r="U568" s="5"/>
    </row>
    <row r="569" spans="3:21" x14ac:dyDescent="0.2">
      <c r="C569" s="27"/>
      <c r="D569" s="27"/>
      <c r="E569" s="27"/>
      <c r="F569" s="20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5"/>
      <c r="U569" s="5"/>
    </row>
    <row r="570" spans="3:21" x14ac:dyDescent="0.2">
      <c r="C570" s="27"/>
      <c r="D570" s="27"/>
      <c r="E570" s="27"/>
      <c r="F570" s="20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5"/>
      <c r="U570" s="5"/>
    </row>
    <row r="571" spans="3:21" x14ac:dyDescent="0.2">
      <c r="C571" s="27"/>
      <c r="D571" s="27"/>
      <c r="E571" s="27"/>
      <c r="F571" s="20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5"/>
      <c r="U571" s="5"/>
    </row>
    <row r="572" spans="3:21" x14ac:dyDescent="0.2">
      <c r="C572" s="27"/>
      <c r="D572" s="27"/>
      <c r="E572" s="27"/>
      <c r="F572" s="20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5"/>
      <c r="U572" s="5"/>
    </row>
    <row r="573" spans="3:21" x14ac:dyDescent="0.2">
      <c r="C573" s="27"/>
      <c r="D573" s="27"/>
      <c r="E573" s="27"/>
      <c r="F573" s="20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5"/>
      <c r="U573" s="5"/>
    </row>
    <row r="574" spans="3:21" x14ac:dyDescent="0.2">
      <c r="C574" s="27"/>
      <c r="D574" s="27"/>
      <c r="E574" s="27"/>
      <c r="F574" s="20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5"/>
      <c r="U574" s="5"/>
    </row>
    <row r="575" spans="3:21" x14ac:dyDescent="0.2">
      <c r="C575" s="27"/>
      <c r="D575" s="27"/>
      <c r="E575" s="27"/>
      <c r="F575" s="20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5"/>
      <c r="U575" s="5"/>
    </row>
    <row r="576" spans="3:21" x14ac:dyDescent="0.2">
      <c r="C576" s="27"/>
      <c r="D576" s="27"/>
      <c r="E576" s="27"/>
      <c r="F576" s="20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5"/>
      <c r="U576" s="5"/>
    </row>
    <row r="577" spans="3:21" x14ac:dyDescent="0.2">
      <c r="C577" s="27"/>
      <c r="D577" s="27"/>
      <c r="E577" s="27"/>
      <c r="F577" s="20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5"/>
      <c r="U577" s="5"/>
    </row>
    <row r="578" spans="3:21" x14ac:dyDescent="0.2">
      <c r="C578" s="27"/>
      <c r="D578" s="27"/>
      <c r="E578" s="27"/>
      <c r="F578" s="20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5"/>
      <c r="U578" s="5"/>
    </row>
    <row r="579" spans="3:21" x14ac:dyDescent="0.2">
      <c r="C579" s="27"/>
      <c r="D579" s="27"/>
      <c r="E579" s="27"/>
      <c r="F579" s="20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5"/>
      <c r="U579" s="5"/>
    </row>
    <row r="580" spans="3:21" x14ac:dyDescent="0.2">
      <c r="C580" s="27"/>
      <c r="D580" s="27"/>
      <c r="E580" s="27"/>
      <c r="F580" s="20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5"/>
      <c r="U580" s="5"/>
    </row>
    <row r="581" spans="3:21" x14ac:dyDescent="0.2">
      <c r="C581" s="27"/>
      <c r="D581" s="27"/>
      <c r="E581" s="27"/>
      <c r="F581" s="20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5"/>
      <c r="U581" s="5"/>
    </row>
    <row r="582" spans="3:21" x14ac:dyDescent="0.2">
      <c r="C582" s="27"/>
      <c r="D582" s="27"/>
      <c r="E582" s="27"/>
      <c r="F582" s="20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5"/>
      <c r="U582" s="5"/>
    </row>
    <row r="583" spans="3:21" x14ac:dyDescent="0.2">
      <c r="C583" s="27"/>
      <c r="D583" s="27"/>
      <c r="E583" s="27"/>
      <c r="F583" s="20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5"/>
      <c r="U583" s="5"/>
    </row>
    <row r="584" spans="3:21" x14ac:dyDescent="0.2">
      <c r="C584" s="27"/>
      <c r="D584" s="27"/>
      <c r="E584" s="27"/>
      <c r="F584" s="20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5"/>
      <c r="U584" s="5"/>
    </row>
    <row r="585" spans="3:21" x14ac:dyDescent="0.2">
      <c r="C585" s="27"/>
      <c r="D585" s="27"/>
      <c r="E585" s="27"/>
      <c r="F585" s="20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5"/>
      <c r="U585" s="5"/>
    </row>
    <row r="586" spans="3:21" x14ac:dyDescent="0.2">
      <c r="C586" s="27"/>
      <c r="D586" s="27"/>
      <c r="E586" s="27"/>
      <c r="F586" s="20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5"/>
      <c r="U586" s="5"/>
    </row>
    <row r="587" spans="3:21" x14ac:dyDescent="0.2">
      <c r="C587" s="27"/>
      <c r="D587" s="27"/>
      <c r="E587" s="27"/>
      <c r="F587" s="20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5"/>
      <c r="U587" s="5"/>
    </row>
    <row r="588" spans="3:21" x14ac:dyDescent="0.2">
      <c r="C588" s="27"/>
      <c r="D588" s="27"/>
      <c r="E588" s="27"/>
      <c r="F588" s="20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5"/>
      <c r="U588" s="5"/>
    </row>
    <row r="589" spans="3:21" x14ac:dyDescent="0.2">
      <c r="C589" s="27"/>
      <c r="D589" s="27"/>
      <c r="E589" s="27"/>
      <c r="F589" s="20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5"/>
      <c r="U589" s="5"/>
    </row>
    <row r="590" spans="3:21" x14ac:dyDescent="0.2">
      <c r="C590" s="27"/>
      <c r="D590" s="27"/>
      <c r="E590" s="27"/>
      <c r="F590" s="20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5"/>
      <c r="U590" s="5"/>
    </row>
    <row r="591" spans="3:21" x14ac:dyDescent="0.2">
      <c r="C591" s="27"/>
      <c r="D591" s="27"/>
      <c r="E591" s="27"/>
      <c r="F591" s="20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5"/>
      <c r="U591" s="5"/>
    </row>
    <row r="592" spans="3:21" x14ac:dyDescent="0.2">
      <c r="C592" s="27"/>
      <c r="D592" s="27"/>
      <c r="E592" s="27"/>
      <c r="F592" s="20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5"/>
      <c r="U592" s="5"/>
    </row>
    <row r="593" spans="3:21" x14ac:dyDescent="0.2">
      <c r="C593" s="27"/>
      <c r="D593" s="27"/>
      <c r="E593" s="27"/>
      <c r="F593" s="20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5"/>
      <c r="U593" s="5"/>
    </row>
    <row r="594" spans="3:21" x14ac:dyDescent="0.2">
      <c r="C594" s="27"/>
      <c r="D594" s="27"/>
      <c r="E594" s="27"/>
      <c r="F594" s="20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5"/>
      <c r="U594" s="5"/>
    </row>
    <row r="595" spans="3:21" x14ac:dyDescent="0.2">
      <c r="C595" s="27"/>
      <c r="D595" s="27"/>
      <c r="E595" s="27"/>
      <c r="F595" s="20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5"/>
      <c r="U595" s="5"/>
    </row>
    <row r="596" spans="3:21" x14ac:dyDescent="0.2">
      <c r="C596" s="27"/>
      <c r="D596" s="27"/>
      <c r="E596" s="27"/>
      <c r="F596" s="20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5"/>
      <c r="U596" s="5"/>
    </row>
    <row r="597" spans="3:21" x14ac:dyDescent="0.2">
      <c r="C597" s="27"/>
      <c r="D597" s="27"/>
      <c r="E597" s="27"/>
      <c r="F597" s="20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5"/>
      <c r="U597" s="5"/>
    </row>
    <row r="598" spans="3:21" x14ac:dyDescent="0.2">
      <c r="C598" s="27"/>
      <c r="D598" s="27"/>
      <c r="E598" s="27"/>
      <c r="F598" s="20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5"/>
      <c r="U598" s="5"/>
    </row>
    <row r="599" spans="3:21" x14ac:dyDescent="0.2">
      <c r="C599" s="27"/>
      <c r="D599" s="27"/>
      <c r="E599" s="27"/>
      <c r="F599" s="20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5"/>
      <c r="U599" s="5"/>
    </row>
    <row r="600" spans="3:21" x14ac:dyDescent="0.2">
      <c r="C600" s="27"/>
      <c r="D600" s="27"/>
      <c r="E600" s="27"/>
      <c r="F600" s="20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5"/>
      <c r="U600" s="5"/>
    </row>
    <row r="601" spans="3:21" x14ac:dyDescent="0.2">
      <c r="C601" s="27"/>
      <c r="D601" s="27"/>
      <c r="E601" s="27"/>
      <c r="F601" s="20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5"/>
      <c r="U601" s="5"/>
    </row>
    <row r="602" spans="3:21" x14ac:dyDescent="0.2">
      <c r="C602" s="27"/>
      <c r="D602" s="27"/>
      <c r="E602" s="27"/>
      <c r="F602" s="20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5"/>
      <c r="U602" s="5"/>
    </row>
    <row r="603" spans="3:21" x14ac:dyDescent="0.2">
      <c r="C603" s="27"/>
      <c r="D603" s="27"/>
      <c r="E603" s="27"/>
      <c r="F603" s="20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5"/>
      <c r="U603" s="5"/>
    </row>
    <row r="604" spans="3:21" x14ac:dyDescent="0.2">
      <c r="C604" s="27"/>
      <c r="D604" s="27"/>
      <c r="E604" s="27"/>
      <c r="F604" s="20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5"/>
      <c r="U604" s="5"/>
    </row>
    <row r="605" spans="3:21" x14ac:dyDescent="0.2">
      <c r="C605" s="27"/>
      <c r="D605" s="27"/>
      <c r="E605" s="27"/>
      <c r="F605" s="20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5"/>
      <c r="U605" s="5"/>
    </row>
    <row r="606" spans="3:21" x14ac:dyDescent="0.2">
      <c r="C606" s="27"/>
      <c r="D606" s="27"/>
      <c r="E606" s="27"/>
      <c r="F606" s="20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5"/>
      <c r="U606" s="5"/>
    </row>
    <row r="607" spans="3:21" x14ac:dyDescent="0.2">
      <c r="C607" s="27"/>
      <c r="D607" s="27"/>
      <c r="E607" s="27"/>
      <c r="F607" s="20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5"/>
      <c r="U607" s="5"/>
    </row>
    <row r="608" spans="3:21" x14ac:dyDescent="0.2">
      <c r="C608" s="27"/>
      <c r="D608" s="27"/>
      <c r="E608" s="27"/>
      <c r="F608" s="20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5"/>
      <c r="U608" s="5"/>
    </row>
    <row r="609" spans="3:21" x14ac:dyDescent="0.2">
      <c r="C609" s="27"/>
      <c r="D609" s="27"/>
      <c r="E609" s="27"/>
      <c r="F609" s="20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5"/>
      <c r="U609" s="5"/>
    </row>
    <row r="610" spans="3:21" x14ac:dyDescent="0.2">
      <c r="C610" s="27"/>
      <c r="D610" s="27"/>
      <c r="E610" s="27"/>
      <c r="F610" s="20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5"/>
      <c r="U610" s="5"/>
    </row>
    <row r="611" spans="3:21" x14ac:dyDescent="0.2">
      <c r="C611" s="27"/>
      <c r="D611" s="27"/>
      <c r="E611" s="27"/>
      <c r="F611" s="20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5"/>
      <c r="U611" s="5"/>
    </row>
    <row r="612" spans="3:21" x14ac:dyDescent="0.2">
      <c r="C612" s="27"/>
      <c r="D612" s="27"/>
      <c r="E612" s="27"/>
      <c r="F612" s="20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5"/>
      <c r="U612" s="5"/>
    </row>
    <row r="613" spans="3:21" x14ac:dyDescent="0.2">
      <c r="C613" s="27"/>
      <c r="D613" s="27"/>
      <c r="E613" s="27"/>
      <c r="F613" s="20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5"/>
      <c r="U613" s="5"/>
    </row>
    <row r="614" spans="3:21" x14ac:dyDescent="0.2">
      <c r="C614" s="27"/>
      <c r="D614" s="27"/>
      <c r="E614" s="27"/>
      <c r="F614" s="20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5"/>
      <c r="U614" s="5"/>
    </row>
    <row r="615" spans="3:21" x14ac:dyDescent="0.2">
      <c r="C615" s="27"/>
      <c r="D615" s="27"/>
      <c r="E615" s="27"/>
      <c r="F615" s="20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5"/>
      <c r="U615" s="5"/>
    </row>
    <row r="616" spans="3:21" x14ac:dyDescent="0.2">
      <c r="C616" s="27"/>
      <c r="D616" s="27"/>
      <c r="E616" s="27"/>
      <c r="F616" s="20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5"/>
      <c r="U616" s="5"/>
    </row>
    <row r="617" spans="3:21" x14ac:dyDescent="0.2">
      <c r="C617" s="27"/>
      <c r="D617" s="27"/>
      <c r="E617" s="27"/>
      <c r="F617" s="20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5"/>
      <c r="U617" s="5"/>
    </row>
    <row r="618" spans="3:21" x14ac:dyDescent="0.2">
      <c r="C618" s="27"/>
      <c r="D618" s="27"/>
      <c r="E618" s="27"/>
      <c r="F618" s="20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5"/>
      <c r="U618" s="5"/>
    </row>
    <row r="619" spans="3:21" x14ac:dyDescent="0.2">
      <c r="C619" s="27"/>
      <c r="D619" s="27"/>
      <c r="E619" s="27"/>
      <c r="F619" s="20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5"/>
      <c r="U619" s="5"/>
    </row>
    <row r="620" spans="3:21" x14ac:dyDescent="0.2">
      <c r="C620" s="27"/>
      <c r="D620" s="27"/>
      <c r="E620" s="27"/>
      <c r="F620" s="20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5"/>
      <c r="U620" s="5"/>
    </row>
    <row r="621" spans="3:21" x14ac:dyDescent="0.2">
      <c r="C621" s="27"/>
      <c r="D621" s="27"/>
      <c r="E621" s="27"/>
      <c r="F621" s="20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5"/>
      <c r="U621" s="5"/>
    </row>
    <row r="622" spans="3:21" x14ac:dyDescent="0.2">
      <c r="C622" s="27"/>
      <c r="D622" s="27"/>
      <c r="E622" s="27"/>
      <c r="F622" s="20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5"/>
      <c r="U622" s="5"/>
    </row>
    <row r="623" spans="3:21" x14ac:dyDescent="0.2">
      <c r="C623" s="27"/>
      <c r="D623" s="27"/>
      <c r="E623" s="27"/>
      <c r="F623" s="20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5"/>
      <c r="U623" s="5"/>
    </row>
    <row r="624" spans="3:21" x14ac:dyDescent="0.2">
      <c r="C624" s="27"/>
      <c r="D624" s="27"/>
      <c r="E624" s="27"/>
      <c r="F624" s="20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5"/>
      <c r="U624" s="5"/>
    </row>
    <row r="625" spans="3:21" x14ac:dyDescent="0.2">
      <c r="C625" s="27"/>
      <c r="D625" s="27"/>
      <c r="E625" s="27"/>
      <c r="F625" s="20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5"/>
      <c r="U625" s="5"/>
    </row>
    <row r="626" spans="3:21" x14ac:dyDescent="0.2">
      <c r="C626" s="27"/>
      <c r="D626" s="27"/>
      <c r="E626" s="27"/>
      <c r="F626" s="20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5"/>
      <c r="U626" s="5"/>
    </row>
    <row r="627" spans="3:21" x14ac:dyDescent="0.2">
      <c r="C627" s="27"/>
      <c r="D627" s="27"/>
      <c r="E627" s="27"/>
      <c r="F627" s="20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5"/>
      <c r="U627" s="5"/>
    </row>
    <row r="628" spans="3:21" x14ac:dyDescent="0.2">
      <c r="C628" s="27"/>
      <c r="D628" s="27"/>
      <c r="E628" s="27"/>
      <c r="F628" s="20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5"/>
      <c r="U628" s="5"/>
    </row>
    <row r="629" spans="3:21" x14ac:dyDescent="0.2">
      <c r="C629" s="27"/>
      <c r="D629" s="27"/>
      <c r="E629" s="27"/>
      <c r="F629" s="20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5"/>
      <c r="U629" s="5"/>
    </row>
    <row r="630" spans="3:21" x14ac:dyDescent="0.2">
      <c r="C630" s="27"/>
      <c r="D630" s="27"/>
      <c r="E630" s="27"/>
      <c r="F630" s="20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5"/>
      <c r="U630" s="5"/>
    </row>
    <row r="631" spans="3:21" x14ac:dyDescent="0.2">
      <c r="C631" s="27"/>
      <c r="D631" s="27"/>
      <c r="E631" s="27"/>
      <c r="F631" s="20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5"/>
      <c r="U631" s="5"/>
    </row>
    <row r="632" spans="3:21" x14ac:dyDescent="0.2">
      <c r="C632" s="27"/>
      <c r="D632" s="27"/>
      <c r="E632" s="27"/>
      <c r="F632" s="20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5"/>
      <c r="U632" s="5"/>
    </row>
    <row r="633" spans="3:21" x14ac:dyDescent="0.2">
      <c r="C633" s="27"/>
      <c r="D633" s="27"/>
      <c r="E633" s="27"/>
      <c r="F633" s="20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5"/>
      <c r="U633" s="5"/>
    </row>
    <row r="634" spans="3:21" x14ac:dyDescent="0.2">
      <c r="C634" s="27"/>
      <c r="D634" s="27"/>
      <c r="E634" s="27"/>
      <c r="F634" s="20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5"/>
      <c r="U634" s="5"/>
    </row>
    <row r="635" spans="3:21" x14ac:dyDescent="0.2">
      <c r="C635" s="27"/>
      <c r="D635" s="27"/>
      <c r="E635" s="27"/>
      <c r="F635" s="20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5"/>
      <c r="U635" s="5"/>
    </row>
    <row r="636" spans="3:21" x14ac:dyDescent="0.2">
      <c r="C636" s="27"/>
      <c r="D636" s="27"/>
      <c r="E636" s="27"/>
      <c r="F636" s="20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5"/>
      <c r="U636" s="5"/>
    </row>
    <row r="637" spans="3:21" x14ac:dyDescent="0.2">
      <c r="C637" s="27"/>
      <c r="D637" s="27"/>
      <c r="E637" s="27"/>
      <c r="F637" s="20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5"/>
      <c r="U637" s="5"/>
    </row>
    <row r="638" spans="3:21" x14ac:dyDescent="0.2">
      <c r="C638" s="27"/>
      <c r="D638" s="27"/>
      <c r="E638" s="27"/>
      <c r="F638" s="20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5"/>
      <c r="U638" s="5"/>
    </row>
    <row r="639" spans="3:21" x14ac:dyDescent="0.2">
      <c r="C639" s="27"/>
      <c r="D639" s="27"/>
      <c r="E639" s="27"/>
      <c r="F639" s="20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5"/>
      <c r="U639" s="5"/>
    </row>
    <row r="640" spans="3:21" x14ac:dyDescent="0.2">
      <c r="C640" s="27"/>
      <c r="D640" s="27"/>
      <c r="E640" s="27"/>
      <c r="F640" s="20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5"/>
      <c r="U640" s="5"/>
    </row>
    <row r="641" spans="3:21" x14ac:dyDescent="0.2">
      <c r="C641" s="27"/>
      <c r="D641" s="27"/>
      <c r="E641" s="27"/>
      <c r="F641" s="20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5"/>
      <c r="U641" s="5"/>
    </row>
    <row r="642" spans="3:21" x14ac:dyDescent="0.2">
      <c r="C642" s="27"/>
      <c r="D642" s="27"/>
      <c r="E642" s="27"/>
      <c r="F642" s="20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5"/>
      <c r="U642" s="5"/>
    </row>
    <row r="643" spans="3:21" x14ac:dyDescent="0.2">
      <c r="C643" s="27"/>
      <c r="D643" s="27"/>
      <c r="E643" s="27"/>
      <c r="F643" s="20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5"/>
      <c r="U643" s="5"/>
    </row>
    <row r="644" spans="3:21" x14ac:dyDescent="0.2">
      <c r="C644" s="27"/>
      <c r="D644" s="27"/>
      <c r="E644" s="27"/>
      <c r="F644" s="20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5"/>
      <c r="U644" s="5"/>
    </row>
    <row r="645" spans="3:21" x14ac:dyDescent="0.2">
      <c r="C645" s="27"/>
      <c r="D645" s="27"/>
      <c r="E645" s="27"/>
      <c r="F645" s="20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5"/>
      <c r="U645" s="5"/>
    </row>
    <row r="646" spans="3:21" x14ac:dyDescent="0.2">
      <c r="C646" s="27"/>
      <c r="D646" s="27"/>
      <c r="E646" s="27"/>
      <c r="F646" s="20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5"/>
      <c r="U646" s="5"/>
    </row>
    <row r="647" spans="3:21" x14ac:dyDescent="0.2">
      <c r="C647" s="27"/>
      <c r="D647" s="27"/>
      <c r="E647" s="27"/>
      <c r="F647" s="20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5"/>
      <c r="U647" s="5"/>
    </row>
    <row r="648" spans="3:21" x14ac:dyDescent="0.2">
      <c r="C648" s="27"/>
      <c r="D648" s="27"/>
      <c r="E648" s="27"/>
      <c r="F648" s="20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5"/>
      <c r="U648" s="5"/>
    </row>
    <row r="649" spans="3:21" x14ac:dyDescent="0.2">
      <c r="C649" s="27"/>
      <c r="D649" s="27"/>
      <c r="E649" s="27"/>
      <c r="F649" s="20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5"/>
      <c r="U649" s="5"/>
    </row>
    <row r="650" spans="3:21" x14ac:dyDescent="0.2">
      <c r="C650" s="27"/>
      <c r="D650" s="27"/>
      <c r="E650" s="27"/>
      <c r="F650" s="20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5"/>
      <c r="U650" s="5"/>
    </row>
    <row r="651" spans="3:21" x14ac:dyDescent="0.2">
      <c r="C651" s="27"/>
      <c r="D651" s="27"/>
      <c r="E651" s="27"/>
      <c r="F651" s="20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5"/>
      <c r="U651" s="5"/>
    </row>
    <row r="652" spans="3:21" x14ac:dyDescent="0.2">
      <c r="C652" s="27"/>
      <c r="D652" s="27"/>
      <c r="E652" s="27"/>
      <c r="F652" s="20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5"/>
      <c r="U652" s="5"/>
    </row>
    <row r="653" spans="3:21" x14ac:dyDescent="0.2">
      <c r="C653" s="27"/>
      <c r="D653" s="27"/>
      <c r="E653" s="27"/>
      <c r="F653" s="20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5"/>
      <c r="U653" s="5"/>
    </row>
    <row r="654" spans="3:21" x14ac:dyDescent="0.2">
      <c r="C654" s="27"/>
      <c r="D654" s="27"/>
      <c r="E654" s="27"/>
      <c r="F654" s="20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5"/>
      <c r="U654" s="5"/>
    </row>
    <row r="655" spans="3:21" x14ac:dyDescent="0.2">
      <c r="C655" s="27"/>
      <c r="D655" s="27"/>
      <c r="E655" s="27"/>
      <c r="F655" s="20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5"/>
      <c r="U655" s="5"/>
    </row>
    <row r="656" spans="3:21" x14ac:dyDescent="0.2">
      <c r="C656" s="27"/>
      <c r="D656" s="27"/>
      <c r="E656" s="27"/>
      <c r="F656" s="20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5"/>
      <c r="U656" s="5"/>
    </row>
    <row r="657" spans="3:21" x14ac:dyDescent="0.2">
      <c r="C657" s="27"/>
      <c r="D657" s="27"/>
      <c r="E657" s="27"/>
      <c r="F657" s="20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5"/>
      <c r="U657" s="5"/>
    </row>
    <row r="658" spans="3:21" x14ac:dyDescent="0.2">
      <c r="C658" s="27"/>
      <c r="D658" s="27"/>
      <c r="E658" s="27"/>
      <c r="F658" s="20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5"/>
      <c r="U658" s="5"/>
    </row>
    <row r="659" spans="3:21" x14ac:dyDescent="0.2">
      <c r="C659" s="27"/>
      <c r="D659" s="27"/>
      <c r="E659" s="27"/>
      <c r="F659" s="20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5"/>
      <c r="U659" s="5"/>
    </row>
    <row r="660" spans="3:21" x14ac:dyDescent="0.2">
      <c r="C660" s="27"/>
      <c r="D660" s="27"/>
      <c r="E660" s="27"/>
      <c r="F660" s="20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5"/>
      <c r="U660" s="5"/>
    </row>
    <row r="661" spans="3:21" x14ac:dyDescent="0.2">
      <c r="C661" s="27"/>
      <c r="D661" s="27"/>
      <c r="E661" s="27"/>
      <c r="F661" s="20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5"/>
      <c r="U661" s="5"/>
    </row>
    <row r="662" spans="3:21" x14ac:dyDescent="0.2">
      <c r="C662" s="27"/>
      <c r="D662" s="27"/>
      <c r="E662" s="27"/>
      <c r="F662" s="20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5"/>
      <c r="U662" s="5"/>
    </row>
    <row r="663" spans="3:21" x14ac:dyDescent="0.2">
      <c r="C663" s="27"/>
      <c r="D663" s="27"/>
      <c r="E663" s="27"/>
      <c r="F663" s="20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5"/>
      <c r="U663" s="5"/>
    </row>
    <row r="664" spans="3:21" x14ac:dyDescent="0.2">
      <c r="C664" s="27"/>
      <c r="D664" s="27"/>
      <c r="E664" s="27"/>
      <c r="F664" s="20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5"/>
      <c r="U664" s="5"/>
    </row>
    <row r="665" spans="3:21" x14ac:dyDescent="0.2">
      <c r="C665" s="27"/>
      <c r="D665" s="27"/>
      <c r="E665" s="27"/>
      <c r="F665" s="20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5"/>
      <c r="U665" s="5"/>
    </row>
    <row r="666" spans="3:21" x14ac:dyDescent="0.2">
      <c r="C666" s="27"/>
      <c r="D666" s="27"/>
      <c r="E666" s="27"/>
      <c r="F666" s="20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5"/>
      <c r="U666" s="5"/>
    </row>
    <row r="667" spans="3:21" x14ac:dyDescent="0.2">
      <c r="C667" s="27"/>
      <c r="D667" s="27"/>
      <c r="E667" s="27"/>
      <c r="F667" s="20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5"/>
      <c r="U667" s="5"/>
    </row>
    <row r="668" spans="3:21" x14ac:dyDescent="0.2">
      <c r="C668" s="27"/>
      <c r="D668" s="27"/>
      <c r="E668" s="27"/>
      <c r="F668" s="20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5"/>
      <c r="U668" s="5"/>
    </row>
    <row r="669" spans="3:21" x14ac:dyDescent="0.2">
      <c r="C669" s="27"/>
      <c r="D669" s="27"/>
      <c r="E669" s="27"/>
      <c r="F669" s="20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5"/>
      <c r="U669" s="5"/>
    </row>
    <row r="670" spans="3:21" x14ac:dyDescent="0.2">
      <c r="C670" s="27"/>
      <c r="D670" s="27"/>
      <c r="E670" s="27"/>
      <c r="F670" s="20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5"/>
      <c r="U670" s="5"/>
    </row>
    <row r="671" spans="3:21" x14ac:dyDescent="0.2">
      <c r="C671" s="27"/>
      <c r="D671" s="27"/>
      <c r="E671" s="27"/>
      <c r="F671" s="20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5"/>
      <c r="U671" s="5"/>
    </row>
    <row r="672" spans="3:21" x14ac:dyDescent="0.2">
      <c r="C672" s="27"/>
      <c r="D672" s="27"/>
      <c r="E672" s="27"/>
      <c r="F672" s="20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5"/>
      <c r="U672" s="5"/>
    </row>
    <row r="673" spans="3:21" x14ac:dyDescent="0.2">
      <c r="C673" s="27"/>
      <c r="D673" s="27"/>
      <c r="E673" s="27"/>
      <c r="F673" s="20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5"/>
      <c r="U673" s="5"/>
    </row>
    <row r="674" spans="3:21" x14ac:dyDescent="0.2">
      <c r="C674" s="27"/>
      <c r="D674" s="27"/>
      <c r="E674" s="27"/>
      <c r="F674" s="20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5"/>
      <c r="U674" s="5"/>
    </row>
    <row r="675" spans="3:21" x14ac:dyDescent="0.2">
      <c r="C675" s="27"/>
      <c r="D675" s="27"/>
      <c r="E675" s="27"/>
      <c r="F675" s="20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5"/>
      <c r="U675" s="5"/>
    </row>
    <row r="676" spans="3:21" x14ac:dyDescent="0.2">
      <c r="C676" s="27"/>
      <c r="D676" s="27"/>
      <c r="E676" s="27"/>
      <c r="F676" s="20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5"/>
      <c r="U676" s="5"/>
    </row>
    <row r="677" spans="3:21" x14ac:dyDescent="0.2">
      <c r="C677" s="27"/>
      <c r="D677" s="27"/>
      <c r="E677" s="27"/>
      <c r="F677" s="20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5"/>
      <c r="U677" s="5"/>
    </row>
    <row r="678" spans="3:21" x14ac:dyDescent="0.2">
      <c r="C678" s="27"/>
      <c r="D678" s="27"/>
      <c r="E678" s="27"/>
      <c r="F678" s="20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5"/>
      <c r="U678" s="5"/>
    </row>
    <row r="679" spans="3:21" x14ac:dyDescent="0.2">
      <c r="C679" s="27"/>
      <c r="D679" s="27"/>
      <c r="E679" s="27"/>
      <c r="F679" s="20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5"/>
      <c r="U679" s="5"/>
    </row>
    <row r="680" spans="3:21" x14ac:dyDescent="0.2">
      <c r="C680" s="27"/>
      <c r="D680" s="27"/>
      <c r="E680" s="27"/>
      <c r="F680" s="20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5"/>
      <c r="U680" s="5"/>
    </row>
    <row r="681" spans="3:21" x14ac:dyDescent="0.2">
      <c r="C681" s="27"/>
      <c r="D681" s="27"/>
      <c r="E681" s="27"/>
      <c r="F681" s="20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5"/>
      <c r="U681" s="5"/>
    </row>
    <row r="682" spans="3:21" x14ac:dyDescent="0.2">
      <c r="C682" s="27"/>
      <c r="D682" s="27"/>
      <c r="E682" s="27"/>
      <c r="F682" s="20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5"/>
      <c r="U682" s="5"/>
    </row>
    <row r="683" spans="3:21" x14ac:dyDescent="0.2">
      <c r="C683" s="27"/>
      <c r="D683" s="27"/>
      <c r="E683" s="27"/>
      <c r="F683" s="20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5"/>
      <c r="U683" s="5"/>
    </row>
    <row r="684" spans="3:21" x14ac:dyDescent="0.2">
      <c r="C684" s="27"/>
      <c r="D684" s="27"/>
      <c r="E684" s="27"/>
      <c r="F684" s="20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5"/>
      <c r="U684" s="5"/>
    </row>
    <row r="685" spans="3:21" x14ac:dyDescent="0.2">
      <c r="C685" s="27"/>
      <c r="D685" s="27"/>
      <c r="E685" s="27"/>
      <c r="F685" s="20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5"/>
      <c r="U685" s="5"/>
    </row>
    <row r="686" spans="3:21" x14ac:dyDescent="0.2">
      <c r="C686" s="27"/>
      <c r="D686" s="27"/>
      <c r="E686" s="27"/>
      <c r="F686" s="20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5"/>
      <c r="U686" s="5"/>
    </row>
    <row r="687" spans="3:21" x14ac:dyDescent="0.2">
      <c r="C687" s="27"/>
      <c r="D687" s="27"/>
      <c r="E687" s="27"/>
      <c r="F687" s="20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5"/>
      <c r="U687" s="5"/>
    </row>
    <row r="688" spans="3:21" x14ac:dyDescent="0.2">
      <c r="C688" s="27"/>
      <c r="D688" s="27"/>
      <c r="E688" s="27"/>
      <c r="F688" s="20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5"/>
      <c r="U688" s="5"/>
    </row>
    <row r="689" spans="3:21" x14ac:dyDescent="0.2">
      <c r="C689" s="27"/>
      <c r="D689" s="27"/>
      <c r="E689" s="27"/>
      <c r="F689" s="20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5"/>
      <c r="U689" s="5"/>
    </row>
    <row r="690" spans="3:21" x14ac:dyDescent="0.2">
      <c r="C690" s="27"/>
      <c r="D690" s="27"/>
      <c r="E690" s="27"/>
      <c r="F690" s="20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5"/>
      <c r="U690" s="5"/>
    </row>
    <row r="691" spans="3:21" x14ac:dyDescent="0.2">
      <c r="C691" s="27"/>
      <c r="D691" s="27"/>
      <c r="E691" s="27"/>
      <c r="F691" s="20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5"/>
      <c r="U691" s="5"/>
    </row>
    <row r="692" spans="3:21" x14ac:dyDescent="0.2">
      <c r="C692" s="27"/>
      <c r="D692" s="27"/>
      <c r="E692" s="27"/>
      <c r="F692" s="20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5"/>
      <c r="U692" s="5"/>
    </row>
    <row r="693" spans="3:21" x14ac:dyDescent="0.2">
      <c r="C693" s="27"/>
      <c r="D693" s="27"/>
      <c r="E693" s="27"/>
      <c r="F693" s="20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5"/>
      <c r="U693" s="5"/>
    </row>
    <row r="694" spans="3:21" x14ac:dyDescent="0.2">
      <c r="C694" s="27"/>
      <c r="D694" s="27"/>
      <c r="E694" s="27"/>
      <c r="F694" s="20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5"/>
      <c r="U694" s="5"/>
    </row>
    <row r="695" spans="3:21" x14ac:dyDescent="0.2">
      <c r="C695" s="27"/>
      <c r="D695" s="27"/>
      <c r="E695" s="27"/>
      <c r="F695" s="20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5"/>
      <c r="U695" s="5"/>
    </row>
    <row r="696" spans="3:21" x14ac:dyDescent="0.2">
      <c r="C696" s="27"/>
      <c r="D696" s="27"/>
      <c r="E696" s="27"/>
      <c r="F696" s="20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5"/>
      <c r="U696" s="5"/>
    </row>
    <row r="697" spans="3:21" x14ac:dyDescent="0.2">
      <c r="C697" s="27"/>
      <c r="D697" s="27"/>
      <c r="E697" s="27"/>
      <c r="F697" s="20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5"/>
      <c r="U697" s="5"/>
    </row>
    <row r="698" spans="3:21" x14ac:dyDescent="0.2">
      <c r="C698" s="27"/>
      <c r="D698" s="27"/>
      <c r="E698" s="27"/>
      <c r="F698" s="20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5"/>
      <c r="U698" s="5"/>
    </row>
    <row r="699" spans="3:21" x14ac:dyDescent="0.2">
      <c r="C699" s="27"/>
      <c r="D699" s="27"/>
      <c r="E699" s="27"/>
      <c r="F699" s="20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5"/>
      <c r="U699" s="5"/>
    </row>
    <row r="700" spans="3:21" x14ac:dyDescent="0.2">
      <c r="C700" s="27"/>
      <c r="D700" s="27"/>
      <c r="E700" s="27"/>
      <c r="F700" s="20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5"/>
      <c r="U700" s="5"/>
    </row>
    <row r="701" spans="3:21" x14ac:dyDescent="0.2">
      <c r="C701" s="27"/>
      <c r="D701" s="27"/>
      <c r="E701" s="27"/>
      <c r="F701" s="20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5"/>
      <c r="U701" s="5"/>
    </row>
    <row r="702" spans="3:21" x14ac:dyDescent="0.2">
      <c r="C702" s="27"/>
      <c r="D702" s="27"/>
      <c r="E702" s="27"/>
      <c r="F702" s="20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5"/>
      <c r="U702" s="5"/>
    </row>
    <row r="703" spans="3:21" x14ac:dyDescent="0.2">
      <c r="C703" s="27"/>
      <c r="D703" s="27"/>
      <c r="E703" s="27"/>
      <c r="F703" s="20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5"/>
      <c r="U703" s="5"/>
    </row>
    <row r="704" spans="3:21" x14ac:dyDescent="0.2">
      <c r="C704" s="27"/>
      <c r="D704" s="27"/>
      <c r="E704" s="27"/>
      <c r="F704" s="20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5"/>
      <c r="U704" s="5"/>
    </row>
    <row r="705" spans="3:21" x14ac:dyDescent="0.2">
      <c r="C705" s="27"/>
      <c r="D705" s="27"/>
      <c r="E705" s="27"/>
      <c r="F705" s="20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5"/>
      <c r="U705" s="5"/>
    </row>
    <row r="706" spans="3:21" x14ac:dyDescent="0.2">
      <c r="C706" s="27"/>
      <c r="D706" s="27"/>
      <c r="E706" s="27"/>
      <c r="F706" s="20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5"/>
      <c r="U706" s="5"/>
    </row>
    <row r="707" spans="3:21" x14ac:dyDescent="0.2">
      <c r="C707" s="27"/>
      <c r="D707" s="27"/>
      <c r="E707" s="27"/>
      <c r="F707" s="20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5"/>
      <c r="U707" s="5"/>
    </row>
    <row r="708" spans="3:21" x14ac:dyDescent="0.2">
      <c r="C708" s="27"/>
      <c r="D708" s="27"/>
      <c r="E708" s="27"/>
      <c r="F708" s="20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5"/>
      <c r="U708" s="5"/>
    </row>
    <row r="709" spans="3:21" x14ac:dyDescent="0.2">
      <c r="C709" s="27"/>
      <c r="D709" s="27"/>
      <c r="E709" s="27"/>
      <c r="F709" s="20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5"/>
      <c r="U709" s="5"/>
    </row>
    <row r="710" spans="3:21" x14ac:dyDescent="0.2">
      <c r="C710" s="27"/>
      <c r="D710" s="27"/>
      <c r="E710" s="27"/>
      <c r="F710" s="20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5"/>
      <c r="U710" s="5"/>
    </row>
    <row r="711" spans="3:21" x14ac:dyDescent="0.2">
      <c r="C711" s="27"/>
      <c r="D711" s="27"/>
      <c r="E711" s="27"/>
      <c r="F711" s="20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5"/>
      <c r="U711" s="5"/>
    </row>
    <row r="712" spans="3:21" x14ac:dyDescent="0.2">
      <c r="C712" s="27"/>
      <c r="D712" s="27"/>
      <c r="E712" s="27"/>
      <c r="F712" s="20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5"/>
      <c r="U712" s="5"/>
    </row>
    <row r="713" spans="3:21" x14ac:dyDescent="0.2">
      <c r="C713" s="27"/>
      <c r="D713" s="27"/>
      <c r="E713" s="27"/>
      <c r="F713" s="20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5"/>
      <c r="U713" s="5"/>
    </row>
    <row r="714" spans="3:21" x14ac:dyDescent="0.2">
      <c r="C714" s="27"/>
      <c r="D714" s="27"/>
      <c r="E714" s="27"/>
      <c r="F714" s="20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5"/>
      <c r="U714" s="5"/>
    </row>
    <row r="715" spans="3:21" x14ac:dyDescent="0.2">
      <c r="C715" s="27"/>
      <c r="D715" s="27"/>
      <c r="E715" s="27"/>
      <c r="F715" s="20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5"/>
      <c r="U715" s="5"/>
    </row>
    <row r="716" spans="3:21" x14ac:dyDescent="0.2">
      <c r="C716" s="27"/>
      <c r="D716" s="27"/>
      <c r="E716" s="27"/>
      <c r="F716" s="20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5"/>
      <c r="U716" s="5"/>
    </row>
    <row r="717" spans="3:21" x14ac:dyDescent="0.2">
      <c r="C717" s="27"/>
      <c r="D717" s="27"/>
      <c r="E717" s="27"/>
      <c r="F717" s="20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5"/>
      <c r="U717" s="5"/>
    </row>
    <row r="718" spans="3:21" x14ac:dyDescent="0.2">
      <c r="C718" s="27"/>
      <c r="D718" s="27"/>
      <c r="E718" s="27"/>
      <c r="F718" s="20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5"/>
      <c r="U718" s="5"/>
    </row>
    <row r="719" spans="3:21" x14ac:dyDescent="0.2">
      <c r="C719" s="27"/>
      <c r="D719" s="27"/>
      <c r="E719" s="27"/>
      <c r="F719" s="20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5"/>
      <c r="U719" s="5"/>
    </row>
    <row r="720" spans="3:21" x14ac:dyDescent="0.2">
      <c r="C720" s="27"/>
      <c r="D720" s="27"/>
      <c r="E720" s="27"/>
      <c r="F720" s="20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5"/>
      <c r="U720" s="5"/>
    </row>
    <row r="721" spans="3:21" x14ac:dyDescent="0.2">
      <c r="C721" s="27"/>
      <c r="D721" s="27"/>
      <c r="E721" s="27"/>
      <c r="F721" s="20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5"/>
      <c r="U721" s="5"/>
    </row>
    <row r="722" spans="3:21" x14ac:dyDescent="0.2">
      <c r="C722" s="27"/>
      <c r="D722" s="27"/>
      <c r="E722" s="27"/>
      <c r="F722" s="20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5"/>
      <c r="U722" s="5"/>
    </row>
    <row r="723" spans="3:21" x14ac:dyDescent="0.2">
      <c r="C723" s="27"/>
      <c r="D723" s="27"/>
      <c r="E723" s="27"/>
      <c r="F723" s="20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5"/>
      <c r="U723" s="5"/>
    </row>
    <row r="724" spans="3:21" x14ac:dyDescent="0.2">
      <c r="C724" s="27"/>
      <c r="D724" s="27"/>
      <c r="E724" s="27"/>
      <c r="F724" s="20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5"/>
      <c r="U724" s="5"/>
    </row>
    <row r="725" spans="3:21" x14ac:dyDescent="0.2">
      <c r="C725" s="27"/>
      <c r="D725" s="27"/>
      <c r="E725" s="27"/>
      <c r="F725" s="20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5"/>
      <c r="U725" s="5"/>
    </row>
    <row r="726" spans="3:21" x14ac:dyDescent="0.2">
      <c r="C726" s="27"/>
      <c r="D726" s="27"/>
      <c r="E726" s="27"/>
      <c r="F726" s="20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5"/>
      <c r="U726" s="5"/>
    </row>
    <row r="727" spans="3:21" x14ac:dyDescent="0.2">
      <c r="C727" s="27"/>
      <c r="D727" s="27"/>
      <c r="E727" s="27"/>
      <c r="F727" s="20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5"/>
      <c r="U727" s="5"/>
    </row>
    <row r="728" spans="3:21" x14ac:dyDescent="0.2">
      <c r="C728" s="27"/>
      <c r="D728" s="27"/>
      <c r="E728" s="27"/>
      <c r="F728" s="20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5"/>
      <c r="U728" s="5"/>
    </row>
    <row r="729" spans="3:21" x14ac:dyDescent="0.2">
      <c r="C729" s="27"/>
      <c r="D729" s="27"/>
      <c r="E729" s="27"/>
      <c r="F729" s="20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5"/>
      <c r="U729" s="5"/>
    </row>
    <row r="730" spans="3:21" x14ac:dyDescent="0.2">
      <c r="C730" s="27"/>
      <c r="D730" s="27"/>
      <c r="E730" s="27"/>
      <c r="F730" s="20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5"/>
      <c r="U730" s="5"/>
    </row>
    <row r="731" spans="3:21" x14ac:dyDescent="0.2">
      <c r="C731" s="27"/>
      <c r="D731" s="27"/>
      <c r="E731" s="27"/>
      <c r="F731" s="20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5"/>
      <c r="U731" s="5"/>
    </row>
    <row r="732" spans="3:21" x14ac:dyDescent="0.2">
      <c r="C732" s="27"/>
      <c r="D732" s="27"/>
      <c r="E732" s="27"/>
      <c r="F732" s="20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5"/>
      <c r="U732" s="5"/>
    </row>
    <row r="733" spans="3:21" x14ac:dyDescent="0.2">
      <c r="C733" s="27"/>
      <c r="D733" s="27"/>
      <c r="E733" s="27"/>
      <c r="F733" s="20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5"/>
      <c r="U733" s="5"/>
    </row>
    <row r="734" spans="3:21" x14ac:dyDescent="0.2">
      <c r="C734" s="27"/>
      <c r="D734" s="27"/>
      <c r="E734" s="27"/>
      <c r="F734" s="20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5"/>
      <c r="U734" s="5"/>
    </row>
    <row r="735" spans="3:21" x14ac:dyDescent="0.2">
      <c r="C735" s="27"/>
      <c r="D735" s="27"/>
      <c r="E735" s="27"/>
      <c r="F735" s="20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5"/>
      <c r="U735" s="5"/>
    </row>
    <row r="736" spans="3:21" x14ac:dyDescent="0.2">
      <c r="C736" s="27"/>
      <c r="D736" s="27"/>
      <c r="E736" s="27"/>
      <c r="F736" s="20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5"/>
      <c r="U736" s="5"/>
    </row>
    <row r="737" spans="3:21" x14ac:dyDescent="0.2">
      <c r="C737" s="27"/>
      <c r="D737" s="27"/>
      <c r="E737" s="27"/>
      <c r="F737" s="20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5"/>
      <c r="U737" s="5"/>
    </row>
    <row r="738" spans="3:21" x14ac:dyDescent="0.2">
      <c r="C738" s="27"/>
      <c r="D738" s="27"/>
      <c r="E738" s="27"/>
      <c r="F738" s="20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5"/>
      <c r="U738" s="5"/>
    </row>
    <row r="739" spans="3:21" x14ac:dyDescent="0.2">
      <c r="C739" s="27"/>
      <c r="D739" s="27"/>
      <c r="E739" s="27"/>
      <c r="F739" s="20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5"/>
      <c r="U739" s="5"/>
    </row>
    <row r="740" spans="3:21" x14ac:dyDescent="0.2">
      <c r="C740" s="27"/>
      <c r="D740" s="27"/>
      <c r="E740" s="27"/>
      <c r="F740" s="20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5"/>
      <c r="U740" s="5"/>
    </row>
    <row r="741" spans="3:21" x14ac:dyDescent="0.2">
      <c r="C741" s="27"/>
      <c r="D741" s="27"/>
      <c r="E741" s="27"/>
      <c r="F741" s="20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5"/>
      <c r="U741" s="5"/>
    </row>
    <row r="742" spans="3:21" x14ac:dyDescent="0.2">
      <c r="C742" s="27"/>
      <c r="D742" s="27"/>
      <c r="E742" s="27"/>
      <c r="F742" s="20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5"/>
      <c r="U742" s="5"/>
    </row>
    <row r="743" spans="3:21" x14ac:dyDescent="0.2">
      <c r="C743" s="27"/>
      <c r="D743" s="27"/>
      <c r="E743" s="27"/>
      <c r="F743" s="20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5"/>
      <c r="U743" s="5"/>
    </row>
    <row r="744" spans="3:21" x14ac:dyDescent="0.2">
      <c r="C744" s="27"/>
      <c r="D744" s="27"/>
      <c r="E744" s="27"/>
      <c r="F744" s="20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5"/>
      <c r="U744" s="5"/>
    </row>
    <row r="745" spans="3:21" x14ac:dyDescent="0.2">
      <c r="C745" s="27"/>
      <c r="D745" s="27"/>
      <c r="E745" s="27"/>
      <c r="F745" s="20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5"/>
      <c r="U745" s="5"/>
    </row>
    <row r="746" spans="3:21" x14ac:dyDescent="0.2">
      <c r="C746" s="27"/>
      <c r="D746" s="27"/>
      <c r="E746" s="27"/>
      <c r="F746" s="20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5"/>
      <c r="U746" s="5"/>
    </row>
    <row r="747" spans="3:21" x14ac:dyDescent="0.2">
      <c r="C747" s="27"/>
      <c r="D747" s="27"/>
      <c r="E747" s="27"/>
      <c r="F747" s="20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5"/>
      <c r="U747" s="5"/>
    </row>
    <row r="748" spans="3:21" x14ac:dyDescent="0.2">
      <c r="C748" s="27"/>
      <c r="D748" s="27"/>
      <c r="E748" s="27"/>
      <c r="F748" s="20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5"/>
      <c r="U748" s="5"/>
    </row>
    <row r="749" spans="3:21" x14ac:dyDescent="0.2">
      <c r="C749" s="27"/>
      <c r="D749" s="27"/>
      <c r="E749" s="27"/>
      <c r="F749" s="20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5"/>
      <c r="U749" s="5"/>
    </row>
    <row r="750" spans="3:21" x14ac:dyDescent="0.2">
      <c r="C750" s="27"/>
      <c r="D750" s="27"/>
      <c r="E750" s="27"/>
      <c r="F750" s="20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5"/>
      <c r="U750" s="5"/>
    </row>
    <row r="751" spans="3:21" x14ac:dyDescent="0.2">
      <c r="C751" s="27"/>
      <c r="D751" s="27"/>
      <c r="E751" s="27"/>
      <c r="F751" s="20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5"/>
      <c r="U751" s="5"/>
    </row>
    <row r="752" spans="3:21" x14ac:dyDescent="0.2">
      <c r="C752" s="27"/>
      <c r="D752" s="27"/>
      <c r="E752" s="27"/>
      <c r="F752" s="20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5"/>
      <c r="U752" s="5"/>
    </row>
    <row r="753" spans="3:21" x14ac:dyDescent="0.2">
      <c r="C753" s="27"/>
      <c r="D753" s="27"/>
      <c r="E753" s="27"/>
      <c r="F753" s="20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5"/>
      <c r="U753" s="5"/>
    </row>
    <row r="754" spans="3:21" x14ac:dyDescent="0.2">
      <c r="C754" s="27"/>
      <c r="D754" s="27"/>
      <c r="E754" s="27"/>
      <c r="F754" s="20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5"/>
      <c r="U754" s="5"/>
    </row>
    <row r="755" spans="3:21" x14ac:dyDescent="0.2">
      <c r="C755" s="27"/>
      <c r="D755" s="27"/>
      <c r="E755" s="27"/>
      <c r="F755" s="20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5"/>
      <c r="U755" s="5"/>
    </row>
    <row r="756" spans="3:21" x14ac:dyDescent="0.2">
      <c r="C756" s="27"/>
      <c r="D756" s="27"/>
      <c r="E756" s="27"/>
      <c r="F756" s="20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5"/>
      <c r="U756" s="5"/>
    </row>
    <row r="757" spans="3:21" x14ac:dyDescent="0.2">
      <c r="C757" s="27"/>
      <c r="D757" s="27"/>
      <c r="E757" s="27"/>
      <c r="F757" s="20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5"/>
      <c r="U757" s="5"/>
    </row>
    <row r="758" spans="3:21" x14ac:dyDescent="0.2">
      <c r="C758" s="27"/>
      <c r="D758" s="27"/>
      <c r="E758" s="27"/>
      <c r="F758" s="20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5"/>
      <c r="U758" s="5"/>
    </row>
    <row r="759" spans="3:21" x14ac:dyDescent="0.2">
      <c r="C759" s="27"/>
      <c r="D759" s="27"/>
      <c r="E759" s="27"/>
      <c r="F759" s="20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5"/>
      <c r="U759" s="5"/>
    </row>
    <row r="760" spans="3:21" x14ac:dyDescent="0.2">
      <c r="C760" s="27"/>
      <c r="D760" s="27"/>
      <c r="E760" s="27"/>
      <c r="F760" s="20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5"/>
      <c r="U760" s="5"/>
    </row>
    <row r="761" spans="3:21" x14ac:dyDescent="0.2">
      <c r="C761" s="27"/>
      <c r="D761" s="27"/>
      <c r="E761" s="27"/>
      <c r="F761" s="20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5"/>
      <c r="U761" s="5"/>
    </row>
    <row r="762" spans="3:21" x14ac:dyDescent="0.2">
      <c r="C762" s="27"/>
      <c r="D762" s="27"/>
      <c r="E762" s="27"/>
      <c r="F762" s="20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5"/>
      <c r="U762" s="5"/>
    </row>
    <row r="763" spans="3:21" x14ac:dyDescent="0.2">
      <c r="C763" s="27"/>
      <c r="D763" s="27"/>
      <c r="E763" s="27"/>
      <c r="F763" s="20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5"/>
      <c r="U763" s="5"/>
    </row>
    <row r="764" spans="3:21" x14ac:dyDescent="0.2">
      <c r="C764" s="27"/>
      <c r="D764" s="27"/>
      <c r="E764" s="27"/>
      <c r="F764" s="20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5"/>
      <c r="U764" s="5"/>
    </row>
    <row r="765" spans="3:21" x14ac:dyDescent="0.2">
      <c r="C765" s="27"/>
      <c r="D765" s="27"/>
      <c r="E765" s="27"/>
      <c r="F765" s="20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5"/>
      <c r="U765" s="5"/>
    </row>
    <row r="766" spans="3:21" x14ac:dyDescent="0.2">
      <c r="C766" s="27"/>
      <c r="D766" s="27"/>
      <c r="E766" s="27"/>
      <c r="F766" s="20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5"/>
      <c r="U766" s="5"/>
    </row>
    <row r="767" spans="3:21" x14ac:dyDescent="0.2">
      <c r="C767" s="27"/>
      <c r="D767" s="27"/>
      <c r="E767" s="27"/>
      <c r="F767" s="20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5"/>
      <c r="U767" s="5"/>
    </row>
    <row r="768" spans="3:21" x14ac:dyDescent="0.2">
      <c r="C768" s="27"/>
      <c r="D768" s="27"/>
      <c r="E768" s="27"/>
      <c r="F768" s="20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5"/>
      <c r="U768" s="5"/>
    </row>
    <row r="769" spans="3:21" x14ac:dyDescent="0.2">
      <c r="C769" s="27"/>
      <c r="D769" s="27"/>
      <c r="E769" s="27"/>
      <c r="F769" s="20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5"/>
      <c r="U769" s="5"/>
    </row>
    <row r="770" spans="3:21" x14ac:dyDescent="0.2">
      <c r="C770" s="27"/>
      <c r="D770" s="27"/>
      <c r="E770" s="27"/>
      <c r="F770" s="20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5"/>
      <c r="U770" s="5"/>
    </row>
    <row r="771" spans="3:21" x14ac:dyDescent="0.2">
      <c r="C771" s="27"/>
      <c r="D771" s="27"/>
      <c r="E771" s="27"/>
      <c r="F771" s="20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5"/>
      <c r="U771" s="5"/>
    </row>
    <row r="772" spans="3:21" x14ac:dyDescent="0.2">
      <c r="C772" s="27"/>
      <c r="D772" s="27"/>
      <c r="E772" s="27"/>
      <c r="F772" s="20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5"/>
      <c r="U772" s="5"/>
    </row>
    <row r="773" spans="3:21" x14ac:dyDescent="0.2">
      <c r="C773" s="27"/>
      <c r="D773" s="27"/>
      <c r="E773" s="27"/>
      <c r="F773" s="20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5"/>
      <c r="U773" s="5"/>
    </row>
    <row r="774" spans="3:21" x14ac:dyDescent="0.2">
      <c r="C774" s="27"/>
      <c r="D774" s="27"/>
      <c r="E774" s="27"/>
      <c r="F774" s="20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5"/>
      <c r="U774" s="5"/>
    </row>
    <row r="775" spans="3:21" x14ac:dyDescent="0.2">
      <c r="C775" s="27"/>
      <c r="D775" s="27"/>
      <c r="E775" s="27"/>
      <c r="F775" s="20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5"/>
      <c r="U775" s="5"/>
    </row>
    <row r="776" spans="3:21" x14ac:dyDescent="0.2">
      <c r="C776" s="27"/>
      <c r="D776" s="27"/>
      <c r="E776" s="27"/>
      <c r="F776" s="20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5"/>
      <c r="U776" s="5"/>
    </row>
    <row r="777" spans="3:21" x14ac:dyDescent="0.2">
      <c r="C777" s="27"/>
      <c r="D777" s="27"/>
      <c r="E777" s="27"/>
      <c r="F777" s="20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5"/>
      <c r="U777" s="5"/>
    </row>
    <row r="778" spans="3:21" x14ac:dyDescent="0.2">
      <c r="C778" s="27"/>
      <c r="D778" s="27"/>
      <c r="E778" s="27"/>
      <c r="F778" s="20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5"/>
      <c r="U778" s="5"/>
    </row>
    <row r="779" spans="3:21" x14ac:dyDescent="0.2">
      <c r="C779" s="27"/>
      <c r="D779" s="27"/>
      <c r="E779" s="27"/>
      <c r="F779" s="20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5"/>
      <c r="U779" s="5"/>
    </row>
    <row r="780" spans="3:21" x14ac:dyDescent="0.2">
      <c r="C780" s="27"/>
      <c r="D780" s="27"/>
      <c r="E780" s="27"/>
      <c r="F780" s="20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5"/>
      <c r="U780" s="5"/>
    </row>
    <row r="781" spans="3:21" x14ac:dyDescent="0.2">
      <c r="C781" s="27"/>
      <c r="D781" s="27"/>
      <c r="E781" s="27"/>
      <c r="F781" s="20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5"/>
      <c r="U781" s="5"/>
    </row>
    <row r="782" spans="3:21" x14ac:dyDescent="0.2">
      <c r="C782" s="27"/>
      <c r="D782" s="27"/>
      <c r="E782" s="27"/>
      <c r="F782" s="20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5"/>
      <c r="U782" s="5"/>
    </row>
    <row r="783" spans="3:21" x14ac:dyDescent="0.2">
      <c r="C783" s="27"/>
      <c r="D783" s="27"/>
      <c r="E783" s="27"/>
      <c r="F783" s="20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5"/>
      <c r="U783" s="5"/>
    </row>
    <row r="784" spans="3:21" x14ac:dyDescent="0.2">
      <c r="C784" s="27"/>
      <c r="D784" s="27"/>
      <c r="E784" s="27"/>
      <c r="F784" s="20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5"/>
      <c r="U784" s="5"/>
    </row>
    <row r="785" spans="3:21" x14ac:dyDescent="0.2">
      <c r="C785" s="27"/>
      <c r="D785" s="27"/>
      <c r="E785" s="27"/>
      <c r="F785" s="20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5"/>
      <c r="U785" s="5"/>
    </row>
    <row r="786" spans="3:21" x14ac:dyDescent="0.2">
      <c r="C786" s="27"/>
      <c r="D786" s="27"/>
      <c r="E786" s="27"/>
      <c r="F786" s="20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5"/>
      <c r="U786" s="5"/>
    </row>
    <row r="787" spans="3:21" x14ac:dyDescent="0.2">
      <c r="C787" s="27"/>
      <c r="D787" s="27"/>
      <c r="E787" s="27"/>
      <c r="F787" s="20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5"/>
      <c r="U787" s="5"/>
    </row>
    <row r="788" spans="3:21" x14ac:dyDescent="0.2">
      <c r="C788" s="27"/>
      <c r="D788" s="27"/>
      <c r="E788" s="27"/>
      <c r="F788" s="20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5"/>
      <c r="U788" s="5"/>
    </row>
    <row r="789" spans="3:21" x14ac:dyDescent="0.2">
      <c r="C789" s="27"/>
      <c r="D789" s="27"/>
      <c r="E789" s="27"/>
      <c r="F789" s="20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5"/>
      <c r="U789" s="5"/>
    </row>
    <row r="790" spans="3:21" x14ac:dyDescent="0.2">
      <c r="C790" s="27"/>
      <c r="D790" s="27"/>
      <c r="E790" s="27"/>
      <c r="F790" s="20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5"/>
      <c r="U790" s="5"/>
    </row>
    <row r="791" spans="3:21" x14ac:dyDescent="0.2">
      <c r="C791" s="27"/>
      <c r="D791" s="27"/>
      <c r="E791" s="27"/>
      <c r="F791" s="20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5"/>
      <c r="U791" s="5"/>
    </row>
    <row r="792" spans="3:21" x14ac:dyDescent="0.2">
      <c r="C792" s="27"/>
      <c r="D792" s="27"/>
      <c r="E792" s="27"/>
      <c r="F792" s="20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5"/>
      <c r="U792" s="5"/>
    </row>
    <row r="793" spans="3:21" x14ac:dyDescent="0.2">
      <c r="C793" s="27"/>
      <c r="D793" s="27"/>
      <c r="E793" s="27"/>
      <c r="F793" s="20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5"/>
      <c r="U793" s="5"/>
    </row>
    <row r="794" spans="3:21" x14ac:dyDescent="0.2">
      <c r="C794" s="27"/>
      <c r="D794" s="27"/>
      <c r="E794" s="27"/>
      <c r="F794" s="20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5"/>
      <c r="U794" s="5"/>
    </row>
    <row r="795" spans="3:21" x14ac:dyDescent="0.2">
      <c r="C795" s="27"/>
      <c r="D795" s="27"/>
      <c r="E795" s="27"/>
      <c r="F795" s="20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5"/>
      <c r="U795" s="5"/>
    </row>
    <row r="796" spans="3:21" x14ac:dyDescent="0.2">
      <c r="C796" s="27"/>
      <c r="D796" s="27"/>
      <c r="E796" s="27"/>
      <c r="F796" s="20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5"/>
      <c r="U796" s="5"/>
    </row>
    <row r="797" spans="3:21" x14ac:dyDescent="0.2">
      <c r="C797" s="27"/>
      <c r="D797" s="27"/>
      <c r="E797" s="27"/>
      <c r="F797" s="20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5"/>
      <c r="U797" s="5"/>
    </row>
    <row r="798" spans="3:21" x14ac:dyDescent="0.2">
      <c r="C798" s="27"/>
      <c r="D798" s="27"/>
      <c r="E798" s="27"/>
      <c r="F798" s="20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5"/>
      <c r="U798" s="5"/>
    </row>
    <row r="799" spans="3:21" x14ac:dyDescent="0.2">
      <c r="C799" s="27"/>
      <c r="D799" s="27"/>
      <c r="E799" s="27"/>
      <c r="F799" s="20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5"/>
      <c r="U799" s="5"/>
    </row>
    <row r="800" spans="3:21" x14ac:dyDescent="0.2">
      <c r="C800" s="27"/>
      <c r="D800" s="27"/>
      <c r="E800" s="27"/>
      <c r="F800" s="20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5"/>
      <c r="U800" s="5"/>
    </row>
    <row r="801" spans="3:21" x14ac:dyDescent="0.2">
      <c r="C801" s="27"/>
      <c r="D801" s="27"/>
      <c r="E801" s="27"/>
      <c r="F801" s="20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5"/>
      <c r="U801" s="5"/>
    </row>
    <row r="802" spans="3:21" x14ac:dyDescent="0.2">
      <c r="C802" s="27"/>
      <c r="D802" s="27"/>
      <c r="E802" s="27"/>
      <c r="F802" s="20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5"/>
      <c r="U802" s="5"/>
    </row>
    <row r="803" spans="3:21" x14ac:dyDescent="0.2">
      <c r="C803" s="27"/>
      <c r="D803" s="27"/>
      <c r="E803" s="27"/>
      <c r="F803" s="20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5"/>
      <c r="U803" s="5"/>
    </row>
    <row r="804" spans="3:21" x14ac:dyDescent="0.2">
      <c r="C804" s="27"/>
      <c r="D804" s="27"/>
      <c r="E804" s="27"/>
      <c r="F804" s="20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5"/>
      <c r="U804" s="5"/>
    </row>
    <row r="805" spans="3:21" x14ac:dyDescent="0.2">
      <c r="C805" s="27"/>
      <c r="D805" s="27"/>
      <c r="E805" s="27"/>
      <c r="F805" s="20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5"/>
      <c r="U805" s="5"/>
    </row>
    <row r="806" spans="3:21" x14ac:dyDescent="0.2">
      <c r="C806" s="27"/>
      <c r="D806" s="27"/>
      <c r="E806" s="27"/>
      <c r="F806" s="20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5"/>
      <c r="U806" s="5"/>
    </row>
    <row r="807" spans="3:21" x14ac:dyDescent="0.2">
      <c r="C807" s="27"/>
      <c r="D807" s="27"/>
      <c r="E807" s="27"/>
      <c r="F807" s="20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5"/>
      <c r="U807" s="5"/>
    </row>
    <row r="808" spans="3:21" x14ac:dyDescent="0.2">
      <c r="C808" s="27"/>
      <c r="D808" s="27"/>
      <c r="E808" s="27"/>
      <c r="F808" s="20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5"/>
      <c r="U808" s="5"/>
    </row>
    <row r="809" spans="3:21" x14ac:dyDescent="0.2">
      <c r="C809" s="27"/>
      <c r="D809" s="27"/>
      <c r="E809" s="27"/>
      <c r="F809" s="20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5"/>
      <c r="U809" s="5"/>
    </row>
    <row r="810" spans="3:21" x14ac:dyDescent="0.2">
      <c r="C810" s="27"/>
      <c r="D810" s="27"/>
      <c r="E810" s="27"/>
      <c r="F810" s="20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5"/>
      <c r="U810" s="5"/>
    </row>
    <row r="811" spans="3:21" x14ac:dyDescent="0.2">
      <c r="C811" s="27"/>
      <c r="D811" s="27"/>
      <c r="E811" s="27"/>
      <c r="F811" s="20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5"/>
      <c r="U811" s="5"/>
    </row>
    <row r="812" spans="3:21" x14ac:dyDescent="0.2">
      <c r="C812" s="27"/>
      <c r="D812" s="27"/>
      <c r="E812" s="27"/>
      <c r="F812" s="20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5"/>
      <c r="U812" s="5"/>
    </row>
    <row r="813" spans="3:21" x14ac:dyDescent="0.2">
      <c r="C813" s="27"/>
      <c r="D813" s="27"/>
      <c r="E813" s="27"/>
      <c r="F813" s="20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5"/>
      <c r="U813" s="5"/>
    </row>
    <row r="814" spans="3:21" x14ac:dyDescent="0.2">
      <c r="C814" s="27"/>
      <c r="D814" s="27"/>
      <c r="E814" s="27"/>
      <c r="F814" s="20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5"/>
      <c r="U814" s="5"/>
    </row>
    <row r="815" spans="3:21" x14ac:dyDescent="0.2">
      <c r="C815" s="27"/>
      <c r="D815" s="27"/>
      <c r="E815" s="27"/>
      <c r="F815" s="20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5"/>
      <c r="U815" s="5"/>
    </row>
    <row r="816" spans="3:21" x14ac:dyDescent="0.2">
      <c r="C816" s="27"/>
      <c r="D816" s="27"/>
      <c r="E816" s="27"/>
      <c r="F816" s="20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5"/>
      <c r="U816" s="5"/>
    </row>
    <row r="817" spans="3:21" x14ac:dyDescent="0.2">
      <c r="C817" s="27"/>
      <c r="D817" s="27"/>
      <c r="E817" s="27"/>
      <c r="F817" s="20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5"/>
      <c r="U817" s="5"/>
    </row>
    <row r="818" spans="3:21" x14ac:dyDescent="0.2">
      <c r="C818" s="27"/>
      <c r="D818" s="27"/>
      <c r="E818" s="27"/>
      <c r="F818" s="20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5"/>
      <c r="U818" s="5"/>
    </row>
    <row r="819" spans="3:21" x14ac:dyDescent="0.2">
      <c r="C819" s="27"/>
      <c r="D819" s="27"/>
      <c r="E819" s="27"/>
      <c r="F819" s="20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5"/>
      <c r="U819" s="5"/>
    </row>
    <row r="820" spans="3:21" x14ac:dyDescent="0.2">
      <c r="C820" s="27"/>
      <c r="D820" s="27"/>
      <c r="E820" s="27"/>
      <c r="F820" s="20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5"/>
      <c r="U820" s="5"/>
    </row>
    <row r="821" spans="3:21" x14ac:dyDescent="0.2">
      <c r="C821" s="27"/>
      <c r="D821" s="27"/>
      <c r="E821" s="27"/>
      <c r="F821" s="20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5"/>
      <c r="U821" s="5"/>
    </row>
    <row r="822" spans="3:21" x14ac:dyDescent="0.2">
      <c r="C822" s="27"/>
      <c r="D822" s="27"/>
      <c r="E822" s="27"/>
      <c r="F822" s="20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5"/>
      <c r="U822" s="5"/>
    </row>
    <row r="823" spans="3:21" x14ac:dyDescent="0.2">
      <c r="C823" s="27"/>
      <c r="D823" s="27"/>
      <c r="E823" s="27"/>
      <c r="F823" s="20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5"/>
      <c r="U823" s="5"/>
    </row>
    <row r="824" spans="3:21" x14ac:dyDescent="0.2">
      <c r="C824" s="27"/>
      <c r="D824" s="27"/>
      <c r="E824" s="27"/>
      <c r="F824" s="20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5"/>
      <c r="U824" s="5"/>
    </row>
    <row r="825" spans="3:21" x14ac:dyDescent="0.2">
      <c r="C825" s="27"/>
      <c r="D825" s="27"/>
      <c r="E825" s="27"/>
      <c r="F825" s="20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5"/>
      <c r="U825" s="5"/>
    </row>
    <row r="826" spans="3:21" x14ac:dyDescent="0.2">
      <c r="C826" s="27"/>
      <c r="D826" s="27"/>
      <c r="E826" s="27"/>
      <c r="F826" s="20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5"/>
      <c r="U826" s="5"/>
    </row>
    <row r="827" spans="3:21" x14ac:dyDescent="0.2">
      <c r="C827" s="27"/>
      <c r="D827" s="27"/>
      <c r="E827" s="27"/>
      <c r="F827" s="20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5"/>
      <c r="U827" s="5"/>
    </row>
    <row r="828" spans="3:21" x14ac:dyDescent="0.2">
      <c r="C828" s="27"/>
      <c r="D828" s="27"/>
      <c r="E828" s="27"/>
      <c r="F828" s="20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5"/>
      <c r="U828" s="5"/>
    </row>
    <row r="829" spans="3:21" x14ac:dyDescent="0.2">
      <c r="C829" s="27"/>
      <c r="D829" s="27"/>
      <c r="E829" s="27"/>
      <c r="F829" s="20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5"/>
      <c r="U829" s="5"/>
    </row>
    <row r="830" spans="3:21" x14ac:dyDescent="0.2">
      <c r="C830" s="27"/>
      <c r="D830" s="27"/>
      <c r="E830" s="27"/>
      <c r="F830" s="20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5"/>
      <c r="U830" s="5"/>
    </row>
    <row r="831" spans="3:21" x14ac:dyDescent="0.2">
      <c r="C831" s="27"/>
      <c r="D831" s="27"/>
      <c r="E831" s="27"/>
      <c r="F831" s="20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5"/>
      <c r="U831" s="5"/>
    </row>
    <row r="832" spans="3:21" x14ac:dyDescent="0.2">
      <c r="C832" s="27"/>
      <c r="D832" s="27"/>
      <c r="E832" s="27"/>
      <c r="F832" s="20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5"/>
      <c r="U832" s="5"/>
    </row>
    <row r="833" spans="3:21" x14ac:dyDescent="0.2">
      <c r="C833" s="27"/>
      <c r="D833" s="27"/>
      <c r="E833" s="27"/>
      <c r="F833" s="20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5"/>
      <c r="U833" s="5"/>
    </row>
    <row r="834" spans="3:21" x14ac:dyDescent="0.2">
      <c r="C834" s="27"/>
      <c r="D834" s="27"/>
      <c r="E834" s="27"/>
      <c r="F834" s="20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5"/>
      <c r="U834" s="5"/>
    </row>
    <row r="835" spans="3:21" x14ac:dyDescent="0.2">
      <c r="C835" s="27"/>
      <c r="D835" s="27"/>
      <c r="E835" s="27"/>
      <c r="F835" s="20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5"/>
      <c r="U835" s="5"/>
    </row>
    <row r="836" spans="3:21" x14ac:dyDescent="0.2">
      <c r="C836" s="27"/>
      <c r="D836" s="27"/>
      <c r="E836" s="27"/>
      <c r="F836" s="20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5"/>
      <c r="U836" s="5"/>
    </row>
    <row r="837" spans="3:21" x14ac:dyDescent="0.2">
      <c r="C837" s="27"/>
      <c r="D837" s="27"/>
      <c r="E837" s="27"/>
      <c r="F837" s="20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5"/>
      <c r="U837" s="5"/>
    </row>
    <row r="838" spans="3:21" x14ac:dyDescent="0.2">
      <c r="C838" s="27"/>
      <c r="D838" s="27"/>
      <c r="E838" s="27"/>
      <c r="F838" s="20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5"/>
      <c r="U838" s="5"/>
    </row>
    <row r="839" spans="3:21" x14ac:dyDescent="0.2">
      <c r="C839" s="27"/>
      <c r="D839" s="27"/>
      <c r="E839" s="27"/>
      <c r="F839" s="20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5"/>
      <c r="U839" s="5"/>
    </row>
    <row r="840" spans="3:21" x14ac:dyDescent="0.2">
      <c r="C840" s="27"/>
      <c r="D840" s="27"/>
      <c r="E840" s="27"/>
      <c r="F840" s="20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5"/>
      <c r="U840" s="5"/>
    </row>
    <row r="841" spans="3:21" x14ac:dyDescent="0.2">
      <c r="C841" s="27"/>
      <c r="D841" s="27"/>
      <c r="E841" s="27"/>
      <c r="F841" s="20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5"/>
      <c r="U841" s="5"/>
    </row>
    <row r="842" spans="3:21" x14ac:dyDescent="0.2">
      <c r="C842" s="27"/>
      <c r="D842" s="27"/>
      <c r="E842" s="27"/>
      <c r="F842" s="20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5"/>
      <c r="U842" s="5"/>
    </row>
    <row r="843" spans="3:21" x14ac:dyDescent="0.2">
      <c r="C843" s="27"/>
      <c r="D843" s="27"/>
      <c r="E843" s="27"/>
      <c r="F843" s="20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5"/>
      <c r="U843" s="5"/>
    </row>
    <row r="844" spans="3:21" x14ac:dyDescent="0.2">
      <c r="C844" s="27"/>
      <c r="D844" s="27"/>
      <c r="E844" s="27"/>
      <c r="F844" s="20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5"/>
      <c r="U844" s="5"/>
    </row>
    <row r="845" spans="3:21" x14ac:dyDescent="0.2">
      <c r="C845" s="27"/>
      <c r="D845" s="27"/>
      <c r="E845" s="27"/>
      <c r="F845" s="20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5"/>
      <c r="U845" s="5"/>
    </row>
    <row r="846" spans="3:21" x14ac:dyDescent="0.2">
      <c r="C846" s="27"/>
      <c r="D846" s="27"/>
      <c r="E846" s="27"/>
      <c r="F846" s="20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5"/>
      <c r="U846" s="5"/>
    </row>
    <row r="847" spans="3:21" x14ac:dyDescent="0.2">
      <c r="C847" s="27"/>
      <c r="D847" s="27"/>
      <c r="E847" s="27"/>
      <c r="F847" s="20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5"/>
      <c r="U847" s="5"/>
    </row>
    <row r="848" spans="3:21" x14ac:dyDescent="0.2">
      <c r="C848" s="27"/>
      <c r="D848" s="27"/>
      <c r="E848" s="27"/>
      <c r="F848" s="20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5"/>
      <c r="U848" s="5"/>
    </row>
    <row r="849" spans="3:21" x14ac:dyDescent="0.2">
      <c r="C849" s="27"/>
      <c r="D849" s="27"/>
      <c r="E849" s="27"/>
      <c r="F849" s="20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5"/>
      <c r="U849" s="5"/>
    </row>
    <row r="850" spans="3:21" x14ac:dyDescent="0.2">
      <c r="C850" s="27"/>
      <c r="D850" s="27"/>
      <c r="E850" s="27"/>
      <c r="F850" s="20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5"/>
      <c r="U850" s="5"/>
    </row>
    <row r="851" spans="3:21" x14ac:dyDescent="0.2">
      <c r="C851" s="27"/>
      <c r="D851" s="27"/>
      <c r="E851" s="27"/>
      <c r="F851" s="20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5"/>
      <c r="U851" s="5"/>
    </row>
    <row r="852" spans="3:21" x14ac:dyDescent="0.2">
      <c r="C852" s="27"/>
      <c r="D852" s="27"/>
      <c r="E852" s="27"/>
      <c r="F852" s="20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5"/>
      <c r="U852" s="5"/>
    </row>
    <row r="853" spans="3:21" x14ac:dyDescent="0.2">
      <c r="C853" s="27"/>
      <c r="D853" s="27"/>
      <c r="E853" s="27"/>
      <c r="F853" s="20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5"/>
      <c r="U853" s="5"/>
    </row>
    <row r="854" spans="3:21" x14ac:dyDescent="0.2">
      <c r="C854" s="27"/>
      <c r="D854" s="27"/>
      <c r="E854" s="27"/>
      <c r="F854" s="20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5"/>
      <c r="U854" s="5"/>
    </row>
    <row r="855" spans="3:21" x14ac:dyDescent="0.2">
      <c r="C855" s="27"/>
      <c r="D855" s="27"/>
      <c r="E855" s="27"/>
      <c r="F855" s="20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5"/>
      <c r="U855" s="5"/>
    </row>
    <row r="856" spans="3:21" x14ac:dyDescent="0.2">
      <c r="C856" s="27"/>
      <c r="D856" s="27"/>
      <c r="E856" s="27"/>
      <c r="F856" s="20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5"/>
      <c r="U856" s="5"/>
    </row>
    <row r="857" spans="3:21" x14ac:dyDescent="0.2">
      <c r="C857" s="27"/>
      <c r="D857" s="27"/>
      <c r="E857" s="27"/>
      <c r="F857" s="20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5"/>
      <c r="U857" s="5"/>
    </row>
    <row r="858" spans="3:21" x14ac:dyDescent="0.2">
      <c r="C858" s="27"/>
      <c r="D858" s="27"/>
      <c r="E858" s="27"/>
      <c r="F858" s="20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5"/>
      <c r="U858" s="5"/>
    </row>
    <row r="859" spans="3:21" x14ac:dyDescent="0.2">
      <c r="C859" s="27"/>
      <c r="D859" s="27"/>
      <c r="E859" s="27"/>
      <c r="F859" s="20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5"/>
      <c r="U859" s="5"/>
    </row>
    <row r="860" spans="3:21" x14ac:dyDescent="0.2">
      <c r="C860" s="27"/>
      <c r="D860" s="27"/>
      <c r="E860" s="27"/>
      <c r="F860" s="20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5"/>
      <c r="U860" s="5"/>
    </row>
    <row r="861" spans="3:21" x14ac:dyDescent="0.2">
      <c r="C861" s="27"/>
      <c r="D861" s="27"/>
      <c r="E861" s="27"/>
      <c r="F861" s="20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5"/>
      <c r="U861" s="5"/>
    </row>
    <row r="862" spans="3:21" x14ac:dyDescent="0.2">
      <c r="C862" s="27"/>
      <c r="D862" s="27"/>
      <c r="E862" s="27"/>
      <c r="F862" s="20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5"/>
      <c r="U862" s="5"/>
    </row>
    <row r="863" spans="3:21" x14ac:dyDescent="0.2">
      <c r="C863" s="27"/>
      <c r="D863" s="27"/>
      <c r="E863" s="27"/>
      <c r="F863" s="20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5"/>
      <c r="U863" s="5"/>
    </row>
    <row r="864" spans="3:21" x14ac:dyDescent="0.2">
      <c r="C864" s="27"/>
      <c r="D864" s="27"/>
      <c r="E864" s="27"/>
      <c r="F864" s="20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5"/>
      <c r="U864" s="5"/>
    </row>
    <row r="865" spans="3:21" x14ac:dyDescent="0.2">
      <c r="C865" s="27"/>
      <c r="D865" s="27"/>
      <c r="E865" s="27"/>
      <c r="F865" s="20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5"/>
      <c r="U865" s="5"/>
    </row>
    <row r="866" spans="3:21" x14ac:dyDescent="0.2">
      <c r="C866" s="27"/>
      <c r="D866" s="27"/>
      <c r="E866" s="27"/>
      <c r="F866" s="20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5"/>
      <c r="U866" s="5"/>
    </row>
    <row r="867" spans="3:21" x14ac:dyDescent="0.2">
      <c r="C867" s="27"/>
      <c r="D867" s="27"/>
      <c r="E867" s="27"/>
      <c r="F867" s="20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5"/>
      <c r="U867" s="5"/>
    </row>
    <row r="868" spans="3:21" x14ac:dyDescent="0.2">
      <c r="C868" s="27"/>
      <c r="D868" s="27"/>
      <c r="E868" s="27"/>
      <c r="F868" s="20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5"/>
      <c r="U868" s="5"/>
    </row>
    <row r="869" spans="3:21" x14ac:dyDescent="0.2">
      <c r="C869" s="27"/>
      <c r="D869" s="27"/>
      <c r="E869" s="27"/>
      <c r="F869" s="20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5"/>
      <c r="U869" s="5"/>
    </row>
    <row r="870" spans="3:21" x14ac:dyDescent="0.2">
      <c r="C870" s="27"/>
      <c r="D870" s="27"/>
      <c r="E870" s="27"/>
      <c r="F870" s="20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5"/>
      <c r="U870" s="5"/>
    </row>
    <row r="871" spans="3:21" x14ac:dyDescent="0.2">
      <c r="C871" s="27"/>
      <c r="D871" s="27"/>
      <c r="E871" s="27"/>
      <c r="F871" s="20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5"/>
      <c r="U871" s="5"/>
    </row>
    <row r="872" spans="3:21" x14ac:dyDescent="0.2">
      <c r="C872" s="27"/>
      <c r="D872" s="27"/>
      <c r="E872" s="27"/>
      <c r="F872" s="20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5"/>
      <c r="U872" s="5"/>
    </row>
    <row r="873" spans="3:21" x14ac:dyDescent="0.2">
      <c r="C873" s="27"/>
      <c r="D873" s="27"/>
      <c r="E873" s="27"/>
      <c r="F873" s="20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5"/>
      <c r="U873" s="5"/>
    </row>
    <row r="874" spans="3:21" x14ac:dyDescent="0.2">
      <c r="C874" s="27"/>
      <c r="D874" s="27"/>
      <c r="E874" s="27"/>
      <c r="F874" s="20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5"/>
      <c r="U874" s="5"/>
    </row>
    <row r="875" spans="3:21" x14ac:dyDescent="0.2">
      <c r="C875" s="27"/>
      <c r="D875" s="27"/>
      <c r="E875" s="27"/>
      <c r="F875" s="20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5"/>
      <c r="U875" s="5"/>
    </row>
    <row r="876" spans="3:21" x14ac:dyDescent="0.2">
      <c r="C876" s="27"/>
      <c r="D876" s="27"/>
      <c r="E876" s="27"/>
      <c r="F876" s="20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5"/>
      <c r="U876" s="5"/>
    </row>
    <row r="877" spans="3:21" x14ac:dyDescent="0.2">
      <c r="C877" s="27"/>
      <c r="D877" s="27"/>
      <c r="E877" s="27"/>
      <c r="F877" s="20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5"/>
      <c r="U877" s="5"/>
    </row>
    <row r="878" spans="3:21" x14ac:dyDescent="0.2">
      <c r="C878" s="27"/>
      <c r="D878" s="27"/>
      <c r="E878" s="27"/>
      <c r="F878" s="20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5"/>
      <c r="U878" s="5"/>
    </row>
    <row r="879" spans="3:21" x14ac:dyDescent="0.2">
      <c r="C879" s="27"/>
      <c r="D879" s="27"/>
      <c r="E879" s="27"/>
      <c r="F879" s="20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5"/>
      <c r="U879" s="5"/>
    </row>
    <row r="880" spans="3:21" x14ac:dyDescent="0.2">
      <c r="C880" s="27"/>
      <c r="D880" s="27"/>
      <c r="E880" s="27"/>
      <c r="F880" s="20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5"/>
      <c r="U880" s="5"/>
    </row>
    <row r="881" spans="3:21" x14ac:dyDescent="0.2">
      <c r="C881" s="27"/>
      <c r="D881" s="27"/>
      <c r="E881" s="27"/>
      <c r="F881" s="20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5"/>
      <c r="U881" s="5"/>
    </row>
    <row r="882" spans="3:21" x14ac:dyDescent="0.2">
      <c r="C882" s="27"/>
      <c r="D882" s="27"/>
      <c r="E882" s="27"/>
      <c r="F882" s="20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5"/>
      <c r="U882" s="5"/>
    </row>
    <row r="883" spans="3:21" x14ac:dyDescent="0.2">
      <c r="C883" s="27"/>
      <c r="D883" s="27"/>
      <c r="E883" s="27"/>
      <c r="F883" s="20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5"/>
      <c r="U883" s="5"/>
    </row>
    <row r="884" spans="3:21" x14ac:dyDescent="0.2">
      <c r="C884" s="27"/>
      <c r="D884" s="27"/>
      <c r="E884" s="27"/>
      <c r="F884" s="20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5"/>
      <c r="U884" s="5"/>
    </row>
    <row r="885" spans="3:21" x14ac:dyDescent="0.2">
      <c r="C885" s="27"/>
      <c r="D885" s="27"/>
      <c r="E885" s="27"/>
      <c r="F885" s="20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5"/>
      <c r="U885" s="5"/>
    </row>
    <row r="886" spans="3:21" x14ac:dyDescent="0.2">
      <c r="C886" s="27"/>
      <c r="D886" s="27"/>
      <c r="E886" s="27"/>
      <c r="F886" s="20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5"/>
      <c r="U886" s="5"/>
    </row>
    <row r="887" spans="3:21" x14ac:dyDescent="0.2">
      <c r="C887" s="27"/>
      <c r="D887" s="27"/>
      <c r="E887" s="27"/>
      <c r="F887" s="20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5"/>
      <c r="U887" s="5"/>
    </row>
    <row r="888" spans="3:21" x14ac:dyDescent="0.2">
      <c r="C888" s="27"/>
      <c r="D888" s="27"/>
      <c r="E888" s="27"/>
      <c r="F888" s="20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5"/>
      <c r="U888" s="5"/>
    </row>
    <row r="889" spans="3:21" x14ac:dyDescent="0.2">
      <c r="C889" s="27"/>
      <c r="D889" s="27"/>
      <c r="E889" s="27"/>
      <c r="F889" s="20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5"/>
      <c r="U889" s="5"/>
    </row>
    <row r="890" spans="3:21" x14ac:dyDescent="0.2">
      <c r="C890" s="27"/>
      <c r="D890" s="27"/>
      <c r="E890" s="27"/>
      <c r="F890" s="20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5"/>
      <c r="U890" s="5"/>
    </row>
    <row r="891" spans="3:21" x14ac:dyDescent="0.2">
      <c r="C891" s="27"/>
      <c r="D891" s="27"/>
      <c r="E891" s="27"/>
      <c r="F891" s="20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5"/>
      <c r="U891" s="5"/>
    </row>
    <row r="892" spans="3:21" x14ac:dyDescent="0.2">
      <c r="C892" s="27"/>
      <c r="D892" s="27"/>
      <c r="E892" s="27"/>
      <c r="F892" s="20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5"/>
      <c r="U892" s="5"/>
    </row>
    <row r="893" spans="3:21" x14ac:dyDescent="0.2">
      <c r="C893" s="27"/>
      <c r="D893" s="27"/>
      <c r="E893" s="27"/>
      <c r="F893" s="20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5"/>
      <c r="U893" s="5"/>
    </row>
    <row r="894" spans="3:21" x14ac:dyDescent="0.2">
      <c r="C894" s="27"/>
      <c r="D894" s="27"/>
      <c r="E894" s="27"/>
      <c r="F894" s="20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5"/>
      <c r="U894" s="5"/>
    </row>
    <row r="895" spans="3:21" x14ac:dyDescent="0.2">
      <c r="C895" s="27"/>
      <c r="D895" s="27"/>
      <c r="E895" s="27"/>
      <c r="F895" s="20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5"/>
      <c r="U895" s="5"/>
    </row>
    <row r="896" spans="3:21" x14ac:dyDescent="0.2">
      <c r="C896" s="27"/>
      <c r="D896" s="27"/>
      <c r="E896" s="27"/>
      <c r="F896" s="20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5"/>
      <c r="U896" s="5"/>
    </row>
    <row r="897" spans="3:21" x14ac:dyDescent="0.2">
      <c r="C897" s="27"/>
      <c r="D897" s="27"/>
      <c r="E897" s="27"/>
      <c r="F897" s="20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5"/>
      <c r="U897" s="5"/>
    </row>
    <row r="898" spans="3:21" x14ac:dyDescent="0.2">
      <c r="C898" s="27"/>
      <c r="D898" s="27"/>
      <c r="E898" s="27"/>
      <c r="F898" s="20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5"/>
      <c r="U898" s="5"/>
    </row>
    <row r="899" spans="3:21" x14ac:dyDescent="0.2">
      <c r="C899" s="27"/>
      <c r="D899" s="27"/>
      <c r="E899" s="27"/>
      <c r="F899" s="20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5"/>
      <c r="U899" s="5"/>
    </row>
    <row r="900" spans="3:21" x14ac:dyDescent="0.2">
      <c r="C900" s="27"/>
      <c r="D900" s="27"/>
      <c r="E900" s="27"/>
      <c r="F900" s="20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5"/>
      <c r="U900" s="5"/>
    </row>
    <row r="901" spans="3:21" x14ac:dyDescent="0.2">
      <c r="C901" s="27"/>
      <c r="D901" s="27"/>
      <c r="E901" s="27"/>
      <c r="F901" s="20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5"/>
      <c r="U901" s="5"/>
    </row>
    <row r="902" spans="3:21" x14ac:dyDescent="0.2">
      <c r="C902" s="27"/>
      <c r="D902" s="27"/>
      <c r="E902" s="27"/>
      <c r="F902" s="20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5"/>
      <c r="U902" s="5"/>
    </row>
    <row r="903" spans="3:21" x14ac:dyDescent="0.2">
      <c r="C903" s="27"/>
      <c r="D903" s="27"/>
      <c r="E903" s="27"/>
      <c r="F903" s="20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5"/>
      <c r="U903" s="5"/>
    </row>
    <row r="904" spans="3:21" x14ac:dyDescent="0.2">
      <c r="C904" s="27"/>
      <c r="D904" s="27"/>
      <c r="E904" s="27"/>
      <c r="F904" s="20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5"/>
      <c r="U904" s="5"/>
    </row>
    <row r="905" spans="3:21" x14ac:dyDescent="0.2">
      <c r="C905" s="27"/>
      <c r="D905" s="27"/>
      <c r="E905" s="27"/>
      <c r="F905" s="20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5"/>
      <c r="U905" s="5"/>
    </row>
    <row r="906" spans="3:21" x14ac:dyDescent="0.2">
      <c r="C906" s="27"/>
      <c r="D906" s="27"/>
      <c r="E906" s="27"/>
      <c r="F906" s="20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5"/>
      <c r="U906" s="5"/>
    </row>
    <row r="907" spans="3:21" x14ac:dyDescent="0.2">
      <c r="C907" s="27"/>
      <c r="D907" s="27"/>
      <c r="E907" s="27"/>
      <c r="F907" s="20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5"/>
      <c r="U907" s="5"/>
    </row>
    <row r="908" spans="3:21" x14ac:dyDescent="0.2">
      <c r="C908" s="27"/>
      <c r="D908" s="27"/>
      <c r="E908" s="27"/>
      <c r="F908" s="20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5"/>
      <c r="U908" s="5"/>
    </row>
    <row r="909" spans="3:21" x14ac:dyDescent="0.2">
      <c r="C909" s="27"/>
      <c r="D909" s="27"/>
      <c r="E909" s="27"/>
      <c r="F909" s="20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5"/>
      <c r="U909" s="5"/>
    </row>
    <row r="910" spans="3:21" x14ac:dyDescent="0.2">
      <c r="C910" s="27"/>
      <c r="D910" s="27"/>
      <c r="E910" s="27"/>
      <c r="F910" s="20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5"/>
      <c r="U910" s="5"/>
    </row>
    <row r="911" spans="3:21" x14ac:dyDescent="0.2">
      <c r="C911" s="27"/>
      <c r="D911" s="27"/>
      <c r="E911" s="27"/>
      <c r="F911" s="20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5"/>
      <c r="U911" s="5"/>
    </row>
    <row r="912" spans="3:21" x14ac:dyDescent="0.2">
      <c r="C912" s="27"/>
      <c r="D912" s="27"/>
      <c r="E912" s="27"/>
      <c r="F912" s="20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5"/>
      <c r="U912" s="5"/>
    </row>
    <row r="913" spans="3:21" x14ac:dyDescent="0.2">
      <c r="C913" s="27"/>
      <c r="D913" s="27"/>
      <c r="E913" s="27"/>
      <c r="F913" s="20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5"/>
      <c r="U913" s="5"/>
    </row>
    <row r="914" spans="3:21" x14ac:dyDescent="0.2">
      <c r="C914" s="27"/>
      <c r="D914" s="27"/>
      <c r="E914" s="27"/>
      <c r="F914" s="20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5"/>
      <c r="U914" s="5"/>
    </row>
    <row r="915" spans="3:21" x14ac:dyDescent="0.2">
      <c r="C915" s="27"/>
      <c r="D915" s="27"/>
      <c r="E915" s="27"/>
      <c r="F915" s="20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5"/>
      <c r="U915" s="5"/>
    </row>
    <row r="916" spans="3:21" x14ac:dyDescent="0.2">
      <c r="C916" s="27"/>
      <c r="D916" s="27"/>
      <c r="E916" s="27"/>
      <c r="F916" s="20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5"/>
      <c r="U916" s="5"/>
    </row>
    <row r="917" spans="3:21" x14ac:dyDescent="0.2">
      <c r="C917" s="27"/>
      <c r="D917" s="27"/>
      <c r="E917" s="27"/>
      <c r="F917" s="20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5"/>
      <c r="U917" s="5"/>
    </row>
    <row r="918" spans="3:21" x14ac:dyDescent="0.2">
      <c r="C918" s="27"/>
      <c r="D918" s="27"/>
      <c r="E918" s="27"/>
      <c r="F918" s="20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5"/>
      <c r="U918" s="5"/>
    </row>
    <row r="919" spans="3:21" x14ac:dyDescent="0.2">
      <c r="C919" s="27"/>
      <c r="D919" s="27"/>
      <c r="E919" s="27"/>
      <c r="F919" s="20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5"/>
      <c r="U919" s="5"/>
    </row>
    <row r="920" spans="3:21" x14ac:dyDescent="0.2">
      <c r="C920" s="27"/>
      <c r="D920" s="27"/>
      <c r="E920" s="27"/>
      <c r="F920" s="20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5"/>
      <c r="U920" s="5"/>
    </row>
    <row r="921" spans="3:21" x14ac:dyDescent="0.2">
      <c r="C921" s="27"/>
      <c r="D921" s="27"/>
      <c r="E921" s="27"/>
      <c r="F921" s="20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5"/>
      <c r="U921" s="5"/>
    </row>
    <row r="922" spans="3:21" x14ac:dyDescent="0.2">
      <c r="C922" s="27"/>
      <c r="D922" s="27"/>
      <c r="E922" s="27"/>
      <c r="F922" s="20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5"/>
      <c r="U922" s="5"/>
    </row>
    <row r="923" spans="3:21" x14ac:dyDescent="0.2">
      <c r="C923" s="27"/>
      <c r="D923" s="27"/>
      <c r="E923" s="27"/>
      <c r="F923" s="20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5"/>
      <c r="U923" s="5"/>
    </row>
    <row r="924" spans="3:21" x14ac:dyDescent="0.2">
      <c r="C924" s="27"/>
      <c r="D924" s="27"/>
      <c r="E924" s="27"/>
      <c r="F924" s="20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5"/>
      <c r="U924" s="5"/>
    </row>
    <row r="925" spans="3:21" x14ac:dyDescent="0.2">
      <c r="C925" s="27"/>
      <c r="D925" s="27"/>
      <c r="E925" s="27"/>
      <c r="F925" s="20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5"/>
      <c r="U925" s="5"/>
    </row>
    <row r="926" spans="3:21" x14ac:dyDescent="0.2">
      <c r="C926" s="27"/>
      <c r="D926" s="27"/>
      <c r="E926" s="27"/>
      <c r="F926" s="20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5"/>
      <c r="U926" s="5"/>
    </row>
    <row r="927" spans="3:21" x14ac:dyDescent="0.2">
      <c r="C927" s="27"/>
      <c r="D927" s="27"/>
      <c r="E927" s="27"/>
      <c r="F927" s="20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5"/>
      <c r="U927" s="5"/>
    </row>
    <row r="928" spans="3:21" x14ac:dyDescent="0.2">
      <c r="C928" s="27"/>
      <c r="D928" s="27"/>
      <c r="E928" s="27"/>
      <c r="F928" s="20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5"/>
      <c r="U928" s="5"/>
    </row>
    <row r="929" spans="3:21" x14ac:dyDescent="0.2">
      <c r="C929" s="27"/>
      <c r="D929" s="27"/>
      <c r="E929" s="27"/>
      <c r="F929" s="20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5"/>
      <c r="U929" s="5"/>
    </row>
    <row r="930" spans="3:21" x14ac:dyDescent="0.2">
      <c r="C930" s="27"/>
      <c r="D930" s="27"/>
      <c r="E930" s="27"/>
      <c r="F930" s="20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5"/>
      <c r="U930" s="5"/>
    </row>
    <row r="931" spans="3:21" x14ac:dyDescent="0.2">
      <c r="C931" s="27"/>
      <c r="D931" s="27"/>
      <c r="E931" s="27"/>
      <c r="F931" s="20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5"/>
      <c r="U931" s="5"/>
    </row>
    <row r="932" spans="3:21" x14ac:dyDescent="0.2">
      <c r="C932" s="27"/>
      <c r="D932" s="27"/>
      <c r="E932" s="27"/>
      <c r="F932" s="20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5"/>
      <c r="U932" s="5"/>
    </row>
    <row r="933" spans="3:21" x14ac:dyDescent="0.2">
      <c r="C933" s="27"/>
      <c r="D933" s="27"/>
      <c r="E933" s="27"/>
      <c r="F933" s="20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5"/>
      <c r="U933" s="5"/>
    </row>
    <row r="934" spans="3:21" x14ac:dyDescent="0.2">
      <c r="C934" s="27"/>
      <c r="D934" s="27"/>
      <c r="E934" s="27"/>
      <c r="F934" s="20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5"/>
      <c r="U934" s="5"/>
    </row>
    <row r="935" spans="3:21" x14ac:dyDescent="0.2">
      <c r="C935" s="27"/>
      <c r="D935" s="27"/>
      <c r="E935" s="27"/>
      <c r="F935" s="20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5"/>
      <c r="U935" s="5"/>
    </row>
    <row r="936" spans="3:21" x14ac:dyDescent="0.2">
      <c r="C936" s="27"/>
      <c r="D936" s="27"/>
      <c r="E936" s="27"/>
      <c r="F936" s="20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5"/>
      <c r="U936" s="5"/>
    </row>
    <row r="937" spans="3:21" x14ac:dyDescent="0.2">
      <c r="C937" s="27"/>
      <c r="D937" s="27"/>
      <c r="E937" s="27"/>
      <c r="F937" s="20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5"/>
      <c r="U937" s="5"/>
    </row>
    <row r="938" spans="3:21" x14ac:dyDescent="0.2">
      <c r="C938" s="27"/>
      <c r="D938" s="27"/>
      <c r="E938" s="27"/>
      <c r="F938" s="20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5"/>
      <c r="U938" s="5"/>
    </row>
    <row r="939" spans="3:21" x14ac:dyDescent="0.2">
      <c r="C939" s="27"/>
      <c r="D939" s="27"/>
      <c r="E939" s="27"/>
      <c r="F939" s="20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5"/>
      <c r="U939" s="5"/>
    </row>
    <row r="940" spans="3:21" x14ac:dyDescent="0.2">
      <c r="C940" s="27"/>
      <c r="D940" s="27"/>
      <c r="E940" s="27"/>
      <c r="F940" s="20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5"/>
      <c r="U940" s="5"/>
    </row>
    <row r="941" spans="3:21" x14ac:dyDescent="0.2">
      <c r="C941" s="27"/>
      <c r="D941" s="27"/>
      <c r="E941" s="27"/>
      <c r="F941" s="20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5"/>
      <c r="U941" s="5"/>
    </row>
    <row r="942" spans="3:21" x14ac:dyDescent="0.2">
      <c r="C942" s="27"/>
      <c r="D942" s="27"/>
      <c r="E942" s="27"/>
      <c r="F942" s="20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5"/>
      <c r="U942" s="5"/>
    </row>
    <row r="943" spans="3:21" x14ac:dyDescent="0.2">
      <c r="C943" s="27"/>
      <c r="D943" s="27"/>
      <c r="E943" s="27"/>
      <c r="F943" s="20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5"/>
      <c r="U943" s="5"/>
    </row>
    <row r="944" spans="3:21" x14ac:dyDescent="0.2">
      <c r="C944" s="27"/>
      <c r="D944" s="27"/>
      <c r="E944" s="27"/>
      <c r="F944" s="20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5"/>
      <c r="U944" s="5"/>
    </row>
    <row r="945" spans="3:21" x14ac:dyDescent="0.2">
      <c r="C945" s="27"/>
      <c r="D945" s="27"/>
      <c r="E945" s="27"/>
      <c r="F945" s="20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5"/>
      <c r="U945" s="5"/>
    </row>
    <row r="946" spans="3:21" x14ac:dyDescent="0.2">
      <c r="C946" s="27"/>
      <c r="D946" s="27"/>
      <c r="E946" s="27"/>
      <c r="F946" s="20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5"/>
      <c r="U946" s="5"/>
    </row>
    <row r="947" spans="3:21" x14ac:dyDescent="0.2">
      <c r="C947" s="27"/>
      <c r="D947" s="27"/>
      <c r="E947" s="27"/>
      <c r="F947" s="20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5"/>
      <c r="U947" s="5"/>
    </row>
    <row r="948" spans="3:21" x14ac:dyDescent="0.2">
      <c r="C948" s="27"/>
      <c r="D948" s="27"/>
      <c r="E948" s="27"/>
      <c r="F948" s="20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5"/>
      <c r="U948" s="5"/>
    </row>
    <row r="949" spans="3:21" x14ac:dyDescent="0.2">
      <c r="C949" s="27"/>
      <c r="D949" s="27"/>
      <c r="E949" s="27"/>
      <c r="F949" s="20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5"/>
      <c r="U949" s="5"/>
    </row>
    <row r="950" spans="3:21" x14ac:dyDescent="0.2">
      <c r="C950" s="27"/>
      <c r="D950" s="27"/>
      <c r="E950" s="27"/>
      <c r="F950" s="20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5"/>
      <c r="U950" s="5"/>
    </row>
    <row r="951" spans="3:21" x14ac:dyDescent="0.2">
      <c r="C951" s="27"/>
      <c r="D951" s="27"/>
      <c r="E951" s="27"/>
      <c r="F951" s="20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5"/>
      <c r="U951" s="5"/>
    </row>
    <row r="952" spans="3:21" x14ac:dyDescent="0.2">
      <c r="C952" s="27"/>
      <c r="D952" s="27"/>
      <c r="E952" s="27"/>
      <c r="F952" s="20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5"/>
      <c r="U952" s="5"/>
    </row>
    <row r="953" spans="3:21" x14ac:dyDescent="0.2">
      <c r="C953" s="27"/>
      <c r="D953" s="27"/>
      <c r="E953" s="27"/>
      <c r="F953" s="20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5"/>
      <c r="U953" s="5"/>
    </row>
    <row r="954" spans="3:21" x14ac:dyDescent="0.2">
      <c r="C954" s="27"/>
      <c r="D954" s="27"/>
      <c r="E954" s="27"/>
      <c r="F954" s="20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5"/>
      <c r="U954" s="5"/>
    </row>
    <row r="955" spans="3:21" x14ac:dyDescent="0.2">
      <c r="C955" s="27"/>
      <c r="D955" s="27"/>
      <c r="E955" s="27"/>
      <c r="F955" s="20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5"/>
      <c r="U955" s="5"/>
    </row>
    <row r="956" spans="3:21" x14ac:dyDescent="0.2">
      <c r="C956" s="27"/>
      <c r="D956" s="27"/>
      <c r="E956" s="27"/>
      <c r="F956" s="20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5"/>
      <c r="U956" s="5"/>
    </row>
    <row r="957" spans="3:21" x14ac:dyDescent="0.2">
      <c r="C957" s="27"/>
      <c r="D957" s="27"/>
      <c r="E957" s="27"/>
      <c r="F957" s="20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5"/>
      <c r="U957" s="5"/>
    </row>
    <row r="958" spans="3:21" x14ac:dyDescent="0.2">
      <c r="C958" s="27"/>
      <c r="D958" s="27"/>
      <c r="E958" s="27"/>
      <c r="F958" s="20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5"/>
      <c r="U958" s="5"/>
    </row>
    <row r="959" spans="3:21" x14ac:dyDescent="0.2">
      <c r="C959" s="27"/>
      <c r="D959" s="27"/>
      <c r="E959" s="27"/>
      <c r="F959" s="20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5"/>
      <c r="U959" s="5"/>
    </row>
    <row r="960" spans="3:21" x14ac:dyDescent="0.2">
      <c r="C960" s="27"/>
      <c r="D960" s="27"/>
      <c r="E960" s="27"/>
      <c r="F960" s="20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5"/>
      <c r="U960" s="5"/>
    </row>
    <row r="961" spans="3:21" x14ac:dyDescent="0.2">
      <c r="C961" s="27"/>
      <c r="D961" s="27"/>
      <c r="E961" s="27"/>
      <c r="F961" s="20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5"/>
      <c r="U961" s="5"/>
    </row>
    <row r="962" spans="3:21" x14ac:dyDescent="0.2">
      <c r="C962" s="27"/>
      <c r="D962" s="27"/>
      <c r="E962" s="27"/>
      <c r="F962" s="20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5"/>
      <c r="U962" s="5"/>
    </row>
    <row r="963" spans="3:21" x14ac:dyDescent="0.2">
      <c r="C963" s="27"/>
      <c r="D963" s="27"/>
      <c r="E963" s="27"/>
      <c r="F963" s="20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5"/>
      <c r="U963" s="5"/>
    </row>
    <row r="964" spans="3:21" x14ac:dyDescent="0.2">
      <c r="C964" s="27"/>
      <c r="D964" s="27"/>
      <c r="E964" s="27"/>
      <c r="F964" s="20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5"/>
      <c r="U964" s="5"/>
    </row>
    <row r="965" spans="3:21" x14ac:dyDescent="0.2">
      <c r="C965" s="27"/>
      <c r="D965" s="27"/>
      <c r="E965" s="27"/>
      <c r="F965" s="20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5"/>
      <c r="U965" s="5"/>
    </row>
    <row r="966" spans="3:21" x14ac:dyDescent="0.2">
      <c r="C966" s="27"/>
      <c r="D966" s="27"/>
      <c r="E966" s="27"/>
      <c r="F966" s="20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5"/>
      <c r="U966" s="5"/>
    </row>
    <row r="967" spans="3:21" x14ac:dyDescent="0.2">
      <c r="C967" s="27"/>
      <c r="D967" s="27"/>
      <c r="E967" s="27"/>
      <c r="F967" s="20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5"/>
      <c r="U967" s="5"/>
    </row>
    <row r="968" spans="3:21" x14ac:dyDescent="0.2">
      <c r="C968" s="27"/>
      <c r="D968" s="27"/>
      <c r="E968" s="27"/>
      <c r="F968" s="20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5"/>
      <c r="U968" s="5"/>
    </row>
    <row r="969" spans="3:21" x14ac:dyDescent="0.2">
      <c r="C969" s="27"/>
      <c r="D969" s="27"/>
      <c r="E969" s="27"/>
      <c r="F969" s="20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5"/>
      <c r="U969" s="5"/>
    </row>
    <row r="970" spans="3:21" x14ac:dyDescent="0.2">
      <c r="C970" s="27"/>
      <c r="D970" s="27"/>
      <c r="E970" s="27"/>
      <c r="F970" s="20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5"/>
      <c r="U970" s="5"/>
    </row>
    <row r="971" spans="3:21" x14ac:dyDescent="0.2">
      <c r="C971" s="27"/>
      <c r="D971" s="27"/>
      <c r="E971" s="27"/>
      <c r="F971" s="20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5"/>
      <c r="U971" s="5"/>
    </row>
    <row r="972" spans="3:21" x14ac:dyDescent="0.2">
      <c r="C972" s="27"/>
      <c r="D972" s="27"/>
      <c r="E972" s="27"/>
      <c r="F972" s="20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5"/>
      <c r="U972" s="5"/>
    </row>
    <row r="973" spans="3:21" x14ac:dyDescent="0.2">
      <c r="C973" s="27"/>
      <c r="D973" s="27"/>
      <c r="E973" s="27"/>
      <c r="F973" s="20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5"/>
      <c r="U973" s="5"/>
    </row>
    <row r="974" spans="3:21" x14ac:dyDescent="0.2">
      <c r="C974" s="27"/>
      <c r="D974" s="27"/>
      <c r="E974" s="27"/>
      <c r="F974" s="20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5"/>
      <c r="U974" s="5"/>
    </row>
    <row r="975" spans="3:21" x14ac:dyDescent="0.2">
      <c r="C975" s="27"/>
      <c r="D975" s="27"/>
      <c r="E975" s="27"/>
      <c r="F975" s="20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5"/>
      <c r="U975" s="5"/>
    </row>
    <row r="976" spans="3:21" x14ac:dyDescent="0.2">
      <c r="C976" s="27"/>
      <c r="D976" s="27"/>
      <c r="E976" s="27"/>
      <c r="F976" s="20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5"/>
      <c r="U976" s="5"/>
    </row>
    <row r="977" spans="3:21" x14ac:dyDescent="0.2">
      <c r="C977" s="27"/>
      <c r="D977" s="27"/>
      <c r="E977" s="27"/>
      <c r="F977" s="20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5"/>
      <c r="U977" s="5"/>
    </row>
    <row r="978" spans="3:21" x14ac:dyDescent="0.2">
      <c r="C978" s="27"/>
      <c r="D978" s="27"/>
      <c r="E978" s="27"/>
      <c r="F978" s="20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5"/>
      <c r="U978" s="5"/>
    </row>
    <row r="979" spans="3:21" x14ac:dyDescent="0.2">
      <c r="C979" s="27"/>
      <c r="D979" s="27"/>
      <c r="E979" s="27"/>
      <c r="F979" s="20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5"/>
      <c r="U979" s="5"/>
    </row>
    <row r="980" spans="3:21" x14ac:dyDescent="0.2">
      <c r="C980" s="27"/>
      <c r="D980" s="27"/>
      <c r="E980" s="27"/>
      <c r="F980" s="20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5"/>
      <c r="U980" s="5"/>
    </row>
    <row r="981" spans="3:21" x14ac:dyDescent="0.2">
      <c r="C981" s="27"/>
      <c r="D981" s="27"/>
      <c r="E981" s="27"/>
      <c r="F981" s="20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5"/>
      <c r="U981" s="5"/>
    </row>
    <row r="982" spans="3:21" x14ac:dyDescent="0.2">
      <c r="C982" s="27"/>
      <c r="D982" s="27"/>
      <c r="E982" s="27"/>
      <c r="F982" s="20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5"/>
      <c r="U982" s="5"/>
    </row>
    <row r="983" spans="3:21" x14ac:dyDescent="0.2">
      <c r="C983" s="27"/>
      <c r="D983" s="27"/>
      <c r="E983" s="27"/>
      <c r="F983" s="20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5"/>
      <c r="U983" s="5"/>
    </row>
    <row r="984" spans="3:21" x14ac:dyDescent="0.2">
      <c r="C984" s="27"/>
      <c r="D984" s="27"/>
      <c r="E984" s="27"/>
      <c r="F984" s="20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5"/>
      <c r="U984" s="5"/>
    </row>
    <row r="985" spans="3:21" x14ac:dyDescent="0.2">
      <c r="C985" s="27"/>
      <c r="D985" s="27"/>
      <c r="E985" s="27"/>
      <c r="F985" s="20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5"/>
      <c r="U985" s="5"/>
    </row>
    <row r="986" spans="3:21" x14ac:dyDescent="0.2">
      <c r="C986" s="27"/>
      <c r="D986" s="27"/>
      <c r="E986" s="27"/>
      <c r="F986" s="20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5"/>
      <c r="U986" s="5"/>
    </row>
    <row r="987" spans="3:21" x14ac:dyDescent="0.2">
      <c r="C987" s="27"/>
      <c r="D987" s="27"/>
      <c r="E987" s="27"/>
      <c r="F987" s="20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5"/>
      <c r="U987" s="5"/>
    </row>
    <row r="988" spans="3:21" x14ac:dyDescent="0.2">
      <c r="C988" s="27"/>
      <c r="D988" s="27"/>
      <c r="E988" s="27"/>
      <c r="F988" s="20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5"/>
      <c r="U988" s="5"/>
    </row>
    <row r="989" spans="3:21" x14ac:dyDescent="0.2">
      <c r="C989" s="27"/>
      <c r="D989" s="27"/>
      <c r="E989" s="27"/>
      <c r="F989" s="20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5"/>
      <c r="U989" s="5"/>
    </row>
    <row r="990" spans="3:21" x14ac:dyDescent="0.2">
      <c r="C990" s="27"/>
      <c r="D990" s="27"/>
      <c r="E990" s="27"/>
      <c r="F990" s="20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5"/>
      <c r="U990" s="5"/>
    </row>
    <row r="991" spans="3:21" x14ac:dyDescent="0.2">
      <c r="C991" s="27"/>
      <c r="D991" s="27"/>
      <c r="E991" s="27"/>
      <c r="F991" s="20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5"/>
      <c r="U991" s="5"/>
    </row>
    <row r="992" spans="3:21" x14ac:dyDescent="0.2">
      <c r="C992" s="27"/>
      <c r="D992" s="27"/>
      <c r="E992" s="27"/>
      <c r="F992" s="20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5"/>
      <c r="U992" s="5"/>
    </row>
  </sheetData>
  <pageMargins left="0.7" right="0.7" top="0.75" bottom="0.75" header="0.3" footer="0.3"/>
  <pageSetup scale="34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6C796-E38B-8843-ACD7-8132DFC7BB9C}">
  <sheetPr>
    <pageSetUpPr fitToPage="1"/>
  </sheetPr>
  <dimension ref="A1:BE1001"/>
  <sheetViews>
    <sheetView tabSelected="1" topLeftCell="AS1" zoomScaleNormal="100" workbookViewId="0">
      <pane ySplit="1" topLeftCell="A326" activePane="bottomLeft" state="frozen"/>
      <selection pane="bottomLeft" activeCell="BC340" sqref="BC340"/>
    </sheetView>
  </sheetViews>
  <sheetFormatPr baseColWidth="10" defaultRowHeight="16" x14ac:dyDescent="0.2"/>
  <cols>
    <col min="1" max="2" width="12.5" style="20" customWidth="1"/>
    <col min="3" max="3" width="11" style="20"/>
    <col min="4" max="5" width="11" style="20" customWidth="1"/>
    <col min="6" max="6" width="15.6640625" style="20" bestFit="1" customWidth="1"/>
    <col min="7" max="7" width="12.83203125" style="20" customWidth="1"/>
    <col min="8" max="10" width="15" style="20" bestFit="1" customWidth="1"/>
    <col min="11" max="13" width="21.1640625" style="20" bestFit="1" customWidth="1"/>
    <col min="14" max="16" width="15.33203125" style="20" bestFit="1" customWidth="1"/>
    <col min="17" max="19" width="19.1640625" style="20" bestFit="1" customWidth="1"/>
    <col min="20" max="20" width="11" style="20"/>
    <col min="21" max="21" width="14.1640625" style="20" bestFit="1" customWidth="1"/>
    <col min="22" max="22" width="17.6640625" style="20" bestFit="1" customWidth="1"/>
    <col min="23" max="23" width="16.6640625" style="20" bestFit="1" customWidth="1"/>
    <col min="24" max="24" width="10.83203125" style="20"/>
    <col min="25" max="25" width="10.33203125" style="20" bestFit="1" customWidth="1"/>
    <col min="26" max="27" width="10.83203125" style="20"/>
    <col min="28" max="28" width="27.1640625" style="15" bestFit="1" customWidth="1"/>
    <col min="29" max="29" width="32.83203125" style="15" bestFit="1" customWidth="1"/>
    <col min="30" max="30" width="20.6640625" style="15" bestFit="1" customWidth="1"/>
    <col min="31" max="31" width="25.6640625" style="15" bestFit="1" customWidth="1"/>
    <col min="32" max="32" width="29.5" style="20" bestFit="1" customWidth="1"/>
    <col min="33" max="33" width="16.5" style="20" customWidth="1"/>
    <col min="34" max="34" width="31.83203125" style="20" bestFit="1" customWidth="1"/>
    <col min="35" max="35" width="10.83203125" style="20"/>
    <col min="36" max="36" width="14.6640625" style="15" bestFit="1" customWidth="1"/>
    <col min="37" max="37" width="16.5" style="15" bestFit="1" customWidth="1"/>
    <col min="38" max="38" width="17.5" style="15" bestFit="1" customWidth="1"/>
    <col min="39" max="39" width="17.5" style="20" customWidth="1"/>
    <col min="40" max="40" width="18.1640625" style="20" bestFit="1" customWidth="1"/>
    <col min="41" max="41" width="18.1640625" style="26" customWidth="1"/>
    <col min="42" max="44" width="18.1640625" style="15" customWidth="1"/>
    <col min="45" max="52" width="18.1640625" style="26" customWidth="1"/>
    <col min="53" max="53" width="18.1640625" style="20" customWidth="1"/>
    <col min="54" max="54" width="10.83203125" style="20"/>
    <col min="55" max="57" width="12.6640625" style="20" customWidth="1"/>
    <col min="58" max="16384" width="10.83203125" style="20"/>
  </cols>
  <sheetData>
    <row r="1" spans="1:57" ht="17" thickBot="1" x14ac:dyDescent="0.25">
      <c r="A1" s="2" t="s">
        <v>2</v>
      </c>
      <c r="B1" s="6" t="s">
        <v>61</v>
      </c>
      <c r="C1" s="16" t="s">
        <v>35</v>
      </c>
      <c r="D1" s="16" t="s">
        <v>36</v>
      </c>
      <c r="E1" s="16" t="s">
        <v>37</v>
      </c>
      <c r="F1" s="50" t="s">
        <v>38</v>
      </c>
      <c r="G1" s="50" t="s">
        <v>39</v>
      </c>
      <c r="H1" s="6" t="s">
        <v>40</v>
      </c>
      <c r="I1" s="6" t="s">
        <v>41</v>
      </c>
      <c r="J1" s="6" t="s">
        <v>42</v>
      </c>
      <c r="K1" s="6" t="s">
        <v>43</v>
      </c>
      <c r="L1" s="6" t="s">
        <v>44</v>
      </c>
      <c r="M1" s="6" t="s">
        <v>45</v>
      </c>
      <c r="N1" s="6" t="s">
        <v>46</v>
      </c>
      <c r="O1" s="6" t="s">
        <v>47</v>
      </c>
      <c r="P1" s="6" t="s">
        <v>48</v>
      </c>
      <c r="Q1" s="6" t="s">
        <v>49</v>
      </c>
      <c r="R1" s="6" t="s">
        <v>50</v>
      </c>
      <c r="S1" s="6" t="s">
        <v>51</v>
      </c>
      <c r="T1" s="6" t="s">
        <v>52</v>
      </c>
      <c r="U1" s="6" t="s">
        <v>53</v>
      </c>
      <c r="V1" s="1" t="s">
        <v>3</v>
      </c>
      <c r="W1" s="1" t="s">
        <v>4</v>
      </c>
      <c r="X1" s="1" t="s">
        <v>0</v>
      </c>
      <c r="Y1" s="1" t="s">
        <v>5</v>
      </c>
      <c r="Z1" s="3" t="s">
        <v>6</v>
      </c>
      <c r="AA1" s="2" t="s">
        <v>57</v>
      </c>
      <c r="AB1" s="12" t="s">
        <v>27</v>
      </c>
      <c r="AC1" s="12" t="s">
        <v>28</v>
      </c>
      <c r="AD1" s="12" t="s">
        <v>29</v>
      </c>
      <c r="AE1" s="12" t="s">
        <v>33</v>
      </c>
      <c r="AF1" s="1" t="s">
        <v>30</v>
      </c>
      <c r="AG1" s="1" t="s">
        <v>31</v>
      </c>
      <c r="AH1" s="3" t="s">
        <v>32</v>
      </c>
      <c r="AI1" s="2" t="s">
        <v>58</v>
      </c>
      <c r="AJ1" s="12" t="s">
        <v>26</v>
      </c>
      <c r="AK1" s="12" t="s">
        <v>25</v>
      </c>
      <c r="AL1" s="13" t="s">
        <v>24</v>
      </c>
      <c r="AM1" s="2" t="s">
        <v>59</v>
      </c>
      <c r="AN1" s="1" t="s">
        <v>10</v>
      </c>
      <c r="AO1" s="8" t="s">
        <v>11</v>
      </c>
      <c r="AP1" s="7" t="s">
        <v>12</v>
      </c>
      <c r="AQ1" s="7" t="s">
        <v>13</v>
      </c>
      <c r="AR1" s="7" t="s">
        <v>14</v>
      </c>
      <c r="AS1" s="8" t="s">
        <v>15</v>
      </c>
      <c r="AT1" s="8" t="s">
        <v>16</v>
      </c>
      <c r="AU1" s="8" t="s">
        <v>17</v>
      </c>
      <c r="AV1" s="8" t="s">
        <v>18</v>
      </c>
      <c r="AW1" s="8" t="s">
        <v>19</v>
      </c>
      <c r="AX1" s="8" t="s">
        <v>20</v>
      </c>
      <c r="AY1" s="8" t="s">
        <v>21</v>
      </c>
      <c r="AZ1" s="9" t="s">
        <v>22</v>
      </c>
      <c r="BA1" s="2" t="s">
        <v>60</v>
      </c>
      <c r="BB1" s="3" t="s">
        <v>23</v>
      </c>
      <c r="BC1" s="4"/>
      <c r="BD1" s="4"/>
      <c r="BE1" s="4"/>
    </row>
    <row r="2" spans="1:57" x14ac:dyDescent="0.2">
      <c r="A2" s="5">
        <v>12</v>
      </c>
      <c r="B2" s="20" t="s">
        <v>70</v>
      </c>
      <c r="C2" s="18" t="s">
        <v>54</v>
      </c>
      <c r="D2" s="18">
        <v>5</v>
      </c>
      <c r="E2" s="18">
        <v>0</v>
      </c>
      <c r="F2" s="18" t="s">
        <v>9</v>
      </c>
      <c r="G2" s="18">
        <v>30</v>
      </c>
      <c r="H2" s="22">
        <v>4.3750855578370977</v>
      </c>
      <c r="I2" s="22">
        <v>6.2724161533196439</v>
      </c>
      <c r="J2" s="22">
        <v>10.647501711156742</v>
      </c>
      <c r="K2" s="22">
        <v>4.4134154688569476</v>
      </c>
      <c r="L2" s="22">
        <v>6.2340862422997949</v>
      </c>
      <c r="M2" s="22">
        <v>10.647501711156742</v>
      </c>
      <c r="N2" s="22">
        <v>4.3203285420944555</v>
      </c>
      <c r="O2" s="22">
        <v>6.2669404517453797</v>
      </c>
      <c r="P2" s="22">
        <v>10.587268993839835</v>
      </c>
      <c r="Q2" s="22" t="s">
        <v>8</v>
      </c>
      <c r="R2" s="22" t="s">
        <v>8</v>
      </c>
      <c r="S2" s="22" t="s">
        <v>8</v>
      </c>
      <c r="T2" s="30">
        <v>5</v>
      </c>
      <c r="U2" s="30">
        <v>20</v>
      </c>
      <c r="V2" s="20" t="s">
        <v>1</v>
      </c>
      <c r="W2" s="20">
        <v>5</v>
      </c>
      <c r="X2" s="20">
        <v>2</v>
      </c>
      <c r="Y2" s="5">
        <v>1</v>
      </c>
      <c r="Z2" s="24">
        <v>4</v>
      </c>
      <c r="AA2" s="23">
        <f t="shared" ref="AA2:AA65" si="0">IF(AND(ISNUMBER(AB2), ISNUMBER(AC2),ISNUMBER(AD2), ISNUMBER(AE2), ISNUMBER(AF2),ISNUMBER(AG2), ISNUMBER(AH2)), 1, IF(AND(AB2="NA", AC2="NA", AD2="na", AE2="na", AF2="na", AG2="na", AH2="na"), 3, 2))</f>
        <v>1</v>
      </c>
      <c r="AB2" s="15">
        <v>1</v>
      </c>
      <c r="AC2" s="15">
        <v>1</v>
      </c>
      <c r="AD2" s="15">
        <v>0.875</v>
      </c>
      <c r="AE2" s="15">
        <v>0.95799999999999996</v>
      </c>
      <c r="AF2" s="20">
        <v>23</v>
      </c>
      <c r="AG2" s="20">
        <v>6.03</v>
      </c>
      <c r="AH2" s="24">
        <v>24</v>
      </c>
      <c r="AI2" s="23">
        <f t="shared" ref="AI2:AI65" si="1">IF(AND(ISNUMBER(AJ2), ISNUMBER(AK2),ISNUMBER(AL2)), 1, IF(AND(AJ2="NA", AK2="NA", AL2="na"), 3, 2))</f>
        <v>1</v>
      </c>
      <c r="AJ2" s="17">
        <v>11.75</v>
      </c>
      <c r="AK2" s="17">
        <v>12</v>
      </c>
      <c r="AL2" s="14">
        <v>23.75</v>
      </c>
      <c r="AM2" s="23" cm="1">
        <f t="array" ref="AM2">IF(OR(AN2:AZ2=""),"BLANK",IF(AND(AN2:AZ2&lt;9999999),1,IF(AND(AN2:AZ2="NA"),3,2)))</f>
        <v>1</v>
      </c>
      <c r="AN2" s="20">
        <v>8</v>
      </c>
      <c r="AO2" s="26">
        <v>2</v>
      </c>
      <c r="AP2" s="15">
        <v>3</v>
      </c>
      <c r="AQ2" s="15">
        <v>4.75</v>
      </c>
      <c r="AR2" s="15">
        <v>7</v>
      </c>
      <c r="AS2" s="26">
        <v>2490</v>
      </c>
      <c r="AT2" s="26">
        <v>6352.5</v>
      </c>
      <c r="AU2" s="26">
        <v>9028</v>
      </c>
      <c r="AV2" s="26">
        <v>7811.75</v>
      </c>
      <c r="AW2" s="26">
        <v>284</v>
      </c>
      <c r="AX2" s="26">
        <v>0</v>
      </c>
      <c r="AY2" s="26">
        <v>968.55357142859998</v>
      </c>
      <c r="AZ2" s="26">
        <v>1036.3729166666999</v>
      </c>
      <c r="BA2" s="23">
        <f>IF(BB2="NA", 3,1)</f>
        <v>1</v>
      </c>
      <c r="BB2" s="24">
        <v>40</v>
      </c>
    </row>
    <row r="3" spans="1:57" x14ac:dyDescent="0.2">
      <c r="A3" s="5">
        <v>49</v>
      </c>
      <c r="B3" s="20" t="s">
        <v>63</v>
      </c>
      <c r="C3" s="18" t="s">
        <v>54</v>
      </c>
      <c r="D3" s="18">
        <v>5</v>
      </c>
      <c r="E3" s="18">
        <v>0</v>
      </c>
      <c r="F3" s="18" t="s">
        <v>9</v>
      </c>
      <c r="G3" s="18">
        <v>30</v>
      </c>
      <c r="H3" s="22">
        <v>4.5667351129363452</v>
      </c>
      <c r="I3" s="22">
        <v>5.6153319644079396</v>
      </c>
      <c r="J3" s="22">
        <v>10.182067077344286</v>
      </c>
      <c r="K3" s="22">
        <v>4.8651608487337441</v>
      </c>
      <c r="L3" s="22">
        <v>5.3086926762491444</v>
      </c>
      <c r="M3" s="22">
        <v>10.173853524982889</v>
      </c>
      <c r="N3" s="22">
        <v>4.1779603011635862</v>
      </c>
      <c r="O3" s="22" t="s">
        <v>8</v>
      </c>
      <c r="P3" s="22" t="s">
        <v>8</v>
      </c>
      <c r="Q3" s="22" t="s">
        <v>8</v>
      </c>
      <c r="R3" s="22" t="s">
        <v>8</v>
      </c>
      <c r="S3" s="22" t="s">
        <v>8</v>
      </c>
      <c r="T3" s="30">
        <v>3</v>
      </c>
      <c r="U3" s="30">
        <v>13</v>
      </c>
      <c r="V3" s="20" t="s">
        <v>1</v>
      </c>
      <c r="W3" s="20">
        <v>5</v>
      </c>
      <c r="X3" s="20">
        <v>2</v>
      </c>
      <c r="Y3" s="5">
        <v>1</v>
      </c>
      <c r="Z3" s="24">
        <v>4</v>
      </c>
      <c r="AA3" s="23">
        <f t="shared" si="0"/>
        <v>1</v>
      </c>
      <c r="AB3" s="15">
        <v>1</v>
      </c>
      <c r="AC3" s="15">
        <v>0.875</v>
      </c>
      <c r="AD3" s="15">
        <v>0.375</v>
      </c>
      <c r="AE3" s="15">
        <v>0.75</v>
      </c>
      <c r="AF3" s="20">
        <v>18</v>
      </c>
      <c r="AG3" s="20">
        <v>8.18</v>
      </c>
      <c r="AH3" s="24">
        <v>24</v>
      </c>
      <c r="AI3" s="23">
        <f t="shared" si="1"/>
        <v>1</v>
      </c>
      <c r="AJ3" s="17">
        <v>4.75</v>
      </c>
      <c r="AK3" s="17">
        <v>7.5</v>
      </c>
      <c r="AL3" s="14">
        <v>12.25</v>
      </c>
      <c r="AM3" s="23" cm="1">
        <f t="array" ref="AM3">IF(OR(AN3:AZ3=""),"BLANK",IF(AND(AN3:AZ3&lt;9999999),1,IF(AND(AN3:AZ3="NA"),3,2)))</f>
        <v>1</v>
      </c>
      <c r="AN3" s="20">
        <v>6</v>
      </c>
      <c r="AO3" s="26">
        <v>2</v>
      </c>
      <c r="AP3" s="15">
        <v>3.5</v>
      </c>
      <c r="AQ3" s="15">
        <v>5.25</v>
      </c>
      <c r="AR3" s="15">
        <v>8</v>
      </c>
      <c r="AS3" s="26">
        <v>5189.5</v>
      </c>
      <c r="AT3" s="26">
        <v>16341</v>
      </c>
      <c r="AU3" s="26">
        <v>11718.75</v>
      </c>
      <c r="AV3" s="26">
        <v>15923.75</v>
      </c>
      <c r="AW3" s="26">
        <v>0</v>
      </c>
      <c r="AX3" s="26">
        <v>2010.875</v>
      </c>
      <c r="AY3" s="26">
        <v>2318.0374999999999</v>
      </c>
      <c r="AZ3" s="26">
        <v>3937.8291666667001</v>
      </c>
      <c r="BA3" s="23">
        <f t="shared" ref="BA3:BA66" si="2">IF(BB3="NA", 3,1)</f>
        <v>1</v>
      </c>
      <c r="BB3" s="24">
        <v>31</v>
      </c>
    </row>
    <row r="4" spans="1:57" x14ac:dyDescent="0.2">
      <c r="A4" s="5">
        <v>61</v>
      </c>
      <c r="B4" s="20" t="s">
        <v>78</v>
      </c>
      <c r="C4" s="18" t="s">
        <v>54</v>
      </c>
      <c r="D4" s="18">
        <v>2</v>
      </c>
      <c r="E4" s="18">
        <v>0</v>
      </c>
      <c r="F4" s="18" t="s">
        <v>9</v>
      </c>
      <c r="G4" s="18">
        <v>29</v>
      </c>
      <c r="H4" s="22">
        <v>4.1232032854209448</v>
      </c>
      <c r="I4" s="22" t="s">
        <v>8</v>
      </c>
      <c r="J4" s="22" t="s">
        <v>8</v>
      </c>
      <c r="K4" s="22" t="s">
        <v>8</v>
      </c>
      <c r="L4" s="22" t="s">
        <v>8</v>
      </c>
      <c r="M4" s="22" t="s">
        <v>8</v>
      </c>
      <c r="N4" s="22">
        <v>4.1971252566735116</v>
      </c>
      <c r="O4" s="22" t="s">
        <v>8</v>
      </c>
      <c r="P4" s="22" t="s">
        <v>8</v>
      </c>
      <c r="Q4" s="22" t="s">
        <v>8</v>
      </c>
      <c r="R4" s="22" t="s">
        <v>8</v>
      </c>
      <c r="S4" s="22" t="s">
        <v>8</v>
      </c>
      <c r="T4" s="30">
        <v>6</v>
      </c>
      <c r="U4" s="30">
        <v>18</v>
      </c>
      <c r="V4" s="20" t="s">
        <v>1</v>
      </c>
      <c r="W4" s="20">
        <v>5</v>
      </c>
      <c r="X4" s="20">
        <v>2</v>
      </c>
      <c r="Y4" s="5">
        <v>1</v>
      </c>
      <c r="Z4" s="24">
        <v>4</v>
      </c>
      <c r="AA4" s="23">
        <f t="shared" si="0"/>
        <v>1</v>
      </c>
      <c r="AB4" s="15">
        <v>1</v>
      </c>
      <c r="AC4" s="15">
        <v>0.625</v>
      </c>
      <c r="AD4" s="15">
        <v>0.125</v>
      </c>
      <c r="AE4" s="15">
        <v>0.58299999999999996</v>
      </c>
      <c r="AF4" s="20">
        <v>14</v>
      </c>
      <c r="AG4" s="20">
        <v>9.3000000000000007</v>
      </c>
      <c r="AH4" s="24">
        <v>24</v>
      </c>
      <c r="AI4" s="23">
        <f t="shared" si="1"/>
        <v>1</v>
      </c>
      <c r="AJ4" s="17">
        <v>5.75</v>
      </c>
      <c r="AK4" s="17">
        <v>3.25</v>
      </c>
      <c r="AL4" s="14">
        <v>9</v>
      </c>
      <c r="AM4" s="23" cm="1">
        <f t="array" ref="AM4">IF(OR(AN4:AZ4=""),"BLANK",IF(AND(AN4:AZ4&lt;9999999),1,IF(AND(AN4:AZ4="NA"),3,2)))</f>
        <v>1</v>
      </c>
      <c r="AN4" s="20">
        <v>6</v>
      </c>
      <c r="AO4" s="26">
        <v>2</v>
      </c>
      <c r="AP4" s="15">
        <v>3.5</v>
      </c>
      <c r="AQ4" s="15">
        <v>6.25</v>
      </c>
      <c r="AR4" s="15">
        <v>8</v>
      </c>
      <c r="AS4" s="26">
        <v>1007</v>
      </c>
      <c r="AT4" s="26">
        <v>4565</v>
      </c>
      <c r="AU4" s="26">
        <v>10848.5</v>
      </c>
      <c r="AV4" s="26">
        <v>12198.5</v>
      </c>
      <c r="AW4" s="26">
        <v>0</v>
      </c>
      <c r="AX4" s="26">
        <v>2437.2083333332998</v>
      </c>
      <c r="AY4" s="26">
        <v>2977.0069444443998</v>
      </c>
      <c r="AZ4" s="26">
        <v>4461.3013888889</v>
      </c>
      <c r="BA4" s="23">
        <f t="shared" si="2"/>
        <v>3</v>
      </c>
      <c r="BB4" s="24" t="s">
        <v>8</v>
      </c>
    </row>
    <row r="5" spans="1:57" x14ac:dyDescent="0.2">
      <c r="A5" s="5">
        <v>80</v>
      </c>
      <c r="B5" s="20" t="s">
        <v>67</v>
      </c>
      <c r="C5" s="18" t="s">
        <v>55</v>
      </c>
      <c r="D5" s="18">
        <v>5</v>
      </c>
      <c r="E5" s="18">
        <v>0</v>
      </c>
      <c r="F5" s="18" t="s">
        <v>9</v>
      </c>
      <c r="G5" s="18">
        <v>30</v>
      </c>
      <c r="H5" s="22">
        <v>4.2272416153319643</v>
      </c>
      <c r="I5" s="22" t="s">
        <v>8</v>
      </c>
      <c r="J5" s="22" t="s">
        <v>8</v>
      </c>
      <c r="K5" s="22">
        <v>4.2409308692676246</v>
      </c>
      <c r="L5" s="22" t="s">
        <v>8</v>
      </c>
      <c r="M5" s="22" t="s">
        <v>8</v>
      </c>
      <c r="N5" s="22">
        <v>4.2080766598220398</v>
      </c>
      <c r="O5" s="22" t="s">
        <v>8</v>
      </c>
      <c r="P5" s="22" t="s">
        <v>8</v>
      </c>
      <c r="Q5" s="22" t="s">
        <v>8</v>
      </c>
      <c r="R5" s="22" t="s">
        <v>8</v>
      </c>
      <c r="S5" s="22" t="s">
        <v>8</v>
      </c>
      <c r="T5" s="30">
        <v>2</v>
      </c>
      <c r="U5" s="30">
        <v>12</v>
      </c>
      <c r="V5" s="20" t="s">
        <v>1</v>
      </c>
      <c r="W5" s="20">
        <v>5</v>
      </c>
      <c r="X5" s="20">
        <v>2</v>
      </c>
      <c r="Y5" s="5">
        <v>1</v>
      </c>
      <c r="Z5" s="24">
        <v>4</v>
      </c>
      <c r="AA5" s="23">
        <f t="shared" si="0"/>
        <v>1</v>
      </c>
      <c r="AB5" s="15">
        <v>1</v>
      </c>
      <c r="AC5" s="15">
        <v>0.875</v>
      </c>
      <c r="AD5" s="15">
        <v>0.625</v>
      </c>
      <c r="AE5" s="15">
        <v>0.83299999999999996</v>
      </c>
      <c r="AF5" s="20">
        <v>20</v>
      </c>
      <c r="AG5" s="20">
        <v>8.42</v>
      </c>
      <c r="AH5" s="24">
        <v>24</v>
      </c>
      <c r="AI5" s="23">
        <f t="shared" si="1"/>
        <v>1</v>
      </c>
      <c r="AJ5" s="17">
        <v>11</v>
      </c>
      <c r="AK5" s="17">
        <v>6</v>
      </c>
      <c r="AL5" s="14">
        <v>17</v>
      </c>
      <c r="AM5" s="23" cm="1">
        <f t="array" ref="AM5">IF(OR(AN5:AZ5=""),"BLANK",IF(AND(AN5:AZ5&lt;9999999),1,IF(AND(AN5:AZ5="NA"),3,2)))</f>
        <v>1</v>
      </c>
      <c r="AN5" s="20">
        <v>11</v>
      </c>
      <c r="AO5" s="26">
        <v>2</v>
      </c>
      <c r="AP5" s="15">
        <v>3</v>
      </c>
      <c r="AQ5" s="15">
        <v>5</v>
      </c>
      <c r="AR5" s="15">
        <v>5</v>
      </c>
      <c r="AS5" s="26">
        <v>1393.5</v>
      </c>
      <c r="AT5" s="26">
        <v>2377</v>
      </c>
      <c r="AU5" s="26">
        <v>8647.25</v>
      </c>
      <c r="AV5" s="26">
        <v>18586.5</v>
      </c>
      <c r="AW5" s="26">
        <v>0</v>
      </c>
      <c r="AX5" s="26">
        <v>0</v>
      </c>
      <c r="AY5" s="26">
        <v>226.375</v>
      </c>
      <c r="AZ5" s="26">
        <v>0</v>
      </c>
      <c r="BA5" s="23">
        <f t="shared" si="2"/>
        <v>1</v>
      </c>
      <c r="BB5" s="24">
        <v>37</v>
      </c>
    </row>
    <row r="6" spans="1:57" x14ac:dyDescent="0.2">
      <c r="A6" s="5">
        <v>81</v>
      </c>
      <c r="B6" s="20" t="s">
        <v>67</v>
      </c>
      <c r="C6" s="18" t="s">
        <v>54</v>
      </c>
      <c r="D6" s="18">
        <v>5</v>
      </c>
      <c r="E6" s="18">
        <v>0</v>
      </c>
      <c r="F6" s="18" t="s">
        <v>9</v>
      </c>
      <c r="G6" s="18">
        <v>29</v>
      </c>
      <c r="H6" s="22">
        <v>5.2867898699520879</v>
      </c>
      <c r="I6" s="22" t="s">
        <v>8</v>
      </c>
      <c r="J6" s="22" t="s">
        <v>8</v>
      </c>
      <c r="K6" s="22">
        <v>5.2867898699520879</v>
      </c>
      <c r="L6" s="22" t="s">
        <v>8</v>
      </c>
      <c r="M6" s="22" t="s">
        <v>8</v>
      </c>
      <c r="N6" s="22">
        <v>4.8104038329911019</v>
      </c>
      <c r="O6" s="22" t="s">
        <v>8</v>
      </c>
      <c r="P6" s="22" t="s">
        <v>8</v>
      </c>
      <c r="Q6" s="22" t="s">
        <v>8</v>
      </c>
      <c r="R6" s="22" t="s">
        <v>8</v>
      </c>
      <c r="S6" s="22" t="s">
        <v>8</v>
      </c>
      <c r="T6" s="30">
        <v>5</v>
      </c>
      <c r="U6" s="30">
        <v>18</v>
      </c>
      <c r="V6" s="20" t="s">
        <v>1</v>
      </c>
      <c r="W6" s="20">
        <v>5</v>
      </c>
      <c r="X6" s="20">
        <v>2</v>
      </c>
      <c r="Y6" s="5">
        <v>1</v>
      </c>
      <c r="Z6" s="24">
        <v>4</v>
      </c>
      <c r="AA6" s="23">
        <f t="shared" si="0"/>
        <v>1</v>
      </c>
      <c r="AB6" s="15">
        <v>1</v>
      </c>
      <c r="AC6" s="15">
        <v>0.875</v>
      </c>
      <c r="AD6" s="15">
        <v>0.875</v>
      </c>
      <c r="AE6" s="15">
        <v>0.91700000000000004</v>
      </c>
      <c r="AF6" s="20">
        <v>22</v>
      </c>
      <c r="AG6" s="20">
        <v>11.42</v>
      </c>
      <c r="AH6" s="24">
        <v>24</v>
      </c>
      <c r="AI6" s="23">
        <f t="shared" si="1"/>
        <v>1</v>
      </c>
      <c r="AJ6" s="17">
        <v>13.75</v>
      </c>
      <c r="AK6" s="17">
        <v>11.75</v>
      </c>
      <c r="AL6" s="14">
        <v>25.5</v>
      </c>
      <c r="AM6" s="23" cm="1">
        <f t="array" ref="AM6">IF(OR(AN6:AZ6=""),"BLANK",IF(AND(AN6:AZ6&lt;9999999),1,IF(AND(AN6:AZ6="NA"),3,2)))</f>
        <v>1</v>
      </c>
      <c r="AN6" s="20">
        <v>11</v>
      </c>
      <c r="AO6" s="26">
        <v>2</v>
      </c>
      <c r="AP6" s="15">
        <v>3</v>
      </c>
      <c r="AQ6" s="15">
        <v>4.25</v>
      </c>
      <c r="AR6" s="15">
        <v>5</v>
      </c>
      <c r="AS6" s="26">
        <v>1434</v>
      </c>
      <c r="AT6" s="26">
        <v>2520.5</v>
      </c>
      <c r="AU6" s="26">
        <v>5784.75</v>
      </c>
      <c r="AV6" s="26">
        <v>7643.25</v>
      </c>
      <c r="AW6" s="26">
        <v>0</v>
      </c>
      <c r="AX6" s="26">
        <v>0</v>
      </c>
      <c r="AY6" s="26">
        <v>0</v>
      </c>
      <c r="AZ6" s="26">
        <v>0</v>
      </c>
      <c r="BA6" s="23">
        <f t="shared" si="2"/>
        <v>1</v>
      </c>
      <c r="BB6" s="24">
        <v>37</v>
      </c>
    </row>
    <row r="7" spans="1:57" x14ac:dyDescent="0.2">
      <c r="A7" s="5">
        <v>92</v>
      </c>
      <c r="B7" s="20" t="s">
        <v>78</v>
      </c>
      <c r="C7" s="18" t="s">
        <v>55</v>
      </c>
      <c r="D7" s="18">
        <v>5</v>
      </c>
      <c r="E7" s="18">
        <v>0</v>
      </c>
      <c r="F7" s="18" t="s">
        <v>9</v>
      </c>
      <c r="G7" s="18">
        <v>30</v>
      </c>
      <c r="H7" s="22">
        <v>4.3531827515400412</v>
      </c>
      <c r="I7" s="22">
        <v>5.7850787132101305</v>
      </c>
      <c r="J7" s="22">
        <v>10.138261464750171</v>
      </c>
      <c r="K7" s="22">
        <v>4.3778234086242298</v>
      </c>
      <c r="L7" s="22">
        <v>5.7549623545516768</v>
      </c>
      <c r="M7" s="22">
        <v>10.132785763175907</v>
      </c>
      <c r="N7" s="22">
        <v>4.3367556468172488</v>
      </c>
      <c r="O7" s="22">
        <v>5.4866529774127306</v>
      </c>
      <c r="P7" s="22">
        <v>9.8234086242299803</v>
      </c>
      <c r="Q7" s="22" t="s">
        <v>8</v>
      </c>
      <c r="R7" s="22" t="s">
        <v>8</v>
      </c>
      <c r="S7" s="22" t="s">
        <v>8</v>
      </c>
      <c r="T7" s="30">
        <v>4</v>
      </c>
      <c r="U7" s="30">
        <v>16</v>
      </c>
      <c r="V7" s="20" t="s">
        <v>1</v>
      </c>
      <c r="W7" s="20">
        <v>5</v>
      </c>
      <c r="X7" s="20">
        <v>2</v>
      </c>
      <c r="Y7" s="5">
        <v>1</v>
      </c>
      <c r="Z7" s="24">
        <v>4</v>
      </c>
      <c r="AA7" s="23">
        <f t="shared" si="0"/>
        <v>1</v>
      </c>
      <c r="AB7" s="15">
        <v>1</v>
      </c>
      <c r="AC7" s="15">
        <v>1</v>
      </c>
      <c r="AD7" s="15">
        <v>0.875</v>
      </c>
      <c r="AE7" s="15">
        <v>0.95799999999999996</v>
      </c>
      <c r="AF7" s="20">
        <v>23</v>
      </c>
      <c r="AG7" s="20">
        <v>12.07</v>
      </c>
      <c r="AH7" s="24">
        <v>24</v>
      </c>
      <c r="AI7" s="23">
        <f t="shared" si="1"/>
        <v>1</v>
      </c>
      <c r="AJ7" s="17">
        <v>12.5</v>
      </c>
      <c r="AK7" s="17">
        <v>13</v>
      </c>
      <c r="AL7" s="14">
        <v>25.5</v>
      </c>
      <c r="AM7" s="23" cm="1">
        <f t="array" ref="AM7">IF(OR(AN7:AZ7=""),"BLANK",IF(AND(AN7:AZ7&lt;9999999),1,IF(AND(AN7:AZ7="NA"),3,2)))</f>
        <v>1</v>
      </c>
      <c r="AN7" s="20">
        <v>11</v>
      </c>
      <c r="AO7" s="26">
        <v>2</v>
      </c>
      <c r="AP7" s="15">
        <v>3</v>
      </c>
      <c r="AQ7" s="15">
        <v>5.25</v>
      </c>
      <c r="AR7" s="15">
        <v>5</v>
      </c>
      <c r="AS7" s="26">
        <v>1799</v>
      </c>
      <c r="AT7" s="26">
        <v>4275</v>
      </c>
      <c r="AU7" s="26">
        <v>4625.5</v>
      </c>
      <c r="AV7" s="26">
        <v>21087.25</v>
      </c>
      <c r="AW7" s="26">
        <v>0</v>
      </c>
      <c r="AX7" s="26">
        <v>0</v>
      </c>
      <c r="AY7" s="26">
        <v>1372.1180555556</v>
      </c>
      <c r="AZ7" s="26">
        <v>0</v>
      </c>
      <c r="BA7" s="23">
        <f t="shared" si="2"/>
        <v>1</v>
      </c>
      <c r="BB7" s="24">
        <v>40</v>
      </c>
    </row>
    <row r="8" spans="1:57" x14ac:dyDescent="0.2">
      <c r="A8" s="5">
        <v>103</v>
      </c>
      <c r="B8" s="20" t="s">
        <v>67</v>
      </c>
      <c r="C8" s="18" t="s">
        <v>54</v>
      </c>
      <c r="D8" s="18">
        <v>5</v>
      </c>
      <c r="E8" s="18">
        <v>0</v>
      </c>
      <c r="F8" s="18" t="s">
        <v>9</v>
      </c>
      <c r="G8" s="18">
        <v>30</v>
      </c>
      <c r="H8" s="22">
        <v>4.3942505133470222</v>
      </c>
      <c r="I8" s="22">
        <v>5.8617385352498292</v>
      </c>
      <c r="J8" s="22">
        <v>10.255989048596852</v>
      </c>
      <c r="K8" s="22">
        <v>4.4079397672826834</v>
      </c>
      <c r="L8" s="22">
        <v>5.848049281314168</v>
      </c>
      <c r="M8" s="22">
        <v>10.255989048596852</v>
      </c>
      <c r="N8" s="22">
        <v>4.2381930184804926</v>
      </c>
      <c r="O8" s="22">
        <v>5.5989048596851472</v>
      </c>
      <c r="P8" s="22">
        <v>9.8370978781656397</v>
      </c>
      <c r="Q8" s="22" t="s">
        <v>8</v>
      </c>
      <c r="R8" s="22" t="s">
        <v>8</v>
      </c>
      <c r="S8" s="22" t="s">
        <v>8</v>
      </c>
      <c r="T8" s="30">
        <v>6</v>
      </c>
      <c r="U8" s="30">
        <v>18</v>
      </c>
      <c r="V8" s="20" t="s">
        <v>1</v>
      </c>
      <c r="W8" s="20">
        <v>5</v>
      </c>
      <c r="X8" s="20">
        <v>2</v>
      </c>
      <c r="Y8" s="5">
        <v>1</v>
      </c>
      <c r="Z8" s="24">
        <v>4</v>
      </c>
      <c r="AA8" s="23">
        <f t="shared" si="0"/>
        <v>1</v>
      </c>
      <c r="AB8" s="15">
        <v>1</v>
      </c>
      <c r="AC8" s="15">
        <v>1</v>
      </c>
      <c r="AD8" s="15">
        <v>1</v>
      </c>
      <c r="AE8" s="15">
        <v>1</v>
      </c>
      <c r="AF8" s="20">
        <v>24</v>
      </c>
      <c r="AG8" s="20">
        <v>8.92</v>
      </c>
      <c r="AH8" s="24">
        <v>24</v>
      </c>
      <c r="AI8" s="23">
        <f t="shared" si="1"/>
        <v>1</v>
      </c>
      <c r="AJ8" s="17">
        <v>13</v>
      </c>
      <c r="AK8" s="17">
        <v>8</v>
      </c>
      <c r="AL8" s="14">
        <v>21</v>
      </c>
      <c r="AM8" s="23" cm="1">
        <f t="array" ref="AM8">IF(OR(AN8:AZ8=""),"BLANK",IF(AND(AN8:AZ8&lt;9999999),1,IF(AND(AN8:AZ8="NA"),3,2)))</f>
        <v>1</v>
      </c>
      <c r="AN8" s="20">
        <v>12</v>
      </c>
      <c r="AO8" s="26">
        <v>2</v>
      </c>
      <c r="AP8" s="15">
        <v>3</v>
      </c>
      <c r="AQ8" s="15">
        <v>4</v>
      </c>
      <c r="AR8" s="15">
        <v>5</v>
      </c>
      <c r="AS8" s="26">
        <v>1426</v>
      </c>
      <c r="AT8" s="26">
        <v>2116</v>
      </c>
      <c r="AU8" s="26">
        <v>8855.5</v>
      </c>
      <c r="AV8" s="26">
        <v>4140</v>
      </c>
      <c r="AW8" s="26">
        <v>0</v>
      </c>
      <c r="AX8" s="26">
        <v>0</v>
      </c>
      <c r="AY8" s="26">
        <v>0</v>
      </c>
      <c r="AZ8" s="26">
        <v>0</v>
      </c>
      <c r="BA8" s="23">
        <f t="shared" si="2"/>
        <v>1</v>
      </c>
      <c r="BB8" s="24">
        <v>39</v>
      </c>
    </row>
    <row r="9" spans="1:57" x14ac:dyDescent="0.2">
      <c r="A9" s="5">
        <v>110</v>
      </c>
      <c r="B9" s="20" t="s">
        <v>80</v>
      </c>
      <c r="C9" s="18" t="s">
        <v>54</v>
      </c>
      <c r="D9" s="18">
        <v>5</v>
      </c>
      <c r="E9" s="18">
        <v>0</v>
      </c>
      <c r="F9" s="18" t="s">
        <v>9</v>
      </c>
      <c r="G9" s="18">
        <v>30</v>
      </c>
      <c r="H9" s="22">
        <v>4.3039014373716631</v>
      </c>
      <c r="I9" s="22" t="s">
        <v>8</v>
      </c>
      <c r="J9" s="22" t="s">
        <v>8</v>
      </c>
      <c r="K9" s="22">
        <v>4</v>
      </c>
      <c r="L9" s="22" t="s">
        <v>8</v>
      </c>
      <c r="M9" s="22" t="s">
        <v>8</v>
      </c>
      <c r="N9" s="22">
        <v>4.2546201232032859</v>
      </c>
      <c r="O9" s="22" t="s">
        <v>8</v>
      </c>
      <c r="P9" s="22" t="s">
        <v>8</v>
      </c>
      <c r="Q9" s="22" t="s">
        <v>8</v>
      </c>
      <c r="R9" s="22" t="s">
        <v>8</v>
      </c>
      <c r="S9" s="22" t="s">
        <v>8</v>
      </c>
      <c r="T9" s="30">
        <v>3</v>
      </c>
      <c r="U9" s="30">
        <v>15</v>
      </c>
      <c r="V9" s="20" t="s">
        <v>1</v>
      </c>
      <c r="W9" s="20">
        <v>5</v>
      </c>
      <c r="X9" s="20">
        <v>2</v>
      </c>
      <c r="Y9" s="5">
        <v>1</v>
      </c>
      <c r="Z9" s="24">
        <v>4</v>
      </c>
      <c r="AA9" s="23">
        <f t="shared" si="0"/>
        <v>1</v>
      </c>
      <c r="AB9" s="15">
        <v>0.75</v>
      </c>
      <c r="AC9" s="15">
        <v>0.5</v>
      </c>
      <c r="AD9" s="15">
        <v>0.125</v>
      </c>
      <c r="AE9" s="15">
        <v>0.45800000000000002</v>
      </c>
      <c r="AF9" s="20">
        <v>11</v>
      </c>
      <c r="AG9" s="20">
        <v>6.67</v>
      </c>
      <c r="AH9" s="24">
        <v>24</v>
      </c>
      <c r="AI9" s="23">
        <f t="shared" si="1"/>
        <v>1</v>
      </c>
      <c r="AJ9" s="17">
        <v>7.25</v>
      </c>
      <c r="AK9" s="17">
        <v>5.25</v>
      </c>
      <c r="AL9" s="14">
        <v>12.5</v>
      </c>
      <c r="AM9" s="23" cm="1">
        <f t="array" ref="AM9">IF(OR(AN9:AZ9=""),"BLANK",IF(AND(AN9:AZ9&lt;9999999),1,IF(AND(AN9:AZ9="NA"),3,2)))</f>
        <v>1</v>
      </c>
      <c r="AN9" s="20">
        <v>4</v>
      </c>
      <c r="AO9" s="26">
        <v>2</v>
      </c>
      <c r="AP9" s="15">
        <v>4.5</v>
      </c>
      <c r="AQ9" s="15">
        <v>7</v>
      </c>
      <c r="AR9" s="15">
        <v>9.75</v>
      </c>
      <c r="AS9" s="26">
        <v>1884</v>
      </c>
      <c r="AT9" s="26">
        <v>10510</v>
      </c>
      <c r="AU9" s="26">
        <v>5271.75</v>
      </c>
      <c r="AV9" s="26">
        <v>10508.5</v>
      </c>
      <c r="AW9" s="26">
        <v>0</v>
      </c>
      <c r="AX9" s="26">
        <v>14187.083333333299</v>
      </c>
      <c r="AY9" s="26">
        <v>40222.152777777803</v>
      </c>
      <c r="AZ9" s="26">
        <v>33600.215277777803</v>
      </c>
      <c r="BA9" s="23">
        <f t="shared" si="2"/>
        <v>1</v>
      </c>
      <c r="BB9" s="24">
        <v>20</v>
      </c>
    </row>
    <row r="10" spans="1:57" x14ac:dyDescent="0.2">
      <c r="A10" s="5">
        <v>133</v>
      </c>
      <c r="B10" s="20" t="s">
        <v>84</v>
      </c>
      <c r="C10" s="18" t="s">
        <v>54</v>
      </c>
      <c r="D10" s="18">
        <v>5</v>
      </c>
      <c r="E10" s="18">
        <v>0</v>
      </c>
      <c r="F10" s="18" t="s">
        <v>9</v>
      </c>
      <c r="G10" s="18">
        <v>30</v>
      </c>
      <c r="H10" s="22">
        <v>4.3285420944558526</v>
      </c>
      <c r="I10" s="22" t="s">
        <v>8</v>
      </c>
      <c r="J10" s="22" t="s">
        <v>8</v>
      </c>
      <c r="K10" s="22">
        <v>4.3696098562628336</v>
      </c>
      <c r="L10" s="22" t="s">
        <v>8</v>
      </c>
      <c r="M10" s="22" t="s">
        <v>8</v>
      </c>
      <c r="N10" s="22">
        <v>4.2737850787132103</v>
      </c>
      <c r="O10" s="22" t="s">
        <v>8</v>
      </c>
      <c r="P10" s="22" t="s">
        <v>8</v>
      </c>
      <c r="Q10" s="22" t="s">
        <v>8</v>
      </c>
      <c r="R10" s="22" t="s">
        <v>8</v>
      </c>
      <c r="S10" s="22" t="s">
        <v>8</v>
      </c>
      <c r="T10" s="30">
        <v>6</v>
      </c>
      <c r="U10" s="30">
        <v>18</v>
      </c>
      <c r="V10" s="20" t="s">
        <v>1</v>
      </c>
      <c r="W10" s="20">
        <v>5</v>
      </c>
      <c r="X10" s="20">
        <v>2</v>
      </c>
      <c r="Y10" s="5">
        <v>1</v>
      </c>
      <c r="Z10" s="24">
        <v>4</v>
      </c>
      <c r="AA10" s="23">
        <f t="shared" si="0"/>
        <v>1</v>
      </c>
      <c r="AB10" s="15">
        <v>1</v>
      </c>
      <c r="AC10" s="15">
        <v>1</v>
      </c>
      <c r="AD10" s="15">
        <v>1</v>
      </c>
      <c r="AE10" s="15">
        <v>1</v>
      </c>
      <c r="AF10" s="20">
        <v>24</v>
      </c>
      <c r="AG10" s="20">
        <v>1.22</v>
      </c>
      <c r="AH10" s="24">
        <v>24</v>
      </c>
      <c r="AI10" s="23">
        <f t="shared" si="1"/>
        <v>1</v>
      </c>
      <c r="AJ10" s="17">
        <v>11.75</v>
      </c>
      <c r="AK10" s="17">
        <v>11</v>
      </c>
      <c r="AL10" s="14">
        <v>22.75</v>
      </c>
      <c r="AM10" s="23" cm="1">
        <f t="array" ref="AM10">IF(OR(AN10:AZ10=""),"BLANK",IF(AND(AN10:AZ10&lt;9999999),1,IF(AND(AN10:AZ10="NA"),3,2)))</f>
        <v>1</v>
      </c>
      <c r="AN10" s="20">
        <v>9</v>
      </c>
      <c r="AO10" s="26">
        <v>2</v>
      </c>
      <c r="AP10" s="15">
        <v>3</v>
      </c>
      <c r="AQ10" s="15">
        <v>6</v>
      </c>
      <c r="AR10" s="15">
        <v>5</v>
      </c>
      <c r="AS10" s="26">
        <v>2569.5</v>
      </c>
      <c r="AT10" s="26">
        <v>3656</v>
      </c>
      <c r="AU10" s="26">
        <v>8482.5</v>
      </c>
      <c r="AV10" s="26">
        <v>9830.25</v>
      </c>
      <c r="AW10" s="26">
        <v>0</v>
      </c>
      <c r="AX10" s="26">
        <v>0</v>
      </c>
      <c r="AY10" s="26">
        <v>1793.8347222222001</v>
      </c>
      <c r="AZ10" s="26">
        <v>0</v>
      </c>
      <c r="BA10" s="23">
        <f t="shared" si="2"/>
        <v>1</v>
      </c>
      <c r="BB10" s="24">
        <v>38</v>
      </c>
    </row>
    <row r="11" spans="1:57" x14ac:dyDescent="0.2">
      <c r="A11" s="5">
        <v>135</v>
      </c>
      <c r="B11" s="20" t="s">
        <v>75</v>
      </c>
      <c r="C11" s="18" t="s">
        <v>54</v>
      </c>
      <c r="D11" s="18">
        <v>5</v>
      </c>
      <c r="E11" s="18">
        <v>0</v>
      </c>
      <c r="F11" s="18" t="s">
        <v>9</v>
      </c>
      <c r="G11" s="18">
        <v>29</v>
      </c>
      <c r="H11" s="22">
        <v>4.2929500342231348</v>
      </c>
      <c r="I11" s="22" t="s">
        <v>8</v>
      </c>
      <c r="J11" s="22" t="s">
        <v>8</v>
      </c>
      <c r="K11" s="22">
        <v>4.3696098562628336</v>
      </c>
      <c r="L11" s="22" t="s">
        <v>8</v>
      </c>
      <c r="M11" s="22" t="s">
        <v>8</v>
      </c>
      <c r="N11" s="22">
        <v>4.1396303901437372</v>
      </c>
      <c r="O11" s="22" t="s">
        <v>8</v>
      </c>
      <c r="P11" s="22" t="s">
        <v>8</v>
      </c>
      <c r="Q11" s="22" t="s">
        <v>8</v>
      </c>
      <c r="R11" s="22" t="s">
        <v>8</v>
      </c>
      <c r="S11" s="22" t="s">
        <v>8</v>
      </c>
      <c r="T11" s="30" t="s">
        <v>8</v>
      </c>
      <c r="U11" s="30" t="s">
        <v>8</v>
      </c>
      <c r="V11" s="20" t="s">
        <v>1</v>
      </c>
      <c r="W11" s="20">
        <v>5</v>
      </c>
      <c r="X11" s="20">
        <v>2</v>
      </c>
      <c r="Y11" s="5">
        <v>1</v>
      </c>
      <c r="Z11" s="24">
        <v>4</v>
      </c>
      <c r="AA11" s="23">
        <f t="shared" si="0"/>
        <v>1</v>
      </c>
      <c r="AB11" s="15">
        <v>1</v>
      </c>
      <c r="AC11" s="15">
        <v>0.875</v>
      </c>
      <c r="AD11" s="15">
        <v>0.5</v>
      </c>
      <c r="AE11" s="15">
        <v>0.79200000000000004</v>
      </c>
      <c r="AF11" s="20">
        <v>19</v>
      </c>
      <c r="AG11" s="20">
        <v>4.3499999999999996</v>
      </c>
      <c r="AH11" s="24">
        <v>24</v>
      </c>
      <c r="AI11" s="23">
        <f t="shared" si="1"/>
        <v>1</v>
      </c>
      <c r="AJ11" s="17">
        <v>8.75</v>
      </c>
      <c r="AK11" s="17">
        <v>7.5</v>
      </c>
      <c r="AL11" s="14">
        <v>16.25</v>
      </c>
      <c r="AM11" s="23" cm="1">
        <f t="array" ref="AM11">IF(OR(AN11:AZ11=""),"BLANK",IF(AND(AN11:AZ11&lt;9999999),1,IF(AND(AN11:AZ11="NA"),3,2)))</f>
        <v>1</v>
      </c>
      <c r="AN11" s="20">
        <v>9</v>
      </c>
      <c r="AO11" s="26">
        <v>2</v>
      </c>
      <c r="AP11" s="15">
        <v>3</v>
      </c>
      <c r="AQ11" s="15">
        <v>4.75</v>
      </c>
      <c r="AR11" s="15">
        <v>7.25</v>
      </c>
      <c r="AS11" s="26">
        <v>3888</v>
      </c>
      <c r="AT11" s="26">
        <v>6332</v>
      </c>
      <c r="AU11" s="26">
        <v>20809.25</v>
      </c>
      <c r="AV11" s="26">
        <v>7749.25</v>
      </c>
      <c r="AW11" s="26">
        <v>1068.25</v>
      </c>
      <c r="AX11" s="26">
        <v>711.33333333329995</v>
      </c>
      <c r="AY11" s="26">
        <v>2991.2142857142999</v>
      </c>
      <c r="AZ11" s="26">
        <v>2377.4470238095</v>
      </c>
      <c r="BA11" s="23">
        <f t="shared" si="2"/>
        <v>1</v>
      </c>
      <c r="BB11" s="24">
        <v>37</v>
      </c>
    </row>
    <row r="12" spans="1:57" x14ac:dyDescent="0.2">
      <c r="A12" s="5">
        <v>138</v>
      </c>
      <c r="B12" s="20" t="s">
        <v>79</v>
      </c>
      <c r="C12" s="18" t="s">
        <v>54</v>
      </c>
      <c r="D12" s="18">
        <v>6</v>
      </c>
      <c r="E12" s="18">
        <v>1</v>
      </c>
      <c r="F12" s="18" t="s">
        <v>9</v>
      </c>
      <c r="G12" s="18">
        <v>30</v>
      </c>
      <c r="H12" s="22">
        <v>4.2080766598220398</v>
      </c>
      <c r="I12" s="22">
        <v>6.1546885694729641</v>
      </c>
      <c r="J12" s="22">
        <v>10.362765229295004</v>
      </c>
      <c r="K12" s="22">
        <v>4.2710472279260783</v>
      </c>
      <c r="L12" s="22">
        <v>6.0725530458590002</v>
      </c>
      <c r="M12" s="22">
        <v>10.343600273785079</v>
      </c>
      <c r="N12" s="22">
        <v>4.128678986995209</v>
      </c>
      <c r="O12" s="22">
        <v>5.8370978781656397</v>
      </c>
      <c r="P12" s="22">
        <v>9.9657768651608496</v>
      </c>
      <c r="Q12" s="22" t="s">
        <v>8</v>
      </c>
      <c r="R12" s="22" t="s">
        <v>8</v>
      </c>
      <c r="S12" s="22" t="s">
        <v>8</v>
      </c>
      <c r="T12" s="30">
        <v>7</v>
      </c>
      <c r="U12" s="30">
        <v>21</v>
      </c>
      <c r="V12" s="20" t="s">
        <v>1</v>
      </c>
      <c r="W12" s="20">
        <v>5</v>
      </c>
      <c r="X12" s="20">
        <v>2</v>
      </c>
      <c r="Y12" s="5">
        <v>1</v>
      </c>
      <c r="Z12" s="24">
        <v>4</v>
      </c>
      <c r="AA12" s="23">
        <f t="shared" si="0"/>
        <v>1</v>
      </c>
      <c r="AB12" s="15">
        <v>1</v>
      </c>
      <c r="AC12" s="15">
        <v>0.875</v>
      </c>
      <c r="AD12" s="15">
        <v>0.75</v>
      </c>
      <c r="AE12" s="15">
        <v>0.875</v>
      </c>
      <c r="AF12" s="20">
        <v>21</v>
      </c>
      <c r="AG12" s="20">
        <v>11.13</v>
      </c>
      <c r="AH12" s="24">
        <v>24</v>
      </c>
      <c r="AI12" s="23">
        <f t="shared" si="1"/>
        <v>1</v>
      </c>
      <c r="AJ12" s="17">
        <v>12.5</v>
      </c>
      <c r="AK12" s="17">
        <v>10.25</v>
      </c>
      <c r="AL12" s="14">
        <v>22.75</v>
      </c>
      <c r="AM12" s="23" cm="1">
        <f t="array" ref="AM12">IF(OR(AN12:AZ12=""),"BLANK",IF(AND(AN12:AZ12&lt;9999999),1,IF(AND(AN12:AZ12="NA"),3,2)))</f>
        <v>1</v>
      </c>
      <c r="AN12" s="20">
        <v>10</v>
      </c>
      <c r="AO12" s="26">
        <v>2</v>
      </c>
      <c r="AP12" s="15">
        <v>3.5</v>
      </c>
      <c r="AQ12" s="15">
        <v>4</v>
      </c>
      <c r="AR12" s="15">
        <v>5.5</v>
      </c>
      <c r="AS12" s="26">
        <v>1765</v>
      </c>
      <c r="AT12" s="26">
        <v>4359</v>
      </c>
      <c r="AU12" s="26">
        <v>5579.5</v>
      </c>
      <c r="AV12" s="26">
        <v>8940</v>
      </c>
      <c r="AW12" s="26">
        <v>559.25</v>
      </c>
      <c r="AX12" s="26">
        <v>0</v>
      </c>
      <c r="AY12" s="26">
        <v>47.8125</v>
      </c>
      <c r="AZ12" s="26">
        <v>393.42142857139999</v>
      </c>
      <c r="BA12" s="23">
        <f t="shared" si="2"/>
        <v>1</v>
      </c>
      <c r="BB12" s="24">
        <v>37</v>
      </c>
    </row>
    <row r="13" spans="1:57" x14ac:dyDescent="0.2">
      <c r="A13" s="5">
        <v>139</v>
      </c>
      <c r="B13" s="20" t="s">
        <v>84</v>
      </c>
      <c r="C13" s="18" t="s">
        <v>54</v>
      </c>
      <c r="D13" s="18">
        <v>5</v>
      </c>
      <c r="E13" s="18">
        <v>0</v>
      </c>
      <c r="F13" s="18" t="s">
        <v>9</v>
      </c>
      <c r="G13" s="18">
        <v>30</v>
      </c>
      <c r="H13" s="22">
        <v>4.5092402464065708</v>
      </c>
      <c r="I13" s="22">
        <v>5.6673511293634498</v>
      </c>
      <c r="J13" s="22">
        <v>10.17659137577002</v>
      </c>
      <c r="K13" s="22">
        <v>4.7392197125256672</v>
      </c>
      <c r="L13" s="22">
        <v>5.5605749486652973</v>
      </c>
      <c r="M13" s="22">
        <v>10.299794661190965</v>
      </c>
      <c r="N13" s="22">
        <v>4.3175906913073234</v>
      </c>
      <c r="O13" s="22">
        <v>5.6673511293634498</v>
      </c>
      <c r="P13" s="22">
        <v>9.9849418206707732</v>
      </c>
      <c r="Q13" s="22" t="s">
        <v>8</v>
      </c>
      <c r="R13" s="22" t="s">
        <v>8</v>
      </c>
      <c r="S13" s="22" t="s">
        <v>8</v>
      </c>
      <c r="T13" s="30">
        <v>6</v>
      </c>
      <c r="U13" s="30">
        <v>18</v>
      </c>
      <c r="V13" s="20" t="s">
        <v>1</v>
      </c>
      <c r="W13" s="20">
        <v>5</v>
      </c>
      <c r="X13" s="20">
        <v>2</v>
      </c>
      <c r="Y13" s="5">
        <v>1</v>
      </c>
      <c r="Z13" s="24">
        <v>4</v>
      </c>
      <c r="AA13" s="23">
        <f t="shared" si="0"/>
        <v>1</v>
      </c>
      <c r="AB13" s="15">
        <v>1</v>
      </c>
      <c r="AC13" s="15">
        <v>0.875</v>
      </c>
      <c r="AD13" s="15">
        <v>0.875</v>
      </c>
      <c r="AE13" s="15">
        <v>0.91700000000000004</v>
      </c>
      <c r="AF13" s="20">
        <v>22</v>
      </c>
      <c r="AG13" s="20">
        <v>9.0500000000000007</v>
      </c>
      <c r="AH13" s="24">
        <v>24</v>
      </c>
      <c r="AI13" s="23">
        <f t="shared" si="1"/>
        <v>1</v>
      </c>
      <c r="AJ13" s="17">
        <v>10.5</v>
      </c>
      <c r="AK13" s="17">
        <v>12</v>
      </c>
      <c r="AL13" s="14">
        <v>22.5</v>
      </c>
      <c r="AM13" s="23" cm="1">
        <f t="array" ref="AM13">IF(OR(AN13:AZ13=""),"BLANK",IF(AND(AN13:AZ13&lt;9999999),1,IF(AND(AN13:AZ13="NA"),3,2)))</f>
        <v>1</v>
      </c>
      <c r="AN13" s="20">
        <v>12</v>
      </c>
      <c r="AO13" s="26">
        <v>2</v>
      </c>
      <c r="AP13" s="15">
        <v>3</v>
      </c>
      <c r="AQ13" s="15">
        <v>4</v>
      </c>
      <c r="AR13" s="15">
        <v>5</v>
      </c>
      <c r="AS13" s="26">
        <v>1099.5</v>
      </c>
      <c r="AT13" s="26">
        <v>1782.5</v>
      </c>
      <c r="AU13" s="26">
        <v>3363.75</v>
      </c>
      <c r="AV13" s="26">
        <v>6953.25</v>
      </c>
      <c r="AW13" s="26">
        <v>0</v>
      </c>
      <c r="AX13" s="26">
        <v>0</v>
      </c>
      <c r="AY13" s="26">
        <v>0</v>
      </c>
      <c r="AZ13" s="26">
        <v>236.05</v>
      </c>
      <c r="BA13" s="23">
        <f t="shared" si="2"/>
        <v>1</v>
      </c>
      <c r="BB13" s="24">
        <v>37</v>
      </c>
    </row>
    <row r="14" spans="1:57" x14ac:dyDescent="0.2">
      <c r="A14" s="5">
        <v>140</v>
      </c>
      <c r="B14" s="20" t="s">
        <v>77</v>
      </c>
      <c r="C14" s="18" t="s">
        <v>54</v>
      </c>
      <c r="D14" s="18">
        <v>5</v>
      </c>
      <c r="E14" s="18">
        <v>0</v>
      </c>
      <c r="F14" s="18" t="s">
        <v>9</v>
      </c>
      <c r="G14" s="18">
        <v>30</v>
      </c>
      <c r="H14" s="22">
        <v>4.6543463381245722</v>
      </c>
      <c r="I14" s="22" t="s">
        <v>8</v>
      </c>
      <c r="J14" s="22" t="s">
        <v>8</v>
      </c>
      <c r="K14" s="22">
        <v>4.6433949349760439</v>
      </c>
      <c r="L14" s="22" t="s">
        <v>8</v>
      </c>
      <c r="M14" s="22" t="s">
        <v>8</v>
      </c>
      <c r="N14" s="22">
        <v>4.5557837097878169</v>
      </c>
      <c r="O14" s="22" t="s">
        <v>8</v>
      </c>
      <c r="P14" s="22" t="s">
        <v>8</v>
      </c>
      <c r="Q14" s="22" t="s">
        <v>8</v>
      </c>
      <c r="R14" s="22" t="s">
        <v>8</v>
      </c>
      <c r="S14" s="22" t="s">
        <v>8</v>
      </c>
      <c r="T14" s="30">
        <v>3</v>
      </c>
      <c r="U14" s="30">
        <v>14</v>
      </c>
      <c r="V14" s="20" t="s">
        <v>1</v>
      </c>
      <c r="W14" s="20">
        <v>5</v>
      </c>
      <c r="X14" s="20">
        <v>2</v>
      </c>
      <c r="Y14" s="5">
        <v>1</v>
      </c>
      <c r="Z14" s="24">
        <v>4</v>
      </c>
      <c r="AA14" s="23">
        <f t="shared" si="0"/>
        <v>1</v>
      </c>
      <c r="AB14" s="15">
        <v>1</v>
      </c>
      <c r="AC14" s="15">
        <v>1</v>
      </c>
      <c r="AD14" s="15">
        <v>1</v>
      </c>
      <c r="AE14" s="15">
        <v>1</v>
      </c>
      <c r="AF14" s="20">
        <v>24</v>
      </c>
      <c r="AG14" s="20">
        <v>5.75</v>
      </c>
      <c r="AH14" s="24">
        <v>24</v>
      </c>
      <c r="AI14" s="23">
        <f t="shared" si="1"/>
        <v>1</v>
      </c>
      <c r="AJ14" s="17">
        <v>12.75</v>
      </c>
      <c r="AK14" s="17">
        <v>13</v>
      </c>
      <c r="AL14" s="14">
        <v>25.75</v>
      </c>
      <c r="AM14" s="23" cm="1">
        <f t="array" ref="AM14">IF(OR(AN14:AZ14=""),"BLANK",IF(AND(AN14:AZ14&lt;9999999),1,IF(AND(AN14:AZ14="NA"),3,2)))</f>
        <v>1</v>
      </c>
      <c r="AN14" s="20">
        <v>9</v>
      </c>
      <c r="AO14" s="26">
        <v>2</v>
      </c>
      <c r="AP14" s="15">
        <v>3</v>
      </c>
      <c r="AQ14" s="15">
        <v>5.25</v>
      </c>
      <c r="AR14" s="15">
        <v>5.5</v>
      </c>
      <c r="AS14" s="26">
        <v>809.5</v>
      </c>
      <c r="AT14" s="26">
        <v>2474</v>
      </c>
      <c r="AU14" s="26">
        <v>10972</v>
      </c>
      <c r="AV14" s="26">
        <v>10012.25</v>
      </c>
      <c r="AW14" s="26">
        <v>0</v>
      </c>
      <c r="AX14" s="26">
        <v>0</v>
      </c>
      <c r="AY14" s="26">
        <v>0</v>
      </c>
      <c r="AZ14" s="26">
        <v>0</v>
      </c>
      <c r="BA14" s="23">
        <f t="shared" si="2"/>
        <v>1</v>
      </c>
      <c r="BB14" s="24">
        <v>41</v>
      </c>
    </row>
    <row r="15" spans="1:57" x14ac:dyDescent="0.2">
      <c r="A15" s="5">
        <v>141</v>
      </c>
      <c r="B15" s="20" t="s">
        <v>78</v>
      </c>
      <c r="C15" s="18" t="s">
        <v>55</v>
      </c>
      <c r="D15" s="18">
        <v>5</v>
      </c>
      <c r="E15" s="18">
        <v>0</v>
      </c>
      <c r="F15" s="18" t="s">
        <v>9</v>
      </c>
      <c r="G15" s="18">
        <v>28</v>
      </c>
      <c r="H15" s="22">
        <v>4.3093771389459272</v>
      </c>
      <c r="I15" s="22" t="s">
        <v>8</v>
      </c>
      <c r="J15" s="22" t="s">
        <v>8</v>
      </c>
      <c r="K15" s="22">
        <v>4.3696098562628336</v>
      </c>
      <c r="L15" s="22" t="s">
        <v>8</v>
      </c>
      <c r="M15" s="22" t="s">
        <v>8</v>
      </c>
      <c r="N15" s="22">
        <v>4.2710472279260783</v>
      </c>
      <c r="O15" s="22" t="s">
        <v>8</v>
      </c>
      <c r="P15" s="22" t="s">
        <v>8</v>
      </c>
      <c r="Q15" s="22" t="s">
        <v>8</v>
      </c>
      <c r="R15" s="22" t="s">
        <v>8</v>
      </c>
      <c r="S15" s="22" t="s">
        <v>8</v>
      </c>
      <c r="T15" s="30">
        <v>7</v>
      </c>
      <c r="U15" s="30">
        <v>21</v>
      </c>
      <c r="V15" s="20" t="s">
        <v>1</v>
      </c>
      <c r="W15" s="20">
        <v>5</v>
      </c>
      <c r="X15" s="20">
        <v>2</v>
      </c>
      <c r="Y15" s="5">
        <v>1</v>
      </c>
      <c r="Z15" s="24">
        <v>4</v>
      </c>
      <c r="AA15" s="23">
        <f t="shared" si="0"/>
        <v>1</v>
      </c>
      <c r="AB15" s="15">
        <v>0.875</v>
      </c>
      <c r="AC15" s="15">
        <v>1</v>
      </c>
      <c r="AD15" s="15">
        <v>0.25</v>
      </c>
      <c r="AE15" s="15">
        <v>0.70799999999999996</v>
      </c>
      <c r="AF15" s="20">
        <v>17</v>
      </c>
      <c r="AG15" s="20">
        <v>6.57</v>
      </c>
      <c r="AH15" s="24">
        <v>24</v>
      </c>
      <c r="AI15" s="23">
        <f t="shared" si="1"/>
        <v>1</v>
      </c>
      <c r="AJ15" s="17">
        <v>8</v>
      </c>
      <c r="AK15" s="17">
        <v>8.25</v>
      </c>
      <c r="AL15" s="14">
        <v>16.25</v>
      </c>
      <c r="AM15" s="23" cm="1">
        <f t="array" ref="AM15">IF(OR(AN15:AZ15=""),"BLANK",IF(AND(AN15:AZ15&lt;9999999),1,IF(AND(AN15:AZ15="NA"),3,2)))</f>
        <v>1</v>
      </c>
      <c r="AN15" s="20">
        <v>6</v>
      </c>
      <c r="AO15" s="26">
        <v>2</v>
      </c>
      <c r="AP15" s="15">
        <v>3.5</v>
      </c>
      <c r="AQ15" s="15">
        <v>4.75</v>
      </c>
      <c r="AR15" s="15">
        <v>8</v>
      </c>
      <c r="AS15" s="26">
        <v>0</v>
      </c>
      <c r="AT15" s="26">
        <v>4074.5</v>
      </c>
      <c r="AU15" s="26">
        <v>2954.75</v>
      </c>
      <c r="AV15" s="26">
        <v>6301.25</v>
      </c>
      <c r="AW15" s="26">
        <v>0</v>
      </c>
      <c r="AX15" s="26">
        <v>0</v>
      </c>
      <c r="AY15" s="26">
        <v>1155.5791666667001</v>
      </c>
      <c r="AZ15" s="26">
        <v>516.67142857140004</v>
      </c>
      <c r="BA15" s="23">
        <f t="shared" si="2"/>
        <v>1</v>
      </c>
      <c r="BB15" s="24">
        <v>38</v>
      </c>
    </row>
    <row r="16" spans="1:57" x14ac:dyDescent="0.2">
      <c r="A16" s="5">
        <v>146</v>
      </c>
      <c r="B16" s="20" t="s">
        <v>72</v>
      </c>
      <c r="C16" s="18" t="s">
        <v>54</v>
      </c>
      <c r="D16" s="18">
        <v>5</v>
      </c>
      <c r="E16" s="18">
        <v>0</v>
      </c>
      <c r="F16" s="18" t="s">
        <v>9</v>
      </c>
      <c r="G16" s="18">
        <v>29</v>
      </c>
      <c r="H16" s="22">
        <v>4.4435318275154003</v>
      </c>
      <c r="I16" s="22">
        <v>5.5687885010266944</v>
      </c>
      <c r="J16" s="22">
        <v>10.012320328542094</v>
      </c>
      <c r="K16" s="22">
        <v>4.4380561259411362</v>
      </c>
      <c r="L16" s="22">
        <v>5.6153319644079396</v>
      </c>
      <c r="M16" s="22">
        <v>10.053388090349076</v>
      </c>
      <c r="N16" s="22">
        <v>4.7008898015058183</v>
      </c>
      <c r="O16" s="22">
        <v>5.28952772073922</v>
      </c>
      <c r="P16" s="22">
        <v>9.9904175222450373</v>
      </c>
      <c r="Q16" s="22" t="s">
        <v>8</v>
      </c>
      <c r="R16" s="22" t="s">
        <v>8</v>
      </c>
      <c r="S16" s="22" t="s">
        <v>8</v>
      </c>
      <c r="T16" s="30">
        <v>4</v>
      </c>
      <c r="U16" s="30">
        <v>16</v>
      </c>
      <c r="V16" s="20" t="s">
        <v>1</v>
      </c>
      <c r="W16" s="20">
        <v>5</v>
      </c>
      <c r="X16" s="20">
        <v>2</v>
      </c>
      <c r="Y16" s="5">
        <v>1</v>
      </c>
      <c r="Z16" s="24">
        <v>4</v>
      </c>
      <c r="AA16" s="23">
        <f t="shared" si="0"/>
        <v>1</v>
      </c>
      <c r="AB16" s="15">
        <v>0.875</v>
      </c>
      <c r="AC16" s="15">
        <v>1</v>
      </c>
      <c r="AD16" s="15">
        <v>1</v>
      </c>
      <c r="AE16" s="15">
        <v>0.95799999999999996</v>
      </c>
      <c r="AF16" s="20">
        <v>23</v>
      </c>
      <c r="AG16" s="20">
        <v>11.18</v>
      </c>
      <c r="AH16" s="24">
        <v>24</v>
      </c>
      <c r="AI16" s="23">
        <f t="shared" si="1"/>
        <v>1</v>
      </c>
      <c r="AJ16" s="17">
        <v>11.25</v>
      </c>
      <c r="AK16" s="17">
        <v>14</v>
      </c>
      <c r="AL16" s="14">
        <v>25.25</v>
      </c>
      <c r="AM16" s="23" cm="1">
        <f t="array" ref="AM16">IF(OR(AN16:AZ16=""),"BLANK",IF(AND(AN16:AZ16&lt;9999999),1,IF(AND(AN16:AZ16="NA"),3,2)))</f>
        <v>1</v>
      </c>
      <c r="AN16" s="20">
        <v>7</v>
      </c>
      <c r="AO16" s="26">
        <v>2</v>
      </c>
      <c r="AP16" s="15">
        <v>3.5</v>
      </c>
      <c r="AQ16" s="15">
        <v>5.75</v>
      </c>
      <c r="AR16" s="15">
        <v>7.75</v>
      </c>
      <c r="AS16" s="26">
        <v>352</v>
      </c>
      <c r="AT16" s="26">
        <v>4896.5</v>
      </c>
      <c r="AU16" s="26">
        <v>6228</v>
      </c>
      <c r="AV16" s="26">
        <v>4008.25</v>
      </c>
      <c r="AW16" s="26">
        <v>0</v>
      </c>
      <c r="AX16" s="26">
        <v>0</v>
      </c>
      <c r="AY16" s="26">
        <v>879.32638888890006</v>
      </c>
      <c r="AZ16" s="26">
        <v>559.08194444440005</v>
      </c>
      <c r="BA16" s="23">
        <f t="shared" si="2"/>
        <v>1</v>
      </c>
      <c r="BB16" s="24">
        <v>40</v>
      </c>
    </row>
    <row r="17" spans="1:54" x14ac:dyDescent="0.2">
      <c r="A17" s="5">
        <v>147</v>
      </c>
      <c r="B17" s="20" t="s">
        <v>62</v>
      </c>
      <c r="C17" s="18" t="s">
        <v>54</v>
      </c>
      <c r="D17" s="18">
        <v>5</v>
      </c>
      <c r="E17" s="18">
        <v>0</v>
      </c>
      <c r="F17" s="18" t="s">
        <v>9</v>
      </c>
      <c r="G17" s="18">
        <v>30</v>
      </c>
      <c r="H17" s="22">
        <v>4.5804243668720055</v>
      </c>
      <c r="I17" s="22">
        <v>5.8453114305270359</v>
      </c>
      <c r="J17" s="22">
        <v>10.425735797399042</v>
      </c>
      <c r="K17" s="22">
        <v>4.5804243668720055</v>
      </c>
      <c r="L17" s="22">
        <v>5.8453114305270359</v>
      </c>
      <c r="M17" s="22">
        <v>10.425735797399042</v>
      </c>
      <c r="N17" s="22">
        <v>4.0821355236139629</v>
      </c>
      <c r="O17" s="22">
        <v>5.6837782340862422</v>
      </c>
      <c r="P17" s="22">
        <v>9.765913757700206</v>
      </c>
      <c r="Q17" s="22" t="s">
        <v>8</v>
      </c>
      <c r="R17" s="22" t="s">
        <v>8</v>
      </c>
      <c r="S17" s="22" t="s">
        <v>8</v>
      </c>
      <c r="T17" s="30">
        <v>7</v>
      </c>
      <c r="U17" s="30">
        <v>21</v>
      </c>
      <c r="V17" s="20" t="s">
        <v>1</v>
      </c>
      <c r="W17" s="20">
        <v>5</v>
      </c>
      <c r="X17" s="20">
        <v>2</v>
      </c>
      <c r="Y17" s="5">
        <v>1</v>
      </c>
      <c r="Z17" s="24">
        <v>4</v>
      </c>
      <c r="AA17" s="23">
        <f t="shared" si="0"/>
        <v>1</v>
      </c>
      <c r="AB17" s="15">
        <v>1</v>
      </c>
      <c r="AC17" s="15">
        <v>1</v>
      </c>
      <c r="AD17" s="15">
        <v>0.875</v>
      </c>
      <c r="AE17" s="15">
        <v>0.95799999999999996</v>
      </c>
      <c r="AF17" s="20">
        <v>23</v>
      </c>
      <c r="AG17" s="20">
        <v>5.45</v>
      </c>
      <c r="AH17" s="24">
        <v>24</v>
      </c>
      <c r="AI17" s="23">
        <f t="shared" si="1"/>
        <v>1</v>
      </c>
      <c r="AJ17" s="17">
        <v>11.75</v>
      </c>
      <c r="AK17" s="17">
        <v>11.75</v>
      </c>
      <c r="AL17" s="14">
        <v>23.5</v>
      </c>
      <c r="AM17" s="23" cm="1">
        <f t="array" ref="AM17">IF(OR(AN17:AZ17=""),"BLANK",IF(AND(AN17:AZ17&lt;9999999),1,IF(AND(AN17:AZ17="NA"),3,2)))</f>
        <v>1</v>
      </c>
      <c r="AN17" s="20">
        <v>8</v>
      </c>
      <c r="AO17" s="26">
        <v>2</v>
      </c>
      <c r="AP17" s="15">
        <v>3</v>
      </c>
      <c r="AQ17" s="15">
        <v>5.75</v>
      </c>
      <c r="AR17" s="15">
        <v>8</v>
      </c>
      <c r="AS17" s="26">
        <v>527</v>
      </c>
      <c r="AT17" s="26">
        <v>7843</v>
      </c>
      <c r="AU17" s="26">
        <v>11878</v>
      </c>
      <c r="AV17" s="26">
        <v>13339.75</v>
      </c>
      <c r="AW17" s="26">
        <v>78.25</v>
      </c>
      <c r="AX17" s="26">
        <v>0</v>
      </c>
      <c r="AY17" s="26">
        <v>2600.2152777778001</v>
      </c>
      <c r="AZ17" s="26">
        <v>7250.5833333333003</v>
      </c>
      <c r="BA17" s="23">
        <f t="shared" si="2"/>
        <v>1</v>
      </c>
      <c r="BB17" s="24">
        <v>40</v>
      </c>
    </row>
    <row r="18" spans="1:54" x14ac:dyDescent="0.2">
      <c r="A18" s="5">
        <v>149</v>
      </c>
      <c r="B18" s="20" t="s">
        <v>63</v>
      </c>
      <c r="C18" s="18" t="s">
        <v>54</v>
      </c>
      <c r="D18" s="18">
        <v>5</v>
      </c>
      <c r="E18" s="18">
        <v>0</v>
      </c>
      <c r="F18" s="18" t="s">
        <v>9</v>
      </c>
      <c r="G18" s="18">
        <v>30</v>
      </c>
      <c r="H18" s="22">
        <v>4.3394934976043809</v>
      </c>
      <c r="I18" s="22">
        <v>5.9000684462696782</v>
      </c>
      <c r="J18" s="22">
        <v>10.239561943874058</v>
      </c>
      <c r="K18" s="22">
        <v>4.4161533196440796</v>
      </c>
      <c r="L18" s="22">
        <v>5.8836413415468858</v>
      </c>
      <c r="M18" s="22">
        <v>10.299794661190965</v>
      </c>
      <c r="N18" s="22">
        <v>4.2190280629705681</v>
      </c>
      <c r="O18" s="22">
        <v>5.5660506502395624</v>
      </c>
      <c r="P18" s="22">
        <v>9.7850787132101296</v>
      </c>
      <c r="Q18" s="22" t="s">
        <v>8</v>
      </c>
      <c r="R18" s="22" t="s">
        <v>8</v>
      </c>
      <c r="S18" s="22" t="s">
        <v>8</v>
      </c>
      <c r="T18" s="30">
        <v>6</v>
      </c>
      <c r="U18" s="30">
        <v>18</v>
      </c>
      <c r="V18" s="20" t="s">
        <v>1</v>
      </c>
      <c r="W18" s="20">
        <v>5</v>
      </c>
      <c r="X18" s="20">
        <v>2</v>
      </c>
      <c r="Y18" s="5">
        <v>1</v>
      </c>
      <c r="Z18" s="24">
        <v>4</v>
      </c>
      <c r="AA18" s="23">
        <f t="shared" si="0"/>
        <v>2</v>
      </c>
      <c r="AB18" s="15">
        <v>1</v>
      </c>
      <c r="AC18" s="15">
        <v>1</v>
      </c>
      <c r="AD18" s="15">
        <v>1</v>
      </c>
      <c r="AE18" s="15">
        <v>1</v>
      </c>
      <c r="AF18" s="20">
        <v>22</v>
      </c>
      <c r="AG18" s="20" t="s">
        <v>8</v>
      </c>
      <c r="AH18" s="24">
        <v>22</v>
      </c>
      <c r="AI18" s="23">
        <f t="shared" si="1"/>
        <v>1</v>
      </c>
      <c r="AJ18" s="17">
        <v>6.5</v>
      </c>
      <c r="AK18" s="17">
        <v>6.5</v>
      </c>
      <c r="AL18" s="14">
        <v>13</v>
      </c>
      <c r="AM18" s="23" cm="1">
        <f t="array" ref="AM18">IF(OR(AN18:AZ18=""),"BLANK",IF(AND(AN18:AZ18&lt;9999999),1,IF(AND(AN18:AZ18="NA"),3,2)))</f>
        <v>1</v>
      </c>
      <c r="AN18" s="20">
        <v>9</v>
      </c>
      <c r="AO18" s="26">
        <v>2</v>
      </c>
      <c r="AP18" s="15">
        <v>4</v>
      </c>
      <c r="AQ18" s="15">
        <v>4.25</v>
      </c>
      <c r="AR18" s="15">
        <v>6.5</v>
      </c>
      <c r="AS18" s="26">
        <v>647.5</v>
      </c>
      <c r="AT18" s="26">
        <v>8850.5</v>
      </c>
      <c r="AU18" s="26">
        <v>6654.25</v>
      </c>
      <c r="AV18" s="26">
        <v>4728.25</v>
      </c>
      <c r="AW18" s="26">
        <v>0</v>
      </c>
      <c r="AX18" s="26">
        <v>635.9</v>
      </c>
      <c r="AY18" s="26">
        <v>0</v>
      </c>
      <c r="AZ18" s="26">
        <v>4059.1545454544998</v>
      </c>
      <c r="BA18" s="23">
        <f t="shared" si="2"/>
        <v>1</v>
      </c>
      <c r="BB18" s="24">
        <v>37</v>
      </c>
    </row>
    <row r="19" spans="1:54" x14ac:dyDescent="0.2">
      <c r="A19" s="5">
        <v>158</v>
      </c>
      <c r="B19" s="20" t="s">
        <v>63</v>
      </c>
      <c r="C19" s="18" t="s">
        <v>54</v>
      </c>
      <c r="D19" s="18">
        <v>5</v>
      </c>
      <c r="E19" s="18">
        <v>0</v>
      </c>
      <c r="F19" s="18" t="s">
        <v>9</v>
      </c>
      <c r="G19" s="18">
        <v>30</v>
      </c>
      <c r="H19" s="22">
        <v>4.5694729637234772</v>
      </c>
      <c r="I19" s="22" t="s">
        <v>8</v>
      </c>
      <c r="J19" s="22" t="s">
        <v>8</v>
      </c>
      <c r="K19" s="22">
        <v>4.5667351129363452</v>
      </c>
      <c r="L19" s="22" t="s">
        <v>8</v>
      </c>
      <c r="M19" s="22" t="s">
        <v>8</v>
      </c>
      <c r="N19" s="22">
        <v>4.5119780971937029</v>
      </c>
      <c r="O19" s="22">
        <v>6.0725530458590002</v>
      </c>
      <c r="P19" s="22">
        <v>10.584531143052704</v>
      </c>
      <c r="Q19" s="22" t="s">
        <v>8</v>
      </c>
      <c r="R19" s="22" t="s">
        <v>8</v>
      </c>
      <c r="S19" s="22" t="s">
        <v>8</v>
      </c>
      <c r="T19" s="30">
        <v>3</v>
      </c>
      <c r="U19" s="30">
        <v>14</v>
      </c>
      <c r="V19" s="20" t="s">
        <v>1</v>
      </c>
      <c r="W19" s="20">
        <v>5</v>
      </c>
      <c r="X19" s="20">
        <v>2</v>
      </c>
      <c r="Y19" s="5">
        <v>1</v>
      </c>
      <c r="Z19" s="24">
        <v>4</v>
      </c>
      <c r="AA19" s="23">
        <f t="shared" si="0"/>
        <v>1</v>
      </c>
      <c r="AB19" s="15">
        <v>1</v>
      </c>
      <c r="AC19" s="15">
        <v>0.625</v>
      </c>
      <c r="AD19" s="15">
        <v>0.625</v>
      </c>
      <c r="AE19" s="15">
        <v>0.75</v>
      </c>
      <c r="AF19" s="20">
        <v>18</v>
      </c>
      <c r="AG19" s="20">
        <v>1.45</v>
      </c>
      <c r="AH19" s="24">
        <v>24</v>
      </c>
      <c r="AI19" s="23">
        <f t="shared" si="1"/>
        <v>1</v>
      </c>
      <c r="AJ19" s="17">
        <v>4.5</v>
      </c>
      <c r="AK19" s="17">
        <v>1.75</v>
      </c>
      <c r="AL19" s="14">
        <v>6.25</v>
      </c>
      <c r="AM19" s="23" cm="1">
        <f t="array" ref="AM19">IF(OR(AN19:AZ19=""),"BLANK",IF(AND(AN19:AZ19&lt;9999999),1,IF(AND(AN19:AZ19="NA"),3,2)))</f>
        <v>1</v>
      </c>
      <c r="AN19" s="20">
        <v>6</v>
      </c>
      <c r="AO19" s="26">
        <v>2</v>
      </c>
      <c r="AP19" s="15">
        <v>3</v>
      </c>
      <c r="AQ19" s="15">
        <v>6</v>
      </c>
      <c r="AR19" s="15">
        <v>7.25</v>
      </c>
      <c r="AS19" s="26">
        <v>3879</v>
      </c>
      <c r="AT19" s="26">
        <v>33824.5</v>
      </c>
      <c r="AU19" s="26">
        <v>20434.75</v>
      </c>
      <c r="AV19" s="26">
        <v>30590.5</v>
      </c>
      <c r="AW19" s="26">
        <v>0</v>
      </c>
      <c r="AX19" s="26">
        <v>0</v>
      </c>
      <c r="AY19" s="26">
        <v>8727.25</v>
      </c>
      <c r="AZ19" s="26">
        <v>10587.2545454545</v>
      </c>
      <c r="BA19" s="23">
        <f t="shared" si="2"/>
        <v>1</v>
      </c>
      <c r="BB19" s="24">
        <v>34</v>
      </c>
    </row>
    <row r="20" spans="1:54" x14ac:dyDescent="0.2">
      <c r="A20" s="5">
        <v>159</v>
      </c>
      <c r="B20" s="20" t="s">
        <v>65</v>
      </c>
      <c r="C20" s="18" t="s">
        <v>55</v>
      </c>
      <c r="D20" s="18">
        <v>5</v>
      </c>
      <c r="E20" s="18">
        <v>0</v>
      </c>
      <c r="F20" s="18" t="s">
        <v>9</v>
      </c>
      <c r="G20" s="18">
        <v>30</v>
      </c>
      <c r="H20" s="22">
        <v>4.5804243668720055</v>
      </c>
      <c r="I20" s="22" t="s">
        <v>8</v>
      </c>
      <c r="J20" s="22" t="s">
        <v>8</v>
      </c>
      <c r="K20" s="22">
        <v>4.5393566050650236</v>
      </c>
      <c r="L20" s="22" t="s">
        <v>8</v>
      </c>
      <c r="M20" s="22" t="s">
        <v>8</v>
      </c>
      <c r="N20" s="22">
        <v>4.5557837097878169</v>
      </c>
      <c r="O20" s="22" t="s">
        <v>8</v>
      </c>
      <c r="P20" s="22" t="s">
        <v>8</v>
      </c>
      <c r="Q20" s="22" t="s">
        <v>8</v>
      </c>
      <c r="R20" s="22" t="s">
        <v>8</v>
      </c>
      <c r="S20" s="22" t="s">
        <v>8</v>
      </c>
      <c r="T20" s="30">
        <v>4</v>
      </c>
      <c r="U20" s="30">
        <v>16</v>
      </c>
      <c r="V20" s="20" t="s">
        <v>1</v>
      </c>
      <c r="W20" s="20">
        <v>5</v>
      </c>
      <c r="X20" s="20">
        <v>2</v>
      </c>
      <c r="Y20" s="5">
        <v>1</v>
      </c>
      <c r="Z20" s="24">
        <v>4</v>
      </c>
      <c r="AA20" s="23">
        <f t="shared" si="0"/>
        <v>1</v>
      </c>
      <c r="AB20" s="15">
        <v>1</v>
      </c>
      <c r="AC20" s="15">
        <v>0.875</v>
      </c>
      <c r="AD20" s="15">
        <v>0.75</v>
      </c>
      <c r="AE20" s="15">
        <v>0.875</v>
      </c>
      <c r="AF20" s="20">
        <v>21</v>
      </c>
      <c r="AG20" s="20">
        <v>2.0699999999999998</v>
      </c>
      <c r="AH20" s="24">
        <v>24</v>
      </c>
      <c r="AI20" s="23">
        <f t="shared" si="1"/>
        <v>1</v>
      </c>
      <c r="AJ20" s="17">
        <v>12</v>
      </c>
      <c r="AK20" s="17">
        <v>9</v>
      </c>
      <c r="AL20" s="14">
        <v>21</v>
      </c>
      <c r="AM20" s="23" cm="1">
        <f t="array" ref="AM20">IF(OR(AN20:AZ20=""),"BLANK",IF(AND(AN20:AZ20&lt;9999999),1,IF(AND(AN20:AZ20="NA"),3,2)))</f>
        <v>1</v>
      </c>
      <c r="AN20" s="20">
        <v>12</v>
      </c>
      <c r="AO20" s="26">
        <v>2</v>
      </c>
      <c r="AP20" s="15">
        <v>3</v>
      </c>
      <c r="AQ20" s="15">
        <v>4</v>
      </c>
      <c r="AR20" s="15">
        <v>5</v>
      </c>
      <c r="AS20" s="26">
        <v>3215</v>
      </c>
      <c r="AT20" s="26">
        <v>6103</v>
      </c>
      <c r="AU20" s="26">
        <v>11412.5</v>
      </c>
      <c r="AV20" s="26">
        <v>15956.25</v>
      </c>
      <c r="AW20" s="26">
        <v>0</v>
      </c>
      <c r="AX20" s="26">
        <v>0</v>
      </c>
      <c r="AY20" s="26">
        <v>0</v>
      </c>
      <c r="AZ20" s="26">
        <v>0</v>
      </c>
      <c r="BA20" s="23">
        <f t="shared" si="2"/>
        <v>1</v>
      </c>
      <c r="BB20" s="24">
        <v>42</v>
      </c>
    </row>
    <row r="21" spans="1:54" x14ac:dyDescent="0.2">
      <c r="A21" s="5">
        <v>162</v>
      </c>
      <c r="B21" s="20" t="s">
        <v>77</v>
      </c>
      <c r="C21" s="18" t="s">
        <v>55</v>
      </c>
      <c r="D21" s="18">
        <v>5</v>
      </c>
      <c r="E21" s="18">
        <v>0</v>
      </c>
      <c r="F21" s="18" t="s">
        <v>9</v>
      </c>
      <c r="G21" s="18">
        <v>29</v>
      </c>
      <c r="H21" s="22">
        <v>4.2299794661190964</v>
      </c>
      <c r="I21" s="22" t="s">
        <v>8</v>
      </c>
      <c r="J21" s="22" t="s">
        <v>8</v>
      </c>
      <c r="K21" s="22">
        <v>4.3531827515400412</v>
      </c>
      <c r="L21" s="22" t="s">
        <v>8</v>
      </c>
      <c r="M21" s="22" t="s">
        <v>8</v>
      </c>
      <c r="N21" s="22">
        <v>4.2108145106091719</v>
      </c>
      <c r="O21" s="22">
        <v>5.6180698151950716</v>
      </c>
      <c r="P21" s="22">
        <v>9.8288843258042444</v>
      </c>
      <c r="Q21" s="22" t="s">
        <v>8</v>
      </c>
      <c r="R21" s="22" t="s">
        <v>8</v>
      </c>
      <c r="S21" s="22" t="s">
        <v>8</v>
      </c>
      <c r="T21" s="30">
        <v>3</v>
      </c>
      <c r="U21" s="30">
        <v>14</v>
      </c>
      <c r="V21" s="20" t="s">
        <v>1</v>
      </c>
      <c r="W21" s="20">
        <v>5</v>
      </c>
      <c r="X21" s="20">
        <v>2</v>
      </c>
      <c r="Y21" s="5">
        <v>1</v>
      </c>
      <c r="Z21" s="24">
        <v>4</v>
      </c>
      <c r="AA21" s="23">
        <f t="shared" si="0"/>
        <v>2</v>
      </c>
      <c r="AB21" s="15">
        <v>1</v>
      </c>
      <c r="AC21" s="15">
        <v>0.875</v>
      </c>
      <c r="AD21" s="15">
        <v>0.7142857142857143</v>
      </c>
      <c r="AE21" s="15">
        <v>0.87</v>
      </c>
      <c r="AF21" s="20">
        <v>20</v>
      </c>
      <c r="AG21" s="20" t="s">
        <v>8</v>
      </c>
      <c r="AH21" s="24">
        <v>23</v>
      </c>
      <c r="AI21" s="23">
        <f t="shared" si="1"/>
        <v>1</v>
      </c>
      <c r="AJ21" s="17">
        <v>8.5</v>
      </c>
      <c r="AK21" s="17">
        <v>8.75</v>
      </c>
      <c r="AL21" s="14">
        <v>17.25</v>
      </c>
      <c r="AM21" s="23" cm="1">
        <f t="array" ref="AM21">IF(OR(AN21:AZ21=""),"BLANK",IF(AND(AN21:AZ21&lt;9999999),1,IF(AND(AN21:AZ21="NA"),3,2)))</f>
        <v>1</v>
      </c>
      <c r="AN21" s="20">
        <v>10</v>
      </c>
      <c r="AO21" s="26">
        <v>2</v>
      </c>
      <c r="AP21" s="15">
        <v>3</v>
      </c>
      <c r="AQ21" s="15">
        <v>5.25</v>
      </c>
      <c r="AR21" s="15">
        <v>5.25</v>
      </c>
      <c r="AS21" s="26">
        <v>3647.5</v>
      </c>
      <c r="AT21" s="26">
        <v>7163</v>
      </c>
      <c r="AU21" s="26">
        <v>15816.75</v>
      </c>
      <c r="AV21" s="26">
        <v>11170.75</v>
      </c>
      <c r="AW21" s="26">
        <v>0</v>
      </c>
      <c r="AX21" s="26">
        <v>0</v>
      </c>
      <c r="AY21" s="26">
        <v>3907.4097222221999</v>
      </c>
      <c r="AZ21" s="26">
        <v>0</v>
      </c>
      <c r="BA21" s="23">
        <f t="shared" si="2"/>
        <v>1</v>
      </c>
      <c r="BB21" s="24">
        <v>40</v>
      </c>
    </row>
    <row r="22" spans="1:54" x14ac:dyDescent="0.2">
      <c r="A22" s="5">
        <v>163</v>
      </c>
      <c r="B22" s="20" t="s">
        <v>66</v>
      </c>
      <c r="C22" s="18" t="s">
        <v>54</v>
      </c>
      <c r="D22" s="18">
        <v>5</v>
      </c>
      <c r="E22" s="18">
        <v>0</v>
      </c>
      <c r="F22" s="18" t="s">
        <v>9</v>
      </c>
      <c r="G22" s="18">
        <v>30</v>
      </c>
      <c r="H22" s="22">
        <v>4.2902121834360027</v>
      </c>
      <c r="I22" s="22" t="s">
        <v>8</v>
      </c>
      <c r="J22" s="22" t="s">
        <v>8</v>
      </c>
      <c r="K22" s="22">
        <v>4.2902121834360027</v>
      </c>
      <c r="L22" s="22" t="s">
        <v>8</v>
      </c>
      <c r="M22" s="22" t="s">
        <v>8</v>
      </c>
      <c r="N22" s="22">
        <v>4.2573579739904179</v>
      </c>
      <c r="O22" s="22">
        <v>5.4647501711156741</v>
      </c>
      <c r="P22" s="22">
        <v>9.7221081451060911</v>
      </c>
      <c r="Q22" s="22" t="s">
        <v>8</v>
      </c>
      <c r="R22" s="22" t="s">
        <v>8</v>
      </c>
      <c r="S22" s="22" t="s">
        <v>8</v>
      </c>
      <c r="T22" s="30">
        <v>3</v>
      </c>
      <c r="U22" s="30">
        <v>14</v>
      </c>
      <c r="V22" s="20" t="s">
        <v>1</v>
      </c>
      <c r="W22" s="20">
        <v>5</v>
      </c>
      <c r="X22" s="20">
        <v>2</v>
      </c>
      <c r="Y22" s="5">
        <v>1</v>
      </c>
      <c r="Z22" s="24">
        <v>4</v>
      </c>
      <c r="AA22" s="23">
        <f t="shared" si="0"/>
        <v>1</v>
      </c>
      <c r="AB22" s="15">
        <v>1</v>
      </c>
      <c r="AC22" s="15">
        <v>0.75</v>
      </c>
      <c r="AD22" s="15">
        <v>0.875</v>
      </c>
      <c r="AE22" s="15">
        <v>0.875</v>
      </c>
      <c r="AF22" s="20">
        <v>21</v>
      </c>
      <c r="AG22" s="20">
        <v>2.72</v>
      </c>
      <c r="AH22" s="24">
        <v>24</v>
      </c>
      <c r="AI22" s="23">
        <f t="shared" si="1"/>
        <v>1</v>
      </c>
      <c r="AJ22" s="17">
        <v>11.75</v>
      </c>
      <c r="AK22" s="17">
        <v>13</v>
      </c>
      <c r="AL22" s="14">
        <v>24.75</v>
      </c>
      <c r="AM22" s="23" cm="1">
        <f t="array" ref="AM22">IF(OR(AN22:AZ22=""),"BLANK",IF(AND(AN22:AZ22&lt;9999999),1,IF(AND(AN22:AZ22="NA"),3,2)))</f>
        <v>1</v>
      </c>
      <c r="AN22" s="20">
        <v>10</v>
      </c>
      <c r="AO22" s="26">
        <v>2</v>
      </c>
      <c r="AP22" s="15">
        <v>3</v>
      </c>
      <c r="AQ22" s="15">
        <v>4.5</v>
      </c>
      <c r="AR22" s="15">
        <v>6</v>
      </c>
      <c r="AS22" s="26">
        <v>3248.5</v>
      </c>
      <c r="AT22" s="26">
        <v>9681</v>
      </c>
      <c r="AU22" s="26">
        <v>13135.25</v>
      </c>
      <c r="AV22" s="26">
        <v>16747.25</v>
      </c>
      <c r="AW22" s="26">
        <v>0</v>
      </c>
      <c r="AX22" s="26">
        <v>0</v>
      </c>
      <c r="AY22" s="26">
        <v>524.02083333329995</v>
      </c>
      <c r="AZ22" s="26">
        <v>5444.0055555556</v>
      </c>
      <c r="BA22" s="23">
        <f t="shared" si="2"/>
        <v>1</v>
      </c>
      <c r="BB22" s="24">
        <v>42</v>
      </c>
    </row>
    <row r="23" spans="1:54" x14ac:dyDescent="0.2">
      <c r="A23" s="5">
        <v>164</v>
      </c>
      <c r="B23" s="20" t="s">
        <v>62</v>
      </c>
      <c r="C23" s="18" t="s">
        <v>55</v>
      </c>
      <c r="D23" s="18">
        <v>5</v>
      </c>
      <c r="E23" s="18">
        <v>0</v>
      </c>
      <c r="F23" s="18" t="s">
        <v>9</v>
      </c>
      <c r="G23" s="18">
        <v>30</v>
      </c>
      <c r="H23" s="22">
        <v>4.3230663928815876</v>
      </c>
      <c r="I23" s="22" t="s">
        <v>8</v>
      </c>
      <c r="J23" s="22" t="s">
        <v>8</v>
      </c>
      <c r="K23" s="22">
        <v>4.3175906913073234</v>
      </c>
      <c r="L23" s="22" t="s">
        <v>8</v>
      </c>
      <c r="M23" s="22" t="s">
        <v>8</v>
      </c>
      <c r="N23" s="22">
        <v>4.344969199178645</v>
      </c>
      <c r="O23" s="22" t="s">
        <v>8</v>
      </c>
      <c r="P23" s="22" t="s">
        <v>8</v>
      </c>
      <c r="Q23" s="22" t="s">
        <v>8</v>
      </c>
      <c r="R23" s="22" t="s">
        <v>8</v>
      </c>
      <c r="S23" s="22" t="s">
        <v>8</v>
      </c>
      <c r="T23" s="30">
        <v>4</v>
      </c>
      <c r="U23" s="30">
        <v>16</v>
      </c>
      <c r="V23" s="20" t="s">
        <v>1</v>
      </c>
      <c r="W23" s="20">
        <v>5</v>
      </c>
      <c r="X23" s="20">
        <v>2</v>
      </c>
      <c r="Y23" s="5">
        <v>1</v>
      </c>
      <c r="Z23" s="24">
        <v>4</v>
      </c>
      <c r="AA23" s="23">
        <f t="shared" si="0"/>
        <v>1</v>
      </c>
      <c r="AB23" s="15">
        <v>1</v>
      </c>
      <c r="AC23" s="15">
        <v>0.875</v>
      </c>
      <c r="AD23" s="15">
        <v>0.75</v>
      </c>
      <c r="AE23" s="15">
        <v>0.875</v>
      </c>
      <c r="AF23" s="20">
        <v>21</v>
      </c>
      <c r="AG23" s="20">
        <v>8.7200000000000006</v>
      </c>
      <c r="AH23" s="24">
        <v>24</v>
      </c>
      <c r="AI23" s="23">
        <f t="shared" si="1"/>
        <v>1</v>
      </c>
      <c r="AJ23" s="17">
        <v>9.75</v>
      </c>
      <c r="AK23" s="17">
        <v>9</v>
      </c>
      <c r="AL23" s="14">
        <v>18.75</v>
      </c>
      <c r="AM23" s="23" cm="1">
        <f t="array" ref="AM23">IF(OR(AN23:AZ23=""),"BLANK",IF(AND(AN23:AZ23&lt;9999999),1,IF(AND(AN23:AZ23="NA"),3,2)))</f>
        <v>1</v>
      </c>
      <c r="AN23" s="20">
        <v>6</v>
      </c>
      <c r="AO23" s="26">
        <v>2</v>
      </c>
      <c r="AP23" s="15">
        <v>5</v>
      </c>
      <c r="AQ23" s="15">
        <v>6</v>
      </c>
      <c r="AR23" s="15">
        <v>7</v>
      </c>
      <c r="AS23" s="26">
        <v>457</v>
      </c>
      <c r="AT23" s="26">
        <v>6187.5</v>
      </c>
      <c r="AU23" s="26">
        <v>5590.75</v>
      </c>
      <c r="AV23" s="26">
        <v>5401.5</v>
      </c>
      <c r="AW23" s="26">
        <v>383.5</v>
      </c>
      <c r="AX23" s="26">
        <v>926</v>
      </c>
      <c r="AY23" s="26">
        <v>1268.6349206349</v>
      </c>
      <c r="AZ23" s="26">
        <v>520.40833333329999</v>
      </c>
      <c r="BA23" s="23">
        <f t="shared" si="2"/>
        <v>1</v>
      </c>
      <c r="BB23" s="24">
        <v>39</v>
      </c>
    </row>
    <row r="24" spans="1:54" x14ac:dyDescent="0.2">
      <c r="A24" s="5">
        <v>169</v>
      </c>
      <c r="B24" s="20" t="s">
        <v>70</v>
      </c>
      <c r="C24" s="18" t="s">
        <v>54</v>
      </c>
      <c r="D24" s="18">
        <v>5</v>
      </c>
      <c r="E24" s="18">
        <v>0</v>
      </c>
      <c r="F24" s="18" t="s">
        <v>9</v>
      </c>
      <c r="G24" s="18">
        <v>29</v>
      </c>
      <c r="H24" s="22">
        <v>4.16974674880219</v>
      </c>
      <c r="I24" s="22">
        <v>5.4921286789869956</v>
      </c>
      <c r="J24" s="22">
        <v>9.6618754277891856</v>
      </c>
      <c r="K24" s="22">
        <v>4.16974674880219</v>
      </c>
      <c r="L24" s="22">
        <v>5.4921286789869956</v>
      </c>
      <c r="M24" s="22">
        <v>9.6618754277891856</v>
      </c>
      <c r="N24" s="22">
        <v>4.043805612594114</v>
      </c>
      <c r="O24" s="22">
        <v>5.2621492128678984</v>
      </c>
      <c r="P24" s="22">
        <v>9.3059548254620115</v>
      </c>
      <c r="Q24" s="22">
        <v>3.353867214236824</v>
      </c>
      <c r="R24" s="22">
        <v>6.2422997946611911</v>
      </c>
      <c r="S24" s="22">
        <v>9.5961670088980142</v>
      </c>
      <c r="T24" s="30">
        <v>4</v>
      </c>
      <c r="U24" s="30">
        <v>16</v>
      </c>
      <c r="V24" s="20" t="s">
        <v>1</v>
      </c>
      <c r="W24" s="20">
        <v>5</v>
      </c>
      <c r="X24" s="20">
        <v>2</v>
      </c>
      <c r="Y24" s="5">
        <v>1</v>
      </c>
      <c r="Z24" s="24">
        <v>4</v>
      </c>
      <c r="AA24" s="23">
        <f t="shared" si="0"/>
        <v>1</v>
      </c>
      <c r="AB24" s="15">
        <v>1</v>
      </c>
      <c r="AC24" s="15">
        <v>1</v>
      </c>
      <c r="AD24" s="15">
        <v>0.875</v>
      </c>
      <c r="AE24" s="15">
        <v>0.95799999999999996</v>
      </c>
      <c r="AF24" s="20">
        <v>23</v>
      </c>
      <c r="AG24" s="20">
        <v>6.13</v>
      </c>
      <c r="AH24" s="24">
        <v>24</v>
      </c>
      <c r="AI24" s="23">
        <f t="shared" si="1"/>
        <v>1</v>
      </c>
      <c r="AJ24" s="17">
        <v>8.75</v>
      </c>
      <c r="AK24" s="17">
        <v>9.75</v>
      </c>
      <c r="AL24" s="14">
        <v>18.5</v>
      </c>
      <c r="AM24" s="23" cm="1">
        <f t="array" ref="AM24">IF(OR(AN24:AZ24=""),"BLANK",IF(AND(AN24:AZ24&lt;9999999),1,IF(AND(AN24:AZ24="NA"),3,2)))</f>
        <v>1</v>
      </c>
      <c r="AN24" s="20">
        <v>12</v>
      </c>
      <c r="AO24" s="26">
        <v>2</v>
      </c>
      <c r="AP24" s="15">
        <v>3</v>
      </c>
      <c r="AQ24" s="15">
        <v>4</v>
      </c>
      <c r="AR24" s="15">
        <v>5</v>
      </c>
      <c r="AS24" s="26">
        <v>2299.5</v>
      </c>
      <c r="AT24" s="26">
        <v>4153</v>
      </c>
      <c r="AU24" s="26">
        <v>10995</v>
      </c>
      <c r="AV24" s="26">
        <v>11676.25</v>
      </c>
      <c r="AW24" s="26">
        <v>0</v>
      </c>
      <c r="AX24" s="26">
        <v>0</v>
      </c>
      <c r="AY24" s="26">
        <v>0</v>
      </c>
      <c r="AZ24" s="26">
        <v>0</v>
      </c>
      <c r="BA24" s="23">
        <f t="shared" si="2"/>
        <v>1</v>
      </c>
      <c r="BB24" s="24">
        <v>41</v>
      </c>
    </row>
    <row r="25" spans="1:54" x14ac:dyDescent="0.2">
      <c r="A25" s="5">
        <v>174</v>
      </c>
      <c r="B25" s="20" t="s">
        <v>62</v>
      </c>
      <c r="C25" s="18" t="s">
        <v>55</v>
      </c>
      <c r="D25" s="18">
        <v>5</v>
      </c>
      <c r="E25" s="18">
        <v>0</v>
      </c>
      <c r="F25" s="18" t="s">
        <v>9</v>
      </c>
      <c r="G25" s="18">
        <v>30</v>
      </c>
      <c r="H25" s="22">
        <v>4.216290212183436</v>
      </c>
      <c r="I25" s="22">
        <v>5.9575633127994525</v>
      </c>
      <c r="J25" s="22">
        <v>10.173853524982889</v>
      </c>
      <c r="K25" s="22">
        <v>4.2737850787132103</v>
      </c>
      <c r="L25" s="22">
        <v>5.8973305954825461</v>
      </c>
      <c r="M25" s="22">
        <v>10.171115674195756</v>
      </c>
      <c r="N25" s="22">
        <v>4.2245037645448322</v>
      </c>
      <c r="O25" s="22">
        <v>5.6399726214921291</v>
      </c>
      <c r="P25" s="22">
        <v>9.8644763860369604</v>
      </c>
      <c r="Q25" s="22" t="s">
        <v>8</v>
      </c>
      <c r="R25" s="22" t="s">
        <v>8</v>
      </c>
      <c r="S25" s="22" t="s">
        <v>8</v>
      </c>
      <c r="T25" s="30">
        <v>4</v>
      </c>
      <c r="U25" s="30">
        <v>16</v>
      </c>
      <c r="V25" s="20" t="s">
        <v>1</v>
      </c>
      <c r="W25" s="20">
        <v>5</v>
      </c>
      <c r="X25" s="20">
        <v>2</v>
      </c>
      <c r="Y25" s="5">
        <v>1</v>
      </c>
      <c r="Z25" s="24">
        <v>4</v>
      </c>
      <c r="AA25" s="23">
        <f t="shared" si="0"/>
        <v>2</v>
      </c>
      <c r="AB25" s="15">
        <v>1</v>
      </c>
      <c r="AC25" s="15">
        <v>1</v>
      </c>
      <c r="AD25" s="15">
        <v>0.875</v>
      </c>
      <c r="AE25" s="15">
        <v>0.95799999999999996</v>
      </c>
      <c r="AF25" s="20">
        <v>23</v>
      </c>
      <c r="AG25" s="20" t="s">
        <v>8</v>
      </c>
      <c r="AH25" s="24">
        <v>24</v>
      </c>
      <c r="AI25" s="23">
        <f t="shared" si="1"/>
        <v>1</v>
      </c>
      <c r="AJ25" s="17">
        <v>12</v>
      </c>
      <c r="AK25" s="17">
        <v>11</v>
      </c>
      <c r="AL25" s="14">
        <v>23</v>
      </c>
      <c r="AM25" s="23" cm="1">
        <f t="array" ref="AM25">IF(OR(AN25:AZ25=""),"BLANK",IF(AND(AN25:AZ25&lt;9999999),1,IF(AND(AN25:AZ25="NA"),3,2)))</f>
        <v>1</v>
      </c>
      <c r="AN25" s="20">
        <v>7</v>
      </c>
      <c r="AO25" s="26">
        <v>2</v>
      </c>
      <c r="AP25" s="15">
        <v>3.5</v>
      </c>
      <c r="AQ25" s="15">
        <v>5</v>
      </c>
      <c r="AR25" s="15">
        <v>7.25</v>
      </c>
      <c r="AS25" s="26">
        <v>1858.5</v>
      </c>
      <c r="AT25" s="26">
        <v>4319.5</v>
      </c>
      <c r="AU25" s="26">
        <v>8894.5</v>
      </c>
      <c r="AV25" s="26">
        <v>4420.75</v>
      </c>
      <c r="AW25" s="26">
        <v>0</v>
      </c>
      <c r="AX25" s="26">
        <v>0</v>
      </c>
      <c r="AY25" s="26">
        <v>678.40625</v>
      </c>
      <c r="AZ25" s="26">
        <v>1162.3375000000001</v>
      </c>
      <c r="BA25" s="23">
        <f t="shared" si="2"/>
        <v>1</v>
      </c>
      <c r="BB25" s="24">
        <v>38</v>
      </c>
    </row>
    <row r="26" spans="1:54" x14ac:dyDescent="0.2">
      <c r="A26" s="5">
        <v>178</v>
      </c>
      <c r="B26" s="20" t="s">
        <v>62</v>
      </c>
      <c r="C26" s="18" t="s">
        <v>55</v>
      </c>
      <c r="D26" s="18">
        <v>5</v>
      </c>
      <c r="E26" s="18">
        <v>0</v>
      </c>
      <c r="F26" s="18" t="s">
        <v>9</v>
      </c>
      <c r="G26" s="18">
        <v>27</v>
      </c>
      <c r="H26" s="22">
        <v>3.5509924709103355</v>
      </c>
      <c r="I26" s="22">
        <v>5.0102669404517455</v>
      </c>
      <c r="J26" s="22">
        <v>8.5612594113620801</v>
      </c>
      <c r="K26" s="22">
        <v>3.5509924709103355</v>
      </c>
      <c r="L26" s="22">
        <v>5.1279945242984262</v>
      </c>
      <c r="M26" s="22">
        <v>8.6789869952087617</v>
      </c>
      <c r="N26" s="22">
        <v>3.5208761122518824</v>
      </c>
      <c r="O26" s="22">
        <v>5.0978781656399725</v>
      </c>
      <c r="P26" s="22">
        <v>8.6187542778918544</v>
      </c>
      <c r="Q26" s="22">
        <v>3.871321013004791</v>
      </c>
      <c r="R26" s="22">
        <v>5.1937029431895958</v>
      </c>
      <c r="S26" s="22">
        <v>9.0650239561943877</v>
      </c>
      <c r="T26" s="30">
        <v>4</v>
      </c>
      <c r="U26" s="30">
        <v>16</v>
      </c>
      <c r="V26" s="20" t="s">
        <v>1</v>
      </c>
      <c r="W26" s="20">
        <v>5</v>
      </c>
      <c r="X26" s="20">
        <v>2</v>
      </c>
      <c r="Y26" s="5">
        <v>1</v>
      </c>
      <c r="Z26" s="24">
        <v>4</v>
      </c>
      <c r="AA26" s="23">
        <f t="shared" si="0"/>
        <v>1</v>
      </c>
      <c r="AB26" s="15">
        <v>0.875</v>
      </c>
      <c r="AC26" s="15">
        <v>0.875</v>
      </c>
      <c r="AD26" s="15">
        <v>0.5</v>
      </c>
      <c r="AE26" s="15">
        <v>0.75</v>
      </c>
      <c r="AF26" s="20">
        <v>18</v>
      </c>
      <c r="AG26" s="20">
        <v>3.1</v>
      </c>
      <c r="AH26" s="24">
        <v>24</v>
      </c>
      <c r="AI26" s="23">
        <f t="shared" si="1"/>
        <v>1</v>
      </c>
      <c r="AJ26" s="17">
        <v>10.75</v>
      </c>
      <c r="AK26" s="17">
        <v>9.25</v>
      </c>
      <c r="AL26" s="14">
        <v>20</v>
      </c>
      <c r="AM26" s="23" cm="1">
        <f t="array" ref="AM26">IF(OR(AN26:AZ26=""),"BLANK",IF(AND(AN26:AZ26&lt;9999999),1,IF(AND(AN26:AZ26="NA"),3,2)))</f>
        <v>1</v>
      </c>
      <c r="AN26" s="20">
        <v>7</v>
      </c>
      <c r="AO26" s="26">
        <v>2</v>
      </c>
      <c r="AP26" s="15">
        <v>3.5</v>
      </c>
      <c r="AQ26" s="15">
        <v>6.5</v>
      </c>
      <c r="AR26" s="15">
        <v>8.25</v>
      </c>
      <c r="AS26" s="26">
        <v>3067.5</v>
      </c>
      <c r="AT26" s="26">
        <v>6938.5</v>
      </c>
      <c r="AU26" s="26">
        <v>16533.5</v>
      </c>
      <c r="AV26" s="26">
        <v>18239.75</v>
      </c>
      <c r="AW26" s="26">
        <v>0</v>
      </c>
      <c r="AX26" s="26">
        <v>102.2083333333</v>
      </c>
      <c r="AY26" s="26">
        <v>402.6458333333</v>
      </c>
      <c r="AZ26" s="26">
        <v>819.30492424240003</v>
      </c>
      <c r="BA26" s="23">
        <f t="shared" si="2"/>
        <v>1</v>
      </c>
      <c r="BB26" s="24">
        <v>39</v>
      </c>
    </row>
    <row r="27" spans="1:54" x14ac:dyDescent="0.2">
      <c r="A27" s="5">
        <v>183</v>
      </c>
      <c r="B27" s="20" t="s">
        <v>74</v>
      </c>
      <c r="C27" s="18" t="s">
        <v>54</v>
      </c>
      <c r="D27" s="18">
        <v>5</v>
      </c>
      <c r="E27" s="18">
        <v>0</v>
      </c>
      <c r="F27" s="18" t="s">
        <v>9</v>
      </c>
      <c r="G27" s="18">
        <v>30</v>
      </c>
      <c r="H27" s="22">
        <v>4.2053388090349078</v>
      </c>
      <c r="I27" s="22">
        <v>5.8261464750171115</v>
      </c>
      <c r="J27" s="22">
        <v>10.031485284052019</v>
      </c>
      <c r="K27" s="22">
        <v>4.2765229295003424</v>
      </c>
      <c r="L27" s="22">
        <v>5.7549623545516768</v>
      </c>
      <c r="M27" s="22">
        <v>10.031485284052019</v>
      </c>
      <c r="N27" s="22">
        <v>4.1971252566735116</v>
      </c>
      <c r="O27" s="22">
        <v>5.631759069130732</v>
      </c>
      <c r="P27" s="22">
        <v>9.8288843258042444</v>
      </c>
      <c r="Q27" s="22" t="s">
        <v>8</v>
      </c>
      <c r="R27" s="22" t="s">
        <v>8</v>
      </c>
      <c r="S27" s="22" t="s">
        <v>8</v>
      </c>
      <c r="T27" s="30">
        <v>5</v>
      </c>
      <c r="U27" s="30">
        <v>16</v>
      </c>
      <c r="V27" s="20" t="s">
        <v>1</v>
      </c>
      <c r="W27" s="20">
        <v>5</v>
      </c>
      <c r="X27" s="20">
        <v>2</v>
      </c>
      <c r="Y27" s="5">
        <v>1</v>
      </c>
      <c r="Z27" s="24">
        <v>4</v>
      </c>
      <c r="AA27" s="23">
        <f t="shared" si="0"/>
        <v>1</v>
      </c>
      <c r="AB27" s="15">
        <v>0.875</v>
      </c>
      <c r="AC27" s="15">
        <v>0.7142857142857143</v>
      </c>
      <c r="AD27" s="15">
        <v>0.125</v>
      </c>
      <c r="AE27" s="15">
        <v>0.56499999999999995</v>
      </c>
      <c r="AF27" s="20">
        <v>13</v>
      </c>
      <c r="AG27" s="20">
        <v>9.67</v>
      </c>
      <c r="AH27" s="24">
        <v>23</v>
      </c>
      <c r="AI27" s="23">
        <f t="shared" si="1"/>
        <v>1</v>
      </c>
      <c r="AJ27" s="17">
        <v>8.75</v>
      </c>
      <c r="AK27" s="17">
        <v>6.25</v>
      </c>
      <c r="AL27" s="14">
        <v>15</v>
      </c>
      <c r="AM27" s="23" cm="1">
        <f t="array" ref="AM27">IF(OR(AN27:AZ27=""),"BLANK",IF(AND(AN27:AZ27&lt;9999999),1,IF(AND(AN27:AZ27="NA"),3,2)))</f>
        <v>1</v>
      </c>
      <c r="AN27" s="20">
        <v>7</v>
      </c>
      <c r="AO27" s="26">
        <v>2</v>
      </c>
      <c r="AP27" s="15">
        <v>3</v>
      </c>
      <c r="AQ27" s="15">
        <v>5</v>
      </c>
      <c r="AR27" s="15">
        <v>8</v>
      </c>
      <c r="AS27" s="26">
        <v>1679</v>
      </c>
      <c r="AT27" s="26">
        <v>14087.5</v>
      </c>
      <c r="AU27" s="26">
        <v>5864.75</v>
      </c>
      <c r="AV27" s="26">
        <v>12280.25</v>
      </c>
      <c r="AW27" s="26">
        <v>476.75</v>
      </c>
      <c r="AX27" s="26">
        <v>0</v>
      </c>
      <c r="AY27" s="26">
        <v>5065.9375</v>
      </c>
      <c r="AZ27" s="26">
        <v>5833.2022456710001</v>
      </c>
      <c r="BA27" s="23">
        <f t="shared" si="2"/>
        <v>1</v>
      </c>
      <c r="BB27" s="24">
        <v>32</v>
      </c>
    </row>
    <row r="28" spans="1:54" x14ac:dyDescent="0.2">
      <c r="A28" s="5">
        <v>189</v>
      </c>
      <c r="B28" s="20" t="s">
        <v>84</v>
      </c>
      <c r="C28" s="18" t="s">
        <v>54</v>
      </c>
      <c r="D28" s="18">
        <v>5</v>
      </c>
      <c r="E28" s="18">
        <v>0</v>
      </c>
      <c r="F28" s="18" t="s">
        <v>9</v>
      </c>
      <c r="G28" s="18">
        <v>29</v>
      </c>
      <c r="H28" s="22">
        <v>4.0164271047227924</v>
      </c>
      <c r="I28" s="22">
        <v>6.2970568104038334</v>
      </c>
      <c r="J28" s="22">
        <v>10.313483915126625</v>
      </c>
      <c r="K28" s="22">
        <v>4.0164271047227924</v>
      </c>
      <c r="L28" s="22">
        <v>6.2970568104038334</v>
      </c>
      <c r="M28" s="22">
        <v>10.313483915126625</v>
      </c>
      <c r="N28" s="22">
        <v>4.3997262149212863</v>
      </c>
      <c r="O28" s="22">
        <v>5.3935660506502394</v>
      </c>
      <c r="P28" s="22">
        <v>9.7932922655715267</v>
      </c>
      <c r="Q28" s="22" t="s">
        <v>8</v>
      </c>
      <c r="R28" s="22" t="s">
        <v>8</v>
      </c>
      <c r="S28" s="22" t="s">
        <v>8</v>
      </c>
      <c r="T28" s="30">
        <v>5</v>
      </c>
      <c r="U28" s="30">
        <v>16</v>
      </c>
      <c r="V28" s="20" t="s">
        <v>1</v>
      </c>
      <c r="W28" s="20">
        <v>5</v>
      </c>
      <c r="X28" s="20">
        <v>2</v>
      </c>
      <c r="Y28" s="5">
        <v>1</v>
      </c>
      <c r="Z28" s="24">
        <v>4</v>
      </c>
      <c r="AA28" s="23">
        <f t="shared" si="0"/>
        <v>1</v>
      </c>
      <c r="AB28" s="15">
        <v>1</v>
      </c>
      <c r="AC28" s="15">
        <v>1</v>
      </c>
      <c r="AD28" s="15">
        <v>1</v>
      </c>
      <c r="AE28" s="15">
        <v>1</v>
      </c>
      <c r="AF28" s="20">
        <v>24</v>
      </c>
      <c r="AG28" s="20">
        <v>3.87</v>
      </c>
      <c r="AH28" s="24">
        <v>24</v>
      </c>
      <c r="AI28" s="23">
        <f t="shared" si="1"/>
        <v>1</v>
      </c>
      <c r="AJ28" s="17">
        <v>9</v>
      </c>
      <c r="AK28" s="17">
        <v>12</v>
      </c>
      <c r="AL28" s="14">
        <v>21</v>
      </c>
      <c r="AM28" s="23" cm="1">
        <f t="array" ref="AM28">IF(OR(AN28:AZ28=""),"BLANK",IF(AND(AN28:AZ28&lt;9999999),1,IF(AND(AN28:AZ28="NA"),3,2)))</f>
        <v>1</v>
      </c>
      <c r="AN28" s="20">
        <v>9</v>
      </c>
      <c r="AO28" s="26">
        <v>2</v>
      </c>
      <c r="AP28" s="15">
        <v>3</v>
      </c>
      <c r="AQ28" s="15">
        <v>5.75</v>
      </c>
      <c r="AR28" s="15">
        <v>5.25</v>
      </c>
      <c r="AS28" s="26">
        <v>1706.5</v>
      </c>
      <c r="AT28" s="26">
        <v>3997.5</v>
      </c>
      <c r="AU28" s="26">
        <v>13181.5</v>
      </c>
      <c r="AV28" s="26">
        <v>11575</v>
      </c>
      <c r="AW28" s="26">
        <v>0</v>
      </c>
      <c r="AX28" s="26">
        <v>0</v>
      </c>
      <c r="AY28" s="26">
        <v>2662.3472222221999</v>
      </c>
      <c r="AZ28" s="26">
        <v>1807.9749999999999</v>
      </c>
      <c r="BA28" s="23">
        <f t="shared" si="2"/>
        <v>1</v>
      </c>
      <c r="BB28" s="24">
        <v>39</v>
      </c>
    </row>
    <row r="29" spans="1:54" x14ac:dyDescent="0.2">
      <c r="A29" s="5">
        <v>192</v>
      </c>
      <c r="B29" s="20" t="s">
        <v>79</v>
      </c>
      <c r="C29" s="18" t="s">
        <v>54</v>
      </c>
      <c r="D29" s="18">
        <v>5</v>
      </c>
      <c r="E29" s="18">
        <v>0</v>
      </c>
      <c r="F29" s="18" t="s">
        <v>9</v>
      </c>
      <c r="G29" s="18">
        <v>29</v>
      </c>
      <c r="H29" s="22">
        <v>4.043805612594114</v>
      </c>
      <c r="I29" s="22">
        <v>5.1909650924024637</v>
      </c>
      <c r="J29" s="22">
        <v>9.2347707049965777</v>
      </c>
      <c r="K29" s="22">
        <v>4.043805612594114</v>
      </c>
      <c r="L29" s="22">
        <v>5.1909650924024637</v>
      </c>
      <c r="M29" s="22">
        <v>9.2347707049965777</v>
      </c>
      <c r="N29" s="22">
        <v>4.046543463381246</v>
      </c>
      <c r="O29" s="22">
        <v>5.1526351813826148</v>
      </c>
      <c r="P29" s="22">
        <v>9.1991786447638599</v>
      </c>
      <c r="Q29" s="22" t="s">
        <v>8</v>
      </c>
      <c r="R29" s="22" t="s">
        <v>8</v>
      </c>
      <c r="S29" s="22" t="s">
        <v>8</v>
      </c>
      <c r="T29" s="30">
        <v>7</v>
      </c>
      <c r="U29" s="30">
        <v>21</v>
      </c>
      <c r="V29" s="20" t="s">
        <v>1</v>
      </c>
      <c r="W29" s="20">
        <v>5</v>
      </c>
      <c r="X29" s="20">
        <v>2</v>
      </c>
      <c r="Y29" s="5">
        <v>1</v>
      </c>
      <c r="Z29" s="24">
        <v>4</v>
      </c>
      <c r="AA29" s="23">
        <f t="shared" si="0"/>
        <v>1</v>
      </c>
      <c r="AB29" s="15">
        <v>1</v>
      </c>
      <c r="AC29" s="15">
        <v>1</v>
      </c>
      <c r="AD29" s="15">
        <v>0.875</v>
      </c>
      <c r="AE29" s="15">
        <v>0.95799999999999996</v>
      </c>
      <c r="AF29" s="20">
        <v>23</v>
      </c>
      <c r="AG29" s="20">
        <v>10.050000000000001</v>
      </c>
      <c r="AH29" s="24">
        <v>24</v>
      </c>
      <c r="AI29" s="23">
        <f t="shared" si="1"/>
        <v>1</v>
      </c>
      <c r="AJ29" s="17">
        <v>13</v>
      </c>
      <c r="AK29" s="17">
        <v>12</v>
      </c>
      <c r="AL29" s="14">
        <v>25</v>
      </c>
      <c r="AM29" s="23" cm="1">
        <f t="array" ref="AM29">IF(OR(AN29:AZ29=""),"BLANK",IF(AND(AN29:AZ29&lt;9999999),1,IF(AND(AN29:AZ29="NA"),3,2)))</f>
        <v>1</v>
      </c>
      <c r="AN29" s="20">
        <v>11</v>
      </c>
      <c r="AO29" s="26">
        <v>2</v>
      </c>
      <c r="AP29" s="15">
        <v>3</v>
      </c>
      <c r="AQ29" s="15">
        <v>5.25</v>
      </c>
      <c r="AR29" s="15">
        <v>5</v>
      </c>
      <c r="AS29" s="26">
        <v>2603.5</v>
      </c>
      <c r="AT29" s="26">
        <v>2922</v>
      </c>
      <c r="AU29" s="26">
        <v>14018.75</v>
      </c>
      <c r="AV29" s="26">
        <v>14783.75</v>
      </c>
      <c r="AW29" s="26">
        <v>0</v>
      </c>
      <c r="AX29" s="26">
        <v>0</v>
      </c>
      <c r="AY29" s="26">
        <v>1435.4791666666999</v>
      </c>
      <c r="AZ29" s="26">
        <v>0</v>
      </c>
      <c r="BA29" s="23">
        <f t="shared" si="2"/>
        <v>1</v>
      </c>
      <c r="BB29" s="24">
        <v>39</v>
      </c>
    </row>
    <row r="30" spans="1:54" x14ac:dyDescent="0.2">
      <c r="A30" s="5">
        <v>194</v>
      </c>
      <c r="B30" s="20" t="s">
        <v>76</v>
      </c>
      <c r="C30" s="18" t="s">
        <v>55</v>
      </c>
      <c r="D30" s="18">
        <v>5</v>
      </c>
      <c r="E30" s="18">
        <v>0</v>
      </c>
      <c r="F30" s="18" t="s">
        <v>9</v>
      </c>
      <c r="G30" s="18">
        <v>30</v>
      </c>
      <c r="H30" s="22">
        <v>4.3148528405201914</v>
      </c>
      <c r="I30" s="22" t="s">
        <v>8</v>
      </c>
      <c r="J30" s="22" t="s">
        <v>8</v>
      </c>
      <c r="K30" s="22">
        <v>4.3148528405201914</v>
      </c>
      <c r="L30" s="22" t="s">
        <v>8</v>
      </c>
      <c r="M30" s="22" t="s">
        <v>8</v>
      </c>
      <c r="N30" s="22">
        <v>4.2792607802874745</v>
      </c>
      <c r="O30" s="22" t="s">
        <v>8</v>
      </c>
      <c r="P30" s="22" t="s">
        <v>8</v>
      </c>
      <c r="Q30" s="22" t="s">
        <v>8</v>
      </c>
      <c r="R30" s="22" t="s">
        <v>8</v>
      </c>
      <c r="S30" s="22" t="s">
        <v>8</v>
      </c>
      <c r="T30" s="30">
        <v>6</v>
      </c>
      <c r="U30" s="30">
        <v>18</v>
      </c>
      <c r="V30" s="20" t="s">
        <v>1</v>
      </c>
      <c r="W30" s="20">
        <v>5</v>
      </c>
      <c r="X30" s="20">
        <v>2</v>
      </c>
      <c r="Y30" s="5">
        <v>1</v>
      </c>
      <c r="Z30" s="24">
        <v>4</v>
      </c>
      <c r="AA30" s="23">
        <f t="shared" si="0"/>
        <v>1</v>
      </c>
      <c r="AB30" s="15">
        <v>1</v>
      </c>
      <c r="AC30" s="15">
        <v>0.75</v>
      </c>
      <c r="AD30" s="15">
        <v>0.75</v>
      </c>
      <c r="AE30" s="15">
        <v>0.83299999999999996</v>
      </c>
      <c r="AF30" s="20">
        <v>20</v>
      </c>
      <c r="AG30" s="20">
        <v>11.95</v>
      </c>
      <c r="AH30" s="24">
        <v>24</v>
      </c>
      <c r="AI30" s="23">
        <f t="shared" si="1"/>
        <v>1</v>
      </c>
      <c r="AJ30" s="17">
        <v>12.5</v>
      </c>
      <c r="AK30" s="17">
        <v>11.75</v>
      </c>
      <c r="AL30" s="14">
        <v>24.25</v>
      </c>
      <c r="AM30" s="23" cm="1">
        <f t="array" ref="AM30">IF(OR(AN30:AZ30=""),"BLANK",IF(AND(AN30:AZ30&lt;9999999),1,IF(AND(AN30:AZ30="NA"),3,2)))</f>
        <v>1</v>
      </c>
      <c r="AN30" s="20">
        <v>11</v>
      </c>
      <c r="AO30" s="26">
        <v>2</v>
      </c>
      <c r="AP30" s="15">
        <v>3.5</v>
      </c>
      <c r="AQ30" s="15">
        <v>4</v>
      </c>
      <c r="AR30" s="15">
        <v>5</v>
      </c>
      <c r="AS30" s="26">
        <v>2384</v>
      </c>
      <c r="AT30" s="26">
        <v>4443.5</v>
      </c>
      <c r="AU30" s="26">
        <v>8226.75</v>
      </c>
      <c r="AV30" s="26">
        <v>11495.5</v>
      </c>
      <c r="AW30" s="26">
        <v>0</v>
      </c>
      <c r="AX30" s="26">
        <v>4401.4583333333003</v>
      </c>
      <c r="AY30" s="26">
        <v>0</v>
      </c>
      <c r="AZ30" s="26">
        <v>1284.05</v>
      </c>
      <c r="BA30" s="23">
        <f t="shared" si="2"/>
        <v>1</v>
      </c>
      <c r="BB30" s="24">
        <v>38</v>
      </c>
    </row>
    <row r="31" spans="1:54" x14ac:dyDescent="0.2">
      <c r="A31" s="5">
        <v>196</v>
      </c>
      <c r="B31" s="20" t="s">
        <v>64</v>
      </c>
      <c r="C31" s="18" t="s">
        <v>55</v>
      </c>
      <c r="D31" s="18">
        <v>5</v>
      </c>
      <c r="E31" s="18">
        <v>0</v>
      </c>
      <c r="F31" s="18" t="s">
        <v>9</v>
      </c>
      <c r="G31" s="18">
        <v>28</v>
      </c>
      <c r="H31" s="22">
        <v>4.2546201232032859</v>
      </c>
      <c r="I31" s="22">
        <v>5.6919917864476384</v>
      </c>
      <c r="J31" s="22">
        <v>9.9466119096509242</v>
      </c>
      <c r="K31" s="22">
        <v>4.2546201232032859</v>
      </c>
      <c r="L31" s="22">
        <v>5.6919917864476384</v>
      </c>
      <c r="M31" s="22">
        <v>9.9466119096509242</v>
      </c>
      <c r="N31" s="22">
        <v>4.3394934976043809</v>
      </c>
      <c r="O31" s="22">
        <v>5.2676249144421625</v>
      </c>
      <c r="P31" s="22">
        <v>9.6071184120465443</v>
      </c>
      <c r="Q31" s="22" t="s">
        <v>8</v>
      </c>
      <c r="R31" s="22" t="s">
        <v>8</v>
      </c>
      <c r="S31" s="22" t="s">
        <v>8</v>
      </c>
      <c r="T31" s="30">
        <v>4</v>
      </c>
      <c r="U31" s="30">
        <v>16</v>
      </c>
      <c r="V31" s="20" t="s">
        <v>1</v>
      </c>
      <c r="W31" s="20">
        <v>5</v>
      </c>
      <c r="X31" s="20">
        <v>2</v>
      </c>
      <c r="Y31" s="5">
        <v>1</v>
      </c>
      <c r="Z31" s="24">
        <v>4</v>
      </c>
      <c r="AA31" s="23">
        <f t="shared" si="0"/>
        <v>2</v>
      </c>
      <c r="AB31" s="15">
        <v>1</v>
      </c>
      <c r="AC31" s="15">
        <v>1</v>
      </c>
      <c r="AD31" s="15">
        <v>0.25</v>
      </c>
      <c r="AE31" s="15">
        <v>0.75</v>
      </c>
      <c r="AF31" s="20">
        <v>18</v>
      </c>
      <c r="AG31" s="20" t="s">
        <v>8</v>
      </c>
      <c r="AH31" s="24">
        <v>24</v>
      </c>
      <c r="AI31" s="23">
        <f t="shared" si="1"/>
        <v>1</v>
      </c>
      <c r="AJ31" s="17">
        <v>5</v>
      </c>
      <c r="AK31" s="17">
        <v>3.75</v>
      </c>
      <c r="AL31" s="14">
        <v>8.75</v>
      </c>
      <c r="AM31" s="23" cm="1">
        <f t="array" ref="AM31">IF(OR(AN31:AZ31=""),"BLANK",IF(AND(AN31:AZ31&lt;9999999),1,IF(AND(AN31:AZ31="NA"),3,2)))</f>
        <v>1</v>
      </c>
      <c r="AN31" s="20">
        <v>8</v>
      </c>
      <c r="AO31" s="26">
        <v>2</v>
      </c>
      <c r="AP31" s="15">
        <v>3</v>
      </c>
      <c r="AQ31" s="15">
        <v>6</v>
      </c>
      <c r="AR31" s="15">
        <v>6.75</v>
      </c>
      <c r="AS31" s="26">
        <v>3051.5</v>
      </c>
      <c r="AT31" s="26">
        <v>6052</v>
      </c>
      <c r="AU31" s="26">
        <v>6171.25</v>
      </c>
      <c r="AV31" s="26">
        <v>6216.25</v>
      </c>
      <c r="AW31" s="26">
        <v>0</v>
      </c>
      <c r="AX31" s="26">
        <v>0</v>
      </c>
      <c r="AY31" s="26">
        <v>8275.8277777778003</v>
      </c>
      <c r="AZ31" s="26">
        <v>2718.0583333333002</v>
      </c>
      <c r="BA31" s="23">
        <f t="shared" si="2"/>
        <v>1</v>
      </c>
      <c r="BB31" s="24">
        <v>38</v>
      </c>
    </row>
    <row r="32" spans="1:54" x14ac:dyDescent="0.2">
      <c r="A32" s="5">
        <v>200</v>
      </c>
      <c r="B32" s="20" t="s">
        <v>62</v>
      </c>
      <c r="C32" s="18" t="s">
        <v>55</v>
      </c>
      <c r="D32" s="18">
        <v>3</v>
      </c>
      <c r="E32" s="18">
        <v>0</v>
      </c>
      <c r="F32" s="18" t="s">
        <v>9</v>
      </c>
      <c r="G32" s="18" t="s">
        <v>8</v>
      </c>
      <c r="H32" s="22">
        <v>4.1396303901437372</v>
      </c>
      <c r="I32" s="22">
        <v>6.2258726899383987</v>
      </c>
      <c r="J32" s="22">
        <v>10.365503080082135</v>
      </c>
      <c r="K32" s="22" t="s">
        <v>8</v>
      </c>
      <c r="L32" s="22" t="s">
        <v>8</v>
      </c>
      <c r="M32" s="22">
        <v>10.370978781656399</v>
      </c>
      <c r="N32" s="22">
        <v>4.0219028062970565</v>
      </c>
      <c r="O32" s="22">
        <v>6.2176591375770016</v>
      </c>
      <c r="P32" s="22">
        <v>10.239561943874058</v>
      </c>
      <c r="Q32" s="22" t="s">
        <v>8</v>
      </c>
      <c r="R32" s="22" t="s">
        <v>8</v>
      </c>
      <c r="S32" s="22" t="s">
        <v>8</v>
      </c>
      <c r="T32" s="30" t="s">
        <v>8</v>
      </c>
      <c r="U32" s="30" t="s">
        <v>8</v>
      </c>
      <c r="V32" s="20" t="s">
        <v>1</v>
      </c>
      <c r="W32" s="20">
        <v>5</v>
      </c>
      <c r="X32" s="20">
        <v>2</v>
      </c>
      <c r="Y32" s="5">
        <v>1</v>
      </c>
      <c r="Z32" s="24">
        <v>4</v>
      </c>
      <c r="AA32" s="23">
        <f t="shared" si="0"/>
        <v>3</v>
      </c>
      <c r="AB32" s="15" t="s">
        <v>8</v>
      </c>
      <c r="AC32" s="15" t="s">
        <v>8</v>
      </c>
      <c r="AD32" s="15" t="s">
        <v>8</v>
      </c>
      <c r="AE32" s="15" t="s">
        <v>8</v>
      </c>
      <c r="AF32" s="20" t="s">
        <v>8</v>
      </c>
      <c r="AG32" s="20" t="s">
        <v>8</v>
      </c>
      <c r="AH32" s="24" t="s">
        <v>8</v>
      </c>
      <c r="AI32" s="23">
        <f t="shared" si="1"/>
        <v>3</v>
      </c>
      <c r="AJ32" s="17" t="s">
        <v>8</v>
      </c>
      <c r="AK32" s="17" t="s">
        <v>8</v>
      </c>
      <c r="AL32" s="14" t="s">
        <v>8</v>
      </c>
      <c r="AM32" s="23" cm="1">
        <f t="array" ref="AM32">IF(OR(AN32:AZ32=""),"BLANK",IF(AND(AN32:AZ32&lt;9999999),1,IF(AND(AN32:AZ32="NA"),3,2)))</f>
        <v>1</v>
      </c>
      <c r="AN32" s="20">
        <v>10</v>
      </c>
      <c r="AO32" s="26">
        <v>2</v>
      </c>
      <c r="AP32" s="15">
        <v>3</v>
      </c>
      <c r="AQ32" s="15">
        <v>5.75</v>
      </c>
      <c r="AR32" s="15">
        <v>5</v>
      </c>
      <c r="AS32" s="26">
        <v>5911.5</v>
      </c>
      <c r="AT32" s="26">
        <v>9301.5</v>
      </c>
      <c r="AU32" s="26">
        <v>6761.75</v>
      </c>
      <c r="AV32" s="26">
        <v>10125</v>
      </c>
      <c r="AW32" s="26">
        <v>0</v>
      </c>
      <c r="AX32" s="26">
        <v>0</v>
      </c>
      <c r="AY32" s="26">
        <v>1303</v>
      </c>
      <c r="AZ32" s="26">
        <v>0</v>
      </c>
      <c r="BA32" s="23">
        <f t="shared" si="2"/>
        <v>3</v>
      </c>
      <c r="BB32" s="24" t="s">
        <v>8</v>
      </c>
    </row>
    <row r="33" spans="1:54" x14ac:dyDescent="0.2">
      <c r="A33" s="5">
        <v>208</v>
      </c>
      <c r="B33" s="20" t="s">
        <v>78</v>
      </c>
      <c r="C33" s="18" t="s">
        <v>54</v>
      </c>
      <c r="D33" s="18">
        <v>5</v>
      </c>
      <c r="E33" s="18">
        <v>0</v>
      </c>
      <c r="F33" s="18" t="s">
        <v>9</v>
      </c>
      <c r="G33" s="18">
        <v>30</v>
      </c>
      <c r="H33" s="22">
        <v>3.5400410677618068</v>
      </c>
      <c r="I33" s="22">
        <v>4.9609856262833674</v>
      </c>
      <c r="J33" s="22">
        <v>8.5010266940451746</v>
      </c>
      <c r="K33" s="22">
        <v>3.5400410677618068</v>
      </c>
      <c r="L33" s="22">
        <v>4.9609856262833674</v>
      </c>
      <c r="M33" s="22">
        <v>8.5010266940451746</v>
      </c>
      <c r="N33" s="22">
        <v>3.5290896646132786</v>
      </c>
      <c r="O33" s="22">
        <v>4.8870636550308006</v>
      </c>
      <c r="P33" s="22">
        <v>8.4161533196440796</v>
      </c>
      <c r="Q33" s="22">
        <v>3.7180013689253935</v>
      </c>
      <c r="R33" s="22" t="s">
        <v>8</v>
      </c>
      <c r="S33" s="22" t="s">
        <v>8</v>
      </c>
      <c r="T33" s="30">
        <v>6</v>
      </c>
      <c r="U33" s="30">
        <v>18</v>
      </c>
      <c r="V33" s="20" t="s">
        <v>1</v>
      </c>
      <c r="W33" s="20">
        <v>5</v>
      </c>
      <c r="X33" s="20">
        <v>2</v>
      </c>
      <c r="Y33" s="5">
        <v>1</v>
      </c>
      <c r="Z33" s="24">
        <v>4</v>
      </c>
      <c r="AA33" s="23">
        <f t="shared" si="0"/>
        <v>1</v>
      </c>
      <c r="AB33" s="15">
        <v>1</v>
      </c>
      <c r="AC33" s="15">
        <v>0.875</v>
      </c>
      <c r="AD33" s="15">
        <v>0.75</v>
      </c>
      <c r="AE33" s="15">
        <v>0.875</v>
      </c>
      <c r="AF33" s="20">
        <v>21</v>
      </c>
      <c r="AG33" s="20">
        <v>2.2999999999999998</v>
      </c>
      <c r="AH33" s="24">
        <v>24</v>
      </c>
      <c r="AI33" s="23">
        <f t="shared" si="1"/>
        <v>1</v>
      </c>
      <c r="AJ33" s="17">
        <v>13</v>
      </c>
      <c r="AK33" s="17">
        <v>12</v>
      </c>
      <c r="AL33" s="14">
        <v>25</v>
      </c>
      <c r="AM33" s="23" cm="1">
        <f t="array" ref="AM33">IF(OR(AN33:AZ33=""),"BLANK",IF(AND(AN33:AZ33&lt;9999999),1,IF(AND(AN33:AZ33="NA"),3,2)))</f>
        <v>1</v>
      </c>
      <c r="AN33" s="20">
        <v>10</v>
      </c>
      <c r="AO33" s="26">
        <v>2</v>
      </c>
      <c r="AP33" s="15">
        <v>3</v>
      </c>
      <c r="AQ33" s="15">
        <v>4</v>
      </c>
      <c r="AR33" s="15">
        <v>6.75</v>
      </c>
      <c r="AS33" s="26">
        <v>751.5</v>
      </c>
      <c r="AT33" s="26">
        <v>2117.5</v>
      </c>
      <c r="AU33" s="26">
        <v>8618.75</v>
      </c>
      <c r="AV33" s="26">
        <v>8475.25</v>
      </c>
      <c r="AW33" s="26">
        <v>0</v>
      </c>
      <c r="AX33" s="26">
        <v>4099.8333333333003</v>
      </c>
      <c r="AY33" s="26">
        <v>0</v>
      </c>
      <c r="AZ33" s="26">
        <v>2494.1458333332998</v>
      </c>
      <c r="BA33" s="23">
        <f t="shared" si="2"/>
        <v>1</v>
      </c>
      <c r="BB33" s="24">
        <v>41</v>
      </c>
    </row>
    <row r="34" spans="1:54" x14ac:dyDescent="0.2">
      <c r="A34" s="5">
        <v>213</v>
      </c>
      <c r="B34" s="20" t="s">
        <v>70</v>
      </c>
      <c r="C34" s="18" t="s">
        <v>54</v>
      </c>
      <c r="D34" s="18">
        <v>5</v>
      </c>
      <c r="E34" s="18">
        <v>0</v>
      </c>
      <c r="F34" s="18" t="s">
        <v>9</v>
      </c>
      <c r="G34" s="18">
        <v>30</v>
      </c>
      <c r="H34" s="22">
        <v>4.1806981519507183</v>
      </c>
      <c r="I34" s="22">
        <v>5.7029431895961666</v>
      </c>
      <c r="J34" s="22">
        <v>9.8836413415468858</v>
      </c>
      <c r="K34" s="22">
        <v>4.1806981519507183</v>
      </c>
      <c r="L34" s="22">
        <v>5.7029431895961666</v>
      </c>
      <c r="M34" s="22">
        <v>9.8836413415468858</v>
      </c>
      <c r="N34" s="22">
        <v>3.9863107460643397</v>
      </c>
      <c r="O34" s="22">
        <v>5.5578370978781653</v>
      </c>
      <c r="P34" s="22">
        <v>9.5441478439425058</v>
      </c>
      <c r="Q34" s="22" t="s">
        <v>8</v>
      </c>
      <c r="R34" s="22" t="s">
        <v>8</v>
      </c>
      <c r="S34" s="22" t="s">
        <v>8</v>
      </c>
      <c r="T34" s="30">
        <v>6</v>
      </c>
      <c r="U34" s="30">
        <v>18</v>
      </c>
      <c r="V34" s="20" t="s">
        <v>1</v>
      </c>
      <c r="W34" s="20">
        <v>5</v>
      </c>
      <c r="X34" s="20">
        <v>2</v>
      </c>
      <c r="Y34" s="5">
        <v>1</v>
      </c>
      <c r="Z34" s="24">
        <v>4</v>
      </c>
      <c r="AA34" s="23">
        <f t="shared" si="0"/>
        <v>1</v>
      </c>
      <c r="AB34" s="15">
        <v>1</v>
      </c>
      <c r="AC34" s="15">
        <v>1</v>
      </c>
      <c r="AD34" s="15">
        <v>1</v>
      </c>
      <c r="AE34" s="15">
        <v>1</v>
      </c>
      <c r="AF34" s="20">
        <v>24</v>
      </c>
      <c r="AG34" s="20">
        <v>6.43</v>
      </c>
      <c r="AH34" s="24">
        <v>24</v>
      </c>
      <c r="AI34" s="23">
        <f t="shared" si="1"/>
        <v>1</v>
      </c>
      <c r="AJ34" s="17">
        <v>14</v>
      </c>
      <c r="AK34" s="17">
        <v>12</v>
      </c>
      <c r="AL34" s="14">
        <v>26</v>
      </c>
      <c r="AM34" s="23" cm="1">
        <f t="array" ref="AM34">IF(OR(AN34:AZ34=""),"BLANK",IF(AND(AN34:AZ34&lt;9999999),1,IF(AND(AN34:AZ34="NA"),3,2)))</f>
        <v>1</v>
      </c>
      <c r="AN34" s="20">
        <v>7</v>
      </c>
      <c r="AO34" s="26">
        <v>2</v>
      </c>
      <c r="AP34" s="15">
        <v>3</v>
      </c>
      <c r="AQ34" s="15">
        <v>6</v>
      </c>
      <c r="AR34" s="15">
        <v>8.5</v>
      </c>
      <c r="AS34" s="26">
        <v>0</v>
      </c>
      <c r="AT34" s="26">
        <v>5467</v>
      </c>
      <c r="AU34" s="26">
        <v>8450.25</v>
      </c>
      <c r="AV34" s="26">
        <v>25343.5</v>
      </c>
      <c r="AW34" s="26">
        <v>0</v>
      </c>
      <c r="AX34" s="26">
        <v>0</v>
      </c>
      <c r="AY34" s="26">
        <v>1970.0652777778</v>
      </c>
      <c r="AZ34" s="26">
        <v>1046.5958333333001</v>
      </c>
      <c r="BA34" s="23">
        <f t="shared" si="2"/>
        <v>1</v>
      </c>
      <c r="BB34" s="24">
        <v>40</v>
      </c>
    </row>
    <row r="35" spans="1:54" x14ac:dyDescent="0.2">
      <c r="A35" s="5">
        <v>220</v>
      </c>
      <c r="B35" s="20" t="s">
        <v>64</v>
      </c>
      <c r="C35" s="18" t="s">
        <v>54</v>
      </c>
      <c r="D35" s="18">
        <v>5</v>
      </c>
      <c r="E35" s="18">
        <v>0</v>
      </c>
      <c r="F35" s="18" t="s">
        <v>9</v>
      </c>
      <c r="G35" s="18">
        <v>30</v>
      </c>
      <c r="H35" s="22">
        <v>4.2327173169062284</v>
      </c>
      <c r="I35" s="22">
        <v>5.9657768651608487</v>
      </c>
      <c r="J35" s="22">
        <v>10.198494182067078</v>
      </c>
      <c r="K35" s="22">
        <v>5.7713894592744692</v>
      </c>
      <c r="L35" s="22">
        <v>4.4271047227926079</v>
      </c>
      <c r="M35" s="22">
        <v>10.198494182067078</v>
      </c>
      <c r="N35" s="22">
        <v>4.0219028062970565</v>
      </c>
      <c r="O35" s="22">
        <v>5.7138945927446958</v>
      </c>
      <c r="P35" s="22">
        <v>9.7357973990417523</v>
      </c>
      <c r="Q35" s="22" t="s">
        <v>8</v>
      </c>
      <c r="R35" s="22" t="s">
        <v>8</v>
      </c>
      <c r="S35" s="22" t="s">
        <v>8</v>
      </c>
      <c r="T35" s="30">
        <v>5</v>
      </c>
      <c r="U35" s="30">
        <v>17.5</v>
      </c>
      <c r="V35" s="20" t="s">
        <v>1</v>
      </c>
      <c r="W35" s="20">
        <v>5</v>
      </c>
      <c r="X35" s="20">
        <v>2</v>
      </c>
      <c r="Y35" s="5">
        <v>1</v>
      </c>
      <c r="Z35" s="24">
        <v>4</v>
      </c>
      <c r="AA35" s="23">
        <f t="shared" si="0"/>
        <v>1</v>
      </c>
      <c r="AB35" s="15">
        <v>1</v>
      </c>
      <c r="AC35" s="15">
        <v>1</v>
      </c>
      <c r="AD35" s="15">
        <v>0.875</v>
      </c>
      <c r="AE35" s="15">
        <v>0.95799999999999996</v>
      </c>
      <c r="AF35" s="20">
        <v>23</v>
      </c>
      <c r="AG35" s="20">
        <v>5.75</v>
      </c>
      <c r="AH35" s="24">
        <v>24</v>
      </c>
      <c r="AI35" s="23">
        <f t="shared" si="1"/>
        <v>1</v>
      </c>
      <c r="AJ35" s="17">
        <v>10</v>
      </c>
      <c r="AK35" s="17">
        <v>11</v>
      </c>
      <c r="AL35" s="14">
        <v>21</v>
      </c>
      <c r="AM35" s="23" cm="1">
        <f t="array" ref="AM35">IF(OR(AN35:AZ35=""),"BLANK",IF(AND(AN35:AZ35&lt;9999999),1,IF(AND(AN35:AZ35="NA"),3,2)))</f>
        <v>1</v>
      </c>
      <c r="AN35" s="20">
        <v>9</v>
      </c>
      <c r="AO35" s="26">
        <v>3</v>
      </c>
      <c r="AP35" s="15">
        <v>3</v>
      </c>
      <c r="AQ35" s="15">
        <v>5.25</v>
      </c>
      <c r="AR35" s="15">
        <v>6.75</v>
      </c>
      <c r="AS35" s="26">
        <v>2841.5</v>
      </c>
      <c r="AT35" s="26">
        <v>3858</v>
      </c>
      <c r="AU35" s="26">
        <v>5066.75</v>
      </c>
      <c r="AV35" s="26">
        <v>10654.25</v>
      </c>
      <c r="AW35" s="26">
        <v>131.375</v>
      </c>
      <c r="AX35" s="26">
        <v>44.333333333299997</v>
      </c>
      <c r="AY35" s="26">
        <v>1415.2291666666999</v>
      </c>
      <c r="AZ35" s="26">
        <v>385.15416666670001</v>
      </c>
      <c r="BA35" s="23">
        <f t="shared" si="2"/>
        <v>1</v>
      </c>
      <c r="BB35" s="24">
        <v>39</v>
      </c>
    </row>
    <row r="36" spans="1:54" x14ac:dyDescent="0.2">
      <c r="A36" s="5">
        <v>221</v>
      </c>
      <c r="B36" s="20" t="s">
        <v>78</v>
      </c>
      <c r="C36" s="18" t="s">
        <v>55</v>
      </c>
      <c r="D36" s="18">
        <v>5</v>
      </c>
      <c r="E36" s="18">
        <v>0</v>
      </c>
      <c r="F36" s="18" t="s">
        <v>9</v>
      </c>
      <c r="G36" s="18">
        <v>28</v>
      </c>
      <c r="H36" s="22">
        <v>4.2190280629705681</v>
      </c>
      <c r="I36" s="22">
        <v>6.2067077344284733</v>
      </c>
      <c r="J36" s="22">
        <v>10.425735797399042</v>
      </c>
      <c r="K36" s="22">
        <v>4.1232032854209448</v>
      </c>
      <c r="L36" s="22">
        <v>6.1793292265571527</v>
      </c>
      <c r="M36" s="22">
        <v>10.302532511978097</v>
      </c>
      <c r="N36" s="22" t="s">
        <v>8</v>
      </c>
      <c r="O36" s="22" t="s">
        <v>8</v>
      </c>
      <c r="P36" s="22" t="s">
        <v>8</v>
      </c>
      <c r="Q36" s="22" t="s">
        <v>8</v>
      </c>
      <c r="R36" s="22" t="s">
        <v>8</v>
      </c>
      <c r="S36" s="22" t="s">
        <v>8</v>
      </c>
      <c r="T36" s="30" t="s">
        <v>8</v>
      </c>
      <c r="U36" s="30" t="s">
        <v>8</v>
      </c>
      <c r="V36" s="20" t="s">
        <v>1</v>
      </c>
      <c r="W36" s="20">
        <v>5</v>
      </c>
      <c r="X36" s="20">
        <v>2</v>
      </c>
      <c r="Y36" s="5">
        <v>1</v>
      </c>
      <c r="Z36" s="24">
        <v>4</v>
      </c>
      <c r="AA36" s="23">
        <f t="shared" si="0"/>
        <v>1</v>
      </c>
      <c r="AB36" s="15">
        <v>1</v>
      </c>
      <c r="AC36" s="15">
        <v>1</v>
      </c>
      <c r="AD36" s="15">
        <v>0.66666666666666663</v>
      </c>
      <c r="AE36" s="15">
        <v>0.90500000000000003</v>
      </c>
      <c r="AF36" s="20">
        <v>19</v>
      </c>
      <c r="AG36" s="20">
        <v>8.33</v>
      </c>
      <c r="AH36" s="24">
        <v>21</v>
      </c>
      <c r="AI36" s="23">
        <f t="shared" si="1"/>
        <v>1</v>
      </c>
      <c r="AJ36" s="17">
        <v>9</v>
      </c>
      <c r="AK36" s="17">
        <v>9.5</v>
      </c>
      <c r="AL36" s="14">
        <v>18.5</v>
      </c>
      <c r="AM36" s="23" cm="1">
        <f t="array" ref="AM36">IF(OR(AN36:AZ36=""),"BLANK",IF(AND(AN36:AZ36&lt;9999999),1,IF(AND(AN36:AZ36="NA"),3,2)))</f>
        <v>1</v>
      </c>
      <c r="AN36" s="20">
        <v>7</v>
      </c>
      <c r="AO36" s="26">
        <v>2</v>
      </c>
      <c r="AP36" s="15">
        <v>3</v>
      </c>
      <c r="AQ36" s="15">
        <v>5.75</v>
      </c>
      <c r="AR36" s="15">
        <v>8.25</v>
      </c>
      <c r="AS36" s="26">
        <v>2084.5</v>
      </c>
      <c r="AT36" s="26">
        <v>5991</v>
      </c>
      <c r="AU36" s="26">
        <v>7403.5</v>
      </c>
      <c r="AV36" s="26">
        <v>16826.75</v>
      </c>
      <c r="AW36" s="26">
        <v>0</v>
      </c>
      <c r="AX36" s="26">
        <v>358.5</v>
      </c>
      <c r="AY36" s="26">
        <v>2876.0736111111</v>
      </c>
      <c r="AZ36" s="26">
        <v>872.66590909089996</v>
      </c>
      <c r="BA36" s="23">
        <f t="shared" si="2"/>
        <v>1</v>
      </c>
      <c r="BB36" s="24">
        <v>33</v>
      </c>
    </row>
    <row r="37" spans="1:54" x14ac:dyDescent="0.2">
      <c r="A37" s="5">
        <v>224</v>
      </c>
      <c r="B37" s="20" t="s">
        <v>85</v>
      </c>
      <c r="C37" s="18" t="s">
        <v>55</v>
      </c>
      <c r="D37" s="18">
        <v>5</v>
      </c>
      <c r="E37" s="18">
        <v>0</v>
      </c>
      <c r="F37" s="18" t="s">
        <v>9</v>
      </c>
      <c r="G37" s="18">
        <v>27</v>
      </c>
      <c r="H37" s="22">
        <v>4.1396303901437372</v>
      </c>
      <c r="I37" s="22" t="s">
        <v>8</v>
      </c>
      <c r="J37" s="22" t="s">
        <v>8</v>
      </c>
      <c r="K37" s="22" t="s">
        <v>8</v>
      </c>
      <c r="L37" s="22" t="s">
        <v>8</v>
      </c>
      <c r="M37" s="22" t="s">
        <v>8</v>
      </c>
      <c r="N37" s="22" t="s">
        <v>8</v>
      </c>
      <c r="O37" s="22" t="s">
        <v>8</v>
      </c>
      <c r="P37" s="22" t="s">
        <v>8</v>
      </c>
      <c r="Q37" s="22" t="s">
        <v>8</v>
      </c>
      <c r="R37" s="22" t="s">
        <v>8</v>
      </c>
      <c r="S37" s="22" t="s">
        <v>8</v>
      </c>
      <c r="T37" s="30" t="s">
        <v>8</v>
      </c>
      <c r="U37" s="30" t="s">
        <v>8</v>
      </c>
      <c r="V37" s="20" t="s">
        <v>1</v>
      </c>
      <c r="W37" s="20">
        <v>5</v>
      </c>
      <c r="X37" s="20">
        <v>2</v>
      </c>
      <c r="Y37" s="5">
        <v>1</v>
      </c>
      <c r="Z37" s="24">
        <v>4</v>
      </c>
      <c r="AA37" s="23">
        <f t="shared" si="0"/>
        <v>2</v>
      </c>
      <c r="AB37" s="15" t="s">
        <v>8</v>
      </c>
      <c r="AC37" s="15" t="s">
        <v>8</v>
      </c>
      <c r="AD37" s="15" t="s">
        <v>8</v>
      </c>
      <c r="AE37" s="15" t="s">
        <v>8</v>
      </c>
      <c r="AF37" s="20" t="s">
        <v>8</v>
      </c>
      <c r="AG37" s="20" t="s">
        <v>8</v>
      </c>
      <c r="AH37" s="24">
        <v>0</v>
      </c>
      <c r="AI37" s="23">
        <f t="shared" si="1"/>
        <v>3</v>
      </c>
      <c r="AJ37" s="17" t="s">
        <v>8</v>
      </c>
      <c r="AK37" s="17" t="s">
        <v>8</v>
      </c>
      <c r="AL37" s="14" t="s">
        <v>8</v>
      </c>
      <c r="AM37" s="23" cm="1">
        <f t="array" ref="AM37">IF(OR(AN37:AZ37=""),"BLANK",IF(AND(AN37:AZ37&lt;9999999),1,IF(AND(AN37:AZ37="NA"),3,2)))</f>
        <v>1</v>
      </c>
      <c r="AN37" s="20">
        <v>5</v>
      </c>
      <c r="AO37" s="26">
        <v>2</v>
      </c>
      <c r="AP37" s="15">
        <v>3</v>
      </c>
      <c r="AQ37" s="15">
        <v>7.75</v>
      </c>
      <c r="AR37" s="15">
        <v>11.5</v>
      </c>
      <c r="AS37" s="26">
        <v>0</v>
      </c>
      <c r="AT37" s="26">
        <v>4748.5</v>
      </c>
      <c r="AU37" s="26">
        <v>2068.5</v>
      </c>
      <c r="AV37" s="26">
        <v>879.75</v>
      </c>
      <c r="AW37" s="26">
        <v>0</v>
      </c>
      <c r="AX37" s="26">
        <v>0</v>
      </c>
      <c r="AY37" s="26">
        <v>3591.4027777778001</v>
      </c>
      <c r="AZ37" s="26">
        <v>12103.983333333301</v>
      </c>
      <c r="BA37" s="23">
        <f t="shared" si="2"/>
        <v>3</v>
      </c>
      <c r="BB37" s="24" t="s">
        <v>8</v>
      </c>
    </row>
    <row r="38" spans="1:54" x14ac:dyDescent="0.2">
      <c r="A38" s="5">
        <v>232</v>
      </c>
      <c r="B38" s="20" t="s">
        <v>81</v>
      </c>
      <c r="C38" s="18" t="s">
        <v>54</v>
      </c>
      <c r="D38" s="18">
        <v>5</v>
      </c>
      <c r="E38" s="18">
        <v>0</v>
      </c>
      <c r="F38" s="18" t="s">
        <v>9</v>
      </c>
      <c r="G38" s="18">
        <v>29</v>
      </c>
      <c r="H38" s="22">
        <v>4.128678986995209</v>
      </c>
      <c r="I38" s="22">
        <v>5.6919917864476384</v>
      </c>
      <c r="J38" s="22">
        <v>9.8206707734428473</v>
      </c>
      <c r="K38" s="22">
        <v>4.128678986995209</v>
      </c>
      <c r="L38" s="22">
        <v>5.7029431895961666</v>
      </c>
      <c r="M38" s="22">
        <v>9.8316221765913756</v>
      </c>
      <c r="N38" s="22">
        <v>4.0246406570841886</v>
      </c>
      <c r="O38" s="22">
        <v>5.3442847364818613</v>
      </c>
      <c r="P38" s="22">
        <v>9.3689253935660499</v>
      </c>
      <c r="Q38" s="22" t="s">
        <v>8</v>
      </c>
      <c r="R38" s="22" t="s">
        <v>8</v>
      </c>
      <c r="S38" s="22" t="s">
        <v>8</v>
      </c>
      <c r="T38" s="30">
        <v>3</v>
      </c>
      <c r="U38" s="30">
        <v>14</v>
      </c>
      <c r="V38" s="20" t="s">
        <v>1</v>
      </c>
      <c r="W38" s="20">
        <v>5</v>
      </c>
      <c r="X38" s="20">
        <v>2</v>
      </c>
      <c r="Y38" s="5">
        <v>1</v>
      </c>
      <c r="Z38" s="24">
        <v>4</v>
      </c>
      <c r="AA38" s="23">
        <f t="shared" si="0"/>
        <v>1</v>
      </c>
      <c r="AB38" s="15">
        <v>1</v>
      </c>
      <c r="AC38" s="15">
        <v>0.875</v>
      </c>
      <c r="AD38" s="15">
        <v>0.75</v>
      </c>
      <c r="AE38" s="15">
        <v>0.875</v>
      </c>
      <c r="AF38" s="20">
        <v>21</v>
      </c>
      <c r="AG38" s="20">
        <v>6.6</v>
      </c>
      <c r="AH38" s="24">
        <v>24</v>
      </c>
      <c r="AI38" s="23">
        <f t="shared" si="1"/>
        <v>1</v>
      </c>
      <c r="AJ38" s="17">
        <v>7.5</v>
      </c>
      <c r="AK38" s="17">
        <v>4.75</v>
      </c>
      <c r="AL38" s="14">
        <v>12.25</v>
      </c>
      <c r="AM38" s="23" cm="1">
        <f t="array" ref="AM38">IF(OR(AN38:AZ38=""),"BLANK",IF(AND(AN38:AZ38&lt;9999999),1,IF(AND(AN38:AZ38="NA"),3,2)))</f>
        <v>1</v>
      </c>
      <c r="AN38" s="20">
        <v>8</v>
      </c>
      <c r="AO38" s="26">
        <v>2</v>
      </c>
      <c r="AP38" s="15">
        <v>3</v>
      </c>
      <c r="AQ38" s="15">
        <v>6.5</v>
      </c>
      <c r="AR38" s="15">
        <v>6.5</v>
      </c>
      <c r="AS38" s="26">
        <v>408</v>
      </c>
      <c r="AT38" s="26">
        <v>4221</v>
      </c>
      <c r="AU38" s="26">
        <v>0</v>
      </c>
      <c r="AV38" s="26">
        <v>9727.25</v>
      </c>
      <c r="AW38" s="26">
        <v>0</v>
      </c>
      <c r="AX38" s="26">
        <v>0</v>
      </c>
      <c r="AY38" s="26">
        <v>4837.2430555556002</v>
      </c>
      <c r="AZ38" s="26">
        <v>530.07500000000005</v>
      </c>
      <c r="BA38" s="23">
        <f t="shared" si="2"/>
        <v>1</v>
      </c>
      <c r="BB38" s="24">
        <v>28</v>
      </c>
    </row>
    <row r="39" spans="1:54" x14ac:dyDescent="0.2">
      <c r="A39" s="5">
        <v>236</v>
      </c>
      <c r="B39" s="20" t="s">
        <v>82</v>
      </c>
      <c r="C39" s="18" t="s">
        <v>55</v>
      </c>
      <c r="D39" s="18">
        <v>5</v>
      </c>
      <c r="E39" s="18">
        <v>0</v>
      </c>
      <c r="F39" s="18" t="s">
        <v>9</v>
      </c>
      <c r="G39" s="18">
        <v>30</v>
      </c>
      <c r="H39" s="22">
        <v>4.0985626283367553</v>
      </c>
      <c r="I39" s="22">
        <v>5.9137577002053385</v>
      </c>
      <c r="J39" s="22">
        <v>10.012320328542094</v>
      </c>
      <c r="K39" s="22">
        <v>4.1451060917180014</v>
      </c>
      <c r="L39" s="22">
        <v>5.8590006844626972</v>
      </c>
      <c r="M39" s="22">
        <v>10.004106776180699</v>
      </c>
      <c r="N39" s="22">
        <v>4.0164271047227924</v>
      </c>
      <c r="O39" s="22">
        <v>5.5961670088980151</v>
      </c>
      <c r="P39" s="22">
        <v>9.6125941136208084</v>
      </c>
      <c r="Q39" s="22" t="s">
        <v>8</v>
      </c>
      <c r="R39" s="22" t="s">
        <v>8</v>
      </c>
      <c r="S39" s="22" t="s">
        <v>8</v>
      </c>
      <c r="T39" s="30">
        <v>7</v>
      </c>
      <c r="U39" s="30">
        <v>21</v>
      </c>
      <c r="V39" s="20" t="s">
        <v>1</v>
      </c>
      <c r="W39" s="20">
        <v>5</v>
      </c>
      <c r="X39" s="20">
        <v>2</v>
      </c>
      <c r="Y39" s="5">
        <v>1</v>
      </c>
      <c r="Z39" s="24">
        <v>4</v>
      </c>
      <c r="AA39" s="23">
        <f t="shared" si="0"/>
        <v>2</v>
      </c>
      <c r="AB39" s="15">
        <v>1</v>
      </c>
      <c r="AC39" s="15">
        <v>1</v>
      </c>
      <c r="AD39" s="15">
        <v>0.75</v>
      </c>
      <c r="AE39" s="15">
        <v>0.91700000000000004</v>
      </c>
      <c r="AF39" s="20">
        <v>22</v>
      </c>
      <c r="AG39" s="20" t="s">
        <v>8</v>
      </c>
      <c r="AH39" s="24">
        <v>24</v>
      </c>
      <c r="AI39" s="23">
        <f t="shared" si="1"/>
        <v>1</v>
      </c>
      <c r="AJ39" s="17">
        <v>10.75</v>
      </c>
      <c r="AK39" s="17">
        <v>10</v>
      </c>
      <c r="AL39" s="14">
        <v>20.75</v>
      </c>
      <c r="AM39" s="23" cm="1">
        <f t="array" ref="AM39">IF(OR(AN39:AZ39=""),"BLANK",IF(AND(AN39:AZ39&lt;9999999),1,IF(AND(AN39:AZ39="NA"),3,2)))</f>
        <v>1</v>
      </c>
      <c r="AN39" s="20">
        <v>11</v>
      </c>
      <c r="AO39" s="26">
        <v>2</v>
      </c>
      <c r="AP39" s="15">
        <v>3</v>
      </c>
      <c r="AQ39" s="15">
        <v>5</v>
      </c>
      <c r="AR39" s="15">
        <v>5</v>
      </c>
      <c r="AS39" s="26">
        <v>1831</v>
      </c>
      <c r="AT39" s="26">
        <v>17195</v>
      </c>
      <c r="AU39" s="26">
        <v>25595.5</v>
      </c>
      <c r="AV39" s="26">
        <v>20978</v>
      </c>
      <c r="AW39" s="26">
        <v>0</v>
      </c>
      <c r="AX39" s="26">
        <v>0</v>
      </c>
      <c r="AY39" s="26">
        <v>4367.3125</v>
      </c>
      <c r="AZ39" s="26">
        <v>0</v>
      </c>
      <c r="BA39" s="23">
        <f t="shared" si="2"/>
        <v>1</v>
      </c>
      <c r="BB39" s="24">
        <v>40</v>
      </c>
    </row>
    <row r="40" spans="1:54" x14ac:dyDescent="0.2">
      <c r="A40" s="5">
        <v>245</v>
      </c>
      <c r="B40" s="20" t="s">
        <v>64</v>
      </c>
      <c r="C40" s="18" t="s">
        <v>54</v>
      </c>
      <c r="D40" s="18">
        <v>2</v>
      </c>
      <c r="E40" s="18">
        <v>0</v>
      </c>
      <c r="F40" s="18" t="s">
        <v>9</v>
      </c>
      <c r="G40" s="18">
        <v>30</v>
      </c>
      <c r="H40" s="22">
        <v>4.0985626283367553</v>
      </c>
      <c r="I40" s="22">
        <v>5.9712525667351128</v>
      </c>
      <c r="J40" s="22">
        <v>10.069815195071868</v>
      </c>
      <c r="K40" s="22">
        <v>4.1204654346338128</v>
      </c>
      <c r="L40" s="22">
        <v>5.9493497604380563</v>
      </c>
      <c r="M40" s="22">
        <v>10.069815195071868</v>
      </c>
      <c r="N40" s="22">
        <v>4.2792607802874745</v>
      </c>
      <c r="O40" s="22">
        <v>5.7084188911704308</v>
      </c>
      <c r="P40" s="22">
        <v>9.9876796714579061</v>
      </c>
      <c r="Q40" s="22">
        <v>3.1156741957563314</v>
      </c>
      <c r="R40" s="22">
        <v>6.3052703627652296</v>
      </c>
      <c r="S40" s="22">
        <v>9.4209445585215601</v>
      </c>
      <c r="T40" s="30">
        <v>3</v>
      </c>
      <c r="U40" s="30">
        <v>13</v>
      </c>
      <c r="V40" s="20" t="s">
        <v>1</v>
      </c>
      <c r="W40" s="20">
        <v>5</v>
      </c>
      <c r="X40" s="20">
        <v>2</v>
      </c>
      <c r="Y40" s="5">
        <v>1</v>
      </c>
      <c r="Z40" s="24">
        <v>4</v>
      </c>
      <c r="AA40" s="23">
        <f t="shared" si="0"/>
        <v>1</v>
      </c>
      <c r="AB40" s="15">
        <v>0.875</v>
      </c>
      <c r="AC40" s="15">
        <v>0.25</v>
      </c>
      <c r="AD40" s="15">
        <v>0.2</v>
      </c>
      <c r="AE40" s="15">
        <v>0.47599999999999998</v>
      </c>
      <c r="AF40" s="20">
        <v>10</v>
      </c>
      <c r="AG40" s="20">
        <v>5.93</v>
      </c>
      <c r="AH40" s="24">
        <v>21</v>
      </c>
      <c r="AI40" s="23">
        <f t="shared" si="1"/>
        <v>1</v>
      </c>
      <c r="AJ40" s="17">
        <v>7.25</v>
      </c>
      <c r="AK40" s="17">
        <v>2.5</v>
      </c>
      <c r="AL40" s="14">
        <v>9.75</v>
      </c>
      <c r="AM40" s="23" cm="1">
        <f t="array" ref="AM40">IF(OR(AN40:AZ40=""),"BLANK",IF(AND(AN40:AZ40&lt;9999999),1,IF(AND(AN40:AZ40="NA"),3,2)))</f>
        <v>1</v>
      </c>
      <c r="AN40" s="20">
        <v>7</v>
      </c>
      <c r="AO40" s="26">
        <v>2</v>
      </c>
      <c r="AP40" s="15">
        <v>3</v>
      </c>
      <c r="AQ40" s="15">
        <v>6.25</v>
      </c>
      <c r="AR40" s="15">
        <v>7</v>
      </c>
      <c r="AS40" s="26">
        <v>2399.5</v>
      </c>
      <c r="AT40" s="26">
        <v>11328</v>
      </c>
      <c r="AU40" s="26">
        <v>9705.75</v>
      </c>
      <c r="AV40" s="26">
        <v>7188</v>
      </c>
      <c r="AW40" s="26">
        <v>0</v>
      </c>
      <c r="AX40" s="26">
        <v>385</v>
      </c>
      <c r="AY40" s="26">
        <v>3649.46875</v>
      </c>
      <c r="AZ40" s="26">
        <v>1474.7595238095</v>
      </c>
      <c r="BA40" s="23">
        <f t="shared" si="2"/>
        <v>1</v>
      </c>
      <c r="BB40" s="24">
        <v>31</v>
      </c>
    </row>
    <row r="41" spans="1:54" x14ac:dyDescent="0.2">
      <c r="A41" s="5">
        <v>257</v>
      </c>
      <c r="B41" s="20" t="s">
        <v>81</v>
      </c>
      <c r="C41" s="18" t="s">
        <v>54</v>
      </c>
      <c r="D41" s="18">
        <v>5</v>
      </c>
      <c r="E41" s="18">
        <v>0</v>
      </c>
      <c r="F41" s="18" t="s">
        <v>9</v>
      </c>
      <c r="G41" s="18">
        <v>30</v>
      </c>
      <c r="H41" s="22">
        <v>4.3531827515400412</v>
      </c>
      <c r="I41" s="22" t="s">
        <v>8</v>
      </c>
      <c r="J41" s="22" t="s">
        <v>8</v>
      </c>
      <c r="K41" s="22">
        <v>4.3641341546885695</v>
      </c>
      <c r="L41" s="22" t="s">
        <v>8</v>
      </c>
      <c r="M41" s="22" t="s">
        <v>8</v>
      </c>
      <c r="N41" s="22" t="s">
        <v>8</v>
      </c>
      <c r="O41" s="22" t="s">
        <v>8</v>
      </c>
      <c r="P41" s="22" t="s">
        <v>8</v>
      </c>
      <c r="Q41" s="22" t="s">
        <v>8</v>
      </c>
      <c r="R41" s="22" t="s">
        <v>8</v>
      </c>
      <c r="S41" s="22" t="s">
        <v>8</v>
      </c>
      <c r="T41" s="30">
        <v>3</v>
      </c>
      <c r="U41" s="30">
        <v>13</v>
      </c>
      <c r="V41" s="20" t="s">
        <v>1</v>
      </c>
      <c r="W41" s="20">
        <v>5</v>
      </c>
      <c r="X41" s="20">
        <v>2</v>
      </c>
      <c r="Y41" s="5">
        <v>1</v>
      </c>
      <c r="Z41" s="24">
        <v>4</v>
      </c>
      <c r="AA41" s="23">
        <f t="shared" si="0"/>
        <v>2</v>
      </c>
      <c r="AB41" s="15">
        <v>1</v>
      </c>
      <c r="AC41" s="15">
        <v>0.875</v>
      </c>
      <c r="AD41" s="15">
        <v>0.5714285714285714</v>
      </c>
      <c r="AE41" s="15">
        <v>0.82599999999999996</v>
      </c>
      <c r="AF41" s="20">
        <v>19</v>
      </c>
      <c r="AG41" s="20" t="s">
        <v>8</v>
      </c>
      <c r="AH41" s="24">
        <v>23</v>
      </c>
      <c r="AI41" s="23">
        <f t="shared" si="1"/>
        <v>1</v>
      </c>
      <c r="AJ41" s="17">
        <v>5.75</v>
      </c>
      <c r="AK41" s="17">
        <v>7.75</v>
      </c>
      <c r="AL41" s="14">
        <v>13.5</v>
      </c>
      <c r="AM41" s="23" cm="1">
        <f t="array" ref="AM41">IF(OR(AN41:AZ41=""),"BLANK",IF(AND(AN41:AZ41&lt;9999999),1,IF(AND(AN41:AZ41="NA"),3,2)))</f>
        <v>1</v>
      </c>
      <c r="AN41" s="20">
        <v>11</v>
      </c>
      <c r="AO41" s="26">
        <v>2</v>
      </c>
      <c r="AP41" s="15">
        <v>3</v>
      </c>
      <c r="AQ41" s="15">
        <v>4</v>
      </c>
      <c r="AR41" s="15">
        <v>6.75</v>
      </c>
      <c r="AS41" s="26">
        <v>4277.5</v>
      </c>
      <c r="AT41" s="26">
        <v>9117</v>
      </c>
      <c r="AU41" s="26">
        <v>16970</v>
      </c>
      <c r="AV41" s="26">
        <v>12128.75</v>
      </c>
      <c r="AW41" s="26">
        <v>0</v>
      </c>
      <c r="AX41" s="26">
        <v>0</v>
      </c>
      <c r="AY41" s="26">
        <v>0</v>
      </c>
      <c r="AZ41" s="26">
        <v>1422.7958333332999</v>
      </c>
      <c r="BA41" s="23">
        <f t="shared" si="2"/>
        <v>1</v>
      </c>
      <c r="BB41" s="24">
        <v>36</v>
      </c>
    </row>
    <row r="42" spans="1:54" x14ac:dyDescent="0.2">
      <c r="A42" s="5">
        <v>261</v>
      </c>
      <c r="B42" s="20" t="s">
        <v>80</v>
      </c>
      <c r="C42" s="18" t="s">
        <v>54</v>
      </c>
      <c r="D42" s="18">
        <v>5</v>
      </c>
      <c r="E42" s="18">
        <v>0</v>
      </c>
      <c r="F42" s="18" t="s">
        <v>9</v>
      </c>
      <c r="G42" s="18">
        <v>30</v>
      </c>
      <c r="H42" s="22">
        <v>4.1998631074606436</v>
      </c>
      <c r="I42" s="22" t="s">
        <v>8</v>
      </c>
      <c r="J42" s="22" t="s">
        <v>8</v>
      </c>
      <c r="K42" s="22">
        <v>4.3148528405201914</v>
      </c>
      <c r="L42" s="22" t="s">
        <v>8</v>
      </c>
      <c r="M42" s="22" t="s">
        <v>8</v>
      </c>
      <c r="N42" s="22">
        <v>4.2299794661190964</v>
      </c>
      <c r="O42" s="22" t="s">
        <v>8</v>
      </c>
      <c r="P42" s="22" t="s">
        <v>8</v>
      </c>
      <c r="Q42" s="22" t="s">
        <v>8</v>
      </c>
      <c r="R42" s="22" t="s">
        <v>8</v>
      </c>
      <c r="S42" s="22" t="s">
        <v>8</v>
      </c>
      <c r="T42" s="30">
        <v>4</v>
      </c>
      <c r="U42" s="30">
        <v>16</v>
      </c>
      <c r="V42" s="20" t="s">
        <v>1</v>
      </c>
      <c r="W42" s="20">
        <v>5</v>
      </c>
      <c r="X42" s="20">
        <v>2</v>
      </c>
      <c r="Y42" s="5">
        <v>1</v>
      </c>
      <c r="Z42" s="24">
        <v>4</v>
      </c>
      <c r="AA42" s="23">
        <f t="shared" si="0"/>
        <v>1</v>
      </c>
      <c r="AB42" s="15">
        <v>1</v>
      </c>
      <c r="AC42" s="15">
        <v>0.5</v>
      </c>
      <c r="AD42" s="15">
        <v>0.625</v>
      </c>
      <c r="AE42" s="15">
        <v>0.70799999999999996</v>
      </c>
      <c r="AF42" s="20">
        <v>17</v>
      </c>
      <c r="AG42" s="20">
        <v>2.57</v>
      </c>
      <c r="AH42" s="24">
        <v>24</v>
      </c>
      <c r="AI42" s="23">
        <f t="shared" si="1"/>
        <v>1</v>
      </c>
      <c r="AJ42" s="17">
        <v>4.5</v>
      </c>
      <c r="AK42" s="17">
        <v>9.25</v>
      </c>
      <c r="AL42" s="14">
        <v>13.75</v>
      </c>
      <c r="AM42" s="23" cm="1">
        <f t="array" ref="AM42">IF(OR(AN42:AZ42=""),"BLANK",IF(AND(AN42:AZ42&lt;9999999),1,IF(AND(AN42:AZ42="NA"),3,2)))</f>
        <v>1</v>
      </c>
      <c r="AN42" s="20">
        <v>6</v>
      </c>
      <c r="AO42" s="26">
        <v>2</v>
      </c>
      <c r="AP42" s="15">
        <v>3</v>
      </c>
      <c r="AQ42" s="15">
        <v>6</v>
      </c>
      <c r="AR42" s="15">
        <v>9.75</v>
      </c>
      <c r="AS42" s="26">
        <v>0</v>
      </c>
      <c r="AT42" s="26">
        <v>6519.5</v>
      </c>
      <c r="AU42" s="26">
        <v>4615.5</v>
      </c>
      <c r="AV42" s="26">
        <v>10661.75</v>
      </c>
      <c r="AW42" s="26">
        <v>0</v>
      </c>
      <c r="AX42" s="26">
        <v>0</v>
      </c>
      <c r="AY42" s="26">
        <v>5866.0428571429002</v>
      </c>
      <c r="AZ42" s="26">
        <v>7215.4333333332997</v>
      </c>
      <c r="BA42" s="23">
        <f t="shared" si="2"/>
        <v>1</v>
      </c>
      <c r="BB42" s="24">
        <v>30</v>
      </c>
    </row>
    <row r="43" spans="1:54" x14ac:dyDescent="0.2">
      <c r="A43" s="5">
        <v>274</v>
      </c>
      <c r="B43" s="20" t="s">
        <v>68</v>
      </c>
      <c r="C43" s="18" t="s">
        <v>55</v>
      </c>
      <c r="D43" s="18">
        <v>5</v>
      </c>
      <c r="E43" s="18">
        <v>0</v>
      </c>
      <c r="F43" s="18" t="s">
        <v>9</v>
      </c>
      <c r="G43" s="18">
        <v>29</v>
      </c>
      <c r="H43" s="22">
        <v>4.043805612594114</v>
      </c>
      <c r="I43" s="22">
        <v>5.415468856947296</v>
      </c>
      <c r="J43" s="22">
        <v>9.4592744695414108</v>
      </c>
      <c r="K43" s="22">
        <v>4.043805612594114</v>
      </c>
      <c r="L43" s="22">
        <v>5.5003422313483918</v>
      </c>
      <c r="M43" s="22">
        <v>9.5441478439425058</v>
      </c>
      <c r="N43" s="22">
        <v>4.0301163586584527</v>
      </c>
      <c r="O43" s="22" t="s">
        <v>8</v>
      </c>
      <c r="P43" s="22" t="s">
        <v>8</v>
      </c>
      <c r="Q43" s="22">
        <v>3.1978097193702943</v>
      </c>
      <c r="R43" s="22" t="s">
        <v>8</v>
      </c>
      <c r="S43" s="22" t="s">
        <v>8</v>
      </c>
      <c r="T43" s="30">
        <v>4</v>
      </c>
      <c r="U43" s="30">
        <v>16</v>
      </c>
      <c r="V43" s="20" t="s">
        <v>1</v>
      </c>
      <c r="W43" s="20">
        <v>5</v>
      </c>
      <c r="X43" s="20">
        <v>2</v>
      </c>
      <c r="Y43" s="5">
        <v>1</v>
      </c>
      <c r="Z43" s="24">
        <v>4</v>
      </c>
      <c r="AA43" s="23">
        <f t="shared" si="0"/>
        <v>1</v>
      </c>
      <c r="AB43" s="15">
        <v>0.875</v>
      </c>
      <c r="AC43" s="15">
        <v>0.875</v>
      </c>
      <c r="AD43" s="15">
        <v>0.75</v>
      </c>
      <c r="AE43" s="15">
        <v>0.83299999999999996</v>
      </c>
      <c r="AF43" s="20">
        <v>20</v>
      </c>
      <c r="AG43" s="20">
        <v>3.15</v>
      </c>
      <c r="AH43" s="24">
        <v>24</v>
      </c>
      <c r="AI43" s="23">
        <f t="shared" si="1"/>
        <v>1</v>
      </c>
      <c r="AJ43" s="17">
        <v>6</v>
      </c>
      <c r="AK43" s="17">
        <v>7</v>
      </c>
      <c r="AL43" s="14">
        <v>13</v>
      </c>
      <c r="AM43" s="23" cm="1">
        <f t="array" ref="AM43">IF(OR(AN43:AZ43=""),"BLANK",IF(AND(AN43:AZ43&lt;9999999),1,IF(AND(AN43:AZ43="NA"),3,2)))</f>
        <v>1</v>
      </c>
      <c r="AN43" s="20">
        <v>9</v>
      </c>
      <c r="AO43" s="26">
        <v>2</v>
      </c>
      <c r="AP43" s="15">
        <v>3</v>
      </c>
      <c r="AQ43" s="15">
        <v>4.25</v>
      </c>
      <c r="AR43" s="15">
        <v>5.75</v>
      </c>
      <c r="AS43" s="26">
        <v>4068</v>
      </c>
      <c r="AT43" s="26">
        <v>15616.5</v>
      </c>
      <c r="AU43" s="26">
        <v>6649</v>
      </c>
      <c r="AV43" s="26">
        <v>8267.5</v>
      </c>
      <c r="AW43" s="26">
        <v>0</v>
      </c>
      <c r="AX43" s="26">
        <v>0</v>
      </c>
      <c r="AY43" s="26">
        <v>6816.8249999999998</v>
      </c>
      <c r="AZ43" s="26">
        <v>4944.9166666666997</v>
      </c>
      <c r="BA43" s="23">
        <f t="shared" si="2"/>
        <v>1</v>
      </c>
      <c r="BB43" s="24">
        <v>24</v>
      </c>
    </row>
    <row r="44" spans="1:54" x14ac:dyDescent="0.2">
      <c r="A44" s="5">
        <v>311</v>
      </c>
      <c r="B44" s="20" t="s">
        <v>68</v>
      </c>
      <c r="C44" s="18" t="s">
        <v>54</v>
      </c>
      <c r="D44" s="18">
        <v>5</v>
      </c>
      <c r="E44" s="18">
        <v>0</v>
      </c>
      <c r="F44" s="18" t="s">
        <v>9</v>
      </c>
      <c r="G44" s="18">
        <v>26</v>
      </c>
      <c r="H44" s="22">
        <v>4.0821355236139629</v>
      </c>
      <c r="I44" s="22" t="s">
        <v>8</v>
      </c>
      <c r="J44" s="22" t="s">
        <v>8</v>
      </c>
      <c r="K44" s="22">
        <v>4.0985626283367553</v>
      </c>
      <c r="L44" s="22" t="s">
        <v>8</v>
      </c>
      <c r="M44" s="22" t="s">
        <v>8</v>
      </c>
      <c r="N44" s="22">
        <v>4.0492813141683781</v>
      </c>
      <c r="O44" s="22" t="s">
        <v>8</v>
      </c>
      <c r="P44" s="22" t="s">
        <v>8</v>
      </c>
      <c r="Q44" s="22">
        <v>3.2607802874743328</v>
      </c>
      <c r="R44" s="22" t="s">
        <v>8</v>
      </c>
      <c r="S44" s="22" t="s">
        <v>8</v>
      </c>
      <c r="T44" s="30">
        <v>3</v>
      </c>
      <c r="U44" s="30">
        <v>14</v>
      </c>
      <c r="V44" s="20" t="s">
        <v>1</v>
      </c>
      <c r="W44" s="20">
        <v>5</v>
      </c>
      <c r="X44" s="20">
        <v>2</v>
      </c>
      <c r="Y44" s="5">
        <v>1</v>
      </c>
      <c r="Z44" s="24">
        <v>4</v>
      </c>
      <c r="AA44" s="23">
        <f t="shared" si="0"/>
        <v>1</v>
      </c>
      <c r="AB44" s="15">
        <v>0.7142857142857143</v>
      </c>
      <c r="AC44" s="15">
        <v>0.75</v>
      </c>
      <c r="AD44" s="15">
        <v>0.25</v>
      </c>
      <c r="AE44" s="15">
        <v>0.56499999999999995</v>
      </c>
      <c r="AF44" s="20">
        <v>13</v>
      </c>
      <c r="AG44" s="20">
        <v>8.33</v>
      </c>
      <c r="AH44" s="24">
        <v>23</v>
      </c>
      <c r="AI44" s="23">
        <f t="shared" si="1"/>
        <v>1</v>
      </c>
      <c r="AJ44" s="17">
        <v>1.5</v>
      </c>
      <c r="AK44" s="17">
        <v>4.25</v>
      </c>
      <c r="AL44" s="14">
        <v>5.75</v>
      </c>
      <c r="AM44" s="23" cm="1">
        <f t="array" ref="AM44">IF(OR(AN44:AZ44=""),"BLANK",IF(AND(AN44:AZ44&lt;9999999),1,IF(AND(AN44:AZ44="NA"),3,2)))</f>
        <v>1</v>
      </c>
      <c r="AN44" s="20">
        <v>5</v>
      </c>
      <c r="AO44" s="26">
        <v>2</v>
      </c>
      <c r="AP44" s="15">
        <v>5.5</v>
      </c>
      <c r="AQ44" s="15">
        <v>6.25</v>
      </c>
      <c r="AR44" s="15">
        <v>7.25</v>
      </c>
      <c r="AS44" s="26">
        <v>3044</v>
      </c>
      <c r="AT44" s="26">
        <v>6160</v>
      </c>
      <c r="AU44" s="26">
        <v>4045.75</v>
      </c>
      <c r="AV44" s="26">
        <v>9932.25</v>
      </c>
      <c r="AW44" s="26">
        <v>0</v>
      </c>
      <c r="AX44" s="26">
        <v>3303.45</v>
      </c>
      <c r="AY44" s="26">
        <v>2811.1374999999998</v>
      </c>
      <c r="AZ44" s="26">
        <v>0</v>
      </c>
      <c r="BA44" s="23">
        <f t="shared" si="2"/>
        <v>1</v>
      </c>
      <c r="BB44" s="24">
        <v>28</v>
      </c>
    </row>
    <row r="45" spans="1:54" x14ac:dyDescent="0.2">
      <c r="A45" s="5">
        <v>318</v>
      </c>
      <c r="B45" s="20" t="s">
        <v>83</v>
      </c>
      <c r="C45" s="18" t="s">
        <v>54</v>
      </c>
      <c r="D45" s="18">
        <v>5</v>
      </c>
      <c r="E45" s="18">
        <v>0</v>
      </c>
      <c r="F45" s="18" t="s">
        <v>9</v>
      </c>
      <c r="G45" s="18">
        <v>28</v>
      </c>
      <c r="H45" s="22">
        <v>4.1177275838466807</v>
      </c>
      <c r="I45" s="22" t="s">
        <v>8</v>
      </c>
      <c r="J45" s="22" t="s">
        <v>8</v>
      </c>
      <c r="K45" s="22" t="s">
        <v>8</v>
      </c>
      <c r="L45" s="22" t="s">
        <v>8</v>
      </c>
      <c r="M45" s="22" t="s">
        <v>8</v>
      </c>
      <c r="N45" s="22" t="s">
        <v>8</v>
      </c>
      <c r="O45" s="22" t="s">
        <v>8</v>
      </c>
      <c r="P45" s="22" t="s">
        <v>8</v>
      </c>
      <c r="Q45" s="22" t="s">
        <v>8</v>
      </c>
      <c r="R45" s="22" t="s">
        <v>8</v>
      </c>
      <c r="S45" s="22" t="s">
        <v>8</v>
      </c>
      <c r="T45" s="30" t="s">
        <v>8</v>
      </c>
      <c r="U45" s="30" t="s">
        <v>8</v>
      </c>
      <c r="V45" s="20" t="s">
        <v>1</v>
      </c>
      <c r="W45" s="20">
        <v>5</v>
      </c>
      <c r="X45" s="20">
        <v>2</v>
      </c>
      <c r="Y45" s="5">
        <v>1</v>
      </c>
      <c r="Z45" s="24">
        <v>4</v>
      </c>
      <c r="AA45" s="23">
        <f t="shared" si="0"/>
        <v>3</v>
      </c>
      <c r="AB45" s="15" t="s">
        <v>8</v>
      </c>
      <c r="AC45" s="15" t="s">
        <v>8</v>
      </c>
      <c r="AD45" s="15" t="s">
        <v>8</v>
      </c>
      <c r="AE45" s="15" t="s">
        <v>8</v>
      </c>
      <c r="AF45" s="20" t="s">
        <v>8</v>
      </c>
      <c r="AG45" s="20" t="s">
        <v>8</v>
      </c>
      <c r="AH45" s="24" t="s">
        <v>8</v>
      </c>
      <c r="AI45" s="23">
        <f t="shared" si="1"/>
        <v>3</v>
      </c>
      <c r="AJ45" s="17" t="s">
        <v>8</v>
      </c>
      <c r="AK45" s="17" t="s">
        <v>8</v>
      </c>
      <c r="AL45" s="14" t="s">
        <v>8</v>
      </c>
      <c r="AM45" s="23" cm="1">
        <f t="array" ref="AM45">IF(OR(AN45:AZ45=""),"BLANK",IF(AND(AN45:AZ45&lt;9999999),1,IF(AND(AN45:AZ45="NA"),3,2)))</f>
        <v>1</v>
      </c>
      <c r="AN45" s="20">
        <v>8</v>
      </c>
      <c r="AO45" s="26">
        <v>2</v>
      </c>
      <c r="AP45" s="15">
        <v>3</v>
      </c>
      <c r="AQ45" s="15">
        <v>5.75</v>
      </c>
      <c r="AR45" s="15">
        <v>7.5</v>
      </c>
      <c r="AS45" s="26">
        <v>1350</v>
      </c>
      <c r="AT45" s="26">
        <v>15034</v>
      </c>
      <c r="AU45" s="26">
        <v>7198.25</v>
      </c>
      <c r="AV45" s="26">
        <v>8934.25</v>
      </c>
      <c r="AW45" s="26">
        <v>0</v>
      </c>
      <c r="AX45" s="26">
        <v>0</v>
      </c>
      <c r="AY45" s="26">
        <v>18437.347222222201</v>
      </c>
      <c r="AZ45" s="26">
        <v>7518.8645833333003</v>
      </c>
      <c r="BA45" s="23">
        <f t="shared" si="2"/>
        <v>3</v>
      </c>
      <c r="BB45" s="24" t="s">
        <v>8</v>
      </c>
    </row>
    <row r="46" spans="1:54" x14ac:dyDescent="0.2">
      <c r="A46" s="5">
        <v>324</v>
      </c>
      <c r="B46" s="20" t="s">
        <v>67</v>
      </c>
      <c r="C46" s="18" t="s">
        <v>54</v>
      </c>
      <c r="D46" s="18">
        <v>5</v>
      </c>
      <c r="E46" s="18">
        <v>0</v>
      </c>
      <c r="F46" s="18" t="s">
        <v>9</v>
      </c>
      <c r="G46" s="18">
        <v>29</v>
      </c>
      <c r="H46" s="22">
        <v>4.5256673511293632</v>
      </c>
      <c r="I46" s="22" t="s">
        <v>8</v>
      </c>
      <c r="J46" s="22" t="s">
        <v>8</v>
      </c>
      <c r="K46" s="22">
        <v>4.5256673511293632</v>
      </c>
      <c r="L46" s="22" t="s">
        <v>8</v>
      </c>
      <c r="M46" s="22" t="s">
        <v>8</v>
      </c>
      <c r="N46" s="22">
        <v>4.4134154688569476</v>
      </c>
      <c r="O46" s="22" t="s">
        <v>8</v>
      </c>
      <c r="P46" s="22" t="s">
        <v>8</v>
      </c>
      <c r="Q46" s="22">
        <v>3.0143737166324436</v>
      </c>
      <c r="R46" s="22" t="s">
        <v>8</v>
      </c>
      <c r="S46" s="22" t="s">
        <v>8</v>
      </c>
      <c r="T46" s="30">
        <v>6</v>
      </c>
      <c r="U46" s="30">
        <v>18</v>
      </c>
      <c r="V46" s="20" t="s">
        <v>1</v>
      </c>
      <c r="W46" s="20">
        <v>5</v>
      </c>
      <c r="X46" s="20">
        <v>2</v>
      </c>
      <c r="Y46" s="5">
        <v>1</v>
      </c>
      <c r="Z46" s="24">
        <v>4</v>
      </c>
      <c r="AA46" s="23">
        <f t="shared" si="0"/>
        <v>1</v>
      </c>
      <c r="AB46" s="15">
        <v>1</v>
      </c>
      <c r="AC46" s="15">
        <v>1</v>
      </c>
      <c r="AD46" s="15">
        <v>0.875</v>
      </c>
      <c r="AE46" s="15">
        <v>0.95799999999999996</v>
      </c>
      <c r="AF46" s="20">
        <v>23</v>
      </c>
      <c r="AG46" s="20">
        <v>4.13</v>
      </c>
      <c r="AH46" s="24">
        <v>24</v>
      </c>
      <c r="AI46" s="23">
        <f t="shared" si="1"/>
        <v>1</v>
      </c>
      <c r="AJ46" s="17">
        <v>13.75</v>
      </c>
      <c r="AK46" s="17">
        <v>11</v>
      </c>
      <c r="AL46" s="14">
        <v>24.75</v>
      </c>
      <c r="AM46" s="23" cm="1">
        <f t="array" ref="AM46">IF(OR(AN46:AZ46=""),"BLANK",IF(AND(AN46:AZ46&lt;9999999),1,IF(AND(AN46:AZ46="NA"),3,2)))</f>
        <v>1</v>
      </c>
      <c r="AN46" s="20">
        <v>12</v>
      </c>
      <c r="AO46" s="26">
        <v>2</v>
      </c>
      <c r="AP46" s="15">
        <v>3</v>
      </c>
      <c r="AQ46" s="15">
        <v>4</v>
      </c>
      <c r="AR46" s="15">
        <v>5</v>
      </c>
      <c r="AS46" s="26">
        <v>1596.5</v>
      </c>
      <c r="AT46" s="26">
        <v>3038.5</v>
      </c>
      <c r="AU46" s="26">
        <v>4091.25</v>
      </c>
      <c r="AV46" s="26">
        <v>7746.75</v>
      </c>
      <c r="AW46" s="26">
        <v>0</v>
      </c>
      <c r="AX46" s="26">
        <v>0</v>
      </c>
      <c r="AY46" s="26">
        <v>0</v>
      </c>
      <c r="AZ46" s="26">
        <v>0</v>
      </c>
      <c r="BA46" s="23">
        <f t="shared" si="2"/>
        <v>1</v>
      </c>
      <c r="BB46" s="24">
        <v>37</v>
      </c>
    </row>
    <row r="47" spans="1:54" x14ac:dyDescent="0.2">
      <c r="A47" s="5">
        <v>326</v>
      </c>
      <c r="B47" s="20" t="s">
        <v>74</v>
      </c>
      <c r="C47" s="18" t="s">
        <v>54</v>
      </c>
      <c r="D47" s="18">
        <v>5</v>
      </c>
      <c r="E47" s="18">
        <v>0</v>
      </c>
      <c r="F47" s="18" t="s">
        <v>9</v>
      </c>
      <c r="G47" s="18">
        <v>30</v>
      </c>
      <c r="H47" s="22">
        <v>4.4079397672826834</v>
      </c>
      <c r="I47" s="22">
        <v>5.7084188911704308</v>
      </c>
      <c r="J47" s="22">
        <v>10.116358658453114</v>
      </c>
      <c r="K47" s="22">
        <v>4.4079397672826834</v>
      </c>
      <c r="L47" s="22">
        <v>5.7084188911704308</v>
      </c>
      <c r="M47" s="22">
        <v>10.116358658453114</v>
      </c>
      <c r="N47" s="22">
        <v>4.4052019164955514</v>
      </c>
      <c r="O47" s="22">
        <v>5.5003422313483918</v>
      </c>
      <c r="P47" s="22">
        <v>9.9055441478439423</v>
      </c>
      <c r="Q47" s="22">
        <v>3.3483915126625599</v>
      </c>
      <c r="R47" s="22">
        <v>6.3189596167008899</v>
      </c>
      <c r="S47" s="22">
        <v>9.6673511293634498</v>
      </c>
      <c r="T47" s="30">
        <v>3</v>
      </c>
      <c r="U47" s="30">
        <v>14</v>
      </c>
      <c r="V47" s="20" t="s">
        <v>1</v>
      </c>
      <c r="W47" s="20">
        <v>5</v>
      </c>
      <c r="X47" s="20">
        <v>2</v>
      </c>
      <c r="Y47" s="5">
        <v>1</v>
      </c>
      <c r="Z47" s="24">
        <v>4</v>
      </c>
      <c r="AA47" s="23">
        <f t="shared" si="0"/>
        <v>1</v>
      </c>
      <c r="AB47" s="15">
        <v>1</v>
      </c>
      <c r="AC47" s="15">
        <v>1</v>
      </c>
      <c r="AD47" s="15">
        <v>0.625</v>
      </c>
      <c r="AE47" s="15">
        <v>0.875</v>
      </c>
      <c r="AF47" s="20">
        <v>21</v>
      </c>
      <c r="AG47" s="20">
        <v>6.88</v>
      </c>
      <c r="AH47" s="24">
        <v>24</v>
      </c>
      <c r="AI47" s="23">
        <f t="shared" si="1"/>
        <v>1</v>
      </c>
      <c r="AJ47" s="17">
        <v>8</v>
      </c>
      <c r="AK47" s="17">
        <v>7.75</v>
      </c>
      <c r="AL47" s="14">
        <v>15.75</v>
      </c>
      <c r="AM47" s="23" cm="1">
        <f t="array" ref="AM47">IF(OR(AN47:AZ47=""),"BLANK",IF(AND(AN47:AZ47&lt;9999999),1,IF(AND(AN47:AZ47="NA"),3,2)))</f>
        <v>1</v>
      </c>
      <c r="AN47" s="20">
        <v>11</v>
      </c>
      <c r="AO47" s="26">
        <v>2</v>
      </c>
      <c r="AP47" s="15">
        <v>3</v>
      </c>
      <c r="AQ47" s="15">
        <v>4</v>
      </c>
      <c r="AR47" s="15">
        <v>6.25</v>
      </c>
      <c r="AS47" s="26">
        <v>1849</v>
      </c>
      <c r="AT47" s="26">
        <v>4626</v>
      </c>
      <c r="AU47" s="26">
        <v>8514.25</v>
      </c>
      <c r="AV47" s="26">
        <v>11178.5</v>
      </c>
      <c r="AW47" s="26">
        <v>0</v>
      </c>
      <c r="AX47" s="26">
        <v>0</v>
      </c>
      <c r="AY47" s="26">
        <v>0</v>
      </c>
      <c r="AZ47" s="26">
        <v>649.625</v>
      </c>
      <c r="BA47" s="23">
        <f t="shared" si="2"/>
        <v>1</v>
      </c>
      <c r="BB47" s="24">
        <v>34</v>
      </c>
    </row>
    <row r="48" spans="1:54" x14ac:dyDescent="0.2">
      <c r="A48" s="5">
        <v>327</v>
      </c>
      <c r="B48" s="20" t="s">
        <v>67</v>
      </c>
      <c r="C48" s="18" t="s">
        <v>54</v>
      </c>
      <c r="D48" s="18">
        <v>5</v>
      </c>
      <c r="E48" s="18">
        <v>0</v>
      </c>
      <c r="F48" s="18" t="s">
        <v>9</v>
      </c>
      <c r="G48" s="18">
        <v>30</v>
      </c>
      <c r="H48" s="22">
        <v>4.1505817932922655</v>
      </c>
      <c r="I48" s="22">
        <v>5.6344969199178641</v>
      </c>
      <c r="J48" s="22">
        <v>9.7850787132101296</v>
      </c>
      <c r="K48" s="22">
        <v>4.1505817932922655</v>
      </c>
      <c r="L48" s="22" t="s">
        <v>8</v>
      </c>
      <c r="M48" s="22" t="s">
        <v>8</v>
      </c>
      <c r="N48" s="22">
        <v>4.1451060917180014</v>
      </c>
      <c r="O48" s="22">
        <v>5.5961670088980151</v>
      </c>
      <c r="P48" s="22">
        <v>9.7412731006160165</v>
      </c>
      <c r="Q48" s="22" t="s">
        <v>8</v>
      </c>
      <c r="R48" s="22" t="s">
        <v>8</v>
      </c>
      <c r="S48" s="22" t="s">
        <v>8</v>
      </c>
      <c r="T48" s="30">
        <v>4</v>
      </c>
      <c r="U48" s="30">
        <v>16</v>
      </c>
      <c r="V48" s="20" t="s">
        <v>1</v>
      </c>
      <c r="W48" s="20">
        <v>5</v>
      </c>
      <c r="X48" s="20">
        <v>2</v>
      </c>
      <c r="Y48" s="5">
        <v>1</v>
      </c>
      <c r="Z48" s="24">
        <v>4</v>
      </c>
      <c r="AA48" s="23">
        <f t="shared" si="0"/>
        <v>2</v>
      </c>
      <c r="AB48" s="15">
        <v>1</v>
      </c>
      <c r="AC48" s="15">
        <v>1</v>
      </c>
      <c r="AD48" s="15">
        <v>0.75</v>
      </c>
      <c r="AE48" s="15">
        <v>0.91700000000000004</v>
      </c>
      <c r="AF48" s="20">
        <v>22</v>
      </c>
      <c r="AG48" s="20" t="s">
        <v>8</v>
      </c>
      <c r="AH48" s="24">
        <v>24</v>
      </c>
      <c r="AI48" s="23">
        <f t="shared" si="1"/>
        <v>1</v>
      </c>
      <c r="AJ48" s="17">
        <v>13.75</v>
      </c>
      <c r="AK48" s="17">
        <v>11.75</v>
      </c>
      <c r="AL48" s="14">
        <v>25.5</v>
      </c>
      <c r="AM48" s="23" cm="1">
        <f t="array" ref="AM48">IF(OR(AN48:AZ48=""),"BLANK",IF(AND(AN48:AZ48&lt;9999999),1,IF(AND(AN48:AZ48="NA"),3,2)))</f>
        <v>3</v>
      </c>
      <c r="AN48" s="18" t="s">
        <v>8</v>
      </c>
      <c r="AO48" s="32" t="s">
        <v>8</v>
      </c>
      <c r="AP48" s="17" t="s">
        <v>8</v>
      </c>
      <c r="AQ48" s="17" t="s">
        <v>8</v>
      </c>
      <c r="AR48" s="17" t="s">
        <v>8</v>
      </c>
      <c r="AS48" s="32" t="s">
        <v>8</v>
      </c>
      <c r="AT48" s="32" t="s">
        <v>8</v>
      </c>
      <c r="AU48" s="32" t="s">
        <v>8</v>
      </c>
      <c r="AV48" s="32" t="s">
        <v>8</v>
      </c>
      <c r="AW48" s="32" t="s">
        <v>8</v>
      </c>
      <c r="AX48" s="32" t="s">
        <v>8</v>
      </c>
      <c r="AY48" s="32" t="s">
        <v>8</v>
      </c>
      <c r="AZ48" s="32" t="s">
        <v>8</v>
      </c>
      <c r="BA48" s="23">
        <f t="shared" si="2"/>
        <v>1</v>
      </c>
      <c r="BB48" s="24">
        <v>40</v>
      </c>
    </row>
    <row r="49" spans="1:54" x14ac:dyDescent="0.2">
      <c r="A49" s="5">
        <v>335</v>
      </c>
      <c r="B49" s="20" t="s">
        <v>74</v>
      </c>
      <c r="C49" s="18" t="s">
        <v>54</v>
      </c>
      <c r="D49" s="18">
        <v>5</v>
      </c>
      <c r="E49" s="18">
        <v>0</v>
      </c>
      <c r="F49" s="18" t="s">
        <v>9</v>
      </c>
      <c r="G49" s="18">
        <v>30</v>
      </c>
      <c r="H49" s="22">
        <v>4.3969883641341543</v>
      </c>
      <c r="I49" s="22">
        <v>5.2950034223134841</v>
      </c>
      <c r="J49" s="22">
        <v>9.6919917864476393</v>
      </c>
      <c r="K49" s="22">
        <v>4.4380561259411362</v>
      </c>
      <c r="L49" s="22">
        <v>5.2539356605065022</v>
      </c>
      <c r="M49" s="22">
        <v>9.6919917864476393</v>
      </c>
      <c r="N49" s="22">
        <v>4.3641341546885695</v>
      </c>
      <c r="O49" s="22">
        <v>5.2867898699520879</v>
      </c>
      <c r="P49" s="22">
        <v>9.6509240246406574</v>
      </c>
      <c r="Q49" s="22">
        <v>3.0198494182067077</v>
      </c>
      <c r="R49" s="22" t="s">
        <v>8</v>
      </c>
      <c r="S49" s="22" t="s">
        <v>8</v>
      </c>
      <c r="T49" s="30">
        <v>4</v>
      </c>
      <c r="U49" s="30">
        <v>16</v>
      </c>
      <c r="V49" s="20" t="s">
        <v>1</v>
      </c>
      <c r="W49" s="20">
        <v>5</v>
      </c>
      <c r="X49" s="20">
        <v>2</v>
      </c>
      <c r="Y49" s="5">
        <v>1</v>
      </c>
      <c r="Z49" s="24">
        <v>4</v>
      </c>
      <c r="AA49" s="23">
        <f t="shared" si="0"/>
        <v>1</v>
      </c>
      <c r="AB49" s="15">
        <v>0.875</v>
      </c>
      <c r="AC49" s="15">
        <v>1</v>
      </c>
      <c r="AD49" s="15">
        <v>0.75</v>
      </c>
      <c r="AE49" s="15">
        <v>0.875</v>
      </c>
      <c r="AF49" s="20">
        <v>21</v>
      </c>
      <c r="AG49" s="20">
        <v>4.38</v>
      </c>
      <c r="AH49" s="24">
        <v>24</v>
      </c>
      <c r="AI49" s="23">
        <f t="shared" si="1"/>
        <v>1</v>
      </c>
      <c r="AJ49" s="17">
        <v>10</v>
      </c>
      <c r="AK49" s="17">
        <v>8.75</v>
      </c>
      <c r="AL49" s="14">
        <v>18.75</v>
      </c>
      <c r="AM49" s="23" cm="1">
        <f t="array" ref="AM49">IF(OR(AN49:AZ49=""),"BLANK",IF(AND(AN49:AZ49&lt;9999999),1,IF(AND(AN49:AZ49="NA"),3,2)))</f>
        <v>1</v>
      </c>
      <c r="AN49" s="20">
        <v>10</v>
      </c>
      <c r="AO49" s="26">
        <v>2</v>
      </c>
      <c r="AP49" s="15">
        <v>3</v>
      </c>
      <c r="AQ49" s="15">
        <v>5.25</v>
      </c>
      <c r="AR49" s="15">
        <v>6</v>
      </c>
      <c r="AS49" s="26">
        <v>2336.5</v>
      </c>
      <c r="AT49" s="26">
        <v>7549</v>
      </c>
      <c r="AU49" s="26">
        <v>6375.25</v>
      </c>
      <c r="AV49" s="26">
        <v>14666.75</v>
      </c>
      <c r="AW49" s="26">
        <v>0</v>
      </c>
      <c r="AX49" s="26">
        <v>0</v>
      </c>
      <c r="AY49" s="26">
        <v>660.5972222222</v>
      </c>
      <c r="AZ49" s="26">
        <v>527.87777777780002</v>
      </c>
      <c r="BA49" s="23">
        <f t="shared" si="2"/>
        <v>1</v>
      </c>
      <c r="BB49" s="24">
        <v>38</v>
      </c>
    </row>
    <row r="50" spans="1:54" x14ac:dyDescent="0.2">
      <c r="A50" s="5">
        <v>341</v>
      </c>
      <c r="B50" s="20" t="s">
        <v>64</v>
      </c>
      <c r="C50" s="18" t="s">
        <v>55</v>
      </c>
      <c r="D50" s="18">
        <v>5</v>
      </c>
      <c r="E50" s="18">
        <v>0</v>
      </c>
      <c r="F50" s="18" t="s">
        <v>9</v>
      </c>
      <c r="G50" s="18">
        <v>30</v>
      </c>
      <c r="H50" s="22">
        <v>4.1642710472279258</v>
      </c>
      <c r="I50" s="22">
        <v>5.5167693360711842</v>
      </c>
      <c r="J50" s="22">
        <v>9.681040383299111</v>
      </c>
      <c r="K50" s="22">
        <v>4.1587953456536617</v>
      </c>
      <c r="L50" s="22">
        <v>5.5167693360711842</v>
      </c>
      <c r="M50" s="22">
        <v>9.6755646817248468</v>
      </c>
      <c r="N50" s="22">
        <v>4.1806981519507183</v>
      </c>
      <c r="O50" s="22">
        <v>5.4592744695414099</v>
      </c>
      <c r="P50" s="22">
        <v>9.6399726214921291</v>
      </c>
      <c r="Q50" s="22">
        <v>3.2169746748802188</v>
      </c>
      <c r="R50" s="22">
        <v>6.3436002737850785</v>
      </c>
      <c r="S50" s="22">
        <v>9.5605749486652982</v>
      </c>
      <c r="T50" s="30">
        <v>3</v>
      </c>
      <c r="U50" s="30">
        <v>14</v>
      </c>
      <c r="V50" s="20" t="s">
        <v>1</v>
      </c>
      <c r="W50" s="20">
        <v>5</v>
      </c>
      <c r="X50" s="20">
        <v>2</v>
      </c>
      <c r="Y50" s="5">
        <v>1</v>
      </c>
      <c r="Z50" s="24">
        <v>4</v>
      </c>
      <c r="AA50" s="23">
        <f t="shared" si="0"/>
        <v>1</v>
      </c>
      <c r="AB50" s="15">
        <v>1</v>
      </c>
      <c r="AC50" s="15">
        <v>0.75</v>
      </c>
      <c r="AD50" s="15">
        <v>0.625</v>
      </c>
      <c r="AE50" s="15">
        <v>0.79200000000000004</v>
      </c>
      <c r="AF50" s="20">
        <v>19</v>
      </c>
      <c r="AG50" s="20">
        <v>3.58</v>
      </c>
      <c r="AH50" s="24">
        <v>24</v>
      </c>
      <c r="AI50" s="23">
        <f t="shared" si="1"/>
        <v>1</v>
      </c>
      <c r="AJ50" s="17">
        <v>12</v>
      </c>
      <c r="AK50" s="17">
        <v>7</v>
      </c>
      <c r="AL50" s="14">
        <v>19</v>
      </c>
      <c r="AM50" s="23" cm="1">
        <f t="array" ref="AM50">IF(OR(AN50:AZ50=""),"BLANK",IF(AND(AN50:AZ50&lt;9999999),1,IF(AND(AN50:AZ50="NA"),3,2)))</f>
        <v>1</v>
      </c>
      <c r="AN50" s="20">
        <v>10</v>
      </c>
      <c r="AO50" s="26">
        <v>2</v>
      </c>
      <c r="AP50" s="15">
        <v>3</v>
      </c>
      <c r="AQ50" s="15">
        <v>4.5</v>
      </c>
      <c r="AR50" s="15">
        <v>5.25</v>
      </c>
      <c r="AS50" s="26">
        <v>6853.5</v>
      </c>
      <c r="AT50" s="26">
        <v>5670.5</v>
      </c>
      <c r="AU50" s="26">
        <v>11904.5</v>
      </c>
      <c r="AV50" s="26">
        <v>18367.25</v>
      </c>
      <c r="AW50" s="26">
        <v>0</v>
      </c>
      <c r="AX50" s="26">
        <v>0</v>
      </c>
      <c r="AY50" s="26">
        <v>1154.1666666666999</v>
      </c>
      <c r="AZ50" s="26">
        <v>0</v>
      </c>
      <c r="BA50" s="23">
        <f t="shared" si="2"/>
        <v>1</v>
      </c>
      <c r="BB50" s="24">
        <v>34</v>
      </c>
    </row>
    <row r="51" spans="1:54" x14ac:dyDescent="0.2">
      <c r="A51" s="5">
        <v>346</v>
      </c>
      <c r="B51" s="20" t="s">
        <v>63</v>
      </c>
      <c r="C51" s="18" t="s">
        <v>54</v>
      </c>
      <c r="D51" s="18">
        <v>5</v>
      </c>
      <c r="E51" s="18">
        <v>0</v>
      </c>
      <c r="F51" s="18" t="s">
        <v>9</v>
      </c>
      <c r="G51" s="18">
        <v>30</v>
      </c>
      <c r="H51" s="22">
        <v>4.2518822724161529</v>
      </c>
      <c r="I51" s="22">
        <v>5.5824777549623548</v>
      </c>
      <c r="J51" s="22">
        <v>9.8343600273785086</v>
      </c>
      <c r="K51" s="22">
        <v>4.26009582477755</v>
      </c>
      <c r="L51" s="22">
        <v>5.5742642026009586</v>
      </c>
      <c r="M51" s="22">
        <v>9.8343600273785086</v>
      </c>
      <c r="N51" s="22">
        <v>4.1861738535249833</v>
      </c>
      <c r="O51" s="22">
        <v>5.2511978097193701</v>
      </c>
      <c r="P51" s="22">
        <v>9.4373716632443525</v>
      </c>
      <c r="Q51" s="22">
        <v>3.2799452429842573</v>
      </c>
      <c r="R51" s="22">
        <v>6.2067077344284733</v>
      </c>
      <c r="S51" s="22">
        <v>9.4866529774127315</v>
      </c>
      <c r="T51" s="30">
        <v>3</v>
      </c>
      <c r="U51" s="30">
        <v>14</v>
      </c>
      <c r="V51" s="20" t="s">
        <v>1</v>
      </c>
      <c r="W51" s="20">
        <v>5</v>
      </c>
      <c r="X51" s="20">
        <v>2</v>
      </c>
      <c r="Y51" s="5">
        <v>1</v>
      </c>
      <c r="Z51" s="24">
        <v>4</v>
      </c>
      <c r="AA51" s="23">
        <f t="shared" si="0"/>
        <v>1</v>
      </c>
      <c r="AB51" s="15">
        <v>1</v>
      </c>
      <c r="AC51" s="15">
        <v>1</v>
      </c>
      <c r="AD51" s="15">
        <v>0.875</v>
      </c>
      <c r="AE51" s="15">
        <v>0.95799999999999996</v>
      </c>
      <c r="AF51" s="20">
        <v>23</v>
      </c>
      <c r="AG51" s="20">
        <v>2.85</v>
      </c>
      <c r="AH51" s="24">
        <v>24</v>
      </c>
      <c r="AI51" s="23">
        <f t="shared" si="1"/>
        <v>1</v>
      </c>
      <c r="AJ51" s="17">
        <v>12</v>
      </c>
      <c r="AK51" s="17">
        <v>7.75</v>
      </c>
      <c r="AL51" s="14">
        <v>19.75</v>
      </c>
      <c r="AM51" s="23" cm="1">
        <f t="array" ref="AM51">IF(OR(AN51:AZ51=""),"BLANK",IF(AND(AN51:AZ51&lt;9999999),1,IF(AND(AN51:AZ51="NA"),3,2)))</f>
        <v>1</v>
      </c>
      <c r="AN51" s="20">
        <v>8</v>
      </c>
      <c r="AO51" s="26">
        <v>2</v>
      </c>
      <c r="AP51" s="15">
        <v>3</v>
      </c>
      <c r="AQ51" s="15">
        <v>6.5</v>
      </c>
      <c r="AR51" s="15">
        <v>6.25</v>
      </c>
      <c r="AS51" s="26">
        <v>2102</v>
      </c>
      <c r="AT51" s="26">
        <v>3655</v>
      </c>
      <c r="AU51" s="26">
        <v>8537.5</v>
      </c>
      <c r="AV51" s="26">
        <v>14081</v>
      </c>
      <c r="AW51" s="26">
        <v>0</v>
      </c>
      <c r="AX51" s="26">
        <v>0</v>
      </c>
      <c r="AY51" s="26">
        <v>7882.25</v>
      </c>
      <c r="AZ51" s="26">
        <v>862.58749999999998</v>
      </c>
      <c r="BA51" s="23">
        <f t="shared" si="2"/>
        <v>1</v>
      </c>
      <c r="BB51" s="24">
        <v>40</v>
      </c>
    </row>
    <row r="52" spans="1:54" x14ac:dyDescent="0.2">
      <c r="A52" s="5">
        <v>349</v>
      </c>
      <c r="B52" s="20" t="s">
        <v>68</v>
      </c>
      <c r="C52" s="18" t="s">
        <v>54</v>
      </c>
      <c r="D52" s="18">
        <v>5</v>
      </c>
      <c r="E52" s="18">
        <v>0</v>
      </c>
      <c r="F52" s="18" t="s">
        <v>9</v>
      </c>
      <c r="G52" s="18">
        <v>28</v>
      </c>
      <c r="H52" s="22">
        <v>3.9698836413415468</v>
      </c>
      <c r="I52" s="22" t="s">
        <v>8</v>
      </c>
      <c r="J52" s="22" t="s">
        <v>8</v>
      </c>
      <c r="K52" s="22">
        <v>3.978097193702943</v>
      </c>
      <c r="L52" s="22" t="s">
        <v>8</v>
      </c>
      <c r="M52" s="22" t="s">
        <v>8</v>
      </c>
      <c r="N52" s="22">
        <v>3.9671457905544147</v>
      </c>
      <c r="O52" s="22" t="s">
        <v>8</v>
      </c>
      <c r="P52" s="22" t="s">
        <v>8</v>
      </c>
      <c r="Q52" s="22">
        <v>3.4661190965092401</v>
      </c>
      <c r="R52" s="22" t="s">
        <v>8</v>
      </c>
      <c r="S52" s="22" t="s">
        <v>8</v>
      </c>
      <c r="T52" s="30">
        <v>6</v>
      </c>
      <c r="U52" s="30">
        <v>18</v>
      </c>
      <c r="V52" s="20" t="s">
        <v>1</v>
      </c>
      <c r="W52" s="20">
        <v>5</v>
      </c>
      <c r="X52" s="20">
        <v>2</v>
      </c>
      <c r="Y52" s="5">
        <v>1</v>
      </c>
      <c r="Z52" s="24">
        <v>4</v>
      </c>
      <c r="AA52" s="23">
        <f t="shared" si="0"/>
        <v>1</v>
      </c>
      <c r="AB52" s="15">
        <v>0.75</v>
      </c>
      <c r="AC52" s="15">
        <v>0.875</v>
      </c>
      <c r="AD52" s="15">
        <v>0.75</v>
      </c>
      <c r="AE52" s="15">
        <v>0.79200000000000004</v>
      </c>
      <c r="AF52" s="20">
        <v>19</v>
      </c>
      <c r="AG52" s="20">
        <v>0.93</v>
      </c>
      <c r="AH52" s="24">
        <v>24</v>
      </c>
      <c r="AI52" s="23">
        <f t="shared" si="1"/>
        <v>1</v>
      </c>
      <c r="AJ52" s="17">
        <v>7</v>
      </c>
      <c r="AK52" s="17">
        <v>6.5</v>
      </c>
      <c r="AL52" s="14">
        <v>13.5</v>
      </c>
      <c r="AM52" s="23" cm="1">
        <f t="array" ref="AM52">IF(OR(AN52:AZ52=""),"BLANK",IF(AND(AN52:AZ52&lt;9999999),1,IF(AND(AN52:AZ52="NA"),3,2)))</f>
        <v>1</v>
      </c>
      <c r="AN52" s="20">
        <v>6</v>
      </c>
      <c r="AO52" s="26">
        <v>2</v>
      </c>
      <c r="AP52" s="15">
        <v>3</v>
      </c>
      <c r="AQ52" s="15">
        <v>6.25</v>
      </c>
      <c r="AR52" s="15">
        <v>7.5</v>
      </c>
      <c r="AS52" s="26">
        <v>6427.5</v>
      </c>
      <c r="AT52" s="26">
        <v>9067</v>
      </c>
      <c r="AU52" s="26">
        <v>19161.75</v>
      </c>
      <c r="AV52" s="26">
        <v>21825.75</v>
      </c>
      <c r="AW52" s="26">
        <v>23.5</v>
      </c>
      <c r="AX52" s="26">
        <v>0</v>
      </c>
      <c r="AY52" s="26">
        <v>8826.2708333332994</v>
      </c>
      <c r="AZ52" s="26">
        <v>2364.3357142856999</v>
      </c>
      <c r="BA52" s="23">
        <f t="shared" si="2"/>
        <v>1</v>
      </c>
      <c r="BB52" s="24">
        <v>35</v>
      </c>
    </row>
    <row r="53" spans="1:54" x14ac:dyDescent="0.2">
      <c r="A53" s="5">
        <v>360</v>
      </c>
      <c r="B53" s="20" t="s">
        <v>63</v>
      </c>
      <c r="C53" s="18" t="s">
        <v>55</v>
      </c>
      <c r="D53" s="18">
        <v>5</v>
      </c>
      <c r="E53" s="18">
        <v>0</v>
      </c>
      <c r="F53" s="18" t="s">
        <v>9</v>
      </c>
      <c r="G53" s="18">
        <v>29</v>
      </c>
      <c r="H53" s="22">
        <v>3.808350444900753</v>
      </c>
      <c r="I53" s="22">
        <v>5.4099931553730318</v>
      </c>
      <c r="J53" s="22">
        <v>9.2183436002737853</v>
      </c>
      <c r="K53" s="22">
        <v>3.8329911019849416</v>
      </c>
      <c r="L53" s="22">
        <v>5.4674880219028061</v>
      </c>
      <c r="M53" s="22">
        <v>9.3004791238877473</v>
      </c>
      <c r="N53" s="22">
        <v>3.8439425051334704</v>
      </c>
      <c r="O53" s="22">
        <v>5.160848733744011</v>
      </c>
      <c r="P53" s="22">
        <v>9.0047912388774805</v>
      </c>
      <c r="Q53" s="22">
        <v>3.2936344969199181</v>
      </c>
      <c r="R53" s="22">
        <v>6.1683778234086244</v>
      </c>
      <c r="S53" s="22">
        <v>9.462012320328542</v>
      </c>
      <c r="T53" s="30">
        <v>6</v>
      </c>
      <c r="U53" s="30">
        <v>18</v>
      </c>
      <c r="V53" s="20" t="s">
        <v>1</v>
      </c>
      <c r="W53" s="20">
        <v>5</v>
      </c>
      <c r="X53" s="20">
        <v>2</v>
      </c>
      <c r="Y53" s="5">
        <v>1</v>
      </c>
      <c r="Z53" s="24">
        <v>4</v>
      </c>
      <c r="AA53" s="23">
        <f t="shared" si="0"/>
        <v>1</v>
      </c>
      <c r="AB53" s="15">
        <v>0.75</v>
      </c>
      <c r="AC53" s="15">
        <v>0.875</v>
      </c>
      <c r="AD53" s="15">
        <v>0.5</v>
      </c>
      <c r="AE53" s="15">
        <v>0.70799999999999996</v>
      </c>
      <c r="AF53" s="20">
        <v>17</v>
      </c>
      <c r="AG53" s="20">
        <v>0.48</v>
      </c>
      <c r="AH53" s="24">
        <v>24</v>
      </c>
      <c r="AI53" s="23">
        <f t="shared" si="1"/>
        <v>1</v>
      </c>
      <c r="AJ53" s="17">
        <v>4.75</v>
      </c>
      <c r="AK53" s="17">
        <v>6.75</v>
      </c>
      <c r="AL53" s="14">
        <v>11.5</v>
      </c>
      <c r="AM53" s="23" cm="1">
        <f t="array" ref="AM53">IF(OR(AN53:AZ53=""),"BLANK",IF(AND(AN53:AZ53&lt;9999999),1,IF(AND(AN53:AZ53="NA"),3,2)))</f>
        <v>1</v>
      </c>
      <c r="AN53" s="20">
        <v>10</v>
      </c>
      <c r="AO53" s="26">
        <v>2</v>
      </c>
      <c r="AP53" s="15">
        <v>3</v>
      </c>
      <c r="AQ53" s="15">
        <v>4</v>
      </c>
      <c r="AR53" s="15">
        <v>7.25</v>
      </c>
      <c r="AS53" s="26">
        <v>401.5</v>
      </c>
      <c r="AT53" s="26">
        <v>4515</v>
      </c>
      <c r="AU53" s="26">
        <v>12317.5</v>
      </c>
      <c r="AV53" s="26">
        <v>13726.25</v>
      </c>
      <c r="AW53" s="26">
        <v>0</v>
      </c>
      <c r="AX53" s="26">
        <v>0</v>
      </c>
      <c r="AY53" s="26">
        <v>0</v>
      </c>
      <c r="AZ53" s="26">
        <v>1503.7369047619</v>
      </c>
      <c r="BA53" s="23">
        <f t="shared" si="2"/>
        <v>1</v>
      </c>
      <c r="BB53" s="24">
        <v>34</v>
      </c>
    </row>
    <row r="54" spans="1:54" x14ac:dyDescent="0.2">
      <c r="A54" s="5">
        <v>361</v>
      </c>
      <c r="B54" s="20" t="s">
        <v>74</v>
      </c>
      <c r="C54" s="18" t="s">
        <v>54</v>
      </c>
      <c r="D54" s="18">
        <v>5</v>
      </c>
      <c r="E54" s="18">
        <v>0</v>
      </c>
      <c r="F54" s="18" t="s">
        <v>9</v>
      </c>
      <c r="G54" s="18">
        <v>30</v>
      </c>
      <c r="H54" s="22">
        <v>4.1040383299110195</v>
      </c>
      <c r="I54" s="22">
        <v>5.4948665297741277</v>
      </c>
      <c r="J54" s="22">
        <v>9.5989048596851472</v>
      </c>
      <c r="K54" s="22">
        <v>4.1040383299110195</v>
      </c>
      <c r="L54" s="22">
        <v>5.5030800821355239</v>
      </c>
      <c r="M54" s="22">
        <v>9.6071184120465443</v>
      </c>
      <c r="N54" s="22" t="s">
        <v>8</v>
      </c>
      <c r="O54" s="22" t="s">
        <v>8</v>
      </c>
      <c r="P54" s="22">
        <v>9.3716632443531829</v>
      </c>
      <c r="Q54" s="22" t="s">
        <v>8</v>
      </c>
      <c r="R54" s="22" t="s">
        <v>8</v>
      </c>
      <c r="S54" s="22">
        <v>9.6536618754277885</v>
      </c>
      <c r="T54" s="30" t="s">
        <v>8</v>
      </c>
      <c r="U54" s="30" t="s">
        <v>8</v>
      </c>
      <c r="V54" s="20" t="s">
        <v>1</v>
      </c>
      <c r="W54" s="20">
        <v>5</v>
      </c>
      <c r="X54" s="20">
        <v>2</v>
      </c>
      <c r="Y54" s="5">
        <v>1</v>
      </c>
      <c r="Z54" s="24">
        <v>4</v>
      </c>
      <c r="AA54" s="23">
        <f t="shared" si="0"/>
        <v>2</v>
      </c>
      <c r="AB54" s="15" t="s">
        <v>8</v>
      </c>
      <c r="AC54" s="15" t="s">
        <v>8</v>
      </c>
      <c r="AD54" s="15" t="s">
        <v>8</v>
      </c>
      <c r="AE54" s="15" t="s">
        <v>8</v>
      </c>
      <c r="AF54" s="20" t="s">
        <v>8</v>
      </c>
      <c r="AG54" s="20" t="s">
        <v>8</v>
      </c>
      <c r="AH54" s="24">
        <v>0</v>
      </c>
      <c r="AI54" s="23">
        <f t="shared" si="1"/>
        <v>3</v>
      </c>
      <c r="AJ54" s="17" t="s">
        <v>8</v>
      </c>
      <c r="AK54" s="17" t="s">
        <v>8</v>
      </c>
      <c r="AL54" s="14" t="s">
        <v>8</v>
      </c>
      <c r="AM54" s="23" cm="1">
        <f t="array" ref="AM54">IF(OR(AN54:AZ54=""),"BLANK",IF(AND(AN54:AZ54&lt;9999999),1,IF(AND(AN54:AZ54="NA"),3,2)))</f>
        <v>1</v>
      </c>
      <c r="AN54" s="20">
        <v>11</v>
      </c>
      <c r="AO54" s="26">
        <v>2</v>
      </c>
      <c r="AP54" s="15">
        <v>3</v>
      </c>
      <c r="AQ54" s="15">
        <v>5.25</v>
      </c>
      <c r="AR54" s="15">
        <v>5</v>
      </c>
      <c r="AS54" s="26">
        <v>5192.5</v>
      </c>
      <c r="AT54" s="26">
        <v>8529</v>
      </c>
      <c r="AU54" s="26">
        <v>19119.25</v>
      </c>
      <c r="AV54" s="26">
        <v>14551.5</v>
      </c>
      <c r="AW54" s="26">
        <v>0</v>
      </c>
      <c r="AX54" s="26">
        <v>0</v>
      </c>
      <c r="AY54" s="26">
        <v>135.7708333333</v>
      </c>
      <c r="AZ54" s="26">
        <v>0</v>
      </c>
      <c r="BA54" s="23">
        <f t="shared" si="2"/>
        <v>3</v>
      </c>
      <c r="BB54" s="24" t="s">
        <v>8</v>
      </c>
    </row>
    <row r="55" spans="1:54" x14ac:dyDescent="0.2">
      <c r="A55" s="5">
        <v>376</v>
      </c>
      <c r="B55" s="20" t="s">
        <v>82</v>
      </c>
      <c r="C55" s="18" t="s">
        <v>54</v>
      </c>
      <c r="D55" s="18">
        <v>5</v>
      </c>
      <c r="E55" s="18">
        <v>0</v>
      </c>
      <c r="F55" s="18" t="s">
        <v>9</v>
      </c>
      <c r="G55" s="18">
        <v>29</v>
      </c>
      <c r="H55" s="22">
        <v>4.4407939767282683</v>
      </c>
      <c r="I55" s="22" t="s">
        <v>8</v>
      </c>
      <c r="J55" s="22" t="s">
        <v>8</v>
      </c>
      <c r="K55" s="22">
        <v>4.4407939767282683</v>
      </c>
      <c r="L55" s="22" t="s">
        <v>8</v>
      </c>
      <c r="M55" s="22" t="s">
        <v>8</v>
      </c>
      <c r="N55" s="22">
        <v>4.4353182751540041</v>
      </c>
      <c r="O55" s="22" t="s">
        <v>8</v>
      </c>
      <c r="P55" s="22" t="s">
        <v>8</v>
      </c>
      <c r="Q55" s="22" t="s">
        <v>8</v>
      </c>
      <c r="R55" s="22" t="s">
        <v>8</v>
      </c>
      <c r="S55" s="22" t="s">
        <v>8</v>
      </c>
      <c r="T55" s="30">
        <v>2</v>
      </c>
      <c r="U55" s="30">
        <v>12</v>
      </c>
      <c r="V55" s="20" t="s">
        <v>1</v>
      </c>
      <c r="W55" s="20">
        <v>5</v>
      </c>
      <c r="X55" s="20">
        <v>2</v>
      </c>
      <c r="Y55" s="5">
        <v>1</v>
      </c>
      <c r="Z55" s="24">
        <v>4</v>
      </c>
      <c r="AA55" s="23">
        <f t="shared" si="0"/>
        <v>1</v>
      </c>
      <c r="AB55" s="15">
        <v>0.75</v>
      </c>
      <c r="AC55" s="15">
        <v>0.75</v>
      </c>
      <c r="AD55" s="15">
        <v>0.25</v>
      </c>
      <c r="AE55" s="15">
        <v>0.58299999999999996</v>
      </c>
      <c r="AF55" s="20">
        <v>14</v>
      </c>
      <c r="AG55" s="20">
        <v>6.8</v>
      </c>
      <c r="AH55" s="24">
        <v>24</v>
      </c>
      <c r="AI55" s="23">
        <f t="shared" si="1"/>
        <v>1</v>
      </c>
      <c r="AJ55" s="17">
        <v>5</v>
      </c>
      <c r="AK55" s="17">
        <v>7.75</v>
      </c>
      <c r="AL55" s="14">
        <v>12.75</v>
      </c>
      <c r="AM55" s="23" cm="1">
        <f t="array" ref="AM55">IF(OR(AN55:AZ55=""),"BLANK",IF(AND(AN55:AZ55&lt;9999999),1,IF(AND(AN55:AZ55="NA"),3,2)))</f>
        <v>1</v>
      </c>
      <c r="AN55" s="20">
        <v>10</v>
      </c>
      <c r="AO55" s="26">
        <v>2</v>
      </c>
      <c r="AP55" s="15">
        <v>3</v>
      </c>
      <c r="AQ55" s="15">
        <v>5</v>
      </c>
      <c r="AR55" s="15">
        <v>5.25</v>
      </c>
      <c r="AS55" s="26">
        <v>1983</v>
      </c>
      <c r="AT55" s="26">
        <v>3861</v>
      </c>
      <c r="AU55" s="26">
        <v>5515.5</v>
      </c>
      <c r="AV55" s="26">
        <v>6960</v>
      </c>
      <c r="AW55" s="26">
        <v>0</v>
      </c>
      <c r="AX55" s="26">
        <v>257.3333333333</v>
      </c>
      <c r="AY55" s="26">
        <v>4952.15625</v>
      </c>
      <c r="AZ55" s="26">
        <v>2189.4083333333001</v>
      </c>
      <c r="BA55" s="23">
        <f t="shared" si="2"/>
        <v>1</v>
      </c>
      <c r="BB55" s="24">
        <v>24</v>
      </c>
    </row>
    <row r="56" spans="1:54" x14ac:dyDescent="0.2">
      <c r="A56" s="5">
        <v>378</v>
      </c>
      <c r="B56" s="20" t="s">
        <v>82</v>
      </c>
      <c r="C56" s="18" t="s">
        <v>54</v>
      </c>
      <c r="D56" s="18">
        <v>5</v>
      </c>
      <c r="E56" s="18">
        <v>0</v>
      </c>
      <c r="F56" s="18" t="s">
        <v>9</v>
      </c>
      <c r="G56" s="18">
        <v>29</v>
      </c>
      <c r="H56" s="22">
        <v>4.2518822724161529</v>
      </c>
      <c r="I56" s="22">
        <v>5.5824777549623548</v>
      </c>
      <c r="J56" s="22">
        <v>9.8343600273785086</v>
      </c>
      <c r="K56" s="22">
        <v>4.2518822724161529</v>
      </c>
      <c r="L56" s="22">
        <v>5.5824777549623548</v>
      </c>
      <c r="M56" s="22">
        <v>9.8343600273785086</v>
      </c>
      <c r="N56" s="22">
        <v>4.1861738535249833</v>
      </c>
      <c r="O56" s="22" t="s">
        <v>8</v>
      </c>
      <c r="P56" s="22" t="s">
        <v>8</v>
      </c>
      <c r="Q56" s="22" t="s">
        <v>8</v>
      </c>
      <c r="R56" s="22" t="s">
        <v>8</v>
      </c>
      <c r="S56" s="22" t="s">
        <v>8</v>
      </c>
      <c r="T56" s="30">
        <v>2</v>
      </c>
      <c r="U56" s="30">
        <v>12</v>
      </c>
      <c r="V56" s="20" t="s">
        <v>1</v>
      </c>
      <c r="W56" s="20">
        <v>5</v>
      </c>
      <c r="X56" s="20">
        <v>2</v>
      </c>
      <c r="Y56" s="5">
        <v>1</v>
      </c>
      <c r="Z56" s="24">
        <v>4</v>
      </c>
      <c r="AA56" s="23">
        <f t="shared" si="0"/>
        <v>1</v>
      </c>
      <c r="AB56" s="15">
        <v>1</v>
      </c>
      <c r="AC56" s="15">
        <v>0.7142857142857143</v>
      </c>
      <c r="AD56" s="15">
        <v>0.75</v>
      </c>
      <c r="AE56" s="15">
        <v>0.82599999999999996</v>
      </c>
      <c r="AF56" s="20">
        <v>19</v>
      </c>
      <c r="AG56" s="20">
        <v>0.62</v>
      </c>
      <c r="AH56" s="24">
        <v>23</v>
      </c>
      <c r="AI56" s="23">
        <f t="shared" si="1"/>
        <v>1</v>
      </c>
      <c r="AJ56" s="17">
        <v>8.75</v>
      </c>
      <c r="AK56" s="17">
        <v>7.5</v>
      </c>
      <c r="AL56" s="14">
        <v>16.25</v>
      </c>
      <c r="AM56" s="23" cm="1">
        <f t="array" ref="AM56">IF(OR(AN56:AZ56=""),"BLANK",IF(AND(AN56:AZ56&lt;9999999),1,IF(AND(AN56:AZ56="NA"),3,2)))</f>
        <v>1</v>
      </c>
      <c r="AN56" s="20">
        <v>9</v>
      </c>
      <c r="AO56" s="26">
        <v>2</v>
      </c>
      <c r="AP56" s="15">
        <v>3</v>
      </c>
      <c r="AQ56" s="15">
        <v>5.25</v>
      </c>
      <c r="AR56" s="15">
        <v>7</v>
      </c>
      <c r="AS56" s="26">
        <v>3402.5</v>
      </c>
      <c r="AT56" s="26">
        <v>9992</v>
      </c>
      <c r="AU56" s="26">
        <v>9784.75</v>
      </c>
      <c r="AV56" s="26">
        <v>7616.25</v>
      </c>
      <c r="AW56" s="26">
        <v>228</v>
      </c>
      <c r="AX56" s="26">
        <v>877.66666666670005</v>
      </c>
      <c r="AY56" s="26">
        <v>4936.6180555556002</v>
      </c>
      <c r="AZ56" s="26">
        <v>1082.8833333333</v>
      </c>
      <c r="BA56" s="23">
        <f t="shared" si="2"/>
        <v>1</v>
      </c>
      <c r="BB56" s="24">
        <v>37</v>
      </c>
    </row>
    <row r="57" spans="1:54" x14ac:dyDescent="0.2">
      <c r="A57" s="5">
        <v>383</v>
      </c>
      <c r="B57" s="20" t="s">
        <v>82</v>
      </c>
      <c r="C57" s="18" t="s">
        <v>54</v>
      </c>
      <c r="D57" s="18">
        <v>5</v>
      </c>
      <c r="E57" s="18">
        <v>0</v>
      </c>
      <c r="F57" s="18" t="s">
        <v>9</v>
      </c>
      <c r="G57" s="18">
        <v>30</v>
      </c>
      <c r="H57" s="22">
        <v>3.9452429842573578</v>
      </c>
      <c r="I57" s="22">
        <v>5.5003422313483918</v>
      </c>
      <c r="J57" s="22">
        <v>9.4455852156057496</v>
      </c>
      <c r="K57" s="22">
        <v>3.9452429842573578</v>
      </c>
      <c r="L57" s="22">
        <v>5.5605749486652973</v>
      </c>
      <c r="M57" s="22">
        <v>9.5058179329226551</v>
      </c>
      <c r="N57" s="22">
        <v>3.7700205338809036</v>
      </c>
      <c r="O57" s="22">
        <v>5.2429842573579739</v>
      </c>
      <c r="P57" s="22">
        <v>9.0130047912388775</v>
      </c>
      <c r="Q57" s="22">
        <v>3.2553045859000687</v>
      </c>
      <c r="R57" s="22">
        <v>6.1683778234086244</v>
      </c>
      <c r="S57" s="22">
        <v>9.4236824093086931</v>
      </c>
      <c r="T57" s="30">
        <v>3</v>
      </c>
      <c r="U57" s="30">
        <v>14</v>
      </c>
      <c r="V57" s="20" t="s">
        <v>1</v>
      </c>
      <c r="W57" s="20">
        <v>5</v>
      </c>
      <c r="X57" s="20">
        <v>2</v>
      </c>
      <c r="Y57" s="5">
        <v>1</v>
      </c>
      <c r="Z57" s="24">
        <v>4</v>
      </c>
      <c r="AA57" s="23">
        <f t="shared" si="0"/>
        <v>1</v>
      </c>
      <c r="AB57" s="15">
        <v>0.75</v>
      </c>
      <c r="AC57" s="15">
        <v>1</v>
      </c>
      <c r="AD57" s="15">
        <v>0.5</v>
      </c>
      <c r="AE57" s="15">
        <v>0.75</v>
      </c>
      <c r="AF57" s="20">
        <v>18</v>
      </c>
      <c r="AG57" s="20">
        <v>8.75</v>
      </c>
      <c r="AH57" s="24">
        <v>24</v>
      </c>
      <c r="AI57" s="23">
        <f t="shared" si="1"/>
        <v>1</v>
      </c>
      <c r="AJ57" s="17">
        <v>8.75</v>
      </c>
      <c r="AK57" s="17">
        <v>11</v>
      </c>
      <c r="AL57" s="14">
        <v>19.75</v>
      </c>
      <c r="AM57" s="23" cm="1">
        <f t="array" ref="AM57">IF(OR(AN57:AZ57=""),"BLANK",IF(AND(AN57:AZ57&lt;9999999),1,IF(AND(AN57:AZ57="NA"),3,2)))</f>
        <v>1</v>
      </c>
      <c r="AN57" s="20">
        <v>9</v>
      </c>
      <c r="AO57" s="26">
        <v>2</v>
      </c>
      <c r="AP57" s="15">
        <v>3</v>
      </c>
      <c r="AQ57" s="15">
        <v>5.25</v>
      </c>
      <c r="AR57" s="15">
        <v>7</v>
      </c>
      <c r="AS57" s="26">
        <v>1220</v>
      </c>
      <c r="AT57" s="26">
        <v>3096.5</v>
      </c>
      <c r="AU57" s="26">
        <v>7143.5</v>
      </c>
      <c r="AV57" s="26">
        <v>12503.5</v>
      </c>
      <c r="AW57" s="26">
        <v>0</v>
      </c>
      <c r="AX57" s="26">
        <v>0</v>
      </c>
      <c r="AY57" s="26">
        <v>4328.1736111111004</v>
      </c>
      <c r="AZ57" s="26">
        <v>2880.2958333332999</v>
      </c>
      <c r="BA57" s="23">
        <f t="shared" si="2"/>
        <v>1</v>
      </c>
      <c r="BB57" s="24">
        <v>40</v>
      </c>
    </row>
    <row r="58" spans="1:54" x14ac:dyDescent="0.2">
      <c r="A58" s="5">
        <v>408</v>
      </c>
      <c r="B58" s="20" t="s">
        <v>85</v>
      </c>
      <c r="C58" s="18" t="s">
        <v>55</v>
      </c>
      <c r="D58" s="18">
        <v>5</v>
      </c>
      <c r="E58" s="18">
        <v>0</v>
      </c>
      <c r="F58" s="18" t="s">
        <v>9</v>
      </c>
      <c r="G58" s="18">
        <v>25</v>
      </c>
      <c r="H58" s="22">
        <v>4.0328542094455848</v>
      </c>
      <c r="I58" s="22" t="s">
        <v>8</v>
      </c>
      <c r="J58" s="22" t="s">
        <v>8</v>
      </c>
      <c r="K58" s="22">
        <v>4.0574948665297743</v>
      </c>
      <c r="L58" s="22" t="s">
        <v>8</v>
      </c>
      <c r="M58" s="22" t="s">
        <v>8</v>
      </c>
      <c r="N58" s="22">
        <v>4.043805612594114</v>
      </c>
      <c r="O58" s="22" t="s">
        <v>8</v>
      </c>
      <c r="P58" s="22" t="s">
        <v>8</v>
      </c>
      <c r="Q58" s="22" t="s">
        <v>8</v>
      </c>
      <c r="R58" s="22" t="s">
        <v>8</v>
      </c>
      <c r="S58" s="22" t="s">
        <v>8</v>
      </c>
      <c r="T58" s="30">
        <v>4</v>
      </c>
      <c r="U58" s="30">
        <v>16</v>
      </c>
      <c r="V58" s="20" t="s">
        <v>1</v>
      </c>
      <c r="W58" s="20">
        <v>5</v>
      </c>
      <c r="X58" s="20">
        <v>2</v>
      </c>
      <c r="Y58" s="5">
        <v>1</v>
      </c>
      <c r="Z58" s="24">
        <v>4</v>
      </c>
      <c r="AA58" s="23">
        <f t="shared" si="0"/>
        <v>1</v>
      </c>
      <c r="AB58" s="15">
        <v>0.5</v>
      </c>
      <c r="AC58" s="15">
        <v>0.25</v>
      </c>
      <c r="AD58" s="15">
        <v>0</v>
      </c>
      <c r="AE58" s="15">
        <v>0.25</v>
      </c>
      <c r="AF58" s="20">
        <v>6</v>
      </c>
      <c r="AG58" s="20">
        <v>3.02</v>
      </c>
      <c r="AH58" s="24">
        <v>24</v>
      </c>
      <c r="AI58" s="23">
        <f t="shared" si="1"/>
        <v>3</v>
      </c>
      <c r="AJ58" s="17" t="s">
        <v>8</v>
      </c>
      <c r="AK58" s="17" t="s">
        <v>8</v>
      </c>
      <c r="AL58" s="14" t="s">
        <v>8</v>
      </c>
      <c r="AM58" s="23" cm="1">
        <f t="array" ref="AM58">IF(OR(AN58:AZ58=""),"BLANK",IF(AND(AN58:AZ58&lt;9999999),1,IF(AND(AN58:AZ58="NA"),3,2)))</f>
        <v>1</v>
      </c>
      <c r="AN58" s="20">
        <v>4</v>
      </c>
      <c r="AO58" s="26">
        <v>2</v>
      </c>
      <c r="AP58" s="15">
        <v>6.5</v>
      </c>
      <c r="AQ58" s="15">
        <v>7</v>
      </c>
      <c r="AR58" s="15">
        <v>10.25</v>
      </c>
      <c r="AS58" s="26">
        <v>0</v>
      </c>
      <c r="AT58" s="26">
        <v>8769</v>
      </c>
      <c r="AU58" s="26">
        <v>0</v>
      </c>
      <c r="AV58" s="26">
        <v>0</v>
      </c>
      <c r="AW58" s="26">
        <v>1444</v>
      </c>
      <c r="AX58" s="26">
        <v>63844.5952380952</v>
      </c>
      <c r="AY58" s="26">
        <v>42670.777777777803</v>
      </c>
      <c r="AZ58" s="26">
        <v>125130.21666666601</v>
      </c>
      <c r="BA58" s="23">
        <f t="shared" si="2"/>
        <v>1</v>
      </c>
      <c r="BB58" s="24">
        <v>14</v>
      </c>
    </row>
    <row r="59" spans="1:54" x14ac:dyDescent="0.2">
      <c r="A59" s="5">
        <v>409</v>
      </c>
      <c r="B59" s="20" t="s">
        <v>63</v>
      </c>
      <c r="C59" s="18" t="s">
        <v>54</v>
      </c>
      <c r="D59" s="18">
        <v>5</v>
      </c>
      <c r="E59" s="18">
        <v>0</v>
      </c>
      <c r="F59" s="18" t="s">
        <v>9</v>
      </c>
      <c r="G59" s="18">
        <v>29</v>
      </c>
      <c r="H59" s="22">
        <v>4.0027378507871321</v>
      </c>
      <c r="I59" s="22" t="s">
        <v>8</v>
      </c>
      <c r="J59" s="22" t="s">
        <v>8</v>
      </c>
      <c r="K59" s="22">
        <v>4.0602327173169064</v>
      </c>
      <c r="L59" s="22" t="s">
        <v>8</v>
      </c>
      <c r="M59" s="22" t="s">
        <v>8</v>
      </c>
      <c r="N59" s="22">
        <v>4.0684462696783026</v>
      </c>
      <c r="O59" s="22" t="s">
        <v>8</v>
      </c>
      <c r="P59" s="22" t="s">
        <v>8</v>
      </c>
      <c r="Q59" s="22" t="s">
        <v>8</v>
      </c>
      <c r="R59" s="22" t="s">
        <v>8</v>
      </c>
      <c r="S59" s="22" t="s">
        <v>8</v>
      </c>
      <c r="T59" s="30">
        <v>7</v>
      </c>
      <c r="U59" s="30">
        <v>21</v>
      </c>
      <c r="V59" s="20" t="s">
        <v>1</v>
      </c>
      <c r="W59" s="20">
        <v>5</v>
      </c>
      <c r="X59" s="20">
        <v>2</v>
      </c>
      <c r="Y59" s="5">
        <v>1</v>
      </c>
      <c r="Z59" s="24">
        <v>4</v>
      </c>
      <c r="AA59" s="23">
        <f t="shared" si="0"/>
        <v>1</v>
      </c>
      <c r="AB59" s="15">
        <v>0.875</v>
      </c>
      <c r="AC59" s="15">
        <v>1</v>
      </c>
      <c r="AD59" s="15">
        <v>1</v>
      </c>
      <c r="AE59" s="15">
        <v>0.95799999999999996</v>
      </c>
      <c r="AF59" s="20">
        <v>23</v>
      </c>
      <c r="AG59" s="20">
        <v>1.23</v>
      </c>
      <c r="AH59" s="24">
        <v>24</v>
      </c>
      <c r="AI59" s="23">
        <f t="shared" si="1"/>
        <v>1</v>
      </c>
      <c r="AJ59" s="17">
        <v>3.5</v>
      </c>
      <c r="AK59" s="17">
        <v>6.5</v>
      </c>
      <c r="AL59" s="14">
        <v>10</v>
      </c>
      <c r="AM59" s="23" cm="1">
        <f t="array" ref="AM59">IF(OR(AN59:AZ59=""),"BLANK",IF(AND(AN59:AZ59&lt;9999999),1,IF(AND(AN59:AZ59="NA"),3,2)))</f>
        <v>1</v>
      </c>
      <c r="AN59" s="20">
        <v>6</v>
      </c>
      <c r="AO59" s="26">
        <v>2</v>
      </c>
      <c r="AP59" s="15">
        <v>3</v>
      </c>
      <c r="AQ59" s="15">
        <v>7.75</v>
      </c>
      <c r="AR59" s="15">
        <v>8.25</v>
      </c>
      <c r="AS59" s="26">
        <v>1361.5</v>
      </c>
      <c r="AT59" s="26">
        <v>732.5</v>
      </c>
      <c r="AU59" s="26">
        <v>4877.5</v>
      </c>
      <c r="AV59" s="26">
        <v>1351</v>
      </c>
      <c r="AW59" s="26">
        <v>0</v>
      </c>
      <c r="AX59" s="26">
        <v>0</v>
      </c>
      <c r="AY59" s="26">
        <v>3444.8472222221999</v>
      </c>
      <c r="AZ59" s="26">
        <v>2639.7837301587001</v>
      </c>
      <c r="BA59" s="23">
        <f t="shared" si="2"/>
        <v>1</v>
      </c>
      <c r="BB59" s="24">
        <v>34</v>
      </c>
    </row>
    <row r="60" spans="1:54" x14ac:dyDescent="0.2">
      <c r="A60" s="5">
        <v>419</v>
      </c>
      <c r="B60" s="20" t="s">
        <v>63</v>
      </c>
      <c r="C60" s="18" t="s">
        <v>54</v>
      </c>
      <c r="D60" s="18">
        <v>5</v>
      </c>
      <c r="E60" s="18">
        <v>0</v>
      </c>
      <c r="F60" s="18" t="s">
        <v>9</v>
      </c>
      <c r="G60" s="18">
        <v>25</v>
      </c>
      <c r="H60" s="22">
        <v>4.3340177960301167</v>
      </c>
      <c r="I60" s="22" t="s">
        <v>8</v>
      </c>
      <c r="J60" s="22" t="s">
        <v>8</v>
      </c>
      <c r="K60" s="22">
        <v>4.3312799452429847</v>
      </c>
      <c r="L60" s="22" t="s">
        <v>8</v>
      </c>
      <c r="M60" s="22" t="s">
        <v>8</v>
      </c>
      <c r="N60" s="22">
        <v>4.3093771389459272</v>
      </c>
      <c r="O60" s="22" t="s">
        <v>8</v>
      </c>
      <c r="P60" s="22" t="s">
        <v>8</v>
      </c>
      <c r="Q60" s="22" t="s">
        <v>8</v>
      </c>
      <c r="R60" s="22" t="s">
        <v>8</v>
      </c>
      <c r="S60" s="22" t="s">
        <v>8</v>
      </c>
      <c r="T60" s="30" t="s">
        <v>8</v>
      </c>
      <c r="U60" s="30" t="s">
        <v>8</v>
      </c>
      <c r="V60" s="20" t="s">
        <v>1</v>
      </c>
      <c r="W60" s="20">
        <v>5</v>
      </c>
      <c r="X60" s="20">
        <v>2</v>
      </c>
      <c r="Y60" s="5">
        <v>1</v>
      </c>
      <c r="Z60" s="24">
        <v>4</v>
      </c>
      <c r="AA60" s="23">
        <f t="shared" si="0"/>
        <v>1</v>
      </c>
      <c r="AB60" s="15">
        <v>0.5</v>
      </c>
      <c r="AC60" s="15">
        <v>0.375</v>
      </c>
      <c r="AD60" s="15">
        <v>0.125</v>
      </c>
      <c r="AE60" s="15">
        <v>0.33300000000000002</v>
      </c>
      <c r="AF60" s="20">
        <v>8</v>
      </c>
      <c r="AG60" s="20">
        <v>8.25</v>
      </c>
      <c r="AH60" s="24">
        <v>24</v>
      </c>
      <c r="AI60" s="23">
        <f t="shared" si="1"/>
        <v>1</v>
      </c>
      <c r="AJ60" s="17">
        <v>3.25</v>
      </c>
      <c r="AK60" s="17">
        <v>1.5</v>
      </c>
      <c r="AL60" s="14">
        <v>4.75</v>
      </c>
      <c r="AM60" s="23" cm="1">
        <f t="array" ref="AM60">IF(OR(AN60:AZ60=""),"BLANK",IF(AND(AN60:AZ60&lt;9999999),1,IF(AND(AN60:AZ60="NA"),3,2)))</f>
        <v>3</v>
      </c>
      <c r="AN60" s="18" t="s">
        <v>8</v>
      </c>
      <c r="AO60" s="32" t="s">
        <v>8</v>
      </c>
      <c r="AP60" s="17" t="s">
        <v>8</v>
      </c>
      <c r="AQ60" s="17" t="s">
        <v>8</v>
      </c>
      <c r="AR60" s="17" t="s">
        <v>8</v>
      </c>
      <c r="AS60" s="32" t="s">
        <v>8</v>
      </c>
      <c r="AT60" s="32" t="s">
        <v>8</v>
      </c>
      <c r="AU60" s="32" t="s">
        <v>8</v>
      </c>
      <c r="AV60" s="32" t="s">
        <v>8</v>
      </c>
      <c r="AW60" s="32" t="s">
        <v>8</v>
      </c>
      <c r="AX60" s="32" t="s">
        <v>8</v>
      </c>
      <c r="AY60" s="32" t="s">
        <v>8</v>
      </c>
      <c r="AZ60" s="32" t="s">
        <v>8</v>
      </c>
      <c r="BA60" s="23">
        <f t="shared" si="2"/>
        <v>3</v>
      </c>
      <c r="BB60" s="24" t="s">
        <v>8</v>
      </c>
    </row>
    <row r="61" spans="1:54" x14ac:dyDescent="0.2">
      <c r="A61" s="5">
        <v>465</v>
      </c>
      <c r="B61" s="20" t="s">
        <v>62</v>
      </c>
      <c r="C61" s="18" t="s">
        <v>54</v>
      </c>
      <c r="D61" s="18">
        <v>5</v>
      </c>
      <c r="E61" s="18">
        <v>0</v>
      </c>
      <c r="F61" s="18" t="s">
        <v>9</v>
      </c>
      <c r="G61" s="18">
        <v>30</v>
      </c>
      <c r="H61" s="22">
        <v>4.1806981519507183</v>
      </c>
      <c r="I61" s="22">
        <v>5.3278576317590689</v>
      </c>
      <c r="J61" s="22">
        <v>9.508555783709788</v>
      </c>
      <c r="K61" s="22">
        <v>4.1806981519507183</v>
      </c>
      <c r="L61" s="22">
        <v>5.3388090349075972</v>
      </c>
      <c r="M61" s="22">
        <v>9.5195071868583163</v>
      </c>
      <c r="N61" s="22">
        <v>4.0246406570841886</v>
      </c>
      <c r="O61" s="22">
        <v>5.0978781656399725</v>
      </c>
      <c r="P61" s="22">
        <v>9.122518822724162</v>
      </c>
      <c r="Q61" s="22">
        <v>3.3264887063655029</v>
      </c>
      <c r="R61" s="22">
        <v>6.3025325119780975</v>
      </c>
      <c r="S61" s="22">
        <v>9.6290212183436008</v>
      </c>
      <c r="T61" s="30">
        <v>6</v>
      </c>
      <c r="U61" s="30">
        <v>18</v>
      </c>
      <c r="V61" s="20" t="s">
        <v>1</v>
      </c>
      <c r="W61" s="20">
        <v>5</v>
      </c>
      <c r="X61" s="20">
        <v>2</v>
      </c>
      <c r="Y61" s="5">
        <v>1</v>
      </c>
      <c r="Z61" s="24">
        <v>4</v>
      </c>
      <c r="AA61" s="23">
        <f t="shared" si="0"/>
        <v>1</v>
      </c>
      <c r="AB61" s="15">
        <v>1</v>
      </c>
      <c r="AC61" s="15">
        <v>0.875</v>
      </c>
      <c r="AD61" s="15">
        <v>0.5</v>
      </c>
      <c r="AE61" s="15">
        <v>0.79200000000000004</v>
      </c>
      <c r="AF61" s="20">
        <v>19</v>
      </c>
      <c r="AG61" s="20">
        <v>6.68</v>
      </c>
      <c r="AH61" s="24">
        <v>24</v>
      </c>
      <c r="AI61" s="23">
        <f t="shared" si="1"/>
        <v>1</v>
      </c>
      <c r="AJ61" s="17">
        <v>10.75</v>
      </c>
      <c r="AK61" s="17">
        <v>12</v>
      </c>
      <c r="AL61" s="14">
        <v>22.75</v>
      </c>
      <c r="AM61" s="23" cm="1">
        <f t="array" ref="AM61">IF(OR(AN61:AZ61=""),"BLANK",IF(AND(AN61:AZ61&lt;9999999),1,IF(AND(AN61:AZ61="NA"),3,2)))</f>
        <v>1</v>
      </c>
      <c r="AN61" s="20">
        <v>12</v>
      </c>
      <c r="AO61" s="26">
        <v>2</v>
      </c>
      <c r="AP61" s="15">
        <v>3</v>
      </c>
      <c r="AQ61" s="15">
        <v>4</v>
      </c>
      <c r="AR61" s="15">
        <v>5</v>
      </c>
      <c r="AS61" s="26">
        <v>4397</v>
      </c>
      <c r="AT61" s="26">
        <v>22991</v>
      </c>
      <c r="AU61" s="26">
        <v>11535.25</v>
      </c>
      <c r="AV61" s="26">
        <v>35557.75</v>
      </c>
      <c r="AW61" s="26">
        <v>0</v>
      </c>
      <c r="AX61" s="26">
        <v>213.8333333333</v>
      </c>
      <c r="AY61" s="26">
        <v>0</v>
      </c>
      <c r="AZ61" s="26">
        <v>0</v>
      </c>
      <c r="BA61" s="23">
        <f t="shared" si="2"/>
        <v>1</v>
      </c>
      <c r="BB61" s="24">
        <v>41</v>
      </c>
    </row>
    <row r="62" spans="1:54" x14ac:dyDescent="0.2">
      <c r="A62" s="5">
        <v>466</v>
      </c>
      <c r="B62" s="20" t="s">
        <v>84</v>
      </c>
      <c r="C62" s="18" t="s">
        <v>54</v>
      </c>
      <c r="D62" s="18">
        <v>5</v>
      </c>
      <c r="E62" s="18">
        <v>0</v>
      </c>
      <c r="F62" s="18" t="s">
        <v>9</v>
      </c>
      <c r="G62" s="18">
        <v>30</v>
      </c>
      <c r="H62" s="22">
        <v>4.3723477070499657</v>
      </c>
      <c r="I62" s="22">
        <v>5.2703627652292946</v>
      </c>
      <c r="J62" s="22">
        <v>9.6427104722792603</v>
      </c>
      <c r="K62" s="22">
        <v>4.3641341546885695</v>
      </c>
      <c r="L62" s="22">
        <v>5.2703627652292946</v>
      </c>
      <c r="M62" s="22">
        <v>9.6344969199178649</v>
      </c>
      <c r="N62" s="22">
        <v>4.3312799452429847</v>
      </c>
      <c r="O62" s="22">
        <v>5.2676249144421625</v>
      </c>
      <c r="P62" s="22">
        <v>9.5989048596851472</v>
      </c>
      <c r="Q62" s="22" t="s">
        <v>8</v>
      </c>
      <c r="R62" s="22" t="s">
        <v>8</v>
      </c>
      <c r="S62" s="22" t="s">
        <v>8</v>
      </c>
      <c r="T62" s="30">
        <v>7</v>
      </c>
      <c r="U62" s="30">
        <v>21</v>
      </c>
      <c r="V62" s="20" t="s">
        <v>1</v>
      </c>
      <c r="W62" s="20">
        <v>5</v>
      </c>
      <c r="X62" s="20">
        <v>2</v>
      </c>
      <c r="Y62" s="5">
        <v>1</v>
      </c>
      <c r="Z62" s="24">
        <v>4</v>
      </c>
      <c r="AA62" s="23">
        <f t="shared" si="0"/>
        <v>1</v>
      </c>
      <c r="AB62" s="15">
        <v>1</v>
      </c>
      <c r="AC62" s="15">
        <v>1</v>
      </c>
      <c r="AD62" s="15">
        <v>0.875</v>
      </c>
      <c r="AE62" s="15">
        <v>0.95799999999999996</v>
      </c>
      <c r="AF62" s="20">
        <v>23</v>
      </c>
      <c r="AG62" s="20">
        <v>6.47</v>
      </c>
      <c r="AH62" s="24">
        <v>24</v>
      </c>
      <c r="AI62" s="23">
        <f t="shared" si="1"/>
        <v>1</v>
      </c>
      <c r="AJ62" s="17">
        <v>14</v>
      </c>
      <c r="AK62" s="17">
        <v>12</v>
      </c>
      <c r="AL62" s="14">
        <v>26</v>
      </c>
      <c r="AM62" s="23" cm="1">
        <f t="array" ref="AM62">IF(OR(AN62:AZ62=""),"BLANK",IF(AND(AN62:AZ62&lt;9999999),1,IF(AND(AN62:AZ62="NA"),3,2)))</f>
        <v>1</v>
      </c>
      <c r="AN62" s="20">
        <v>12</v>
      </c>
      <c r="AO62" s="26">
        <v>2</v>
      </c>
      <c r="AP62" s="15">
        <v>3</v>
      </c>
      <c r="AQ62" s="15">
        <v>4</v>
      </c>
      <c r="AR62" s="15">
        <v>5</v>
      </c>
      <c r="AS62" s="26">
        <v>284</v>
      </c>
      <c r="AT62" s="26">
        <v>4060.5</v>
      </c>
      <c r="AU62" s="26">
        <v>4894.75</v>
      </c>
      <c r="AV62" s="26">
        <v>8892.25</v>
      </c>
      <c r="AW62" s="26">
        <v>53.75</v>
      </c>
      <c r="AX62" s="26">
        <v>0</v>
      </c>
      <c r="AY62" s="26">
        <v>0</v>
      </c>
      <c r="AZ62" s="26">
        <v>0</v>
      </c>
      <c r="BA62" s="23">
        <f t="shared" si="2"/>
        <v>1</v>
      </c>
      <c r="BB62" s="24">
        <v>38</v>
      </c>
    </row>
    <row r="63" spans="1:54" x14ac:dyDescent="0.2">
      <c r="A63" s="5">
        <v>470</v>
      </c>
      <c r="B63" s="20" t="s">
        <v>84</v>
      </c>
      <c r="C63" s="18" t="s">
        <v>54</v>
      </c>
      <c r="D63" s="18">
        <v>5</v>
      </c>
      <c r="E63" s="18">
        <v>0</v>
      </c>
      <c r="F63" s="18" t="s">
        <v>9</v>
      </c>
      <c r="G63" s="18">
        <v>29</v>
      </c>
      <c r="H63" s="22">
        <v>4.0492813141683781</v>
      </c>
      <c r="I63" s="22">
        <v>6.1273100616016425</v>
      </c>
      <c r="J63" s="22">
        <v>10.17659137577002</v>
      </c>
      <c r="K63" s="22">
        <v>4.1642710472279258</v>
      </c>
      <c r="L63" s="22">
        <v>6.0123203285420947</v>
      </c>
      <c r="M63" s="22">
        <v>10.17659137577002</v>
      </c>
      <c r="N63" s="22" t="s">
        <v>8</v>
      </c>
      <c r="O63" s="22" t="s">
        <v>8</v>
      </c>
      <c r="P63" s="22">
        <v>10.061601642710473</v>
      </c>
      <c r="Q63" s="22" t="s">
        <v>8</v>
      </c>
      <c r="R63" s="22" t="s">
        <v>8</v>
      </c>
      <c r="S63" s="22" t="s">
        <v>8</v>
      </c>
      <c r="T63" s="30">
        <v>6</v>
      </c>
      <c r="U63" s="5">
        <v>18</v>
      </c>
      <c r="V63" s="20" t="s">
        <v>1</v>
      </c>
      <c r="W63" s="20">
        <v>5</v>
      </c>
      <c r="X63" s="20">
        <v>2</v>
      </c>
      <c r="Y63" s="5">
        <v>1</v>
      </c>
      <c r="Z63" s="24">
        <v>4</v>
      </c>
      <c r="AA63" s="23">
        <f t="shared" si="0"/>
        <v>1</v>
      </c>
      <c r="AB63" s="15">
        <v>1</v>
      </c>
      <c r="AC63" s="15">
        <v>1</v>
      </c>
      <c r="AD63" s="15">
        <v>1</v>
      </c>
      <c r="AE63" s="15">
        <v>1</v>
      </c>
      <c r="AF63" s="20">
        <v>24</v>
      </c>
      <c r="AG63" s="20">
        <v>9.6199999999999992</v>
      </c>
      <c r="AH63" s="24">
        <v>24</v>
      </c>
      <c r="AI63" s="23">
        <f t="shared" si="1"/>
        <v>1</v>
      </c>
      <c r="AJ63" s="17">
        <v>13</v>
      </c>
      <c r="AK63" s="17">
        <v>11</v>
      </c>
      <c r="AL63" s="14">
        <v>24</v>
      </c>
      <c r="AM63" s="23" cm="1">
        <f t="array" ref="AM63">IF(OR(AN63:AZ63=""),"BLANK",IF(AND(AN63:AZ63&lt;9999999),1,IF(AND(AN63:AZ63="NA"),3,2)))</f>
        <v>1</v>
      </c>
      <c r="AN63" s="20">
        <v>9</v>
      </c>
      <c r="AO63" s="26">
        <v>2</v>
      </c>
      <c r="AP63" s="15">
        <v>3</v>
      </c>
      <c r="AQ63" s="15">
        <v>5.25</v>
      </c>
      <c r="AR63" s="15">
        <v>7</v>
      </c>
      <c r="AS63" s="26">
        <v>1945</v>
      </c>
      <c r="AT63" s="26">
        <v>1958</v>
      </c>
      <c r="AU63" s="26">
        <v>4361</v>
      </c>
      <c r="AV63" s="26">
        <v>7858.25</v>
      </c>
      <c r="AW63" s="26">
        <v>0</v>
      </c>
      <c r="AX63" s="26">
        <v>0</v>
      </c>
      <c r="AY63" s="26">
        <v>0</v>
      </c>
      <c r="AZ63" s="26">
        <v>0</v>
      </c>
      <c r="BA63" s="23">
        <f t="shared" si="2"/>
        <v>1</v>
      </c>
      <c r="BB63" s="24">
        <v>38</v>
      </c>
    </row>
    <row r="64" spans="1:54" x14ac:dyDescent="0.2">
      <c r="A64" s="5">
        <v>483</v>
      </c>
      <c r="B64" s="20" t="s">
        <v>80</v>
      </c>
      <c r="C64" s="18" t="s">
        <v>54</v>
      </c>
      <c r="D64" s="18">
        <v>5</v>
      </c>
      <c r="E64" s="18">
        <v>0</v>
      </c>
      <c r="F64" s="18" t="s">
        <v>9</v>
      </c>
      <c r="G64" s="18">
        <v>28</v>
      </c>
      <c r="H64" s="22">
        <v>4.1013004791238874</v>
      </c>
      <c r="I64" s="22" t="s">
        <v>8</v>
      </c>
      <c r="J64" s="22" t="s">
        <v>8</v>
      </c>
      <c r="K64" s="22">
        <v>4.1013004791238874</v>
      </c>
      <c r="L64" s="22" t="s">
        <v>8</v>
      </c>
      <c r="M64" s="22" t="s">
        <v>8</v>
      </c>
      <c r="N64" s="22">
        <v>4.1013004791238874</v>
      </c>
      <c r="O64" s="22" t="s">
        <v>8</v>
      </c>
      <c r="P64" s="22" t="s">
        <v>8</v>
      </c>
      <c r="Q64" s="22" t="s">
        <v>8</v>
      </c>
      <c r="R64" s="22" t="s">
        <v>8</v>
      </c>
      <c r="S64" s="22" t="s">
        <v>8</v>
      </c>
      <c r="T64" s="30">
        <v>4</v>
      </c>
      <c r="U64" s="30">
        <v>16</v>
      </c>
      <c r="V64" s="20" t="s">
        <v>1</v>
      </c>
      <c r="W64" s="20">
        <v>5</v>
      </c>
      <c r="X64" s="20">
        <v>2</v>
      </c>
      <c r="Y64" s="5">
        <v>1</v>
      </c>
      <c r="Z64" s="24">
        <v>4</v>
      </c>
      <c r="AA64" s="23">
        <f t="shared" si="0"/>
        <v>2</v>
      </c>
      <c r="AB64" s="15">
        <v>0.875</v>
      </c>
      <c r="AC64" s="15">
        <v>0.375</v>
      </c>
      <c r="AD64" s="15">
        <v>0.16666666666666666</v>
      </c>
      <c r="AE64" s="15">
        <v>0.5</v>
      </c>
      <c r="AF64" s="20">
        <v>11</v>
      </c>
      <c r="AG64" s="20" t="s">
        <v>8</v>
      </c>
      <c r="AH64" s="24">
        <v>22</v>
      </c>
      <c r="AI64" s="23">
        <f t="shared" si="1"/>
        <v>1</v>
      </c>
      <c r="AJ64" s="17">
        <v>3</v>
      </c>
      <c r="AK64" s="17">
        <v>0.75</v>
      </c>
      <c r="AL64" s="14">
        <v>3.75</v>
      </c>
      <c r="AM64" s="23" cm="1">
        <f t="array" ref="AM64">IF(OR(AN64:AZ64=""),"BLANK",IF(AND(AN64:AZ64&lt;9999999),1,IF(AND(AN64:AZ64="NA"),3,2)))</f>
        <v>1</v>
      </c>
      <c r="AN64" s="20">
        <v>6</v>
      </c>
      <c r="AO64" s="26">
        <v>2</v>
      </c>
      <c r="AP64" s="15">
        <v>4</v>
      </c>
      <c r="AQ64" s="15">
        <v>6.5</v>
      </c>
      <c r="AR64" s="15">
        <v>8.5</v>
      </c>
      <c r="AS64" s="26">
        <v>0</v>
      </c>
      <c r="AT64" s="26">
        <v>10487.5</v>
      </c>
      <c r="AU64" s="26">
        <v>7014.5</v>
      </c>
      <c r="AV64" s="26">
        <v>13912.75</v>
      </c>
      <c r="AW64" s="26">
        <v>0</v>
      </c>
      <c r="AX64" s="26">
        <v>818.93333333329997</v>
      </c>
      <c r="AY64" s="26">
        <v>17625.869047618999</v>
      </c>
      <c r="AZ64" s="26">
        <v>22129.787499999999</v>
      </c>
      <c r="BA64" s="23">
        <f t="shared" si="2"/>
        <v>1</v>
      </c>
      <c r="BB64" s="24">
        <v>28</v>
      </c>
    </row>
    <row r="65" spans="1:54" x14ac:dyDescent="0.2">
      <c r="A65" s="5">
        <v>492</v>
      </c>
      <c r="B65" s="20" t="s">
        <v>82</v>
      </c>
      <c r="C65" s="18" t="s">
        <v>54</v>
      </c>
      <c r="D65" s="18">
        <v>5</v>
      </c>
      <c r="E65" s="18">
        <v>0</v>
      </c>
      <c r="F65" s="18" t="s">
        <v>9</v>
      </c>
      <c r="G65" s="18">
        <v>30</v>
      </c>
      <c r="H65" s="22">
        <v>4.0246406570841886</v>
      </c>
      <c r="I65" s="22">
        <v>6.1765913757700206</v>
      </c>
      <c r="J65" s="22">
        <v>10.201232032854209</v>
      </c>
      <c r="K65" s="22">
        <v>4.0246406570841886</v>
      </c>
      <c r="L65" s="22">
        <v>6.1765913757700206</v>
      </c>
      <c r="M65" s="22">
        <v>10.201232032854209</v>
      </c>
      <c r="N65" s="22">
        <v>4.043805612594114</v>
      </c>
      <c r="O65" s="22" t="s">
        <v>8</v>
      </c>
      <c r="P65" s="22" t="s">
        <v>8</v>
      </c>
      <c r="Q65" s="22" t="s">
        <v>8</v>
      </c>
      <c r="R65" s="22" t="s">
        <v>8</v>
      </c>
      <c r="S65" s="22" t="s">
        <v>8</v>
      </c>
      <c r="T65" s="30">
        <v>6</v>
      </c>
      <c r="U65" s="30">
        <v>18</v>
      </c>
      <c r="V65" s="20" t="s">
        <v>1</v>
      </c>
      <c r="W65" s="20">
        <v>5</v>
      </c>
      <c r="X65" s="20">
        <v>2</v>
      </c>
      <c r="Y65" s="5">
        <v>1</v>
      </c>
      <c r="Z65" s="24">
        <v>4</v>
      </c>
      <c r="AA65" s="23">
        <f t="shared" si="0"/>
        <v>1</v>
      </c>
      <c r="AB65" s="15">
        <v>0.875</v>
      </c>
      <c r="AC65" s="15">
        <v>0.7142857142857143</v>
      </c>
      <c r="AD65" s="15">
        <v>0.75</v>
      </c>
      <c r="AE65" s="15">
        <v>0.78300000000000003</v>
      </c>
      <c r="AF65" s="20">
        <v>18</v>
      </c>
      <c r="AG65" s="20">
        <v>8.48</v>
      </c>
      <c r="AH65" s="24">
        <v>23</v>
      </c>
      <c r="AI65" s="23">
        <f t="shared" si="1"/>
        <v>1</v>
      </c>
      <c r="AJ65" s="17">
        <v>11</v>
      </c>
      <c r="AK65" s="17">
        <v>11</v>
      </c>
      <c r="AL65" s="14">
        <v>22</v>
      </c>
      <c r="AM65" s="23" cm="1">
        <f t="array" ref="AM65">IF(OR(AN65:AZ65=""),"BLANK",IF(AND(AN65:AZ65&lt;9999999),1,IF(AND(AN65:AZ65="NA"),3,2)))</f>
        <v>1</v>
      </c>
      <c r="AN65" s="20">
        <v>11</v>
      </c>
      <c r="AO65" s="26">
        <v>2</v>
      </c>
      <c r="AP65" s="15">
        <v>3</v>
      </c>
      <c r="AQ65" s="15">
        <v>5.25</v>
      </c>
      <c r="AR65" s="15">
        <v>5</v>
      </c>
      <c r="AS65" s="26">
        <v>3798</v>
      </c>
      <c r="AT65" s="26">
        <v>9721.5</v>
      </c>
      <c r="AU65" s="26">
        <v>35627.5</v>
      </c>
      <c r="AV65" s="26">
        <v>16991.25</v>
      </c>
      <c r="AW65" s="26">
        <v>0</v>
      </c>
      <c r="AX65" s="26">
        <v>0</v>
      </c>
      <c r="AY65" s="26">
        <v>963.30555555559999</v>
      </c>
      <c r="AZ65" s="26">
        <v>69.05</v>
      </c>
      <c r="BA65" s="23">
        <f t="shared" si="2"/>
        <v>1</v>
      </c>
      <c r="BB65" s="24">
        <v>36</v>
      </c>
    </row>
    <row r="66" spans="1:54" x14ac:dyDescent="0.2">
      <c r="A66" s="5">
        <v>495</v>
      </c>
      <c r="B66" s="20" t="s">
        <v>63</v>
      </c>
      <c r="C66" s="18" t="s">
        <v>55</v>
      </c>
      <c r="D66" s="18">
        <v>5</v>
      </c>
      <c r="E66" s="18">
        <v>0</v>
      </c>
      <c r="F66" s="18" t="s">
        <v>9</v>
      </c>
      <c r="G66" s="18">
        <v>27</v>
      </c>
      <c r="H66" s="22">
        <v>4.0136892539356603</v>
      </c>
      <c r="I66" s="22" t="s">
        <v>8</v>
      </c>
      <c r="J66" s="22" t="s">
        <v>8</v>
      </c>
      <c r="K66" s="22">
        <v>4.0136892539356603</v>
      </c>
      <c r="L66" s="22" t="s">
        <v>8</v>
      </c>
      <c r="M66" s="22" t="s">
        <v>8</v>
      </c>
      <c r="N66" s="22" t="s">
        <v>8</v>
      </c>
      <c r="O66" s="22" t="s">
        <v>8</v>
      </c>
      <c r="P66" s="22" t="s">
        <v>8</v>
      </c>
      <c r="Q66" s="22" t="s">
        <v>8</v>
      </c>
      <c r="R66" s="22" t="s">
        <v>8</v>
      </c>
      <c r="S66" s="22" t="s">
        <v>8</v>
      </c>
      <c r="T66" s="30">
        <v>3</v>
      </c>
      <c r="U66" s="30">
        <v>14</v>
      </c>
      <c r="V66" s="20" t="s">
        <v>1</v>
      </c>
      <c r="W66" s="20">
        <v>5</v>
      </c>
      <c r="X66" s="20">
        <v>2</v>
      </c>
      <c r="Y66" s="5">
        <v>1</v>
      </c>
      <c r="Z66" s="24">
        <v>4</v>
      </c>
      <c r="AA66" s="23">
        <f t="shared" ref="AA66:AA129" si="3">IF(AND(ISNUMBER(AB66), ISNUMBER(AC66),ISNUMBER(AD66), ISNUMBER(AE66), ISNUMBER(AF66),ISNUMBER(AG66), ISNUMBER(AH66)), 1, IF(AND(AB66="NA", AC66="NA", AD66="na", AE66="na", AF66="na", AG66="na", AH66="na"), 3, 2))</f>
        <v>1</v>
      </c>
      <c r="AB66" s="15">
        <v>1</v>
      </c>
      <c r="AC66" s="15">
        <v>0.625</v>
      </c>
      <c r="AD66" s="15">
        <v>0.25</v>
      </c>
      <c r="AE66" s="15">
        <v>0.625</v>
      </c>
      <c r="AF66" s="20">
        <v>15</v>
      </c>
      <c r="AG66" s="20">
        <v>2.33</v>
      </c>
      <c r="AH66" s="24">
        <v>24</v>
      </c>
      <c r="AI66" s="23">
        <f t="shared" ref="AI66:AI129" si="4">IF(AND(ISNUMBER(AJ66), ISNUMBER(AK66),ISNUMBER(AL66)), 1, IF(AND(AJ66="NA", AK66="NA", AL66="na"), 3, 2))</f>
        <v>1</v>
      </c>
      <c r="AJ66" s="17">
        <v>6.75</v>
      </c>
      <c r="AK66" s="17">
        <v>5.75</v>
      </c>
      <c r="AL66" s="14">
        <v>12.5</v>
      </c>
      <c r="AM66" s="23" cm="1">
        <f t="array" ref="AM66">IF(OR(AN66:AZ66=""),"BLANK",IF(AND(AN66:AZ66&lt;9999999),1,IF(AND(AN66:AZ66="NA"),3,2)))</f>
        <v>1</v>
      </c>
      <c r="AN66" s="20">
        <v>6</v>
      </c>
      <c r="AO66" s="26">
        <v>2</v>
      </c>
      <c r="AP66" s="15">
        <v>3.5</v>
      </c>
      <c r="AQ66" s="15">
        <v>6.5</v>
      </c>
      <c r="AR66" s="15">
        <v>10.25</v>
      </c>
      <c r="AS66" s="26">
        <v>0</v>
      </c>
      <c r="AT66" s="26">
        <v>4748.5</v>
      </c>
      <c r="AU66" s="26">
        <v>10725.25</v>
      </c>
      <c r="AV66" s="26">
        <v>10371.25</v>
      </c>
      <c r="AW66" s="26">
        <v>0</v>
      </c>
      <c r="AX66" s="26">
        <v>3017.625</v>
      </c>
      <c r="AY66" s="26">
        <v>14612.527777777799</v>
      </c>
      <c r="AZ66" s="26">
        <v>12851.670833333301</v>
      </c>
      <c r="BA66" s="23">
        <f t="shared" si="2"/>
        <v>1</v>
      </c>
      <c r="BB66" s="24">
        <v>37</v>
      </c>
    </row>
    <row r="67" spans="1:54" x14ac:dyDescent="0.2">
      <c r="A67" s="5">
        <v>503</v>
      </c>
      <c r="B67" s="20" t="s">
        <v>63</v>
      </c>
      <c r="C67" s="18" t="s">
        <v>54</v>
      </c>
      <c r="D67" s="18">
        <v>5</v>
      </c>
      <c r="E67" s="18">
        <v>0</v>
      </c>
      <c r="F67" s="18" t="s">
        <v>9</v>
      </c>
      <c r="G67" s="18">
        <v>30</v>
      </c>
      <c r="H67" s="22">
        <v>4.2573579739904179</v>
      </c>
      <c r="I67" s="22">
        <v>6.0670773442847361</v>
      </c>
      <c r="J67" s="22">
        <v>10.324435318275153</v>
      </c>
      <c r="K67" s="22">
        <v>4.2628336755646821</v>
      </c>
      <c r="L67" s="22">
        <v>6.061601642710472</v>
      </c>
      <c r="M67" s="22">
        <v>10.324435318275153</v>
      </c>
      <c r="N67" s="22">
        <v>4.0766598220396988</v>
      </c>
      <c r="O67" s="22">
        <v>6.0479123887748116</v>
      </c>
      <c r="P67" s="22">
        <v>10.124572210814511</v>
      </c>
      <c r="Q67" s="22" t="s">
        <v>8</v>
      </c>
      <c r="R67" s="22" t="s">
        <v>8</v>
      </c>
      <c r="S67" s="22" t="s">
        <v>8</v>
      </c>
      <c r="T67" s="30">
        <v>3</v>
      </c>
      <c r="U67" s="30">
        <v>14</v>
      </c>
      <c r="V67" s="20" t="s">
        <v>1</v>
      </c>
      <c r="W67" s="20">
        <v>5</v>
      </c>
      <c r="X67" s="20">
        <v>2</v>
      </c>
      <c r="Y67" s="5">
        <v>1</v>
      </c>
      <c r="Z67" s="24">
        <v>4</v>
      </c>
      <c r="AA67" s="23">
        <f t="shared" si="3"/>
        <v>1</v>
      </c>
      <c r="AB67" s="15">
        <v>0.875</v>
      </c>
      <c r="AC67" s="15">
        <v>0.75</v>
      </c>
      <c r="AD67" s="15">
        <v>0.25</v>
      </c>
      <c r="AE67" s="15">
        <v>0.625</v>
      </c>
      <c r="AF67" s="20">
        <v>15</v>
      </c>
      <c r="AG67" s="20">
        <v>6.42</v>
      </c>
      <c r="AH67" s="24">
        <v>24</v>
      </c>
      <c r="AI67" s="23">
        <f t="shared" si="4"/>
        <v>1</v>
      </c>
      <c r="AJ67" s="17">
        <v>2</v>
      </c>
      <c r="AK67" s="17">
        <v>5.25</v>
      </c>
      <c r="AL67" s="14">
        <v>7.25</v>
      </c>
      <c r="AM67" s="23" cm="1">
        <f t="array" ref="AM67">IF(OR(AN67:AZ67=""),"BLANK",IF(AND(AN67:AZ67&lt;9999999),1,IF(AND(AN67:AZ67="NA"),3,2)))</f>
        <v>1</v>
      </c>
      <c r="AN67" s="20">
        <v>10</v>
      </c>
      <c r="AO67" s="26">
        <v>2</v>
      </c>
      <c r="AP67" s="15">
        <v>3</v>
      </c>
      <c r="AQ67" s="15">
        <v>5.25</v>
      </c>
      <c r="AR67" s="15">
        <v>6.75</v>
      </c>
      <c r="AS67" s="26">
        <v>1488</v>
      </c>
      <c r="AT67" s="26">
        <v>4249.5</v>
      </c>
      <c r="AU67" s="26">
        <v>7190.5</v>
      </c>
      <c r="AV67" s="26">
        <v>4958.25</v>
      </c>
      <c r="AW67" s="26">
        <v>0</v>
      </c>
      <c r="AX67" s="26">
        <v>0.16666666669999999</v>
      </c>
      <c r="AY67" s="26">
        <v>3100.0277777778001</v>
      </c>
      <c r="AZ67" s="26">
        <v>3650.9166666667002</v>
      </c>
      <c r="BA67" s="23">
        <f t="shared" ref="BA67:BA130" si="5">IF(BB67="NA", 3,1)</f>
        <v>1</v>
      </c>
      <c r="BB67" s="24">
        <v>32</v>
      </c>
    </row>
    <row r="68" spans="1:54" x14ac:dyDescent="0.2">
      <c r="A68" s="5">
        <v>509</v>
      </c>
      <c r="B68" s="20" t="s">
        <v>75</v>
      </c>
      <c r="C68" s="18" t="s">
        <v>54</v>
      </c>
      <c r="D68" s="18">
        <v>5</v>
      </c>
      <c r="E68" s="18">
        <v>1</v>
      </c>
      <c r="F68" s="18" t="s">
        <v>9</v>
      </c>
      <c r="G68" s="18">
        <v>30</v>
      </c>
      <c r="H68" s="22">
        <v>4.0109514031485283</v>
      </c>
      <c r="I68" s="22">
        <v>6.0041067761806985</v>
      </c>
      <c r="J68" s="22">
        <v>10.015058179329227</v>
      </c>
      <c r="K68" s="22">
        <v>4.0109514031485283</v>
      </c>
      <c r="L68" s="22">
        <v>6.0041067761806985</v>
      </c>
      <c r="M68" s="22">
        <v>10.015058179329227</v>
      </c>
      <c r="N68" s="22">
        <v>3.9863107460643397</v>
      </c>
      <c r="O68" s="22">
        <v>5.7275838466803561</v>
      </c>
      <c r="P68" s="22">
        <v>9.7138945927446958</v>
      </c>
      <c r="Q68" s="22" t="s">
        <v>8</v>
      </c>
      <c r="R68" s="22" t="s">
        <v>8</v>
      </c>
      <c r="S68" s="22" t="s">
        <v>8</v>
      </c>
      <c r="T68" s="30">
        <v>4</v>
      </c>
      <c r="U68" s="30">
        <v>16</v>
      </c>
      <c r="V68" s="20" t="s">
        <v>1</v>
      </c>
      <c r="W68" s="20">
        <v>5</v>
      </c>
      <c r="X68" s="20">
        <v>2</v>
      </c>
      <c r="Y68" s="5">
        <v>1</v>
      </c>
      <c r="Z68" s="24">
        <v>4</v>
      </c>
      <c r="AA68" s="23">
        <f t="shared" si="3"/>
        <v>1</v>
      </c>
      <c r="AB68" s="15">
        <v>0.875</v>
      </c>
      <c r="AC68" s="15">
        <v>1</v>
      </c>
      <c r="AD68" s="15">
        <v>0.75</v>
      </c>
      <c r="AE68" s="15">
        <v>0.875</v>
      </c>
      <c r="AF68" s="20">
        <v>21</v>
      </c>
      <c r="AG68" s="20">
        <v>5.57</v>
      </c>
      <c r="AH68" s="24">
        <v>24</v>
      </c>
      <c r="AI68" s="23">
        <f t="shared" si="4"/>
        <v>1</v>
      </c>
      <c r="AJ68" s="17">
        <v>12</v>
      </c>
      <c r="AK68" s="17">
        <v>7</v>
      </c>
      <c r="AL68" s="14">
        <v>19</v>
      </c>
      <c r="AM68" s="23" cm="1">
        <f t="array" ref="AM68">IF(OR(AN68:AZ68=""),"BLANK",IF(AND(AN68:AZ68&lt;9999999),1,IF(AND(AN68:AZ68="NA"),3,2)))</f>
        <v>1</v>
      </c>
      <c r="AN68" s="20">
        <v>8</v>
      </c>
      <c r="AO68" s="26">
        <v>2</v>
      </c>
      <c r="AP68" s="15">
        <v>3</v>
      </c>
      <c r="AQ68" s="15">
        <v>5.25</v>
      </c>
      <c r="AR68" s="15">
        <v>6.25</v>
      </c>
      <c r="AS68" s="26">
        <v>665</v>
      </c>
      <c r="AT68" s="26">
        <v>2505.5</v>
      </c>
      <c r="AU68" s="26">
        <v>1161</v>
      </c>
      <c r="AV68" s="26">
        <v>5346.5</v>
      </c>
      <c r="AW68" s="26">
        <v>0</v>
      </c>
      <c r="AX68" s="26">
        <v>0</v>
      </c>
      <c r="AY68" s="26">
        <v>2302.6458333332998</v>
      </c>
      <c r="AZ68" s="26">
        <v>3041.0535714286002</v>
      </c>
      <c r="BA68" s="23">
        <f t="shared" si="5"/>
        <v>1</v>
      </c>
      <c r="BB68" s="24">
        <v>38</v>
      </c>
    </row>
    <row r="69" spans="1:54" x14ac:dyDescent="0.2">
      <c r="A69" s="5">
        <v>520</v>
      </c>
      <c r="B69" s="20" t="s">
        <v>75</v>
      </c>
      <c r="C69" s="18" t="s">
        <v>54</v>
      </c>
      <c r="D69" s="18">
        <v>5</v>
      </c>
      <c r="E69" s="18">
        <v>0</v>
      </c>
      <c r="F69" s="18" t="s">
        <v>9</v>
      </c>
      <c r="G69" s="18">
        <v>29</v>
      </c>
      <c r="H69" s="22">
        <v>4.16974674880219</v>
      </c>
      <c r="I69" s="22" t="s">
        <v>8</v>
      </c>
      <c r="J69" s="22" t="s">
        <v>8</v>
      </c>
      <c r="K69" s="22">
        <v>4.1806981519507183</v>
      </c>
      <c r="L69" s="22" t="s">
        <v>8</v>
      </c>
      <c r="M69" s="22" t="s">
        <v>8</v>
      </c>
      <c r="N69" s="22">
        <v>3.9616700889801506</v>
      </c>
      <c r="O69" s="22" t="s">
        <v>8</v>
      </c>
      <c r="P69" s="22" t="s">
        <v>8</v>
      </c>
      <c r="Q69" s="22" t="s">
        <v>8</v>
      </c>
      <c r="R69" s="22" t="s">
        <v>8</v>
      </c>
      <c r="S69" s="22" t="s">
        <v>8</v>
      </c>
      <c r="T69" s="30">
        <v>4</v>
      </c>
      <c r="U69" s="30">
        <v>16</v>
      </c>
      <c r="V69" s="20" t="s">
        <v>1</v>
      </c>
      <c r="W69" s="20">
        <v>5</v>
      </c>
      <c r="X69" s="20">
        <v>2</v>
      </c>
      <c r="Y69" s="5">
        <v>1</v>
      </c>
      <c r="Z69" s="24">
        <v>4</v>
      </c>
      <c r="AA69" s="23">
        <f t="shared" si="3"/>
        <v>1</v>
      </c>
      <c r="AB69" s="15">
        <v>1</v>
      </c>
      <c r="AC69" s="15">
        <v>0.875</v>
      </c>
      <c r="AD69" s="15">
        <v>0.375</v>
      </c>
      <c r="AE69" s="15">
        <v>0.75</v>
      </c>
      <c r="AF69" s="20">
        <v>18</v>
      </c>
      <c r="AG69" s="20">
        <v>3.98</v>
      </c>
      <c r="AH69" s="24">
        <v>24</v>
      </c>
      <c r="AI69" s="23">
        <f t="shared" si="4"/>
        <v>1</v>
      </c>
      <c r="AJ69" s="17">
        <v>8.5</v>
      </c>
      <c r="AK69" s="17">
        <v>10.5</v>
      </c>
      <c r="AL69" s="14">
        <v>19</v>
      </c>
      <c r="AM69" s="23" cm="1">
        <f t="array" ref="AM69">IF(OR(AN69:AZ69=""),"BLANK",IF(AND(AN69:AZ69&lt;9999999),1,IF(AND(AN69:AZ69="NA"),3,2)))</f>
        <v>1</v>
      </c>
      <c r="AN69" s="20">
        <v>11</v>
      </c>
      <c r="AO69" s="26">
        <v>2</v>
      </c>
      <c r="AP69" s="15">
        <v>3</v>
      </c>
      <c r="AQ69" s="15">
        <v>4.25</v>
      </c>
      <c r="AR69" s="15">
        <v>5</v>
      </c>
      <c r="AS69" s="26">
        <v>3316</v>
      </c>
      <c r="AT69" s="26">
        <v>6169.5</v>
      </c>
      <c r="AU69" s="26">
        <v>21471.5</v>
      </c>
      <c r="AV69" s="26">
        <v>8362</v>
      </c>
      <c r="AW69" s="26">
        <v>0</v>
      </c>
      <c r="AX69" s="26">
        <v>0</v>
      </c>
      <c r="AY69" s="26">
        <v>0</v>
      </c>
      <c r="AZ69" s="26">
        <v>1974.1</v>
      </c>
      <c r="BA69" s="23">
        <f t="shared" si="5"/>
        <v>1</v>
      </c>
      <c r="BB69" s="24">
        <v>35</v>
      </c>
    </row>
    <row r="70" spans="1:54" x14ac:dyDescent="0.2">
      <c r="A70" s="5">
        <v>528</v>
      </c>
      <c r="B70" s="20" t="s">
        <v>63</v>
      </c>
      <c r="C70" s="18" t="s">
        <v>55</v>
      </c>
      <c r="D70" s="18">
        <v>5</v>
      </c>
      <c r="E70" s="18">
        <v>0</v>
      </c>
      <c r="F70" s="18" t="s">
        <v>9</v>
      </c>
      <c r="G70" s="18">
        <v>28</v>
      </c>
      <c r="H70" s="22">
        <v>4.0054757015742641</v>
      </c>
      <c r="I70" s="22" t="s">
        <v>8</v>
      </c>
      <c r="J70" s="22" t="s">
        <v>8</v>
      </c>
      <c r="K70" s="22">
        <v>4.0246406570841886</v>
      </c>
      <c r="L70" s="22" t="s">
        <v>8</v>
      </c>
      <c r="M70" s="22" t="s">
        <v>8</v>
      </c>
      <c r="N70" s="22">
        <v>4.0136892539356603</v>
      </c>
      <c r="O70" s="22" t="s">
        <v>8</v>
      </c>
      <c r="P70" s="22" t="s">
        <v>8</v>
      </c>
      <c r="Q70" s="22">
        <v>3.3347022587268995</v>
      </c>
      <c r="R70" s="22" t="s">
        <v>8</v>
      </c>
      <c r="S70" s="22" t="s">
        <v>8</v>
      </c>
      <c r="T70" s="30">
        <v>7</v>
      </c>
      <c r="U70" s="30">
        <v>21</v>
      </c>
      <c r="V70" s="20" t="s">
        <v>1</v>
      </c>
      <c r="W70" s="20">
        <v>5</v>
      </c>
      <c r="X70" s="20">
        <v>2</v>
      </c>
      <c r="Y70" s="5">
        <v>1</v>
      </c>
      <c r="Z70" s="24">
        <v>4</v>
      </c>
      <c r="AA70" s="23">
        <f t="shared" si="3"/>
        <v>1</v>
      </c>
      <c r="AB70" s="15">
        <v>1</v>
      </c>
      <c r="AC70" s="15">
        <v>0.875</v>
      </c>
      <c r="AD70" s="15">
        <v>0.5</v>
      </c>
      <c r="AE70" s="15">
        <v>0.79200000000000004</v>
      </c>
      <c r="AF70" s="20">
        <v>19</v>
      </c>
      <c r="AG70" s="20">
        <v>9.0500000000000007</v>
      </c>
      <c r="AH70" s="24">
        <v>24</v>
      </c>
      <c r="AI70" s="23">
        <f t="shared" si="4"/>
        <v>1</v>
      </c>
      <c r="AJ70" s="17">
        <v>8.75</v>
      </c>
      <c r="AK70" s="17">
        <v>6.75</v>
      </c>
      <c r="AL70" s="14">
        <v>15.5</v>
      </c>
      <c r="AM70" s="23" cm="1">
        <f t="array" ref="AM70">IF(OR(AN70:AZ70=""),"BLANK",IF(AND(AN70:AZ70&lt;9999999),1,IF(AND(AN70:AZ70="NA"),3,2)))</f>
        <v>1</v>
      </c>
      <c r="AN70" s="20">
        <v>8</v>
      </c>
      <c r="AO70" s="26">
        <v>2</v>
      </c>
      <c r="AP70" s="15">
        <v>3</v>
      </c>
      <c r="AQ70" s="15">
        <v>5.5</v>
      </c>
      <c r="AR70" s="15">
        <v>6</v>
      </c>
      <c r="AS70" s="26">
        <v>0</v>
      </c>
      <c r="AT70" s="26">
        <v>18548.5</v>
      </c>
      <c r="AU70" s="26">
        <v>13500</v>
      </c>
      <c r="AV70" s="26">
        <v>13872.5</v>
      </c>
      <c r="AW70" s="26">
        <v>356.75</v>
      </c>
      <c r="AX70" s="26">
        <v>0</v>
      </c>
      <c r="AY70" s="26">
        <v>3153.9472222221998</v>
      </c>
      <c r="AZ70" s="26">
        <v>196.4714285714</v>
      </c>
      <c r="BA70" s="23">
        <f t="shared" si="5"/>
        <v>1</v>
      </c>
      <c r="BB70" s="24">
        <v>34</v>
      </c>
    </row>
    <row r="71" spans="1:54" x14ac:dyDescent="0.2">
      <c r="A71" s="5">
        <v>532</v>
      </c>
      <c r="B71" s="20" t="s">
        <v>74</v>
      </c>
      <c r="C71" s="18" t="s">
        <v>55</v>
      </c>
      <c r="D71" s="18">
        <v>5</v>
      </c>
      <c r="E71" s="18">
        <v>0</v>
      </c>
      <c r="F71" s="18" t="s">
        <v>9</v>
      </c>
      <c r="G71" s="18">
        <v>29</v>
      </c>
      <c r="H71" s="22">
        <v>4.1998631074606436</v>
      </c>
      <c r="I71" s="22" t="s">
        <v>8</v>
      </c>
      <c r="J71" s="22" t="s">
        <v>8</v>
      </c>
      <c r="K71" s="22">
        <v>4.1998631074606436</v>
      </c>
      <c r="L71" s="22" t="s">
        <v>8</v>
      </c>
      <c r="M71" s="22" t="s">
        <v>8</v>
      </c>
      <c r="N71" s="22">
        <v>4.2026009582477757</v>
      </c>
      <c r="O71" s="22" t="s">
        <v>8</v>
      </c>
      <c r="P71" s="22" t="s">
        <v>8</v>
      </c>
      <c r="Q71" s="22">
        <v>3.1978097193702943</v>
      </c>
      <c r="R71" s="22" t="s">
        <v>8</v>
      </c>
      <c r="S71" s="22" t="s">
        <v>8</v>
      </c>
      <c r="T71" s="30">
        <v>6</v>
      </c>
      <c r="U71" s="30">
        <v>18</v>
      </c>
      <c r="V71" s="20" t="s">
        <v>1</v>
      </c>
      <c r="W71" s="20">
        <v>5</v>
      </c>
      <c r="X71" s="20">
        <v>2</v>
      </c>
      <c r="Y71" s="5">
        <v>1</v>
      </c>
      <c r="Z71" s="24">
        <v>4</v>
      </c>
      <c r="AA71" s="23">
        <f t="shared" si="3"/>
        <v>1</v>
      </c>
      <c r="AB71" s="15">
        <v>1</v>
      </c>
      <c r="AC71" s="15">
        <v>1</v>
      </c>
      <c r="AD71" s="15">
        <v>0.625</v>
      </c>
      <c r="AE71" s="15">
        <v>0.875</v>
      </c>
      <c r="AF71" s="20">
        <v>21</v>
      </c>
      <c r="AG71" s="20">
        <v>6.57</v>
      </c>
      <c r="AH71" s="24">
        <v>24</v>
      </c>
      <c r="AI71" s="23">
        <f t="shared" si="4"/>
        <v>1</v>
      </c>
      <c r="AJ71" s="17">
        <v>14</v>
      </c>
      <c r="AK71" s="17">
        <v>10</v>
      </c>
      <c r="AL71" s="14">
        <v>24</v>
      </c>
      <c r="AM71" s="23" cm="1">
        <f t="array" ref="AM71">IF(OR(AN71:AZ71=""),"BLANK",IF(AND(AN71:AZ71&lt;9999999),1,IF(AND(AN71:AZ71="NA"),3,2)))</f>
        <v>1</v>
      </c>
      <c r="AN71" s="20">
        <v>10</v>
      </c>
      <c r="AO71" s="26">
        <v>2</v>
      </c>
      <c r="AP71" s="15">
        <v>3</v>
      </c>
      <c r="AQ71" s="15">
        <v>4</v>
      </c>
      <c r="AR71" s="15">
        <v>6.25</v>
      </c>
      <c r="AS71" s="26">
        <v>3026</v>
      </c>
      <c r="AT71" s="26">
        <v>7597.5</v>
      </c>
      <c r="AU71" s="26">
        <v>12323.75</v>
      </c>
      <c r="AV71" s="26">
        <v>9868</v>
      </c>
      <c r="AW71" s="26">
        <v>678.75</v>
      </c>
      <c r="AX71" s="26">
        <v>650.5</v>
      </c>
      <c r="AY71" s="26">
        <v>1471.9375</v>
      </c>
      <c r="AZ71" s="26">
        <v>3248.6416666667001</v>
      </c>
      <c r="BA71" s="23">
        <f t="shared" si="5"/>
        <v>1</v>
      </c>
      <c r="BB71" s="24">
        <v>37</v>
      </c>
    </row>
    <row r="72" spans="1:54" x14ac:dyDescent="0.2">
      <c r="A72" s="5">
        <v>543</v>
      </c>
      <c r="B72" s="20" t="s">
        <v>63</v>
      </c>
      <c r="C72" s="18" t="s">
        <v>55</v>
      </c>
      <c r="D72" s="18">
        <v>5</v>
      </c>
      <c r="E72" s="18">
        <v>0</v>
      </c>
      <c r="F72" s="18" t="s">
        <v>9</v>
      </c>
      <c r="G72" s="18">
        <v>30</v>
      </c>
      <c r="H72" s="22">
        <v>4.2956878850102669</v>
      </c>
      <c r="I72" s="22" t="s">
        <v>8</v>
      </c>
      <c r="J72" s="22" t="s">
        <v>8</v>
      </c>
      <c r="K72" s="22">
        <v>4.2956878850102669</v>
      </c>
      <c r="L72" s="22" t="s">
        <v>8</v>
      </c>
      <c r="M72" s="22" t="s">
        <v>8</v>
      </c>
      <c r="N72" s="22">
        <v>4.2929500342231348</v>
      </c>
      <c r="O72" s="22" t="s">
        <v>8</v>
      </c>
      <c r="P72" s="22" t="s">
        <v>8</v>
      </c>
      <c r="Q72" s="22">
        <v>3.6221765913757702</v>
      </c>
      <c r="R72" s="22" t="s">
        <v>8</v>
      </c>
      <c r="S72" s="22" t="s">
        <v>8</v>
      </c>
      <c r="T72" s="30">
        <v>7</v>
      </c>
      <c r="U72" s="30">
        <v>21</v>
      </c>
      <c r="V72" s="20" t="s">
        <v>1</v>
      </c>
      <c r="W72" s="20">
        <v>5</v>
      </c>
      <c r="X72" s="20">
        <v>2</v>
      </c>
      <c r="Y72" s="5">
        <v>1</v>
      </c>
      <c r="Z72" s="24">
        <v>4</v>
      </c>
      <c r="AA72" s="23">
        <f t="shared" si="3"/>
        <v>1</v>
      </c>
      <c r="AB72" s="15">
        <v>1</v>
      </c>
      <c r="AC72" s="15">
        <v>0.875</v>
      </c>
      <c r="AD72" s="15">
        <v>0.875</v>
      </c>
      <c r="AE72" s="15">
        <v>0.91700000000000004</v>
      </c>
      <c r="AF72" s="20">
        <v>22</v>
      </c>
      <c r="AG72" s="20">
        <v>5.18</v>
      </c>
      <c r="AH72" s="24">
        <v>24</v>
      </c>
      <c r="AI72" s="23">
        <f t="shared" si="4"/>
        <v>1</v>
      </c>
      <c r="AJ72" s="17">
        <v>13</v>
      </c>
      <c r="AK72" s="17">
        <v>11</v>
      </c>
      <c r="AL72" s="14">
        <v>24</v>
      </c>
      <c r="AM72" s="23" cm="1">
        <f t="array" ref="AM72">IF(OR(AN72:AZ72=""),"BLANK",IF(AND(AN72:AZ72&lt;9999999),1,IF(AND(AN72:AZ72="NA"),3,2)))</f>
        <v>1</v>
      </c>
      <c r="AN72" s="20">
        <v>10</v>
      </c>
      <c r="AO72" s="26">
        <v>2</v>
      </c>
      <c r="AP72" s="15">
        <v>3</v>
      </c>
      <c r="AQ72" s="15">
        <v>5</v>
      </c>
      <c r="AR72" s="15">
        <v>5.25</v>
      </c>
      <c r="AS72" s="26">
        <v>2921.5</v>
      </c>
      <c r="AT72" s="26">
        <v>11237</v>
      </c>
      <c r="AU72" s="26">
        <v>14829</v>
      </c>
      <c r="AV72" s="26">
        <v>8344.25</v>
      </c>
      <c r="AW72" s="26">
        <v>0</v>
      </c>
      <c r="AX72" s="26">
        <v>0</v>
      </c>
      <c r="AY72" s="26">
        <v>1974.1875</v>
      </c>
      <c r="AZ72" s="26">
        <v>1824.875</v>
      </c>
      <c r="BA72" s="23">
        <f t="shared" si="5"/>
        <v>1</v>
      </c>
      <c r="BB72" s="24">
        <v>39</v>
      </c>
    </row>
    <row r="73" spans="1:54" x14ac:dyDescent="0.2">
      <c r="A73" s="5">
        <v>557</v>
      </c>
      <c r="B73" s="20" t="s">
        <v>75</v>
      </c>
      <c r="C73" s="18" t="s">
        <v>54</v>
      </c>
      <c r="D73" s="18">
        <v>5</v>
      </c>
      <c r="E73" s="18">
        <v>0</v>
      </c>
      <c r="F73" s="18" t="s">
        <v>9</v>
      </c>
      <c r="G73" s="18">
        <v>29</v>
      </c>
      <c r="H73" s="22">
        <v>4.1122518822724166</v>
      </c>
      <c r="I73" s="22">
        <v>5.675564681724846</v>
      </c>
      <c r="J73" s="22">
        <v>9.7878165639972625</v>
      </c>
      <c r="K73" s="22">
        <v>4.2491444216290208</v>
      </c>
      <c r="L73" s="22">
        <v>5.7878165639972625</v>
      </c>
      <c r="M73" s="22">
        <v>10.036960985626283</v>
      </c>
      <c r="N73" s="22">
        <v>4.1451060917180014</v>
      </c>
      <c r="O73" s="22">
        <v>5.5961670088980151</v>
      </c>
      <c r="P73" s="22">
        <v>9.7412731006160165</v>
      </c>
      <c r="Q73" s="22">
        <v>3.2553045859000687</v>
      </c>
      <c r="R73" s="22">
        <v>6.4750171115674195</v>
      </c>
      <c r="S73" s="22">
        <v>9.7303216974674882</v>
      </c>
      <c r="T73" s="30">
        <v>4</v>
      </c>
      <c r="U73" s="30">
        <v>16</v>
      </c>
      <c r="V73" s="20" t="s">
        <v>1</v>
      </c>
      <c r="W73" s="20">
        <v>5</v>
      </c>
      <c r="X73" s="20">
        <v>2</v>
      </c>
      <c r="Y73" s="5">
        <v>1</v>
      </c>
      <c r="Z73" s="24">
        <v>4</v>
      </c>
      <c r="AA73" s="23">
        <f t="shared" si="3"/>
        <v>2</v>
      </c>
      <c r="AB73" s="15">
        <v>1</v>
      </c>
      <c r="AC73" s="15">
        <v>1</v>
      </c>
      <c r="AD73" s="15">
        <v>0.625</v>
      </c>
      <c r="AE73" s="15">
        <v>0.875</v>
      </c>
      <c r="AF73" s="20">
        <v>21</v>
      </c>
      <c r="AG73" s="20" t="s">
        <v>8</v>
      </c>
      <c r="AH73" s="24">
        <v>24</v>
      </c>
      <c r="AI73" s="23">
        <f t="shared" si="4"/>
        <v>1</v>
      </c>
      <c r="AJ73" s="17">
        <v>9.75</v>
      </c>
      <c r="AK73" s="17">
        <v>11</v>
      </c>
      <c r="AL73" s="14">
        <v>20.75</v>
      </c>
      <c r="AM73" s="23" cm="1">
        <f t="array" ref="AM73">IF(OR(AN73:AZ73=""),"BLANK",IF(AND(AN73:AZ73&lt;9999999),1,IF(AND(AN73:AZ73="NA"),3,2)))</f>
        <v>1</v>
      </c>
      <c r="AN73" s="20">
        <v>5</v>
      </c>
      <c r="AO73" s="26">
        <v>2</v>
      </c>
      <c r="AP73" s="15">
        <v>3.5</v>
      </c>
      <c r="AQ73" s="15">
        <v>6.25</v>
      </c>
      <c r="AR73" s="15">
        <v>9.25</v>
      </c>
      <c r="AS73" s="26">
        <v>2508</v>
      </c>
      <c r="AT73" s="26">
        <v>4331</v>
      </c>
      <c r="AU73" s="26">
        <v>2558</v>
      </c>
      <c r="AV73" s="26">
        <v>3858.25</v>
      </c>
      <c r="AW73" s="26">
        <v>1731.75</v>
      </c>
      <c r="AX73" s="26">
        <v>444.9166666667</v>
      </c>
      <c r="AY73" s="26">
        <v>10737.3125</v>
      </c>
      <c r="AZ73" s="26">
        <v>9997.1517857143008</v>
      </c>
      <c r="BA73" s="23">
        <f t="shared" si="5"/>
        <v>1</v>
      </c>
      <c r="BB73" s="24">
        <v>35</v>
      </c>
    </row>
    <row r="74" spans="1:54" x14ac:dyDescent="0.2">
      <c r="A74" s="5">
        <v>562</v>
      </c>
      <c r="B74" s="20" t="s">
        <v>68</v>
      </c>
      <c r="C74" s="18" t="s">
        <v>55</v>
      </c>
      <c r="D74" s="18">
        <v>5</v>
      </c>
      <c r="E74" s="18">
        <v>0</v>
      </c>
      <c r="F74" s="18" t="s">
        <v>9</v>
      </c>
      <c r="G74" s="18">
        <v>30</v>
      </c>
      <c r="H74" s="22">
        <v>4.2546201232032859</v>
      </c>
      <c r="I74" s="22">
        <v>5.4839151266255985</v>
      </c>
      <c r="J74" s="22">
        <v>9.7385352498288835</v>
      </c>
      <c r="K74" s="22">
        <v>4.6214921286789874</v>
      </c>
      <c r="L74" s="22">
        <v>5.117043121149897</v>
      </c>
      <c r="M74" s="22">
        <v>9.7385352498288835</v>
      </c>
      <c r="N74" s="22">
        <v>3.9206023271731691</v>
      </c>
      <c r="O74" s="22">
        <v>5.1800136892539355</v>
      </c>
      <c r="P74" s="22">
        <v>9.1006160164271055</v>
      </c>
      <c r="Q74" s="22">
        <v>3.1950718685831623</v>
      </c>
      <c r="R74" s="22">
        <v>6.1108829568788501</v>
      </c>
      <c r="S74" s="22">
        <v>9.3059548254620115</v>
      </c>
      <c r="T74" s="30">
        <v>6</v>
      </c>
      <c r="U74" s="30">
        <v>18</v>
      </c>
      <c r="V74" s="20" t="s">
        <v>1</v>
      </c>
      <c r="W74" s="20">
        <v>5</v>
      </c>
      <c r="X74" s="20">
        <v>2</v>
      </c>
      <c r="Y74" s="5">
        <v>1</v>
      </c>
      <c r="Z74" s="24">
        <v>4</v>
      </c>
      <c r="AA74" s="23">
        <f t="shared" si="3"/>
        <v>1</v>
      </c>
      <c r="AB74" s="15">
        <v>0.7142857142857143</v>
      </c>
      <c r="AC74" s="15">
        <v>0.8571428571428571</v>
      </c>
      <c r="AD74" s="15">
        <v>0.5714285714285714</v>
      </c>
      <c r="AE74" s="15">
        <v>0.71399999999999997</v>
      </c>
      <c r="AF74" s="20">
        <v>15</v>
      </c>
      <c r="AG74" s="20">
        <v>3.85</v>
      </c>
      <c r="AH74" s="24">
        <v>21</v>
      </c>
      <c r="AI74" s="23">
        <f t="shared" si="4"/>
        <v>1</v>
      </c>
      <c r="AJ74" s="17">
        <v>7.75</v>
      </c>
      <c r="AK74" s="17">
        <v>7.5</v>
      </c>
      <c r="AL74" s="14">
        <v>15.25</v>
      </c>
      <c r="AM74" s="23" cm="1">
        <f t="array" ref="AM74">IF(OR(AN74:AZ74=""),"BLANK",IF(AND(AN74:AZ74&lt;9999999),1,IF(AND(AN74:AZ74="NA"),3,2)))</f>
        <v>1</v>
      </c>
      <c r="AN74" s="20">
        <v>8</v>
      </c>
      <c r="AO74" s="26">
        <v>2</v>
      </c>
      <c r="AP74" s="15">
        <v>3</v>
      </c>
      <c r="AQ74" s="15">
        <v>6.25</v>
      </c>
      <c r="AR74" s="15">
        <v>5.75</v>
      </c>
      <c r="AS74" s="26">
        <v>886.5</v>
      </c>
      <c r="AT74" s="26">
        <v>14108.5</v>
      </c>
      <c r="AU74" s="26">
        <v>13593</v>
      </c>
      <c r="AV74" s="26">
        <v>26898.75</v>
      </c>
      <c r="AW74" s="26">
        <v>0</v>
      </c>
      <c r="AX74" s="26">
        <v>0</v>
      </c>
      <c r="AY74" s="26">
        <v>8356</v>
      </c>
      <c r="AZ74" s="26">
        <v>1356.1988095238</v>
      </c>
      <c r="BA74" s="23">
        <f t="shared" si="5"/>
        <v>1</v>
      </c>
      <c r="BB74" s="24">
        <v>39</v>
      </c>
    </row>
    <row r="75" spans="1:54" x14ac:dyDescent="0.2">
      <c r="A75" s="5">
        <v>567</v>
      </c>
      <c r="B75" s="20" t="s">
        <v>79</v>
      </c>
      <c r="C75" s="18" t="s">
        <v>54</v>
      </c>
      <c r="D75" s="18">
        <v>2</v>
      </c>
      <c r="E75" s="18">
        <v>0</v>
      </c>
      <c r="F75" s="18" t="s">
        <v>9</v>
      </c>
      <c r="G75" s="18">
        <v>30</v>
      </c>
      <c r="H75" s="22">
        <v>3.9644079397672827</v>
      </c>
      <c r="I75" s="22" t="s">
        <v>8</v>
      </c>
      <c r="J75" s="22" t="s">
        <v>8</v>
      </c>
      <c r="K75" s="22">
        <v>3.9671457905544147</v>
      </c>
      <c r="L75" s="22" t="s">
        <v>8</v>
      </c>
      <c r="M75" s="22" t="s">
        <v>8</v>
      </c>
      <c r="N75" s="22">
        <v>3.9561943874058865</v>
      </c>
      <c r="O75" s="22" t="s">
        <v>8</v>
      </c>
      <c r="P75" s="22" t="s">
        <v>8</v>
      </c>
      <c r="Q75" s="22" t="s">
        <v>8</v>
      </c>
      <c r="R75" s="22" t="s">
        <v>8</v>
      </c>
      <c r="S75" s="22" t="s">
        <v>8</v>
      </c>
      <c r="T75" s="30">
        <v>6</v>
      </c>
      <c r="U75" s="30">
        <v>18</v>
      </c>
      <c r="V75" s="20" t="s">
        <v>1</v>
      </c>
      <c r="W75" s="20">
        <v>5</v>
      </c>
      <c r="X75" s="20">
        <v>2</v>
      </c>
      <c r="Y75" s="5">
        <v>1</v>
      </c>
      <c r="Z75" s="24">
        <v>4</v>
      </c>
      <c r="AA75" s="23">
        <f t="shared" si="3"/>
        <v>1</v>
      </c>
      <c r="AB75" s="15">
        <v>1</v>
      </c>
      <c r="AC75" s="15">
        <v>1</v>
      </c>
      <c r="AD75" s="15">
        <v>1</v>
      </c>
      <c r="AE75" s="15">
        <v>1</v>
      </c>
      <c r="AF75" s="20">
        <v>24</v>
      </c>
      <c r="AG75" s="20">
        <v>11.05</v>
      </c>
      <c r="AH75" s="24">
        <v>24</v>
      </c>
      <c r="AI75" s="23">
        <f t="shared" si="4"/>
        <v>1</v>
      </c>
      <c r="AJ75" s="17">
        <v>12.75</v>
      </c>
      <c r="AK75" s="17">
        <v>13</v>
      </c>
      <c r="AL75" s="14">
        <v>25.75</v>
      </c>
      <c r="AM75" s="23" cm="1">
        <f t="array" ref="AM75">IF(OR(AN75:AZ75=""),"BLANK",IF(AND(AN75:AZ75&lt;9999999),1,IF(AND(AN75:AZ75="NA"),3,2)))</f>
        <v>1</v>
      </c>
      <c r="AN75" s="20">
        <v>8</v>
      </c>
      <c r="AO75" s="26">
        <v>2</v>
      </c>
      <c r="AP75" s="15">
        <v>3</v>
      </c>
      <c r="AQ75" s="15">
        <v>5.25</v>
      </c>
      <c r="AR75" s="15">
        <v>5.5</v>
      </c>
      <c r="AS75" s="26">
        <v>979.5</v>
      </c>
      <c r="AT75" s="26">
        <v>4240.5</v>
      </c>
      <c r="AU75" s="26">
        <v>2378</v>
      </c>
      <c r="AV75" s="26">
        <v>2320.25</v>
      </c>
      <c r="AW75" s="26">
        <v>0</v>
      </c>
      <c r="AX75" s="26">
        <v>0</v>
      </c>
      <c r="AY75" s="26">
        <v>180.33750000000001</v>
      </c>
      <c r="AZ75" s="26">
        <v>0</v>
      </c>
      <c r="BA75" s="23">
        <f t="shared" si="5"/>
        <v>1</v>
      </c>
      <c r="BB75" s="24">
        <v>39</v>
      </c>
    </row>
    <row r="76" spans="1:54" x14ac:dyDescent="0.2">
      <c r="A76" s="5">
        <v>575</v>
      </c>
      <c r="B76" s="20" t="s">
        <v>78</v>
      </c>
      <c r="C76" s="18" t="s">
        <v>54</v>
      </c>
      <c r="D76" s="18">
        <v>5</v>
      </c>
      <c r="E76" s="18">
        <v>0</v>
      </c>
      <c r="F76" s="18" t="s">
        <v>9</v>
      </c>
      <c r="G76" s="18">
        <v>29</v>
      </c>
      <c r="H76" s="22">
        <v>3.8576317590691307</v>
      </c>
      <c r="I76" s="22">
        <v>5.2703627652292946</v>
      </c>
      <c r="J76" s="22">
        <v>9.1279945242984262</v>
      </c>
      <c r="K76" s="22">
        <v>3.8576317590691307</v>
      </c>
      <c r="L76" s="22">
        <v>5.2703627652292946</v>
      </c>
      <c r="M76" s="22">
        <v>9.1279945242984262</v>
      </c>
      <c r="N76" s="22">
        <v>3.8576317590691307</v>
      </c>
      <c r="O76" s="22">
        <v>5.0239561943874058</v>
      </c>
      <c r="P76" s="22">
        <v>8.8815879534565365</v>
      </c>
      <c r="Q76" s="22" t="s">
        <v>8</v>
      </c>
      <c r="R76" s="22" t="s">
        <v>8</v>
      </c>
      <c r="S76" s="22" t="s">
        <v>8</v>
      </c>
      <c r="T76" s="30">
        <v>5</v>
      </c>
      <c r="U76" s="30">
        <v>17</v>
      </c>
      <c r="V76" s="20" t="s">
        <v>1</v>
      </c>
      <c r="W76" s="20">
        <v>5</v>
      </c>
      <c r="X76" s="20">
        <v>2</v>
      </c>
      <c r="Y76" s="5">
        <v>1</v>
      </c>
      <c r="Z76" s="24">
        <v>4</v>
      </c>
      <c r="AA76" s="23">
        <f t="shared" si="3"/>
        <v>1</v>
      </c>
      <c r="AB76" s="15">
        <v>1</v>
      </c>
      <c r="AC76" s="15">
        <v>0.875</v>
      </c>
      <c r="AD76" s="15">
        <v>0.75</v>
      </c>
      <c r="AE76" s="15">
        <v>0.875</v>
      </c>
      <c r="AF76" s="20">
        <v>21</v>
      </c>
      <c r="AG76" s="20">
        <v>11.12</v>
      </c>
      <c r="AH76" s="24">
        <v>24</v>
      </c>
      <c r="AI76" s="23">
        <f t="shared" si="4"/>
        <v>1</v>
      </c>
      <c r="AJ76" s="17">
        <v>7.75</v>
      </c>
      <c r="AK76" s="17">
        <v>9.75</v>
      </c>
      <c r="AL76" s="14">
        <v>17.5</v>
      </c>
      <c r="AM76" s="23" cm="1">
        <f t="array" ref="AM76">IF(OR(AN76:AZ76=""),"BLANK",IF(AND(AN76:AZ76&lt;9999999),1,IF(AND(AN76:AZ76="NA"),3,2)))</f>
        <v>1</v>
      </c>
      <c r="AN76" s="20">
        <v>10</v>
      </c>
      <c r="AO76" s="26">
        <v>2</v>
      </c>
      <c r="AP76" s="15">
        <v>3</v>
      </c>
      <c r="AQ76" s="15">
        <v>5</v>
      </c>
      <c r="AR76" s="15">
        <v>6</v>
      </c>
      <c r="AS76" s="26">
        <v>228.5</v>
      </c>
      <c r="AT76" s="26">
        <v>1804.5</v>
      </c>
      <c r="AU76" s="26">
        <v>3055.75</v>
      </c>
      <c r="AV76" s="26">
        <v>4493.25</v>
      </c>
      <c r="AW76" s="26">
        <v>0</v>
      </c>
      <c r="AX76" s="26">
        <v>0</v>
      </c>
      <c r="AY76" s="26">
        <v>524.65625</v>
      </c>
      <c r="AZ76" s="26">
        <v>628.73333333330004</v>
      </c>
      <c r="BA76" s="23">
        <f t="shared" si="5"/>
        <v>1</v>
      </c>
      <c r="BB76" s="24">
        <v>33</v>
      </c>
    </row>
    <row r="77" spans="1:54" x14ac:dyDescent="0.2">
      <c r="A77" s="5">
        <v>587</v>
      </c>
      <c r="B77" s="20" t="s">
        <v>66</v>
      </c>
      <c r="C77" s="18" t="s">
        <v>54</v>
      </c>
      <c r="D77" s="18">
        <v>2</v>
      </c>
      <c r="E77" s="18">
        <v>0</v>
      </c>
      <c r="F77" s="18" t="s">
        <v>9</v>
      </c>
      <c r="G77" s="18">
        <v>29</v>
      </c>
      <c r="H77" s="22">
        <v>4.0246406570841886</v>
      </c>
      <c r="I77" s="22" t="s">
        <v>8</v>
      </c>
      <c r="J77" s="22" t="s">
        <v>8</v>
      </c>
      <c r="K77" s="22" t="s">
        <v>8</v>
      </c>
      <c r="L77" s="22" t="s">
        <v>8</v>
      </c>
      <c r="M77" s="22" t="s">
        <v>8</v>
      </c>
      <c r="N77" s="22">
        <v>4.1122518822724166</v>
      </c>
      <c r="O77" s="22" t="s">
        <v>8</v>
      </c>
      <c r="P77" s="22" t="s">
        <v>8</v>
      </c>
      <c r="Q77" s="22">
        <v>4.1177275838466807</v>
      </c>
      <c r="R77" s="22" t="s">
        <v>8</v>
      </c>
      <c r="S77" s="22" t="s">
        <v>8</v>
      </c>
      <c r="T77" s="30">
        <v>6</v>
      </c>
      <c r="U77" s="30">
        <v>18</v>
      </c>
      <c r="V77" s="20" t="s">
        <v>1</v>
      </c>
      <c r="W77" s="20">
        <v>5</v>
      </c>
      <c r="X77" s="20">
        <v>2</v>
      </c>
      <c r="Y77" s="5">
        <v>1</v>
      </c>
      <c r="Z77" s="24">
        <v>4</v>
      </c>
      <c r="AA77" s="23">
        <f t="shared" si="3"/>
        <v>1</v>
      </c>
      <c r="AB77" s="15">
        <v>1</v>
      </c>
      <c r="AC77" s="15">
        <v>1</v>
      </c>
      <c r="AD77" s="15">
        <v>1</v>
      </c>
      <c r="AE77" s="15">
        <v>1</v>
      </c>
      <c r="AF77" s="20">
        <v>24</v>
      </c>
      <c r="AG77" s="20">
        <v>5.08</v>
      </c>
      <c r="AH77" s="24">
        <v>24</v>
      </c>
      <c r="AI77" s="23">
        <f t="shared" si="4"/>
        <v>1</v>
      </c>
      <c r="AJ77" s="17">
        <v>12</v>
      </c>
      <c r="AK77" s="17">
        <v>9.75</v>
      </c>
      <c r="AL77" s="14">
        <v>21.75</v>
      </c>
      <c r="AM77" s="23" cm="1">
        <f t="array" ref="AM77">IF(OR(AN77:AZ77=""),"BLANK",IF(AND(AN77:AZ77&lt;9999999),1,IF(AND(AN77:AZ77="NA"),3,2)))</f>
        <v>1</v>
      </c>
      <c r="AN77" s="20">
        <v>10</v>
      </c>
      <c r="AO77" s="26">
        <v>2</v>
      </c>
      <c r="AP77" s="15">
        <v>3</v>
      </c>
      <c r="AQ77" s="15">
        <v>4</v>
      </c>
      <c r="AR77" s="15">
        <v>6.75</v>
      </c>
      <c r="AS77" s="26">
        <v>2748</v>
      </c>
      <c r="AT77" s="26">
        <v>4500</v>
      </c>
      <c r="AU77" s="26">
        <v>4084.5</v>
      </c>
      <c r="AV77" s="26">
        <v>5351.75</v>
      </c>
      <c r="AW77" s="26">
        <v>0</v>
      </c>
      <c r="AX77" s="26">
        <v>0</v>
      </c>
      <c r="AY77" s="26">
        <v>0</v>
      </c>
      <c r="AZ77" s="26">
        <v>186.80757575760001</v>
      </c>
      <c r="BA77" s="23">
        <f t="shared" si="5"/>
        <v>1</v>
      </c>
      <c r="BB77" s="24">
        <v>33</v>
      </c>
    </row>
    <row r="78" spans="1:54" x14ac:dyDescent="0.2">
      <c r="A78" s="5">
        <v>591</v>
      </c>
      <c r="B78" s="20" t="s">
        <v>62</v>
      </c>
      <c r="C78" s="18" t="s">
        <v>54</v>
      </c>
      <c r="D78" s="18">
        <v>5</v>
      </c>
      <c r="E78" s="18">
        <v>0</v>
      </c>
      <c r="F78" s="18" t="s">
        <v>9</v>
      </c>
      <c r="G78" s="18">
        <v>29</v>
      </c>
      <c r="H78" s="22">
        <v>4.5913757700205338</v>
      </c>
      <c r="I78" s="22">
        <v>5.2347707049965777</v>
      </c>
      <c r="J78" s="22">
        <v>9.8261464750171115</v>
      </c>
      <c r="K78" s="22" t="s">
        <v>8</v>
      </c>
      <c r="L78" s="22" t="s">
        <v>8</v>
      </c>
      <c r="M78" s="22">
        <v>9.9520876112251884</v>
      </c>
      <c r="N78" s="22">
        <v>4.3832991101984939</v>
      </c>
      <c r="O78" s="22">
        <v>5.1718001368925393</v>
      </c>
      <c r="P78" s="22">
        <v>9.5550992470910341</v>
      </c>
      <c r="Q78" s="22">
        <v>3.7919233401779602</v>
      </c>
      <c r="R78" s="22">
        <v>5.0814510609171801</v>
      </c>
      <c r="S78" s="22">
        <v>8.8733744010951412</v>
      </c>
      <c r="T78" s="30" t="s">
        <v>8</v>
      </c>
      <c r="U78" s="30" t="s">
        <v>8</v>
      </c>
      <c r="V78" s="20" t="s">
        <v>1</v>
      </c>
      <c r="W78" s="20">
        <v>5</v>
      </c>
      <c r="X78" s="20">
        <v>2</v>
      </c>
      <c r="Y78" s="5">
        <v>1</v>
      </c>
      <c r="Z78" s="24">
        <v>4</v>
      </c>
      <c r="AA78" s="23">
        <f t="shared" si="3"/>
        <v>1</v>
      </c>
      <c r="AB78" s="15">
        <v>0.875</v>
      </c>
      <c r="AC78" s="15">
        <v>0.875</v>
      </c>
      <c r="AD78" s="15">
        <v>0.875</v>
      </c>
      <c r="AE78" s="15">
        <v>0.875</v>
      </c>
      <c r="AF78" s="20">
        <v>21</v>
      </c>
      <c r="AG78" s="20">
        <v>10.37</v>
      </c>
      <c r="AH78" s="24">
        <v>24</v>
      </c>
      <c r="AI78" s="23">
        <f t="shared" si="4"/>
        <v>1</v>
      </c>
      <c r="AJ78" s="17">
        <v>11.25</v>
      </c>
      <c r="AK78" s="17">
        <v>13</v>
      </c>
      <c r="AL78" s="14">
        <v>24.25</v>
      </c>
      <c r="AM78" s="23" cm="1">
        <f t="array" ref="AM78">IF(OR(AN78:AZ78=""),"BLANK",IF(AND(AN78:AZ78&lt;9999999),1,IF(AND(AN78:AZ78="NA"),3,2)))</f>
        <v>1</v>
      </c>
      <c r="AN78" s="20">
        <v>10</v>
      </c>
      <c r="AO78" s="26">
        <v>2</v>
      </c>
      <c r="AP78" s="15">
        <v>3</v>
      </c>
      <c r="AQ78" s="15">
        <v>4</v>
      </c>
      <c r="AR78" s="15">
        <v>7.25</v>
      </c>
      <c r="AS78" s="26">
        <v>3089.5</v>
      </c>
      <c r="AT78" s="26">
        <v>5506</v>
      </c>
      <c r="AU78" s="26">
        <v>8604.5</v>
      </c>
      <c r="AV78" s="26">
        <v>7596.25</v>
      </c>
      <c r="AW78" s="26">
        <v>0</v>
      </c>
      <c r="AX78" s="26">
        <v>0</v>
      </c>
      <c r="AY78" s="26">
        <v>225.6875</v>
      </c>
      <c r="AZ78" s="26">
        <v>1088.7839285714001</v>
      </c>
      <c r="BA78" s="23">
        <f t="shared" si="5"/>
        <v>1</v>
      </c>
      <c r="BB78" s="24">
        <v>38</v>
      </c>
    </row>
    <row r="79" spans="1:54" x14ac:dyDescent="0.2">
      <c r="A79" s="5">
        <v>595</v>
      </c>
      <c r="B79" s="20" t="s">
        <v>75</v>
      </c>
      <c r="C79" s="18" t="s">
        <v>54</v>
      </c>
      <c r="D79" s="18">
        <v>5</v>
      </c>
      <c r="E79" s="18">
        <v>0</v>
      </c>
      <c r="F79" s="18" t="s">
        <v>9</v>
      </c>
      <c r="G79" s="18">
        <v>30</v>
      </c>
      <c r="H79" s="22">
        <v>4.0602327173169064</v>
      </c>
      <c r="I79" s="22">
        <v>5.5222450376454484</v>
      </c>
      <c r="J79" s="22">
        <v>9.5824777549623548</v>
      </c>
      <c r="K79" s="22">
        <v>4.0602327173169064</v>
      </c>
      <c r="L79" s="22">
        <v>5.5222450376454484</v>
      </c>
      <c r="M79" s="22">
        <v>9.5824777549623548</v>
      </c>
      <c r="N79" s="22">
        <v>4.0246406570841886</v>
      </c>
      <c r="O79" s="22">
        <v>5.1279945242984262</v>
      </c>
      <c r="P79" s="22">
        <v>9.1526351813826139</v>
      </c>
      <c r="Q79" s="22" t="s">
        <v>8</v>
      </c>
      <c r="R79" s="22" t="s">
        <v>8</v>
      </c>
      <c r="S79" s="22" t="s">
        <v>8</v>
      </c>
      <c r="T79" s="30">
        <v>6</v>
      </c>
      <c r="U79" s="30">
        <v>18</v>
      </c>
      <c r="V79" s="20" t="s">
        <v>1</v>
      </c>
      <c r="W79" s="20">
        <v>5</v>
      </c>
      <c r="X79" s="20">
        <v>2</v>
      </c>
      <c r="Y79" s="5">
        <v>1</v>
      </c>
      <c r="Z79" s="24">
        <v>4</v>
      </c>
      <c r="AA79" s="23">
        <f t="shared" si="3"/>
        <v>1</v>
      </c>
      <c r="AB79" s="15">
        <v>1</v>
      </c>
      <c r="AC79" s="15">
        <v>1</v>
      </c>
      <c r="AD79" s="15">
        <v>0.875</v>
      </c>
      <c r="AE79" s="15">
        <v>0.95799999999999996</v>
      </c>
      <c r="AF79" s="20">
        <v>23</v>
      </c>
      <c r="AG79" s="20">
        <v>6.7</v>
      </c>
      <c r="AH79" s="24">
        <v>24</v>
      </c>
      <c r="AI79" s="23">
        <f t="shared" si="4"/>
        <v>1</v>
      </c>
      <c r="AJ79" s="17">
        <v>9</v>
      </c>
      <c r="AK79" s="17">
        <v>10</v>
      </c>
      <c r="AL79" s="14">
        <v>19</v>
      </c>
      <c r="AM79" s="23" cm="1">
        <f t="array" ref="AM79">IF(OR(AN79:AZ79=""),"BLANK",IF(AND(AN79:AZ79&lt;9999999),1,IF(AND(AN79:AZ79="NA"),3,2)))</f>
        <v>1</v>
      </c>
      <c r="AN79" s="20">
        <v>10</v>
      </c>
      <c r="AO79" s="26">
        <v>2</v>
      </c>
      <c r="AP79" s="15">
        <v>3</v>
      </c>
      <c r="AQ79" s="15">
        <v>4</v>
      </c>
      <c r="AR79" s="15">
        <v>6</v>
      </c>
      <c r="AS79" s="26">
        <v>2752</v>
      </c>
      <c r="AT79" s="26">
        <v>8959.5</v>
      </c>
      <c r="AU79" s="26">
        <v>40773.5</v>
      </c>
      <c r="AV79" s="26">
        <v>51982</v>
      </c>
      <c r="AW79" s="26">
        <v>694.5</v>
      </c>
      <c r="AX79" s="26">
        <v>0</v>
      </c>
      <c r="AY79" s="26">
        <v>910.5</v>
      </c>
      <c r="AZ79" s="26">
        <v>5755.9428571428998</v>
      </c>
      <c r="BA79" s="23">
        <f t="shared" si="5"/>
        <v>1</v>
      </c>
      <c r="BB79" s="24">
        <v>38</v>
      </c>
    </row>
    <row r="80" spans="1:54" x14ac:dyDescent="0.2">
      <c r="A80" s="5">
        <v>604</v>
      </c>
      <c r="B80" s="20" t="s">
        <v>68</v>
      </c>
      <c r="C80" s="18" t="s">
        <v>55</v>
      </c>
      <c r="D80" s="18">
        <v>5</v>
      </c>
      <c r="E80" s="18">
        <v>0</v>
      </c>
      <c r="F80" s="18" t="s">
        <v>9</v>
      </c>
      <c r="G80" s="18">
        <v>29</v>
      </c>
      <c r="H80" s="22">
        <v>4.0109514031485283</v>
      </c>
      <c r="I80" s="22">
        <v>5.3552361396303905</v>
      </c>
      <c r="J80" s="22">
        <v>9.3661875427789187</v>
      </c>
      <c r="K80" s="22">
        <v>4.0109514031485283</v>
      </c>
      <c r="L80" s="22">
        <v>5.3552361396303905</v>
      </c>
      <c r="M80" s="22">
        <v>9.3661875427789187</v>
      </c>
      <c r="N80" s="22">
        <v>4.0273785078713207</v>
      </c>
      <c r="O80" s="22">
        <v>5.248459958932238</v>
      </c>
      <c r="P80" s="22">
        <v>9.2758384668035596</v>
      </c>
      <c r="Q80" s="22">
        <v>3.3483915126625599</v>
      </c>
      <c r="R80" s="22">
        <v>6.020533880903491</v>
      </c>
      <c r="S80" s="22">
        <v>9.3689253935660499</v>
      </c>
      <c r="T80" s="30">
        <v>4</v>
      </c>
      <c r="U80" s="30">
        <v>16</v>
      </c>
      <c r="V80" s="20" t="s">
        <v>1</v>
      </c>
      <c r="W80" s="20">
        <v>5</v>
      </c>
      <c r="X80" s="20">
        <v>2</v>
      </c>
      <c r="Y80" s="5">
        <v>1</v>
      </c>
      <c r="Z80" s="24">
        <v>4</v>
      </c>
      <c r="AA80" s="23">
        <f t="shared" si="3"/>
        <v>2</v>
      </c>
      <c r="AB80" s="15">
        <v>0.875</v>
      </c>
      <c r="AC80" s="15">
        <v>0.7142857142857143</v>
      </c>
      <c r="AD80" s="15">
        <v>0.5714285714285714</v>
      </c>
      <c r="AE80" s="15">
        <v>0.72699999999999998</v>
      </c>
      <c r="AF80" s="20">
        <v>16</v>
      </c>
      <c r="AG80" s="20" t="s">
        <v>8</v>
      </c>
      <c r="AH80" s="24">
        <v>22</v>
      </c>
      <c r="AI80" s="23">
        <f t="shared" si="4"/>
        <v>1</v>
      </c>
      <c r="AJ80" s="17">
        <v>4.5</v>
      </c>
      <c r="AK80" s="17">
        <v>6</v>
      </c>
      <c r="AL80" s="14">
        <v>10.5</v>
      </c>
      <c r="AM80" s="23" cm="1">
        <f t="array" ref="AM80">IF(OR(AN80:AZ80=""),"BLANK",IF(AND(AN80:AZ80&lt;9999999),1,IF(AND(AN80:AZ80="NA"),3,2)))</f>
        <v>1</v>
      </c>
      <c r="AN80" s="20">
        <v>8</v>
      </c>
      <c r="AO80" s="26">
        <v>2</v>
      </c>
      <c r="AP80" s="15">
        <v>3</v>
      </c>
      <c r="AQ80" s="15">
        <v>7.75</v>
      </c>
      <c r="AR80" s="15">
        <v>6.75</v>
      </c>
      <c r="AS80" s="26">
        <v>1817</v>
      </c>
      <c r="AT80" s="26">
        <v>9000.5</v>
      </c>
      <c r="AU80" s="26">
        <v>5685.25</v>
      </c>
      <c r="AV80" s="26">
        <v>12235.5</v>
      </c>
      <c r="AW80" s="26">
        <v>0</v>
      </c>
      <c r="AX80" s="26">
        <v>4107.8333333333003</v>
      </c>
      <c r="AY80" s="26">
        <v>10142.2986111111</v>
      </c>
      <c r="AZ80" s="26">
        <v>1848.95</v>
      </c>
      <c r="BA80" s="23">
        <f t="shared" si="5"/>
        <v>1</v>
      </c>
      <c r="BB80" s="24">
        <v>38</v>
      </c>
    </row>
    <row r="81" spans="1:54" x14ac:dyDescent="0.2">
      <c r="A81" s="5">
        <v>606</v>
      </c>
      <c r="B81" s="20" t="s">
        <v>82</v>
      </c>
      <c r="C81" s="18" t="s">
        <v>55</v>
      </c>
      <c r="D81" s="18">
        <v>5</v>
      </c>
      <c r="E81" s="18">
        <v>0</v>
      </c>
      <c r="F81" s="18" t="s">
        <v>9</v>
      </c>
      <c r="G81" s="18">
        <v>29</v>
      </c>
      <c r="H81" s="22">
        <v>4.0930869267624912</v>
      </c>
      <c r="I81" s="22" t="s">
        <v>8</v>
      </c>
      <c r="J81" s="22" t="s">
        <v>8</v>
      </c>
      <c r="K81" s="22">
        <v>4.0930869267624912</v>
      </c>
      <c r="L81" s="22" t="s">
        <v>8</v>
      </c>
      <c r="M81" s="22" t="s">
        <v>8</v>
      </c>
      <c r="N81" s="22">
        <v>4.1067761806981515</v>
      </c>
      <c r="O81" s="22" t="s">
        <v>8</v>
      </c>
      <c r="P81" s="22" t="s">
        <v>8</v>
      </c>
      <c r="Q81" s="22" t="s">
        <v>8</v>
      </c>
      <c r="R81" s="22" t="s">
        <v>8</v>
      </c>
      <c r="S81" s="22" t="s">
        <v>8</v>
      </c>
      <c r="T81" s="30">
        <v>7</v>
      </c>
      <c r="U81" s="30">
        <v>21</v>
      </c>
      <c r="V81" s="20" t="s">
        <v>1</v>
      </c>
      <c r="W81" s="20">
        <v>5</v>
      </c>
      <c r="X81" s="20">
        <v>2</v>
      </c>
      <c r="Y81" s="5">
        <v>1</v>
      </c>
      <c r="Z81" s="24">
        <v>4</v>
      </c>
      <c r="AA81" s="23">
        <f t="shared" si="3"/>
        <v>1</v>
      </c>
      <c r="AB81" s="15">
        <v>0.875</v>
      </c>
      <c r="AC81" s="15">
        <v>0.8571428571428571</v>
      </c>
      <c r="AD81" s="15">
        <v>0.125</v>
      </c>
      <c r="AE81" s="15">
        <v>0.60899999999999999</v>
      </c>
      <c r="AF81" s="20">
        <v>14</v>
      </c>
      <c r="AG81" s="20">
        <v>0.7</v>
      </c>
      <c r="AH81" s="24">
        <v>23</v>
      </c>
      <c r="AI81" s="23">
        <f t="shared" si="4"/>
        <v>1</v>
      </c>
      <c r="AJ81" s="17">
        <v>2.75</v>
      </c>
      <c r="AK81" s="17">
        <v>3</v>
      </c>
      <c r="AL81" s="14">
        <v>5.75</v>
      </c>
      <c r="AM81" s="23" cm="1">
        <f t="array" ref="AM81">IF(OR(AN81:AZ81=""),"BLANK",IF(AND(AN81:AZ81&lt;9999999),1,IF(AND(AN81:AZ81="NA"),3,2)))</f>
        <v>1</v>
      </c>
      <c r="AN81" s="20">
        <v>8</v>
      </c>
      <c r="AO81" s="26">
        <v>2</v>
      </c>
      <c r="AP81" s="15">
        <v>3</v>
      </c>
      <c r="AQ81" s="15">
        <v>5.25</v>
      </c>
      <c r="AR81" s="15">
        <v>8.75</v>
      </c>
      <c r="AS81" s="26">
        <v>0</v>
      </c>
      <c r="AT81" s="26">
        <v>2995.5</v>
      </c>
      <c r="AU81" s="26">
        <v>11111.25</v>
      </c>
      <c r="AV81" s="26">
        <v>4083</v>
      </c>
      <c r="AW81" s="26">
        <v>0</v>
      </c>
      <c r="AX81" s="26">
        <v>0</v>
      </c>
      <c r="AY81" s="26">
        <v>18751.118055555598</v>
      </c>
      <c r="AZ81" s="26">
        <v>9761.5375000000004</v>
      </c>
      <c r="BA81" s="23">
        <f t="shared" si="5"/>
        <v>1</v>
      </c>
      <c r="BB81" s="24">
        <v>29</v>
      </c>
    </row>
    <row r="82" spans="1:54" x14ac:dyDescent="0.2">
      <c r="A82" s="5">
        <v>611</v>
      </c>
      <c r="B82" s="20" t="s">
        <v>78</v>
      </c>
      <c r="C82" s="18" t="s">
        <v>54</v>
      </c>
      <c r="D82" s="18">
        <v>5</v>
      </c>
      <c r="E82" s="18">
        <v>0</v>
      </c>
      <c r="F82" s="18" t="s">
        <v>9</v>
      </c>
      <c r="G82" s="18">
        <v>30</v>
      </c>
      <c r="H82" s="22">
        <v>4.0191649555099245</v>
      </c>
      <c r="I82" s="22">
        <v>5.7494866529774127</v>
      </c>
      <c r="J82" s="22">
        <v>9.7686516084873372</v>
      </c>
      <c r="K82" s="22">
        <v>4.0246406570841886</v>
      </c>
      <c r="L82" s="22">
        <v>5.7412731006160165</v>
      </c>
      <c r="M82" s="22">
        <v>9.765913757700206</v>
      </c>
      <c r="N82" s="22">
        <v>4.0109514031485283</v>
      </c>
      <c r="O82" s="22">
        <v>5.3634496919917867</v>
      </c>
      <c r="P82" s="22">
        <v>9.3744010951403141</v>
      </c>
      <c r="Q82" s="22" t="s">
        <v>8</v>
      </c>
      <c r="R82" s="22" t="s">
        <v>8</v>
      </c>
      <c r="S82" s="22" t="s">
        <v>8</v>
      </c>
      <c r="T82" s="30">
        <v>5</v>
      </c>
      <c r="U82" s="30">
        <v>16.5</v>
      </c>
      <c r="V82" s="20" t="s">
        <v>1</v>
      </c>
      <c r="W82" s="20">
        <v>5</v>
      </c>
      <c r="X82" s="20">
        <v>2</v>
      </c>
      <c r="Y82" s="5">
        <v>1</v>
      </c>
      <c r="Z82" s="24">
        <v>4</v>
      </c>
      <c r="AA82" s="23">
        <f t="shared" si="3"/>
        <v>1</v>
      </c>
      <c r="AB82" s="15">
        <v>0.875</v>
      </c>
      <c r="AC82" s="15">
        <v>0.75</v>
      </c>
      <c r="AD82" s="15">
        <v>0.875</v>
      </c>
      <c r="AE82" s="15">
        <v>0.83299999999999996</v>
      </c>
      <c r="AF82" s="20">
        <v>20</v>
      </c>
      <c r="AG82" s="20">
        <v>3.98</v>
      </c>
      <c r="AH82" s="24">
        <v>24</v>
      </c>
      <c r="AI82" s="23">
        <f t="shared" si="4"/>
        <v>1</v>
      </c>
      <c r="AJ82" s="17">
        <v>13</v>
      </c>
      <c r="AK82" s="17">
        <v>9.75</v>
      </c>
      <c r="AL82" s="14">
        <v>22.75</v>
      </c>
      <c r="AM82" s="23" cm="1">
        <f t="array" ref="AM82">IF(OR(AN82:AZ82=""),"BLANK",IF(AND(AN82:AZ82&lt;9999999),1,IF(AND(AN82:AZ82="NA"),3,2)))</f>
        <v>1</v>
      </c>
      <c r="AN82" s="20">
        <v>12</v>
      </c>
      <c r="AO82" s="26">
        <v>2</v>
      </c>
      <c r="AP82" s="15">
        <v>3</v>
      </c>
      <c r="AQ82" s="15">
        <v>4</v>
      </c>
      <c r="AR82" s="15">
        <v>5</v>
      </c>
      <c r="AS82" s="26">
        <v>5048</v>
      </c>
      <c r="AT82" s="26">
        <v>10852.5</v>
      </c>
      <c r="AU82" s="26">
        <v>56300.75</v>
      </c>
      <c r="AV82" s="26">
        <v>45234.5</v>
      </c>
      <c r="AW82" s="26">
        <v>54.75</v>
      </c>
      <c r="AX82" s="26">
        <v>0</v>
      </c>
      <c r="AY82" s="26">
        <v>0</v>
      </c>
      <c r="AZ82" s="26">
        <v>0</v>
      </c>
      <c r="BA82" s="23">
        <f t="shared" si="5"/>
        <v>1</v>
      </c>
      <c r="BB82" s="24">
        <v>41</v>
      </c>
    </row>
    <row r="83" spans="1:54" x14ac:dyDescent="0.2">
      <c r="A83" s="5">
        <v>612</v>
      </c>
      <c r="B83" s="20" t="s">
        <v>72</v>
      </c>
      <c r="C83" s="18" t="s">
        <v>54</v>
      </c>
      <c r="D83" s="18">
        <v>5</v>
      </c>
      <c r="E83" s="18">
        <v>0</v>
      </c>
      <c r="F83" s="18" t="s">
        <v>9</v>
      </c>
      <c r="G83" s="18">
        <v>29</v>
      </c>
      <c r="H83" s="22">
        <v>4.0383299110198498</v>
      </c>
      <c r="I83" s="22" t="s">
        <v>8</v>
      </c>
      <c r="J83" s="22" t="s">
        <v>8</v>
      </c>
      <c r="K83" s="22">
        <v>4.043805612594114</v>
      </c>
      <c r="L83" s="22" t="s">
        <v>8</v>
      </c>
      <c r="M83" s="22" t="s">
        <v>8</v>
      </c>
      <c r="N83" s="22">
        <v>3.9260780287474333</v>
      </c>
      <c r="O83" s="22" t="s">
        <v>8</v>
      </c>
      <c r="P83" s="22" t="s">
        <v>8</v>
      </c>
      <c r="Q83" s="22" t="s">
        <v>8</v>
      </c>
      <c r="R83" s="22" t="s">
        <v>8</v>
      </c>
      <c r="S83" s="22" t="s">
        <v>8</v>
      </c>
      <c r="T83" s="30">
        <v>3</v>
      </c>
      <c r="U83" s="30">
        <v>15</v>
      </c>
      <c r="V83" s="20" t="s">
        <v>1</v>
      </c>
      <c r="W83" s="20">
        <v>5</v>
      </c>
      <c r="X83" s="20">
        <v>2</v>
      </c>
      <c r="Y83" s="5">
        <v>1</v>
      </c>
      <c r="Z83" s="24">
        <v>4</v>
      </c>
      <c r="AA83" s="23">
        <f t="shared" si="3"/>
        <v>1</v>
      </c>
      <c r="AB83" s="15">
        <v>1</v>
      </c>
      <c r="AC83" s="15">
        <v>1</v>
      </c>
      <c r="AD83" s="15">
        <v>0.875</v>
      </c>
      <c r="AE83" s="15">
        <v>0.95799999999999996</v>
      </c>
      <c r="AF83" s="20">
        <v>23</v>
      </c>
      <c r="AG83" s="20">
        <v>10.63</v>
      </c>
      <c r="AH83" s="24">
        <v>24</v>
      </c>
      <c r="AI83" s="23">
        <f t="shared" si="4"/>
        <v>1</v>
      </c>
      <c r="AJ83" s="17">
        <v>14</v>
      </c>
      <c r="AK83" s="17">
        <v>13</v>
      </c>
      <c r="AL83" s="14">
        <v>27</v>
      </c>
      <c r="AM83" s="23" cm="1">
        <f t="array" ref="AM83">IF(OR(AN83:AZ83=""),"BLANK",IF(AND(AN83:AZ83&lt;9999999),1,IF(AND(AN83:AZ83="NA"),3,2)))</f>
        <v>1</v>
      </c>
      <c r="AN83" s="20">
        <v>10</v>
      </c>
      <c r="AO83" s="26">
        <v>2</v>
      </c>
      <c r="AP83" s="15">
        <v>3</v>
      </c>
      <c r="AQ83" s="15">
        <v>4</v>
      </c>
      <c r="AR83" s="15">
        <v>6.25</v>
      </c>
      <c r="AS83" s="26">
        <v>3001</v>
      </c>
      <c r="AT83" s="26">
        <v>3939</v>
      </c>
      <c r="AU83" s="26">
        <v>14587</v>
      </c>
      <c r="AV83" s="26">
        <v>17956.5</v>
      </c>
      <c r="AW83" s="26">
        <v>0</v>
      </c>
      <c r="AX83" s="26">
        <v>0</v>
      </c>
      <c r="AY83" s="26">
        <v>0</v>
      </c>
      <c r="AZ83" s="26">
        <v>173.86388888889999</v>
      </c>
      <c r="BA83" s="23">
        <f t="shared" si="5"/>
        <v>1</v>
      </c>
      <c r="BB83" s="24">
        <v>36</v>
      </c>
    </row>
    <row r="84" spans="1:54" x14ac:dyDescent="0.2">
      <c r="A84" s="5">
        <v>634</v>
      </c>
      <c r="B84" s="20" t="s">
        <v>84</v>
      </c>
      <c r="C84" s="18" t="s">
        <v>55</v>
      </c>
      <c r="D84" s="18">
        <v>1</v>
      </c>
      <c r="E84" s="18">
        <v>0</v>
      </c>
      <c r="F84" s="18" t="s">
        <v>9</v>
      </c>
      <c r="G84" s="18">
        <v>30</v>
      </c>
      <c r="H84" s="22">
        <v>4.2956878850102669</v>
      </c>
      <c r="I84" s="22">
        <v>5.1362080766598224</v>
      </c>
      <c r="J84" s="22">
        <v>9.4318959616700884</v>
      </c>
      <c r="K84" s="22">
        <v>4.3750855578370977</v>
      </c>
      <c r="L84" s="22">
        <v>5.2840520191649558</v>
      </c>
      <c r="M84" s="22">
        <v>9.6591375770020527</v>
      </c>
      <c r="N84" s="22">
        <v>4.3723477070499657</v>
      </c>
      <c r="O84" s="22">
        <v>4.6735112936344967</v>
      </c>
      <c r="P84" s="22">
        <v>9.0458590006844624</v>
      </c>
      <c r="Q84" s="22" t="s">
        <v>8</v>
      </c>
      <c r="R84" s="22" t="s">
        <v>8</v>
      </c>
      <c r="S84" s="22" t="s">
        <v>8</v>
      </c>
      <c r="T84" s="30">
        <v>3</v>
      </c>
      <c r="U84" s="30">
        <v>15</v>
      </c>
      <c r="V84" s="20" t="s">
        <v>1</v>
      </c>
      <c r="W84" s="20">
        <v>5</v>
      </c>
      <c r="X84" s="20">
        <v>2</v>
      </c>
      <c r="Y84" s="5">
        <v>1</v>
      </c>
      <c r="Z84" s="24">
        <v>4</v>
      </c>
      <c r="AA84" s="23">
        <f t="shared" si="3"/>
        <v>1</v>
      </c>
      <c r="AB84" s="15">
        <v>1</v>
      </c>
      <c r="AC84" s="15">
        <v>1</v>
      </c>
      <c r="AD84" s="15">
        <v>0.875</v>
      </c>
      <c r="AE84" s="15">
        <v>0.95799999999999996</v>
      </c>
      <c r="AF84" s="20">
        <v>23</v>
      </c>
      <c r="AG84" s="20">
        <v>10.52</v>
      </c>
      <c r="AH84" s="24">
        <v>24</v>
      </c>
      <c r="AI84" s="23">
        <f t="shared" si="4"/>
        <v>1</v>
      </c>
      <c r="AJ84" s="17">
        <v>13.75</v>
      </c>
      <c r="AK84" s="17">
        <v>9.75</v>
      </c>
      <c r="AL84" s="14">
        <v>23.5</v>
      </c>
      <c r="AM84" s="23" cm="1">
        <f t="array" ref="AM84">IF(OR(AN84:AZ84=""),"BLANK",IF(AND(AN84:AZ84&lt;9999999),1,IF(AND(AN84:AZ84="NA"),3,2)))</f>
        <v>1</v>
      </c>
      <c r="AN84" s="20">
        <v>10</v>
      </c>
      <c r="AO84" s="26">
        <v>2</v>
      </c>
      <c r="AP84" s="15">
        <v>3.5</v>
      </c>
      <c r="AQ84" s="15">
        <v>4.75</v>
      </c>
      <c r="AR84" s="15">
        <v>5</v>
      </c>
      <c r="AS84" s="26">
        <v>2126</v>
      </c>
      <c r="AT84" s="26">
        <v>4287</v>
      </c>
      <c r="AU84" s="26">
        <v>5689</v>
      </c>
      <c r="AV84" s="26">
        <v>8516.5</v>
      </c>
      <c r="AW84" s="26">
        <v>179</v>
      </c>
      <c r="AX84" s="26">
        <v>0</v>
      </c>
      <c r="AY84" s="26">
        <v>176.66071428570001</v>
      </c>
      <c r="AZ84" s="26">
        <v>0</v>
      </c>
      <c r="BA84" s="23">
        <f t="shared" si="5"/>
        <v>1</v>
      </c>
      <c r="BB84" s="24">
        <v>42</v>
      </c>
    </row>
    <row r="85" spans="1:54" x14ac:dyDescent="0.2">
      <c r="A85" s="5">
        <v>639</v>
      </c>
      <c r="B85" s="20" t="s">
        <v>75</v>
      </c>
      <c r="C85" s="18" t="s">
        <v>54</v>
      </c>
      <c r="D85" s="18">
        <v>5</v>
      </c>
      <c r="E85" s="18">
        <v>0</v>
      </c>
      <c r="F85" s="18" t="s">
        <v>9</v>
      </c>
      <c r="G85" s="18">
        <v>30</v>
      </c>
      <c r="H85" s="22">
        <v>3.805612594113621</v>
      </c>
      <c r="I85" s="22" t="s">
        <v>8</v>
      </c>
      <c r="J85" s="22" t="s">
        <v>8</v>
      </c>
      <c r="K85" s="22">
        <v>3.9288158795345653</v>
      </c>
      <c r="L85" s="22" t="s">
        <v>8</v>
      </c>
      <c r="M85" s="22" t="s">
        <v>8</v>
      </c>
      <c r="N85" s="22">
        <v>3.8138261464750172</v>
      </c>
      <c r="O85" s="22" t="s">
        <v>8</v>
      </c>
      <c r="P85" s="22" t="s">
        <v>8</v>
      </c>
      <c r="Q85" s="22" t="s">
        <v>8</v>
      </c>
      <c r="R85" s="22" t="s">
        <v>8</v>
      </c>
      <c r="S85" s="22" t="s">
        <v>8</v>
      </c>
      <c r="T85" s="30" t="s">
        <v>8</v>
      </c>
      <c r="U85" s="30" t="s">
        <v>8</v>
      </c>
      <c r="V85" s="20" t="s">
        <v>1</v>
      </c>
      <c r="W85" s="20">
        <v>5</v>
      </c>
      <c r="X85" s="20">
        <v>2</v>
      </c>
      <c r="Y85" s="5">
        <v>1</v>
      </c>
      <c r="Z85" s="24">
        <v>4</v>
      </c>
      <c r="AA85" s="23">
        <f t="shared" si="3"/>
        <v>1</v>
      </c>
      <c r="AB85" s="15">
        <v>0.75</v>
      </c>
      <c r="AC85" s="15">
        <v>0.5714285714285714</v>
      </c>
      <c r="AD85" s="15">
        <v>0.375</v>
      </c>
      <c r="AE85" s="15">
        <v>0.56499999999999995</v>
      </c>
      <c r="AF85" s="20">
        <v>13</v>
      </c>
      <c r="AG85" s="20">
        <v>1</v>
      </c>
      <c r="AH85" s="24">
        <v>23</v>
      </c>
      <c r="AI85" s="23">
        <f t="shared" si="4"/>
        <v>1</v>
      </c>
      <c r="AJ85" s="17">
        <v>4.75</v>
      </c>
      <c r="AK85" s="17">
        <v>3.75</v>
      </c>
      <c r="AL85" s="14">
        <v>8.5</v>
      </c>
      <c r="AM85" s="23" cm="1">
        <f t="array" ref="AM85">IF(OR(AN85:AZ85=""),"BLANK",IF(AND(AN85:AZ85&lt;9999999),1,IF(AND(AN85:AZ85="NA"),3,2)))</f>
        <v>1</v>
      </c>
      <c r="AN85" s="20">
        <v>6</v>
      </c>
      <c r="AO85" s="26">
        <v>2</v>
      </c>
      <c r="AP85" s="15">
        <v>3</v>
      </c>
      <c r="AQ85" s="15">
        <v>5.75</v>
      </c>
      <c r="AR85" s="15">
        <v>9.75</v>
      </c>
      <c r="AS85" s="26">
        <v>3455</v>
      </c>
      <c r="AT85" s="26">
        <v>12448.5</v>
      </c>
      <c r="AU85" s="26">
        <v>12950.5</v>
      </c>
      <c r="AV85" s="26">
        <v>22849.75</v>
      </c>
      <c r="AW85" s="26">
        <v>0</v>
      </c>
      <c r="AX85" s="26">
        <v>697.5</v>
      </c>
      <c r="AY85" s="26">
        <v>14681.395833333299</v>
      </c>
      <c r="AZ85" s="26">
        <v>11922.541666666701</v>
      </c>
      <c r="BA85" s="23">
        <f t="shared" si="5"/>
        <v>1</v>
      </c>
      <c r="BB85" s="24">
        <v>31</v>
      </c>
    </row>
    <row r="86" spans="1:54" x14ac:dyDescent="0.2">
      <c r="A86" s="5">
        <v>671</v>
      </c>
      <c r="B86" s="20" t="s">
        <v>64</v>
      </c>
      <c r="C86" s="18" t="s">
        <v>54</v>
      </c>
      <c r="D86" s="18">
        <v>5</v>
      </c>
      <c r="E86" s="18">
        <v>0</v>
      </c>
      <c r="F86" s="18" t="s">
        <v>9</v>
      </c>
      <c r="G86" s="18">
        <v>30</v>
      </c>
      <c r="H86" s="22">
        <v>4.0821355236139629</v>
      </c>
      <c r="I86" s="22" t="s">
        <v>8</v>
      </c>
      <c r="J86" s="22" t="s">
        <v>8</v>
      </c>
      <c r="K86" s="22">
        <v>4.084873374401095</v>
      </c>
      <c r="L86" s="22" t="s">
        <v>8</v>
      </c>
      <c r="M86" s="22" t="s">
        <v>8</v>
      </c>
      <c r="N86" s="22">
        <v>4.0273785078713207</v>
      </c>
      <c r="O86" s="22" t="s">
        <v>8</v>
      </c>
      <c r="P86" s="22" t="s">
        <v>8</v>
      </c>
      <c r="Q86" s="22">
        <v>3.2580424366872007</v>
      </c>
      <c r="R86" s="22" t="s">
        <v>8</v>
      </c>
      <c r="S86" s="22" t="s">
        <v>8</v>
      </c>
      <c r="T86" s="30">
        <v>6</v>
      </c>
      <c r="U86" s="30">
        <v>18</v>
      </c>
      <c r="V86" s="20" t="s">
        <v>1</v>
      </c>
      <c r="W86" s="20">
        <v>5</v>
      </c>
      <c r="X86" s="20">
        <v>2</v>
      </c>
      <c r="Y86" s="5">
        <v>1</v>
      </c>
      <c r="Z86" s="24">
        <v>4</v>
      </c>
      <c r="AA86" s="23">
        <f t="shared" si="3"/>
        <v>1</v>
      </c>
      <c r="AB86" s="15">
        <v>1</v>
      </c>
      <c r="AC86" s="15">
        <v>0.5</v>
      </c>
      <c r="AD86" s="15">
        <v>0.625</v>
      </c>
      <c r="AE86" s="15">
        <v>0.70799999999999996</v>
      </c>
      <c r="AF86" s="20">
        <v>17</v>
      </c>
      <c r="AG86" s="20">
        <v>11.22</v>
      </c>
      <c r="AH86" s="24">
        <v>24</v>
      </c>
      <c r="AI86" s="23">
        <f t="shared" si="4"/>
        <v>1</v>
      </c>
      <c r="AJ86" s="17">
        <v>13</v>
      </c>
      <c r="AK86" s="17">
        <v>6.75</v>
      </c>
      <c r="AL86" s="14">
        <v>19.75</v>
      </c>
      <c r="AM86" s="23" cm="1">
        <f t="array" ref="AM86">IF(OR(AN86:AZ86=""),"BLANK",IF(AND(AN86:AZ86&lt;9999999),1,IF(AND(AN86:AZ86="NA"),3,2)))</f>
        <v>1</v>
      </c>
      <c r="AN86" s="20">
        <v>10</v>
      </c>
      <c r="AO86" s="26">
        <v>2</v>
      </c>
      <c r="AP86" s="15">
        <v>3</v>
      </c>
      <c r="AQ86" s="15">
        <v>5.25</v>
      </c>
      <c r="AR86" s="15">
        <v>5.25</v>
      </c>
      <c r="AS86" s="26">
        <v>4835</v>
      </c>
      <c r="AT86" s="26">
        <v>4149</v>
      </c>
      <c r="AU86" s="26">
        <v>10751.25</v>
      </c>
      <c r="AV86" s="26">
        <v>2067.25</v>
      </c>
      <c r="AW86" s="26">
        <v>0</v>
      </c>
      <c r="AX86" s="26">
        <v>0</v>
      </c>
      <c r="AY86" s="26">
        <v>833.38194444440001</v>
      </c>
      <c r="AZ86" s="26">
        <v>132.40833333329999</v>
      </c>
      <c r="BA86" s="23">
        <f t="shared" si="5"/>
        <v>1</v>
      </c>
      <c r="BB86" s="24">
        <v>35</v>
      </c>
    </row>
    <row r="87" spans="1:54" x14ac:dyDescent="0.2">
      <c r="A87" s="5">
        <v>674</v>
      </c>
      <c r="B87" s="20" t="s">
        <v>64</v>
      </c>
      <c r="C87" s="18" t="s">
        <v>55</v>
      </c>
      <c r="D87" s="18">
        <v>6</v>
      </c>
      <c r="E87" s="18">
        <v>0</v>
      </c>
      <c r="F87" s="18" t="s">
        <v>9</v>
      </c>
      <c r="G87" s="18">
        <v>30</v>
      </c>
      <c r="H87" s="22">
        <v>3.9644079397672827</v>
      </c>
      <c r="I87" s="22">
        <v>4.7529089664613275</v>
      </c>
      <c r="J87" s="22">
        <v>8.7173169062286107</v>
      </c>
      <c r="K87" s="22">
        <v>3.9644079397672827</v>
      </c>
      <c r="L87" s="22">
        <v>4.7529089664613275</v>
      </c>
      <c r="M87" s="22">
        <v>8.7173169062286107</v>
      </c>
      <c r="N87" s="22">
        <v>3.9753593429158109</v>
      </c>
      <c r="O87" s="22">
        <v>4.4599589322381927</v>
      </c>
      <c r="P87" s="22">
        <v>8.4353182751540032</v>
      </c>
      <c r="Q87" s="22" t="s">
        <v>8</v>
      </c>
      <c r="R87" s="22" t="s">
        <v>8</v>
      </c>
      <c r="S87" s="22" t="s">
        <v>8</v>
      </c>
      <c r="T87" s="30">
        <v>6</v>
      </c>
      <c r="U87" s="30">
        <v>18</v>
      </c>
      <c r="V87" s="20" t="s">
        <v>1</v>
      </c>
      <c r="W87" s="20">
        <v>5</v>
      </c>
      <c r="X87" s="20">
        <v>2</v>
      </c>
      <c r="Y87" s="5">
        <v>1</v>
      </c>
      <c r="Z87" s="24">
        <v>4</v>
      </c>
      <c r="AA87" s="23">
        <f t="shared" si="3"/>
        <v>1</v>
      </c>
      <c r="AB87" s="15">
        <v>0.875</v>
      </c>
      <c r="AC87" s="15">
        <v>1</v>
      </c>
      <c r="AD87" s="15">
        <v>0.75</v>
      </c>
      <c r="AE87" s="15">
        <v>0.875</v>
      </c>
      <c r="AF87" s="20">
        <v>21</v>
      </c>
      <c r="AG87" s="20">
        <v>6.42</v>
      </c>
      <c r="AH87" s="24">
        <v>24</v>
      </c>
      <c r="AI87" s="23">
        <f t="shared" si="4"/>
        <v>1</v>
      </c>
      <c r="AJ87" s="17">
        <v>12</v>
      </c>
      <c r="AK87" s="17">
        <v>1</v>
      </c>
      <c r="AL87" s="14">
        <v>13</v>
      </c>
      <c r="AM87" s="23" cm="1">
        <f t="array" ref="AM87">IF(OR(AN87:AZ87=""),"BLANK",IF(AND(AN87:AZ87&lt;9999999),1,IF(AND(AN87:AZ87="NA"),3,2)))</f>
        <v>1</v>
      </c>
      <c r="AN87" s="20">
        <v>7</v>
      </c>
      <c r="AO87" s="26">
        <v>2</v>
      </c>
      <c r="AP87" s="15">
        <v>3</v>
      </c>
      <c r="AQ87" s="15">
        <v>7.75</v>
      </c>
      <c r="AR87" s="15">
        <v>6.75</v>
      </c>
      <c r="AS87" s="26">
        <v>3069.5</v>
      </c>
      <c r="AT87" s="26">
        <v>9053.5</v>
      </c>
      <c r="AU87" s="26">
        <v>13067</v>
      </c>
      <c r="AV87" s="26">
        <v>16897.25</v>
      </c>
      <c r="AW87" s="26">
        <v>0</v>
      </c>
      <c r="AX87" s="26">
        <v>0</v>
      </c>
      <c r="AY87" s="26">
        <v>6787.6666666666997</v>
      </c>
      <c r="AZ87" s="26">
        <v>1915.9196969697</v>
      </c>
      <c r="BA87" s="23">
        <f t="shared" si="5"/>
        <v>1</v>
      </c>
      <c r="BB87" s="24">
        <v>35</v>
      </c>
    </row>
    <row r="88" spans="1:54" x14ac:dyDescent="0.2">
      <c r="A88" s="5">
        <v>676</v>
      </c>
      <c r="B88" s="20" t="s">
        <v>80</v>
      </c>
      <c r="C88" s="18" t="s">
        <v>54</v>
      </c>
      <c r="D88" s="18">
        <v>5</v>
      </c>
      <c r="E88" s="18">
        <v>0</v>
      </c>
      <c r="F88" s="18" t="s">
        <v>9</v>
      </c>
      <c r="G88" s="18">
        <v>28</v>
      </c>
      <c r="H88" s="22">
        <v>3.7043121149897331</v>
      </c>
      <c r="I88" s="22" t="s">
        <v>8</v>
      </c>
      <c r="J88" s="22" t="s">
        <v>8</v>
      </c>
      <c r="K88" s="22" t="s">
        <v>8</v>
      </c>
      <c r="L88" s="22" t="s">
        <v>8</v>
      </c>
      <c r="M88" s="22" t="s">
        <v>8</v>
      </c>
      <c r="N88" s="22" t="s">
        <v>8</v>
      </c>
      <c r="O88" s="22" t="s">
        <v>8</v>
      </c>
      <c r="P88" s="22" t="s">
        <v>8</v>
      </c>
      <c r="Q88" s="22">
        <v>3.3730321697467489</v>
      </c>
      <c r="R88" s="22" t="s">
        <v>8</v>
      </c>
      <c r="S88" s="22" t="s">
        <v>8</v>
      </c>
      <c r="T88" s="30">
        <v>3</v>
      </c>
      <c r="U88" s="30">
        <v>14</v>
      </c>
      <c r="V88" s="20" t="s">
        <v>1</v>
      </c>
      <c r="W88" s="20">
        <v>5</v>
      </c>
      <c r="X88" s="20">
        <v>2</v>
      </c>
      <c r="Y88" s="5">
        <v>1</v>
      </c>
      <c r="Z88" s="24">
        <v>4</v>
      </c>
      <c r="AA88" s="23">
        <f t="shared" si="3"/>
        <v>1</v>
      </c>
      <c r="AB88" s="15">
        <v>0.75</v>
      </c>
      <c r="AC88" s="15">
        <v>0.5</v>
      </c>
      <c r="AD88" s="15">
        <v>0.125</v>
      </c>
      <c r="AE88" s="15">
        <v>0.45800000000000002</v>
      </c>
      <c r="AF88" s="20">
        <v>11</v>
      </c>
      <c r="AG88" s="20">
        <v>6.48</v>
      </c>
      <c r="AH88" s="24">
        <v>24</v>
      </c>
      <c r="AI88" s="23">
        <f t="shared" si="4"/>
        <v>1</v>
      </c>
      <c r="AJ88" s="17">
        <v>1.75</v>
      </c>
      <c r="AK88" s="17">
        <v>1.75</v>
      </c>
      <c r="AL88" s="14">
        <v>3.5</v>
      </c>
      <c r="AM88" s="23" cm="1">
        <f t="array" ref="AM88">IF(OR(AN88:AZ88=""),"BLANK",IF(AND(AN88:AZ88&lt;9999999),1,IF(AND(AN88:AZ88="NA"),3,2)))</f>
        <v>1</v>
      </c>
      <c r="AN88" s="20">
        <v>7</v>
      </c>
      <c r="AO88" s="26">
        <v>2</v>
      </c>
      <c r="AP88" s="15">
        <v>3.5</v>
      </c>
      <c r="AQ88" s="15">
        <v>7.75</v>
      </c>
      <c r="AR88" s="15">
        <v>6.75</v>
      </c>
      <c r="AS88" s="26">
        <v>0</v>
      </c>
      <c r="AT88" s="26">
        <v>10611</v>
      </c>
      <c r="AU88" s="26">
        <v>14046.75</v>
      </c>
      <c r="AV88" s="26">
        <v>8390</v>
      </c>
      <c r="AW88" s="26">
        <v>0</v>
      </c>
      <c r="AX88" s="26">
        <v>850.91666666670005</v>
      </c>
      <c r="AY88" s="26">
        <v>15413.7430555556</v>
      </c>
      <c r="AZ88" s="26">
        <v>1003.725</v>
      </c>
      <c r="BA88" s="23">
        <f t="shared" si="5"/>
        <v>1</v>
      </c>
      <c r="BB88" s="24">
        <v>19</v>
      </c>
    </row>
    <row r="89" spans="1:54" x14ac:dyDescent="0.2">
      <c r="A89" s="5">
        <v>680</v>
      </c>
      <c r="B89" s="20" t="s">
        <v>64</v>
      </c>
      <c r="C89" s="18" t="s">
        <v>55</v>
      </c>
      <c r="D89" s="18">
        <v>5</v>
      </c>
      <c r="E89" s="18">
        <v>0</v>
      </c>
      <c r="F89" s="18" t="s">
        <v>9</v>
      </c>
      <c r="G89" s="18">
        <v>28</v>
      </c>
      <c r="H89" s="22">
        <v>3.8220396988364134</v>
      </c>
      <c r="I89" s="22">
        <v>5.1663244353182751</v>
      </c>
      <c r="J89" s="22">
        <v>8.988364134154688</v>
      </c>
      <c r="K89" s="22">
        <v>3.893223819301848</v>
      </c>
      <c r="L89" s="22">
        <v>5.0951403148528405</v>
      </c>
      <c r="M89" s="22">
        <v>8.988364134154688</v>
      </c>
      <c r="N89" s="22">
        <v>3.7809719370294319</v>
      </c>
      <c r="O89" s="22">
        <v>5.1526351813826148</v>
      </c>
      <c r="P89" s="22">
        <v>8.9336071184120467</v>
      </c>
      <c r="Q89" s="22">
        <v>3.4743326488706368</v>
      </c>
      <c r="R89" s="22">
        <v>5.9192334017796027</v>
      </c>
      <c r="S89" s="22">
        <v>9.3935660506502394</v>
      </c>
      <c r="T89" s="30" t="s">
        <v>8</v>
      </c>
      <c r="U89" s="30" t="s">
        <v>8</v>
      </c>
      <c r="V89" s="20" t="s">
        <v>1</v>
      </c>
      <c r="W89" s="20">
        <v>5</v>
      </c>
      <c r="X89" s="20">
        <v>2</v>
      </c>
      <c r="Y89" s="5">
        <v>1</v>
      </c>
      <c r="Z89" s="24">
        <v>4</v>
      </c>
      <c r="AA89" s="23">
        <f t="shared" si="3"/>
        <v>1</v>
      </c>
      <c r="AB89" s="15">
        <v>1</v>
      </c>
      <c r="AC89" s="15">
        <v>0.75</v>
      </c>
      <c r="AD89" s="15">
        <v>0.5</v>
      </c>
      <c r="AE89" s="15">
        <v>0.75</v>
      </c>
      <c r="AF89" s="20">
        <v>18</v>
      </c>
      <c r="AG89" s="20">
        <v>6.08</v>
      </c>
      <c r="AH89" s="24">
        <v>24</v>
      </c>
      <c r="AI89" s="23">
        <f t="shared" si="4"/>
        <v>1</v>
      </c>
      <c r="AJ89" s="17">
        <v>8.75</v>
      </c>
      <c r="AK89" s="17">
        <v>8.5</v>
      </c>
      <c r="AL89" s="14">
        <v>17.25</v>
      </c>
      <c r="AM89" s="23" cm="1">
        <f t="array" ref="AM89">IF(OR(AN89:AZ89=""),"BLANK",IF(AND(AN89:AZ89&lt;9999999),1,IF(AND(AN89:AZ89="NA"),3,2)))</f>
        <v>1</v>
      </c>
      <c r="AN89" s="20">
        <v>9</v>
      </c>
      <c r="AO89" s="26">
        <v>2</v>
      </c>
      <c r="AP89" s="15">
        <v>3.5</v>
      </c>
      <c r="AQ89" s="15">
        <v>4.5</v>
      </c>
      <c r="AR89" s="15">
        <v>6</v>
      </c>
      <c r="AS89" s="26">
        <v>5567.5</v>
      </c>
      <c r="AT89" s="26">
        <v>1982.5</v>
      </c>
      <c r="AU89" s="26">
        <v>10388.75</v>
      </c>
      <c r="AV89" s="26">
        <v>24205.75</v>
      </c>
      <c r="AW89" s="26">
        <v>0</v>
      </c>
      <c r="AX89" s="26">
        <v>397.0833333333</v>
      </c>
      <c r="AY89" s="26">
        <v>0</v>
      </c>
      <c r="AZ89" s="26">
        <v>574.27222222219996</v>
      </c>
      <c r="BA89" s="23">
        <f t="shared" si="5"/>
        <v>1</v>
      </c>
      <c r="BB89" s="24">
        <v>42</v>
      </c>
    </row>
    <row r="90" spans="1:54" x14ac:dyDescent="0.2">
      <c r="A90" s="5">
        <v>684</v>
      </c>
      <c r="B90" s="20" t="s">
        <v>68</v>
      </c>
      <c r="C90" s="18" t="s">
        <v>54</v>
      </c>
      <c r="D90" s="18">
        <v>4</v>
      </c>
      <c r="E90" s="18">
        <v>0</v>
      </c>
      <c r="F90" s="18" t="s">
        <v>9</v>
      </c>
      <c r="G90" s="18">
        <v>29</v>
      </c>
      <c r="H90" s="22">
        <v>4.1971252566735116</v>
      </c>
      <c r="I90" s="22">
        <v>5.0841889117043122</v>
      </c>
      <c r="J90" s="22">
        <v>9.2813141683778237</v>
      </c>
      <c r="K90" s="22" t="s">
        <v>8</v>
      </c>
      <c r="L90" s="22">
        <v>5.3415468856947292</v>
      </c>
      <c r="M90" s="22" t="s">
        <v>8</v>
      </c>
      <c r="N90" s="22">
        <v>4.1204654346338128</v>
      </c>
      <c r="O90" s="22">
        <v>4.8377823408624234</v>
      </c>
      <c r="P90" s="22">
        <v>8.9582477754962362</v>
      </c>
      <c r="Q90" s="22">
        <v>3.2963723477070501</v>
      </c>
      <c r="R90" s="22" t="s">
        <v>8</v>
      </c>
      <c r="S90" s="22" t="s">
        <v>8</v>
      </c>
      <c r="T90" s="30">
        <v>2</v>
      </c>
      <c r="U90" s="30">
        <v>12</v>
      </c>
      <c r="V90" s="20" t="s">
        <v>1</v>
      </c>
      <c r="W90" s="20">
        <v>5</v>
      </c>
      <c r="X90" s="20">
        <v>2</v>
      </c>
      <c r="Y90" s="5">
        <v>1</v>
      </c>
      <c r="Z90" s="24">
        <v>4</v>
      </c>
      <c r="AA90" s="23">
        <f t="shared" si="3"/>
        <v>1</v>
      </c>
      <c r="AB90" s="15">
        <v>1</v>
      </c>
      <c r="AC90" s="15">
        <v>0.625</v>
      </c>
      <c r="AD90" s="15">
        <v>0.5</v>
      </c>
      <c r="AE90" s="15">
        <v>0.70799999999999996</v>
      </c>
      <c r="AF90" s="20">
        <v>17</v>
      </c>
      <c r="AG90" s="20">
        <v>6.33</v>
      </c>
      <c r="AH90" s="24">
        <v>24</v>
      </c>
      <c r="AI90" s="23">
        <f t="shared" si="4"/>
        <v>1</v>
      </c>
      <c r="AJ90" s="17">
        <v>2.25</v>
      </c>
      <c r="AK90" s="17">
        <v>2.75</v>
      </c>
      <c r="AL90" s="14">
        <v>5</v>
      </c>
      <c r="AM90" s="23" cm="1">
        <f t="array" ref="AM90">IF(OR(AN90:AZ90=""),"BLANK",IF(AND(AN90:AZ90&lt;9999999),1,IF(AND(AN90:AZ90="NA"),3,2)))</f>
        <v>1</v>
      </c>
      <c r="AN90" s="20">
        <v>7</v>
      </c>
      <c r="AO90" s="26">
        <v>2</v>
      </c>
      <c r="AP90" s="15">
        <v>3</v>
      </c>
      <c r="AQ90" s="15">
        <v>6.5</v>
      </c>
      <c r="AR90" s="15">
        <v>8.75</v>
      </c>
      <c r="AS90" s="26">
        <v>4872</v>
      </c>
      <c r="AT90" s="26">
        <v>13268.5</v>
      </c>
      <c r="AU90" s="26">
        <v>10951.5</v>
      </c>
      <c r="AV90" s="26">
        <v>4067.75</v>
      </c>
      <c r="AW90" s="26">
        <v>0</v>
      </c>
      <c r="AX90" s="26">
        <v>0</v>
      </c>
      <c r="AY90" s="26">
        <v>11280.8194444444</v>
      </c>
      <c r="AZ90" s="26">
        <v>5773.0583333332997</v>
      </c>
      <c r="BA90" s="23">
        <f t="shared" si="5"/>
        <v>1</v>
      </c>
      <c r="BB90" s="24">
        <v>18</v>
      </c>
    </row>
    <row r="91" spans="1:54" x14ac:dyDescent="0.2">
      <c r="A91" s="5">
        <v>688</v>
      </c>
      <c r="B91" s="20" t="s">
        <v>63</v>
      </c>
      <c r="C91" s="18" t="s">
        <v>55</v>
      </c>
      <c r="D91" s="18">
        <v>5</v>
      </c>
      <c r="E91" s="18">
        <v>0</v>
      </c>
      <c r="F91" s="18" t="s">
        <v>9</v>
      </c>
      <c r="G91" s="18">
        <v>30</v>
      </c>
      <c r="H91" s="22">
        <v>3.9096509240246409</v>
      </c>
      <c r="I91" s="22">
        <v>5.4811772758384665</v>
      </c>
      <c r="J91" s="22">
        <v>9.3908281998631082</v>
      </c>
      <c r="K91" s="22">
        <v>3.9288158795345653</v>
      </c>
      <c r="L91" s="22">
        <v>5.4565366187542779</v>
      </c>
      <c r="M91" s="22">
        <v>9.3853524982888441</v>
      </c>
      <c r="N91" s="22">
        <v>3.9288158795345653</v>
      </c>
      <c r="O91" s="22">
        <v>5.6208076659822037</v>
      </c>
      <c r="P91" s="22">
        <v>9.54962354551677</v>
      </c>
      <c r="Q91" s="22">
        <v>3.3566050650239561</v>
      </c>
      <c r="R91" s="22">
        <v>5.8726899383983575</v>
      </c>
      <c r="S91" s="22">
        <v>9.2292950034223136</v>
      </c>
      <c r="T91" s="30">
        <v>7</v>
      </c>
      <c r="U91" s="30">
        <v>21</v>
      </c>
      <c r="V91" s="20" t="s">
        <v>1</v>
      </c>
      <c r="W91" s="20">
        <v>5</v>
      </c>
      <c r="X91" s="20">
        <v>2</v>
      </c>
      <c r="Y91" s="5">
        <v>1</v>
      </c>
      <c r="Z91" s="24">
        <v>4</v>
      </c>
      <c r="AA91" s="23">
        <f t="shared" si="3"/>
        <v>1</v>
      </c>
      <c r="AB91" s="15">
        <v>0.75</v>
      </c>
      <c r="AC91" s="15">
        <v>0.7142857142857143</v>
      </c>
      <c r="AD91" s="15">
        <v>0.625</v>
      </c>
      <c r="AE91" s="15">
        <v>0.69599999999999995</v>
      </c>
      <c r="AF91" s="20">
        <v>16</v>
      </c>
      <c r="AG91" s="20">
        <v>2</v>
      </c>
      <c r="AH91" s="24">
        <v>23</v>
      </c>
      <c r="AI91" s="23">
        <f t="shared" si="4"/>
        <v>1</v>
      </c>
      <c r="AJ91" s="17">
        <v>9.5</v>
      </c>
      <c r="AK91" s="17">
        <v>9.5</v>
      </c>
      <c r="AL91" s="14">
        <v>19</v>
      </c>
      <c r="AM91" s="23" cm="1">
        <f t="array" ref="AM91">IF(OR(AN91:AZ91=""),"BLANK",IF(AND(AN91:AZ91&lt;9999999),1,IF(AND(AN91:AZ91="NA"),3,2)))</f>
        <v>1</v>
      </c>
      <c r="AN91" s="20">
        <v>8</v>
      </c>
      <c r="AO91" s="26">
        <v>3</v>
      </c>
      <c r="AP91" s="15">
        <v>3.5</v>
      </c>
      <c r="AQ91" s="15">
        <v>5.25</v>
      </c>
      <c r="AR91" s="15">
        <v>5.5</v>
      </c>
      <c r="AS91" s="26">
        <v>2952.5</v>
      </c>
      <c r="AT91" s="26">
        <v>9310.5</v>
      </c>
      <c r="AU91" s="26">
        <v>14874.5</v>
      </c>
      <c r="AV91" s="26">
        <v>26878</v>
      </c>
      <c r="AW91" s="26">
        <v>0</v>
      </c>
      <c r="AX91" s="26">
        <v>3656.375</v>
      </c>
      <c r="AY91" s="26">
        <v>2036.2013888889001</v>
      </c>
      <c r="AZ91" s="26">
        <v>351.13571428569998</v>
      </c>
      <c r="BA91" s="23">
        <f t="shared" si="5"/>
        <v>1</v>
      </c>
      <c r="BB91" s="24">
        <v>42</v>
      </c>
    </row>
    <row r="92" spans="1:54" x14ac:dyDescent="0.2">
      <c r="A92" s="5">
        <v>695</v>
      </c>
      <c r="B92" s="20" t="s">
        <v>63</v>
      </c>
      <c r="C92" s="18" t="s">
        <v>54</v>
      </c>
      <c r="D92" s="18">
        <v>5</v>
      </c>
      <c r="E92" s="18">
        <v>0</v>
      </c>
      <c r="F92" s="18" t="s">
        <v>9</v>
      </c>
      <c r="G92" s="18">
        <v>30</v>
      </c>
      <c r="H92" s="22">
        <v>4.0109514031485283</v>
      </c>
      <c r="I92" s="22">
        <v>5.7303216974674882</v>
      </c>
      <c r="J92" s="22">
        <v>9.7412731006160165</v>
      </c>
      <c r="K92" s="22">
        <v>4.0109514031485283</v>
      </c>
      <c r="L92" s="22">
        <v>5.7303216974674882</v>
      </c>
      <c r="M92" s="22">
        <v>9.7412731006160165</v>
      </c>
      <c r="N92" s="22">
        <v>4.0602327173169064</v>
      </c>
      <c r="O92" s="22">
        <v>5.5030800821355239</v>
      </c>
      <c r="P92" s="22">
        <v>9.5633127994524294</v>
      </c>
      <c r="Q92" s="22" t="s">
        <v>8</v>
      </c>
      <c r="R92" s="22" t="s">
        <v>8</v>
      </c>
      <c r="S92" s="22" t="s">
        <v>8</v>
      </c>
      <c r="T92" s="30">
        <v>5</v>
      </c>
      <c r="U92" s="30">
        <v>17</v>
      </c>
      <c r="V92" s="20" t="s">
        <v>1</v>
      </c>
      <c r="W92" s="20">
        <v>5</v>
      </c>
      <c r="X92" s="20">
        <v>2</v>
      </c>
      <c r="Y92" s="5">
        <v>1</v>
      </c>
      <c r="Z92" s="24">
        <v>4</v>
      </c>
      <c r="AA92" s="23">
        <f t="shared" si="3"/>
        <v>1</v>
      </c>
      <c r="AB92" s="15">
        <v>1</v>
      </c>
      <c r="AC92" s="15">
        <v>0.875</v>
      </c>
      <c r="AD92" s="15">
        <v>0.375</v>
      </c>
      <c r="AE92" s="15">
        <v>0.75</v>
      </c>
      <c r="AF92" s="20">
        <v>18</v>
      </c>
      <c r="AG92" s="20">
        <v>5.65</v>
      </c>
      <c r="AH92" s="24">
        <v>24</v>
      </c>
      <c r="AI92" s="23">
        <f t="shared" si="4"/>
        <v>1</v>
      </c>
      <c r="AJ92" s="17">
        <v>11.25</v>
      </c>
      <c r="AK92" s="17">
        <v>7.75</v>
      </c>
      <c r="AL92" s="14">
        <v>19</v>
      </c>
      <c r="AM92" s="23" cm="1">
        <f t="array" ref="AM92">IF(OR(AN92:AZ92=""),"BLANK",IF(AND(AN92:AZ92&lt;9999999),1,IF(AND(AN92:AZ92="NA"),3,2)))</f>
        <v>1</v>
      </c>
      <c r="AN92" s="20">
        <v>8</v>
      </c>
      <c r="AO92" s="26">
        <v>2</v>
      </c>
      <c r="AP92" s="15">
        <v>3</v>
      </c>
      <c r="AQ92" s="15">
        <v>5.25</v>
      </c>
      <c r="AR92" s="15">
        <v>10.25</v>
      </c>
      <c r="AS92" s="26">
        <v>1730</v>
      </c>
      <c r="AT92" s="26">
        <v>4290</v>
      </c>
      <c r="AU92" s="26">
        <v>8143.5</v>
      </c>
      <c r="AV92" s="26">
        <v>16246</v>
      </c>
      <c r="AW92" s="26">
        <v>0</v>
      </c>
      <c r="AX92" s="26">
        <v>0</v>
      </c>
      <c r="AY92" s="26">
        <v>6527.0069444443998</v>
      </c>
      <c r="AZ92" s="26">
        <v>4146.125</v>
      </c>
      <c r="BA92" s="23">
        <f t="shared" si="5"/>
        <v>1</v>
      </c>
      <c r="BB92" s="24">
        <v>39</v>
      </c>
    </row>
    <row r="93" spans="1:54" x14ac:dyDescent="0.2">
      <c r="A93" s="5">
        <v>719</v>
      </c>
      <c r="B93" s="20" t="s">
        <v>74</v>
      </c>
      <c r="C93" s="18" t="s">
        <v>54</v>
      </c>
      <c r="D93" s="18">
        <v>5</v>
      </c>
      <c r="E93" s="18">
        <v>1</v>
      </c>
      <c r="F93" s="18" t="s">
        <v>9</v>
      </c>
      <c r="G93" s="18">
        <v>28</v>
      </c>
      <c r="H93" s="22">
        <v>4.0328542094455848</v>
      </c>
      <c r="I93" s="22">
        <v>5.5496235455167691</v>
      </c>
      <c r="J93" s="22">
        <v>9.5824777549623548</v>
      </c>
      <c r="K93" s="22">
        <v>4.0657084188911705</v>
      </c>
      <c r="L93" s="22">
        <v>5.5195071868583163</v>
      </c>
      <c r="M93" s="22">
        <v>9.5852156057494859</v>
      </c>
      <c r="N93" s="22">
        <v>3.978097193702943</v>
      </c>
      <c r="O93" s="22">
        <v>5.1745379876796713</v>
      </c>
      <c r="P93" s="22">
        <v>9.1526351813826139</v>
      </c>
      <c r="Q93" s="22">
        <v>3.3730321697467489</v>
      </c>
      <c r="R93" s="22">
        <v>6.1902806297056809</v>
      </c>
      <c r="S93" s="22">
        <v>9.5633127994524294</v>
      </c>
      <c r="T93" s="30">
        <v>6</v>
      </c>
      <c r="U93" s="30">
        <v>18</v>
      </c>
      <c r="V93" s="20" t="s">
        <v>1</v>
      </c>
      <c r="W93" s="20">
        <v>5</v>
      </c>
      <c r="X93" s="20">
        <v>2</v>
      </c>
      <c r="Y93" s="5">
        <v>1</v>
      </c>
      <c r="Z93" s="24">
        <v>4</v>
      </c>
      <c r="AA93" s="23">
        <f t="shared" si="3"/>
        <v>1</v>
      </c>
      <c r="AB93" s="15">
        <v>1</v>
      </c>
      <c r="AC93" s="15">
        <v>0.625</v>
      </c>
      <c r="AD93" s="15">
        <v>0.25</v>
      </c>
      <c r="AE93" s="15">
        <v>0.625</v>
      </c>
      <c r="AF93" s="20">
        <v>15</v>
      </c>
      <c r="AG93" s="20">
        <v>5.47</v>
      </c>
      <c r="AH93" s="24">
        <v>24</v>
      </c>
      <c r="AI93" s="23">
        <f t="shared" si="4"/>
        <v>1</v>
      </c>
      <c r="AJ93" s="17">
        <v>6.75</v>
      </c>
      <c r="AK93" s="17">
        <v>4.75</v>
      </c>
      <c r="AL93" s="14">
        <v>11.5</v>
      </c>
      <c r="AM93" s="23" cm="1">
        <f t="array" ref="AM93">IF(OR(AN93:AZ93=""),"BLANK",IF(AND(AN93:AZ93&lt;9999999),1,IF(AND(AN93:AZ93="NA"),3,2)))</f>
        <v>1</v>
      </c>
      <c r="AN93" s="20">
        <v>7</v>
      </c>
      <c r="AO93" s="26">
        <v>2</v>
      </c>
      <c r="AP93" s="15">
        <v>3</v>
      </c>
      <c r="AQ93" s="15">
        <v>7.75</v>
      </c>
      <c r="AR93" s="15">
        <v>8.5</v>
      </c>
      <c r="AS93" s="26">
        <v>10833.5</v>
      </c>
      <c r="AT93" s="26">
        <v>20636</v>
      </c>
      <c r="AU93" s="26">
        <v>28778.5</v>
      </c>
      <c r="AV93" s="26">
        <v>23395.5</v>
      </c>
      <c r="AW93" s="26">
        <v>1166.25</v>
      </c>
      <c r="AX93" s="26">
        <v>2129.3333333332998</v>
      </c>
      <c r="AY93" s="26">
        <v>6058.7430555556002</v>
      </c>
      <c r="AZ93" s="26">
        <v>3579.8</v>
      </c>
      <c r="BA93" s="23">
        <f t="shared" si="5"/>
        <v>1</v>
      </c>
      <c r="BB93" s="24">
        <v>36</v>
      </c>
    </row>
    <row r="94" spans="1:54" x14ac:dyDescent="0.2">
      <c r="A94" s="5">
        <v>741</v>
      </c>
      <c r="B94" s="20" t="s">
        <v>76</v>
      </c>
      <c r="C94" s="18" t="s">
        <v>54</v>
      </c>
      <c r="D94" s="18">
        <v>2</v>
      </c>
      <c r="E94" s="18">
        <v>0</v>
      </c>
      <c r="F94" s="18" t="s">
        <v>9</v>
      </c>
      <c r="G94" s="18">
        <v>30</v>
      </c>
      <c r="H94" s="22">
        <v>4.0383299110198498</v>
      </c>
      <c r="I94" s="22">
        <v>5.4236824093086931</v>
      </c>
      <c r="J94" s="22">
        <v>9.462012320328542</v>
      </c>
      <c r="K94" s="22">
        <v>4.0383299110198498</v>
      </c>
      <c r="L94" s="22">
        <v>5.4757015742642023</v>
      </c>
      <c r="M94" s="22">
        <v>9.5140314852840522</v>
      </c>
      <c r="N94" s="22">
        <v>4.0191649555099245</v>
      </c>
      <c r="O94" s="22">
        <v>5.1553730321697468</v>
      </c>
      <c r="P94" s="22">
        <v>9.1745379876796722</v>
      </c>
      <c r="Q94" s="22" t="s">
        <v>8</v>
      </c>
      <c r="R94" s="22" t="s">
        <v>8</v>
      </c>
      <c r="S94" s="22" t="s">
        <v>8</v>
      </c>
      <c r="T94" s="30" t="s">
        <v>8</v>
      </c>
      <c r="U94" s="30" t="s">
        <v>8</v>
      </c>
      <c r="V94" s="20" t="s">
        <v>1</v>
      </c>
      <c r="W94" s="20">
        <v>5</v>
      </c>
      <c r="X94" s="20">
        <v>2</v>
      </c>
      <c r="Y94" s="5">
        <v>1</v>
      </c>
      <c r="Z94" s="24">
        <v>4</v>
      </c>
      <c r="AA94" s="23">
        <f t="shared" si="3"/>
        <v>1</v>
      </c>
      <c r="AB94" s="15">
        <v>1</v>
      </c>
      <c r="AC94" s="15">
        <v>1</v>
      </c>
      <c r="AD94" s="15">
        <v>1</v>
      </c>
      <c r="AE94" s="15">
        <v>1</v>
      </c>
      <c r="AF94" s="20">
        <v>24</v>
      </c>
      <c r="AG94" s="20">
        <v>9.65</v>
      </c>
      <c r="AH94" s="24">
        <v>24</v>
      </c>
      <c r="AI94" s="23">
        <f t="shared" si="4"/>
        <v>1</v>
      </c>
      <c r="AJ94" s="17">
        <v>15</v>
      </c>
      <c r="AK94" s="17">
        <v>12</v>
      </c>
      <c r="AL94" s="14">
        <v>27</v>
      </c>
      <c r="AM94" s="23" cm="1">
        <f t="array" ref="AM94">IF(OR(AN94:AZ94=""),"BLANK",IF(AND(AN94:AZ94&lt;9999999),1,IF(AND(AN94:AZ94="NA"),3,2)))</f>
        <v>1</v>
      </c>
      <c r="AN94" s="20">
        <v>12</v>
      </c>
      <c r="AO94" s="26">
        <v>2</v>
      </c>
      <c r="AP94" s="15">
        <v>3</v>
      </c>
      <c r="AQ94" s="15">
        <v>4</v>
      </c>
      <c r="AR94" s="15">
        <v>5</v>
      </c>
      <c r="AS94" s="26">
        <v>3592.5</v>
      </c>
      <c r="AT94" s="26">
        <v>6414.5</v>
      </c>
      <c r="AU94" s="26">
        <v>7928.25</v>
      </c>
      <c r="AV94" s="26">
        <v>15937.5</v>
      </c>
      <c r="AW94" s="26">
        <v>0</v>
      </c>
      <c r="AX94" s="26">
        <v>0</v>
      </c>
      <c r="AY94" s="26">
        <v>0</v>
      </c>
      <c r="AZ94" s="26">
        <v>0</v>
      </c>
      <c r="BA94" s="23">
        <f t="shared" si="5"/>
        <v>1</v>
      </c>
      <c r="BB94" s="24">
        <v>37</v>
      </c>
    </row>
    <row r="95" spans="1:54" x14ac:dyDescent="0.2">
      <c r="A95" s="5">
        <v>752</v>
      </c>
      <c r="B95" s="20" t="s">
        <v>83</v>
      </c>
      <c r="C95" s="18" t="s">
        <v>54</v>
      </c>
      <c r="D95" s="18">
        <v>5</v>
      </c>
      <c r="E95" s="18">
        <v>0</v>
      </c>
      <c r="F95" s="18" t="s">
        <v>9</v>
      </c>
      <c r="G95" s="18">
        <v>29</v>
      </c>
      <c r="H95" s="22">
        <v>4.0136892539356603</v>
      </c>
      <c r="I95" s="22" t="s">
        <v>8</v>
      </c>
      <c r="J95" s="22" t="s">
        <v>8</v>
      </c>
      <c r="K95" s="22">
        <v>4.0410677618069819</v>
      </c>
      <c r="L95" s="22" t="s">
        <v>8</v>
      </c>
      <c r="M95" s="22" t="s">
        <v>8</v>
      </c>
      <c r="N95" s="22">
        <v>3.9835728952772076</v>
      </c>
      <c r="O95" s="22" t="s">
        <v>8</v>
      </c>
      <c r="P95" s="22" t="s">
        <v>8</v>
      </c>
      <c r="Q95" s="22">
        <v>3.0472279260780288</v>
      </c>
      <c r="R95" s="22" t="s">
        <v>8</v>
      </c>
      <c r="S95" s="22" t="s">
        <v>8</v>
      </c>
      <c r="T95" s="30">
        <v>3</v>
      </c>
      <c r="U95" s="30">
        <v>13</v>
      </c>
      <c r="V95" s="20" t="s">
        <v>1</v>
      </c>
      <c r="W95" s="20">
        <v>5</v>
      </c>
      <c r="X95" s="20">
        <v>2</v>
      </c>
      <c r="Y95" s="5">
        <v>1</v>
      </c>
      <c r="Z95" s="24">
        <v>4</v>
      </c>
      <c r="AA95" s="23">
        <f t="shared" si="3"/>
        <v>2</v>
      </c>
      <c r="AB95" s="15">
        <v>1</v>
      </c>
      <c r="AC95" s="15">
        <v>0.625</v>
      </c>
      <c r="AD95" s="15">
        <v>0.25</v>
      </c>
      <c r="AE95" s="15">
        <v>0.625</v>
      </c>
      <c r="AF95" s="20">
        <v>15</v>
      </c>
      <c r="AG95" s="20" t="s">
        <v>8</v>
      </c>
      <c r="AH95" s="24">
        <v>24</v>
      </c>
      <c r="AI95" s="23">
        <f t="shared" si="4"/>
        <v>1</v>
      </c>
      <c r="AJ95" s="17">
        <v>3</v>
      </c>
      <c r="AK95" s="17">
        <v>3.5</v>
      </c>
      <c r="AL95" s="14">
        <v>6.5</v>
      </c>
      <c r="AM95" s="23" cm="1">
        <f t="array" ref="AM95">IF(OR(AN95:AZ95=""),"BLANK",IF(AND(AN95:AZ95&lt;9999999),1,IF(AND(AN95:AZ95="NA"),3,2)))</f>
        <v>1</v>
      </c>
      <c r="AN95" s="20">
        <v>7</v>
      </c>
      <c r="AO95" s="26">
        <v>2</v>
      </c>
      <c r="AP95" s="15">
        <v>3</v>
      </c>
      <c r="AQ95" s="15">
        <v>5.25</v>
      </c>
      <c r="AR95" s="15">
        <v>8.25</v>
      </c>
      <c r="AS95" s="26">
        <v>0</v>
      </c>
      <c r="AT95" s="26">
        <v>13263.5</v>
      </c>
      <c r="AU95" s="26">
        <v>14973</v>
      </c>
      <c r="AV95" s="26">
        <v>8474</v>
      </c>
      <c r="AW95" s="26">
        <v>0</v>
      </c>
      <c r="AX95" s="26">
        <v>0</v>
      </c>
      <c r="AY95" s="26">
        <v>20812.388888888901</v>
      </c>
      <c r="AZ95" s="26">
        <v>8188.5777777778003</v>
      </c>
      <c r="BA95" s="23">
        <f t="shared" si="5"/>
        <v>1</v>
      </c>
      <c r="BB95" s="24">
        <v>20</v>
      </c>
    </row>
    <row r="96" spans="1:54" x14ac:dyDescent="0.2">
      <c r="A96" s="5">
        <v>754</v>
      </c>
      <c r="B96" s="20" t="s">
        <v>74</v>
      </c>
      <c r="C96" s="18" t="s">
        <v>54</v>
      </c>
      <c r="D96" s="18">
        <v>5</v>
      </c>
      <c r="E96" s="18">
        <v>0</v>
      </c>
      <c r="F96" s="18" t="s">
        <v>9</v>
      </c>
      <c r="G96" s="18">
        <v>30</v>
      </c>
      <c r="H96" s="22">
        <v>4.0711841204654347</v>
      </c>
      <c r="I96" s="22" t="s">
        <v>8</v>
      </c>
      <c r="J96" s="22" t="s">
        <v>8</v>
      </c>
      <c r="K96" s="22">
        <v>4.0657084188911705</v>
      </c>
      <c r="L96" s="22" t="s">
        <v>8</v>
      </c>
      <c r="M96" s="22" t="s">
        <v>8</v>
      </c>
      <c r="N96" s="22">
        <v>4.0164271047227924</v>
      </c>
      <c r="O96" s="22" t="s">
        <v>8</v>
      </c>
      <c r="P96" s="22" t="s">
        <v>8</v>
      </c>
      <c r="Q96" s="22">
        <v>3.137577002053388</v>
      </c>
      <c r="R96" s="22" t="s">
        <v>8</v>
      </c>
      <c r="S96" s="22" t="s">
        <v>8</v>
      </c>
      <c r="T96" s="30">
        <v>6</v>
      </c>
      <c r="U96" s="30">
        <v>18</v>
      </c>
      <c r="V96" s="20" t="s">
        <v>1</v>
      </c>
      <c r="W96" s="20">
        <v>5</v>
      </c>
      <c r="X96" s="20">
        <v>2</v>
      </c>
      <c r="Y96" s="5">
        <v>1</v>
      </c>
      <c r="Z96" s="24">
        <v>4</v>
      </c>
      <c r="AA96" s="23">
        <f t="shared" si="3"/>
        <v>1</v>
      </c>
      <c r="AB96" s="15">
        <v>1</v>
      </c>
      <c r="AC96" s="15">
        <v>1</v>
      </c>
      <c r="AD96" s="15">
        <v>0.625</v>
      </c>
      <c r="AE96" s="15">
        <v>0.875</v>
      </c>
      <c r="AF96" s="20">
        <v>21</v>
      </c>
      <c r="AG96" s="20">
        <v>6.4</v>
      </c>
      <c r="AH96" s="24">
        <v>24</v>
      </c>
      <c r="AI96" s="23">
        <f t="shared" si="4"/>
        <v>1</v>
      </c>
      <c r="AJ96" s="17">
        <v>12.75</v>
      </c>
      <c r="AK96" s="17">
        <v>9.75</v>
      </c>
      <c r="AL96" s="14">
        <v>22.5</v>
      </c>
      <c r="AM96" s="23" cm="1">
        <f t="array" ref="AM96">IF(OR(AN96:AZ96=""),"BLANK",IF(AND(AN96:AZ96&lt;9999999),1,IF(AND(AN96:AZ96="NA"),3,2)))</f>
        <v>1</v>
      </c>
      <c r="AN96" s="20">
        <v>12</v>
      </c>
      <c r="AO96" s="26">
        <v>2</v>
      </c>
      <c r="AP96" s="15">
        <v>3</v>
      </c>
      <c r="AQ96" s="15">
        <v>4</v>
      </c>
      <c r="AR96" s="15">
        <v>5</v>
      </c>
      <c r="AS96" s="26">
        <v>3660</v>
      </c>
      <c r="AT96" s="26">
        <v>9459</v>
      </c>
      <c r="AU96" s="26">
        <v>35281.75</v>
      </c>
      <c r="AV96" s="26">
        <v>122464.25</v>
      </c>
      <c r="AW96" s="26">
        <v>0</v>
      </c>
      <c r="AX96" s="26">
        <v>0</v>
      </c>
      <c r="AY96" s="26">
        <v>0</v>
      </c>
      <c r="AZ96" s="26">
        <v>251.7</v>
      </c>
      <c r="BA96" s="23">
        <f t="shared" si="5"/>
        <v>1</v>
      </c>
      <c r="BB96" s="24">
        <v>40</v>
      </c>
    </row>
    <row r="97" spans="1:54" x14ac:dyDescent="0.2">
      <c r="A97" s="5">
        <v>770</v>
      </c>
      <c r="B97" s="20" t="s">
        <v>68</v>
      </c>
      <c r="C97" s="18" t="s">
        <v>55</v>
      </c>
      <c r="D97" s="18">
        <v>5</v>
      </c>
      <c r="E97" s="18">
        <v>0</v>
      </c>
      <c r="F97" s="18" t="s">
        <v>9</v>
      </c>
      <c r="G97" s="18">
        <v>27</v>
      </c>
      <c r="H97" s="22">
        <v>4.0602327173169064</v>
      </c>
      <c r="I97" s="22" t="s">
        <v>8</v>
      </c>
      <c r="J97" s="22" t="s">
        <v>8</v>
      </c>
      <c r="K97" s="22">
        <v>4.0602327173169064</v>
      </c>
      <c r="L97" s="22" t="s">
        <v>8</v>
      </c>
      <c r="M97" s="22" t="s">
        <v>8</v>
      </c>
      <c r="N97" s="22">
        <v>4.0985626283367553</v>
      </c>
      <c r="O97" s="22">
        <v>5.5550992470910332</v>
      </c>
      <c r="P97" s="22">
        <v>9.6536618754277885</v>
      </c>
      <c r="Q97" s="22" t="s">
        <v>8</v>
      </c>
      <c r="R97" s="22" t="s">
        <v>8</v>
      </c>
      <c r="S97" s="22" t="s">
        <v>8</v>
      </c>
      <c r="T97" s="30">
        <v>4</v>
      </c>
      <c r="U97" s="30">
        <v>16</v>
      </c>
      <c r="V97" s="20" t="s">
        <v>1</v>
      </c>
      <c r="W97" s="20">
        <v>5</v>
      </c>
      <c r="X97" s="20">
        <v>2</v>
      </c>
      <c r="Y97" s="5">
        <v>1</v>
      </c>
      <c r="Z97" s="24">
        <v>4</v>
      </c>
      <c r="AA97" s="23">
        <f t="shared" si="3"/>
        <v>1</v>
      </c>
      <c r="AB97" s="15">
        <v>0.875</v>
      </c>
      <c r="AC97" s="15">
        <v>0.75</v>
      </c>
      <c r="AD97" s="15">
        <v>0.5</v>
      </c>
      <c r="AE97" s="15">
        <v>0.70799999999999996</v>
      </c>
      <c r="AF97" s="20">
        <v>17</v>
      </c>
      <c r="AG97" s="20">
        <v>6.95</v>
      </c>
      <c r="AH97" s="24">
        <v>24</v>
      </c>
      <c r="AI97" s="23">
        <f t="shared" si="4"/>
        <v>1</v>
      </c>
      <c r="AJ97" s="17">
        <v>3</v>
      </c>
      <c r="AK97" s="17">
        <v>4</v>
      </c>
      <c r="AL97" s="14">
        <v>7</v>
      </c>
      <c r="AM97" s="23" cm="1">
        <f t="array" ref="AM97">IF(OR(AN97:AZ97=""),"BLANK",IF(AND(AN97:AZ97&lt;9999999),1,IF(AND(AN97:AZ97="NA"),3,2)))</f>
        <v>1</v>
      </c>
      <c r="AN97" s="20">
        <v>6</v>
      </c>
      <c r="AO97" s="26">
        <v>2</v>
      </c>
      <c r="AP97" s="15">
        <v>4</v>
      </c>
      <c r="AQ97" s="15">
        <v>4.75</v>
      </c>
      <c r="AR97" s="15">
        <v>10.5</v>
      </c>
      <c r="AS97" s="26">
        <v>1678</v>
      </c>
      <c r="AT97" s="26">
        <v>3230.5</v>
      </c>
      <c r="AU97" s="26">
        <v>1173.75</v>
      </c>
      <c r="AV97" s="26">
        <v>2926.5</v>
      </c>
      <c r="AW97" s="26">
        <v>1327.5</v>
      </c>
      <c r="AX97" s="26">
        <v>3601.6333333333</v>
      </c>
      <c r="AY97" s="26">
        <v>1948.0803571429001</v>
      </c>
      <c r="AZ97" s="26">
        <v>2626.7708333332998</v>
      </c>
      <c r="BA97" s="23">
        <f t="shared" si="5"/>
        <v>1</v>
      </c>
      <c r="BB97" s="24">
        <v>28</v>
      </c>
    </row>
    <row r="98" spans="1:54" x14ac:dyDescent="0.2">
      <c r="A98" s="5">
        <v>772</v>
      </c>
      <c r="B98" s="20" t="s">
        <v>82</v>
      </c>
      <c r="C98" s="18" t="s">
        <v>55</v>
      </c>
      <c r="D98" s="18">
        <v>5</v>
      </c>
      <c r="E98" s="18">
        <v>0</v>
      </c>
      <c r="F98" s="18" t="s">
        <v>9</v>
      </c>
      <c r="G98" s="18">
        <v>26</v>
      </c>
      <c r="H98" s="22">
        <v>4.0273785078713207</v>
      </c>
      <c r="I98" s="22">
        <v>5.7303216974674882</v>
      </c>
      <c r="J98" s="22">
        <v>9.7577002053388089</v>
      </c>
      <c r="K98" s="22">
        <v>4.0246406570841886</v>
      </c>
      <c r="L98" s="22">
        <v>5.7275838466803561</v>
      </c>
      <c r="M98" s="22">
        <v>9.7522245037645447</v>
      </c>
      <c r="N98" s="22">
        <v>4.0766598220396988</v>
      </c>
      <c r="O98" s="22">
        <v>5.5222450376454484</v>
      </c>
      <c r="P98" s="22">
        <v>9.5989048596851472</v>
      </c>
      <c r="Q98" s="22">
        <v>3.7399041752224504</v>
      </c>
      <c r="R98" s="22">
        <v>6.0260095824777551</v>
      </c>
      <c r="S98" s="22">
        <v>9.765913757700206</v>
      </c>
      <c r="T98" s="30">
        <v>5</v>
      </c>
      <c r="U98" s="30">
        <v>18</v>
      </c>
      <c r="V98" s="20" t="s">
        <v>1</v>
      </c>
      <c r="W98" s="20">
        <v>5</v>
      </c>
      <c r="X98" s="20">
        <v>2</v>
      </c>
      <c r="Y98" s="5">
        <v>1</v>
      </c>
      <c r="Z98" s="24">
        <v>4</v>
      </c>
      <c r="AA98" s="23">
        <f t="shared" si="3"/>
        <v>1</v>
      </c>
      <c r="AB98" s="15">
        <v>1</v>
      </c>
      <c r="AC98" s="15">
        <v>1</v>
      </c>
      <c r="AD98" s="15">
        <v>0.75</v>
      </c>
      <c r="AE98" s="15">
        <v>0.91700000000000004</v>
      </c>
      <c r="AF98" s="20">
        <v>22</v>
      </c>
      <c r="AG98" s="20">
        <v>9.6300000000000008</v>
      </c>
      <c r="AH98" s="24">
        <v>24</v>
      </c>
      <c r="AI98" s="23">
        <f t="shared" si="4"/>
        <v>1</v>
      </c>
      <c r="AJ98" s="17">
        <v>9.75</v>
      </c>
      <c r="AK98" s="17">
        <v>12.75</v>
      </c>
      <c r="AL98" s="14">
        <v>22.5</v>
      </c>
      <c r="AM98" s="23" cm="1">
        <f t="array" ref="AM98">IF(OR(AN98:AZ98=""),"BLANK",IF(AND(AN98:AZ98&lt;9999999),1,IF(AND(AN98:AZ98="NA"),3,2)))</f>
        <v>1</v>
      </c>
      <c r="AN98" s="20">
        <v>7</v>
      </c>
      <c r="AO98" s="26">
        <v>2</v>
      </c>
      <c r="AP98" s="15">
        <v>3</v>
      </c>
      <c r="AQ98" s="15">
        <v>7</v>
      </c>
      <c r="AR98" s="15">
        <v>8.5</v>
      </c>
      <c r="AS98" s="26">
        <v>2388</v>
      </c>
      <c r="AT98" s="26">
        <v>6151</v>
      </c>
      <c r="AU98" s="26">
        <v>9973.5</v>
      </c>
      <c r="AV98" s="26">
        <v>13519.75</v>
      </c>
      <c r="AW98" s="26">
        <v>0</v>
      </c>
      <c r="AX98" s="26">
        <v>4285.3333333333003</v>
      </c>
      <c r="AY98" s="26">
        <v>4273.2847222221999</v>
      </c>
      <c r="AZ98" s="26">
        <v>890.73333333330004</v>
      </c>
      <c r="BA98" s="23">
        <f t="shared" si="5"/>
        <v>1</v>
      </c>
      <c r="BB98" s="24">
        <v>38</v>
      </c>
    </row>
    <row r="99" spans="1:54" x14ac:dyDescent="0.2">
      <c r="A99" s="5">
        <v>779</v>
      </c>
      <c r="B99" s="20" t="s">
        <v>66</v>
      </c>
      <c r="C99" s="18" t="s">
        <v>54</v>
      </c>
      <c r="D99" s="18">
        <v>5</v>
      </c>
      <c r="E99" s="18">
        <v>0</v>
      </c>
      <c r="F99" s="18" t="s">
        <v>9</v>
      </c>
      <c r="G99" s="18">
        <v>30</v>
      </c>
      <c r="H99" s="22">
        <v>4.1149897330595486</v>
      </c>
      <c r="I99" s="22">
        <v>5.5770020533880906</v>
      </c>
      <c r="J99" s="22">
        <v>9.6919917864476393</v>
      </c>
      <c r="K99" s="22">
        <v>4.1149897330595486</v>
      </c>
      <c r="L99" s="22">
        <v>5.7878165639972625</v>
      </c>
      <c r="M99" s="22">
        <v>9.9028062970568111</v>
      </c>
      <c r="N99" s="22">
        <v>4.0766598220396988</v>
      </c>
      <c r="O99" s="22">
        <v>5.1909650924024637</v>
      </c>
      <c r="P99" s="22">
        <v>9.2676249144421625</v>
      </c>
      <c r="Q99" s="22">
        <v>3.2114989733059547</v>
      </c>
      <c r="R99" s="22">
        <v>6.1574264202600961</v>
      </c>
      <c r="S99" s="22">
        <v>9.3689253935660499</v>
      </c>
      <c r="T99" s="30">
        <v>6</v>
      </c>
      <c r="U99" s="30">
        <v>18</v>
      </c>
      <c r="V99" s="20" t="s">
        <v>1</v>
      </c>
      <c r="W99" s="20">
        <v>5</v>
      </c>
      <c r="X99" s="20">
        <v>2</v>
      </c>
      <c r="Y99" s="5">
        <v>1</v>
      </c>
      <c r="Z99" s="24">
        <v>4</v>
      </c>
      <c r="AA99" s="23">
        <f t="shared" si="3"/>
        <v>1</v>
      </c>
      <c r="AB99" s="15">
        <v>1</v>
      </c>
      <c r="AC99" s="15">
        <v>0.875</v>
      </c>
      <c r="AD99" s="15">
        <v>0.75</v>
      </c>
      <c r="AE99" s="15">
        <v>0.875</v>
      </c>
      <c r="AF99" s="20">
        <v>21</v>
      </c>
      <c r="AG99" s="20">
        <v>5</v>
      </c>
      <c r="AH99" s="24">
        <v>24</v>
      </c>
      <c r="AI99" s="23">
        <f t="shared" si="4"/>
        <v>1</v>
      </c>
      <c r="AJ99" s="17">
        <v>6.75</v>
      </c>
      <c r="AK99" s="17">
        <v>9</v>
      </c>
      <c r="AL99" s="14">
        <v>15.75</v>
      </c>
      <c r="AM99" s="23" cm="1">
        <f t="array" ref="AM99">IF(OR(AN99:AZ99=""),"BLANK",IF(AND(AN99:AZ99&lt;9999999),1,IF(AND(AN99:AZ99="NA"),3,2)))</f>
        <v>1</v>
      </c>
      <c r="AN99" s="20">
        <v>10</v>
      </c>
      <c r="AO99" s="26">
        <v>2</v>
      </c>
      <c r="AP99" s="15">
        <v>3</v>
      </c>
      <c r="AQ99" s="15">
        <v>5.25</v>
      </c>
      <c r="AR99" s="15">
        <v>5</v>
      </c>
      <c r="AS99" s="26">
        <v>1998.5</v>
      </c>
      <c r="AT99" s="26">
        <v>8415.5</v>
      </c>
      <c r="AU99" s="26">
        <v>10388.5</v>
      </c>
      <c r="AV99" s="26">
        <v>18133.75</v>
      </c>
      <c r="AW99" s="26">
        <v>25.5</v>
      </c>
      <c r="AX99" s="26">
        <v>42</v>
      </c>
      <c r="AY99" s="26">
        <v>590.38750000000005</v>
      </c>
      <c r="AZ99" s="26">
        <v>0</v>
      </c>
      <c r="BA99" s="23">
        <f t="shared" si="5"/>
        <v>1</v>
      </c>
      <c r="BB99" s="24">
        <v>36</v>
      </c>
    </row>
    <row r="100" spans="1:54" x14ac:dyDescent="0.2">
      <c r="A100" s="5">
        <v>784</v>
      </c>
      <c r="B100" s="20" t="s">
        <v>62</v>
      </c>
      <c r="C100" s="18" t="s">
        <v>54</v>
      </c>
      <c r="D100" s="18">
        <v>5</v>
      </c>
      <c r="E100" s="18">
        <v>0</v>
      </c>
      <c r="F100" s="18" t="s">
        <v>9</v>
      </c>
      <c r="G100" s="18">
        <v>30</v>
      </c>
      <c r="H100" s="22">
        <v>4.0383299110198498</v>
      </c>
      <c r="I100" s="22">
        <v>5.4428473648186175</v>
      </c>
      <c r="J100" s="22">
        <v>9.4811772758384674</v>
      </c>
      <c r="K100" s="22">
        <v>4.0383299110198498</v>
      </c>
      <c r="L100" s="22">
        <v>5.4483230663928817</v>
      </c>
      <c r="M100" s="22">
        <v>9.4866529774127315</v>
      </c>
      <c r="N100" s="22">
        <v>4.043805612594114</v>
      </c>
      <c r="O100" s="22">
        <v>5.0349075975359341</v>
      </c>
      <c r="P100" s="22">
        <v>9.0787132101300472</v>
      </c>
      <c r="Q100" s="22">
        <v>3.2032854209445585</v>
      </c>
      <c r="R100" s="22" t="s">
        <v>8</v>
      </c>
      <c r="S100" s="22" t="s">
        <v>8</v>
      </c>
      <c r="T100" s="30">
        <v>4</v>
      </c>
      <c r="U100" s="30">
        <v>16</v>
      </c>
      <c r="V100" s="20" t="s">
        <v>1</v>
      </c>
      <c r="W100" s="20">
        <v>5</v>
      </c>
      <c r="X100" s="20">
        <v>2</v>
      </c>
      <c r="Y100" s="5">
        <v>1</v>
      </c>
      <c r="Z100" s="24">
        <v>4</v>
      </c>
      <c r="AA100" s="23">
        <f t="shared" si="3"/>
        <v>1</v>
      </c>
      <c r="AB100" s="15">
        <v>1</v>
      </c>
      <c r="AC100" s="15">
        <v>1</v>
      </c>
      <c r="AD100" s="15">
        <v>0.75</v>
      </c>
      <c r="AE100" s="15">
        <v>0.91700000000000004</v>
      </c>
      <c r="AF100" s="20">
        <v>22</v>
      </c>
      <c r="AG100" s="20">
        <v>8.9700000000000006</v>
      </c>
      <c r="AH100" s="24">
        <v>24</v>
      </c>
      <c r="AI100" s="23">
        <f t="shared" si="4"/>
        <v>1</v>
      </c>
      <c r="AJ100" s="17">
        <v>13</v>
      </c>
      <c r="AK100" s="17">
        <v>12</v>
      </c>
      <c r="AL100" s="14">
        <v>25</v>
      </c>
      <c r="AM100" s="23" cm="1">
        <f t="array" ref="AM100">IF(OR(AN100:AZ100=""),"BLANK",IF(AND(AN100:AZ100&lt;9999999),1,IF(AND(AN100:AZ100="NA"),3,2)))</f>
        <v>1</v>
      </c>
      <c r="AN100" s="20">
        <v>11</v>
      </c>
      <c r="AO100" s="26">
        <v>2</v>
      </c>
      <c r="AP100" s="15">
        <v>3</v>
      </c>
      <c r="AQ100" s="15">
        <v>5.25</v>
      </c>
      <c r="AR100" s="15">
        <v>5</v>
      </c>
      <c r="AS100" s="26">
        <v>2388</v>
      </c>
      <c r="AT100" s="26">
        <v>5994</v>
      </c>
      <c r="AU100" s="26">
        <v>10814</v>
      </c>
      <c r="AV100" s="26">
        <v>14007.5</v>
      </c>
      <c r="AW100" s="26">
        <v>0</v>
      </c>
      <c r="AX100" s="26">
        <v>118.6666666667</v>
      </c>
      <c r="AY100" s="26">
        <v>592.01388888890006</v>
      </c>
      <c r="AZ100" s="26">
        <v>0</v>
      </c>
      <c r="BA100" s="23">
        <f t="shared" si="5"/>
        <v>1</v>
      </c>
      <c r="BB100" s="24">
        <v>40</v>
      </c>
    </row>
    <row r="101" spans="1:54" x14ac:dyDescent="0.2">
      <c r="A101" s="5">
        <v>799</v>
      </c>
      <c r="B101" s="20" t="s">
        <v>74</v>
      </c>
      <c r="C101" s="18" t="s">
        <v>54</v>
      </c>
      <c r="D101" s="18">
        <v>5</v>
      </c>
      <c r="E101" s="18">
        <v>0</v>
      </c>
      <c r="F101" s="18" t="s">
        <v>9</v>
      </c>
      <c r="G101" s="18">
        <v>30</v>
      </c>
      <c r="H101" s="22">
        <v>4.0930869267624912</v>
      </c>
      <c r="I101" s="22">
        <v>5.6016427104722792</v>
      </c>
      <c r="J101" s="22">
        <v>9.6947296372347704</v>
      </c>
      <c r="K101" s="22">
        <v>4.0930869267624912</v>
      </c>
      <c r="L101" s="22">
        <v>5.6016427104722792</v>
      </c>
      <c r="M101" s="22">
        <v>9.6947296372347704</v>
      </c>
      <c r="N101" s="22">
        <v>4.0574948665297743</v>
      </c>
      <c r="O101" s="22">
        <v>5.4428473648186175</v>
      </c>
      <c r="P101" s="22">
        <v>9.500342231348391</v>
      </c>
      <c r="Q101" s="22" t="s">
        <v>8</v>
      </c>
      <c r="R101" s="22" t="s">
        <v>8</v>
      </c>
      <c r="S101" s="22" t="s">
        <v>8</v>
      </c>
      <c r="T101" s="30">
        <v>6</v>
      </c>
      <c r="U101" s="30">
        <v>18</v>
      </c>
      <c r="V101" s="20" t="s">
        <v>1</v>
      </c>
      <c r="W101" s="20">
        <v>5</v>
      </c>
      <c r="X101" s="20">
        <v>2</v>
      </c>
      <c r="Y101" s="5">
        <v>1</v>
      </c>
      <c r="Z101" s="24">
        <v>4</v>
      </c>
      <c r="AA101" s="23">
        <f t="shared" si="3"/>
        <v>1</v>
      </c>
      <c r="AB101" s="15">
        <v>1</v>
      </c>
      <c r="AC101" s="15">
        <v>0.875</v>
      </c>
      <c r="AD101" s="15">
        <v>0.875</v>
      </c>
      <c r="AE101" s="15">
        <v>0.91700000000000004</v>
      </c>
      <c r="AF101" s="20">
        <v>22</v>
      </c>
      <c r="AG101" s="20">
        <v>5.98</v>
      </c>
      <c r="AH101" s="24">
        <v>24</v>
      </c>
      <c r="AI101" s="23">
        <f t="shared" si="4"/>
        <v>1</v>
      </c>
      <c r="AJ101" s="17">
        <v>13</v>
      </c>
      <c r="AK101" s="17">
        <v>11.75</v>
      </c>
      <c r="AL101" s="14">
        <v>24.75</v>
      </c>
      <c r="AM101" s="23" cm="1">
        <f t="array" ref="AM101">IF(OR(AN101:AZ101=""),"BLANK",IF(AND(AN101:AZ101&lt;9999999),1,IF(AND(AN101:AZ101="NA"),3,2)))</f>
        <v>1</v>
      </c>
      <c r="AN101" s="20">
        <v>7</v>
      </c>
      <c r="AO101" s="26">
        <v>2</v>
      </c>
      <c r="AP101" s="15">
        <v>3</v>
      </c>
      <c r="AQ101" s="15">
        <v>7.5</v>
      </c>
      <c r="AR101" s="15">
        <v>6.25</v>
      </c>
      <c r="AS101" s="26">
        <v>238.5</v>
      </c>
      <c r="AT101" s="26">
        <v>3246.5</v>
      </c>
      <c r="AU101" s="26">
        <v>1848.75</v>
      </c>
      <c r="AV101" s="26">
        <v>10931.75</v>
      </c>
      <c r="AW101" s="26">
        <v>0</v>
      </c>
      <c r="AX101" s="26">
        <v>0</v>
      </c>
      <c r="AY101" s="26">
        <v>816.57986111109994</v>
      </c>
      <c r="AZ101" s="26">
        <v>0</v>
      </c>
      <c r="BA101" s="23">
        <f t="shared" si="5"/>
        <v>1</v>
      </c>
      <c r="BB101" s="24">
        <v>40</v>
      </c>
    </row>
    <row r="102" spans="1:54" x14ac:dyDescent="0.2">
      <c r="A102" s="5">
        <v>812</v>
      </c>
      <c r="B102" s="20" t="s">
        <v>70</v>
      </c>
      <c r="C102" s="18" t="s">
        <v>54</v>
      </c>
      <c r="D102" s="18">
        <v>5</v>
      </c>
      <c r="E102" s="18">
        <v>0</v>
      </c>
      <c r="F102" s="18" t="s">
        <v>9</v>
      </c>
      <c r="G102" s="18">
        <v>29</v>
      </c>
      <c r="H102" s="22">
        <v>4.0054757015742641</v>
      </c>
      <c r="I102" s="22">
        <v>5.4784394250513344</v>
      </c>
      <c r="J102" s="22">
        <v>9.4839151266255985</v>
      </c>
      <c r="K102" s="22">
        <v>4.0027378507871321</v>
      </c>
      <c r="L102" s="22">
        <v>5.4784394250513344</v>
      </c>
      <c r="M102" s="22">
        <v>9.4811772758384674</v>
      </c>
      <c r="N102" s="22">
        <v>4.0246406570841886</v>
      </c>
      <c r="O102" s="22">
        <v>5.0595482546201236</v>
      </c>
      <c r="P102" s="22">
        <v>9.0841889117043113</v>
      </c>
      <c r="Q102" s="22">
        <v>3.2251882272416155</v>
      </c>
      <c r="R102" s="22">
        <v>6.1601642710472282</v>
      </c>
      <c r="S102" s="22">
        <v>9.3853524982888441</v>
      </c>
      <c r="T102" s="30">
        <v>4</v>
      </c>
      <c r="U102" s="30">
        <v>16</v>
      </c>
      <c r="V102" s="20" t="s">
        <v>1</v>
      </c>
      <c r="W102" s="20">
        <v>5</v>
      </c>
      <c r="X102" s="20">
        <v>2</v>
      </c>
      <c r="Y102" s="5">
        <v>1</v>
      </c>
      <c r="Z102" s="24">
        <v>4</v>
      </c>
      <c r="AA102" s="23">
        <f t="shared" si="3"/>
        <v>1</v>
      </c>
      <c r="AB102" s="15">
        <v>1</v>
      </c>
      <c r="AC102" s="15">
        <v>1</v>
      </c>
      <c r="AD102" s="15">
        <v>0.875</v>
      </c>
      <c r="AE102" s="15">
        <v>0.95799999999999996</v>
      </c>
      <c r="AF102" s="20">
        <v>23</v>
      </c>
      <c r="AG102" s="20">
        <v>4.03</v>
      </c>
      <c r="AH102" s="24">
        <v>24</v>
      </c>
      <c r="AI102" s="23">
        <f t="shared" si="4"/>
        <v>1</v>
      </c>
      <c r="AJ102" s="17">
        <v>11</v>
      </c>
      <c r="AK102" s="17">
        <v>10.75</v>
      </c>
      <c r="AL102" s="14">
        <v>21.75</v>
      </c>
      <c r="AM102" s="23" cm="1">
        <f t="array" ref="AM102">IF(OR(AN102:AZ102=""),"BLANK",IF(AND(AN102:AZ102&lt;9999999),1,IF(AND(AN102:AZ102="NA"),3,2)))</f>
        <v>1</v>
      </c>
      <c r="AN102" s="20">
        <v>12</v>
      </c>
      <c r="AO102" s="26">
        <v>2</v>
      </c>
      <c r="AP102" s="15">
        <v>3</v>
      </c>
      <c r="AQ102" s="15">
        <v>4</v>
      </c>
      <c r="AR102" s="15">
        <v>5</v>
      </c>
      <c r="AS102" s="26">
        <v>2263.5</v>
      </c>
      <c r="AT102" s="26">
        <v>8018.5</v>
      </c>
      <c r="AU102" s="26">
        <v>8624.75</v>
      </c>
      <c r="AV102" s="26">
        <v>16431.75</v>
      </c>
      <c r="AW102" s="26">
        <v>0</v>
      </c>
      <c r="AX102" s="26">
        <v>0</v>
      </c>
      <c r="AY102" s="26">
        <v>0</v>
      </c>
      <c r="AZ102" s="26">
        <v>0</v>
      </c>
      <c r="BA102" s="23">
        <f t="shared" si="5"/>
        <v>1</v>
      </c>
      <c r="BB102" s="24">
        <v>38</v>
      </c>
    </row>
    <row r="103" spans="1:54" x14ac:dyDescent="0.2">
      <c r="A103" s="5">
        <v>815</v>
      </c>
      <c r="B103" s="20" t="s">
        <v>67</v>
      </c>
      <c r="C103" s="18" t="s">
        <v>54</v>
      </c>
      <c r="D103" s="18">
        <v>5</v>
      </c>
      <c r="E103" s="18">
        <v>0</v>
      </c>
      <c r="F103" s="18" t="s">
        <v>9</v>
      </c>
      <c r="G103" s="18">
        <v>30</v>
      </c>
      <c r="H103" s="22">
        <v>4.3997262149212863</v>
      </c>
      <c r="I103" s="22">
        <v>4.9883641341546889</v>
      </c>
      <c r="J103" s="22">
        <v>9.3880903490759753</v>
      </c>
      <c r="K103" s="22">
        <v>4.4654346338124569</v>
      </c>
      <c r="L103" s="22">
        <v>5.1471594798083506</v>
      </c>
      <c r="M103" s="22">
        <v>9.6125941136208084</v>
      </c>
      <c r="N103" s="22">
        <v>4.4517453798767965</v>
      </c>
      <c r="O103" s="22">
        <v>4.5749486652977414</v>
      </c>
      <c r="P103" s="22">
        <v>9.0266940451745388</v>
      </c>
      <c r="Q103" s="22">
        <v>3.6413415468856947</v>
      </c>
      <c r="R103" s="22" t="s">
        <v>8</v>
      </c>
      <c r="S103" s="22" t="s">
        <v>8</v>
      </c>
      <c r="T103" s="30" t="s">
        <v>8</v>
      </c>
      <c r="U103" s="30" t="s">
        <v>8</v>
      </c>
      <c r="V103" s="20" t="s">
        <v>1</v>
      </c>
      <c r="W103" s="20">
        <v>5</v>
      </c>
      <c r="X103" s="20">
        <v>2</v>
      </c>
      <c r="Y103" s="5">
        <v>1</v>
      </c>
      <c r="Z103" s="24">
        <v>4</v>
      </c>
      <c r="AA103" s="23">
        <f t="shared" si="3"/>
        <v>1</v>
      </c>
      <c r="AB103" s="15">
        <v>1</v>
      </c>
      <c r="AC103" s="15">
        <v>1</v>
      </c>
      <c r="AD103" s="15">
        <v>1</v>
      </c>
      <c r="AE103" s="15">
        <v>1</v>
      </c>
      <c r="AF103" s="20">
        <v>24</v>
      </c>
      <c r="AG103" s="20">
        <v>12.47</v>
      </c>
      <c r="AH103" s="24">
        <v>24</v>
      </c>
      <c r="AI103" s="23">
        <f t="shared" si="4"/>
        <v>1</v>
      </c>
      <c r="AJ103" s="17">
        <v>13</v>
      </c>
      <c r="AK103" s="17">
        <v>11</v>
      </c>
      <c r="AL103" s="14">
        <v>24</v>
      </c>
      <c r="AM103" s="23" cm="1">
        <f t="array" ref="AM103">IF(OR(AN103:AZ103=""),"BLANK",IF(AND(AN103:AZ103&lt;9999999),1,IF(AND(AN103:AZ103="NA"),3,2)))</f>
        <v>1</v>
      </c>
      <c r="AN103" s="20">
        <v>9</v>
      </c>
      <c r="AO103" s="26">
        <v>2</v>
      </c>
      <c r="AP103" s="15">
        <v>3</v>
      </c>
      <c r="AQ103" s="15">
        <v>4</v>
      </c>
      <c r="AR103" s="15">
        <v>8.25</v>
      </c>
      <c r="AS103" s="26">
        <v>384</v>
      </c>
      <c r="AT103" s="26">
        <v>425</v>
      </c>
      <c r="AU103" s="26">
        <v>1580.25</v>
      </c>
      <c r="AV103" s="26">
        <v>3543.75</v>
      </c>
      <c r="AW103" s="26">
        <v>0</v>
      </c>
      <c r="AX103" s="26">
        <v>0</v>
      </c>
      <c r="AY103" s="26">
        <v>0</v>
      </c>
      <c r="AZ103" s="26">
        <v>0</v>
      </c>
      <c r="BA103" s="23">
        <f t="shared" si="5"/>
        <v>1</v>
      </c>
      <c r="BB103" s="24">
        <v>37</v>
      </c>
    </row>
    <row r="104" spans="1:54" x14ac:dyDescent="0.2">
      <c r="A104" s="5">
        <v>817</v>
      </c>
      <c r="B104" s="20" t="s">
        <v>77</v>
      </c>
      <c r="C104" s="18" t="s">
        <v>54</v>
      </c>
      <c r="D104" s="18">
        <v>4</v>
      </c>
      <c r="E104" s="18">
        <v>0</v>
      </c>
      <c r="F104" s="18" t="s">
        <v>9</v>
      </c>
      <c r="G104" s="18">
        <v>29</v>
      </c>
      <c r="H104" s="22">
        <v>4.4407939767282683</v>
      </c>
      <c r="I104" s="22">
        <v>5.5715263518138265</v>
      </c>
      <c r="J104" s="22">
        <v>10.012320328542094</v>
      </c>
      <c r="K104" s="22">
        <v>4.4407939767282683</v>
      </c>
      <c r="L104" s="22">
        <v>5.5715263518138265</v>
      </c>
      <c r="M104" s="22">
        <v>10.012320328542094</v>
      </c>
      <c r="N104" s="22">
        <v>4.3997262149212863</v>
      </c>
      <c r="O104" s="22">
        <v>5.5715263518138265</v>
      </c>
      <c r="P104" s="22">
        <v>9.9712525667351137</v>
      </c>
      <c r="Q104" s="22" t="s">
        <v>8</v>
      </c>
      <c r="R104" s="22" t="s">
        <v>8</v>
      </c>
      <c r="S104" s="22" t="s">
        <v>8</v>
      </c>
      <c r="T104" s="30">
        <v>7</v>
      </c>
      <c r="U104" s="30">
        <v>21</v>
      </c>
      <c r="V104" s="20" t="s">
        <v>1</v>
      </c>
      <c r="W104" s="20">
        <v>5</v>
      </c>
      <c r="X104" s="20">
        <v>2</v>
      </c>
      <c r="Y104" s="5">
        <v>1</v>
      </c>
      <c r="Z104" s="24">
        <v>4</v>
      </c>
      <c r="AA104" s="23">
        <f t="shared" si="3"/>
        <v>1</v>
      </c>
      <c r="AB104" s="15">
        <v>1</v>
      </c>
      <c r="AC104" s="15">
        <v>0.875</v>
      </c>
      <c r="AD104" s="15">
        <v>0.75</v>
      </c>
      <c r="AE104" s="15">
        <v>0.875</v>
      </c>
      <c r="AF104" s="20">
        <v>21</v>
      </c>
      <c r="AG104" s="20">
        <v>5.97</v>
      </c>
      <c r="AH104" s="24">
        <v>24</v>
      </c>
      <c r="AI104" s="23">
        <f t="shared" si="4"/>
        <v>1</v>
      </c>
      <c r="AJ104" s="17">
        <v>13</v>
      </c>
      <c r="AK104" s="17">
        <v>12</v>
      </c>
      <c r="AL104" s="14">
        <v>25</v>
      </c>
      <c r="AM104" s="23" cm="1">
        <f t="array" ref="AM104">IF(OR(AN104:AZ104=""),"BLANK",IF(AND(AN104:AZ104&lt;9999999),1,IF(AND(AN104:AZ104="NA"),3,2)))</f>
        <v>1</v>
      </c>
      <c r="AN104" s="20">
        <v>8</v>
      </c>
      <c r="AO104" s="26">
        <v>2</v>
      </c>
      <c r="AP104" s="15">
        <v>3</v>
      </c>
      <c r="AQ104" s="15">
        <v>5.5</v>
      </c>
      <c r="AR104" s="15">
        <v>6.75</v>
      </c>
      <c r="AS104" s="26">
        <v>972.5</v>
      </c>
      <c r="AT104" s="26">
        <v>5082.5</v>
      </c>
      <c r="AU104" s="26">
        <v>5379.25</v>
      </c>
      <c r="AV104" s="26">
        <v>6929.25</v>
      </c>
      <c r="AW104" s="26">
        <v>0</v>
      </c>
      <c r="AX104" s="26">
        <v>0</v>
      </c>
      <c r="AY104" s="26">
        <v>2653.2944444444001</v>
      </c>
      <c r="AZ104" s="26">
        <v>3675.5892857142999</v>
      </c>
      <c r="BA104" s="23">
        <f t="shared" si="5"/>
        <v>1</v>
      </c>
      <c r="BB104" s="24">
        <v>41</v>
      </c>
    </row>
    <row r="105" spans="1:54" x14ac:dyDescent="0.2">
      <c r="A105" s="5">
        <v>818</v>
      </c>
      <c r="B105" s="20" t="s">
        <v>62</v>
      </c>
      <c r="C105" s="18" t="s">
        <v>54</v>
      </c>
      <c r="D105" s="18">
        <v>5</v>
      </c>
      <c r="E105" s="18">
        <v>0</v>
      </c>
      <c r="F105" s="18" t="s">
        <v>9</v>
      </c>
      <c r="G105" s="18">
        <v>29</v>
      </c>
      <c r="H105" s="22">
        <v>4.4626967830253248</v>
      </c>
      <c r="I105" s="22" t="s">
        <v>8</v>
      </c>
      <c r="J105" s="22" t="s">
        <v>8</v>
      </c>
      <c r="K105" s="22">
        <v>4.4626967830253248</v>
      </c>
      <c r="L105" s="22" t="s">
        <v>8</v>
      </c>
      <c r="M105" s="22" t="s">
        <v>8</v>
      </c>
      <c r="N105" s="22">
        <v>4.3750855578370977</v>
      </c>
      <c r="O105" s="22" t="s">
        <v>8</v>
      </c>
      <c r="P105" s="22" t="s">
        <v>8</v>
      </c>
      <c r="Q105" s="22" t="s">
        <v>8</v>
      </c>
      <c r="R105" s="22" t="s">
        <v>8</v>
      </c>
      <c r="S105" s="22" t="s">
        <v>8</v>
      </c>
      <c r="T105" s="30">
        <v>2</v>
      </c>
      <c r="U105" s="30">
        <v>12</v>
      </c>
      <c r="V105" s="20" t="s">
        <v>1</v>
      </c>
      <c r="W105" s="20">
        <v>5</v>
      </c>
      <c r="X105" s="20">
        <v>2</v>
      </c>
      <c r="Y105" s="5">
        <v>1</v>
      </c>
      <c r="Z105" s="24">
        <v>4</v>
      </c>
      <c r="AA105" s="23">
        <f t="shared" si="3"/>
        <v>1</v>
      </c>
      <c r="AB105" s="15">
        <v>0.875</v>
      </c>
      <c r="AC105" s="15">
        <v>1</v>
      </c>
      <c r="AD105" s="15">
        <v>0.875</v>
      </c>
      <c r="AE105" s="15">
        <v>0.91700000000000004</v>
      </c>
      <c r="AF105" s="20">
        <v>22</v>
      </c>
      <c r="AG105" s="20">
        <v>10</v>
      </c>
      <c r="AH105" s="24">
        <v>24</v>
      </c>
      <c r="AI105" s="23">
        <f t="shared" si="4"/>
        <v>1</v>
      </c>
      <c r="AJ105" s="17">
        <v>12</v>
      </c>
      <c r="AK105" s="17">
        <v>13</v>
      </c>
      <c r="AL105" s="14">
        <v>25</v>
      </c>
      <c r="AM105" s="23" cm="1">
        <f t="array" ref="AM105">IF(OR(AN105:AZ105=""),"BLANK",IF(AND(AN105:AZ105&lt;9999999),1,IF(AND(AN105:AZ105="NA"),3,2)))</f>
        <v>1</v>
      </c>
      <c r="AN105" s="20">
        <v>10</v>
      </c>
      <c r="AO105" s="26">
        <v>2</v>
      </c>
      <c r="AP105" s="15">
        <v>3</v>
      </c>
      <c r="AQ105" s="15">
        <v>4</v>
      </c>
      <c r="AR105" s="15">
        <v>6.25</v>
      </c>
      <c r="AS105" s="26">
        <v>2440.5</v>
      </c>
      <c r="AT105" s="26">
        <v>3600</v>
      </c>
      <c r="AU105" s="26">
        <v>6493.75</v>
      </c>
      <c r="AV105" s="26">
        <v>7465.75</v>
      </c>
      <c r="AW105" s="26">
        <v>0</v>
      </c>
      <c r="AX105" s="26">
        <v>0</v>
      </c>
      <c r="AY105" s="26">
        <v>0</v>
      </c>
      <c r="AZ105" s="26">
        <v>1433.5767857143001</v>
      </c>
      <c r="BA105" s="23">
        <f t="shared" si="5"/>
        <v>1</v>
      </c>
      <c r="BB105" s="24">
        <v>39</v>
      </c>
    </row>
    <row r="106" spans="1:54" x14ac:dyDescent="0.2">
      <c r="A106" s="5">
        <v>819</v>
      </c>
      <c r="B106" s="20" t="s">
        <v>83</v>
      </c>
      <c r="C106" s="18" t="s">
        <v>55</v>
      </c>
      <c r="D106" s="18">
        <v>5</v>
      </c>
      <c r="E106" s="18">
        <v>0</v>
      </c>
      <c r="F106" s="18" t="s">
        <v>9</v>
      </c>
      <c r="G106" s="18">
        <v>30</v>
      </c>
      <c r="H106" s="22">
        <v>4.131416837782341</v>
      </c>
      <c r="I106" s="22" t="s">
        <v>8</v>
      </c>
      <c r="J106" s="22" t="s">
        <v>8</v>
      </c>
      <c r="K106" s="22">
        <v>4.1505817932922655</v>
      </c>
      <c r="L106" s="22" t="s">
        <v>8</v>
      </c>
      <c r="M106" s="22" t="s">
        <v>8</v>
      </c>
      <c r="N106" s="22" t="s">
        <v>8</v>
      </c>
      <c r="O106" s="22" t="s">
        <v>8</v>
      </c>
      <c r="P106" s="22" t="s">
        <v>8</v>
      </c>
      <c r="Q106" s="22" t="s">
        <v>8</v>
      </c>
      <c r="R106" s="22" t="s">
        <v>8</v>
      </c>
      <c r="S106" s="22" t="s">
        <v>8</v>
      </c>
      <c r="T106" s="30">
        <v>6</v>
      </c>
      <c r="U106" s="30">
        <v>18</v>
      </c>
      <c r="V106" s="20" t="s">
        <v>1</v>
      </c>
      <c r="W106" s="20">
        <v>5</v>
      </c>
      <c r="X106" s="20">
        <v>2</v>
      </c>
      <c r="Y106" s="5">
        <v>1</v>
      </c>
      <c r="Z106" s="24">
        <v>4</v>
      </c>
      <c r="AA106" s="23">
        <f t="shared" si="3"/>
        <v>1</v>
      </c>
      <c r="AB106" s="15">
        <v>0.75</v>
      </c>
      <c r="AC106" s="15">
        <v>0.25</v>
      </c>
      <c r="AD106" s="15">
        <v>0.14285714285714285</v>
      </c>
      <c r="AE106" s="15">
        <v>0.39100000000000001</v>
      </c>
      <c r="AF106" s="20">
        <v>9</v>
      </c>
      <c r="AG106" s="20">
        <v>4.78</v>
      </c>
      <c r="AH106" s="24">
        <v>23</v>
      </c>
      <c r="AI106" s="23">
        <f t="shared" si="4"/>
        <v>1</v>
      </c>
      <c r="AJ106" s="17">
        <v>8.75</v>
      </c>
      <c r="AK106" s="17">
        <v>8.75</v>
      </c>
      <c r="AL106" s="14">
        <v>17.5</v>
      </c>
      <c r="AM106" s="23" cm="1">
        <f t="array" ref="AM106">IF(OR(AN106:AZ106=""),"BLANK",IF(AND(AN106:AZ106&lt;9999999),1,IF(AND(AN106:AZ106="NA"),3,2)))</f>
        <v>1</v>
      </c>
      <c r="AN106" s="20">
        <v>8</v>
      </c>
      <c r="AO106" s="26">
        <v>2</v>
      </c>
      <c r="AP106" s="15">
        <v>3</v>
      </c>
      <c r="AQ106" s="15">
        <v>5.5</v>
      </c>
      <c r="AR106" s="15">
        <v>6.75</v>
      </c>
      <c r="AS106" s="26">
        <v>6157</v>
      </c>
      <c r="AT106" s="26">
        <v>25778</v>
      </c>
      <c r="AU106" s="26">
        <v>18892.5</v>
      </c>
      <c r="AV106" s="26">
        <v>22769.25</v>
      </c>
      <c r="AW106" s="26">
        <v>0</v>
      </c>
      <c r="AX106" s="26">
        <v>0</v>
      </c>
      <c r="AY106" s="26">
        <v>3558.1055555555999</v>
      </c>
      <c r="AZ106" s="26">
        <v>5345.2736111110999</v>
      </c>
      <c r="BA106" s="23">
        <f t="shared" si="5"/>
        <v>1</v>
      </c>
      <c r="BB106" s="24">
        <v>31</v>
      </c>
    </row>
    <row r="107" spans="1:54" x14ac:dyDescent="0.2">
      <c r="A107" s="5">
        <v>823</v>
      </c>
      <c r="B107" s="20" t="s">
        <v>81</v>
      </c>
      <c r="C107" s="18" t="s">
        <v>54</v>
      </c>
      <c r="D107" s="18">
        <v>5</v>
      </c>
      <c r="E107" s="18">
        <v>0</v>
      </c>
      <c r="F107" s="18" t="s">
        <v>9</v>
      </c>
      <c r="G107" s="18">
        <v>28</v>
      </c>
      <c r="H107" s="22">
        <v>4.084873374401095</v>
      </c>
      <c r="I107" s="22">
        <v>5.5222450376454484</v>
      </c>
      <c r="J107" s="22">
        <v>9.6071184120465443</v>
      </c>
      <c r="K107" s="22">
        <v>4.1040383299110195</v>
      </c>
      <c r="L107" s="22">
        <v>5.631759069130732</v>
      </c>
      <c r="M107" s="22">
        <v>9.7357973990417523</v>
      </c>
      <c r="N107" s="22">
        <v>3.9753593429158109</v>
      </c>
      <c r="O107" s="22">
        <v>5.0924024640657084</v>
      </c>
      <c r="P107" s="22">
        <v>9.0677618069815189</v>
      </c>
      <c r="Q107" s="22">
        <v>3.1950718685831623</v>
      </c>
      <c r="R107" s="22" t="s">
        <v>8</v>
      </c>
      <c r="S107" s="22" t="s">
        <v>8</v>
      </c>
      <c r="T107" s="30">
        <v>3</v>
      </c>
      <c r="U107" s="30">
        <v>14</v>
      </c>
      <c r="V107" s="20" t="s">
        <v>1</v>
      </c>
      <c r="W107" s="20">
        <v>5</v>
      </c>
      <c r="X107" s="20">
        <v>2</v>
      </c>
      <c r="Y107" s="5">
        <v>1</v>
      </c>
      <c r="Z107" s="24">
        <v>4</v>
      </c>
      <c r="AA107" s="23">
        <f t="shared" si="3"/>
        <v>1</v>
      </c>
      <c r="AB107" s="15">
        <v>0.875</v>
      </c>
      <c r="AC107" s="15">
        <v>0.625</v>
      </c>
      <c r="AD107" s="15">
        <v>0.625</v>
      </c>
      <c r="AE107" s="15">
        <v>0.70799999999999996</v>
      </c>
      <c r="AF107" s="20">
        <v>17</v>
      </c>
      <c r="AG107" s="20">
        <v>3.3</v>
      </c>
      <c r="AH107" s="24">
        <v>24</v>
      </c>
      <c r="AI107" s="23">
        <f t="shared" si="4"/>
        <v>1</v>
      </c>
      <c r="AJ107" s="17">
        <v>9</v>
      </c>
      <c r="AK107" s="17">
        <v>7.25</v>
      </c>
      <c r="AL107" s="14">
        <v>16.25</v>
      </c>
      <c r="AM107" s="23" cm="1">
        <f t="array" ref="AM107">IF(OR(AN107:AZ107=""),"BLANK",IF(AND(AN107:AZ107&lt;9999999),1,IF(AND(AN107:AZ107="NA"),3,2)))</f>
        <v>1</v>
      </c>
      <c r="AN107" s="20">
        <v>9</v>
      </c>
      <c r="AO107" s="26">
        <v>2</v>
      </c>
      <c r="AP107" s="15">
        <v>3</v>
      </c>
      <c r="AQ107" s="15">
        <v>6.5</v>
      </c>
      <c r="AR107" s="15">
        <v>6.75</v>
      </c>
      <c r="AS107" s="26">
        <v>4612.5</v>
      </c>
      <c r="AT107" s="26">
        <v>15113</v>
      </c>
      <c r="AU107" s="26">
        <v>8817.5</v>
      </c>
      <c r="AV107" s="26">
        <v>40582.75</v>
      </c>
      <c r="AW107" s="26">
        <v>389</v>
      </c>
      <c r="AX107" s="26">
        <v>303.8333333333</v>
      </c>
      <c r="AY107" s="26">
        <v>11994.1388888889</v>
      </c>
      <c r="AZ107" s="26">
        <v>2682.2041666667001</v>
      </c>
      <c r="BA107" s="23">
        <f t="shared" si="5"/>
        <v>1</v>
      </c>
      <c r="BB107" s="24">
        <v>29</v>
      </c>
    </row>
    <row r="108" spans="1:54" x14ac:dyDescent="0.2">
      <c r="A108" s="5">
        <v>829</v>
      </c>
      <c r="B108" s="20" t="s">
        <v>62</v>
      </c>
      <c r="C108" s="18" t="s">
        <v>55</v>
      </c>
      <c r="D108" s="18">
        <v>5</v>
      </c>
      <c r="E108" s="18">
        <v>0</v>
      </c>
      <c r="F108" s="18" t="s">
        <v>9</v>
      </c>
      <c r="G108" s="18">
        <v>30</v>
      </c>
      <c r="H108" s="22">
        <v>4.131416837782341</v>
      </c>
      <c r="I108" s="22">
        <v>5.4045174537987677</v>
      </c>
      <c r="J108" s="22">
        <v>9.5359342915811087</v>
      </c>
      <c r="K108" s="22">
        <v>4.131416837782341</v>
      </c>
      <c r="L108" s="22">
        <v>5.6646132785763177</v>
      </c>
      <c r="M108" s="22">
        <v>9.7960301163586578</v>
      </c>
      <c r="N108" s="22">
        <v>4.1341546885694731</v>
      </c>
      <c r="O108" s="22">
        <v>5.248459958932238</v>
      </c>
      <c r="P108" s="22">
        <v>9.3826146475017111</v>
      </c>
      <c r="Q108" s="22">
        <v>3.2580424366872007</v>
      </c>
      <c r="R108" s="22">
        <v>6.2039698836413413</v>
      </c>
      <c r="S108" s="22">
        <v>9.462012320328542</v>
      </c>
      <c r="T108" s="30" t="s">
        <v>8</v>
      </c>
      <c r="U108" s="30" t="s">
        <v>8</v>
      </c>
      <c r="V108" s="20" t="s">
        <v>1</v>
      </c>
      <c r="W108" s="20">
        <v>5</v>
      </c>
      <c r="X108" s="20">
        <v>2</v>
      </c>
      <c r="Y108" s="5">
        <v>1</v>
      </c>
      <c r="Z108" s="24">
        <v>4</v>
      </c>
      <c r="AA108" s="23">
        <f t="shared" si="3"/>
        <v>1</v>
      </c>
      <c r="AB108" s="15">
        <v>0.875</v>
      </c>
      <c r="AC108" s="15">
        <v>1</v>
      </c>
      <c r="AD108" s="15">
        <v>1</v>
      </c>
      <c r="AE108" s="15">
        <v>0.95799999999999996</v>
      </c>
      <c r="AF108" s="20">
        <v>23</v>
      </c>
      <c r="AG108" s="20">
        <v>8.35</v>
      </c>
      <c r="AH108" s="24">
        <v>24</v>
      </c>
      <c r="AI108" s="23">
        <f t="shared" si="4"/>
        <v>1</v>
      </c>
      <c r="AJ108" s="17">
        <v>11.5</v>
      </c>
      <c r="AK108" s="17">
        <v>11</v>
      </c>
      <c r="AL108" s="14">
        <v>22.5</v>
      </c>
      <c r="AM108" s="23" cm="1">
        <f t="array" ref="AM108">IF(OR(AN108:AZ108=""),"BLANK",IF(AND(AN108:AZ108&lt;9999999),1,IF(AND(AN108:AZ108="NA"),3,2)))</f>
        <v>1</v>
      </c>
      <c r="AN108" s="20">
        <v>10</v>
      </c>
      <c r="AO108" s="26">
        <v>2</v>
      </c>
      <c r="AP108" s="15">
        <v>3</v>
      </c>
      <c r="AQ108" s="15">
        <v>4</v>
      </c>
      <c r="AR108" s="15">
        <v>8.25</v>
      </c>
      <c r="AS108" s="26">
        <v>4733</v>
      </c>
      <c r="AT108" s="26">
        <v>6867.5</v>
      </c>
      <c r="AU108" s="26">
        <v>8562.75</v>
      </c>
      <c r="AV108" s="26">
        <v>17884.75</v>
      </c>
      <c r="AW108" s="26">
        <v>0</v>
      </c>
      <c r="AX108" s="26">
        <v>0</v>
      </c>
      <c r="AY108" s="26">
        <v>0</v>
      </c>
      <c r="AZ108" s="26">
        <v>1539.5374999999999</v>
      </c>
      <c r="BA108" s="23">
        <f t="shared" si="5"/>
        <v>1</v>
      </c>
      <c r="BB108" s="24">
        <v>41</v>
      </c>
    </row>
    <row r="109" spans="1:54" x14ac:dyDescent="0.2">
      <c r="A109" s="5">
        <v>831</v>
      </c>
      <c r="B109" s="20" t="s">
        <v>75</v>
      </c>
      <c r="C109" s="18" t="s">
        <v>54</v>
      </c>
      <c r="D109" s="18">
        <v>5</v>
      </c>
      <c r="E109" s="18">
        <v>0</v>
      </c>
      <c r="F109" s="18" t="s">
        <v>9</v>
      </c>
      <c r="G109" s="18">
        <v>30</v>
      </c>
      <c r="H109" s="22">
        <v>4.0082135523613962</v>
      </c>
      <c r="I109" s="22">
        <v>5.4236824093086931</v>
      </c>
      <c r="J109" s="22">
        <v>9.4318959616700884</v>
      </c>
      <c r="K109" s="22">
        <v>4.0082135523613962</v>
      </c>
      <c r="L109" s="22">
        <v>5.4236824093086931</v>
      </c>
      <c r="M109" s="22">
        <v>9.4318959616700884</v>
      </c>
      <c r="N109" s="22">
        <v>4.0273785078713207</v>
      </c>
      <c r="O109" s="22">
        <v>5.0978781656399725</v>
      </c>
      <c r="P109" s="22">
        <v>9.1252566735112932</v>
      </c>
      <c r="Q109" s="22">
        <v>3.2388774811772758</v>
      </c>
      <c r="R109" s="22">
        <v>6.2669404517453797</v>
      </c>
      <c r="S109" s="22">
        <v>9.5058179329226551</v>
      </c>
      <c r="T109" s="30">
        <v>3</v>
      </c>
      <c r="U109" s="30">
        <v>14</v>
      </c>
      <c r="V109" s="20" t="s">
        <v>1</v>
      </c>
      <c r="W109" s="20">
        <v>5</v>
      </c>
      <c r="X109" s="20">
        <v>2</v>
      </c>
      <c r="Y109" s="5">
        <v>1</v>
      </c>
      <c r="Z109" s="24">
        <v>4</v>
      </c>
      <c r="AA109" s="23">
        <f t="shared" si="3"/>
        <v>1</v>
      </c>
      <c r="AB109" s="15">
        <v>1</v>
      </c>
      <c r="AC109" s="15">
        <v>1</v>
      </c>
      <c r="AD109" s="15">
        <v>0.75</v>
      </c>
      <c r="AE109" s="15">
        <v>0.91700000000000004</v>
      </c>
      <c r="AF109" s="20">
        <v>22</v>
      </c>
      <c r="AG109" s="20">
        <v>6</v>
      </c>
      <c r="AH109" s="24">
        <v>24</v>
      </c>
      <c r="AI109" s="23">
        <f t="shared" si="4"/>
        <v>1</v>
      </c>
      <c r="AJ109" s="17">
        <v>9.75</v>
      </c>
      <c r="AK109" s="17">
        <v>10</v>
      </c>
      <c r="AL109" s="14">
        <v>19.75</v>
      </c>
      <c r="AM109" s="23" cm="1">
        <f t="array" ref="AM109">IF(OR(AN109:AZ109=""),"BLANK",IF(AND(AN109:AZ109&lt;9999999),1,IF(AND(AN109:AZ109="NA"),3,2)))</f>
        <v>1</v>
      </c>
      <c r="AN109" s="20">
        <v>11</v>
      </c>
      <c r="AO109" s="26">
        <v>2</v>
      </c>
      <c r="AP109" s="15">
        <v>3</v>
      </c>
      <c r="AQ109" s="15">
        <v>4</v>
      </c>
      <c r="AR109" s="15">
        <v>6.75</v>
      </c>
      <c r="AS109" s="26">
        <v>3026.5</v>
      </c>
      <c r="AT109" s="26">
        <v>3758</v>
      </c>
      <c r="AU109" s="26">
        <v>6973.75</v>
      </c>
      <c r="AV109" s="26">
        <v>5809</v>
      </c>
      <c r="AW109" s="26">
        <v>0</v>
      </c>
      <c r="AX109" s="26">
        <v>0</v>
      </c>
      <c r="AY109" s="26">
        <v>2237.75</v>
      </c>
      <c r="AZ109" s="26">
        <v>316.59166666670001</v>
      </c>
      <c r="BA109" s="23">
        <f t="shared" si="5"/>
        <v>1</v>
      </c>
      <c r="BB109" s="24">
        <v>35</v>
      </c>
    </row>
    <row r="110" spans="1:54" x14ac:dyDescent="0.2">
      <c r="A110" s="5">
        <v>833</v>
      </c>
      <c r="B110" s="20" t="s">
        <v>82</v>
      </c>
      <c r="C110" s="18" t="s">
        <v>54</v>
      </c>
      <c r="D110" s="18">
        <v>5</v>
      </c>
      <c r="E110" s="18">
        <v>0</v>
      </c>
      <c r="F110" s="18" t="s">
        <v>9</v>
      </c>
      <c r="G110" s="18">
        <v>25</v>
      </c>
      <c r="H110" s="22">
        <v>4.0027378507871321</v>
      </c>
      <c r="I110" s="22">
        <v>5.6153319644079396</v>
      </c>
      <c r="J110" s="22">
        <v>9.6180698151950725</v>
      </c>
      <c r="K110" s="22">
        <v>4.0219028062970565</v>
      </c>
      <c r="L110" s="22">
        <v>5.5961670088980151</v>
      </c>
      <c r="M110" s="22">
        <v>9.6180698151950725</v>
      </c>
      <c r="N110" s="22">
        <v>4.0219028062970565</v>
      </c>
      <c r="O110" s="22">
        <v>5.5222450376454484</v>
      </c>
      <c r="P110" s="22">
        <v>9.5441478439425058</v>
      </c>
      <c r="Q110" s="22">
        <v>3.2361396303901437</v>
      </c>
      <c r="R110" s="22">
        <v>6.0698151950718682</v>
      </c>
      <c r="S110" s="22">
        <v>9.3059548254620115</v>
      </c>
      <c r="T110" s="30" t="s">
        <v>8</v>
      </c>
      <c r="U110" s="30" t="s">
        <v>8</v>
      </c>
      <c r="V110" s="20" t="s">
        <v>1</v>
      </c>
      <c r="W110" s="20">
        <v>5</v>
      </c>
      <c r="X110" s="20">
        <v>2</v>
      </c>
      <c r="Y110" s="5">
        <v>1</v>
      </c>
      <c r="Z110" s="24">
        <v>4</v>
      </c>
      <c r="AA110" s="23">
        <f t="shared" si="3"/>
        <v>1</v>
      </c>
      <c r="AB110" s="15">
        <v>0.875</v>
      </c>
      <c r="AC110" s="15">
        <v>0.625</v>
      </c>
      <c r="AD110" s="15">
        <v>0.25</v>
      </c>
      <c r="AE110" s="15">
        <v>0.58299999999999996</v>
      </c>
      <c r="AF110" s="20">
        <v>14</v>
      </c>
      <c r="AG110" s="20">
        <v>7</v>
      </c>
      <c r="AH110" s="24">
        <v>24</v>
      </c>
      <c r="AI110" s="23">
        <f t="shared" si="4"/>
        <v>1</v>
      </c>
      <c r="AJ110" s="17">
        <v>5.5</v>
      </c>
      <c r="AK110" s="17">
        <v>7.5</v>
      </c>
      <c r="AL110" s="14">
        <v>13</v>
      </c>
      <c r="AM110" s="23" cm="1">
        <f t="array" ref="AM110">IF(OR(AN110:AZ110=""),"BLANK",IF(AND(AN110:AZ110&lt;9999999),1,IF(AND(AN110:AZ110="NA"),3,2)))</f>
        <v>1</v>
      </c>
      <c r="AN110" s="20">
        <v>5</v>
      </c>
      <c r="AO110" s="26">
        <v>2</v>
      </c>
      <c r="AP110" s="15">
        <v>3.5</v>
      </c>
      <c r="AQ110" s="15">
        <v>6.75</v>
      </c>
      <c r="AR110" s="15">
        <v>8</v>
      </c>
      <c r="AS110" s="26">
        <v>1185</v>
      </c>
      <c r="AT110" s="26">
        <v>8712</v>
      </c>
      <c r="AU110" s="26">
        <v>4309</v>
      </c>
      <c r="AV110" s="26">
        <v>12888.5</v>
      </c>
      <c r="AW110" s="26">
        <v>20</v>
      </c>
      <c r="AX110" s="26">
        <v>1495.875</v>
      </c>
      <c r="AY110" s="26">
        <v>4943.4333333332997</v>
      </c>
      <c r="AZ110" s="26">
        <v>7010.8069444444</v>
      </c>
      <c r="BA110" s="23">
        <f t="shared" si="5"/>
        <v>1</v>
      </c>
      <c r="BB110" s="24">
        <v>28</v>
      </c>
    </row>
    <row r="111" spans="1:54" x14ac:dyDescent="0.2">
      <c r="A111" s="5">
        <v>835</v>
      </c>
      <c r="B111" s="20" t="s">
        <v>73</v>
      </c>
      <c r="C111" s="18" t="s">
        <v>54</v>
      </c>
      <c r="D111" s="18">
        <v>5</v>
      </c>
      <c r="E111" s="18">
        <v>0</v>
      </c>
      <c r="F111" s="18" t="s">
        <v>9</v>
      </c>
      <c r="G111" s="18">
        <v>30</v>
      </c>
      <c r="H111" s="22">
        <v>4.561259411362081</v>
      </c>
      <c r="I111" s="22">
        <v>4.2984257357973989</v>
      </c>
      <c r="J111" s="22">
        <v>8.85968514715948</v>
      </c>
      <c r="K111" s="22">
        <v>4.6187542778918553</v>
      </c>
      <c r="L111" s="22">
        <v>4.2409308692676246</v>
      </c>
      <c r="M111" s="22">
        <v>8.85968514715948</v>
      </c>
      <c r="N111" s="22">
        <v>4.4845995893223822</v>
      </c>
      <c r="O111" s="22">
        <v>4.0492813141683781</v>
      </c>
      <c r="P111" s="22">
        <v>8.5338809034907595</v>
      </c>
      <c r="Q111" s="22" t="s">
        <v>8</v>
      </c>
      <c r="R111" s="22" t="s">
        <v>8</v>
      </c>
      <c r="S111" s="22" t="s">
        <v>8</v>
      </c>
      <c r="T111" s="30">
        <v>4</v>
      </c>
      <c r="U111" s="30">
        <v>16</v>
      </c>
      <c r="V111" s="20" t="s">
        <v>1</v>
      </c>
      <c r="W111" s="20">
        <v>5</v>
      </c>
      <c r="X111" s="20">
        <v>2</v>
      </c>
      <c r="Y111" s="5">
        <v>1</v>
      </c>
      <c r="Z111" s="24">
        <v>4</v>
      </c>
      <c r="AA111" s="23">
        <f t="shared" si="3"/>
        <v>1</v>
      </c>
      <c r="AB111" s="15">
        <v>1</v>
      </c>
      <c r="AC111" s="15">
        <v>1</v>
      </c>
      <c r="AD111" s="15">
        <v>0.5</v>
      </c>
      <c r="AE111" s="15">
        <v>0.83299999999999996</v>
      </c>
      <c r="AF111" s="20">
        <v>20</v>
      </c>
      <c r="AG111" s="20">
        <v>10.95</v>
      </c>
      <c r="AH111" s="24">
        <v>24</v>
      </c>
      <c r="AI111" s="23">
        <f t="shared" si="4"/>
        <v>1</v>
      </c>
      <c r="AJ111" s="17">
        <v>7.75</v>
      </c>
      <c r="AK111" s="17">
        <v>9.25</v>
      </c>
      <c r="AL111" s="14">
        <v>17</v>
      </c>
      <c r="AM111" s="23" cm="1">
        <f t="array" ref="AM111">IF(OR(AN111:AZ111=""),"BLANK",IF(AND(AN111:AZ111&lt;9999999),1,IF(AND(AN111:AZ111="NA"),3,2)))</f>
        <v>1</v>
      </c>
      <c r="AN111" s="20">
        <v>8</v>
      </c>
      <c r="AO111" s="26">
        <v>2</v>
      </c>
      <c r="AP111" s="15">
        <v>3</v>
      </c>
      <c r="AQ111" s="15">
        <v>6.5</v>
      </c>
      <c r="AR111" s="15">
        <v>6.75</v>
      </c>
      <c r="AS111" s="26">
        <v>1625.5</v>
      </c>
      <c r="AT111" s="26">
        <v>3548.5</v>
      </c>
      <c r="AU111" s="26">
        <v>4488.25</v>
      </c>
      <c r="AV111" s="26">
        <v>8790.25</v>
      </c>
      <c r="AW111" s="26">
        <v>0</v>
      </c>
      <c r="AX111" s="26">
        <v>0</v>
      </c>
      <c r="AY111" s="26">
        <v>1268.7291666666999</v>
      </c>
      <c r="AZ111" s="26">
        <v>523.03571428570001</v>
      </c>
      <c r="BA111" s="23">
        <f t="shared" si="5"/>
        <v>1</v>
      </c>
      <c r="BB111" s="24">
        <v>31</v>
      </c>
    </row>
    <row r="112" spans="1:54" x14ac:dyDescent="0.2">
      <c r="A112" s="5">
        <v>841</v>
      </c>
      <c r="B112" s="20" t="s">
        <v>62</v>
      </c>
      <c r="C112" s="18" t="s">
        <v>54</v>
      </c>
      <c r="D112" s="18">
        <v>5</v>
      </c>
      <c r="E112" s="18">
        <v>0</v>
      </c>
      <c r="F112" s="18" t="s">
        <v>9</v>
      </c>
      <c r="G112" s="18">
        <v>30</v>
      </c>
      <c r="H112" s="22">
        <v>3.9972621492128679</v>
      </c>
      <c r="I112" s="22">
        <v>5.5687885010266944</v>
      </c>
      <c r="J112" s="22">
        <v>9.5660506502395624</v>
      </c>
      <c r="K112" s="22">
        <v>3.9972621492128679</v>
      </c>
      <c r="L112" s="22">
        <v>5.5687885010266944</v>
      </c>
      <c r="M112" s="22">
        <v>9.5660506502395624</v>
      </c>
      <c r="N112" s="22">
        <v>4</v>
      </c>
      <c r="O112" s="22">
        <v>5.1964407939767279</v>
      </c>
      <c r="P112" s="22">
        <v>9.1964407939767288</v>
      </c>
      <c r="Q112" s="22" t="s">
        <v>8</v>
      </c>
      <c r="R112" s="22" t="s">
        <v>8</v>
      </c>
      <c r="S112" s="22" t="s">
        <v>8</v>
      </c>
      <c r="T112" s="30">
        <v>7</v>
      </c>
      <c r="U112" s="30">
        <v>21</v>
      </c>
      <c r="V112" s="20" t="s">
        <v>1</v>
      </c>
      <c r="W112" s="20">
        <v>5</v>
      </c>
      <c r="X112" s="20">
        <v>2</v>
      </c>
      <c r="Y112" s="5">
        <v>1</v>
      </c>
      <c r="Z112" s="24">
        <v>4</v>
      </c>
      <c r="AA112" s="23">
        <f t="shared" si="3"/>
        <v>1</v>
      </c>
      <c r="AB112" s="15">
        <v>1</v>
      </c>
      <c r="AC112" s="15">
        <v>1</v>
      </c>
      <c r="AD112" s="15">
        <v>0.75</v>
      </c>
      <c r="AE112" s="15">
        <v>0.91700000000000004</v>
      </c>
      <c r="AF112" s="20">
        <v>22</v>
      </c>
      <c r="AG112" s="20">
        <v>0.45</v>
      </c>
      <c r="AH112" s="24">
        <v>24</v>
      </c>
      <c r="AI112" s="23">
        <f t="shared" si="4"/>
        <v>1</v>
      </c>
      <c r="AJ112" s="17">
        <v>12.75</v>
      </c>
      <c r="AK112" s="17">
        <v>11.75</v>
      </c>
      <c r="AL112" s="14">
        <v>24.5</v>
      </c>
      <c r="AM112" s="23" cm="1">
        <f t="array" ref="AM112">IF(OR(AN112:AZ112=""),"BLANK",IF(AND(AN112:AZ112&lt;9999999),1,IF(AND(AN112:AZ112="NA"),3,2)))</f>
        <v>1</v>
      </c>
      <c r="AN112" s="20">
        <v>11</v>
      </c>
      <c r="AO112" s="26">
        <v>2</v>
      </c>
      <c r="AP112" s="15">
        <v>3</v>
      </c>
      <c r="AQ112" s="15">
        <v>4</v>
      </c>
      <c r="AR112" s="15">
        <v>5.5</v>
      </c>
      <c r="AS112" s="26">
        <v>3152</v>
      </c>
      <c r="AT112" s="26">
        <v>5511</v>
      </c>
      <c r="AU112" s="26">
        <v>33218.25</v>
      </c>
      <c r="AV112" s="26">
        <v>38906</v>
      </c>
      <c r="AW112" s="26">
        <v>0</v>
      </c>
      <c r="AX112" s="26">
        <v>0</v>
      </c>
      <c r="AY112" s="26">
        <v>6.4375</v>
      </c>
      <c r="AZ112" s="26">
        <v>2414.0285714286001</v>
      </c>
      <c r="BA112" s="23">
        <f t="shared" si="5"/>
        <v>1</v>
      </c>
      <c r="BB112" s="24">
        <v>40</v>
      </c>
    </row>
    <row r="113" spans="1:54" x14ac:dyDescent="0.2">
      <c r="A113" s="5">
        <v>849</v>
      </c>
      <c r="B113" s="20" t="s">
        <v>76</v>
      </c>
      <c r="C113" s="18" t="s">
        <v>55</v>
      </c>
      <c r="D113" s="18">
        <v>5</v>
      </c>
      <c r="E113" s="18">
        <v>0</v>
      </c>
      <c r="F113" s="18" t="s">
        <v>9</v>
      </c>
      <c r="G113" s="18">
        <v>30</v>
      </c>
      <c r="H113" s="22">
        <v>4.1587953456536617</v>
      </c>
      <c r="I113" s="22">
        <v>5.7577002053388089</v>
      </c>
      <c r="J113" s="22">
        <v>9.9164955509924706</v>
      </c>
      <c r="K113" s="22">
        <v>4.2354551676933605</v>
      </c>
      <c r="L113" s="22">
        <v>5.7002053388090346</v>
      </c>
      <c r="M113" s="22">
        <v>9.935660506502396</v>
      </c>
      <c r="N113" s="22">
        <v>4.476386036960986</v>
      </c>
      <c r="O113" s="22">
        <v>5.4318959616700893</v>
      </c>
      <c r="P113" s="22">
        <v>9.9082819986310753</v>
      </c>
      <c r="Q113" s="22" t="s">
        <v>8</v>
      </c>
      <c r="R113" s="22" t="s">
        <v>8</v>
      </c>
      <c r="S113" s="22" t="s">
        <v>8</v>
      </c>
      <c r="T113" s="30">
        <v>7</v>
      </c>
      <c r="U113" s="30">
        <v>21</v>
      </c>
      <c r="V113" s="20" t="s">
        <v>1</v>
      </c>
      <c r="W113" s="20">
        <v>5</v>
      </c>
      <c r="X113" s="20">
        <v>2</v>
      </c>
      <c r="Y113" s="5">
        <v>1</v>
      </c>
      <c r="Z113" s="24">
        <v>4</v>
      </c>
      <c r="AA113" s="23">
        <f t="shared" si="3"/>
        <v>1</v>
      </c>
      <c r="AB113" s="15">
        <v>1</v>
      </c>
      <c r="AC113" s="15">
        <v>1</v>
      </c>
      <c r="AD113" s="15">
        <v>0.875</v>
      </c>
      <c r="AE113" s="15">
        <v>0.95799999999999996</v>
      </c>
      <c r="AF113" s="20">
        <v>23</v>
      </c>
      <c r="AG113" s="20">
        <v>4.33</v>
      </c>
      <c r="AH113" s="24">
        <v>24</v>
      </c>
      <c r="AI113" s="23">
        <f t="shared" si="4"/>
        <v>1</v>
      </c>
      <c r="AJ113" s="17">
        <v>8.5</v>
      </c>
      <c r="AK113" s="17">
        <v>12</v>
      </c>
      <c r="AL113" s="14">
        <v>20.5</v>
      </c>
      <c r="AM113" s="23" cm="1">
        <f t="array" ref="AM113">IF(OR(AN113:AZ113=""),"BLANK",IF(AND(AN113:AZ113&lt;9999999),1,IF(AND(AN113:AZ113="NA"),3,2)))</f>
        <v>1</v>
      </c>
      <c r="AN113" s="20">
        <v>12</v>
      </c>
      <c r="AO113" s="26">
        <v>2</v>
      </c>
      <c r="AP113" s="15">
        <v>3</v>
      </c>
      <c r="AQ113" s="15">
        <v>4</v>
      </c>
      <c r="AR113" s="15">
        <v>5</v>
      </c>
      <c r="AS113" s="26">
        <v>3505.5</v>
      </c>
      <c r="AT113" s="26">
        <v>4273</v>
      </c>
      <c r="AU113" s="26">
        <v>12893</v>
      </c>
      <c r="AV113" s="26">
        <v>14682.25</v>
      </c>
      <c r="AW113" s="26">
        <v>0</v>
      </c>
      <c r="AX113" s="26">
        <v>0</v>
      </c>
      <c r="AY113" s="26">
        <v>0</v>
      </c>
      <c r="AZ113" s="26">
        <v>0</v>
      </c>
      <c r="BA113" s="23">
        <f t="shared" si="5"/>
        <v>1</v>
      </c>
      <c r="BB113" s="24">
        <v>41</v>
      </c>
    </row>
    <row r="114" spans="1:54" x14ac:dyDescent="0.2">
      <c r="A114" s="5">
        <v>860</v>
      </c>
      <c r="B114" s="20" t="s">
        <v>80</v>
      </c>
      <c r="C114" s="18" t="s">
        <v>54</v>
      </c>
      <c r="D114" s="18">
        <v>5</v>
      </c>
      <c r="E114" s="18">
        <v>0</v>
      </c>
      <c r="F114" s="18" t="s">
        <v>9</v>
      </c>
      <c r="G114" s="18">
        <v>30</v>
      </c>
      <c r="H114" s="22">
        <v>3.9863107460643397</v>
      </c>
      <c r="I114" s="22">
        <v>5.5249828884325805</v>
      </c>
      <c r="J114" s="22">
        <v>9.5112936344969192</v>
      </c>
      <c r="K114" s="22">
        <v>3.9863107460643397</v>
      </c>
      <c r="L114" s="22">
        <v>5.5824777549623548</v>
      </c>
      <c r="M114" s="22">
        <v>9.5687885010266935</v>
      </c>
      <c r="N114" s="22">
        <v>3.9698836413415468</v>
      </c>
      <c r="O114" s="22">
        <v>5.2731006160164275</v>
      </c>
      <c r="P114" s="22">
        <v>9.2429842573579748</v>
      </c>
      <c r="Q114" s="22">
        <v>3.184120465434634</v>
      </c>
      <c r="R114" s="22" t="s">
        <v>8</v>
      </c>
      <c r="S114" s="22" t="s">
        <v>8</v>
      </c>
      <c r="T114" s="30" t="s">
        <v>8</v>
      </c>
      <c r="U114" s="30" t="s">
        <v>8</v>
      </c>
      <c r="V114" s="20" t="s">
        <v>1</v>
      </c>
      <c r="W114" s="20">
        <v>5</v>
      </c>
      <c r="X114" s="20">
        <v>2</v>
      </c>
      <c r="Y114" s="5">
        <v>1</v>
      </c>
      <c r="Z114" s="24">
        <v>4</v>
      </c>
      <c r="AA114" s="23">
        <f t="shared" si="3"/>
        <v>2</v>
      </c>
      <c r="AB114" s="15">
        <v>1</v>
      </c>
      <c r="AC114" s="15">
        <v>1</v>
      </c>
      <c r="AD114" s="15">
        <v>0.8571428571428571</v>
      </c>
      <c r="AE114" s="15">
        <v>0.95699999999999996</v>
      </c>
      <c r="AF114" s="20">
        <v>22</v>
      </c>
      <c r="AG114" s="20" t="s">
        <v>8</v>
      </c>
      <c r="AH114" s="24">
        <v>23</v>
      </c>
      <c r="AI114" s="23">
        <f t="shared" si="4"/>
        <v>1</v>
      </c>
      <c r="AJ114" s="17">
        <v>9</v>
      </c>
      <c r="AK114" s="17">
        <v>9</v>
      </c>
      <c r="AL114" s="14">
        <v>18</v>
      </c>
      <c r="AM114" s="23" cm="1">
        <f t="array" ref="AM114">IF(OR(AN114:AZ114=""),"BLANK",IF(AND(AN114:AZ114&lt;9999999),1,IF(AND(AN114:AZ114="NA"),3,2)))</f>
        <v>1</v>
      </c>
      <c r="AN114" s="20">
        <v>8</v>
      </c>
      <c r="AO114" s="26">
        <v>2</v>
      </c>
      <c r="AP114" s="15">
        <v>3</v>
      </c>
      <c r="AQ114" s="15">
        <v>6.25</v>
      </c>
      <c r="AR114" s="15">
        <v>8.5</v>
      </c>
      <c r="AS114" s="26">
        <v>0</v>
      </c>
      <c r="AT114" s="26">
        <v>9354</v>
      </c>
      <c r="AU114" s="26">
        <v>6501.5</v>
      </c>
      <c r="AV114" s="26">
        <v>22085.25</v>
      </c>
      <c r="AW114" s="26">
        <v>6.5</v>
      </c>
      <c r="AX114" s="26">
        <v>15.333333333300001</v>
      </c>
      <c r="AY114" s="26">
        <v>8707.3263888888996</v>
      </c>
      <c r="AZ114" s="26">
        <v>6471.6916666667003</v>
      </c>
      <c r="BA114" s="23">
        <f t="shared" si="5"/>
        <v>1</v>
      </c>
      <c r="BB114" s="24">
        <v>37</v>
      </c>
    </row>
    <row r="115" spans="1:54" x14ac:dyDescent="0.2">
      <c r="A115" s="5">
        <v>867</v>
      </c>
      <c r="B115" s="20" t="s">
        <v>83</v>
      </c>
      <c r="C115" s="18" t="s">
        <v>55</v>
      </c>
      <c r="D115" s="18">
        <v>5</v>
      </c>
      <c r="E115" s="18">
        <v>0</v>
      </c>
      <c r="F115" s="18" t="s">
        <v>9</v>
      </c>
      <c r="G115" s="18">
        <v>29</v>
      </c>
      <c r="H115" s="22">
        <v>4.1396303901437372</v>
      </c>
      <c r="I115" s="22" t="s">
        <v>8</v>
      </c>
      <c r="J115" s="22" t="s">
        <v>8</v>
      </c>
      <c r="K115" s="22">
        <v>4.1396303901437372</v>
      </c>
      <c r="L115" s="22" t="s">
        <v>8</v>
      </c>
      <c r="M115" s="22" t="s">
        <v>8</v>
      </c>
      <c r="N115" s="22">
        <v>4.1943874058863795</v>
      </c>
      <c r="O115" s="22" t="s">
        <v>8</v>
      </c>
      <c r="P115" s="22" t="s">
        <v>8</v>
      </c>
      <c r="Q115" s="22">
        <v>3.3100616016427105</v>
      </c>
      <c r="R115" s="22" t="s">
        <v>8</v>
      </c>
      <c r="S115" s="22" t="s">
        <v>8</v>
      </c>
      <c r="T115" s="30">
        <v>4</v>
      </c>
      <c r="U115" s="30">
        <v>16</v>
      </c>
      <c r="V115" s="20" t="s">
        <v>1</v>
      </c>
      <c r="W115" s="20">
        <v>5</v>
      </c>
      <c r="X115" s="20">
        <v>2</v>
      </c>
      <c r="Y115" s="5">
        <v>1</v>
      </c>
      <c r="Z115" s="24">
        <v>4</v>
      </c>
      <c r="AA115" s="23">
        <f t="shared" si="3"/>
        <v>1</v>
      </c>
      <c r="AB115" s="15">
        <v>1</v>
      </c>
      <c r="AC115" s="15">
        <v>0.875</v>
      </c>
      <c r="AD115" s="15">
        <v>0.875</v>
      </c>
      <c r="AE115" s="15">
        <v>0.91700000000000004</v>
      </c>
      <c r="AF115" s="20">
        <v>22</v>
      </c>
      <c r="AG115" s="20">
        <v>8.83</v>
      </c>
      <c r="AH115" s="24">
        <v>24</v>
      </c>
      <c r="AI115" s="23">
        <f t="shared" si="4"/>
        <v>1</v>
      </c>
      <c r="AJ115" s="17">
        <v>10</v>
      </c>
      <c r="AK115" s="17">
        <v>11</v>
      </c>
      <c r="AL115" s="14">
        <v>21</v>
      </c>
      <c r="AM115" s="23" cm="1">
        <f t="array" ref="AM115">IF(OR(AN115:AZ115=""),"BLANK",IF(AND(AN115:AZ115&lt;9999999),1,IF(AND(AN115:AZ115="NA"),3,2)))</f>
        <v>1</v>
      </c>
      <c r="AN115" s="20">
        <v>8</v>
      </c>
      <c r="AO115" s="26">
        <v>2</v>
      </c>
      <c r="AP115" s="15">
        <v>3</v>
      </c>
      <c r="AQ115" s="15">
        <v>6</v>
      </c>
      <c r="AR115" s="15">
        <v>7</v>
      </c>
      <c r="AS115" s="26">
        <v>2859</v>
      </c>
      <c r="AT115" s="26">
        <v>8061</v>
      </c>
      <c r="AU115" s="26">
        <v>12295.25</v>
      </c>
      <c r="AV115" s="26">
        <v>27968.25</v>
      </c>
      <c r="AW115" s="26">
        <v>0</v>
      </c>
      <c r="AX115" s="26">
        <v>0</v>
      </c>
      <c r="AY115" s="26">
        <v>3378.34375</v>
      </c>
      <c r="AZ115" s="26">
        <v>3816.5250000000001</v>
      </c>
      <c r="BA115" s="23">
        <f t="shared" si="5"/>
        <v>1</v>
      </c>
      <c r="BB115" s="24">
        <v>34</v>
      </c>
    </row>
    <row r="116" spans="1:54" x14ac:dyDescent="0.2">
      <c r="A116" s="5">
        <v>872</v>
      </c>
      <c r="B116" s="20" t="s">
        <v>75</v>
      </c>
      <c r="C116" s="18" t="s">
        <v>54</v>
      </c>
      <c r="D116" s="18">
        <v>5</v>
      </c>
      <c r="E116" s="18">
        <v>0</v>
      </c>
      <c r="F116" s="18" t="s">
        <v>9</v>
      </c>
      <c r="G116" s="18">
        <v>30</v>
      </c>
      <c r="H116" s="22">
        <v>3.9589322381930185</v>
      </c>
      <c r="I116" s="22">
        <v>5.4428473648186175</v>
      </c>
      <c r="J116" s="22">
        <v>9.4017796030116365</v>
      </c>
      <c r="K116" s="22">
        <v>3.9589322381930185</v>
      </c>
      <c r="L116" s="22">
        <v>5.4428473648186175</v>
      </c>
      <c r="M116" s="22">
        <v>9.4017796030116365</v>
      </c>
      <c r="N116" s="22">
        <v>3.9972621492128679</v>
      </c>
      <c r="O116" s="22">
        <v>5.0814510609171801</v>
      </c>
      <c r="P116" s="22">
        <v>9.0787132101300472</v>
      </c>
      <c r="Q116" s="22">
        <v>3.353867214236824</v>
      </c>
      <c r="R116" s="22" t="s">
        <v>8</v>
      </c>
      <c r="S116" s="22" t="s">
        <v>8</v>
      </c>
      <c r="T116" s="30">
        <v>6</v>
      </c>
      <c r="U116" s="30">
        <v>18</v>
      </c>
      <c r="V116" s="20" t="s">
        <v>1</v>
      </c>
      <c r="W116" s="20">
        <v>5</v>
      </c>
      <c r="X116" s="20">
        <v>2</v>
      </c>
      <c r="Y116" s="5">
        <v>1</v>
      </c>
      <c r="Z116" s="24">
        <v>4</v>
      </c>
      <c r="AA116" s="23">
        <f t="shared" si="3"/>
        <v>1</v>
      </c>
      <c r="AB116" s="15">
        <v>1</v>
      </c>
      <c r="AC116" s="15">
        <v>0.875</v>
      </c>
      <c r="AD116" s="15">
        <v>0.75</v>
      </c>
      <c r="AE116" s="15">
        <v>0.875</v>
      </c>
      <c r="AF116" s="20">
        <v>21</v>
      </c>
      <c r="AG116" s="20">
        <v>4.2300000000000004</v>
      </c>
      <c r="AH116" s="24">
        <v>24</v>
      </c>
      <c r="AI116" s="23">
        <f t="shared" si="4"/>
        <v>1</v>
      </c>
      <c r="AJ116" s="17">
        <v>11.75</v>
      </c>
      <c r="AK116" s="17">
        <v>10.75</v>
      </c>
      <c r="AL116" s="14">
        <v>22.5</v>
      </c>
      <c r="AM116" s="23" cm="1">
        <f t="array" ref="AM116">IF(OR(AN116:AZ116=""),"BLANK",IF(AND(AN116:AZ116&lt;9999999),1,IF(AND(AN116:AZ116="NA"),3,2)))</f>
        <v>1</v>
      </c>
      <c r="AN116" s="20">
        <v>5</v>
      </c>
      <c r="AO116" s="26">
        <v>2</v>
      </c>
      <c r="AP116" s="15">
        <v>3.5</v>
      </c>
      <c r="AQ116" s="15">
        <v>6.25</v>
      </c>
      <c r="AR116" s="15">
        <v>10.75</v>
      </c>
      <c r="AS116" s="26">
        <v>2256</v>
      </c>
      <c r="AT116" s="26">
        <v>4792.5</v>
      </c>
      <c r="AU116" s="26">
        <v>5691</v>
      </c>
      <c r="AV116" s="26">
        <v>12587.5</v>
      </c>
      <c r="AW116" s="26">
        <v>0</v>
      </c>
      <c r="AX116" s="26">
        <v>231.9166666667</v>
      </c>
      <c r="AY116" s="26">
        <v>2293.2256944443998</v>
      </c>
      <c r="AZ116" s="26">
        <v>1825.2660984848001</v>
      </c>
      <c r="BA116" s="23">
        <f t="shared" si="5"/>
        <v>1</v>
      </c>
      <c r="BB116" s="24">
        <v>34</v>
      </c>
    </row>
    <row r="117" spans="1:54" x14ac:dyDescent="0.2">
      <c r="A117" s="5">
        <v>881</v>
      </c>
      <c r="B117" s="20" t="s">
        <v>82</v>
      </c>
      <c r="C117" s="18" t="s">
        <v>54</v>
      </c>
      <c r="D117" s="18">
        <v>5</v>
      </c>
      <c r="E117" s="18">
        <v>0</v>
      </c>
      <c r="F117" s="18" t="s">
        <v>9</v>
      </c>
      <c r="G117" s="18">
        <v>29</v>
      </c>
      <c r="H117" s="22">
        <v>4.1834360027378512</v>
      </c>
      <c r="I117" s="22" t="s">
        <v>8</v>
      </c>
      <c r="J117" s="22" t="s">
        <v>8</v>
      </c>
      <c r="K117" s="22">
        <v>4.1834360027378512</v>
      </c>
      <c r="L117" s="22" t="s">
        <v>8</v>
      </c>
      <c r="M117" s="22" t="s">
        <v>8</v>
      </c>
      <c r="N117" s="22">
        <v>4.1451060917180014</v>
      </c>
      <c r="O117" s="22" t="s">
        <v>8</v>
      </c>
      <c r="P117" s="22" t="s">
        <v>8</v>
      </c>
      <c r="Q117" s="22" t="s">
        <v>8</v>
      </c>
      <c r="R117" s="22" t="s">
        <v>8</v>
      </c>
      <c r="S117" s="22" t="s">
        <v>8</v>
      </c>
      <c r="T117" s="30" t="s">
        <v>8</v>
      </c>
      <c r="U117" s="30" t="s">
        <v>8</v>
      </c>
      <c r="V117" s="20" t="s">
        <v>1</v>
      </c>
      <c r="W117" s="20">
        <v>5</v>
      </c>
      <c r="X117" s="20">
        <v>2</v>
      </c>
      <c r="Y117" s="5">
        <v>1</v>
      </c>
      <c r="Z117" s="24">
        <v>4</v>
      </c>
      <c r="AA117" s="23">
        <f t="shared" si="3"/>
        <v>1</v>
      </c>
      <c r="AB117" s="15">
        <v>1</v>
      </c>
      <c r="AC117" s="15">
        <v>0.75</v>
      </c>
      <c r="AD117" s="15">
        <v>0.375</v>
      </c>
      <c r="AE117" s="15">
        <v>0.70799999999999996</v>
      </c>
      <c r="AF117" s="20">
        <v>17</v>
      </c>
      <c r="AG117" s="20">
        <v>6.57</v>
      </c>
      <c r="AH117" s="24">
        <v>24</v>
      </c>
      <c r="AI117" s="23">
        <f t="shared" si="4"/>
        <v>1</v>
      </c>
      <c r="AJ117" s="17">
        <v>9.5</v>
      </c>
      <c r="AK117" s="17">
        <v>6.5</v>
      </c>
      <c r="AL117" s="14">
        <v>16</v>
      </c>
      <c r="AM117" s="23" cm="1">
        <f t="array" ref="AM117">IF(OR(AN117:AZ117=""),"BLANK",IF(AND(AN117:AZ117&lt;9999999),1,IF(AND(AN117:AZ117="NA"),3,2)))</f>
        <v>1</v>
      </c>
      <c r="AN117" s="20">
        <v>10</v>
      </c>
      <c r="AO117" s="26">
        <v>2</v>
      </c>
      <c r="AP117" s="15">
        <v>3</v>
      </c>
      <c r="AQ117" s="15">
        <v>5.75</v>
      </c>
      <c r="AR117" s="15">
        <v>5</v>
      </c>
      <c r="AS117" s="26">
        <v>4077</v>
      </c>
      <c r="AT117" s="26">
        <v>2237</v>
      </c>
      <c r="AU117" s="26">
        <v>23879.5</v>
      </c>
      <c r="AV117" s="26">
        <v>14111.75</v>
      </c>
      <c r="AW117" s="26">
        <v>294.5</v>
      </c>
      <c r="AX117" s="26">
        <v>1221</v>
      </c>
      <c r="AY117" s="26">
        <v>2955.5902777778001</v>
      </c>
      <c r="AZ117" s="26">
        <v>0</v>
      </c>
      <c r="BA117" s="23">
        <f t="shared" si="5"/>
        <v>1</v>
      </c>
      <c r="BB117" s="24">
        <v>31</v>
      </c>
    </row>
    <row r="118" spans="1:54" x14ac:dyDescent="0.2">
      <c r="A118" s="5">
        <v>883</v>
      </c>
      <c r="B118" s="20" t="s">
        <v>77</v>
      </c>
      <c r="C118" s="18" t="s">
        <v>54</v>
      </c>
      <c r="D118" s="18">
        <v>5</v>
      </c>
      <c r="E118" s="18">
        <v>0</v>
      </c>
      <c r="F118" s="18" t="s">
        <v>9</v>
      </c>
      <c r="G118" s="18">
        <v>30</v>
      </c>
      <c r="H118" s="22">
        <v>4.4052019164955514</v>
      </c>
      <c r="I118" s="22" t="s">
        <v>8</v>
      </c>
      <c r="J118" s="22" t="s">
        <v>8</v>
      </c>
      <c r="K118" s="22">
        <v>4.4024640657084193</v>
      </c>
      <c r="L118" s="22" t="s">
        <v>8</v>
      </c>
      <c r="M118" s="22" t="s">
        <v>8</v>
      </c>
      <c r="N118" s="22">
        <v>4.213552361396304</v>
      </c>
      <c r="O118" s="22" t="s">
        <v>8</v>
      </c>
      <c r="P118" s="22" t="s">
        <v>8</v>
      </c>
      <c r="Q118" s="22" t="s">
        <v>8</v>
      </c>
      <c r="R118" s="22" t="s">
        <v>8</v>
      </c>
      <c r="S118" s="22" t="s">
        <v>8</v>
      </c>
      <c r="T118" s="30" t="s">
        <v>8</v>
      </c>
      <c r="U118" s="30" t="s">
        <v>8</v>
      </c>
      <c r="V118" s="20" t="s">
        <v>1</v>
      </c>
      <c r="W118" s="20">
        <v>5</v>
      </c>
      <c r="X118" s="20">
        <v>2</v>
      </c>
      <c r="Y118" s="5">
        <v>1</v>
      </c>
      <c r="Z118" s="24">
        <v>4</v>
      </c>
      <c r="AA118" s="23">
        <f t="shared" si="3"/>
        <v>1</v>
      </c>
      <c r="AB118" s="15">
        <v>0.875</v>
      </c>
      <c r="AC118" s="15">
        <v>0.875</v>
      </c>
      <c r="AD118" s="15">
        <v>0.75</v>
      </c>
      <c r="AE118" s="15">
        <v>0.83299999999999996</v>
      </c>
      <c r="AF118" s="20">
        <v>20</v>
      </c>
      <c r="AG118" s="20">
        <v>10.83</v>
      </c>
      <c r="AH118" s="24">
        <v>24</v>
      </c>
      <c r="AI118" s="23">
        <f t="shared" si="4"/>
        <v>1</v>
      </c>
      <c r="AJ118" s="17">
        <v>9</v>
      </c>
      <c r="AK118" s="17">
        <v>8.75</v>
      </c>
      <c r="AL118" s="14">
        <v>17.75</v>
      </c>
      <c r="AM118" s="23" cm="1">
        <f t="array" ref="AM118">IF(OR(AN118:AZ118=""),"BLANK",IF(AND(AN118:AZ118&lt;9999999),1,IF(AND(AN118:AZ118="NA"),3,2)))</f>
        <v>1</v>
      </c>
      <c r="AN118" s="20">
        <v>5</v>
      </c>
      <c r="AO118" s="26">
        <v>2</v>
      </c>
      <c r="AP118" s="15">
        <v>3.5</v>
      </c>
      <c r="AQ118" s="15">
        <v>5.75</v>
      </c>
      <c r="AR118" s="15">
        <v>8.5</v>
      </c>
      <c r="AS118" s="26">
        <v>5272.5</v>
      </c>
      <c r="AT118" s="26">
        <v>7673</v>
      </c>
      <c r="AU118" s="26">
        <v>13116.5</v>
      </c>
      <c r="AV118" s="26">
        <v>7540</v>
      </c>
      <c r="AW118" s="26">
        <v>267.5</v>
      </c>
      <c r="AX118" s="26">
        <v>1346.625</v>
      </c>
      <c r="AY118" s="26">
        <v>2144.4166666667002</v>
      </c>
      <c r="AZ118" s="26">
        <v>707.67099567100001</v>
      </c>
      <c r="BA118" s="23">
        <f t="shared" si="5"/>
        <v>1</v>
      </c>
      <c r="BB118" s="24">
        <v>33</v>
      </c>
    </row>
    <row r="119" spans="1:54" x14ac:dyDescent="0.2">
      <c r="A119" s="5">
        <v>884</v>
      </c>
      <c r="B119" s="20" t="s">
        <v>84</v>
      </c>
      <c r="C119" s="18" t="s">
        <v>54</v>
      </c>
      <c r="D119" s="18">
        <v>5</v>
      </c>
      <c r="E119" s="18">
        <v>0</v>
      </c>
      <c r="F119" s="18" t="s">
        <v>9</v>
      </c>
      <c r="G119" s="18">
        <v>30</v>
      </c>
      <c r="H119" s="22">
        <v>4.046543463381246</v>
      </c>
      <c r="I119" s="22">
        <v>5.722108145106092</v>
      </c>
      <c r="J119" s="22">
        <v>9.7686516084873372</v>
      </c>
      <c r="K119" s="22">
        <v>4.0657084188911705</v>
      </c>
      <c r="L119" s="22">
        <v>5.7029431895961666</v>
      </c>
      <c r="M119" s="22">
        <v>9.7686516084873372</v>
      </c>
      <c r="N119" s="22">
        <v>4.0246406570841886</v>
      </c>
      <c r="O119" s="22">
        <v>5.7029431895961666</v>
      </c>
      <c r="P119" s="22">
        <v>9.7275838466803553</v>
      </c>
      <c r="Q119" s="22" t="s">
        <v>8</v>
      </c>
      <c r="R119" s="22" t="s">
        <v>8</v>
      </c>
      <c r="S119" s="22" t="s">
        <v>8</v>
      </c>
      <c r="T119" s="30">
        <v>4</v>
      </c>
      <c r="U119" s="30">
        <v>16</v>
      </c>
      <c r="V119" s="20" t="s">
        <v>1</v>
      </c>
      <c r="W119" s="20">
        <v>5</v>
      </c>
      <c r="X119" s="20">
        <v>2</v>
      </c>
      <c r="Y119" s="5">
        <v>1</v>
      </c>
      <c r="Z119" s="24">
        <v>4</v>
      </c>
      <c r="AA119" s="23">
        <f t="shared" si="3"/>
        <v>1</v>
      </c>
      <c r="AB119" s="15">
        <v>1</v>
      </c>
      <c r="AC119" s="15">
        <v>1</v>
      </c>
      <c r="AD119" s="15">
        <v>0.75</v>
      </c>
      <c r="AE119" s="15">
        <v>0.91700000000000004</v>
      </c>
      <c r="AF119" s="20">
        <v>22</v>
      </c>
      <c r="AG119" s="20">
        <v>10.75</v>
      </c>
      <c r="AH119" s="24">
        <v>24</v>
      </c>
      <c r="AI119" s="23">
        <f t="shared" si="4"/>
        <v>1</v>
      </c>
      <c r="AJ119" s="17">
        <v>13</v>
      </c>
      <c r="AK119" s="17">
        <v>13</v>
      </c>
      <c r="AL119" s="14">
        <v>26</v>
      </c>
      <c r="AM119" s="23" cm="1">
        <f t="array" ref="AM119">IF(OR(AN119:AZ119=""),"BLANK",IF(AND(AN119:AZ119&lt;9999999),1,IF(AND(AN119:AZ119="NA"),3,2)))</f>
        <v>1</v>
      </c>
      <c r="AN119" s="20">
        <v>11</v>
      </c>
      <c r="AO119" s="26">
        <v>2</v>
      </c>
      <c r="AP119" s="15">
        <v>3</v>
      </c>
      <c r="AQ119" s="15">
        <v>4</v>
      </c>
      <c r="AR119" s="15">
        <v>5.5</v>
      </c>
      <c r="AS119" s="26">
        <v>1732</v>
      </c>
      <c r="AT119" s="26">
        <v>2301.5</v>
      </c>
      <c r="AU119" s="26">
        <v>6168.25</v>
      </c>
      <c r="AV119" s="26">
        <v>11382.5</v>
      </c>
      <c r="AW119" s="26">
        <v>0</v>
      </c>
      <c r="AX119" s="26">
        <v>0</v>
      </c>
      <c r="AY119" s="26">
        <v>0</v>
      </c>
      <c r="AZ119" s="26">
        <v>0</v>
      </c>
      <c r="BA119" s="23">
        <f t="shared" si="5"/>
        <v>1</v>
      </c>
      <c r="BB119" s="24">
        <v>35</v>
      </c>
    </row>
    <row r="120" spans="1:54" x14ac:dyDescent="0.2">
      <c r="A120" s="5">
        <v>886</v>
      </c>
      <c r="B120" s="20" t="s">
        <v>62</v>
      </c>
      <c r="C120" s="18" t="s">
        <v>54</v>
      </c>
      <c r="D120" s="18">
        <v>5</v>
      </c>
      <c r="E120" s="18">
        <v>0</v>
      </c>
      <c r="F120" s="18" t="s">
        <v>9</v>
      </c>
      <c r="G120" s="18">
        <v>30</v>
      </c>
      <c r="H120" s="22">
        <v>3.978097193702943</v>
      </c>
      <c r="I120" s="22">
        <v>5.763175906913073</v>
      </c>
      <c r="J120" s="22">
        <v>9.7412731006160165</v>
      </c>
      <c r="K120" s="22">
        <v>3.978097193702943</v>
      </c>
      <c r="L120" s="22">
        <v>5.763175906913073</v>
      </c>
      <c r="M120" s="22">
        <v>9.7412731006160165</v>
      </c>
      <c r="N120" s="22" t="s">
        <v>8</v>
      </c>
      <c r="O120" s="22" t="s">
        <v>8</v>
      </c>
      <c r="P120" s="22" t="s">
        <v>8</v>
      </c>
      <c r="Q120" s="22" t="s">
        <v>8</v>
      </c>
      <c r="R120" s="22" t="s">
        <v>8</v>
      </c>
      <c r="S120" s="22" t="s">
        <v>8</v>
      </c>
      <c r="T120" s="30">
        <v>4</v>
      </c>
      <c r="U120" s="30">
        <v>16</v>
      </c>
      <c r="V120" s="20" t="s">
        <v>1</v>
      </c>
      <c r="W120" s="20">
        <v>5</v>
      </c>
      <c r="X120" s="20">
        <v>2</v>
      </c>
      <c r="Y120" s="5">
        <v>1</v>
      </c>
      <c r="Z120" s="24">
        <v>4</v>
      </c>
      <c r="AA120" s="23">
        <f t="shared" si="3"/>
        <v>1</v>
      </c>
      <c r="AB120" s="15">
        <v>0.875</v>
      </c>
      <c r="AC120" s="15">
        <v>1</v>
      </c>
      <c r="AD120" s="15">
        <v>0.5</v>
      </c>
      <c r="AE120" s="15">
        <v>0.79200000000000004</v>
      </c>
      <c r="AF120" s="20">
        <v>19</v>
      </c>
      <c r="AG120" s="20">
        <v>6.8</v>
      </c>
      <c r="AH120" s="24">
        <v>24</v>
      </c>
      <c r="AI120" s="23">
        <f t="shared" si="4"/>
        <v>1</v>
      </c>
      <c r="AJ120" s="17">
        <v>8.75</v>
      </c>
      <c r="AK120" s="17">
        <v>10</v>
      </c>
      <c r="AL120" s="14">
        <v>18.75</v>
      </c>
      <c r="AM120" s="23" cm="1">
        <f t="array" ref="AM120">IF(OR(AN120:AZ120=""),"BLANK",IF(AND(AN120:AZ120&lt;9999999),1,IF(AND(AN120:AZ120="NA"),3,2)))</f>
        <v>1</v>
      </c>
      <c r="AN120" s="20">
        <v>8</v>
      </c>
      <c r="AO120" s="26">
        <v>2</v>
      </c>
      <c r="AP120" s="15">
        <v>3</v>
      </c>
      <c r="AQ120" s="15">
        <v>5.5</v>
      </c>
      <c r="AR120" s="15">
        <v>6.25</v>
      </c>
      <c r="AS120" s="26">
        <v>3376.5</v>
      </c>
      <c r="AT120" s="26">
        <v>20351</v>
      </c>
      <c r="AU120" s="26">
        <v>46944.5</v>
      </c>
      <c r="AV120" s="26">
        <v>18053.5</v>
      </c>
      <c r="AW120" s="26">
        <v>0</v>
      </c>
      <c r="AX120" s="26">
        <v>0</v>
      </c>
      <c r="AY120" s="26">
        <v>3576.6222222222</v>
      </c>
      <c r="AZ120" s="26">
        <v>4660.9388888888998</v>
      </c>
      <c r="BA120" s="23">
        <f t="shared" si="5"/>
        <v>1</v>
      </c>
      <c r="BB120" s="24">
        <v>35</v>
      </c>
    </row>
    <row r="121" spans="1:54" x14ac:dyDescent="0.2">
      <c r="A121" s="5">
        <v>889</v>
      </c>
      <c r="B121" s="20" t="s">
        <v>67</v>
      </c>
      <c r="C121" s="18" t="s">
        <v>54</v>
      </c>
      <c r="D121" s="18">
        <v>5</v>
      </c>
      <c r="E121" s="18">
        <v>0</v>
      </c>
      <c r="F121" s="18" t="s">
        <v>9</v>
      </c>
      <c r="G121" s="18">
        <v>30</v>
      </c>
      <c r="H121" s="22">
        <v>4.0657084188911705</v>
      </c>
      <c r="I121" s="22">
        <v>5.1937029431895958</v>
      </c>
      <c r="J121" s="22">
        <v>9.2594113620807672</v>
      </c>
      <c r="K121" s="22">
        <v>4.0657084188911705</v>
      </c>
      <c r="L121" s="22">
        <v>5.1937029431895958</v>
      </c>
      <c r="M121" s="22">
        <v>9.2594113620807672</v>
      </c>
      <c r="N121" s="22">
        <v>4.0547570157426422</v>
      </c>
      <c r="O121" s="22">
        <v>4.8733744010951403</v>
      </c>
      <c r="P121" s="22">
        <v>8.9281314168377826</v>
      </c>
      <c r="Q121" s="22" t="s">
        <v>8</v>
      </c>
      <c r="R121" s="22" t="s">
        <v>8</v>
      </c>
      <c r="S121" s="22" t="s">
        <v>8</v>
      </c>
      <c r="T121" s="30">
        <v>4</v>
      </c>
      <c r="U121" s="30">
        <v>16</v>
      </c>
      <c r="V121" s="20" t="s">
        <v>1</v>
      </c>
      <c r="W121" s="20">
        <v>5</v>
      </c>
      <c r="X121" s="20">
        <v>2</v>
      </c>
      <c r="Y121" s="5">
        <v>1</v>
      </c>
      <c r="Z121" s="24">
        <v>4</v>
      </c>
      <c r="AA121" s="23">
        <f t="shared" si="3"/>
        <v>1</v>
      </c>
      <c r="AB121" s="15">
        <v>1</v>
      </c>
      <c r="AC121" s="15">
        <v>0.75</v>
      </c>
      <c r="AD121" s="15">
        <v>0.5</v>
      </c>
      <c r="AE121" s="15">
        <v>0.75</v>
      </c>
      <c r="AF121" s="20">
        <v>18</v>
      </c>
      <c r="AG121" s="20">
        <v>9.15</v>
      </c>
      <c r="AH121" s="24">
        <v>24</v>
      </c>
      <c r="AI121" s="23">
        <f t="shared" si="4"/>
        <v>1</v>
      </c>
      <c r="AJ121" s="17">
        <v>11.5</v>
      </c>
      <c r="AK121" s="17">
        <v>9.75</v>
      </c>
      <c r="AL121" s="14">
        <v>21.25</v>
      </c>
      <c r="AM121" s="23" cm="1">
        <f t="array" ref="AM121">IF(OR(AN121:AZ121=""),"BLANK",IF(AND(AN121:AZ121&lt;9999999),1,IF(AND(AN121:AZ121="NA"),3,2)))</f>
        <v>1</v>
      </c>
      <c r="AN121" s="20">
        <v>6</v>
      </c>
      <c r="AO121" s="26">
        <v>2</v>
      </c>
      <c r="AP121" s="15">
        <v>3</v>
      </c>
      <c r="AQ121" s="15">
        <v>6.5</v>
      </c>
      <c r="AR121" s="15">
        <v>12</v>
      </c>
      <c r="AS121" s="26">
        <v>1163.5</v>
      </c>
      <c r="AT121" s="26">
        <v>2485.5</v>
      </c>
      <c r="AU121" s="26">
        <v>6069</v>
      </c>
      <c r="AV121" s="26">
        <v>4729</v>
      </c>
      <c r="AW121" s="26">
        <v>285.5</v>
      </c>
      <c r="AX121" s="26">
        <v>1710.5</v>
      </c>
      <c r="AY121" s="26">
        <v>1858.9791666666999</v>
      </c>
      <c r="AZ121" s="26">
        <v>1751.6666666666999</v>
      </c>
      <c r="BA121" s="23">
        <f t="shared" si="5"/>
        <v>1</v>
      </c>
      <c r="BB121" s="24">
        <v>40</v>
      </c>
    </row>
    <row r="122" spans="1:54" x14ac:dyDescent="0.2">
      <c r="A122" s="5">
        <v>890</v>
      </c>
      <c r="B122" s="20" t="s">
        <v>82</v>
      </c>
      <c r="C122" s="18" t="s">
        <v>55</v>
      </c>
      <c r="D122" s="18">
        <v>5</v>
      </c>
      <c r="E122" s="18">
        <v>0</v>
      </c>
      <c r="F122" s="18" t="s">
        <v>9</v>
      </c>
      <c r="G122" s="18">
        <v>30</v>
      </c>
      <c r="H122" s="22">
        <v>3.9945242984257359</v>
      </c>
      <c r="I122" s="22" t="s">
        <v>8</v>
      </c>
      <c r="J122" s="22" t="s">
        <v>8</v>
      </c>
      <c r="K122" s="22">
        <v>4.0136892539356603</v>
      </c>
      <c r="L122" s="22" t="s">
        <v>8</v>
      </c>
      <c r="M122" s="22" t="s">
        <v>8</v>
      </c>
      <c r="N122" s="22">
        <v>4.0109514031485283</v>
      </c>
      <c r="O122" s="22" t="s">
        <v>8</v>
      </c>
      <c r="P122" s="22" t="s">
        <v>8</v>
      </c>
      <c r="Q122" s="22" t="s">
        <v>8</v>
      </c>
      <c r="R122" s="22" t="s">
        <v>8</v>
      </c>
      <c r="S122" s="22" t="s">
        <v>8</v>
      </c>
      <c r="T122" s="30">
        <v>3</v>
      </c>
      <c r="U122" s="30">
        <v>14</v>
      </c>
      <c r="V122" s="20" t="s">
        <v>1</v>
      </c>
      <c r="W122" s="20">
        <v>5</v>
      </c>
      <c r="X122" s="20">
        <v>2</v>
      </c>
      <c r="Y122" s="5">
        <v>1</v>
      </c>
      <c r="Z122" s="24">
        <v>4</v>
      </c>
      <c r="AA122" s="23">
        <f t="shared" si="3"/>
        <v>2</v>
      </c>
      <c r="AB122" s="15">
        <v>0.42857142857142855</v>
      </c>
      <c r="AC122" s="15">
        <v>0.16666666666666666</v>
      </c>
      <c r="AD122" s="15">
        <v>0.16666666666666666</v>
      </c>
      <c r="AE122" s="15">
        <v>0.26300000000000001</v>
      </c>
      <c r="AF122" s="20">
        <v>5</v>
      </c>
      <c r="AG122" s="20" t="s">
        <v>8</v>
      </c>
      <c r="AH122" s="24">
        <v>19</v>
      </c>
      <c r="AI122" s="23">
        <f t="shared" si="4"/>
        <v>1</v>
      </c>
      <c r="AJ122" s="17">
        <v>5</v>
      </c>
      <c r="AK122" s="17">
        <v>6.75</v>
      </c>
      <c r="AL122" s="14">
        <v>11.75</v>
      </c>
      <c r="AM122" s="23" cm="1">
        <f t="array" ref="AM122">IF(OR(AN122:AZ122=""),"BLANK",IF(AND(AN122:AZ122&lt;9999999),1,IF(AND(AN122:AZ122="NA"),3,2)))</f>
        <v>1</v>
      </c>
      <c r="AN122" s="20">
        <v>6</v>
      </c>
      <c r="AO122" s="26">
        <v>2</v>
      </c>
      <c r="AP122" s="15">
        <v>3.5</v>
      </c>
      <c r="AQ122" s="15">
        <v>6.75</v>
      </c>
      <c r="AR122" s="15">
        <v>7</v>
      </c>
      <c r="AS122" s="26">
        <v>0</v>
      </c>
      <c r="AT122" s="26">
        <v>32717.5</v>
      </c>
      <c r="AU122" s="26">
        <v>5317.5</v>
      </c>
      <c r="AV122" s="26">
        <v>9415.25</v>
      </c>
      <c r="AW122" s="26">
        <v>0</v>
      </c>
      <c r="AX122" s="26">
        <v>0</v>
      </c>
      <c r="AY122" s="26">
        <v>59022.177777777797</v>
      </c>
      <c r="AZ122" s="26">
        <v>8422.6375000000007</v>
      </c>
      <c r="BA122" s="23">
        <f t="shared" si="5"/>
        <v>1</v>
      </c>
      <c r="BB122" s="24">
        <v>27</v>
      </c>
    </row>
    <row r="123" spans="1:54" x14ac:dyDescent="0.2">
      <c r="A123" s="5">
        <v>891</v>
      </c>
      <c r="B123" s="20" t="s">
        <v>71</v>
      </c>
      <c r="C123" s="18" t="s">
        <v>55</v>
      </c>
      <c r="D123" s="18">
        <v>5</v>
      </c>
      <c r="E123" s="18">
        <v>0</v>
      </c>
      <c r="F123" s="18" t="s">
        <v>9</v>
      </c>
      <c r="G123" s="18">
        <v>30</v>
      </c>
      <c r="H123" s="22">
        <v>4.213552361396304</v>
      </c>
      <c r="I123" s="22">
        <v>5.678302532511978</v>
      </c>
      <c r="J123" s="22">
        <v>9.8918548939082829</v>
      </c>
      <c r="K123" s="22" t="s">
        <v>8</v>
      </c>
      <c r="L123" s="22">
        <v>5.6919917864476384</v>
      </c>
      <c r="M123" s="22" t="s">
        <v>8</v>
      </c>
      <c r="N123" s="22">
        <v>4.2327173169062284</v>
      </c>
      <c r="O123" s="22">
        <v>5.6399726214921291</v>
      </c>
      <c r="P123" s="22">
        <v>9.8726899383983575</v>
      </c>
      <c r="Q123" s="22" t="s">
        <v>8</v>
      </c>
      <c r="R123" s="22" t="s">
        <v>8</v>
      </c>
      <c r="S123" s="22" t="s">
        <v>8</v>
      </c>
      <c r="T123" s="30">
        <v>6</v>
      </c>
      <c r="U123" s="30">
        <v>18</v>
      </c>
      <c r="V123" s="20" t="s">
        <v>1</v>
      </c>
      <c r="W123" s="20">
        <v>5</v>
      </c>
      <c r="X123" s="20">
        <v>2</v>
      </c>
      <c r="Y123" s="5">
        <v>1</v>
      </c>
      <c r="Z123" s="24">
        <v>4</v>
      </c>
      <c r="AA123" s="23">
        <f t="shared" si="3"/>
        <v>1</v>
      </c>
      <c r="AB123" s="15">
        <v>1</v>
      </c>
      <c r="AC123" s="15">
        <v>0.75</v>
      </c>
      <c r="AD123" s="15">
        <v>0.875</v>
      </c>
      <c r="AE123" s="15">
        <v>0.875</v>
      </c>
      <c r="AF123" s="20">
        <v>21</v>
      </c>
      <c r="AG123" s="20">
        <v>8.3699999999999992</v>
      </c>
      <c r="AH123" s="24">
        <v>24</v>
      </c>
      <c r="AI123" s="23">
        <f t="shared" si="4"/>
        <v>1</v>
      </c>
      <c r="AJ123" s="17">
        <v>11.75</v>
      </c>
      <c r="AK123" s="17">
        <v>9.75</v>
      </c>
      <c r="AL123" s="14">
        <v>21.5</v>
      </c>
      <c r="AM123" s="23" cm="1">
        <f t="array" ref="AM123">IF(OR(AN123:AZ123=""),"BLANK",IF(AND(AN123:AZ123&lt;9999999),1,IF(AND(AN123:AZ123="NA"),3,2)))</f>
        <v>1</v>
      </c>
      <c r="AN123" s="20">
        <v>10</v>
      </c>
      <c r="AO123" s="26">
        <v>2</v>
      </c>
      <c r="AP123" s="15">
        <v>3</v>
      </c>
      <c r="AQ123" s="15">
        <v>6.25</v>
      </c>
      <c r="AR123" s="15">
        <v>5</v>
      </c>
      <c r="AS123" s="26">
        <v>721</v>
      </c>
      <c r="AT123" s="26">
        <v>898</v>
      </c>
      <c r="AU123" s="26">
        <v>3077.25</v>
      </c>
      <c r="AV123" s="26">
        <v>12723.75</v>
      </c>
      <c r="AW123" s="26">
        <v>0</v>
      </c>
      <c r="AX123" s="26">
        <v>0</v>
      </c>
      <c r="AY123" s="26">
        <v>643.92013888890006</v>
      </c>
      <c r="AZ123" s="26">
        <v>2612.5500000000002</v>
      </c>
      <c r="BA123" s="23">
        <f t="shared" si="5"/>
        <v>1</v>
      </c>
      <c r="BB123" s="24">
        <v>39</v>
      </c>
    </row>
    <row r="124" spans="1:54" x14ac:dyDescent="0.2">
      <c r="A124" s="5">
        <v>898</v>
      </c>
      <c r="B124" s="20" t="s">
        <v>62</v>
      </c>
      <c r="C124" s="18" t="s">
        <v>54</v>
      </c>
      <c r="D124" s="18">
        <v>5</v>
      </c>
      <c r="E124" s="18">
        <v>0</v>
      </c>
      <c r="F124" s="18" t="s">
        <v>9</v>
      </c>
      <c r="G124" s="18">
        <v>30</v>
      </c>
      <c r="H124" s="22">
        <v>3.9835728952772076</v>
      </c>
      <c r="I124" s="22">
        <v>5.5770020533880906</v>
      </c>
      <c r="J124" s="22">
        <v>9.5605749486652982</v>
      </c>
      <c r="K124" s="22">
        <v>3.9835728952772076</v>
      </c>
      <c r="L124" s="22">
        <v>5.6618754277891856</v>
      </c>
      <c r="M124" s="22">
        <v>9.6454483230663932</v>
      </c>
      <c r="N124" s="22">
        <v>4.0410677618069819</v>
      </c>
      <c r="O124" s="22">
        <v>5.292265571526352</v>
      </c>
      <c r="P124" s="22">
        <v>9.3333333333333339</v>
      </c>
      <c r="Q124" s="22">
        <v>3.3374401095140316</v>
      </c>
      <c r="R124" s="22" t="s">
        <v>8</v>
      </c>
      <c r="S124" s="22" t="s">
        <v>8</v>
      </c>
      <c r="T124" s="30">
        <v>4</v>
      </c>
      <c r="U124" s="30">
        <v>16</v>
      </c>
      <c r="V124" s="20" t="s">
        <v>1</v>
      </c>
      <c r="W124" s="20">
        <v>5</v>
      </c>
      <c r="X124" s="20">
        <v>2</v>
      </c>
      <c r="Y124" s="5">
        <v>1</v>
      </c>
      <c r="Z124" s="24">
        <v>4</v>
      </c>
      <c r="AA124" s="23">
        <f t="shared" si="3"/>
        <v>1</v>
      </c>
      <c r="AB124" s="15">
        <v>1</v>
      </c>
      <c r="AC124" s="15">
        <v>0.875</v>
      </c>
      <c r="AD124" s="15">
        <v>0.875</v>
      </c>
      <c r="AE124" s="15">
        <v>0.91700000000000004</v>
      </c>
      <c r="AF124" s="20">
        <v>22</v>
      </c>
      <c r="AG124" s="20">
        <v>9.85</v>
      </c>
      <c r="AH124" s="24">
        <v>24</v>
      </c>
      <c r="AI124" s="23">
        <f t="shared" si="4"/>
        <v>1</v>
      </c>
      <c r="AJ124" s="17">
        <v>9.5</v>
      </c>
      <c r="AK124" s="17">
        <v>8.5</v>
      </c>
      <c r="AL124" s="14">
        <v>18</v>
      </c>
      <c r="AM124" s="23" cm="1">
        <f t="array" ref="AM124">IF(OR(AN124:AZ124=""),"BLANK",IF(AND(AN124:AZ124&lt;9999999),1,IF(AND(AN124:AZ124="NA"),3,2)))</f>
        <v>1</v>
      </c>
      <c r="AN124" s="20">
        <v>10</v>
      </c>
      <c r="AO124" s="26">
        <v>2</v>
      </c>
      <c r="AP124" s="15">
        <v>3</v>
      </c>
      <c r="AQ124" s="15">
        <v>4.5</v>
      </c>
      <c r="AR124" s="15">
        <v>5</v>
      </c>
      <c r="AS124" s="26">
        <v>2378.5</v>
      </c>
      <c r="AT124" s="26">
        <v>5613</v>
      </c>
      <c r="AU124" s="26">
        <v>18000.25</v>
      </c>
      <c r="AV124" s="26">
        <v>10158.25</v>
      </c>
      <c r="AW124" s="26">
        <v>0</v>
      </c>
      <c r="AX124" s="26">
        <v>0</v>
      </c>
      <c r="AY124" s="26">
        <v>0</v>
      </c>
      <c r="AZ124" s="26">
        <v>0</v>
      </c>
      <c r="BA124" s="23">
        <f t="shared" si="5"/>
        <v>1</v>
      </c>
      <c r="BB124" s="24">
        <v>40</v>
      </c>
    </row>
    <row r="125" spans="1:54" x14ac:dyDescent="0.2">
      <c r="A125" s="5">
        <v>927</v>
      </c>
      <c r="B125" s="20" t="s">
        <v>73</v>
      </c>
      <c r="C125" s="18" t="s">
        <v>54</v>
      </c>
      <c r="D125" s="18">
        <v>5</v>
      </c>
      <c r="E125" s="18">
        <v>0</v>
      </c>
      <c r="F125" s="18" t="s">
        <v>9</v>
      </c>
      <c r="G125" s="18">
        <v>30</v>
      </c>
      <c r="H125" s="22">
        <v>4.1232032854209448</v>
      </c>
      <c r="I125" s="22">
        <v>5.3661875427789187</v>
      </c>
      <c r="J125" s="22">
        <v>9.4893908281998627</v>
      </c>
      <c r="K125" s="22">
        <v>4.1232032854209448</v>
      </c>
      <c r="L125" s="22">
        <v>5.3661875427789187</v>
      </c>
      <c r="M125" s="22">
        <v>9.4893908281998627</v>
      </c>
      <c r="N125" s="22">
        <v>4.1204654346338128</v>
      </c>
      <c r="O125" s="22">
        <v>4.9774127310061598</v>
      </c>
      <c r="P125" s="22">
        <v>9.0978781656399725</v>
      </c>
      <c r="Q125" s="22" t="s">
        <v>8</v>
      </c>
      <c r="R125" s="22" t="s">
        <v>8</v>
      </c>
      <c r="S125" s="22" t="s">
        <v>8</v>
      </c>
      <c r="T125" s="30">
        <v>4</v>
      </c>
      <c r="U125" s="30">
        <v>16</v>
      </c>
      <c r="V125" s="20" t="s">
        <v>1</v>
      </c>
      <c r="W125" s="20">
        <v>5</v>
      </c>
      <c r="X125" s="20">
        <v>2</v>
      </c>
      <c r="Y125" s="5">
        <v>1</v>
      </c>
      <c r="Z125" s="24">
        <v>4</v>
      </c>
      <c r="AA125" s="23">
        <f t="shared" si="3"/>
        <v>1</v>
      </c>
      <c r="AB125" s="15">
        <v>1</v>
      </c>
      <c r="AC125" s="15">
        <v>1</v>
      </c>
      <c r="AD125" s="15">
        <v>1</v>
      </c>
      <c r="AE125" s="15">
        <v>1</v>
      </c>
      <c r="AF125" s="20">
        <v>24</v>
      </c>
      <c r="AG125" s="20">
        <v>8.73</v>
      </c>
      <c r="AH125" s="24">
        <v>24</v>
      </c>
      <c r="AI125" s="23">
        <f t="shared" si="4"/>
        <v>1</v>
      </c>
      <c r="AJ125" s="17">
        <v>11.75</v>
      </c>
      <c r="AK125" s="17">
        <v>9.5</v>
      </c>
      <c r="AL125" s="14">
        <v>21.25</v>
      </c>
      <c r="AM125" s="23" cm="1">
        <f t="array" ref="AM125">IF(OR(AN125:AZ125=""),"BLANK",IF(AND(AN125:AZ125&lt;9999999),1,IF(AND(AN125:AZ125="NA"),3,2)))</f>
        <v>1</v>
      </c>
      <c r="AN125" s="20">
        <v>12</v>
      </c>
      <c r="AO125" s="26">
        <v>2</v>
      </c>
      <c r="AP125" s="15">
        <v>3</v>
      </c>
      <c r="AQ125" s="15">
        <v>4</v>
      </c>
      <c r="AR125" s="15">
        <v>5</v>
      </c>
      <c r="AS125" s="26">
        <v>2771</v>
      </c>
      <c r="AT125" s="26">
        <v>2429.5</v>
      </c>
      <c r="AU125" s="26">
        <v>3865.75</v>
      </c>
      <c r="AV125" s="26">
        <v>11728.75</v>
      </c>
      <c r="AW125" s="26">
        <v>0</v>
      </c>
      <c r="AX125" s="26">
        <v>0</v>
      </c>
      <c r="AY125" s="26">
        <v>0</v>
      </c>
      <c r="AZ125" s="26">
        <v>0</v>
      </c>
      <c r="BA125" s="23">
        <f t="shared" si="5"/>
        <v>1</v>
      </c>
      <c r="BB125" s="24">
        <v>40</v>
      </c>
    </row>
    <row r="126" spans="1:54" x14ac:dyDescent="0.2">
      <c r="A126" s="5">
        <v>929</v>
      </c>
      <c r="B126" s="20" t="s">
        <v>79</v>
      </c>
      <c r="C126" s="18" t="s">
        <v>54</v>
      </c>
      <c r="D126" s="18">
        <v>5</v>
      </c>
      <c r="E126" s="18">
        <v>0</v>
      </c>
      <c r="F126" s="18" t="s">
        <v>9</v>
      </c>
      <c r="G126" s="18">
        <v>29</v>
      </c>
      <c r="H126" s="22">
        <v>4.0520191649555102</v>
      </c>
      <c r="I126" s="22" t="s">
        <v>8</v>
      </c>
      <c r="J126" s="22" t="s">
        <v>8</v>
      </c>
      <c r="K126" s="22">
        <v>4.0520191649555102</v>
      </c>
      <c r="L126" s="22" t="s">
        <v>8</v>
      </c>
      <c r="M126" s="22" t="s">
        <v>8</v>
      </c>
      <c r="N126" s="22">
        <v>4.0602327173169064</v>
      </c>
      <c r="O126" s="22" t="s">
        <v>8</v>
      </c>
      <c r="P126" s="22" t="s">
        <v>8</v>
      </c>
      <c r="Q126" s="22" t="s">
        <v>8</v>
      </c>
      <c r="R126" s="22" t="s">
        <v>8</v>
      </c>
      <c r="S126" s="22" t="s">
        <v>8</v>
      </c>
      <c r="T126" s="30">
        <v>4</v>
      </c>
      <c r="U126" s="30">
        <v>16</v>
      </c>
      <c r="V126" s="20" t="s">
        <v>1</v>
      </c>
      <c r="W126" s="20">
        <v>5</v>
      </c>
      <c r="X126" s="20">
        <v>2</v>
      </c>
      <c r="Y126" s="5">
        <v>1</v>
      </c>
      <c r="Z126" s="24">
        <v>4</v>
      </c>
      <c r="AA126" s="23">
        <f t="shared" si="3"/>
        <v>1</v>
      </c>
      <c r="AB126" s="15">
        <v>1</v>
      </c>
      <c r="AC126" s="15">
        <v>0.75</v>
      </c>
      <c r="AD126" s="15">
        <v>0.75</v>
      </c>
      <c r="AE126" s="15">
        <v>0.83299999999999996</v>
      </c>
      <c r="AF126" s="20">
        <v>20</v>
      </c>
      <c r="AG126" s="20">
        <v>3.72</v>
      </c>
      <c r="AH126" s="24">
        <v>24</v>
      </c>
      <c r="AI126" s="23">
        <f t="shared" si="4"/>
        <v>1</v>
      </c>
      <c r="AJ126" s="17">
        <v>5.75</v>
      </c>
      <c r="AK126" s="17">
        <v>9</v>
      </c>
      <c r="AL126" s="14">
        <v>14.75</v>
      </c>
      <c r="AM126" s="23" cm="1">
        <f t="array" ref="AM126">IF(OR(AN126:AZ126=""),"BLANK",IF(AND(AN126:AZ126&lt;9999999),1,IF(AND(AN126:AZ126="NA"),3,2)))</f>
        <v>1</v>
      </c>
      <c r="AN126" s="20">
        <v>8</v>
      </c>
      <c r="AO126" s="26">
        <v>2</v>
      </c>
      <c r="AP126" s="15">
        <v>3.5</v>
      </c>
      <c r="AQ126" s="15">
        <v>4.5</v>
      </c>
      <c r="AR126" s="15">
        <v>7.5</v>
      </c>
      <c r="AS126" s="26">
        <v>1322.5</v>
      </c>
      <c r="AT126" s="26">
        <v>7916</v>
      </c>
      <c r="AU126" s="26">
        <v>10501.5</v>
      </c>
      <c r="AV126" s="26">
        <v>5912.75</v>
      </c>
      <c r="AW126" s="26">
        <v>88.5</v>
      </c>
      <c r="AX126" s="26">
        <v>0</v>
      </c>
      <c r="AY126" s="26">
        <v>0</v>
      </c>
      <c r="AZ126" s="26">
        <v>1204.8020833333001</v>
      </c>
      <c r="BA126" s="23">
        <f t="shared" si="5"/>
        <v>1</v>
      </c>
      <c r="BB126" s="24">
        <v>38</v>
      </c>
    </row>
    <row r="127" spans="1:54" x14ac:dyDescent="0.2">
      <c r="A127" s="5">
        <v>934</v>
      </c>
      <c r="B127" s="20" t="s">
        <v>78</v>
      </c>
      <c r="C127" s="18" t="s">
        <v>54</v>
      </c>
      <c r="D127" s="18">
        <v>5</v>
      </c>
      <c r="E127" s="18">
        <v>0</v>
      </c>
      <c r="F127" s="18" t="s">
        <v>9</v>
      </c>
      <c r="G127" s="18">
        <v>30</v>
      </c>
      <c r="H127" s="22">
        <v>4.0273785078713207</v>
      </c>
      <c r="I127" s="22">
        <v>5.5195071868583163</v>
      </c>
      <c r="J127" s="22">
        <v>9.546885694729637</v>
      </c>
      <c r="K127" s="22">
        <v>4.0273785078713207</v>
      </c>
      <c r="L127" s="22">
        <v>5.5195071868583163</v>
      </c>
      <c r="M127" s="22">
        <v>9.546885694729637</v>
      </c>
      <c r="N127" s="22">
        <v>3.9726214921286789</v>
      </c>
      <c r="O127" s="22">
        <v>5.1964407939767279</v>
      </c>
      <c r="P127" s="22">
        <v>9.1690622861054081</v>
      </c>
      <c r="Q127" s="22">
        <v>3.2881587953456535</v>
      </c>
      <c r="R127" s="22">
        <v>6.4010951403148528</v>
      </c>
      <c r="S127" s="22">
        <v>9.6892539356605063</v>
      </c>
      <c r="T127" s="30">
        <v>3</v>
      </c>
      <c r="U127" s="30">
        <v>13</v>
      </c>
      <c r="V127" s="20" t="s">
        <v>1</v>
      </c>
      <c r="W127" s="20">
        <v>5</v>
      </c>
      <c r="X127" s="20">
        <v>2</v>
      </c>
      <c r="Y127" s="5">
        <v>1</v>
      </c>
      <c r="Z127" s="24">
        <v>4</v>
      </c>
      <c r="AA127" s="23">
        <f t="shared" si="3"/>
        <v>1</v>
      </c>
      <c r="AB127" s="15">
        <v>0.875</v>
      </c>
      <c r="AC127" s="15">
        <v>1</v>
      </c>
      <c r="AD127" s="15">
        <v>0.75</v>
      </c>
      <c r="AE127" s="15">
        <v>0.875</v>
      </c>
      <c r="AF127" s="20">
        <v>21</v>
      </c>
      <c r="AG127" s="20">
        <v>8.0500000000000007</v>
      </c>
      <c r="AH127" s="24">
        <v>24</v>
      </c>
      <c r="AI127" s="23">
        <f t="shared" si="4"/>
        <v>1</v>
      </c>
      <c r="AJ127" s="17">
        <v>7</v>
      </c>
      <c r="AK127" s="17">
        <v>11</v>
      </c>
      <c r="AL127" s="14">
        <v>18</v>
      </c>
      <c r="AM127" s="23" cm="1">
        <f t="array" ref="AM127">IF(OR(AN127:AZ127=""),"BLANK",IF(AND(AN127:AZ127&lt;9999999),1,IF(AND(AN127:AZ127="NA"),3,2)))</f>
        <v>1</v>
      </c>
      <c r="AN127" s="20">
        <v>9</v>
      </c>
      <c r="AO127" s="26">
        <v>2</v>
      </c>
      <c r="AP127" s="15">
        <v>3</v>
      </c>
      <c r="AQ127" s="15">
        <v>5.25</v>
      </c>
      <c r="AR127" s="15">
        <v>7.5</v>
      </c>
      <c r="AS127" s="26">
        <v>2746</v>
      </c>
      <c r="AT127" s="26">
        <v>5792</v>
      </c>
      <c r="AU127" s="26">
        <v>8581.5</v>
      </c>
      <c r="AV127" s="26">
        <v>28151.75</v>
      </c>
      <c r="AW127" s="26">
        <v>135.25</v>
      </c>
      <c r="AX127" s="26">
        <v>133.3333333333</v>
      </c>
      <c r="AY127" s="26">
        <v>8883.2430555556002</v>
      </c>
      <c r="AZ127" s="26">
        <v>3885.65</v>
      </c>
      <c r="BA127" s="23">
        <f t="shared" si="5"/>
        <v>1</v>
      </c>
      <c r="BB127" s="24">
        <v>39</v>
      </c>
    </row>
    <row r="128" spans="1:54" x14ac:dyDescent="0.2">
      <c r="A128" s="5">
        <v>935</v>
      </c>
      <c r="B128" s="20" t="s">
        <v>85</v>
      </c>
      <c r="C128" s="18" t="s">
        <v>55</v>
      </c>
      <c r="D128" s="18">
        <v>5</v>
      </c>
      <c r="E128" s="18">
        <v>0</v>
      </c>
      <c r="F128" s="18" t="s">
        <v>9</v>
      </c>
      <c r="G128" s="18">
        <v>28</v>
      </c>
      <c r="H128" s="22">
        <v>4.0136892539356603</v>
      </c>
      <c r="I128" s="22" t="s">
        <v>8</v>
      </c>
      <c r="J128" s="22" t="s">
        <v>8</v>
      </c>
      <c r="K128" s="22">
        <v>4.0109514031485283</v>
      </c>
      <c r="L128" s="22" t="s">
        <v>8</v>
      </c>
      <c r="M128" s="22" t="s">
        <v>8</v>
      </c>
      <c r="N128" s="22">
        <v>4.0027378507871321</v>
      </c>
      <c r="O128" s="22" t="s">
        <v>8</v>
      </c>
      <c r="P128" s="22" t="s">
        <v>8</v>
      </c>
      <c r="Q128" s="22">
        <v>3.2553045859000687</v>
      </c>
      <c r="R128" s="22" t="s">
        <v>8</v>
      </c>
      <c r="S128" s="22" t="s">
        <v>8</v>
      </c>
      <c r="T128" s="30">
        <v>5</v>
      </c>
      <c r="U128" s="30">
        <v>17</v>
      </c>
      <c r="V128" s="20" t="s">
        <v>1</v>
      </c>
      <c r="W128" s="20">
        <v>5</v>
      </c>
      <c r="X128" s="20">
        <v>2</v>
      </c>
      <c r="Y128" s="5">
        <v>1</v>
      </c>
      <c r="Z128" s="24">
        <v>4</v>
      </c>
      <c r="AA128" s="23">
        <f t="shared" si="3"/>
        <v>1</v>
      </c>
      <c r="AB128" s="15">
        <v>0.875</v>
      </c>
      <c r="AC128" s="15">
        <v>1</v>
      </c>
      <c r="AD128" s="15">
        <v>0.125</v>
      </c>
      <c r="AE128" s="15">
        <v>0.66700000000000004</v>
      </c>
      <c r="AF128" s="20">
        <v>16</v>
      </c>
      <c r="AG128" s="20">
        <v>6.42</v>
      </c>
      <c r="AH128" s="24">
        <v>24</v>
      </c>
      <c r="AI128" s="23">
        <f t="shared" si="4"/>
        <v>1</v>
      </c>
      <c r="AJ128" s="17">
        <v>5.25</v>
      </c>
      <c r="AK128" s="17">
        <v>4.5</v>
      </c>
      <c r="AL128" s="14">
        <v>9.75</v>
      </c>
      <c r="AM128" s="23" cm="1">
        <f t="array" ref="AM128">IF(OR(AN128:AZ128=""),"BLANK",IF(AND(AN128:AZ128&lt;9999999),1,IF(AND(AN128:AZ128="NA"),3,2)))</f>
        <v>1</v>
      </c>
      <c r="AN128" s="20">
        <v>7</v>
      </c>
      <c r="AO128" s="26">
        <v>2</v>
      </c>
      <c r="AP128" s="15">
        <v>3</v>
      </c>
      <c r="AQ128" s="15">
        <v>6.5</v>
      </c>
      <c r="AR128" s="15">
        <v>7.25</v>
      </c>
      <c r="AS128" s="26">
        <v>1244.5</v>
      </c>
      <c r="AT128" s="26">
        <v>9814</v>
      </c>
      <c r="AU128" s="26">
        <v>12986.75</v>
      </c>
      <c r="AV128" s="26">
        <v>14893.75</v>
      </c>
      <c r="AW128" s="26">
        <v>0</v>
      </c>
      <c r="AX128" s="26">
        <v>0</v>
      </c>
      <c r="AY128" s="26">
        <v>13112.6736111111</v>
      </c>
      <c r="AZ128" s="26">
        <v>0</v>
      </c>
      <c r="BA128" s="23">
        <f t="shared" si="5"/>
        <v>1</v>
      </c>
      <c r="BB128" s="24">
        <v>23</v>
      </c>
    </row>
    <row r="129" spans="1:54" x14ac:dyDescent="0.2">
      <c r="A129" s="5">
        <v>940</v>
      </c>
      <c r="B129" s="20" t="s">
        <v>70</v>
      </c>
      <c r="C129" s="18" t="s">
        <v>54</v>
      </c>
      <c r="D129" s="18">
        <v>5</v>
      </c>
      <c r="E129" s="18">
        <v>0</v>
      </c>
      <c r="F129" s="18" t="s">
        <v>9</v>
      </c>
      <c r="G129" s="18">
        <v>29</v>
      </c>
      <c r="H129" s="22">
        <v>4.0629705681040384</v>
      </c>
      <c r="I129" s="22">
        <v>5.3497604380561263</v>
      </c>
      <c r="J129" s="22">
        <v>9.4127310061601648</v>
      </c>
      <c r="K129" s="22">
        <v>4.0629705681040384</v>
      </c>
      <c r="L129" s="22">
        <v>5.3935660506502394</v>
      </c>
      <c r="M129" s="22">
        <v>9.4565366187542779</v>
      </c>
      <c r="N129" s="22">
        <v>4.0246406570841886</v>
      </c>
      <c r="O129" s="22">
        <v>5.075975359342916</v>
      </c>
      <c r="P129" s="22">
        <v>9.1006160164271055</v>
      </c>
      <c r="Q129" s="22">
        <v>3.57015742642026</v>
      </c>
      <c r="R129" s="22">
        <v>6.0862422997946615</v>
      </c>
      <c r="S129" s="22">
        <v>9.6563997262149215</v>
      </c>
      <c r="T129" s="30" t="s">
        <v>8</v>
      </c>
      <c r="U129" s="30" t="s">
        <v>8</v>
      </c>
      <c r="V129" s="20" t="s">
        <v>1</v>
      </c>
      <c r="W129" s="20">
        <v>5</v>
      </c>
      <c r="X129" s="20">
        <v>2</v>
      </c>
      <c r="Y129" s="5">
        <v>1</v>
      </c>
      <c r="Z129" s="24">
        <v>4</v>
      </c>
      <c r="AA129" s="23">
        <f t="shared" si="3"/>
        <v>1</v>
      </c>
      <c r="AB129" s="15">
        <v>1</v>
      </c>
      <c r="AC129" s="15">
        <v>1</v>
      </c>
      <c r="AD129" s="15">
        <v>0.625</v>
      </c>
      <c r="AE129" s="15">
        <v>0.875</v>
      </c>
      <c r="AF129" s="20">
        <v>21</v>
      </c>
      <c r="AG129" s="20">
        <v>4.9800000000000004</v>
      </c>
      <c r="AH129" s="24">
        <v>24</v>
      </c>
      <c r="AI129" s="23">
        <f t="shared" si="4"/>
        <v>1</v>
      </c>
      <c r="AJ129" s="17">
        <v>8</v>
      </c>
      <c r="AK129" s="17">
        <v>9.5</v>
      </c>
      <c r="AL129" s="14">
        <v>17.5</v>
      </c>
      <c r="AM129" s="23" cm="1">
        <f t="array" ref="AM129">IF(OR(AN129:AZ129=""),"BLANK",IF(AND(AN129:AZ129&lt;9999999),1,IF(AND(AN129:AZ129="NA"),3,2)))</f>
        <v>1</v>
      </c>
      <c r="AN129" s="20">
        <v>10</v>
      </c>
      <c r="AO129" s="26">
        <v>2</v>
      </c>
      <c r="AP129" s="15">
        <v>3</v>
      </c>
      <c r="AQ129" s="15">
        <v>5</v>
      </c>
      <c r="AR129" s="15">
        <v>5.5</v>
      </c>
      <c r="AS129" s="26">
        <v>390.5</v>
      </c>
      <c r="AT129" s="26">
        <v>12555.5</v>
      </c>
      <c r="AU129" s="26">
        <v>9874.5</v>
      </c>
      <c r="AV129" s="26">
        <v>16030.5</v>
      </c>
      <c r="AW129" s="26">
        <v>0</v>
      </c>
      <c r="AX129" s="26">
        <v>0</v>
      </c>
      <c r="AY129" s="26">
        <v>968.875</v>
      </c>
      <c r="AZ129" s="26">
        <v>603.61428571429997</v>
      </c>
      <c r="BA129" s="23">
        <f t="shared" si="5"/>
        <v>1</v>
      </c>
      <c r="BB129" s="24">
        <v>37</v>
      </c>
    </row>
    <row r="130" spans="1:54" x14ac:dyDescent="0.2">
      <c r="A130" s="5">
        <v>943</v>
      </c>
      <c r="B130" s="20" t="s">
        <v>66</v>
      </c>
      <c r="C130" s="18" t="s">
        <v>55</v>
      </c>
      <c r="D130" s="18">
        <v>5</v>
      </c>
      <c r="E130" s="18">
        <v>0</v>
      </c>
      <c r="F130" s="18" t="s">
        <v>9</v>
      </c>
      <c r="G130" s="18">
        <v>30</v>
      </c>
      <c r="H130" s="22">
        <v>4.301163586584531</v>
      </c>
      <c r="I130" s="22" t="s">
        <v>8</v>
      </c>
      <c r="J130" s="22" t="s">
        <v>8</v>
      </c>
      <c r="K130" s="22">
        <v>4.301163586584531</v>
      </c>
      <c r="L130" s="22" t="s">
        <v>8</v>
      </c>
      <c r="M130" s="22" t="s">
        <v>8</v>
      </c>
      <c r="N130" s="22">
        <v>3.9698836413415468</v>
      </c>
      <c r="O130" s="22" t="s">
        <v>8</v>
      </c>
      <c r="P130" s="22" t="s">
        <v>8</v>
      </c>
      <c r="Q130" s="22">
        <v>3.3511293634496919</v>
      </c>
      <c r="R130" s="22" t="s">
        <v>8</v>
      </c>
      <c r="S130" s="22" t="s">
        <v>8</v>
      </c>
      <c r="T130" s="30">
        <v>3</v>
      </c>
      <c r="U130" s="30">
        <v>14</v>
      </c>
      <c r="V130" s="20" t="s">
        <v>1</v>
      </c>
      <c r="W130" s="20">
        <v>5</v>
      </c>
      <c r="X130" s="20">
        <v>2</v>
      </c>
      <c r="Y130" s="5">
        <v>1</v>
      </c>
      <c r="Z130" s="24">
        <v>4</v>
      </c>
      <c r="AA130" s="23">
        <f t="shared" ref="AA130:AA193" si="6">IF(AND(ISNUMBER(AB130), ISNUMBER(AC130),ISNUMBER(AD130), ISNUMBER(AE130), ISNUMBER(AF130),ISNUMBER(AG130), ISNUMBER(AH130)), 1, IF(AND(AB130="NA", AC130="NA", AD130="na", AE130="na", AF130="na", AG130="na", AH130="na"), 3, 2))</f>
        <v>1</v>
      </c>
      <c r="AB130" s="15">
        <v>1</v>
      </c>
      <c r="AC130" s="15">
        <v>1</v>
      </c>
      <c r="AD130" s="15">
        <v>0.75</v>
      </c>
      <c r="AE130" s="15">
        <v>0.91700000000000004</v>
      </c>
      <c r="AF130" s="20">
        <v>22</v>
      </c>
      <c r="AG130" s="20">
        <v>8.9</v>
      </c>
      <c r="AH130" s="24">
        <v>24</v>
      </c>
      <c r="AI130" s="23">
        <f t="shared" ref="AI130:AI193" si="7">IF(AND(ISNUMBER(AJ130), ISNUMBER(AK130),ISNUMBER(AL130)), 1, IF(AND(AJ130="NA", AK130="NA", AL130="na"), 3, 2))</f>
        <v>1</v>
      </c>
      <c r="AJ130" s="17">
        <v>10</v>
      </c>
      <c r="AK130" s="17">
        <v>9.75</v>
      </c>
      <c r="AL130" s="14">
        <v>19.75</v>
      </c>
      <c r="AM130" s="23" cm="1">
        <f t="array" ref="AM130">IF(OR(AN130:AZ130=""),"BLANK",IF(AND(AN130:AZ130&lt;9999999),1,IF(AND(AN130:AZ130="NA"),3,2)))</f>
        <v>1</v>
      </c>
      <c r="AN130" s="20">
        <v>11</v>
      </c>
      <c r="AO130" s="26">
        <v>2</v>
      </c>
      <c r="AP130" s="15">
        <v>3</v>
      </c>
      <c r="AQ130" s="15">
        <v>4.25</v>
      </c>
      <c r="AR130" s="15">
        <v>5</v>
      </c>
      <c r="AS130" s="26">
        <v>3740</v>
      </c>
      <c r="AT130" s="26">
        <v>7361</v>
      </c>
      <c r="AU130" s="26">
        <v>7248</v>
      </c>
      <c r="AV130" s="26">
        <v>17000.5</v>
      </c>
      <c r="AW130" s="26">
        <v>0</v>
      </c>
      <c r="AX130" s="26">
        <v>0</v>
      </c>
      <c r="AY130" s="26">
        <v>705.22500000000002</v>
      </c>
      <c r="AZ130" s="26">
        <v>643.04999999999995</v>
      </c>
      <c r="BA130" s="23">
        <f t="shared" si="5"/>
        <v>1</v>
      </c>
      <c r="BB130" s="24">
        <v>41</v>
      </c>
    </row>
    <row r="131" spans="1:54" x14ac:dyDescent="0.2">
      <c r="A131" s="5">
        <v>946</v>
      </c>
      <c r="B131" s="20" t="s">
        <v>66</v>
      </c>
      <c r="C131" s="18" t="s">
        <v>55</v>
      </c>
      <c r="D131" s="18">
        <v>5</v>
      </c>
      <c r="E131" s="18">
        <v>0</v>
      </c>
      <c r="F131" s="18" t="s">
        <v>9</v>
      </c>
      <c r="G131" s="18">
        <v>29</v>
      </c>
      <c r="H131" s="22">
        <v>4.0301163586584527</v>
      </c>
      <c r="I131" s="22">
        <v>5.3059548254620124</v>
      </c>
      <c r="J131" s="22">
        <v>9.3360711841204651</v>
      </c>
      <c r="K131" s="22">
        <v>4.0301163586584527</v>
      </c>
      <c r="L131" s="22">
        <v>5.3059548254620124</v>
      </c>
      <c r="M131" s="22">
        <v>9.3360711841204651</v>
      </c>
      <c r="N131" s="22">
        <v>4.0082135523613962</v>
      </c>
      <c r="O131" s="22">
        <v>5.2703627652292946</v>
      </c>
      <c r="P131" s="22">
        <v>9.2785763175906908</v>
      </c>
      <c r="Q131" s="22" t="s">
        <v>8</v>
      </c>
      <c r="R131" s="22" t="s">
        <v>8</v>
      </c>
      <c r="S131" s="22" t="s">
        <v>8</v>
      </c>
      <c r="T131" s="30">
        <v>3</v>
      </c>
      <c r="U131" s="30">
        <v>14</v>
      </c>
      <c r="V131" s="20" t="s">
        <v>1</v>
      </c>
      <c r="W131" s="20">
        <v>5</v>
      </c>
      <c r="X131" s="20">
        <v>2</v>
      </c>
      <c r="Y131" s="5">
        <v>1</v>
      </c>
      <c r="Z131" s="24">
        <v>4</v>
      </c>
      <c r="AA131" s="23">
        <f t="shared" si="6"/>
        <v>1</v>
      </c>
      <c r="AB131" s="15">
        <v>1</v>
      </c>
      <c r="AC131" s="15">
        <v>1</v>
      </c>
      <c r="AD131" s="15">
        <v>0.875</v>
      </c>
      <c r="AE131" s="15">
        <v>0.95799999999999996</v>
      </c>
      <c r="AF131" s="20">
        <v>23</v>
      </c>
      <c r="AG131" s="20">
        <v>10</v>
      </c>
      <c r="AH131" s="24">
        <v>24</v>
      </c>
      <c r="AI131" s="23">
        <f t="shared" si="7"/>
        <v>1</v>
      </c>
      <c r="AJ131" s="17">
        <v>14</v>
      </c>
      <c r="AK131" s="17">
        <v>13</v>
      </c>
      <c r="AL131" s="14">
        <v>27</v>
      </c>
      <c r="AM131" s="23" cm="1">
        <f t="array" ref="AM131">IF(OR(AN131:AZ131=""),"BLANK",IF(AND(AN131:AZ131&lt;9999999),1,IF(AND(AN131:AZ131="NA"),3,2)))</f>
        <v>1</v>
      </c>
      <c r="AN131" s="20">
        <v>11</v>
      </c>
      <c r="AO131" s="26">
        <v>2</v>
      </c>
      <c r="AP131" s="15">
        <v>3</v>
      </c>
      <c r="AQ131" s="15">
        <v>4</v>
      </c>
      <c r="AR131" s="15">
        <v>5.25</v>
      </c>
      <c r="AS131" s="26">
        <v>2305.5</v>
      </c>
      <c r="AT131" s="26">
        <v>3220</v>
      </c>
      <c r="AU131" s="26">
        <v>4891.5</v>
      </c>
      <c r="AV131" s="26">
        <v>18582.5</v>
      </c>
      <c r="AW131" s="26">
        <v>0</v>
      </c>
      <c r="AX131" s="26">
        <v>0</v>
      </c>
      <c r="AY131" s="26">
        <v>0</v>
      </c>
      <c r="AZ131" s="26">
        <v>0</v>
      </c>
      <c r="BA131" s="23">
        <f t="shared" ref="BA131:BA194" si="8">IF(BB131="NA", 3,1)</f>
        <v>1</v>
      </c>
      <c r="BB131" s="24">
        <v>40</v>
      </c>
    </row>
    <row r="132" spans="1:54" x14ac:dyDescent="0.2">
      <c r="A132" s="5">
        <v>953</v>
      </c>
      <c r="B132" s="20" t="s">
        <v>83</v>
      </c>
      <c r="C132" s="18" t="s">
        <v>54</v>
      </c>
      <c r="D132" s="18">
        <v>4</v>
      </c>
      <c r="E132" s="18">
        <v>0</v>
      </c>
      <c r="F132" s="18" t="s">
        <v>9</v>
      </c>
      <c r="G132" s="18">
        <v>28</v>
      </c>
      <c r="H132" s="22">
        <v>3.7754962354551678</v>
      </c>
      <c r="I132" s="22" t="s">
        <v>8</v>
      </c>
      <c r="J132" s="22" t="s">
        <v>8</v>
      </c>
      <c r="K132" s="22" t="s">
        <v>8</v>
      </c>
      <c r="L132" s="22" t="s">
        <v>8</v>
      </c>
      <c r="M132" s="22" t="s">
        <v>8</v>
      </c>
      <c r="N132" s="22">
        <v>3.893223819301848</v>
      </c>
      <c r="O132" s="22" t="s">
        <v>8</v>
      </c>
      <c r="P132" s="22" t="s">
        <v>8</v>
      </c>
      <c r="Q132" s="22">
        <v>3.3127994524298425</v>
      </c>
      <c r="R132" s="22" t="s">
        <v>8</v>
      </c>
      <c r="S132" s="22" t="s">
        <v>8</v>
      </c>
      <c r="T132" s="30">
        <v>3</v>
      </c>
      <c r="U132" s="30">
        <v>12</v>
      </c>
      <c r="V132" s="20" t="s">
        <v>1</v>
      </c>
      <c r="W132" s="20">
        <v>5</v>
      </c>
      <c r="X132" s="20">
        <v>2</v>
      </c>
      <c r="Y132" s="5">
        <v>1</v>
      </c>
      <c r="Z132" s="24">
        <v>4</v>
      </c>
      <c r="AA132" s="23">
        <f t="shared" si="6"/>
        <v>1</v>
      </c>
      <c r="AB132" s="15">
        <v>0.75</v>
      </c>
      <c r="AC132" s="15">
        <v>0.5</v>
      </c>
      <c r="AD132" s="15">
        <v>0.125</v>
      </c>
      <c r="AE132" s="15">
        <v>0.45800000000000002</v>
      </c>
      <c r="AF132" s="20">
        <v>11</v>
      </c>
      <c r="AG132" s="20">
        <v>9.3800000000000008</v>
      </c>
      <c r="AH132" s="24">
        <v>24</v>
      </c>
      <c r="AI132" s="23">
        <f t="shared" si="7"/>
        <v>1</v>
      </c>
      <c r="AJ132" s="17">
        <v>0.5</v>
      </c>
      <c r="AK132" s="17">
        <v>1</v>
      </c>
      <c r="AL132" s="14">
        <v>1.5</v>
      </c>
      <c r="AM132" s="23" cm="1">
        <f t="array" ref="AM132">IF(OR(AN132:AZ132=""),"BLANK",IF(AND(AN132:AZ132&lt;9999999),1,IF(AND(AN132:AZ132="NA"),3,2)))</f>
        <v>1</v>
      </c>
      <c r="AN132" s="20">
        <v>7</v>
      </c>
      <c r="AO132" s="26">
        <v>2</v>
      </c>
      <c r="AP132" s="15">
        <v>3</v>
      </c>
      <c r="AQ132" s="15">
        <v>6</v>
      </c>
      <c r="AR132" s="15">
        <v>8.75</v>
      </c>
      <c r="AS132" s="26">
        <v>4869.5</v>
      </c>
      <c r="AT132" s="26">
        <v>5614</v>
      </c>
      <c r="AU132" s="26">
        <v>1027</v>
      </c>
      <c r="AV132" s="26">
        <v>8989</v>
      </c>
      <c r="AW132" s="26">
        <v>0</v>
      </c>
      <c r="AX132" s="26">
        <v>0</v>
      </c>
      <c r="AY132" s="26">
        <v>3669.4404761904998</v>
      </c>
      <c r="AZ132" s="26">
        <v>4839.4166666666997</v>
      </c>
      <c r="BA132" s="23">
        <f t="shared" si="8"/>
        <v>1</v>
      </c>
      <c r="BB132" s="24">
        <v>14</v>
      </c>
    </row>
    <row r="133" spans="1:54" x14ac:dyDescent="0.2">
      <c r="A133" s="5">
        <v>961</v>
      </c>
      <c r="B133" s="20" t="s">
        <v>72</v>
      </c>
      <c r="C133" s="18" t="s">
        <v>55</v>
      </c>
      <c r="D133" s="18">
        <v>5</v>
      </c>
      <c r="E133" s="18">
        <v>0</v>
      </c>
      <c r="F133" s="18" t="s">
        <v>9</v>
      </c>
      <c r="G133" s="18">
        <v>30</v>
      </c>
      <c r="H133" s="22">
        <v>4.1998631074606436</v>
      </c>
      <c r="I133" s="22" t="s">
        <v>8</v>
      </c>
      <c r="J133" s="22" t="s">
        <v>8</v>
      </c>
      <c r="K133" s="22">
        <v>4.1998631074606436</v>
      </c>
      <c r="L133" s="22" t="s">
        <v>8</v>
      </c>
      <c r="M133" s="22" t="s">
        <v>8</v>
      </c>
      <c r="N133" s="22">
        <v>4.1834360027378512</v>
      </c>
      <c r="O133" s="22" t="s">
        <v>8</v>
      </c>
      <c r="P133" s="22" t="s">
        <v>8</v>
      </c>
      <c r="Q133" s="22" t="s">
        <v>8</v>
      </c>
      <c r="R133" s="22" t="s">
        <v>8</v>
      </c>
      <c r="S133" s="22" t="s">
        <v>8</v>
      </c>
      <c r="T133" s="30">
        <v>3</v>
      </c>
      <c r="U133" s="30">
        <v>15</v>
      </c>
      <c r="V133" s="20" t="s">
        <v>1</v>
      </c>
      <c r="W133" s="20">
        <v>5</v>
      </c>
      <c r="X133" s="20">
        <v>2</v>
      </c>
      <c r="Y133" s="5">
        <v>1</v>
      </c>
      <c r="Z133" s="24">
        <v>4</v>
      </c>
      <c r="AA133" s="23">
        <f t="shared" si="6"/>
        <v>1</v>
      </c>
      <c r="AB133" s="15">
        <v>1</v>
      </c>
      <c r="AC133" s="15">
        <v>1</v>
      </c>
      <c r="AD133" s="15">
        <v>1</v>
      </c>
      <c r="AE133" s="15">
        <v>1</v>
      </c>
      <c r="AF133" s="20">
        <v>24</v>
      </c>
      <c r="AG133" s="20">
        <v>10.73</v>
      </c>
      <c r="AH133" s="24">
        <v>24</v>
      </c>
      <c r="AI133" s="23">
        <f t="shared" si="7"/>
        <v>1</v>
      </c>
      <c r="AJ133" s="17">
        <v>13.75</v>
      </c>
      <c r="AK133" s="17">
        <v>10.5</v>
      </c>
      <c r="AL133" s="14">
        <v>24.25</v>
      </c>
      <c r="AM133" s="23" cm="1">
        <f t="array" ref="AM133">IF(OR(AN133:AZ133=""),"BLANK",IF(AND(AN133:AZ133&lt;9999999),1,IF(AND(AN133:AZ133="NA"),3,2)))</f>
        <v>1</v>
      </c>
      <c r="AN133" s="20">
        <v>12</v>
      </c>
      <c r="AO133" s="26">
        <v>2</v>
      </c>
      <c r="AP133" s="15">
        <v>3</v>
      </c>
      <c r="AQ133" s="15">
        <v>4</v>
      </c>
      <c r="AR133" s="15">
        <v>5</v>
      </c>
      <c r="AS133" s="26">
        <v>1029</v>
      </c>
      <c r="AT133" s="26">
        <v>4666.5</v>
      </c>
      <c r="AU133" s="26">
        <v>8027</v>
      </c>
      <c r="AV133" s="26">
        <v>15614.5</v>
      </c>
      <c r="AW133" s="26">
        <v>0</v>
      </c>
      <c r="AX133" s="26">
        <v>0</v>
      </c>
      <c r="AY133" s="26">
        <v>0</v>
      </c>
      <c r="AZ133" s="26">
        <v>0</v>
      </c>
      <c r="BA133" s="23">
        <f t="shared" si="8"/>
        <v>1</v>
      </c>
      <c r="BB133" s="24">
        <v>41</v>
      </c>
    </row>
    <row r="134" spans="1:54" x14ac:dyDescent="0.2">
      <c r="A134" s="5">
        <v>965</v>
      </c>
      <c r="B134" s="20" t="s">
        <v>78</v>
      </c>
      <c r="C134" s="18" t="s">
        <v>54</v>
      </c>
      <c r="D134" s="18">
        <v>5</v>
      </c>
      <c r="E134" s="18">
        <v>0</v>
      </c>
      <c r="F134" s="18" t="s">
        <v>9</v>
      </c>
      <c r="G134" s="18">
        <v>30</v>
      </c>
      <c r="H134" s="22">
        <v>4.0520191649555102</v>
      </c>
      <c r="I134" s="22" t="s">
        <v>8</v>
      </c>
      <c r="J134" s="22" t="s">
        <v>8</v>
      </c>
      <c r="K134" s="22">
        <v>4.0520191649555102</v>
      </c>
      <c r="L134" s="22" t="s">
        <v>8</v>
      </c>
      <c r="M134" s="22" t="s">
        <v>8</v>
      </c>
      <c r="N134" s="22" t="s">
        <v>8</v>
      </c>
      <c r="O134" s="22" t="s">
        <v>8</v>
      </c>
      <c r="P134" s="22" t="s">
        <v>8</v>
      </c>
      <c r="Q134" s="22" t="s">
        <v>8</v>
      </c>
      <c r="R134" s="22" t="s">
        <v>8</v>
      </c>
      <c r="S134" s="22" t="s">
        <v>8</v>
      </c>
      <c r="T134" s="30">
        <v>7</v>
      </c>
      <c r="U134" s="30">
        <v>21</v>
      </c>
      <c r="V134" s="20" t="s">
        <v>1</v>
      </c>
      <c r="W134" s="20">
        <v>5</v>
      </c>
      <c r="X134" s="20">
        <v>2</v>
      </c>
      <c r="Y134" s="5">
        <v>1</v>
      </c>
      <c r="Z134" s="24">
        <v>4</v>
      </c>
      <c r="AA134" s="23">
        <f t="shared" si="6"/>
        <v>1</v>
      </c>
      <c r="AB134" s="15">
        <v>1</v>
      </c>
      <c r="AC134" s="15">
        <v>0.875</v>
      </c>
      <c r="AD134" s="15">
        <v>0.875</v>
      </c>
      <c r="AE134" s="15">
        <v>0.91700000000000004</v>
      </c>
      <c r="AF134" s="20">
        <v>22</v>
      </c>
      <c r="AG134" s="20">
        <v>6.8</v>
      </c>
      <c r="AH134" s="24">
        <v>24</v>
      </c>
      <c r="AI134" s="23">
        <f t="shared" si="7"/>
        <v>1</v>
      </c>
      <c r="AJ134" s="17">
        <v>8</v>
      </c>
      <c r="AK134" s="17">
        <v>7.75</v>
      </c>
      <c r="AL134" s="14">
        <v>15.75</v>
      </c>
      <c r="AM134" s="23" cm="1">
        <f t="array" ref="AM134">IF(OR(AN134:AZ134=""),"BLANK",IF(AND(AN134:AZ134&lt;9999999),1,IF(AND(AN134:AZ134="NA"),3,2)))</f>
        <v>1</v>
      </c>
      <c r="AN134" s="20">
        <v>6</v>
      </c>
      <c r="AO134" s="26">
        <v>2</v>
      </c>
      <c r="AP134" s="15">
        <v>3</v>
      </c>
      <c r="AQ134" s="15">
        <v>5.5</v>
      </c>
      <c r="AR134" s="15">
        <v>10</v>
      </c>
      <c r="AS134" s="26">
        <v>692.5</v>
      </c>
      <c r="AT134" s="26">
        <v>3794</v>
      </c>
      <c r="AU134" s="26">
        <v>5164</v>
      </c>
      <c r="AV134" s="26">
        <v>11117</v>
      </c>
      <c r="AW134" s="26">
        <v>16.25</v>
      </c>
      <c r="AX134" s="26">
        <v>0</v>
      </c>
      <c r="AY134" s="26">
        <v>3450.7180555556001</v>
      </c>
      <c r="AZ134" s="26">
        <v>4305.2604166666997</v>
      </c>
      <c r="BA134" s="23">
        <f t="shared" si="8"/>
        <v>1</v>
      </c>
      <c r="BB134" s="24">
        <v>35</v>
      </c>
    </row>
    <row r="135" spans="1:54" x14ac:dyDescent="0.2">
      <c r="A135" s="5">
        <v>974</v>
      </c>
      <c r="B135" s="20" t="s">
        <v>66</v>
      </c>
      <c r="C135" s="18" t="s">
        <v>55</v>
      </c>
      <c r="D135" s="18">
        <v>5</v>
      </c>
      <c r="E135" s="18">
        <v>0</v>
      </c>
      <c r="F135" s="18" t="s">
        <v>9</v>
      </c>
      <c r="G135" s="18">
        <v>30</v>
      </c>
      <c r="H135" s="22">
        <v>4.0876112251882271</v>
      </c>
      <c r="I135" s="22" t="s">
        <v>8</v>
      </c>
      <c r="J135" s="22" t="s">
        <v>8</v>
      </c>
      <c r="K135" s="22">
        <v>4.1505817932922655</v>
      </c>
      <c r="L135" s="22" t="s">
        <v>8</v>
      </c>
      <c r="M135" s="22" t="s">
        <v>8</v>
      </c>
      <c r="N135" s="22">
        <v>4.043805612594114</v>
      </c>
      <c r="O135" s="22">
        <v>4.9418206707734429</v>
      </c>
      <c r="P135" s="22">
        <v>8.9856262833675569</v>
      </c>
      <c r="Q135" s="22" t="s">
        <v>8</v>
      </c>
      <c r="R135" s="22" t="s">
        <v>8</v>
      </c>
      <c r="S135" s="22" t="s">
        <v>8</v>
      </c>
      <c r="T135" s="30" t="s">
        <v>8</v>
      </c>
      <c r="U135" s="30" t="s">
        <v>8</v>
      </c>
      <c r="V135" s="20" t="s">
        <v>1</v>
      </c>
      <c r="W135" s="20">
        <v>5</v>
      </c>
      <c r="X135" s="20">
        <v>2</v>
      </c>
      <c r="Y135" s="5">
        <v>1</v>
      </c>
      <c r="Z135" s="24">
        <v>4</v>
      </c>
      <c r="AA135" s="23">
        <f t="shared" si="6"/>
        <v>1</v>
      </c>
      <c r="AB135" s="15">
        <v>1</v>
      </c>
      <c r="AC135" s="15">
        <v>0.75</v>
      </c>
      <c r="AD135" s="15">
        <v>0.625</v>
      </c>
      <c r="AE135" s="15">
        <v>0.79200000000000004</v>
      </c>
      <c r="AF135" s="20">
        <v>19</v>
      </c>
      <c r="AG135" s="20">
        <v>8.9700000000000006</v>
      </c>
      <c r="AH135" s="24">
        <v>24</v>
      </c>
      <c r="AI135" s="23">
        <f t="shared" si="7"/>
        <v>1</v>
      </c>
      <c r="AJ135" s="17">
        <v>13</v>
      </c>
      <c r="AK135" s="17">
        <v>13</v>
      </c>
      <c r="AL135" s="14">
        <v>26</v>
      </c>
      <c r="AM135" s="23" cm="1">
        <f t="array" ref="AM135">IF(OR(AN135:AZ135=""),"BLANK",IF(AND(AN135:AZ135&lt;9999999),1,IF(AND(AN135:AZ135="NA"),3,2)))</f>
        <v>1</v>
      </c>
      <c r="AN135" s="20">
        <v>7</v>
      </c>
      <c r="AO135" s="26">
        <v>2</v>
      </c>
      <c r="AP135" s="15">
        <v>3</v>
      </c>
      <c r="AQ135" s="15">
        <v>4.25</v>
      </c>
      <c r="AR135" s="15">
        <v>9</v>
      </c>
      <c r="AS135" s="26">
        <v>1429.5</v>
      </c>
      <c r="AT135" s="26">
        <v>7019.5</v>
      </c>
      <c r="AU135" s="26">
        <v>8863.25</v>
      </c>
      <c r="AV135" s="26">
        <v>4800.25</v>
      </c>
      <c r="AW135" s="26">
        <v>0</v>
      </c>
      <c r="AX135" s="26">
        <v>0</v>
      </c>
      <c r="AY135" s="26">
        <v>486.92500000000001</v>
      </c>
      <c r="AZ135" s="26">
        <v>2242.6615259740001</v>
      </c>
      <c r="BA135" s="23">
        <f t="shared" si="8"/>
        <v>1</v>
      </c>
      <c r="BB135" s="24">
        <v>35</v>
      </c>
    </row>
    <row r="136" spans="1:54" x14ac:dyDescent="0.2">
      <c r="A136" s="5">
        <v>976</v>
      </c>
      <c r="B136" s="20" t="s">
        <v>66</v>
      </c>
      <c r="C136" s="18" t="s">
        <v>54</v>
      </c>
      <c r="D136" s="18">
        <v>5</v>
      </c>
      <c r="E136" s="18">
        <v>0</v>
      </c>
      <c r="F136" s="18" t="s">
        <v>9</v>
      </c>
      <c r="G136" s="18">
        <v>29</v>
      </c>
      <c r="H136" s="22">
        <v>3.9698836413415468</v>
      </c>
      <c r="I136" s="22">
        <v>5.4948665297741277</v>
      </c>
      <c r="J136" s="22">
        <v>9.464750171115675</v>
      </c>
      <c r="K136" s="22">
        <v>3.9698836413415468</v>
      </c>
      <c r="L136" s="22">
        <v>5.4948665297741277</v>
      </c>
      <c r="M136" s="22">
        <v>9.464750171115675</v>
      </c>
      <c r="N136" s="22">
        <v>4.0301163586584527</v>
      </c>
      <c r="O136" s="22">
        <v>5.0020533880903493</v>
      </c>
      <c r="P136" s="22">
        <v>9.0321697467488029</v>
      </c>
      <c r="Q136" s="22">
        <v>3.3675564681724848</v>
      </c>
      <c r="R136" s="22">
        <v>5.9274469541409998</v>
      </c>
      <c r="S136" s="22">
        <v>9.2950034223134832</v>
      </c>
      <c r="T136" s="30">
        <v>3</v>
      </c>
      <c r="U136" s="30">
        <v>13</v>
      </c>
      <c r="V136" s="20" t="s">
        <v>1</v>
      </c>
      <c r="W136" s="20">
        <v>5</v>
      </c>
      <c r="X136" s="20">
        <v>2</v>
      </c>
      <c r="Y136" s="5">
        <v>1</v>
      </c>
      <c r="Z136" s="24">
        <v>4</v>
      </c>
      <c r="AA136" s="23">
        <f t="shared" si="6"/>
        <v>1</v>
      </c>
      <c r="AB136" s="15">
        <v>1</v>
      </c>
      <c r="AC136" s="15">
        <v>0.875</v>
      </c>
      <c r="AD136" s="15">
        <v>0.625</v>
      </c>
      <c r="AE136" s="15">
        <v>0.83299999999999996</v>
      </c>
      <c r="AF136" s="20">
        <v>20</v>
      </c>
      <c r="AG136" s="20">
        <v>5.73</v>
      </c>
      <c r="AH136" s="24">
        <v>24</v>
      </c>
      <c r="AI136" s="23">
        <f t="shared" si="7"/>
        <v>1</v>
      </c>
      <c r="AJ136" s="17">
        <v>11.75</v>
      </c>
      <c r="AK136" s="17">
        <v>14</v>
      </c>
      <c r="AL136" s="14">
        <v>25.75</v>
      </c>
      <c r="AM136" s="23" cm="1">
        <f t="array" ref="AM136">IF(OR(AN136:AZ136=""),"BLANK",IF(AND(AN136:AZ136&lt;9999999),1,IF(AND(AN136:AZ136="NA"),3,2)))</f>
        <v>1</v>
      </c>
      <c r="AN136" s="20">
        <v>10</v>
      </c>
      <c r="AO136" s="26">
        <v>2</v>
      </c>
      <c r="AP136" s="15">
        <v>3</v>
      </c>
      <c r="AQ136" s="15">
        <v>5.25</v>
      </c>
      <c r="AR136" s="15">
        <v>6.75</v>
      </c>
      <c r="AS136" s="26">
        <v>5158</v>
      </c>
      <c r="AT136" s="26">
        <v>9532</v>
      </c>
      <c r="AU136" s="26">
        <v>15234.5</v>
      </c>
      <c r="AV136" s="26">
        <v>28424.75</v>
      </c>
      <c r="AW136" s="26">
        <v>0</v>
      </c>
      <c r="AX136" s="26">
        <v>0</v>
      </c>
      <c r="AY136" s="26">
        <v>6959.9583333333003</v>
      </c>
      <c r="AZ136" s="26">
        <v>1008.6333333333</v>
      </c>
      <c r="BA136" s="23">
        <f t="shared" si="8"/>
        <v>1</v>
      </c>
      <c r="BB136" s="24">
        <v>36</v>
      </c>
    </row>
    <row r="137" spans="1:54" x14ac:dyDescent="0.2">
      <c r="A137" s="5">
        <v>988</v>
      </c>
      <c r="B137" s="20" t="s">
        <v>84</v>
      </c>
      <c r="C137" s="18" t="s">
        <v>54</v>
      </c>
      <c r="D137" s="18">
        <v>5</v>
      </c>
      <c r="E137" s="18">
        <v>0</v>
      </c>
      <c r="F137" s="18" t="s">
        <v>9</v>
      </c>
      <c r="G137" s="18">
        <v>29</v>
      </c>
      <c r="H137" s="22">
        <v>4.1067761806981515</v>
      </c>
      <c r="I137" s="22">
        <v>5.6427104722792611</v>
      </c>
      <c r="J137" s="22">
        <v>9.7494866529774136</v>
      </c>
      <c r="K137" s="22">
        <v>4.1067761806981515</v>
      </c>
      <c r="L137" s="22">
        <v>5.6399726214921291</v>
      </c>
      <c r="M137" s="22">
        <v>9.7467488021902806</v>
      </c>
      <c r="N137" s="22">
        <v>3.9288158795345653</v>
      </c>
      <c r="O137" s="22">
        <v>5.637234770704997</v>
      </c>
      <c r="P137" s="22">
        <v>9.5660506502395624</v>
      </c>
      <c r="Q137" s="22" t="s">
        <v>8</v>
      </c>
      <c r="R137" s="22" t="s">
        <v>8</v>
      </c>
      <c r="S137" s="22" t="s">
        <v>8</v>
      </c>
      <c r="T137" s="30">
        <v>7</v>
      </c>
      <c r="U137" s="30">
        <v>21</v>
      </c>
      <c r="V137" s="20" t="s">
        <v>1</v>
      </c>
      <c r="W137" s="20">
        <v>5</v>
      </c>
      <c r="X137" s="20">
        <v>2</v>
      </c>
      <c r="Y137" s="5">
        <v>1</v>
      </c>
      <c r="Z137" s="24">
        <v>4</v>
      </c>
      <c r="AA137" s="23">
        <f t="shared" si="6"/>
        <v>1</v>
      </c>
      <c r="AB137" s="15">
        <v>1</v>
      </c>
      <c r="AC137" s="15">
        <v>1</v>
      </c>
      <c r="AD137" s="15">
        <v>0.75</v>
      </c>
      <c r="AE137" s="15">
        <v>0.91700000000000004</v>
      </c>
      <c r="AF137" s="20">
        <v>22</v>
      </c>
      <c r="AG137" s="20">
        <v>8.48</v>
      </c>
      <c r="AH137" s="24">
        <v>24</v>
      </c>
      <c r="AI137" s="23">
        <f t="shared" si="7"/>
        <v>1</v>
      </c>
      <c r="AJ137" s="17">
        <v>9</v>
      </c>
      <c r="AK137" s="17">
        <v>10</v>
      </c>
      <c r="AL137" s="14">
        <v>19</v>
      </c>
      <c r="AM137" s="23" cm="1">
        <f t="array" ref="AM137">IF(OR(AN137:AZ137=""),"BLANK",IF(AND(AN137:AZ137&lt;9999999),1,IF(AND(AN137:AZ137="NA"),3,2)))</f>
        <v>1</v>
      </c>
      <c r="AN137" s="20">
        <v>11</v>
      </c>
      <c r="AO137" s="26">
        <v>2</v>
      </c>
      <c r="AP137" s="15">
        <v>3</v>
      </c>
      <c r="AQ137" s="15">
        <v>4</v>
      </c>
      <c r="AR137" s="15">
        <v>6</v>
      </c>
      <c r="AS137" s="26">
        <v>1288.5</v>
      </c>
      <c r="AT137" s="26">
        <v>2107.5</v>
      </c>
      <c r="AU137" s="26">
        <v>6718.75</v>
      </c>
      <c r="AV137" s="26">
        <v>8919.25</v>
      </c>
      <c r="AW137" s="26">
        <v>0</v>
      </c>
      <c r="AX137" s="26">
        <v>0</v>
      </c>
      <c r="AY137" s="26">
        <v>0</v>
      </c>
      <c r="AZ137" s="26">
        <v>924.53333333329999</v>
      </c>
      <c r="BA137" s="23">
        <f t="shared" si="8"/>
        <v>1</v>
      </c>
      <c r="BB137" s="24">
        <v>39</v>
      </c>
    </row>
    <row r="138" spans="1:54" x14ac:dyDescent="0.2">
      <c r="A138" s="5">
        <v>989</v>
      </c>
      <c r="B138" s="20" t="s">
        <v>71</v>
      </c>
      <c r="C138" s="18" t="s">
        <v>55</v>
      </c>
      <c r="D138" s="18">
        <v>5</v>
      </c>
      <c r="E138" s="18">
        <v>0</v>
      </c>
      <c r="F138" s="18" t="s">
        <v>9</v>
      </c>
      <c r="G138" s="18">
        <v>29</v>
      </c>
      <c r="H138" s="22">
        <v>4.1067761806981515</v>
      </c>
      <c r="I138" s="22">
        <v>5.6427104722792611</v>
      </c>
      <c r="J138" s="22">
        <v>9.7494866529774136</v>
      </c>
      <c r="K138" s="22">
        <v>4.1067761806981515</v>
      </c>
      <c r="L138" s="22">
        <v>5.6399726214921291</v>
      </c>
      <c r="M138" s="22">
        <v>9.7467488021902806</v>
      </c>
      <c r="N138" s="22">
        <v>3.9425051334702257</v>
      </c>
      <c r="O138" s="22">
        <v>5.6344969199178641</v>
      </c>
      <c r="P138" s="22">
        <v>9.5770020533880906</v>
      </c>
      <c r="Q138" s="22" t="s">
        <v>8</v>
      </c>
      <c r="R138" s="22" t="s">
        <v>8</v>
      </c>
      <c r="S138" s="22" t="s">
        <v>8</v>
      </c>
      <c r="T138" s="30">
        <v>4</v>
      </c>
      <c r="U138" s="30">
        <v>16</v>
      </c>
      <c r="V138" s="20" t="s">
        <v>1</v>
      </c>
      <c r="W138" s="20">
        <v>5</v>
      </c>
      <c r="X138" s="20">
        <v>2</v>
      </c>
      <c r="Y138" s="5">
        <v>1</v>
      </c>
      <c r="Z138" s="24">
        <v>4</v>
      </c>
      <c r="AA138" s="23">
        <f t="shared" si="6"/>
        <v>2</v>
      </c>
      <c r="AB138" s="15">
        <v>1</v>
      </c>
      <c r="AC138" s="15">
        <v>1</v>
      </c>
      <c r="AD138" s="15">
        <v>0.625</v>
      </c>
      <c r="AE138" s="15">
        <v>0.875</v>
      </c>
      <c r="AF138" s="20">
        <v>21</v>
      </c>
      <c r="AG138" s="20" t="s">
        <v>8</v>
      </c>
      <c r="AH138" s="24">
        <v>24</v>
      </c>
      <c r="AI138" s="23">
        <f t="shared" si="7"/>
        <v>1</v>
      </c>
      <c r="AJ138" s="17">
        <v>15</v>
      </c>
      <c r="AK138" s="17">
        <v>13</v>
      </c>
      <c r="AL138" s="14">
        <v>28</v>
      </c>
      <c r="AM138" s="23" cm="1">
        <f t="array" ref="AM138">IF(OR(AN138:AZ138=""),"BLANK",IF(AND(AN138:AZ138&lt;9999999),1,IF(AND(AN138:AZ138="NA"),3,2)))</f>
        <v>1</v>
      </c>
      <c r="AN138" s="20">
        <v>11</v>
      </c>
      <c r="AO138" s="26">
        <v>2</v>
      </c>
      <c r="AP138" s="15">
        <v>3</v>
      </c>
      <c r="AQ138" s="15">
        <v>4</v>
      </c>
      <c r="AR138" s="15">
        <v>6</v>
      </c>
      <c r="AS138" s="26">
        <v>0</v>
      </c>
      <c r="AT138" s="26">
        <v>1572.5</v>
      </c>
      <c r="AU138" s="26">
        <v>7864.5</v>
      </c>
      <c r="AV138" s="26">
        <v>4409.5</v>
      </c>
      <c r="AW138" s="26">
        <v>0</v>
      </c>
      <c r="AX138" s="26">
        <v>0</v>
      </c>
      <c r="AY138" s="26">
        <v>0</v>
      </c>
      <c r="AZ138" s="26">
        <v>113.46666666669999</v>
      </c>
      <c r="BA138" s="23">
        <f t="shared" si="8"/>
        <v>1</v>
      </c>
      <c r="BB138" s="24">
        <v>39</v>
      </c>
    </row>
    <row r="139" spans="1:54" x14ac:dyDescent="0.2">
      <c r="A139" s="5">
        <v>998</v>
      </c>
      <c r="B139" s="20" t="s">
        <v>84</v>
      </c>
      <c r="C139" s="18" t="s">
        <v>54</v>
      </c>
      <c r="D139" s="18">
        <v>5</v>
      </c>
      <c r="E139" s="18">
        <v>0</v>
      </c>
      <c r="F139" s="18" t="s">
        <v>9</v>
      </c>
      <c r="G139" s="18">
        <v>30</v>
      </c>
      <c r="H139" s="22">
        <v>4.043805612594114</v>
      </c>
      <c r="I139" s="22" t="s">
        <v>8</v>
      </c>
      <c r="J139" s="22" t="s">
        <v>8</v>
      </c>
      <c r="K139" s="22">
        <v>4.0328542094455848</v>
      </c>
      <c r="L139" s="22" t="s">
        <v>8</v>
      </c>
      <c r="M139" s="22" t="s">
        <v>8</v>
      </c>
      <c r="N139" s="22">
        <v>3.9616700889801506</v>
      </c>
      <c r="O139" s="22" t="s">
        <v>8</v>
      </c>
      <c r="P139" s="22" t="s">
        <v>8</v>
      </c>
      <c r="Q139" s="22" t="s">
        <v>8</v>
      </c>
      <c r="R139" s="22" t="s">
        <v>8</v>
      </c>
      <c r="S139" s="22" t="s">
        <v>8</v>
      </c>
      <c r="T139" s="30">
        <v>7</v>
      </c>
      <c r="U139" s="30">
        <v>21</v>
      </c>
      <c r="V139" s="20" t="s">
        <v>1</v>
      </c>
      <c r="W139" s="20">
        <v>5</v>
      </c>
      <c r="X139" s="20">
        <v>2</v>
      </c>
      <c r="Y139" s="5">
        <v>1</v>
      </c>
      <c r="Z139" s="24">
        <v>4</v>
      </c>
      <c r="AA139" s="23">
        <f t="shared" si="6"/>
        <v>1</v>
      </c>
      <c r="AB139" s="15">
        <v>1</v>
      </c>
      <c r="AC139" s="15">
        <v>1</v>
      </c>
      <c r="AD139" s="15">
        <v>0.75</v>
      </c>
      <c r="AE139" s="15">
        <v>0.91700000000000004</v>
      </c>
      <c r="AF139" s="20">
        <v>22</v>
      </c>
      <c r="AG139" s="20">
        <v>9.7200000000000006</v>
      </c>
      <c r="AH139" s="24">
        <v>24</v>
      </c>
      <c r="AI139" s="23">
        <f t="shared" si="7"/>
        <v>1</v>
      </c>
      <c r="AJ139" s="17">
        <v>14</v>
      </c>
      <c r="AK139" s="17">
        <v>13</v>
      </c>
      <c r="AL139" s="14">
        <v>27</v>
      </c>
      <c r="AM139" s="23" cm="1">
        <f t="array" ref="AM139">IF(OR(AN139:AZ139=""),"BLANK",IF(AND(AN139:AZ139&lt;9999999),1,IF(AND(AN139:AZ139="NA"),3,2)))</f>
        <v>1</v>
      </c>
      <c r="AN139" s="20">
        <v>9</v>
      </c>
      <c r="AO139" s="26">
        <v>2</v>
      </c>
      <c r="AP139" s="15">
        <v>3</v>
      </c>
      <c r="AQ139" s="15">
        <v>5.75</v>
      </c>
      <c r="AR139" s="15">
        <v>5.25</v>
      </c>
      <c r="AS139" s="26">
        <v>28</v>
      </c>
      <c r="AT139" s="26">
        <v>2044</v>
      </c>
      <c r="AU139" s="26">
        <v>5698.25</v>
      </c>
      <c r="AV139" s="26">
        <v>10726.5</v>
      </c>
      <c r="AW139" s="26">
        <v>0</v>
      </c>
      <c r="AX139" s="26">
        <v>0</v>
      </c>
      <c r="AY139" s="26">
        <v>1578.6319444444</v>
      </c>
      <c r="AZ139" s="26">
        <v>691.76666666669996</v>
      </c>
      <c r="BA139" s="23">
        <f t="shared" si="8"/>
        <v>1</v>
      </c>
      <c r="BB139" s="24">
        <v>39</v>
      </c>
    </row>
    <row r="140" spans="1:54" x14ac:dyDescent="0.2">
      <c r="A140" s="5">
        <v>1003</v>
      </c>
      <c r="B140" s="20" t="s">
        <v>78</v>
      </c>
      <c r="C140" s="18" t="s">
        <v>55</v>
      </c>
      <c r="D140" s="18">
        <v>5</v>
      </c>
      <c r="E140" s="18">
        <v>0</v>
      </c>
      <c r="F140" s="18" t="s">
        <v>9</v>
      </c>
      <c r="G140" s="18">
        <v>30</v>
      </c>
      <c r="H140" s="22">
        <v>3.9342915811088295</v>
      </c>
      <c r="I140" s="22">
        <v>5.2731006160164275</v>
      </c>
      <c r="J140" s="22">
        <v>9.207392197125257</v>
      </c>
      <c r="K140" s="22">
        <v>3.9342915811088295</v>
      </c>
      <c r="L140" s="22">
        <v>5.2731006160164275</v>
      </c>
      <c r="M140" s="22">
        <v>9.207392197125257</v>
      </c>
      <c r="N140" s="22">
        <v>3.9206023271731691</v>
      </c>
      <c r="O140" s="22">
        <v>5.0020533880903493</v>
      </c>
      <c r="P140" s="22">
        <v>8.9226557152635184</v>
      </c>
      <c r="Q140" s="22">
        <v>3.2772073921971252</v>
      </c>
      <c r="R140" s="22">
        <v>6.362765229295003</v>
      </c>
      <c r="S140" s="22">
        <v>9.6399726214921291</v>
      </c>
      <c r="T140" s="30">
        <v>3</v>
      </c>
      <c r="U140" s="30">
        <v>15</v>
      </c>
      <c r="V140" s="20" t="s">
        <v>1</v>
      </c>
      <c r="W140" s="20">
        <v>5</v>
      </c>
      <c r="X140" s="20">
        <v>2</v>
      </c>
      <c r="Y140" s="5">
        <v>1</v>
      </c>
      <c r="Z140" s="24">
        <v>4</v>
      </c>
      <c r="AA140" s="23">
        <f t="shared" si="6"/>
        <v>1</v>
      </c>
      <c r="AB140" s="15">
        <v>0.875</v>
      </c>
      <c r="AC140" s="15">
        <v>0.875</v>
      </c>
      <c r="AD140" s="15">
        <v>0.625</v>
      </c>
      <c r="AE140" s="15">
        <v>0.79200000000000004</v>
      </c>
      <c r="AF140" s="20">
        <v>19</v>
      </c>
      <c r="AG140" s="20">
        <v>8.27</v>
      </c>
      <c r="AH140" s="24">
        <v>24</v>
      </c>
      <c r="AI140" s="23">
        <f t="shared" si="7"/>
        <v>1</v>
      </c>
      <c r="AJ140" s="17">
        <v>6.25</v>
      </c>
      <c r="AK140" s="17">
        <v>10.75</v>
      </c>
      <c r="AL140" s="14">
        <v>17</v>
      </c>
      <c r="AM140" s="23" cm="1">
        <f t="array" ref="AM140">IF(OR(AN140:AZ140=""),"BLANK",IF(AND(AN140:AZ140&lt;9999999),1,IF(AND(AN140:AZ140="NA"),3,2)))</f>
        <v>1</v>
      </c>
      <c r="AN140" s="20">
        <v>8</v>
      </c>
      <c r="AO140" s="26">
        <v>2</v>
      </c>
      <c r="AP140" s="15">
        <v>3</v>
      </c>
      <c r="AQ140" s="15">
        <v>4.5</v>
      </c>
      <c r="AR140" s="15">
        <v>7.75</v>
      </c>
      <c r="AS140" s="26">
        <v>3001.5</v>
      </c>
      <c r="AT140" s="26">
        <v>7338</v>
      </c>
      <c r="AU140" s="26">
        <v>13190</v>
      </c>
      <c r="AV140" s="26">
        <v>8968</v>
      </c>
      <c r="AW140" s="26">
        <v>0</v>
      </c>
      <c r="AX140" s="26">
        <v>0</v>
      </c>
      <c r="AY140" s="26">
        <v>846.70833333329995</v>
      </c>
      <c r="AZ140" s="26">
        <v>3319.2708333332998</v>
      </c>
      <c r="BA140" s="23">
        <f t="shared" si="8"/>
        <v>1</v>
      </c>
      <c r="BB140" s="24">
        <v>38</v>
      </c>
    </row>
    <row r="141" spans="1:54" x14ac:dyDescent="0.2">
      <c r="A141" s="5">
        <v>1007</v>
      </c>
      <c r="B141" s="20" t="s">
        <v>82</v>
      </c>
      <c r="C141" s="18" t="s">
        <v>55</v>
      </c>
      <c r="D141" s="18">
        <v>5</v>
      </c>
      <c r="E141" s="18">
        <v>0</v>
      </c>
      <c r="F141" s="18" t="s">
        <v>9</v>
      </c>
      <c r="G141" s="18">
        <v>30</v>
      </c>
      <c r="H141" s="22">
        <v>4.0821355236139629</v>
      </c>
      <c r="I141" s="22">
        <v>5.0650239561943877</v>
      </c>
      <c r="J141" s="22">
        <v>9.1471594798083498</v>
      </c>
      <c r="K141" s="22">
        <v>4.1013004791238874</v>
      </c>
      <c r="L141" s="22">
        <v>5.0485968514715944</v>
      </c>
      <c r="M141" s="22">
        <v>9.1498973305954827</v>
      </c>
      <c r="N141" s="22">
        <v>4.0273785078713207</v>
      </c>
      <c r="O141" s="22">
        <v>4.9993155373032172</v>
      </c>
      <c r="P141" s="22">
        <v>9.0266940451745388</v>
      </c>
      <c r="Q141" s="22">
        <v>3.482546201232033</v>
      </c>
      <c r="R141" s="22">
        <v>5.7960301163586587</v>
      </c>
      <c r="S141" s="22">
        <v>9.2785763175906908</v>
      </c>
      <c r="T141" s="30">
        <v>6</v>
      </c>
      <c r="U141" s="30">
        <v>18</v>
      </c>
      <c r="V141" s="20" t="s">
        <v>1</v>
      </c>
      <c r="W141" s="20">
        <v>5</v>
      </c>
      <c r="X141" s="20">
        <v>2</v>
      </c>
      <c r="Y141" s="5">
        <v>1</v>
      </c>
      <c r="Z141" s="24">
        <v>4</v>
      </c>
      <c r="AA141" s="23">
        <f t="shared" si="6"/>
        <v>1</v>
      </c>
      <c r="AB141" s="15">
        <v>0.875</v>
      </c>
      <c r="AC141" s="15">
        <v>0.5714285714285714</v>
      </c>
      <c r="AD141" s="15">
        <v>0.5</v>
      </c>
      <c r="AE141" s="15">
        <v>0.65200000000000002</v>
      </c>
      <c r="AF141" s="20">
        <v>15</v>
      </c>
      <c r="AG141" s="20">
        <v>5.87</v>
      </c>
      <c r="AH141" s="24">
        <v>23</v>
      </c>
      <c r="AI141" s="23">
        <f t="shared" si="7"/>
        <v>1</v>
      </c>
      <c r="AJ141" s="17">
        <v>6.25</v>
      </c>
      <c r="AK141" s="17">
        <v>11</v>
      </c>
      <c r="AL141" s="14">
        <v>17.25</v>
      </c>
      <c r="AM141" s="23" cm="1">
        <f t="array" ref="AM141">IF(OR(AN141:AZ141=""),"BLANK",IF(AND(AN141:AZ141&lt;9999999),1,IF(AND(AN141:AZ141="NA"),3,2)))</f>
        <v>1</v>
      </c>
      <c r="AN141" s="20">
        <v>8</v>
      </c>
      <c r="AO141" s="26">
        <v>2</v>
      </c>
      <c r="AP141" s="15">
        <v>3</v>
      </c>
      <c r="AQ141" s="15">
        <v>4.5</v>
      </c>
      <c r="AR141" s="15">
        <v>6.75</v>
      </c>
      <c r="AS141" s="26">
        <v>1559.5</v>
      </c>
      <c r="AT141" s="26">
        <v>7346</v>
      </c>
      <c r="AU141" s="26">
        <v>6653.75</v>
      </c>
      <c r="AV141" s="26">
        <v>7340.75</v>
      </c>
      <c r="AW141" s="26">
        <v>0</v>
      </c>
      <c r="AX141" s="26">
        <v>0</v>
      </c>
      <c r="AY141" s="26">
        <v>0</v>
      </c>
      <c r="AZ141" s="26">
        <v>77.337698412699993</v>
      </c>
      <c r="BA141" s="23">
        <f t="shared" si="8"/>
        <v>1</v>
      </c>
      <c r="BB141" s="24">
        <v>31</v>
      </c>
    </row>
    <row r="142" spans="1:54" x14ac:dyDescent="0.2">
      <c r="A142" s="5">
        <v>1008</v>
      </c>
      <c r="B142" s="20" t="s">
        <v>84</v>
      </c>
      <c r="C142" s="18" t="s">
        <v>55</v>
      </c>
      <c r="D142" s="18">
        <v>2</v>
      </c>
      <c r="E142" s="18">
        <v>0</v>
      </c>
      <c r="F142" s="18" t="s">
        <v>9</v>
      </c>
      <c r="G142" s="18">
        <v>28</v>
      </c>
      <c r="H142" s="22">
        <v>4.043805612594114</v>
      </c>
      <c r="I142" s="22" t="s">
        <v>8</v>
      </c>
      <c r="J142" s="22" t="s">
        <v>8</v>
      </c>
      <c r="K142" s="22">
        <v>4.043805612594114</v>
      </c>
      <c r="L142" s="22" t="s">
        <v>8</v>
      </c>
      <c r="M142" s="22" t="s">
        <v>8</v>
      </c>
      <c r="N142" s="22">
        <v>4.0739219712525667</v>
      </c>
      <c r="O142" s="22" t="s">
        <v>8</v>
      </c>
      <c r="P142" s="22" t="s">
        <v>8</v>
      </c>
      <c r="Q142" s="22" t="s">
        <v>8</v>
      </c>
      <c r="R142" s="22" t="s">
        <v>8</v>
      </c>
      <c r="S142" s="22" t="s">
        <v>8</v>
      </c>
      <c r="T142" s="30" t="s">
        <v>8</v>
      </c>
      <c r="U142" s="30" t="s">
        <v>8</v>
      </c>
      <c r="V142" s="20" t="s">
        <v>1</v>
      </c>
      <c r="W142" s="20">
        <v>5</v>
      </c>
      <c r="X142" s="20">
        <v>2</v>
      </c>
      <c r="Y142" s="5">
        <v>1</v>
      </c>
      <c r="Z142" s="24">
        <v>4</v>
      </c>
      <c r="AA142" s="23">
        <f t="shared" si="6"/>
        <v>1</v>
      </c>
      <c r="AB142" s="15">
        <v>1</v>
      </c>
      <c r="AC142" s="15">
        <v>1</v>
      </c>
      <c r="AD142" s="15">
        <v>0.75</v>
      </c>
      <c r="AE142" s="15">
        <v>0.91700000000000004</v>
      </c>
      <c r="AF142" s="20">
        <v>22</v>
      </c>
      <c r="AG142" s="20">
        <v>9.92</v>
      </c>
      <c r="AH142" s="24">
        <v>24</v>
      </c>
      <c r="AI142" s="23">
        <f t="shared" si="7"/>
        <v>1</v>
      </c>
      <c r="AJ142" s="17">
        <v>11.75</v>
      </c>
      <c r="AK142" s="17">
        <v>9</v>
      </c>
      <c r="AL142" s="14">
        <v>20.75</v>
      </c>
      <c r="AM142" s="23" cm="1">
        <f t="array" ref="AM142">IF(OR(AN142:AZ142=""),"BLANK",IF(AND(AN142:AZ142&lt;9999999),1,IF(AND(AN142:AZ142="NA"),3,2)))</f>
        <v>1</v>
      </c>
      <c r="AN142" s="20">
        <v>12</v>
      </c>
      <c r="AO142" s="26">
        <v>2</v>
      </c>
      <c r="AP142" s="15">
        <v>3</v>
      </c>
      <c r="AQ142" s="15">
        <v>4</v>
      </c>
      <c r="AR142" s="15">
        <v>5</v>
      </c>
      <c r="AS142" s="26">
        <v>1642</v>
      </c>
      <c r="AT142" s="26">
        <v>3509.5</v>
      </c>
      <c r="AU142" s="26">
        <v>20004.75</v>
      </c>
      <c r="AV142" s="26">
        <v>19592.75</v>
      </c>
      <c r="AW142" s="26">
        <v>224.75</v>
      </c>
      <c r="AX142" s="26">
        <v>0</v>
      </c>
      <c r="AY142" s="26">
        <v>0</v>
      </c>
      <c r="AZ142" s="26">
        <v>193</v>
      </c>
      <c r="BA142" s="23">
        <f t="shared" si="8"/>
        <v>1</v>
      </c>
      <c r="BB142" s="24">
        <v>35</v>
      </c>
    </row>
    <row r="143" spans="1:54" x14ac:dyDescent="0.2">
      <c r="A143" s="5">
        <v>1013</v>
      </c>
      <c r="B143" s="20" t="s">
        <v>72</v>
      </c>
      <c r="C143" s="18" t="s">
        <v>54</v>
      </c>
      <c r="D143" s="18">
        <v>5</v>
      </c>
      <c r="E143" s="18">
        <v>0</v>
      </c>
      <c r="F143" s="18" t="s">
        <v>9</v>
      </c>
      <c r="G143" s="18">
        <v>30</v>
      </c>
      <c r="H143" s="22">
        <v>4.0219028062970565</v>
      </c>
      <c r="I143" s="22">
        <v>5.0841889117043122</v>
      </c>
      <c r="J143" s="22">
        <v>9.1060917180013696</v>
      </c>
      <c r="K143" s="22">
        <v>4.0219028062970565</v>
      </c>
      <c r="L143" s="22">
        <v>5.0841889117043122</v>
      </c>
      <c r="M143" s="22">
        <v>9.1060917180013696</v>
      </c>
      <c r="N143" s="22">
        <v>4.0574948665297743</v>
      </c>
      <c r="O143" s="22">
        <v>4.7912388774811774</v>
      </c>
      <c r="P143" s="22">
        <v>8.8487337440109517</v>
      </c>
      <c r="Q143" s="22" t="s">
        <v>8</v>
      </c>
      <c r="R143" s="22" t="s">
        <v>8</v>
      </c>
      <c r="S143" s="22" t="s">
        <v>8</v>
      </c>
      <c r="T143" s="30">
        <v>6</v>
      </c>
      <c r="U143" s="30">
        <v>18</v>
      </c>
      <c r="V143" s="20" t="s">
        <v>1</v>
      </c>
      <c r="W143" s="20">
        <v>5</v>
      </c>
      <c r="X143" s="20">
        <v>2</v>
      </c>
      <c r="Y143" s="5">
        <v>1</v>
      </c>
      <c r="Z143" s="24">
        <v>4</v>
      </c>
      <c r="AA143" s="23">
        <f t="shared" si="6"/>
        <v>1</v>
      </c>
      <c r="AB143" s="15">
        <v>1</v>
      </c>
      <c r="AC143" s="15">
        <v>0.75</v>
      </c>
      <c r="AD143" s="15">
        <v>0.875</v>
      </c>
      <c r="AE143" s="15">
        <v>0.875</v>
      </c>
      <c r="AF143" s="20">
        <v>21</v>
      </c>
      <c r="AG143" s="20">
        <v>9.8000000000000007</v>
      </c>
      <c r="AH143" s="24">
        <v>24</v>
      </c>
      <c r="AI143" s="23">
        <f t="shared" si="7"/>
        <v>1</v>
      </c>
      <c r="AJ143" s="17">
        <v>14</v>
      </c>
      <c r="AK143" s="17">
        <v>14</v>
      </c>
      <c r="AL143" s="14">
        <v>28</v>
      </c>
      <c r="AM143" s="23" cm="1">
        <f t="array" ref="AM143">IF(OR(AN143:AZ143=""),"BLANK",IF(AND(AN143:AZ143&lt;9999999),1,IF(AND(AN143:AZ143="NA"),3,2)))</f>
        <v>1</v>
      </c>
      <c r="AN143" s="20">
        <v>12</v>
      </c>
      <c r="AO143" s="26">
        <v>2</v>
      </c>
      <c r="AP143" s="15">
        <v>3</v>
      </c>
      <c r="AQ143" s="15">
        <v>4</v>
      </c>
      <c r="AR143" s="15">
        <v>5</v>
      </c>
      <c r="AS143" s="26">
        <v>702</v>
      </c>
      <c r="AT143" s="26">
        <v>3201.5</v>
      </c>
      <c r="AU143" s="26">
        <v>3651</v>
      </c>
      <c r="AV143" s="26">
        <v>8942.25</v>
      </c>
      <c r="AW143" s="26">
        <v>0</v>
      </c>
      <c r="AX143" s="26">
        <v>0</v>
      </c>
      <c r="AY143" s="26">
        <v>0</v>
      </c>
      <c r="AZ143" s="26">
        <v>0</v>
      </c>
      <c r="BA143" s="23">
        <f t="shared" si="8"/>
        <v>1</v>
      </c>
      <c r="BB143" s="24">
        <v>39</v>
      </c>
    </row>
    <row r="144" spans="1:54" x14ac:dyDescent="0.2">
      <c r="A144" s="5">
        <v>1022</v>
      </c>
      <c r="B144" s="20" t="s">
        <v>79</v>
      </c>
      <c r="C144" s="18" t="s">
        <v>54</v>
      </c>
      <c r="D144" s="18">
        <v>5</v>
      </c>
      <c r="E144" s="18">
        <v>0</v>
      </c>
      <c r="F144" s="18" t="s">
        <v>9</v>
      </c>
      <c r="G144" s="18">
        <v>27</v>
      </c>
      <c r="H144" s="22">
        <v>4</v>
      </c>
      <c r="I144" s="22">
        <v>5.4893908281998627</v>
      </c>
      <c r="J144" s="22">
        <v>9.4893908281998627</v>
      </c>
      <c r="K144" s="22">
        <v>4</v>
      </c>
      <c r="L144" s="22">
        <v>5.4893908281998627</v>
      </c>
      <c r="M144" s="22">
        <v>9.4893908281998627</v>
      </c>
      <c r="N144" s="22">
        <v>3.9616700889801506</v>
      </c>
      <c r="O144" s="22">
        <v>5.5030800821355239</v>
      </c>
      <c r="P144" s="22">
        <v>9.464750171115675</v>
      </c>
      <c r="Q144" s="22" t="s">
        <v>8</v>
      </c>
      <c r="R144" s="22" t="s">
        <v>8</v>
      </c>
      <c r="S144" s="22" t="s">
        <v>8</v>
      </c>
      <c r="T144" s="30">
        <v>4</v>
      </c>
      <c r="U144" s="30">
        <v>16</v>
      </c>
      <c r="V144" s="20" t="s">
        <v>1</v>
      </c>
      <c r="W144" s="20">
        <v>5</v>
      </c>
      <c r="X144" s="20">
        <v>2</v>
      </c>
      <c r="Y144" s="5">
        <v>1</v>
      </c>
      <c r="Z144" s="24">
        <v>4</v>
      </c>
      <c r="AA144" s="23">
        <f t="shared" si="6"/>
        <v>1</v>
      </c>
      <c r="AB144" s="15">
        <v>0.875</v>
      </c>
      <c r="AC144" s="15">
        <v>1</v>
      </c>
      <c r="AD144" s="15">
        <v>0.625</v>
      </c>
      <c r="AE144" s="15">
        <v>0.83299999999999996</v>
      </c>
      <c r="AF144" s="20">
        <v>20</v>
      </c>
      <c r="AG144" s="20">
        <v>10.28</v>
      </c>
      <c r="AH144" s="24">
        <v>24</v>
      </c>
      <c r="AI144" s="23">
        <f t="shared" si="7"/>
        <v>1</v>
      </c>
      <c r="AJ144" s="17">
        <v>11.25</v>
      </c>
      <c r="AK144" s="17">
        <v>12.5</v>
      </c>
      <c r="AL144" s="14">
        <v>23.75</v>
      </c>
      <c r="AM144" s="23" cm="1">
        <f t="array" ref="AM144">IF(OR(AN144:AZ144=""),"BLANK",IF(AND(AN144:AZ144&lt;9999999),1,IF(AND(AN144:AZ144="NA"),3,2)))</f>
        <v>1</v>
      </c>
      <c r="AN144" s="20">
        <v>11</v>
      </c>
      <c r="AO144" s="26">
        <v>2</v>
      </c>
      <c r="AP144" s="15">
        <v>3</v>
      </c>
      <c r="AQ144" s="15">
        <v>5</v>
      </c>
      <c r="AR144" s="15">
        <v>5</v>
      </c>
      <c r="AS144" s="26">
        <v>403.5</v>
      </c>
      <c r="AT144" s="26">
        <v>2538</v>
      </c>
      <c r="AU144" s="26">
        <v>5060.5</v>
      </c>
      <c r="AV144" s="26">
        <v>4789.75</v>
      </c>
      <c r="AW144" s="26">
        <v>0</v>
      </c>
      <c r="AX144" s="26">
        <v>0</v>
      </c>
      <c r="AY144" s="26">
        <v>0</v>
      </c>
      <c r="AZ144" s="26">
        <v>0</v>
      </c>
      <c r="BA144" s="23">
        <f t="shared" si="8"/>
        <v>1</v>
      </c>
      <c r="BB144" s="24">
        <v>29</v>
      </c>
    </row>
    <row r="145" spans="1:54" x14ac:dyDescent="0.2">
      <c r="A145" s="5">
        <v>1023</v>
      </c>
      <c r="B145" s="20" t="s">
        <v>80</v>
      </c>
      <c r="C145" s="18" t="s">
        <v>54</v>
      </c>
      <c r="D145" s="18">
        <v>5</v>
      </c>
      <c r="E145" s="18">
        <v>0</v>
      </c>
      <c r="F145" s="18" t="s">
        <v>9</v>
      </c>
      <c r="G145" s="18">
        <v>27</v>
      </c>
      <c r="H145" s="22">
        <v>3.9616700889801506</v>
      </c>
      <c r="I145" s="22">
        <v>5.3497604380561263</v>
      </c>
      <c r="J145" s="22">
        <v>9.3114305270362774</v>
      </c>
      <c r="K145" s="22">
        <v>3.9479808350444903</v>
      </c>
      <c r="L145" s="22">
        <v>5.3497604380561263</v>
      </c>
      <c r="M145" s="22">
        <v>9.2977412731006162</v>
      </c>
      <c r="N145" s="22">
        <v>3.9863107460643397</v>
      </c>
      <c r="O145" s="22">
        <v>5.3634496919917867</v>
      </c>
      <c r="P145" s="22">
        <v>9.3497604380561263</v>
      </c>
      <c r="Q145" s="22">
        <v>3.4086242299794662</v>
      </c>
      <c r="R145" s="22">
        <v>6.023271731690623</v>
      </c>
      <c r="S145" s="22">
        <v>9.4318959616700884</v>
      </c>
      <c r="T145" s="30">
        <v>6</v>
      </c>
      <c r="U145" s="30">
        <v>18</v>
      </c>
      <c r="V145" s="20" t="s">
        <v>1</v>
      </c>
      <c r="W145" s="20">
        <v>5</v>
      </c>
      <c r="X145" s="20">
        <v>2</v>
      </c>
      <c r="Y145" s="5">
        <v>1</v>
      </c>
      <c r="Z145" s="24">
        <v>4</v>
      </c>
      <c r="AA145" s="23">
        <f t="shared" si="6"/>
        <v>1</v>
      </c>
      <c r="AB145" s="15">
        <v>0.875</v>
      </c>
      <c r="AC145" s="15">
        <v>0.875</v>
      </c>
      <c r="AD145" s="15">
        <v>0.5</v>
      </c>
      <c r="AE145" s="15">
        <v>0.75</v>
      </c>
      <c r="AF145" s="20">
        <v>18</v>
      </c>
      <c r="AG145" s="20">
        <v>2.2000000000000002</v>
      </c>
      <c r="AH145" s="24">
        <v>24</v>
      </c>
      <c r="AI145" s="23">
        <f t="shared" si="7"/>
        <v>1</v>
      </c>
      <c r="AJ145" s="17">
        <v>8</v>
      </c>
      <c r="AK145" s="17">
        <v>3.75</v>
      </c>
      <c r="AL145" s="14">
        <v>11.75</v>
      </c>
      <c r="AM145" s="23" cm="1">
        <f t="array" ref="AM145">IF(OR(AN145:AZ145=""),"BLANK",IF(AND(AN145:AZ145&lt;9999999),1,IF(AND(AN145:AZ145="NA"),3,2)))</f>
        <v>1</v>
      </c>
      <c r="AN145" s="20">
        <v>10</v>
      </c>
      <c r="AO145" s="26">
        <v>2</v>
      </c>
      <c r="AP145" s="15">
        <v>3</v>
      </c>
      <c r="AQ145" s="15">
        <v>4</v>
      </c>
      <c r="AR145" s="15">
        <v>7</v>
      </c>
      <c r="AS145" s="26">
        <v>4000.5</v>
      </c>
      <c r="AT145" s="26">
        <v>6084</v>
      </c>
      <c r="AU145" s="26">
        <v>20470.75</v>
      </c>
      <c r="AV145" s="26">
        <v>38021.25</v>
      </c>
      <c r="AW145" s="26">
        <v>0</v>
      </c>
      <c r="AX145" s="26">
        <v>0</v>
      </c>
      <c r="AY145" s="26">
        <v>1207.1875</v>
      </c>
      <c r="AZ145" s="26">
        <v>20923.695833333299</v>
      </c>
      <c r="BA145" s="23">
        <f t="shared" si="8"/>
        <v>1</v>
      </c>
      <c r="BB145" s="24">
        <v>32</v>
      </c>
    </row>
    <row r="146" spans="1:54" x14ac:dyDescent="0.2">
      <c r="A146" s="5">
        <v>1031</v>
      </c>
      <c r="B146" s="20" t="s">
        <v>66</v>
      </c>
      <c r="C146" s="18" t="s">
        <v>54</v>
      </c>
      <c r="D146" s="18">
        <v>6</v>
      </c>
      <c r="E146" s="18">
        <v>1</v>
      </c>
      <c r="F146" s="18" t="s">
        <v>9</v>
      </c>
      <c r="G146" s="18">
        <v>30</v>
      </c>
      <c r="H146" s="22">
        <v>4.1067761806981515</v>
      </c>
      <c r="I146" s="22">
        <v>5.5195071868583163</v>
      </c>
      <c r="J146" s="22">
        <v>9.6262833675564679</v>
      </c>
      <c r="K146" s="22">
        <v>4.1067761806981515</v>
      </c>
      <c r="L146" s="22">
        <v>5.5195071868583163</v>
      </c>
      <c r="M146" s="22">
        <v>9.6262833675564679</v>
      </c>
      <c r="N146" s="22">
        <v>4.043805612594114</v>
      </c>
      <c r="O146" s="22">
        <v>5.0212183436002737</v>
      </c>
      <c r="P146" s="22">
        <v>9.0650239561943877</v>
      </c>
      <c r="Q146" s="22" t="s">
        <v>8</v>
      </c>
      <c r="R146" s="22" t="s">
        <v>8</v>
      </c>
      <c r="S146" s="22" t="s">
        <v>8</v>
      </c>
      <c r="T146" s="30">
        <v>4</v>
      </c>
      <c r="U146" s="30">
        <v>16</v>
      </c>
      <c r="V146" s="20" t="s">
        <v>1</v>
      </c>
      <c r="W146" s="20">
        <v>5</v>
      </c>
      <c r="X146" s="20">
        <v>2</v>
      </c>
      <c r="Y146" s="5">
        <v>1</v>
      </c>
      <c r="Z146" s="24">
        <v>4</v>
      </c>
      <c r="AA146" s="23">
        <f t="shared" si="6"/>
        <v>1</v>
      </c>
      <c r="AB146" s="15">
        <v>0.875</v>
      </c>
      <c r="AC146" s="15">
        <v>0.75</v>
      </c>
      <c r="AD146" s="15">
        <v>0.625</v>
      </c>
      <c r="AE146" s="15">
        <v>0.75</v>
      </c>
      <c r="AF146" s="20">
        <v>18</v>
      </c>
      <c r="AG146" s="20">
        <v>2.33</v>
      </c>
      <c r="AH146" s="24">
        <v>24</v>
      </c>
      <c r="AI146" s="23">
        <f t="shared" si="7"/>
        <v>1</v>
      </c>
      <c r="AJ146" s="17">
        <v>7.75</v>
      </c>
      <c r="AK146" s="17">
        <v>7</v>
      </c>
      <c r="AL146" s="14">
        <v>14.75</v>
      </c>
      <c r="AM146" s="23" cm="1">
        <f t="array" ref="AM146">IF(OR(AN146:AZ146=""),"BLANK",IF(AND(AN146:AZ146&lt;9999999),1,IF(AND(AN146:AZ146="NA"),3,2)))</f>
        <v>1</v>
      </c>
      <c r="AN146" s="20">
        <v>7</v>
      </c>
      <c r="AO146" s="26">
        <v>2</v>
      </c>
      <c r="AP146" s="15">
        <v>3</v>
      </c>
      <c r="AQ146" s="15">
        <v>6.5</v>
      </c>
      <c r="AR146" s="15">
        <v>7.25</v>
      </c>
      <c r="AS146" s="26">
        <v>3848</v>
      </c>
      <c r="AT146" s="26">
        <v>7352</v>
      </c>
      <c r="AU146" s="26">
        <v>12416</v>
      </c>
      <c r="AV146" s="26">
        <v>12025.75</v>
      </c>
      <c r="AW146" s="26">
        <v>0</v>
      </c>
      <c r="AX146" s="26">
        <v>0</v>
      </c>
      <c r="AY146" s="26">
        <v>1847.2708333333001</v>
      </c>
      <c r="AZ146" s="26">
        <v>3582.7425324675</v>
      </c>
      <c r="BA146" s="23">
        <f t="shared" si="8"/>
        <v>1</v>
      </c>
      <c r="BB146" s="24">
        <v>40</v>
      </c>
    </row>
    <row r="147" spans="1:54" x14ac:dyDescent="0.2">
      <c r="A147" s="5">
        <v>1045</v>
      </c>
      <c r="B147" s="20" t="s">
        <v>80</v>
      </c>
      <c r="C147" s="18" t="s">
        <v>54</v>
      </c>
      <c r="D147" s="18">
        <v>5</v>
      </c>
      <c r="E147" s="18">
        <v>0</v>
      </c>
      <c r="F147" s="18" t="s">
        <v>9</v>
      </c>
      <c r="G147" s="18">
        <v>29</v>
      </c>
      <c r="H147" s="22">
        <v>4.3723477070499657</v>
      </c>
      <c r="I147" s="22">
        <v>5.0787132101300481</v>
      </c>
      <c r="J147" s="22">
        <v>9.4510609171800137</v>
      </c>
      <c r="K147" s="22">
        <v>4.3723477070499657</v>
      </c>
      <c r="L147" s="22">
        <v>5.0787132101300481</v>
      </c>
      <c r="M147" s="22">
        <v>9.4510609171800137</v>
      </c>
      <c r="N147" s="22" t="s">
        <v>8</v>
      </c>
      <c r="O147" s="22" t="s">
        <v>8</v>
      </c>
      <c r="P147" s="22" t="s">
        <v>8</v>
      </c>
      <c r="Q147" s="22">
        <v>3.3127994524298425</v>
      </c>
      <c r="R147" s="22" t="s">
        <v>8</v>
      </c>
      <c r="S147" s="22" t="s">
        <v>8</v>
      </c>
      <c r="T147" s="30">
        <v>5</v>
      </c>
      <c r="U147" s="30">
        <v>17</v>
      </c>
      <c r="V147" s="20" t="s">
        <v>1</v>
      </c>
      <c r="W147" s="20">
        <v>5</v>
      </c>
      <c r="X147" s="20">
        <v>2</v>
      </c>
      <c r="Y147" s="5">
        <v>1</v>
      </c>
      <c r="Z147" s="24">
        <v>4</v>
      </c>
      <c r="AA147" s="23">
        <f t="shared" si="6"/>
        <v>2</v>
      </c>
      <c r="AB147" s="15">
        <v>1</v>
      </c>
      <c r="AC147" s="15">
        <v>0.875</v>
      </c>
      <c r="AD147" s="15">
        <v>0.5714285714285714</v>
      </c>
      <c r="AE147" s="15">
        <v>0.82599999999999996</v>
      </c>
      <c r="AF147" s="20">
        <v>19</v>
      </c>
      <c r="AG147" s="20" t="s">
        <v>8</v>
      </c>
      <c r="AH147" s="24">
        <v>23</v>
      </c>
      <c r="AI147" s="23">
        <f t="shared" si="7"/>
        <v>1</v>
      </c>
      <c r="AJ147" s="17">
        <v>11</v>
      </c>
      <c r="AK147" s="17">
        <v>3</v>
      </c>
      <c r="AL147" s="14">
        <v>14</v>
      </c>
      <c r="AM147" s="23" cm="1">
        <f t="array" ref="AM147">IF(OR(AN147:AZ147=""),"BLANK",IF(AND(AN147:AZ147&lt;9999999),1,IF(AND(AN147:AZ147="NA"),3,2)))</f>
        <v>1</v>
      </c>
      <c r="AN147" s="20">
        <v>8</v>
      </c>
      <c r="AO147" s="26">
        <v>2</v>
      </c>
      <c r="AP147" s="15">
        <v>3</v>
      </c>
      <c r="AQ147" s="15">
        <v>4.25</v>
      </c>
      <c r="AR147" s="15">
        <v>8</v>
      </c>
      <c r="AS147" s="26">
        <v>7474</v>
      </c>
      <c r="AT147" s="26">
        <v>6131</v>
      </c>
      <c r="AU147" s="26">
        <v>7104.75</v>
      </c>
      <c r="AV147" s="26">
        <v>7441.75</v>
      </c>
      <c r="AW147" s="26">
        <v>0</v>
      </c>
      <c r="AX147" s="26">
        <v>0</v>
      </c>
      <c r="AY147" s="26">
        <v>69.662499999999994</v>
      </c>
      <c r="AZ147" s="26">
        <v>4109.4194444444001</v>
      </c>
      <c r="BA147" s="23">
        <f t="shared" si="8"/>
        <v>1</v>
      </c>
      <c r="BB147" s="24">
        <v>33</v>
      </c>
    </row>
    <row r="148" spans="1:54" x14ac:dyDescent="0.2">
      <c r="A148" s="5">
        <v>1054</v>
      </c>
      <c r="B148" s="20" t="s">
        <v>82</v>
      </c>
      <c r="C148" s="18" t="s">
        <v>54</v>
      </c>
      <c r="D148" s="18">
        <v>5</v>
      </c>
      <c r="E148" s="18">
        <v>0</v>
      </c>
      <c r="F148" s="18" t="s">
        <v>9</v>
      </c>
      <c r="G148" s="18">
        <v>30</v>
      </c>
      <c r="H148" s="22">
        <v>3.871321013004791</v>
      </c>
      <c r="I148" s="22">
        <v>5.3360711841204651</v>
      </c>
      <c r="J148" s="22">
        <v>9.207392197125257</v>
      </c>
      <c r="K148" s="22">
        <v>3.8795345653661877</v>
      </c>
      <c r="L148" s="22">
        <v>5.3278576317590689</v>
      </c>
      <c r="M148" s="22">
        <v>9.207392197125257</v>
      </c>
      <c r="N148" s="22">
        <v>3.9178644763860371</v>
      </c>
      <c r="O148" s="22" t="s">
        <v>8</v>
      </c>
      <c r="P148" s="22" t="s">
        <v>8</v>
      </c>
      <c r="Q148" s="22">
        <v>3.2197125256673513</v>
      </c>
      <c r="R148" s="22" t="s">
        <v>8</v>
      </c>
      <c r="S148" s="22" t="s">
        <v>8</v>
      </c>
      <c r="T148" s="30">
        <v>7</v>
      </c>
      <c r="U148" s="30">
        <v>21</v>
      </c>
      <c r="V148" s="20" t="s">
        <v>1</v>
      </c>
      <c r="W148" s="20">
        <v>5</v>
      </c>
      <c r="X148" s="20">
        <v>2</v>
      </c>
      <c r="Y148" s="5">
        <v>1</v>
      </c>
      <c r="Z148" s="24">
        <v>4</v>
      </c>
      <c r="AA148" s="23">
        <f t="shared" si="6"/>
        <v>1</v>
      </c>
      <c r="AB148" s="15">
        <v>1</v>
      </c>
      <c r="AC148" s="15">
        <v>1</v>
      </c>
      <c r="AD148" s="15">
        <v>0.5</v>
      </c>
      <c r="AE148" s="15">
        <v>0.83299999999999996</v>
      </c>
      <c r="AF148" s="20">
        <v>20</v>
      </c>
      <c r="AG148" s="20">
        <v>1.42</v>
      </c>
      <c r="AH148" s="24">
        <v>24</v>
      </c>
      <c r="AI148" s="23">
        <f t="shared" si="7"/>
        <v>1</v>
      </c>
      <c r="AJ148" s="17">
        <v>8.75</v>
      </c>
      <c r="AK148" s="17">
        <v>11</v>
      </c>
      <c r="AL148" s="14">
        <v>19.75</v>
      </c>
      <c r="AM148" s="23" cm="1">
        <f t="array" ref="AM148">IF(OR(AN148:AZ148=""),"BLANK",IF(AND(AN148:AZ148&lt;9999999),1,IF(AND(AN148:AZ148="NA"),3,2)))</f>
        <v>1</v>
      </c>
      <c r="AN148" s="20">
        <v>6</v>
      </c>
      <c r="AO148" s="26">
        <v>2</v>
      </c>
      <c r="AP148" s="15">
        <v>3.5</v>
      </c>
      <c r="AQ148" s="15">
        <v>6.75</v>
      </c>
      <c r="AR148" s="15">
        <v>6</v>
      </c>
      <c r="AS148" s="26">
        <v>4808.5</v>
      </c>
      <c r="AT148" s="26">
        <v>22284</v>
      </c>
      <c r="AU148" s="26">
        <v>12052</v>
      </c>
      <c r="AV148" s="26">
        <v>8650.75</v>
      </c>
      <c r="AW148" s="26">
        <v>53608.5</v>
      </c>
      <c r="AX148" s="26">
        <v>15018.541666666701</v>
      </c>
      <c r="AY148" s="26">
        <v>25609.9555555556</v>
      </c>
      <c r="AZ148" s="26">
        <v>5424.8020833333003</v>
      </c>
      <c r="BA148" s="23">
        <f t="shared" si="8"/>
        <v>1</v>
      </c>
      <c r="BB148" s="24">
        <v>38</v>
      </c>
    </row>
    <row r="149" spans="1:54" x14ac:dyDescent="0.2">
      <c r="A149" s="5">
        <v>1058</v>
      </c>
      <c r="B149" s="20" t="s">
        <v>76</v>
      </c>
      <c r="C149" s="18" t="s">
        <v>54</v>
      </c>
      <c r="D149" s="18">
        <v>5</v>
      </c>
      <c r="E149" s="18">
        <v>0</v>
      </c>
      <c r="F149" s="18" t="s">
        <v>9</v>
      </c>
      <c r="G149" s="18">
        <v>30</v>
      </c>
      <c r="H149" s="22">
        <v>3.9945242984257359</v>
      </c>
      <c r="I149" s="22">
        <v>5.5633127994524294</v>
      </c>
      <c r="J149" s="22">
        <v>9.5578370978781653</v>
      </c>
      <c r="K149" s="22">
        <v>3.9945242984257359</v>
      </c>
      <c r="L149" s="22">
        <v>5.5633127994524294</v>
      </c>
      <c r="M149" s="22">
        <v>9.5578370978781653</v>
      </c>
      <c r="N149" s="22" t="s">
        <v>8</v>
      </c>
      <c r="O149" s="22" t="s">
        <v>8</v>
      </c>
      <c r="P149" s="22">
        <v>9.5742642026009577</v>
      </c>
      <c r="Q149" s="22" t="s">
        <v>8</v>
      </c>
      <c r="R149" s="22" t="s">
        <v>8</v>
      </c>
      <c r="S149" s="22" t="s">
        <v>8</v>
      </c>
      <c r="T149" s="30" t="s">
        <v>8</v>
      </c>
      <c r="U149" s="30" t="s">
        <v>8</v>
      </c>
      <c r="V149" s="20" t="s">
        <v>1</v>
      </c>
      <c r="W149" s="20">
        <v>5</v>
      </c>
      <c r="X149" s="20">
        <v>2</v>
      </c>
      <c r="Y149" s="5">
        <v>1</v>
      </c>
      <c r="Z149" s="24">
        <v>4</v>
      </c>
      <c r="AA149" s="23">
        <f t="shared" si="6"/>
        <v>1</v>
      </c>
      <c r="AB149" s="15">
        <v>0.875</v>
      </c>
      <c r="AC149" s="15">
        <v>0.875</v>
      </c>
      <c r="AD149" s="15">
        <v>0.25</v>
      </c>
      <c r="AE149" s="15">
        <v>0.66700000000000004</v>
      </c>
      <c r="AF149" s="20">
        <v>16</v>
      </c>
      <c r="AG149" s="20">
        <v>2.85</v>
      </c>
      <c r="AH149" s="24">
        <v>24</v>
      </c>
      <c r="AI149" s="23">
        <f t="shared" si="7"/>
        <v>1</v>
      </c>
      <c r="AJ149" s="17">
        <v>6.75</v>
      </c>
      <c r="AK149" s="17">
        <v>12</v>
      </c>
      <c r="AL149" s="14">
        <v>18.75</v>
      </c>
      <c r="AM149" s="23" cm="1">
        <f t="array" ref="AM149">IF(OR(AN149:AZ149=""),"BLANK",IF(AND(AN149:AZ149&lt;9999999),1,IF(AND(AN149:AZ149="NA"),3,2)))</f>
        <v>1</v>
      </c>
      <c r="AN149" s="20">
        <v>7</v>
      </c>
      <c r="AO149" s="26">
        <v>2</v>
      </c>
      <c r="AP149" s="15">
        <v>4</v>
      </c>
      <c r="AQ149" s="15">
        <v>5.5</v>
      </c>
      <c r="AR149" s="15">
        <v>7.75</v>
      </c>
      <c r="AS149" s="26">
        <v>2640</v>
      </c>
      <c r="AT149" s="26">
        <v>6451</v>
      </c>
      <c r="AU149" s="26">
        <v>28172.5</v>
      </c>
      <c r="AV149" s="26">
        <v>17522.75</v>
      </c>
      <c r="AW149" s="26">
        <v>21.5</v>
      </c>
      <c r="AX149" s="26">
        <v>482.1</v>
      </c>
      <c r="AY149" s="26">
        <v>1050.8125</v>
      </c>
      <c r="AZ149" s="26">
        <v>3627.9333333333002</v>
      </c>
      <c r="BA149" s="23">
        <f t="shared" si="8"/>
        <v>1</v>
      </c>
      <c r="BB149" s="24">
        <v>23</v>
      </c>
    </row>
    <row r="150" spans="1:54" x14ac:dyDescent="0.2">
      <c r="A150" s="5">
        <v>1084</v>
      </c>
      <c r="B150" s="20" t="s">
        <v>82</v>
      </c>
      <c r="C150" s="18" t="s">
        <v>54</v>
      </c>
      <c r="D150" s="18">
        <v>5</v>
      </c>
      <c r="E150" s="18">
        <v>0</v>
      </c>
      <c r="F150" s="18" t="s">
        <v>9</v>
      </c>
      <c r="G150" s="18">
        <v>30</v>
      </c>
      <c r="H150" s="22">
        <v>3.9507186858316223</v>
      </c>
      <c r="I150" s="22">
        <v>5.4976043805612598</v>
      </c>
      <c r="J150" s="22">
        <v>9.4483230663928808</v>
      </c>
      <c r="K150" s="22">
        <v>3.9479808350444903</v>
      </c>
      <c r="L150" s="22">
        <v>5.4976043805612598</v>
      </c>
      <c r="M150" s="22">
        <v>9.4455852156057496</v>
      </c>
      <c r="N150" s="22" t="s">
        <v>8</v>
      </c>
      <c r="O150" s="22" t="s">
        <v>8</v>
      </c>
      <c r="P150" s="22" t="s">
        <v>8</v>
      </c>
      <c r="Q150" s="22">
        <v>3.2908966461327855</v>
      </c>
      <c r="R150" s="22" t="s">
        <v>8</v>
      </c>
      <c r="S150" s="22" t="s">
        <v>8</v>
      </c>
      <c r="T150" s="30">
        <v>5</v>
      </c>
      <c r="U150" s="30">
        <v>16</v>
      </c>
      <c r="V150" s="20" t="s">
        <v>1</v>
      </c>
      <c r="W150" s="20">
        <v>5</v>
      </c>
      <c r="X150" s="20">
        <v>2</v>
      </c>
      <c r="Y150" s="5">
        <v>1</v>
      </c>
      <c r="Z150" s="24">
        <v>4</v>
      </c>
      <c r="AA150" s="23">
        <f t="shared" si="6"/>
        <v>2</v>
      </c>
      <c r="AB150" s="15">
        <v>1</v>
      </c>
      <c r="AC150" s="15">
        <v>0.8571428571428571</v>
      </c>
      <c r="AD150" s="15">
        <v>0.83333333333333337</v>
      </c>
      <c r="AE150" s="15">
        <v>0.90500000000000003</v>
      </c>
      <c r="AF150" s="20">
        <v>19</v>
      </c>
      <c r="AG150" s="20" t="s">
        <v>8</v>
      </c>
      <c r="AH150" s="24">
        <v>21</v>
      </c>
      <c r="AI150" s="23">
        <f t="shared" si="7"/>
        <v>1</v>
      </c>
      <c r="AJ150" s="17">
        <v>4</v>
      </c>
      <c r="AK150" s="17">
        <v>4.5</v>
      </c>
      <c r="AL150" s="14">
        <v>8.5</v>
      </c>
      <c r="AM150" s="23" cm="1">
        <f t="array" ref="AM150">IF(OR(AN150:AZ150=""),"BLANK",IF(AND(AN150:AZ150&lt;9999999),1,IF(AND(AN150:AZ150="NA"),3,2)))</f>
        <v>1</v>
      </c>
      <c r="AN150" s="20">
        <v>7</v>
      </c>
      <c r="AO150" s="26">
        <v>2</v>
      </c>
      <c r="AP150" s="15">
        <v>4</v>
      </c>
      <c r="AQ150" s="15">
        <v>4.75</v>
      </c>
      <c r="AR150" s="15">
        <v>8</v>
      </c>
      <c r="AS150" s="26">
        <v>2477</v>
      </c>
      <c r="AT150" s="26">
        <v>2353</v>
      </c>
      <c r="AU150" s="26">
        <v>18901.75</v>
      </c>
      <c r="AV150" s="26">
        <v>4899.5</v>
      </c>
      <c r="AW150" s="26">
        <v>0</v>
      </c>
      <c r="AX150" s="26">
        <v>7214.1</v>
      </c>
      <c r="AY150" s="26">
        <v>4011.5708333333</v>
      </c>
      <c r="AZ150" s="26">
        <v>2471.1083333332999</v>
      </c>
      <c r="BA150" s="23">
        <f t="shared" si="8"/>
        <v>1</v>
      </c>
      <c r="BB150" s="24">
        <v>35</v>
      </c>
    </row>
    <row r="151" spans="1:54" x14ac:dyDescent="0.2">
      <c r="A151" s="5">
        <v>1093</v>
      </c>
      <c r="B151" s="20" t="s">
        <v>64</v>
      </c>
      <c r="C151" s="18" t="s">
        <v>55</v>
      </c>
      <c r="D151" s="18">
        <v>5</v>
      </c>
      <c r="E151" s="18">
        <v>0</v>
      </c>
      <c r="F151" s="18" t="s">
        <v>9</v>
      </c>
      <c r="G151" s="18">
        <v>29</v>
      </c>
      <c r="H151" s="22">
        <v>3.698836413415469</v>
      </c>
      <c r="I151" s="22">
        <v>5.3853524982888432</v>
      </c>
      <c r="J151" s="22">
        <v>9.0841889117043113</v>
      </c>
      <c r="K151" s="22">
        <v>3.698836413415469</v>
      </c>
      <c r="L151" s="22">
        <v>5.4072553045858998</v>
      </c>
      <c r="M151" s="22">
        <v>9.1060917180013696</v>
      </c>
      <c r="N151" s="22">
        <v>3.698836413415469</v>
      </c>
      <c r="O151" s="22">
        <v>5.0787132101300481</v>
      </c>
      <c r="P151" s="22">
        <v>8.7775496235455162</v>
      </c>
      <c r="Q151" s="22" t="s">
        <v>8</v>
      </c>
      <c r="R151" s="22" t="s">
        <v>8</v>
      </c>
      <c r="S151" s="22" t="s">
        <v>8</v>
      </c>
      <c r="T151" s="30">
        <v>6</v>
      </c>
      <c r="U151" s="30">
        <v>18</v>
      </c>
      <c r="V151" s="20" t="s">
        <v>1</v>
      </c>
      <c r="W151" s="20">
        <v>5</v>
      </c>
      <c r="X151" s="20">
        <v>2</v>
      </c>
      <c r="Y151" s="5">
        <v>1</v>
      </c>
      <c r="Z151" s="24">
        <v>4</v>
      </c>
      <c r="AA151" s="23">
        <f t="shared" si="6"/>
        <v>1</v>
      </c>
      <c r="AB151" s="15">
        <v>1</v>
      </c>
      <c r="AC151" s="15">
        <v>1</v>
      </c>
      <c r="AD151" s="15">
        <v>0.625</v>
      </c>
      <c r="AE151" s="15">
        <v>0.875</v>
      </c>
      <c r="AF151" s="20">
        <v>21</v>
      </c>
      <c r="AG151" s="20">
        <v>6.72</v>
      </c>
      <c r="AH151" s="24">
        <v>24</v>
      </c>
      <c r="AI151" s="23">
        <f t="shared" si="7"/>
        <v>1</v>
      </c>
      <c r="AJ151" s="17">
        <v>11</v>
      </c>
      <c r="AK151" s="17">
        <v>8.75</v>
      </c>
      <c r="AL151" s="14">
        <v>19.75</v>
      </c>
      <c r="AM151" s="23" cm="1">
        <f t="array" ref="AM151">IF(OR(AN151:AZ151=""),"BLANK",IF(AND(AN151:AZ151&lt;9999999),1,IF(AND(AN151:AZ151="NA"),3,2)))</f>
        <v>1</v>
      </c>
      <c r="AN151" s="20">
        <v>9</v>
      </c>
      <c r="AO151" s="26">
        <v>2</v>
      </c>
      <c r="AP151" s="15">
        <v>3</v>
      </c>
      <c r="AQ151" s="15">
        <v>4</v>
      </c>
      <c r="AR151" s="15">
        <v>7.25</v>
      </c>
      <c r="AS151" s="26">
        <v>817</v>
      </c>
      <c r="AT151" s="26">
        <v>2064</v>
      </c>
      <c r="AU151" s="26">
        <v>4744</v>
      </c>
      <c r="AV151" s="26">
        <v>6761.25</v>
      </c>
      <c r="AW151" s="26">
        <v>0</v>
      </c>
      <c r="AX151" s="26">
        <v>0</v>
      </c>
      <c r="AY151" s="26">
        <v>0</v>
      </c>
      <c r="AZ151" s="26">
        <v>2845.3958333332998</v>
      </c>
      <c r="BA151" s="23">
        <f t="shared" si="8"/>
        <v>1</v>
      </c>
      <c r="BB151" s="24">
        <v>37</v>
      </c>
    </row>
    <row r="152" spans="1:54" x14ac:dyDescent="0.2">
      <c r="A152" s="5">
        <v>1124</v>
      </c>
      <c r="B152" s="20" t="s">
        <v>84</v>
      </c>
      <c r="C152" s="18" t="s">
        <v>54</v>
      </c>
      <c r="D152" s="18">
        <v>1</v>
      </c>
      <c r="E152" s="18">
        <v>0</v>
      </c>
      <c r="F152" s="18" t="s">
        <v>9</v>
      </c>
      <c r="G152" s="18">
        <v>30</v>
      </c>
      <c r="H152" s="22">
        <v>4.1451060917180014</v>
      </c>
      <c r="I152" s="22" t="s">
        <v>8</v>
      </c>
      <c r="J152" s="22" t="s">
        <v>8</v>
      </c>
      <c r="K152" s="22">
        <v>4.1451060917180014</v>
      </c>
      <c r="L152" s="22" t="s">
        <v>8</v>
      </c>
      <c r="M152" s="22" t="s">
        <v>8</v>
      </c>
      <c r="N152" s="22">
        <v>4.2765229295003424</v>
      </c>
      <c r="O152" s="22" t="s">
        <v>8</v>
      </c>
      <c r="P152" s="22" t="s">
        <v>8</v>
      </c>
      <c r="Q152" s="22" t="s">
        <v>8</v>
      </c>
      <c r="R152" s="22" t="s">
        <v>8</v>
      </c>
      <c r="S152" s="22" t="s">
        <v>8</v>
      </c>
      <c r="T152" s="30">
        <v>7</v>
      </c>
      <c r="U152" s="30">
        <v>21</v>
      </c>
      <c r="V152" s="20" t="s">
        <v>1</v>
      </c>
      <c r="W152" s="20">
        <v>5</v>
      </c>
      <c r="X152" s="20">
        <v>2</v>
      </c>
      <c r="Y152" s="5">
        <v>1</v>
      </c>
      <c r="Z152" s="24">
        <v>4</v>
      </c>
      <c r="AA152" s="23">
        <f t="shared" si="6"/>
        <v>1</v>
      </c>
      <c r="AB152" s="15">
        <v>1</v>
      </c>
      <c r="AC152" s="15">
        <v>1</v>
      </c>
      <c r="AD152" s="15">
        <v>0.875</v>
      </c>
      <c r="AE152" s="15">
        <v>0.95799999999999996</v>
      </c>
      <c r="AF152" s="20">
        <v>23</v>
      </c>
      <c r="AG152" s="20">
        <v>10.65</v>
      </c>
      <c r="AH152" s="24">
        <v>24</v>
      </c>
      <c r="AI152" s="23">
        <f t="shared" si="7"/>
        <v>1</v>
      </c>
      <c r="AJ152" s="17">
        <v>11.75</v>
      </c>
      <c r="AK152" s="17">
        <v>12.75</v>
      </c>
      <c r="AL152" s="14">
        <v>24.5</v>
      </c>
      <c r="AM152" s="23" cm="1">
        <f t="array" ref="AM152">IF(OR(AN152:AZ152=""),"BLANK",IF(AND(AN152:AZ152&lt;9999999),1,IF(AND(AN152:AZ152="NA"),3,2)))</f>
        <v>1</v>
      </c>
      <c r="AN152" s="20">
        <v>12</v>
      </c>
      <c r="AO152" s="26">
        <v>2</v>
      </c>
      <c r="AP152" s="15">
        <v>3</v>
      </c>
      <c r="AQ152" s="15">
        <v>4</v>
      </c>
      <c r="AR152" s="15">
        <v>5</v>
      </c>
      <c r="AS152" s="26">
        <v>911.5</v>
      </c>
      <c r="AT152" s="26">
        <v>1682</v>
      </c>
      <c r="AU152" s="26">
        <v>3120</v>
      </c>
      <c r="AV152" s="26">
        <v>10825.25</v>
      </c>
      <c r="AW152" s="26">
        <v>0</v>
      </c>
      <c r="AX152" s="26">
        <v>0</v>
      </c>
      <c r="AY152" s="26">
        <v>0</v>
      </c>
      <c r="AZ152" s="26">
        <v>0</v>
      </c>
      <c r="BA152" s="23">
        <f t="shared" si="8"/>
        <v>1</v>
      </c>
      <c r="BB152" s="24">
        <v>36</v>
      </c>
    </row>
    <row r="153" spans="1:54" x14ac:dyDescent="0.2">
      <c r="A153" s="5">
        <v>1136</v>
      </c>
      <c r="B153" s="20" t="s">
        <v>64</v>
      </c>
      <c r="C153" s="18" t="s">
        <v>55</v>
      </c>
      <c r="D153" s="18">
        <v>5</v>
      </c>
      <c r="E153" s="18">
        <v>0</v>
      </c>
      <c r="F153" s="18" t="s">
        <v>9</v>
      </c>
      <c r="G153" s="18">
        <v>27</v>
      </c>
      <c r="H153" s="22">
        <v>3.8165639972621492</v>
      </c>
      <c r="I153" s="22" t="s">
        <v>8</v>
      </c>
      <c r="J153" s="22" t="s">
        <v>8</v>
      </c>
      <c r="K153" s="22">
        <v>3.8357289527720737</v>
      </c>
      <c r="L153" s="22" t="s">
        <v>8</v>
      </c>
      <c r="M153" s="22" t="s">
        <v>8</v>
      </c>
      <c r="N153" s="22">
        <v>3.7782340862422998</v>
      </c>
      <c r="O153" s="22" t="s">
        <v>8</v>
      </c>
      <c r="P153" s="22" t="s">
        <v>8</v>
      </c>
      <c r="Q153" s="22">
        <v>3.5126625598904861</v>
      </c>
      <c r="R153" s="22" t="s">
        <v>8</v>
      </c>
      <c r="S153" s="22" t="s">
        <v>8</v>
      </c>
      <c r="T153" s="30">
        <v>6</v>
      </c>
      <c r="U153" s="30">
        <v>18</v>
      </c>
      <c r="V153" s="20" t="s">
        <v>1</v>
      </c>
      <c r="W153" s="20">
        <v>5</v>
      </c>
      <c r="X153" s="20">
        <v>2</v>
      </c>
      <c r="Y153" s="5">
        <v>1</v>
      </c>
      <c r="Z153" s="24">
        <v>4</v>
      </c>
      <c r="AA153" s="23">
        <f t="shared" si="6"/>
        <v>2</v>
      </c>
      <c r="AB153" s="15">
        <v>1</v>
      </c>
      <c r="AC153" s="15">
        <v>0.875</v>
      </c>
      <c r="AD153" s="15">
        <v>0.375</v>
      </c>
      <c r="AE153" s="15">
        <v>0.75</v>
      </c>
      <c r="AF153" s="20">
        <v>18</v>
      </c>
      <c r="AG153" s="20" t="s">
        <v>8</v>
      </c>
      <c r="AH153" s="24">
        <v>24</v>
      </c>
      <c r="AI153" s="23">
        <f t="shared" si="7"/>
        <v>1</v>
      </c>
      <c r="AJ153" s="17">
        <v>6.25</v>
      </c>
      <c r="AK153" s="17">
        <v>4</v>
      </c>
      <c r="AL153" s="14">
        <v>10.25</v>
      </c>
      <c r="AM153" s="23" cm="1">
        <f t="array" ref="AM153">IF(OR(AN153:AZ153=""),"BLANK",IF(AND(AN153:AZ153&lt;9999999),1,IF(AND(AN153:AZ153="NA"),3,2)))</f>
        <v>1</v>
      </c>
      <c r="AN153" s="20">
        <v>7</v>
      </c>
      <c r="AO153" s="26">
        <v>2.5</v>
      </c>
      <c r="AP153" s="15">
        <v>3</v>
      </c>
      <c r="AQ153" s="15">
        <v>5</v>
      </c>
      <c r="AR153" s="15">
        <v>7</v>
      </c>
      <c r="AS153" s="26">
        <v>1374</v>
      </c>
      <c r="AT153" s="26">
        <v>3023.5</v>
      </c>
      <c r="AU153" s="26">
        <v>3265.75</v>
      </c>
      <c r="AV153" s="26">
        <v>5018.5</v>
      </c>
      <c r="AW153" s="26">
        <v>0</v>
      </c>
      <c r="AX153" s="26">
        <v>0</v>
      </c>
      <c r="AY153" s="26">
        <v>6290.4553571428996</v>
      </c>
      <c r="AZ153" s="26">
        <v>28249.291666666701</v>
      </c>
      <c r="BA153" s="23">
        <f t="shared" si="8"/>
        <v>1</v>
      </c>
      <c r="BB153" s="24">
        <v>27</v>
      </c>
    </row>
    <row r="154" spans="1:54" x14ac:dyDescent="0.2">
      <c r="A154" s="5">
        <v>1139</v>
      </c>
      <c r="B154" s="20" t="s">
        <v>68</v>
      </c>
      <c r="C154" s="18" t="s">
        <v>54</v>
      </c>
      <c r="D154" s="18">
        <v>5</v>
      </c>
      <c r="E154" s="18">
        <v>0</v>
      </c>
      <c r="F154" s="18" t="s">
        <v>9</v>
      </c>
      <c r="G154" s="18">
        <v>30</v>
      </c>
      <c r="H154" s="22">
        <v>3.8439425051334704</v>
      </c>
      <c r="I154" s="22">
        <v>5.1635865845311431</v>
      </c>
      <c r="J154" s="22">
        <v>9.0075290896646134</v>
      </c>
      <c r="K154" s="22">
        <v>3.786447638603696</v>
      </c>
      <c r="L154" s="22">
        <v>5.1635865845311431</v>
      </c>
      <c r="M154" s="22">
        <v>8.9500342231348391</v>
      </c>
      <c r="N154" s="22">
        <v>3.8138261464750172</v>
      </c>
      <c r="O154" s="22">
        <v>5.0896646132785763</v>
      </c>
      <c r="P154" s="22">
        <v>8.9034907597535931</v>
      </c>
      <c r="Q154" s="22">
        <v>3.3483915126625599</v>
      </c>
      <c r="R154" s="22">
        <v>6.0807665982203973</v>
      </c>
      <c r="S154" s="22">
        <v>9.4291581108829572</v>
      </c>
      <c r="T154" s="30">
        <v>4</v>
      </c>
      <c r="U154" s="30">
        <v>16</v>
      </c>
      <c r="V154" s="20" t="s">
        <v>1</v>
      </c>
      <c r="W154" s="20">
        <v>5</v>
      </c>
      <c r="X154" s="20">
        <v>2</v>
      </c>
      <c r="Y154" s="5">
        <v>1</v>
      </c>
      <c r="Z154" s="24">
        <v>4</v>
      </c>
      <c r="AA154" s="23">
        <f t="shared" si="6"/>
        <v>1</v>
      </c>
      <c r="AB154" s="15">
        <v>1</v>
      </c>
      <c r="AC154" s="15">
        <v>0.875</v>
      </c>
      <c r="AD154" s="15">
        <v>0.875</v>
      </c>
      <c r="AE154" s="15">
        <v>0.91700000000000004</v>
      </c>
      <c r="AF154" s="20">
        <v>22</v>
      </c>
      <c r="AG154" s="20">
        <v>8.15</v>
      </c>
      <c r="AH154" s="24">
        <v>24</v>
      </c>
      <c r="AI154" s="23">
        <f t="shared" si="7"/>
        <v>1</v>
      </c>
      <c r="AJ154" s="17">
        <v>11.75</v>
      </c>
      <c r="AK154" s="17">
        <v>12</v>
      </c>
      <c r="AL154" s="14">
        <v>23.75</v>
      </c>
      <c r="AM154" s="23" cm="1">
        <f t="array" ref="AM154">IF(OR(AN154:AZ154=""),"BLANK",IF(AND(AN154:AZ154&lt;9999999),1,IF(AND(AN154:AZ154="NA"),3,2)))</f>
        <v>1</v>
      </c>
      <c r="AN154" s="20">
        <v>7</v>
      </c>
      <c r="AO154" s="26">
        <v>2</v>
      </c>
      <c r="AP154" s="15">
        <v>3</v>
      </c>
      <c r="AQ154" s="15">
        <v>4.25</v>
      </c>
      <c r="AR154" s="15">
        <v>9.75</v>
      </c>
      <c r="AS154" s="26">
        <v>1930.5</v>
      </c>
      <c r="AT154" s="26">
        <v>1123</v>
      </c>
      <c r="AU154" s="26">
        <v>6431.25</v>
      </c>
      <c r="AV154" s="26">
        <v>16781.25</v>
      </c>
      <c r="AW154" s="26">
        <v>0</v>
      </c>
      <c r="AX154" s="26">
        <v>0</v>
      </c>
      <c r="AY154" s="26">
        <v>0</v>
      </c>
      <c r="AZ154" s="26">
        <v>3503.9027777778001</v>
      </c>
      <c r="BA154" s="23">
        <f t="shared" si="8"/>
        <v>1</v>
      </c>
      <c r="BB154" s="24">
        <v>35</v>
      </c>
    </row>
    <row r="155" spans="1:54" x14ac:dyDescent="0.2">
      <c r="A155" s="5">
        <v>1141</v>
      </c>
      <c r="B155" s="20" t="s">
        <v>82</v>
      </c>
      <c r="C155" s="18" t="s">
        <v>55</v>
      </c>
      <c r="D155" s="18">
        <v>5</v>
      </c>
      <c r="E155" s="18">
        <v>0</v>
      </c>
      <c r="F155" s="18" t="s">
        <v>9</v>
      </c>
      <c r="G155" s="18">
        <v>29</v>
      </c>
      <c r="H155" s="22">
        <v>3.8795345653661877</v>
      </c>
      <c r="I155" s="22">
        <v>5.3552361396303905</v>
      </c>
      <c r="J155" s="22">
        <v>9.2347707049965777</v>
      </c>
      <c r="K155" s="22">
        <v>3.8795345653661877</v>
      </c>
      <c r="L155" s="22">
        <v>5.3579739904175225</v>
      </c>
      <c r="M155" s="22">
        <v>9.2375085557837107</v>
      </c>
      <c r="N155" s="22">
        <v>3.8658453114305269</v>
      </c>
      <c r="O155" s="22">
        <v>5.3114305270362765</v>
      </c>
      <c r="P155" s="22">
        <v>9.1772758384668034</v>
      </c>
      <c r="Q155" s="22">
        <v>3.2772073921971252</v>
      </c>
      <c r="R155" s="22">
        <v>6.0698151950718682</v>
      </c>
      <c r="S155" s="22">
        <v>9.3470225872689934</v>
      </c>
      <c r="T155" s="30">
        <v>6</v>
      </c>
      <c r="U155" s="30">
        <v>18</v>
      </c>
      <c r="V155" s="20" t="s">
        <v>1</v>
      </c>
      <c r="W155" s="20">
        <v>5</v>
      </c>
      <c r="X155" s="20">
        <v>2</v>
      </c>
      <c r="Y155" s="5">
        <v>1</v>
      </c>
      <c r="Z155" s="24">
        <v>4</v>
      </c>
      <c r="AA155" s="23">
        <f t="shared" si="6"/>
        <v>1</v>
      </c>
      <c r="AB155" s="15">
        <v>1</v>
      </c>
      <c r="AC155" s="15">
        <v>1</v>
      </c>
      <c r="AD155" s="15">
        <v>0.75</v>
      </c>
      <c r="AE155" s="15">
        <v>0.91300000000000003</v>
      </c>
      <c r="AF155" s="20">
        <v>21</v>
      </c>
      <c r="AG155" s="20">
        <v>10</v>
      </c>
      <c r="AH155" s="24">
        <v>23</v>
      </c>
      <c r="AI155" s="23">
        <f t="shared" si="7"/>
        <v>1</v>
      </c>
      <c r="AJ155" s="17">
        <v>11.25</v>
      </c>
      <c r="AK155" s="17">
        <v>11.25</v>
      </c>
      <c r="AL155" s="14">
        <v>22.5</v>
      </c>
      <c r="AM155" s="23" cm="1">
        <f t="array" ref="AM155">IF(OR(AN155:AZ155=""),"BLANK",IF(AND(AN155:AZ155&lt;9999999),1,IF(AND(AN155:AZ155="NA"),3,2)))</f>
        <v>1</v>
      </c>
      <c r="AN155" s="20">
        <v>10</v>
      </c>
      <c r="AO155" s="26">
        <v>2</v>
      </c>
      <c r="AP155" s="15">
        <v>3</v>
      </c>
      <c r="AQ155" s="15">
        <v>4</v>
      </c>
      <c r="AR155" s="15">
        <v>7.75</v>
      </c>
      <c r="AS155" s="26">
        <v>9373.5</v>
      </c>
      <c r="AT155" s="26">
        <v>2647.5</v>
      </c>
      <c r="AU155" s="26">
        <v>3974.75</v>
      </c>
      <c r="AV155" s="26">
        <v>4950.25</v>
      </c>
      <c r="AW155" s="26">
        <v>0</v>
      </c>
      <c r="AX155" s="26">
        <v>0</v>
      </c>
      <c r="AY155" s="26">
        <v>0</v>
      </c>
      <c r="AZ155" s="26">
        <v>60.479545454499998</v>
      </c>
      <c r="BA155" s="23">
        <f t="shared" si="8"/>
        <v>1</v>
      </c>
      <c r="BB155" s="24">
        <v>37</v>
      </c>
    </row>
    <row r="156" spans="1:54" x14ac:dyDescent="0.2">
      <c r="A156" s="5">
        <v>1146</v>
      </c>
      <c r="B156" s="20" t="s">
        <v>84</v>
      </c>
      <c r="C156" s="18" t="s">
        <v>54</v>
      </c>
      <c r="D156" s="18">
        <v>3</v>
      </c>
      <c r="E156" s="18">
        <v>1</v>
      </c>
      <c r="F156" s="18" t="s">
        <v>9</v>
      </c>
      <c r="G156" s="18">
        <v>30</v>
      </c>
      <c r="H156" s="22">
        <v>4.131416837782341</v>
      </c>
      <c r="I156" s="22">
        <v>5.4784394250513344</v>
      </c>
      <c r="J156" s="22">
        <v>9.6098562628336754</v>
      </c>
      <c r="K156" s="22">
        <v>4.128678986995209</v>
      </c>
      <c r="L156" s="22">
        <v>5.4811772758384665</v>
      </c>
      <c r="M156" s="22">
        <v>9.6098562628336754</v>
      </c>
      <c r="N156" s="22">
        <v>4.0191649555099245</v>
      </c>
      <c r="O156" s="22">
        <v>5.4757015742642023</v>
      </c>
      <c r="P156" s="22">
        <v>9.4948665297741268</v>
      </c>
      <c r="Q156" s="22" t="s">
        <v>8</v>
      </c>
      <c r="R156" s="22" t="s">
        <v>8</v>
      </c>
      <c r="S156" s="22" t="s">
        <v>8</v>
      </c>
      <c r="T156" s="30">
        <v>6</v>
      </c>
      <c r="U156" s="30">
        <v>18</v>
      </c>
      <c r="V156" s="20" t="s">
        <v>1</v>
      </c>
      <c r="W156" s="20">
        <v>5</v>
      </c>
      <c r="X156" s="20">
        <v>2</v>
      </c>
      <c r="Y156" s="5">
        <v>1</v>
      </c>
      <c r="Z156" s="24">
        <v>4</v>
      </c>
      <c r="AA156" s="23">
        <f t="shared" si="6"/>
        <v>1</v>
      </c>
      <c r="AB156" s="15">
        <v>1</v>
      </c>
      <c r="AC156" s="15">
        <v>1</v>
      </c>
      <c r="AD156" s="15">
        <v>0.875</v>
      </c>
      <c r="AE156" s="15">
        <v>0.95799999999999996</v>
      </c>
      <c r="AF156" s="20">
        <v>23</v>
      </c>
      <c r="AG156" s="20">
        <v>9.67</v>
      </c>
      <c r="AH156" s="24">
        <v>24</v>
      </c>
      <c r="AI156" s="23">
        <f t="shared" si="7"/>
        <v>1</v>
      </c>
      <c r="AJ156" s="17">
        <v>14</v>
      </c>
      <c r="AK156" s="17">
        <v>13</v>
      </c>
      <c r="AL156" s="14">
        <v>27</v>
      </c>
      <c r="AM156" s="23" cm="1">
        <f t="array" ref="AM156">IF(OR(AN156:AZ156=""),"BLANK",IF(AND(AN156:AZ156&lt;9999999),1,IF(AND(AN156:AZ156="NA"),3,2)))</f>
        <v>1</v>
      </c>
      <c r="AN156" s="20">
        <v>12</v>
      </c>
      <c r="AO156" s="26">
        <v>2</v>
      </c>
      <c r="AP156" s="15">
        <v>3</v>
      </c>
      <c r="AQ156" s="15">
        <v>4</v>
      </c>
      <c r="AR156" s="15">
        <v>5</v>
      </c>
      <c r="AS156" s="26">
        <v>1824.5</v>
      </c>
      <c r="AT156" s="26">
        <v>3693</v>
      </c>
      <c r="AU156" s="26">
        <v>3182</v>
      </c>
      <c r="AV156" s="26">
        <v>8086</v>
      </c>
      <c r="AW156" s="26">
        <v>0</v>
      </c>
      <c r="AX156" s="26">
        <v>0</v>
      </c>
      <c r="AY156" s="26">
        <v>0</v>
      </c>
      <c r="AZ156" s="26">
        <v>0</v>
      </c>
      <c r="BA156" s="23">
        <f t="shared" si="8"/>
        <v>1</v>
      </c>
      <c r="BB156" s="24">
        <v>40</v>
      </c>
    </row>
    <row r="157" spans="1:54" x14ac:dyDescent="0.2">
      <c r="A157" s="5">
        <v>1149</v>
      </c>
      <c r="B157" s="20" t="s">
        <v>65</v>
      </c>
      <c r="C157" s="18" t="s">
        <v>55</v>
      </c>
      <c r="D157" s="18">
        <v>5</v>
      </c>
      <c r="E157" s="18">
        <v>0</v>
      </c>
      <c r="F157" s="18" t="s">
        <v>9</v>
      </c>
      <c r="G157" s="18">
        <v>29</v>
      </c>
      <c r="H157" s="22">
        <v>3.9123887748117729</v>
      </c>
      <c r="I157" s="22">
        <v>5.3689253935660508</v>
      </c>
      <c r="J157" s="22">
        <v>9.2813141683778237</v>
      </c>
      <c r="K157" s="22">
        <v>3.9288158795345653</v>
      </c>
      <c r="L157" s="22">
        <v>5.3524982888432584</v>
      </c>
      <c r="M157" s="22">
        <v>9.2813141683778237</v>
      </c>
      <c r="N157" s="22">
        <v>3.9397672826830936</v>
      </c>
      <c r="O157" s="22">
        <v>5.1389459274469544</v>
      </c>
      <c r="P157" s="22">
        <v>9.0787132101300472</v>
      </c>
      <c r="Q157" s="22" t="s">
        <v>8</v>
      </c>
      <c r="R157" s="22" t="s">
        <v>8</v>
      </c>
      <c r="S157" s="22" t="s">
        <v>8</v>
      </c>
      <c r="T157" s="30">
        <v>6</v>
      </c>
      <c r="U157" s="30">
        <v>18</v>
      </c>
      <c r="V157" s="20" t="s">
        <v>1</v>
      </c>
      <c r="W157" s="20">
        <v>5</v>
      </c>
      <c r="X157" s="20">
        <v>2</v>
      </c>
      <c r="Y157" s="5">
        <v>1</v>
      </c>
      <c r="Z157" s="24">
        <v>4</v>
      </c>
      <c r="AA157" s="23">
        <f t="shared" si="6"/>
        <v>1</v>
      </c>
      <c r="AB157" s="15">
        <v>0.875</v>
      </c>
      <c r="AC157" s="15">
        <v>1</v>
      </c>
      <c r="AD157" s="15">
        <v>0.625</v>
      </c>
      <c r="AE157" s="15">
        <v>0.83299999999999996</v>
      </c>
      <c r="AF157" s="20">
        <v>20</v>
      </c>
      <c r="AG157" s="20">
        <v>9.77</v>
      </c>
      <c r="AH157" s="24">
        <v>24</v>
      </c>
      <c r="AI157" s="23">
        <f t="shared" si="7"/>
        <v>1</v>
      </c>
      <c r="AJ157" s="17">
        <v>12</v>
      </c>
      <c r="AK157" s="17">
        <v>10</v>
      </c>
      <c r="AL157" s="14">
        <v>22</v>
      </c>
      <c r="AM157" s="23" cm="1">
        <f t="array" ref="AM157">IF(OR(AN157:AZ157=""),"BLANK",IF(AND(AN157:AZ157&lt;9999999),1,IF(AND(AN157:AZ157="NA"),3,2)))</f>
        <v>1</v>
      </c>
      <c r="AN157" s="20">
        <v>10</v>
      </c>
      <c r="AO157" s="26">
        <v>2</v>
      </c>
      <c r="AP157" s="15">
        <v>3</v>
      </c>
      <c r="AQ157" s="15">
        <v>4.25</v>
      </c>
      <c r="AR157" s="15">
        <v>5.25</v>
      </c>
      <c r="AS157" s="26">
        <v>1126.5</v>
      </c>
      <c r="AT157" s="26">
        <v>3059.5</v>
      </c>
      <c r="AU157" s="26">
        <v>3635.5</v>
      </c>
      <c r="AV157" s="26">
        <v>3713.5</v>
      </c>
      <c r="AW157" s="26">
        <v>0</v>
      </c>
      <c r="AX157" s="26">
        <v>0</v>
      </c>
      <c r="AY157" s="26">
        <v>7.9</v>
      </c>
      <c r="AZ157" s="26">
        <v>0</v>
      </c>
      <c r="BA157" s="23">
        <f t="shared" si="8"/>
        <v>1</v>
      </c>
      <c r="BB157" s="24">
        <v>39</v>
      </c>
    </row>
    <row r="158" spans="1:54" x14ac:dyDescent="0.2">
      <c r="A158" s="5">
        <v>1153</v>
      </c>
      <c r="B158" s="20" t="s">
        <v>70</v>
      </c>
      <c r="C158" s="18" t="s">
        <v>55</v>
      </c>
      <c r="D158" s="18">
        <v>5</v>
      </c>
      <c r="E158" s="18">
        <v>0</v>
      </c>
      <c r="F158" s="18" t="s">
        <v>9</v>
      </c>
      <c r="G158" s="18">
        <v>30</v>
      </c>
      <c r="H158" s="22">
        <v>3.8439425051334704</v>
      </c>
      <c r="I158" s="22">
        <v>5.3059548254620124</v>
      </c>
      <c r="J158" s="22">
        <v>9.1498973305954827</v>
      </c>
      <c r="K158" s="22">
        <v>3.8439425051334704</v>
      </c>
      <c r="L158" s="22">
        <v>5.3059548254620124</v>
      </c>
      <c r="M158" s="22">
        <v>9.1498973305954827</v>
      </c>
      <c r="N158" s="22">
        <v>3.9726214921286789</v>
      </c>
      <c r="O158" s="22">
        <v>5.0266940451745379</v>
      </c>
      <c r="P158" s="22">
        <v>8.9993155373032163</v>
      </c>
      <c r="Q158" s="22">
        <v>3.3100616016427105</v>
      </c>
      <c r="R158" s="22">
        <v>6.1409993155373028</v>
      </c>
      <c r="S158" s="22">
        <v>9.4510609171800137</v>
      </c>
      <c r="T158" s="30">
        <v>2</v>
      </c>
      <c r="U158" s="30">
        <v>12</v>
      </c>
      <c r="V158" s="20" t="s">
        <v>1</v>
      </c>
      <c r="W158" s="20">
        <v>5</v>
      </c>
      <c r="X158" s="20">
        <v>2</v>
      </c>
      <c r="Y158" s="5">
        <v>1</v>
      </c>
      <c r="Z158" s="24">
        <v>4</v>
      </c>
      <c r="AA158" s="23">
        <f t="shared" si="6"/>
        <v>1</v>
      </c>
      <c r="AB158" s="15">
        <v>1</v>
      </c>
      <c r="AC158" s="15">
        <v>1</v>
      </c>
      <c r="AD158" s="15">
        <v>0.875</v>
      </c>
      <c r="AE158" s="15">
        <v>0.95799999999999996</v>
      </c>
      <c r="AF158" s="20">
        <v>23</v>
      </c>
      <c r="AG158" s="20">
        <v>3.97</v>
      </c>
      <c r="AH158" s="24">
        <v>24</v>
      </c>
      <c r="AI158" s="23">
        <f t="shared" si="7"/>
        <v>1</v>
      </c>
      <c r="AJ158" s="17">
        <v>12</v>
      </c>
      <c r="AK158" s="17">
        <v>12</v>
      </c>
      <c r="AL158" s="14">
        <v>24</v>
      </c>
      <c r="AM158" s="23" cm="1">
        <f t="array" ref="AM158">IF(OR(AN158:AZ158=""),"BLANK",IF(AND(AN158:AZ158&lt;9999999),1,IF(AND(AN158:AZ158="NA"),3,2)))</f>
        <v>1</v>
      </c>
      <c r="AN158" s="20">
        <v>8</v>
      </c>
      <c r="AO158" s="26">
        <v>2</v>
      </c>
      <c r="AP158" s="15">
        <v>3.5</v>
      </c>
      <c r="AQ158" s="15">
        <v>5.5</v>
      </c>
      <c r="AR158" s="15">
        <v>5.5</v>
      </c>
      <c r="AS158" s="26">
        <v>1187.5</v>
      </c>
      <c r="AT158" s="26">
        <v>5262.5</v>
      </c>
      <c r="AU158" s="26">
        <v>11937.25</v>
      </c>
      <c r="AV158" s="26">
        <v>13832</v>
      </c>
      <c r="AW158" s="26">
        <v>0</v>
      </c>
      <c r="AX158" s="26">
        <v>0</v>
      </c>
      <c r="AY158" s="26">
        <v>524.64583333329995</v>
      </c>
      <c r="AZ158" s="26">
        <v>0</v>
      </c>
      <c r="BA158" s="23">
        <f t="shared" si="8"/>
        <v>1</v>
      </c>
      <c r="BB158" s="24">
        <v>40</v>
      </c>
    </row>
    <row r="159" spans="1:54" x14ac:dyDescent="0.2">
      <c r="A159" s="5">
        <v>1154</v>
      </c>
      <c r="B159" s="20" t="s">
        <v>71</v>
      </c>
      <c r="C159" s="18" t="s">
        <v>54</v>
      </c>
      <c r="D159" s="18">
        <v>5</v>
      </c>
      <c r="E159" s="18">
        <v>0</v>
      </c>
      <c r="F159" s="18" t="s">
        <v>9</v>
      </c>
      <c r="G159" s="18">
        <v>30</v>
      </c>
      <c r="H159" s="22">
        <v>4.2902121834360027</v>
      </c>
      <c r="I159" s="22" t="s">
        <v>8</v>
      </c>
      <c r="J159" s="22" t="s">
        <v>8</v>
      </c>
      <c r="K159" s="22">
        <v>4.2902121834360027</v>
      </c>
      <c r="L159" s="22" t="s">
        <v>8</v>
      </c>
      <c r="M159" s="22" t="s">
        <v>8</v>
      </c>
      <c r="N159" s="22" t="s">
        <v>8</v>
      </c>
      <c r="O159" s="22" t="s">
        <v>8</v>
      </c>
      <c r="P159" s="22" t="s">
        <v>8</v>
      </c>
      <c r="Q159" s="22" t="s">
        <v>8</v>
      </c>
      <c r="R159" s="22" t="s">
        <v>8</v>
      </c>
      <c r="S159" s="22" t="s">
        <v>8</v>
      </c>
      <c r="T159" s="30">
        <v>1</v>
      </c>
      <c r="U159" s="30">
        <v>11</v>
      </c>
      <c r="V159" s="20" t="s">
        <v>1</v>
      </c>
      <c r="W159" s="20">
        <v>5</v>
      </c>
      <c r="X159" s="20">
        <v>2</v>
      </c>
      <c r="Y159" s="5">
        <v>1</v>
      </c>
      <c r="Z159" s="24">
        <v>4</v>
      </c>
      <c r="AA159" s="23">
        <f t="shared" si="6"/>
        <v>2</v>
      </c>
      <c r="AB159" s="15" t="s">
        <v>8</v>
      </c>
      <c r="AC159" s="15" t="s">
        <v>8</v>
      </c>
      <c r="AD159" s="15" t="s">
        <v>8</v>
      </c>
      <c r="AE159" s="15" t="s">
        <v>8</v>
      </c>
      <c r="AF159" s="20" t="s">
        <v>8</v>
      </c>
      <c r="AG159" s="20" t="s">
        <v>8</v>
      </c>
      <c r="AH159" s="24">
        <v>0</v>
      </c>
      <c r="AI159" s="23">
        <f t="shared" si="7"/>
        <v>3</v>
      </c>
      <c r="AJ159" s="17" t="s">
        <v>8</v>
      </c>
      <c r="AK159" s="17" t="s">
        <v>8</v>
      </c>
      <c r="AL159" s="14" t="s">
        <v>8</v>
      </c>
      <c r="AM159" s="23" cm="1">
        <f t="array" ref="AM159">IF(OR(AN159:AZ159=""),"BLANK",IF(AND(AN159:AZ159&lt;9999999),1,IF(AND(AN159:AZ159="NA"),3,2)))</f>
        <v>1</v>
      </c>
      <c r="AN159" s="20">
        <v>10</v>
      </c>
      <c r="AO159" s="26">
        <v>2</v>
      </c>
      <c r="AP159" s="15">
        <v>3</v>
      </c>
      <c r="AQ159" s="15">
        <v>5.25</v>
      </c>
      <c r="AR159" s="15">
        <v>5.25</v>
      </c>
      <c r="AS159" s="26">
        <v>581.5</v>
      </c>
      <c r="AT159" s="26">
        <v>3883</v>
      </c>
      <c r="AU159" s="26">
        <v>7054.5</v>
      </c>
      <c r="AV159" s="26">
        <v>12065.5</v>
      </c>
      <c r="AW159" s="26">
        <v>0</v>
      </c>
      <c r="AX159" s="26">
        <v>0</v>
      </c>
      <c r="AY159" s="26">
        <v>1481.3402777778001</v>
      </c>
      <c r="AZ159" s="26">
        <v>3281.125</v>
      </c>
      <c r="BA159" s="23">
        <f t="shared" si="8"/>
        <v>3</v>
      </c>
      <c r="BB159" s="24" t="s">
        <v>8</v>
      </c>
    </row>
    <row r="160" spans="1:54" x14ac:dyDescent="0.2">
      <c r="A160" s="5">
        <v>1157</v>
      </c>
      <c r="B160" s="20" t="s">
        <v>79</v>
      </c>
      <c r="C160" s="18" t="s">
        <v>54</v>
      </c>
      <c r="D160" s="18">
        <v>5</v>
      </c>
      <c r="E160" s="18">
        <v>0</v>
      </c>
      <c r="F160" s="18" t="s">
        <v>9</v>
      </c>
      <c r="G160" s="18">
        <v>30</v>
      </c>
      <c r="H160" s="22">
        <v>4.1177275838466807</v>
      </c>
      <c r="I160" s="22">
        <v>5.5359342915811087</v>
      </c>
      <c r="J160" s="22">
        <v>9.6536618754277885</v>
      </c>
      <c r="K160" s="22">
        <v>4.1177275838466807</v>
      </c>
      <c r="L160" s="22">
        <v>5.5359342915811087</v>
      </c>
      <c r="M160" s="22">
        <v>9.6536618754277885</v>
      </c>
      <c r="N160" s="22" t="s">
        <v>8</v>
      </c>
      <c r="O160" s="22" t="s">
        <v>8</v>
      </c>
      <c r="P160" s="22">
        <v>9.4976043805612598</v>
      </c>
      <c r="Q160" s="22" t="s">
        <v>8</v>
      </c>
      <c r="R160" s="22" t="s">
        <v>8</v>
      </c>
      <c r="S160" s="22" t="s">
        <v>8</v>
      </c>
      <c r="T160" s="30">
        <v>6</v>
      </c>
      <c r="U160" s="30">
        <v>18</v>
      </c>
      <c r="V160" s="20" t="s">
        <v>1</v>
      </c>
      <c r="W160" s="20">
        <v>5</v>
      </c>
      <c r="X160" s="20">
        <v>2</v>
      </c>
      <c r="Y160" s="5">
        <v>1</v>
      </c>
      <c r="Z160" s="24">
        <v>4</v>
      </c>
      <c r="AA160" s="23">
        <f t="shared" si="6"/>
        <v>1</v>
      </c>
      <c r="AB160" s="15">
        <v>1</v>
      </c>
      <c r="AC160" s="15">
        <v>1</v>
      </c>
      <c r="AD160" s="15">
        <v>1</v>
      </c>
      <c r="AE160" s="15">
        <v>1</v>
      </c>
      <c r="AF160" s="20">
        <v>24</v>
      </c>
      <c r="AG160" s="20">
        <v>10.38</v>
      </c>
      <c r="AH160" s="24">
        <v>24</v>
      </c>
      <c r="AI160" s="23">
        <f t="shared" si="7"/>
        <v>1</v>
      </c>
      <c r="AJ160" s="17">
        <v>12.5</v>
      </c>
      <c r="AK160" s="17">
        <v>13</v>
      </c>
      <c r="AL160" s="14">
        <v>25.5</v>
      </c>
      <c r="AM160" s="23" cm="1">
        <f t="array" ref="AM160">IF(OR(AN160:AZ160=""),"BLANK",IF(AND(AN160:AZ160&lt;9999999),1,IF(AND(AN160:AZ160="NA"),3,2)))</f>
        <v>1</v>
      </c>
      <c r="AN160" s="20">
        <v>12</v>
      </c>
      <c r="AO160" s="26">
        <v>2</v>
      </c>
      <c r="AP160" s="15">
        <v>3</v>
      </c>
      <c r="AQ160" s="15">
        <v>4</v>
      </c>
      <c r="AR160" s="15">
        <v>5</v>
      </c>
      <c r="AS160" s="26">
        <v>293</v>
      </c>
      <c r="AT160" s="26">
        <v>5020.5</v>
      </c>
      <c r="AU160" s="26">
        <v>4565</v>
      </c>
      <c r="AV160" s="26">
        <v>14311.25</v>
      </c>
      <c r="AW160" s="26">
        <v>0</v>
      </c>
      <c r="AX160" s="26">
        <v>0</v>
      </c>
      <c r="AY160" s="26">
        <v>0</v>
      </c>
      <c r="AZ160" s="26">
        <v>0</v>
      </c>
      <c r="BA160" s="23">
        <f t="shared" si="8"/>
        <v>1</v>
      </c>
      <c r="BB160" s="24">
        <v>40</v>
      </c>
    </row>
    <row r="161" spans="1:54" x14ac:dyDescent="0.2">
      <c r="A161" s="5">
        <v>1169</v>
      </c>
      <c r="B161" s="20" t="s">
        <v>79</v>
      </c>
      <c r="C161" s="18" t="s">
        <v>54</v>
      </c>
      <c r="D161" s="18">
        <v>5</v>
      </c>
      <c r="E161" s="18">
        <v>0</v>
      </c>
      <c r="F161" s="18" t="s">
        <v>9</v>
      </c>
      <c r="G161" s="18">
        <v>29</v>
      </c>
      <c r="H161" s="22">
        <v>3.978097193702943</v>
      </c>
      <c r="I161" s="22" t="s">
        <v>8</v>
      </c>
      <c r="J161" s="22" t="s">
        <v>8</v>
      </c>
      <c r="K161" s="22">
        <v>3.978097193702943</v>
      </c>
      <c r="L161" s="22" t="s">
        <v>8</v>
      </c>
      <c r="M161" s="22" t="s">
        <v>8</v>
      </c>
      <c r="N161" s="22">
        <v>4.0054757015742641</v>
      </c>
      <c r="O161" s="22" t="s">
        <v>8</v>
      </c>
      <c r="P161" s="22" t="s">
        <v>8</v>
      </c>
      <c r="Q161" s="22" t="s">
        <v>8</v>
      </c>
      <c r="R161" s="22" t="s">
        <v>8</v>
      </c>
      <c r="S161" s="22" t="s">
        <v>8</v>
      </c>
      <c r="T161" s="30">
        <v>6</v>
      </c>
      <c r="U161" s="30">
        <v>18</v>
      </c>
      <c r="V161" s="20" t="s">
        <v>1</v>
      </c>
      <c r="W161" s="20">
        <v>5</v>
      </c>
      <c r="X161" s="20">
        <v>2</v>
      </c>
      <c r="Y161" s="5">
        <v>1</v>
      </c>
      <c r="Z161" s="24">
        <v>4</v>
      </c>
      <c r="AA161" s="23">
        <f t="shared" si="6"/>
        <v>1</v>
      </c>
      <c r="AB161" s="15">
        <v>0.875</v>
      </c>
      <c r="AC161" s="15">
        <v>1</v>
      </c>
      <c r="AD161" s="15">
        <v>1</v>
      </c>
      <c r="AE161" s="15">
        <v>0.95799999999999996</v>
      </c>
      <c r="AF161" s="20">
        <v>23</v>
      </c>
      <c r="AG161" s="20">
        <v>10.88</v>
      </c>
      <c r="AH161" s="24">
        <v>24</v>
      </c>
      <c r="AI161" s="23">
        <f t="shared" si="7"/>
        <v>1</v>
      </c>
      <c r="AJ161" s="17">
        <v>14</v>
      </c>
      <c r="AK161" s="17">
        <v>11</v>
      </c>
      <c r="AL161" s="14">
        <v>25</v>
      </c>
      <c r="AM161" s="23" cm="1">
        <f t="array" ref="AM161">IF(OR(AN161:AZ161=""),"BLANK",IF(AND(AN161:AZ161&lt;9999999),1,IF(AND(AN161:AZ161="NA"),3,2)))</f>
        <v>1</v>
      </c>
      <c r="AN161" s="20">
        <v>10</v>
      </c>
      <c r="AO161" s="26">
        <v>2</v>
      </c>
      <c r="AP161" s="15">
        <v>3</v>
      </c>
      <c r="AQ161" s="15">
        <v>5.25</v>
      </c>
      <c r="AR161" s="15">
        <v>6.5</v>
      </c>
      <c r="AS161" s="26">
        <v>1863.5</v>
      </c>
      <c r="AT161" s="26">
        <v>3174.5</v>
      </c>
      <c r="AU161" s="26">
        <v>5409.5</v>
      </c>
      <c r="AV161" s="26">
        <v>14786.25</v>
      </c>
      <c r="AW161" s="26">
        <v>0</v>
      </c>
      <c r="AX161" s="26">
        <v>0</v>
      </c>
      <c r="AY161" s="26">
        <v>548.68055555559999</v>
      </c>
      <c r="AZ161" s="26">
        <v>353.47727272729998</v>
      </c>
      <c r="BA161" s="23">
        <f t="shared" si="8"/>
        <v>1</v>
      </c>
      <c r="BB161" s="24">
        <v>38</v>
      </c>
    </row>
    <row r="162" spans="1:54" x14ac:dyDescent="0.2">
      <c r="A162" s="5">
        <v>1172</v>
      </c>
      <c r="B162" s="20" t="s">
        <v>71</v>
      </c>
      <c r="C162" s="18" t="s">
        <v>55</v>
      </c>
      <c r="D162" s="18">
        <v>5</v>
      </c>
      <c r="E162" s="18">
        <v>0</v>
      </c>
      <c r="F162" s="18" t="s">
        <v>9</v>
      </c>
      <c r="G162" s="18">
        <v>29</v>
      </c>
      <c r="H162" s="22">
        <v>3.9589322381930185</v>
      </c>
      <c r="I162" s="22">
        <v>5.6919917864476384</v>
      </c>
      <c r="J162" s="22">
        <v>9.6509240246406574</v>
      </c>
      <c r="K162" s="22">
        <v>3.9589322381930185</v>
      </c>
      <c r="L162" s="22">
        <v>5.6919917864476384</v>
      </c>
      <c r="M162" s="22">
        <v>9.6509240246406574</v>
      </c>
      <c r="N162" s="22">
        <v>3.8959616700889801</v>
      </c>
      <c r="O162" s="22">
        <v>5.6673511293634498</v>
      </c>
      <c r="P162" s="22">
        <v>9.5633127994524294</v>
      </c>
      <c r="Q162" s="22" t="s">
        <v>8</v>
      </c>
      <c r="R162" s="22" t="s">
        <v>8</v>
      </c>
      <c r="S162" s="22" t="s">
        <v>8</v>
      </c>
      <c r="T162" s="30">
        <v>6</v>
      </c>
      <c r="U162" s="30">
        <v>18</v>
      </c>
      <c r="V162" s="20" t="s">
        <v>1</v>
      </c>
      <c r="W162" s="20">
        <v>5</v>
      </c>
      <c r="X162" s="20">
        <v>2</v>
      </c>
      <c r="Y162" s="5">
        <v>1</v>
      </c>
      <c r="Z162" s="24">
        <v>4</v>
      </c>
      <c r="AA162" s="23">
        <f t="shared" si="6"/>
        <v>1</v>
      </c>
      <c r="AB162" s="15">
        <v>1</v>
      </c>
      <c r="AC162" s="15">
        <v>1</v>
      </c>
      <c r="AD162" s="15">
        <v>1</v>
      </c>
      <c r="AE162" s="15">
        <v>1</v>
      </c>
      <c r="AF162" s="20">
        <v>24</v>
      </c>
      <c r="AG162" s="20">
        <v>11.58</v>
      </c>
      <c r="AH162" s="24">
        <v>24</v>
      </c>
      <c r="AI162" s="23">
        <f t="shared" si="7"/>
        <v>1</v>
      </c>
      <c r="AJ162" s="17">
        <v>13.75</v>
      </c>
      <c r="AK162" s="17">
        <v>15</v>
      </c>
      <c r="AL162" s="14">
        <v>28.75</v>
      </c>
      <c r="AM162" s="23" cm="1">
        <f t="array" ref="AM162">IF(OR(AN162:AZ162=""),"BLANK",IF(AND(AN162:AZ162&lt;9999999),1,IF(AND(AN162:AZ162="NA"),3,2)))</f>
        <v>1</v>
      </c>
      <c r="AN162" s="20">
        <v>12</v>
      </c>
      <c r="AO162" s="26">
        <v>2</v>
      </c>
      <c r="AP162" s="15">
        <v>3</v>
      </c>
      <c r="AQ162" s="15">
        <v>4</v>
      </c>
      <c r="AR162" s="15">
        <v>5</v>
      </c>
      <c r="AS162" s="26">
        <v>236.5</v>
      </c>
      <c r="AT162" s="26">
        <v>1087.5</v>
      </c>
      <c r="AU162" s="26">
        <v>3385.75</v>
      </c>
      <c r="AV162" s="26">
        <v>4424.5</v>
      </c>
      <c r="AW162" s="26">
        <v>0</v>
      </c>
      <c r="AX162" s="26">
        <v>0</v>
      </c>
      <c r="AY162" s="26">
        <v>0</v>
      </c>
      <c r="AZ162" s="26">
        <v>422.7</v>
      </c>
      <c r="BA162" s="23">
        <f t="shared" si="8"/>
        <v>1</v>
      </c>
      <c r="BB162" s="24">
        <v>41</v>
      </c>
    </row>
    <row r="163" spans="1:54" x14ac:dyDescent="0.2">
      <c r="A163" s="5">
        <v>1175</v>
      </c>
      <c r="B163" s="20" t="s">
        <v>67</v>
      </c>
      <c r="C163" s="18" t="s">
        <v>55</v>
      </c>
      <c r="D163" s="18">
        <v>1</v>
      </c>
      <c r="E163" s="18">
        <v>0</v>
      </c>
      <c r="F163" s="18" t="s">
        <v>9</v>
      </c>
      <c r="G163" s="18">
        <v>30</v>
      </c>
      <c r="H163" s="22">
        <v>3.9096509240246409</v>
      </c>
      <c r="I163" s="22">
        <v>5.2648870636550305</v>
      </c>
      <c r="J163" s="22">
        <v>9.1745379876796722</v>
      </c>
      <c r="K163" s="22">
        <v>3.9096509240246409</v>
      </c>
      <c r="L163" s="22">
        <v>5.5879534565366189</v>
      </c>
      <c r="M163" s="22">
        <v>9.4976043805612598</v>
      </c>
      <c r="N163" s="22" t="s">
        <v>8</v>
      </c>
      <c r="O163" s="22" t="s">
        <v>8</v>
      </c>
      <c r="P163" s="22">
        <v>9.073237508555783</v>
      </c>
      <c r="Q163" s="22">
        <v>3.1676933607118412</v>
      </c>
      <c r="R163" s="22">
        <v>6.2094455852156054</v>
      </c>
      <c r="S163" s="22">
        <v>9.377138945927447</v>
      </c>
      <c r="T163" s="30">
        <v>4</v>
      </c>
      <c r="U163" s="30">
        <v>16</v>
      </c>
      <c r="V163" s="20" t="s">
        <v>1</v>
      </c>
      <c r="W163" s="20">
        <v>5</v>
      </c>
      <c r="X163" s="20">
        <v>2</v>
      </c>
      <c r="Y163" s="5">
        <v>1</v>
      </c>
      <c r="Z163" s="24">
        <v>4</v>
      </c>
      <c r="AA163" s="23">
        <f t="shared" si="6"/>
        <v>1</v>
      </c>
      <c r="AB163" s="15">
        <v>0.875</v>
      </c>
      <c r="AC163" s="15">
        <v>1</v>
      </c>
      <c r="AD163" s="15">
        <v>0.625</v>
      </c>
      <c r="AE163" s="15">
        <v>0.83299999999999996</v>
      </c>
      <c r="AF163" s="20">
        <v>20</v>
      </c>
      <c r="AG163" s="20">
        <v>6.4</v>
      </c>
      <c r="AH163" s="24">
        <v>24</v>
      </c>
      <c r="AI163" s="23">
        <f t="shared" si="7"/>
        <v>1</v>
      </c>
      <c r="AJ163" s="17">
        <v>8.75</v>
      </c>
      <c r="AK163" s="17">
        <v>11.25</v>
      </c>
      <c r="AL163" s="14">
        <v>20</v>
      </c>
      <c r="AM163" s="23" cm="1">
        <f t="array" ref="AM163">IF(OR(AN163:AZ163=""),"BLANK",IF(AND(AN163:AZ163&lt;9999999),1,IF(AND(AN163:AZ163="NA"),3,2)))</f>
        <v>1</v>
      </c>
      <c r="AN163" s="20">
        <v>11</v>
      </c>
      <c r="AO163" s="26">
        <v>2</v>
      </c>
      <c r="AP163" s="15">
        <v>3</v>
      </c>
      <c r="AQ163" s="15">
        <v>5.25</v>
      </c>
      <c r="AR163" s="15">
        <v>5</v>
      </c>
      <c r="AS163" s="26">
        <v>2169</v>
      </c>
      <c r="AT163" s="26">
        <v>3906</v>
      </c>
      <c r="AU163" s="26">
        <v>5148.5</v>
      </c>
      <c r="AV163" s="26">
        <v>11444.5</v>
      </c>
      <c r="AW163" s="26">
        <v>348.75</v>
      </c>
      <c r="AX163" s="26">
        <v>0</v>
      </c>
      <c r="AY163" s="26">
        <v>2136.9930555556002</v>
      </c>
      <c r="AZ163" s="26">
        <v>0</v>
      </c>
      <c r="BA163" s="23">
        <f t="shared" si="8"/>
        <v>1</v>
      </c>
      <c r="BB163" s="24">
        <v>33</v>
      </c>
    </row>
    <row r="164" spans="1:54" x14ac:dyDescent="0.2">
      <c r="A164" s="5">
        <v>1183</v>
      </c>
      <c r="B164" s="20" t="s">
        <v>72</v>
      </c>
      <c r="C164" s="18" t="s">
        <v>55</v>
      </c>
      <c r="D164" s="18">
        <v>5</v>
      </c>
      <c r="E164" s="18">
        <v>0</v>
      </c>
      <c r="F164" s="18" t="s">
        <v>9</v>
      </c>
      <c r="G164" s="18">
        <v>30</v>
      </c>
      <c r="H164" s="22">
        <v>3.8412046543463383</v>
      </c>
      <c r="I164" s="22">
        <v>5.6536618754277894</v>
      </c>
      <c r="J164" s="22">
        <v>9.4948665297741268</v>
      </c>
      <c r="K164" s="22">
        <v>3.8412046543463383</v>
      </c>
      <c r="L164" s="22">
        <v>5.6536618754277894</v>
      </c>
      <c r="M164" s="22">
        <v>9.4948665297741268</v>
      </c>
      <c r="N164" s="22" t="s">
        <v>8</v>
      </c>
      <c r="O164" s="22" t="s">
        <v>8</v>
      </c>
      <c r="P164" s="22">
        <v>9.4811772758384674</v>
      </c>
      <c r="Q164" s="22" t="s">
        <v>8</v>
      </c>
      <c r="R164" s="22" t="s">
        <v>8</v>
      </c>
      <c r="S164" s="22" t="s">
        <v>8</v>
      </c>
      <c r="T164" s="30">
        <v>6</v>
      </c>
      <c r="U164" s="30">
        <v>18</v>
      </c>
      <c r="V164" s="20" t="s">
        <v>1</v>
      </c>
      <c r="W164" s="20">
        <v>5</v>
      </c>
      <c r="X164" s="20">
        <v>2</v>
      </c>
      <c r="Y164" s="5">
        <v>1</v>
      </c>
      <c r="Z164" s="24">
        <v>4</v>
      </c>
      <c r="AA164" s="23">
        <f t="shared" si="6"/>
        <v>1</v>
      </c>
      <c r="AB164" s="15">
        <v>1</v>
      </c>
      <c r="AC164" s="15">
        <v>1</v>
      </c>
      <c r="AD164" s="15">
        <v>1</v>
      </c>
      <c r="AE164" s="15">
        <v>1</v>
      </c>
      <c r="AF164" s="20">
        <v>24</v>
      </c>
      <c r="AG164" s="20">
        <v>11.67</v>
      </c>
      <c r="AH164" s="24">
        <v>24</v>
      </c>
      <c r="AI164" s="23">
        <f t="shared" si="7"/>
        <v>1</v>
      </c>
      <c r="AJ164" s="17">
        <v>15</v>
      </c>
      <c r="AK164" s="17">
        <v>13.75</v>
      </c>
      <c r="AL164" s="14">
        <v>28.75</v>
      </c>
      <c r="AM164" s="23" cm="1">
        <f t="array" ref="AM164">IF(OR(AN164:AZ164=""),"BLANK",IF(AND(AN164:AZ164&lt;9999999),1,IF(AND(AN164:AZ164="NA"),3,2)))</f>
        <v>1</v>
      </c>
      <c r="AN164" s="20">
        <v>12</v>
      </c>
      <c r="AO164" s="26">
        <v>2</v>
      </c>
      <c r="AP164" s="15">
        <v>3</v>
      </c>
      <c r="AQ164" s="15">
        <v>4</v>
      </c>
      <c r="AR164" s="15">
        <v>5</v>
      </c>
      <c r="AS164" s="26">
        <v>665</v>
      </c>
      <c r="AT164" s="26">
        <v>2381</v>
      </c>
      <c r="AU164" s="26">
        <v>5920</v>
      </c>
      <c r="AV164" s="26">
        <v>10102.5</v>
      </c>
      <c r="AW164" s="26">
        <v>0</v>
      </c>
      <c r="AX164" s="26">
        <v>0</v>
      </c>
      <c r="AY164" s="26">
        <v>0</v>
      </c>
      <c r="AZ164" s="26">
        <v>0</v>
      </c>
      <c r="BA164" s="23">
        <f t="shared" si="8"/>
        <v>1</v>
      </c>
      <c r="BB164" s="24">
        <v>41</v>
      </c>
    </row>
    <row r="165" spans="1:54" x14ac:dyDescent="0.2">
      <c r="A165" s="5">
        <v>1200</v>
      </c>
      <c r="B165" s="20" t="s">
        <v>82</v>
      </c>
      <c r="C165" s="18" t="s">
        <v>54</v>
      </c>
      <c r="D165" s="18">
        <v>5</v>
      </c>
      <c r="E165" s="18">
        <v>1</v>
      </c>
      <c r="F165" s="18" t="s">
        <v>9</v>
      </c>
      <c r="G165" s="18">
        <v>27</v>
      </c>
      <c r="H165" s="22">
        <v>3.8740588637919235</v>
      </c>
      <c r="I165" s="22">
        <v>5.4236824093086931</v>
      </c>
      <c r="J165" s="22">
        <v>9.2977412731006162</v>
      </c>
      <c r="K165" s="22">
        <v>3.8740588637919235</v>
      </c>
      <c r="L165" s="22">
        <v>5.4236824093086931</v>
      </c>
      <c r="M165" s="22">
        <v>9.2977412731006162</v>
      </c>
      <c r="N165" s="22">
        <v>3.9644079397672827</v>
      </c>
      <c r="O165" s="22" t="s">
        <v>8</v>
      </c>
      <c r="P165" s="22" t="s">
        <v>8</v>
      </c>
      <c r="Q165" s="22">
        <v>3.3456536618754278</v>
      </c>
      <c r="R165" s="22" t="s">
        <v>8</v>
      </c>
      <c r="S165" s="22" t="s">
        <v>8</v>
      </c>
      <c r="T165" s="30">
        <v>3</v>
      </c>
      <c r="U165" s="30">
        <v>14</v>
      </c>
      <c r="V165" s="20" t="s">
        <v>1</v>
      </c>
      <c r="W165" s="20">
        <v>5</v>
      </c>
      <c r="X165" s="20">
        <v>2</v>
      </c>
      <c r="Y165" s="5">
        <v>1</v>
      </c>
      <c r="Z165" s="24">
        <v>4</v>
      </c>
      <c r="AA165" s="23">
        <f t="shared" si="6"/>
        <v>1</v>
      </c>
      <c r="AB165" s="15">
        <v>0.625</v>
      </c>
      <c r="AC165" s="15">
        <v>0.2857142857142857</v>
      </c>
      <c r="AD165" s="15">
        <v>0.2857142857142857</v>
      </c>
      <c r="AE165" s="15">
        <v>0.40899999999999997</v>
      </c>
      <c r="AF165" s="20">
        <v>9</v>
      </c>
      <c r="AG165" s="20">
        <v>11.08</v>
      </c>
      <c r="AH165" s="24">
        <v>22</v>
      </c>
      <c r="AI165" s="23">
        <f t="shared" si="7"/>
        <v>3</v>
      </c>
      <c r="AJ165" s="17" t="s">
        <v>8</v>
      </c>
      <c r="AK165" s="17" t="s">
        <v>8</v>
      </c>
      <c r="AL165" s="14" t="s">
        <v>8</v>
      </c>
      <c r="AM165" s="23" cm="1">
        <f t="array" ref="AM165">IF(OR(AN165:AZ165=""),"BLANK",IF(AND(AN165:AZ165&lt;9999999),1,IF(AND(AN165:AZ165="NA"),3,2)))</f>
        <v>1</v>
      </c>
      <c r="AN165" s="20">
        <v>7</v>
      </c>
      <c r="AO165" s="26">
        <v>3</v>
      </c>
      <c r="AP165" s="15">
        <v>3</v>
      </c>
      <c r="AQ165" s="15">
        <v>5.5</v>
      </c>
      <c r="AR165" s="15">
        <v>7</v>
      </c>
      <c r="AS165" s="26">
        <v>489.5</v>
      </c>
      <c r="AT165" s="26">
        <v>7061</v>
      </c>
      <c r="AU165" s="26">
        <v>8330.75</v>
      </c>
      <c r="AV165" s="26">
        <v>8116</v>
      </c>
      <c r="AW165" s="26">
        <v>1047</v>
      </c>
      <c r="AX165" s="26">
        <v>640.66666666670005</v>
      </c>
      <c r="AY165" s="26">
        <v>19797.861111111099</v>
      </c>
      <c r="AZ165" s="26">
        <v>6862.0541666667004</v>
      </c>
      <c r="BA165" s="23">
        <f t="shared" si="8"/>
        <v>1</v>
      </c>
      <c r="BB165" s="24">
        <v>21</v>
      </c>
    </row>
    <row r="166" spans="1:54" x14ac:dyDescent="0.2">
      <c r="A166" s="5">
        <v>1220</v>
      </c>
      <c r="B166" s="20" t="s">
        <v>70</v>
      </c>
      <c r="C166" s="18" t="s">
        <v>54</v>
      </c>
      <c r="D166" s="18">
        <v>5</v>
      </c>
      <c r="E166" s="18">
        <v>0</v>
      </c>
      <c r="F166" s="18" t="s">
        <v>9</v>
      </c>
      <c r="G166" s="18">
        <v>29</v>
      </c>
      <c r="H166" s="22">
        <v>4.1779603011635862</v>
      </c>
      <c r="I166" s="22">
        <v>4.8213552361396301</v>
      </c>
      <c r="J166" s="22">
        <v>8.9993155373032163</v>
      </c>
      <c r="K166" s="22">
        <v>4.1779603011635862</v>
      </c>
      <c r="L166" s="22">
        <v>5.0540725530458586</v>
      </c>
      <c r="M166" s="22">
        <v>9.2320328542094447</v>
      </c>
      <c r="N166" s="22">
        <v>4.1040383299110195</v>
      </c>
      <c r="O166" s="22">
        <v>4.7446954140999313</v>
      </c>
      <c r="P166" s="22">
        <v>8.8487337440109517</v>
      </c>
      <c r="Q166" s="22" t="s">
        <v>8</v>
      </c>
      <c r="R166" s="22" t="s">
        <v>8</v>
      </c>
      <c r="S166" s="22" t="s">
        <v>8</v>
      </c>
      <c r="T166" s="30">
        <v>5</v>
      </c>
      <c r="U166" s="30">
        <v>17</v>
      </c>
      <c r="V166" s="20" t="s">
        <v>1</v>
      </c>
      <c r="W166" s="20">
        <v>5</v>
      </c>
      <c r="X166" s="20">
        <v>2</v>
      </c>
      <c r="Y166" s="5">
        <v>1</v>
      </c>
      <c r="Z166" s="24">
        <v>4</v>
      </c>
      <c r="AA166" s="23">
        <f t="shared" si="6"/>
        <v>1</v>
      </c>
      <c r="AB166" s="15">
        <v>1</v>
      </c>
      <c r="AC166" s="15">
        <v>0.875</v>
      </c>
      <c r="AD166" s="15">
        <v>0.375</v>
      </c>
      <c r="AE166" s="15">
        <v>0.75</v>
      </c>
      <c r="AF166" s="20">
        <v>18</v>
      </c>
      <c r="AG166" s="20">
        <v>4.05</v>
      </c>
      <c r="AH166" s="24">
        <v>24</v>
      </c>
      <c r="AI166" s="23">
        <f t="shared" si="7"/>
        <v>1</v>
      </c>
      <c r="AJ166" s="17">
        <v>11</v>
      </c>
      <c r="AK166" s="17">
        <v>4.75</v>
      </c>
      <c r="AL166" s="14">
        <v>15.75</v>
      </c>
      <c r="AM166" s="23" cm="1">
        <f t="array" ref="AM166">IF(OR(AN166:AZ166=""),"BLANK",IF(AND(AN166:AZ166&lt;9999999),1,IF(AND(AN166:AZ166="NA"),3,2)))</f>
        <v>1</v>
      </c>
      <c r="AN166" s="20">
        <v>7</v>
      </c>
      <c r="AO166" s="26">
        <v>2</v>
      </c>
      <c r="AP166" s="15">
        <v>3</v>
      </c>
      <c r="AQ166" s="15">
        <v>6.25</v>
      </c>
      <c r="AR166" s="15">
        <v>7.25</v>
      </c>
      <c r="AS166" s="26">
        <v>946.5</v>
      </c>
      <c r="AT166" s="26">
        <v>1516</v>
      </c>
      <c r="AU166" s="26">
        <v>2702</v>
      </c>
      <c r="AV166" s="26">
        <v>8292</v>
      </c>
      <c r="AW166" s="26">
        <v>384.75</v>
      </c>
      <c r="AX166" s="26">
        <v>3356</v>
      </c>
      <c r="AY166" s="26">
        <v>8674.4131944443998</v>
      </c>
      <c r="AZ166" s="26">
        <v>5563.3</v>
      </c>
      <c r="BA166" s="23">
        <f t="shared" si="8"/>
        <v>1</v>
      </c>
      <c r="BB166" s="24">
        <v>34</v>
      </c>
    </row>
    <row r="167" spans="1:54" x14ac:dyDescent="0.2">
      <c r="A167" s="5">
        <v>1225</v>
      </c>
      <c r="B167" s="20" t="s">
        <v>86</v>
      </c>
      <c r="C167" s="18" t="s">
        <v>54</v>
      </c>
      <c r="D167" s="18">
        <v>5</v>
      </c>
      <c r="E167" s="18">
        <v>0</v>
      </c>
      <c r="F167" s="18" t="s">
        <v>9</v>
      </c>
      <c r="G167" s="18">
        <v>28</v>
      </c>
      <c r="H167" s="22">
        <v>3.9342915811088295</v>
      </c>
      <c r="I167" s="22" t="s">
        <v>8</v>
      </c>
      <c r="J167" s="22" t="s">
        <v>8</v>
      </c>
      <c r="K167" s="22">
        <v>3.9671457905544147</v>
      </c>
      <c r="L167" s="22" t="s">
        <v>8</v>
      </c>
      <c r="M167" s="22" t="s">
        <v>8</v>
      </c>
      <c r="N167" s="22">
        <v>3.9534565366187544</v>
      </c>
      <c r="O167" s="22" t="s">
        <v>8</v>
      </c>
      <c r="P167" s="22" t="s">
        <v>8</v>
      </c>
      <c r="Q167" s="22">
        <v>3.3702943189596168</v>
      </c>
      <c r="R167" s="22" t="s">
        <v>8</v>
      </c>
      <c r="S167" s="22" t="s">
        <v>8</v>
      </c>
      <c r="T167" s="30">
        <v>3</v>
      </c>
      <c r="U167" s="30">
        <v>12</v>
      </c>
      <c r="V167" s="20" t="s">
        <v>1</v>
      </c>
      <c r="W167" s="20">
        <v>5</v>
      </c>
      <c r="X167" s="20">
        <v>2</v>
      </c>
      <c r="Y167" s="5">
        <v>1</v>
      </c>
      <c r="Z167" s="24">
        <v>4</v>
      </c>
      <c r="AA167" s="23">
        <f t="shared" si="6"/>
        <v>1</v>
      </c>
      <c r="AB167" s="15">
        <v>0.75</v>
      </c>
      <c r="AC167" s="15">
        <v>0.5</v>
      </c>
      <c r="AD167" s="15">
        <v>0.375</v>
      </c>
      <c r="AE167" s="15">
        <v>0.54200000000000004</v>
      </c>
      <c r="AF167" s="20">
        <v>13</v>
      </c>
      <c r="AG167" s="20">
        <v>1.83</v>
      </c>
      <c r="AH167" s="24">
        <v>24</v>
      </c>
      <c r="AI167" s="23">
        <f t="shared" si="7"/>
        <v>1</v>
      </c>
      <c r="AJ167" s="17">
        <v>2.75</v>
      </c>
      <c r="AK167" s="17">
        <v>6.5</v>
      </c>
      <c r="AL167" s="14">
        <v>9.25</v>
      </c>
      <c r="AM167" s="23" cm="1">
        <f t="array" ref="AM167">IF(OR(AN167:AZ167=""),"BLANK",IF(AND(AN167:AZ167&lt;9999999),1,IF(AND(AN167:AZ167="NA"),3,2)))</f>
        <v>1</v>
      </c>
      <c r="AN167" s="20">
        <v>5</v>
      </c>
      <c r="AO167" s="26">
        <v>2</v>
      </c>
      <c r="AP167" s="15">
        <v>3.5</v>
      </c>
      <c r="AQ167" s="15">
        <v>6.5</v>
      </c>
      <c r="AR167" s="15">
        <v>8.75</v>
      </c>
      <c r="AS167" s="26">
        <v>1270.5</v>
      </c>
      <c r="AT167" s="26">
        <v>6029</v>
      </c>
      <c r="AU167" s="26">
        <v>7340.75</v>
      </c>
      <c r="AV167" s="26">
        <v>17339.25</v>
      </c>
      <c r="AW167" s="26">
        <v>1202.5</v>
      </c>
      <c r="AX167" s="26">
        <v>2229.375</v>
      </c>
      <c r="AY167" s="26">
        <v>7154.7291666666997</v>
      </c>
      <c r="AZ167" s="26">
        <v>3186.4715909091001</v>
      </c>
      <c r="BA167" s="23">
        <f t="shared" si="8"/>
        <v>1</v>
      </c>
      <c r="BB167" s="24">
        <v>21</v>
      </c>
    </row>
    <row r="168" spans="1:54" x14ac:dyDescent="0.2">
      <c r="A168" s="5">
        <v>1226</v>
      </c>
      <c r="B168" s="20" t="s">
        <v>68</v>
      </c>
      <c r="C168" s="18" t="s">
        <v>54</v>
      </c>
      <c r="D168" s="18">
        <v>5</v>
      </c>
      <c r="E168" s="18">
        <v>0</v>
      </c>
      <c r="F168" s="18" t="s">
        <v>9</v>
      </c>
      <c r="G168" s="18">
        <v>30</v>
      </c>
      <c r="H168" s="22">
        <v>3.890485968514716</v>
      </c>
      <c r="I168" s="22">
        <v>5.3689253935660508</v>
      </c>
      <c r="J168" s="22">
        <v>9.2594113620807672</v>
      </c>
      <c r="K168" s="22" t="s">
        <v>8</v>
      </c>
      <c r="L168" s="22" t="s">
        <v>8</v>
      </c>
      <c r="M168" s="22" t="s">
        <v>8</v>
      </c>
      <c r="N168" s="22">
        <v>4.2053388090349078</v>
      </c>
      <c r="O168" s="22">
        <v>4.991101984941821</v>
      </c>
      <c r="P168" s="22">
        <v>9.1964407939767288</v>
      </c>
      <c r="Q168" s="22">
        <v>3.4140999315537304</v>
      </c>
      <c r="R168" s="22">
        <v>6.3189596167008899</v>
      </c>
      <c r="S168" s="22">
        <v>9.7330595482546194</v>
      </c>
      <c r="T168" s="30">
        <v>3</v>
      </c>
      <c r="U168" s="30">
        <v>15</v>
      </c>
      <c r="V168" s="20" t="s">
        <v>1</v>
      </c>
      <c r="W168" s="20">
        <v>5</v>
      </c>
      <c r="X168" s="20">
        <v>2</v>
      </c>
      <c r="Y168" s="5">
        <v>1</v>
      </c>
      <c r="Z168" s="24">
        <v>4</v>
      </c>
      <c r="AA168" s="23">
        <f t="shared" si="6"/>
        <v>1</v>
      </c>
      <c r="AB168" s="15">
        <v>0.875</v>
      </c>
      <c r="AC168" s="15">
        <v>0.875</v>
      </c>
      <c r="AD168" s="15">
        <v>0.625</v>
      </c>
      <c r="AE168" s="15">
        <v>0.79200000000000004</v>
      </c>
      <c r="AF168" s="20">
        <v>19</v>
      </c>
      <c r="AG168" s="20">
        <v>8.2200000000000006</v>
      </c>
      <c r="AH168" s="24">
        <v>24</v>
      </c>
      <c r="AI168" s="23">
        <f t="shared" si="7"/>
        <v>1</v>
      </c>
      <c r="AJ168" s="17">
        <v>6.5</v>
      </c>
      <c r="AK168" s="17">
        <v>10</v>
      </c>
      <c r="AL168" s="14">
        <v>16.5</v>
      </c>
      <c r="AM168" s="23" cm="1">
        <f t="array" ref="AM168">IF(OR(AN168:AZ168=""),"BLANK",IF(AND(AN168:AZ168&lt;9999999),1,IF(AND(AN168:AZ168="NA"),3,2)))</f>
        <v>1</v>
      </c>
      <c r="AN168" s="20">
        <v>11</v>
      </c>
      <c r="AO168" s="26">
        <v>2</v>
      </c>
      <c r="AP168" s="15">
        <v>3</v>
      </c>
      <c r="AQ168" s="15">
        <v>5.25</v>
      </c>
      <c r="AR168" s="15">
        <v>5</v>
      </c>
      <c r="AS168" s="26">
        <v>1083.5</v>
      </c>
      <c r="AT168" s="26">
        <v>4711.5</v>
      </c>
      <c r="AU168" s="26">
        <v>3704.5</v>
      </c>
      <c r="AV168" s="26">
        <v>4584.25</v>
      </c>
      <c r="AW168" s="26">
        <v>0</v>
      </c>
      <c r="AX168" s="26">
        <v>0</v>
      </c>
      <c r="AY168" s="26">
        <v>173.8125</v>
      </c>
      <c r="AZ168" s="26">
        <v>0</v>
      </c>
      <c r="BA168" s="23">
        <f t="shared" si="8"/>
        <v>1</v>
      </c>
      <c r="BB168" s="24">
        <v>24</v>
      </c>
    </row>
    <row r="169" spans="1:54" x14ac:dyDescent="0.2">
      <c r="A169" s="5">
        <v>1240</v>
      </c>
      <c r="B169" s="20" t="s">
        <v>77</v>
      </c>
      <c r="C169" s="18" t="s">
        <v>54</v>
      </c>
      <c r="D169" s="18">
        <v>5</v>
      </c>
      <c r="E169" s="18">
        <v>0</v>
      </c>
      <c r="F169" s="18" t="s">
        <v>9</v>
      </c>
      <c r="G169" s="18">
        <v>30</v>
      </c>
      <c r="H169" s="22">
        <v>3.9671457905544147</v>
      </c>
      <c r="I169" s="22">
        <v>4.9774127310061598</v>
      </c>
      <c r="J169" s="22">
        <v>8.944558521560575</v>
      </c>
      <c r="K169" s="22">
        <v>3.9671457905544147</v>
      </c>
      <c r="L169" s="22">
        <v>4.9774127310061598</v>
      </c>
      <c r="M169" s="22">
        <v>8.944558521560575</v>
      </c>
      <c r="N169" s="22">
        <v>3.9589322381930185</v>
      </c>
      <c r="O169" s="22">
        <v>4.9253935660506505</v>
      </c>
      <c r="P169" s="22">
        <v>8.8843258042436695</v>
      </c>
      <c r="Q169" s="22">
        <v>3.1649555099247091</v>
      </c>
      <c r="R169" s="22">
        <v>5.935660506502396</v>
      </c>
      <c r="S169" s="22">
        <v>9.1006160164271055</v>
      </c>
      <c r="T169" s="30">
        <v>4</v>
      </c>
      <c r="U169" s="30">
        <v>16</v>
      </c>
      <c r="V169" s="20" t="s">
        <v>1</v>
      </c>
      <c r="W169" s="20">
        <v>5</v>
      </c>
      <c r="X169" s="20">
        <v>2</v>
      </c>
      <c r="Y169" s="5">
        <v>1</v>
      </c>
      <c r="Z169" s="24">
        <v>4</v>
      </c>
      <c r="AA169" s="23">
        <f t="shared" si="6"/>
        <v>1</v>
      </c>
      <c r="AB169" s="15">
        <v>1</v>
      </c>
      <c r="AC169" s="15">
        <v>1</v>
      </c>
      <c r="AD169" s="15">
        <v>0.75</v>
      </c>
      <c r="AE169" s="15">
        <v>0.91700000000000004</v>
      </c>
      <c r="AF169" s="20">
        <v>22</v>
      </c>
      <c r="AG169" s="20">
        <v>4.37</v>
      </c>
      <c r="AH169" s="24">
        <v>24</v>
      </c>
      <c r="AI169" s="23">
        <f t="shared" si="7"/>
        <v>1</v>
      </c>
      <c r="AJ169" s="17">
        <v>13</v>
      </c>
      <c r="AK169" s="17">
        <v>13</v>
      </c>
      <c r="AL169" s="14">
        <v>26</v>
      </c>
      <c r="AM169" s="23" cm="1">
        <f t="array" ref="AM169">IF(OR(AN169:AZ169=""),"BLANK",IF(AND(AN169:AZ169&lt;9999999),1,IF(AND(AN169:AZ169="NA"),3,2)))</f>
        <v>1</v>
      </c>
      <c r="AN169" s="20">
        <v>11</v>
      </c>
      <c r="AO169" s="26">
        <v>2</v>
      </c>
      <c r="AP169" s="15">
        <v>3</v>
      </c>
      <c r="AQ169" s="15">
        <v>4</v>
      </c>
      <c r="AR169" s="15">
        <v>5.25</v>
      </c>
      <c r="AS169" s="26">
        <v>0</v>
      </c>
      <c r="AT169" s="26">
        <v>2497</v>
      </c>
      <c r="AU169" s="26">
        <v>6495.25</v>
      </c>
      <c r="AV169" s="26">
        <v>11590.25</v>
      </c>
      <c r="AW169" s="26">
        <v>222</v>
      </c>
      <c r="AX169" s="26">
        <v>195.3333333333</v>
      </c>
      <c r="AY169" s="26">
        <v>0</v>
      </c>
      <c r="AZ169" s="26">
        <v>3257.75</v>
      </c>
      <c r="BA169" s="23">
        <f t="shared" si="8"/>
        <v>1</v>
      </c>
      <c r="BB169" s="24">
        <v>39</v>
      </c>
    </row>
    <row r="170" spans="1:54" x14ac:dyDescent="0.2">
      <c r="A170" s="5">
        <v>1245</v>
      </c>
      <c r="B170" s="20" t="s">
        <v>70</v>
      </c>
      <c r="C170" s="18" t="s">
        <v>55</v>
      </c>
      <c r="D170" s="18">
        <v>3</v>
      </c>
      <c r="E170" s="18">
        <v>1</v>
      </c>
      <c r="F170" s="18" t="s">
        <v>9</v>
      </c>
      <c r="G170" s="18">
        <v>29</v>
      </c>
      <c r="H170" s="22">
        <v>3.9835728952772076</v>
      </c>
      <c r="I170" s="22">
        <v>5.2813141683778237</v>
      </c>
      <c r="J170" s="22">
        <v>9.2648870636550313</v>
      </c>
      <c r="K170" s="22">
        <v>4.991101984941821</v>
      </c>
      <c r="L170" s="22">
        <v>4.2737850787132103</v>
      </c>
      <c r="M170" s="22">
        <v>9.2648870636550313</v>
      </c>
      <c r="N170" s="22">
        <v>3.9726214921286789</v>
      </c>
      <c r="O170" s="22">
        <v>5.0540725530458586</v>
      </c>
      <c r="P170" s="22">
        <v>9.0266940451745388</v>
      </c>
      <c r="Q170" s="22" t="s">
        <v>8</v>
      </c>
      <c r="R170" s="22" t="s">
        <v>8</v>
      </c>
      <c r="S170" s="22" t="s">
        <v>8</v>
      </c>
      <c r="T170" s="30">
        <v>7</v>
      </c>
      <c r="U170" s="30">
        <v>21</v>
      </c>
      <c r="V170" s="20" t="s">
        <v>1</v>
      </c>
      <c r="W170" s="20">
        <v>5</v>
      </c>
      <c r="X170" s="20">
        <v>2</v>
      </c>
      <c r="Y170" s="5">
        <v>1</v>
      </c>
      <c r="Z170" s="24">
        <v>4</v>
      </c>
      <c r="AA170" s="23">
        <f t="shared" si="6"/>
        <v>2</v>
      </c>
      <c r="AB170" s="15" t="s">
        <v>8</v>
      </c>
      <c r="AC170" s="15" t="s">
        <v>8</v>
      </c>
      <c r="AD170" s="15" t="s">
        <v>8</v>
      </c>
      <c r="AE170" s="15" t="s">
        <v>8</v>
      </c>
      <c r="AF170" s="20" t="s">
        <v>8</v>
      </c>
      <c r="AG170" s="20" t="s">
        <v>8</v>
      </c>
      <c r="AH170" s="24">
        <v>0</v>
      </c>
      <c r="AI170" s="23">
        <f t="shared" si="7"/>
        <v>3</v>
      </c>
      <c r="AJ170" s="17" t="s">
        <v>8</v>
      </c>
      <c r="AK170" s="17" t="s">
        <v>8</v>
      </c>
      <c r="AL170" s="14" t="s">
        <v>8</v>
      </c>
      <c r="AM170" s="23" cm="1">
        <f t="array" ref="AM170">IF(OR(AN170:AZ170=""),"BLANK",IF(AND(AN170:AZ170&lt;9999999),1,IF(AND(AN170:AZ170="NA"),3,2)))</f>
        <v>1</v>
      </c>
      <c r="AN170" s="20">
        <v>9</v>
      </c>
      <c r="AO170" s="26">
        <v>2</v>
      </c>
      <c r="AP170" s="15">
        <v>4</v>
      </c>
      <c r="AQ170" s="15">
        <v>4</v>
      </c>
      <c r="AR170" s="15">
        <v>6.75</v>
      </c>
      <c r="AS170" s="26">
        <v>1535</v>
      </c>
      <c r="AT170" s="26">
        <v>12362</v>
      </c>
      <c r="AU170" s="26">
        <v>26665.75</v>
      </c>
      <c r="AV170" s="26">
        <v>13298</v>
      </c>
      <c r="AW170" s="26">
        <v>0</v>
      </c>
      <c r="AX170" s="26">
        <v>1820.8333333333001</v>
      </c>
      <c r="AY170" s="26">
        <v>311.5</v>
      </c>
      <c r="AZ170" s="26">
        <v>6908.1590909091001</v>
      </c>
      <c r="BA170" s="23">
        <f t="shared" si="8"/>
        <v>3</v>
      </c>
      <c r="BB170" s="24" t="s">
        <v>8</v>
      </c>
    </row>
    <row r="171" spans="1:54" x14ac:dyDescent="0.2">
      <c r="A171" s="5">
        <v>1267</v>
      </c>
      <c r="B171" s="20" t="s">
        <v>72</v>
      </c>
      <c r="C171" s="18" t="s">
        <v>54</v>
      </c>
      <c r="D171" s="18">
        <v>6</v>
      </c>
      <c r="E171" s="18">
        <v>1</v>
      </c>
      <c r="F171" s="18" t="s">
        <v>9</v>
      </c>
      <c r="G171" s="18">
        <v>30</v>
      </c>
      <c r="H171" s="22">
        <v>4.0027378507871321</v>
      </c>
      <c r="I171" s="22" t="s">
        <v>8</v>
      </c>
      <c r="J171" s="22" t="s">
        <v>8</v>
      </c>
      <c r="K171" s="22">
        <v>4.0027378507871321</v>
      </c>
      <c r="L171" s="22" t="s">
        <v>8</v>
      </c>
      <c r="M171" s="22" t="s">
        <v>8</v>
      </c>
      <c r="N171" s="22">
        <v>3.9917864476386038</v>
      </c>
      <c r="O171" s="22" t="s">
        <v>8</v>
      </c>
      <c r="P171" s="22" t="s">
        <v>8</v>
      </c>
      <c r="Q171" s="22" t="s">
        <v>8</v>
      </c>
      <c r="R171" s="22" t="s">
        <v>8</v>
      </c>
      <c r="S171" s="22" t="s">
        <v>8</v>
      </c>
      <c r="T171" s="30">
        <v>4</v>
      </c>
      <c r="U171" s="30">
        <v>16</v>
      </c>
      <c r="V171" s="20" t="s">
        <v>1</v>
      </c>
      <c r="W171" s="20">
        <v>5</v>
      </c>
      <c r="X171" s="20">
        <v>2</v>
      </c>
      <c r="Y171" s="5">
        <v>1</v>
      </c>
      <c r="Z171" s="24">
        <v>4</v>
      </c>
      <c r="AA171" s="23">
        <f t="shared" si="6"/>
        <v>1</v>
      </c>
      <c r="AB171" s="15">
        <v>1</v>
      </c>
      <c r="AC171" s="15">
        <v>0.875</v>
      </c>
      <c r="AD171" s="15">
        <v>0.5</v>
      </c>
      <c r="AE171" s="15">
        <v>0.79200000000000004</v>
      </c>
      <c r="AF171" s="20">
        <v>19</v>
      </c>
      <c r="AG171" s="20">
        <v>10.7</v>
      </c>
      <c r="AH171" s="24">
        <v>24</v>
      </c>
      <c r="AI171" s="23">
        <f t="shared" si="7"/>
        <v>1</v>
      </c>
      <c r="AJ171" s="17">
        <v>10</v>
      </c>
      <c r="AK171" s="17">
        <v>12.5</v>
      </c>
      <c r="AL171" s="14">
        <v>22.5</v>
      </c>
      <c r="AM171" s="23" cm="1">
        <f t="array" ref="AM171">IF(OR(AN171:AZ171=""),"BLANK",IF(AND(AN171:AZ171&lt;9999999),1,IF(AND(AN171:AZ171="NA"),3,2)))</f>
        <v>1</v>
      </c>
      <c r="AN171" s="20">
        <v>11</v>
      </c>
      <c r="AO171" s="26">
        <v>2</v>
      </c>
      <c r="AP171" s="15">
        <v>3.5</v>
      </c>
      <c r="AQ171" s="15">
        <v>4</v>
      </c>
      <c r="AR171" s="15">
        <v>5</v>
      </c>
      <c r="AS171" s="26">
        <v>1793.5</v>
      </c>
      <c r="AT171" s="26">
        <v>6793</v>
      </c>
      <c r="AU171" s="26">
        <v>5915.75</v>
      </c>
      <c r="AV171" s="26">
        <v>7782</v>
      </c>
      <c r="AW171" s="26">
        <v>307.25</v>
      </c>
      <c r="AX171" s="26">
        <v>714.70833333329995</v>
      </c>
      <c r="AY171" s="26">
        <v>122.125</v>
      </c>
      <c r="AZ171" s="26">
        <v>0</v>
      </c>
      <c r="BA171" s="23">
        <f t="shared" si="8"/>
        <v>1</v>
      </c>
      <c r="BB171" s="24">
        <v>36</v>
      </c>
    </row>
    <row r="172" spans="1:54" x14ac:dyDescent="0.2">
      <c r="A172" s="5">
        <v>1272</v>
      </c>
      <c r="B172" s="20" t="s">
        <v>84</v>
      </c>
      <c r="C172" s="18" t="s">
        <v>54</v>
      </c>
      <c r="D172" s="18">
        <v>1</v>
      </c>
      <c r="E172" s="18">
        <v>0</v>
      </c>
      <c r="F172" s="18" t="s">
        <v>9</v>
      </c>
      <c r="G172" s="18">
        <v>29</v>
      </c>
      <c r="H172" s="22">
        <v>4.3039014373716631</v>
      </c>
      <c r="I172" s="22" t="s">
        <v>8</v>
      </c>
      <c r="J172" s="22" t="s">
        <v>8</v>
      </c>
      <c r="K172" s="22">
        <v>4.2381930184804926</v>
      </c>
      <c r="L172" s="22" t="s">
        <v>8</v>
      </c>
      <c r="M172" s="22" t="s">
        <v>8</v>
      </c>
      <c r="N172" s="22">
        <v>4.2436687200547567</v>
      </c>
      <c r="O172" s="22" t="s">
        <v>8</v>
      </c>
      <c r="P172" s="22" t="s">
        <v>8</v>
      </c>
      <c r="Q172" s="22" t="s">
        <v>8</v>
      </c>
      <c r="R172" s="22" t="s">
        <v>8</v>
      </c>
      <c r="S172" s="22" t="s">
        <v>8</v>
      </c>
      <c r="T172" s="30">
        <v>7</v>
      </c>
      <c r="U172" s="30">
        <v>21</v>
      </c>
      <c r="V172" s="20" t="s">
        <v>1</v>
      </c>
      <c r="W172" s="20">
        <v>5</v>
      </c>
      <c r="X172" s="20">
        <v>2</v>
      </c>
      <c r="Y172" s="5">
        <v>1</v>
      </c>
      <c r="Z172" s="24">
        <v>4</v>
      </c>
      <c r="AA172" s="23">
        <f t="shared" si="6"/>
        <v>1</v>
      </c>
      <c r="AB172" s="15">
        <v>1</v>
      </c>
      <c r="AC172" s="15">
        <v>1</v>
      </c>
      <c r="AD172" s="15">
        <v>0.5</v>
      </c>
      <c r="AE172" s="15">
        <v>0.83299999999999996</v>
      </c>
      <c r="AF172" s="20">
        <v>20</v>
      </c>
      <c r="AG172" s="20">
        <v>10.5</v>
      </c>
      <c r="AH172" s="24">
        <v>24</v>
      </c>
      <c r="AI172" s="23">
        <f t="shared" si="7"/>
        <v>1</v>
      </c>
      <c r="AJ172" s="17">
        <v>6.25</v>
      </c>
      <c r="AK172" s="17">
        <v>6.25</v>
      </c>
      <c r="AL172" s="14">
        <v>12.5</v>
      </c>
      <c r="AM172" s="23" cm="1">
        <f t="array" ref="AM172">IF(OR(AN172:AZ172=""),"BLANK",IF(AND(AN172:AZ172&lt;9999999),1,IF(AND(AN172:AZ172="NA"),3,2)))</f>
        <v>1</v>
      </c>
      <c r="AN172" s="20">
        <v>6</v>
      </c>
      <c r="AO172" s="26">
        <v>2</v>
      </c>
      <c r="AP172" s="15">
        <v>3.5</v>
      </c>
      <c r="AQ172" s="15">
        <v>5.25</v>
      </c>
      <c r="AR172" s="15">
        <v>9</v>
      </c>
      <c r="AS172" s="26">
        <v>132.5</v>
      </c>
      <c r="AT172" s="26">
        <v>0</v>
      </c>
      <c r="AU172" s="26">
        <v>5054.25</v>
      </c>
      <c r="AV172" s="26">
        <v>18751.5</v>
      </c>
      <c r="AW172" s="26">
        <v>0</v>
      </c>
      <c r="AX172" s="26">
        <v>0</v>
      </c>
      <c r="AY172" s="26">
        <v>361.13749999999999</v>
      </c>
      <c r="AZ172" s="26">
        <v>1788.4101190475999</v>
      </c>
      <c r="BA172" s="23">
        <f t="shared" si="8"/>
        <v>1</v>
      </c>
      <c r="BB172" s="24">
        <v>31</v>
      </c>
    </row>
    <row r="173" spans="1:54" x14ac:dyDescent="0.2">
      <c r="A173" s="5">
        <v>1316</v>
      </c>
      <c r="B173" s="20" t="s">
        <v>67</v>
      </c>
      <c r="C173" s="18" t="s">
        <v>55</v>
      </c>
      <c r="D173" s="18">
        <v>5</v>
      </c>
      <c r="E173" s="18">
        <v>0</v>
      </c>
      <c r="F173" s="18" t="s">
        <v>9</v>
      </c>
      <c r="G173" s="18">
        <v>29</v>
      </c>
      <c r="H173" s="22">
        <v>3.9671457905544147</v>
      </c>
      <c r="I173" s="22">
        <v>5.1827515400410675</v>
      </c>
      <c r="J173" s="22">
        <v>9.1498973305954827</v>
      </c>
      <c r="K173" s="22">
        <v>3.9671457905544147</v>
      </c>
      <c r="L173" s="22">
        <v>5.4510609171800137</v>
      </c>
      <c r="M173" s="22">
        <v>9.4182067077344289</v>
      </c>
      <c r="N173" s="22">
        <v>3.9945242984257359</v>
      </c>
      <c r="O173" s="22">
        <v>4.8459958932238196</v>
      </c>
      <c r="P173" s="22">
        <v>8.8405201916495546</v>
      </c>
      <c r="Q173" s="22">
        <v>3.3210130047912387</v>
      </c>
      <c r="R173" s="22">
        <v>5.9137577002053385</v>
      </c>
      <c r="S173" s="22">
        <v>9.2347707049965777</v>
      </c>
      <c r="T173" s="30" t="s">
        <v>8</v>
      </c>
      <c r="U173" s="30" t="s">
        <v>8</v>
      </c>
      <c r="V173" s="20" t="s">
        <v>1</v>
      </c>
      <c r="W173" s="20">
        <v>5</v>
      </c>
      <c r="X173" s="20">
        <v>2</v>
      </c>
      <c r="Y173" s="5">
        <v>1</v>
      </c>
      <c r="Z173" s="24">
        <v>4</v>
      </c>
      <c r="AA173" s="23">
        <f t="shared" si="6"/>
        <v>1</v>
      </c>
      <c r="AB173" s="15">
        <v>0.875</v>
      </c>
      <c r="AC173" s="15">
        <v>1</v>
      </c>
      <c r="AD173" s="15">
        <v>0.75</v>
      </c>
      <c r="AE173" s="15">
        <v>0.875</v>
      </c>
      <c r="AF173" s="20">
        <v>21</v>
      </c>
      <c r="AG173" s="20">
        <v>5.58</v>
      </c>
      <c r="AH173" s="24">
        <v>24</v>
      </c>
      <c r="AI173" s="23">
        <f t="shared" si="7"/>
        <v>1</v>
      </c>
      <c r="AJ173" s="17">
        <v>14</v>
      </c>
      <c r="AK173" s="17">
        <v>9.5</v>
      </c>
      <c r="AL173" s="14">
        <v>23.5</v>
      </c>
      <c r="AM173" s="23" cm="1">
        <f t="array" ref="AM173">IF(OR(AN173:AZ173=""),"BLANK",IF(AND(AN173:AZ173&lt;9999999),1,IF(AND(AN173:AZ173="NA"),3,2)))</f>
        <v>1</v>
      </c>
      <c r="AN173" s="20">
        <v>11</v>
      </c>
      <c r="AO173" s="26">
        <v>2</v>
      </c>
      <c r="AP173" s="15">
        <v>3</v>
      </c>
      <c r="AQ173" s="15">
        <v>5</v>
      </c>
      <c r="AR173" s="15">
        <v>5</v>
      </c>
      <c r="AS173" s="26">
        <v>1247</v>
      </c>
      <c r="AT173" s="26">
        <v>1864</v>
      </c>
      <c r="AU173" s="26">
        <v>4067.25</v>
      </c>
      <c r="AV173" s="26">
        <v>3647.75</v>
      </c>
      <c r="AW173" s="26">
        <v>0</v>
      </c>
      <c r="AX173" s="26">
        <v>2164.6666666667002</v>
      </c>
      <c r="AY173" s="26">
        <v>0</v>
      </c>
      <c r="AZ173" s="26">
        <v>0</v>
      </c>
      <c r="BA173" s="23">
        <f t="shared" si="8"/>
        <v>1</v>
      </c>
      <c r="BB173" s="24">
        <v>38</v>
      </c>
    </row>
    <row r="174" spans="1:54" x14ac:dyDescent="0.2">
      <c r="A174" s="5">
        <v>1356</v>
      </c>
      <c r="B174" s="20" t="s">
        <v>66</v>
      </c>
      <c r="C174" s="18" t="s">
        <v>54</v>
      </c>
      <c r="D174" s="18">
        <v>5</v>
      </c>
      <c r="E174" s="18">
        <v>0</v>
      </c>
      <c r="F174" s="18" t="s">
        <v>9</v>
      </c>
      <c r="G174" s="18">
        <v>30</v>
      </c>
      <c r="H174" s="22">
        <v>4.0301163586584527</v>
      </c>
      <c r="I174" s="22">
        <v>5.3497604380561263</v>
      </c>
      <c r="J174" s="22">
        <v>9.3798767967145782</v>
      </c>
      <c r="K174" s="22">
        <v>4.0301163586584527</v>
      </c>
      <c r="L174" s="22">
        <v>5.3497604380561263</v>
      </c>
      <c r="M174" s="22">
        <v>9.3798767967145782</v>
      </c>
      <c r="N174" s="22">
        <v>4.0273785078713207</v>
      </c>
      <c r="O174" s="22">
        <v>5.330595482546201</v>
      </c>
      <c r="P174" s="22">
        <v>9.3579739904175216</v>
      </c>
      <c r="Q174" s="22">
        <v>3.3127994524298425</v>
      </c>
      <c r="R174" s="22" t="s">
        <v>8</v>
      </c>
      <c r="S174" s="22" t="s">
        <v>8</v>
      </c>
      <c r="T174" s="30">
        <v>3</v>
      </c>
      <c r="U174" s="30">
        <v>14</v>
      </c>
      <c r="V174" s="20" t="s">
        <v>1</v>
      </c>
      <c r="W174" s="20">
        <v>5</v>
      </c>
      <c r="X174" s="20">
        <v>2</v>
      </c>
      <c r="Y174" s="5">
        <v>1</v>
      </c>
      <c r="Z174" s="24">
        <v>4</v>
      </c>
      <c r="AA174" s="23">
        <f t="shared" si="6"/>
        <v>1</v>
      </c>
      <c r="AB174" s="15">
        <v>1</v>
      </c>
      <c r="AC174" s="15">
        <v>1</v>
      </c>
      <c r="AD174" s="15">
        <v>0.875</v>
      </c>
      <c r="AE174" s="15">
        <v>0.95799999999999996</v>
      </c>
      <c r="AF174" s="20">
        <v>23</v>
      </c>
      <c r="AG174" s="20">
        <v>5.63</v>
      </c>
      <c r="AH174" s="24">
        <v>24</v>
      </c>
      <c r="AI174" s="23">
        <f t="shared" si="7"/>
        <v>1</v>
      </c>
      <c r="AJ174" s="17">
        <v>11.5</v>
      </c>
      <c r="AK174" s="17">
        <v>11.75</v>
      </c>
      <c r="AL174" s="14">
        <v>23.25</v>
      </c>
      <c r="AM174" s="23" cm="1">
        <f t="array" ref="AM174">IF(OR(AN174:AZ174=""),"BLANK",IF(AND(AN174:AZ174&lt;9999999),1,IF(AND(AN174:AZ174="NA"),3,2)))</f>
        <v>1</v>
      </c>
      <c r="AN174" s="20">
        <v>10</v>
      </c>
      <c r="AO174" s="26">
        <v>2</v>
      </c>
      <c r="AP174" s="15">
        <v>3</v>
      </c>
      <c r="AQ174" s="15">
        <v>4.5</v>
      </c>
      <c r="AR174" s="15">
        <v>5.25</v>
      </c>
      <c r="AS174" s="26">
        <v>2256.5</v>
      </c>
      <c r="AT174" s="26">
        <v>3457</v>
      </c>
      <c r="AU174" s="26">
        <v>8750.5</v>
      </c>
      <c r="AV174" s="26">
        <v>5254.75</v>
      </c>
      <c r="AW174" s="26">
        <v>762.75</v>
      </c>
      <c r="AX174" s="26">
        <v>894.83333333329995</v>
      </c>
      <c r="AY174" s="26">
        <v>640.4375</v>
      </c>
      <c r="AZ174" s="26">
        <v>0</v>
      </c>
      <c r="BA174" s="23">
        <f t="shared" si="8"/>
        <v>1</v>
      </c>
      <c r="BB174" s="24">
        <v>36</v>
      </c>
    </row>
    <row r="175" spans="1:54" x14ac:dyDescent="0.2">
      <c r="A175" s="5">
        <v>1362</v>
      </c>
      <c r="B175" s="20" t="s">
        <v>78</v>
      </c>
      <c r="C175" s="18" t="s">
        <v>54</v>
      </c>
      <c r="D175" s="18">
        <v>3</v>
      </c>
      <c r="E175" s="18">
        <v>1</v>
      </c>
      <c r="F175" s="18" t="s">
        <v>9</v>
      </c>
      <c r="G175" s="18">
        <v>30</v>
      </c>
      <c r="H175" s="22">
        <v>3.9726214921286789</v>
      </c>
      <c r="I175" s="22">
        <v>5.1334702258726903</v>
      </c>
      <c r="J175" s="22">
        <v>9.1060917180013696</v>
      </c>
      <c r="K175" s="22">
        <v>3.9726214921286789</v>
      </c>
      <c r="L175" s="22">
        <v>5.4182067077344289</v>
      </c>
      <c r="M175" s="22">
        <v>9.3908281998631082</v>
      </c>
      <c r="N175" s="22" t="s">
        <v>8</v>
      </c>
      <c r="O175" s="22" t="s">
        <v>8</v>
      </c>
      <c r="P175" s="22">
        <v>9.0540725530458595</v>
      </c>
      <c r="Q175" s="22" t="s">
        <v>8</v>
      </c>
      <c r="R175" s="22" t="s">
        <v>8</v>
      </c>
      <c r="S175" s="22" t="s">
        <v>8</v>
      </c>
      <c r="T175" s="30">
        <v>6</v>
      </c>
      <c r="U175" s="30">
        <v>18</v>
      </c>
      <c r="V175" s="20" t="s">
        <v>1</v>
      </c>
      <c r="W175" s="20">
        <v>5</v>
      </c>
      <c r="X175" s="20">
        <v>2</v>
      </c>
      <c r="Y175" s="5">
        <v>1</v>
      </c>
      <c r="Z175" s="24">
        <v>4</v>
      </c>
      <c r="AA175" s="23">
        <f t="shared" si="6"/>
        <v>1</v>
      </c>
      <c r="AB175" s="15">
        <v>0.875</v>
      </c>
      <c r="AC175" s="15">
        <v>0.75</v>
      </c>
      <c r="AD175" s="15">
        <v>0.75</v>
      </c>
      <c r="AE175" s="15">
        <v>0.79200000000000004</v>
      </c>
      <c r="AF175" s="20">
        <v>19</v>
      </c>
      <c r="AG175" s="20">
        <v>9.52</v>
      </c>
      <c r="AH175" s="24">
        <v>24</v>
      </c>
      <c r="AI175" s="23">
        <f t="shared" si="7"/>
        <v>1</v>
      </c>
      <c r="AJ175" s="17">
        <v>7.75</v>
      </c>
      <c r="AK175" s="17">
        <v>6</v>
      </c>
      <c r="AL175" s="14">
        <v>13.75</v>
      </c>
      <c r="AM175" s="23" cm="1">
        <f t="array" ref="AM175">IF(OR(AN175:AZ175=""),"BLANK",IF(AND(AN175:AZ175&lt;9999999),1,IF(AND(AN175:AZ175="NA"),3,2)))</f>
        <v>1</v>
      </c>
      <c r="AN175" s="20">
        <v>8</v>
      </c>
      <c r="AO175" s="26">
        <v>2</v>
      </c>
      <c r="AP175" s="15">
        <v>3</v>
      </c>
      <c r="AQ175" s="15">
        <v>5.75</v>
      </c>
      <c r="AR175" s="15">
        <v>8.25</v>
      </c>
      <c r="AS175" s="26">
        <v>7341</v>
      </c>
      <c r="AT175" s="26">
        <v>12242.5</v>
      </c>
      <c r="AU175" s="26">
        <v>24307.75</v>
      </c>
      <c r="AV175" s="26">
        <v>18035.25</v>
      </c>
      <c r="AW175" s="26">
        <v>75</v>
      </c>
      <c r="AX175" s="26">
        <v>763.33333333329995</v>
      </c>
      <c r="AY175" s="26">
        <v>17635.083333333299</v>
      </c>
      <c r="AZ175" s="26">
        <v>6442.1579545454997</v>
      </c>
      <c r="BA175" s="23">
        <f t="shared" si="8"/>
        <v>1</v>
      </c>
      <c r="BB175" s="24">
        <v>34</v>
      </c>
    </row>
    <row r="176" spans="1:54" x14ac:dyDescent="0.2">
      <c r="A176" s="5">
        <v>1370</v>
      </c>
      <c r="B176" s="20" t="s">
        <v>76</v>
      </c>
      <c r="C176" s="18" t="s">
        <v>54</v>
      </c>
      <c r="D176" s="18">
        <v>1</v>
      </c>
      <c r="E176" s="18">
        <v>0</v>
      </c>
      <c r="F176" s="18" t="s">
        <v>9</v>
      </c>
      <c r="G176" s="18">
        <v>30</v>
      </c>
      <c r="H176" s="22">
        <v>4.1396303901437372</v>
      </c>
      <c r="I176" s="22">
        <v>5.1006160164271046</v>
      </c>
      <c r="J176" s="22">
        <v>9.2402464065708418</v>
      </c>
      <c r="K176" s="22">
        <v>4.1396303901437372</v>
      </c>
      <c r="L176" s="22">
        <v>5.1006160164271046</v>
      </c>
      <c r="M176" s="22">
        <v>9.2402464065708418</v>
      </c>
      <c r="N176" s="22">
        <v>4.1560574948665296</v>
      </c>
      <c r="O176" s="22">
        <v>5.0431211498973303</v>
      </c>
      <c r="P176" s="22">
        <v>9.1991786447638599</v>
      </c>
      <c r="Q176" s="22" t="s">
        <v>8</v>
      </c>
      <c r="R176" s="22" t="s">
        <v>8</v>
      </c>
      <c r="S176" s="22" t="s">
        <v>8</v>
      </c>
      <c r="T176" s="30">
        <v>7</v>
      </c>
      <c r="U176" s="30">
        <v>21</v>
      </c>
      <c r="V176" s="20" t="s">
        <v>1</v>
      </c>
      <c r="W176" s="20">
        <v>5</v>
      </c>
      <c r="X176" s="20">
        <v>2</v>
      </c>
      <c r="Y176" s="5">
        <v>1</v>
      </c>
      <c r="Z176" s="24">
        <v>4</v>
      </c>
      <c r="AA176" s="23">
        <f t="shared" si="6"/>
        <v>1</v>
      </c>
      <c r="AB176" s="15">
        <v>1</v>
      </c>
      <c r="AC176" s="15">
        <v>1</v>
      </c>
      <c r="AD176" s="15">
        <v>0.75</v>
      </c>
      <c r="AE176" s="15">
        <v>0.91700000000000004</v>
      </c>
      <c r="AF176" s="20">
        <v>22</v>
      </c>
      <c r="AG176" s="20">
        <v>10.48</v>
      </c>
      <c r="AH176" s="24">
        <v>24</v>
      </c>
      <c r="AI176" s="23">
        <f t="shared" si="7"/>
        <v>1</v>
      </c>
      <c r="AJ176" s="17">
        <v>14</v>
      </c>
      <c r="AK176" s="17">
        <v>14</v>
      </c>
      <c r="AL176" s="14">
        <v>28</v>
      </c>
      <c r="AM176" s="23" cm="1">
        <f t="array" ref="AM176">IF(OR(AN176:AZ176=""),"BLANK",IF(AND(AN176:AZ176&lt;9999999),1,IF(AND(AN176:AZ176="NA"),3,2)))</f>
        <v>1</v>
      </c>
      <c r="AN176" s="20">
        <v>11</v>
      </c>
      <c r="AO176" s="26">
        <v>2</v>
      </c>
      <c r="AP176" s="15">
        <v>3</v>
      </c>
      <c r="AQ176" s="15">
        <v>4</v>
      </c>
      <c r="AR176" s="15">
        <v>6.75</v>
      </c>
      <c r="AS176" s="26">
        <v>212.5</v>
      </c>
      <c r="AT176" s="26">
        <v>2874.5</v>
      </c>
      <c r="AU176" s="26">
        <v>2149.5</v>
      </c>
      <c r="AV176" s="26">
        <v>4566.25</v>
      </c>
      <c r="AW176" s="26">
        <v>0</v>
      </c>
      <c r="AX176" s="26">
        <v>0</v>
      </c>
      <c r="AY176" s="26">
        <v>177.25</v>
      </c>
      <c r="AZ176" s="26">
        <v>111.90833333330001</v>
      </c>
      <c r="BA176" s="23">
        <f t="shared" si="8"/>
        <v>1</v>
      </c>
      <c r="BB176" s="24">
        <v>38</v>
      </c>
    </row>
    <row r="177" spans="1:54" x14ac:dyDescent="0.2">
      <c r="A177" s="5">
        <v>1402</v>
      </c>
      <c r="B177" s="20" t="s">
        <v>74</v>
      </c>
      <c r="C177" s="18" t="s">
        <v>55</v>
      </c>
      <c r="D177" s="18">
        <v>5</v>
      </c>
      <c r="E177" s="18">
        <v>0</v>
      </c>
      <c r="F177" s="18" t="s">
        <v>9</v>
      </c>
      <c r="G177" s="18">
        <v>30</v>
      </c>
      <c r="H177" s="22">
        <v>3.9726214921286789</v>
      </c>
      <c r="I177" s="22">
        <v>5.2238193018480494</v>
      </c>
      <c r="J177" s="22">
        <v>9.1964407939767288</v>
      </c>
      <c r="K177" s="22">
        <v>3.9726214921286789</v>
      </c>
      <c r="L177" s="22">
        <v>5.2238193018480494</v>
      </c>
      <c r="M177" s="22">
        <v>9.1964407939767288</v>
      </c>
      <c r="N177" s="22" t="s">
        <v>8</v>
      </c>
      <c r="O177" s="22" t="s">
        <v>8</v>
      </c>
      <c r="P177" s="22">
        <v>8.9117043121149901</v>
      </c>
      <c r="Q177" s="22" t="s">
        <v>8</v>
      </c>
      <c r="R177" s="22" t="s">
        <v>8</v>
      </c>
      <c r="S177" s="22" t="s">
        <v>8</v>
      </c>
      <c r="T177" s="30">
        <v>6</v>
      </c>
      <c r="U177" s="30">
        <v>18</v>
      </c>
      <c r="V177" s="20" t="s">
        <v>1</v>
      </c>
      <c r="W177" s="20">
        <v>5</v>
      </c>
      <c r="X177" s="20">
        <v>2</v>
      </c>
      <c r="Y177" s="5">
        <v>1</v>
      </c>
      <c r="Z177" s="24">
        <v>4</v>
      </c>
      <c r="AA177" s="23">
        <f t="shared" si="6"/>
        <v>1</v>
      </c>
      <c r="AB177" s="15">
        <v>1</v>
      </c>
      <c r="AC177" s="15">
        <v>0.875</v>
      </c>
      <c r="AD177" s="15">
        <v>0.625</v>
      </c>
      <c r="AE177" s="15">
        <v>0.83299999999999996</v>
      </c>
      <c r="AF177" s="20">
        <v>20</v>
      </c>
      <c r="AG177" s="20">
        <v>8.68</v>
      </c>
      <c r="AH177" s="24">
        <v>24</v>
      </c>
      <c r="AI177" s="23">
        <f t="shared" si="7"/>
        <v>1</v>
      </c>
      <c r="AJ177" s="17">
        <v>10.75</v>
      </c>
      <c r="AK177" s="17">
        <v>9.75</v>
      </c>
      <c r="AL177" s="14">
        <v>20.5</v>
      </c>
      <c r="AM177" s="23" cm="1">
        <f t="array" ref="AM177">IF(OR(AN177:AZ177=""),"BLANK",IF(AND(AN177:AZ177&lt;9999999),1,IF(AND(AN177:AZ177="NA"),3,2)))</f>
        <v>1</v>
      </c>
      <c r="AN177" s="20">
        <v>11</v>
      </c>
      <c r="AO177" s="26">
        <v>2</v>
      </c>
      <c r="AP177" s="15">
        <v>3</v>
      </c>
      <c r="AQ177" s="15">
        <v>4.5</v>
      </c>
      <c r="AR177" s="15">
        <v>5</v>
      </c>
      <c r="AS177" s="26">
        <v>930</v>
      </c>
      <c r="AT177" s="26">
        <v>7229.5</v>
      </c>
      <c r="AU177" s="26">
        <v>4422.75</v>
      </c>
      <c r="AV177" s="26">
        <v>19172.75</v>
      </c>
      <c r="AW177" s="26">
        <v>0</v>
      </c>
      <c r="AX177" s="26">
        <v>0</v>
      </c>
      <c r="AY177" s="26">
        <v>585.6875</v>
      </c>
      <c r="AZ177" s="26">
        <v>1920.05</v>
      </c>
      <c r="BA177" s="23">
        <f t="shared" si="8"/>
        <v>1</v>
      </c>
      <c r="BB177" s="24">
        <v>39</v>
      </c>
    </row>
    <row r="178" spans="1:54" x14ac:dyDescent="0.2">
      <c r="A178" s="5">
        <v>1421</v>
      </c>
      <c r="B178" s="20" t="s">
        <v>77</v>
      </c>
      <c r="C178" s="18" t="s">
        <v>55</v>
      </c>
      <c r="D178" s="18">
        <v>5</v>
      </c>
      <c r="E178" s="18">
        <v>0</v>
      </c>
      <c r="F178" s="18" t="s">
        <v>9</v>
      </c>
      <c r="G178" s="18">
        <v>26</v>
      </c>
      <c r="H178" s="22">
        <v>3.9397672826830936</v>
      </c>
      <c r="I178" s="22" t="s">
        <v>8</v>
      </c>
      <c r="J178" s="22" t="s">
        <v>8</v>
      </c>
      <c r="K178" s="22">
        <v>4</v>
      </c>
      <c r="L178" s="22" t="s">
        <v>8</v>
      </c>
      <c r="M178" s="22" t="s">
        <v>8</v>
      </c>
      <c r="N178" s="22">
        <v>3.9698836413415468</v>
      </c>
      <c r="O178" s="22" t="s">
        <v>8</v>
      </c>
      <c r="P178" s="22" t="s">
        <v>8</v>
      </c>
      <c r="Q178" s="22">
        <v>3.2334017796030117</v>
      </c>
      <c r="R178" s="22" t="s">
        <v>8</v>
      </c>
      <c r="S178" s="22" t="s">
        <v>8</v>
      </c>
      <c r="T178" s="30">
        <v>3</v>
      </c>
      <c r="U178" s="30">
        <v>12</v>
      </c>
      <c r="V178" s="20" t="s">
        <v>1</v>
      </c>
      <c r="W178" s="20">
        <v>5</v>
      </c>
      <c r="X178" s="20">
        <v>2</v>
      </c>
      <c r="Y178" s="5">
        <v>1</v>
      </c>
      <c r="Z178" s="24">
        <v>4</v>
      </c>
      <c r="AA178" s="23">
        <f t="shared" si="6"/>
        <v>1</v>
      </c>
      <c r="AB178" s="15">
        <v>0.875</v>
      </c>
      <c r="AC178" s="15">
        <v>0.75</v>
      </c>
      <c r="AD178" s="15">
        <v>0.5</v>
      </c>
      <c r="AE178" s="15">
        <v>0.70799999999999996</v>
      </c>
      <c r="AF178" s="20">
        <v>17</v>
      </c>
      <c r="AG178" s="20">
        <v>6.77</v>
      </c>
      <c r="AH178" s="24">
        <v>24</v>
      </c>
      <c r="AI178" s="23">
        <f t="shared" si="7"/>
        <v>1</v>
      </c>
      <c r="AJ178" s="17">
        <v>5</v>
      </c>
      <c r="AK178" s="17">
        <v>7</v>
      </c>
      <c r="AL178" s="14">
        <v>12</v>
      </c>
      <c r="AM178" s="23" cm="1">
        <f t="array" ref="AM178">IF(OR(AN178:AZ178=""),"BLANK",IF(AND(AN178:AZ178&lt;9999999),1,IF(AND(AN178:AZ178="NA"),3,2)))</f>
        <v>1</v>
      </c>
      <c r="AN178" s="20">
        <v>7</v>
      </c>
      <c r="AO178" s="26">
        <v>2</v>
      </c>
      <c r="AP178" s="15">
        <v>3</v>
      </c>
      <c r="AQ178" s="15">
        <v>4.75</v>
      </c>
      <c r="AR178" s="15">
        <v>8.5</v>
      </c>
      <c r="AS178" s="26">
        <v>2650</v>
      </c>
      <c r="AT178" s="26">
        <v>8386</v>
      </c>
      <c r="AU178" s="26">
        <v>4702.5</v>
      </c>
      <c r="AV178" s="26">
        <v>3464</v>
      </c>
      <c r="AW178" s="26">
        <v>137.5</v>
      </c>
      <c r="AX178" s="26">
        <v>7</v>
      </c>
      <c r="AY178" s="26">
        <v>4051.4124999999999</v>
      </c>
      <c r="AZ178" s="26">
        <v>1161.2496212121</v>
      </c>
      <c r="BA178" s="23">
        <f t="shared" si="8"/>
        <v>1</v>
      </c>
      <c r="BB178" s="24">
        <v>21</v>
      </c>
    </row>
    <row r="179" spans="1:54" x14ac:dyDescent="0.2">
      <c r="A179" s="5">
        <v>1431</v>
      </c>
      <c r="B179" s="20" t="s">
        <v>67</v>
      </c>
      <c r="C179" s="18" t="s">
        <v>54</v>
      </c>
      <c r="D179" s="18">
        <v>4</v>
      </c>
      <c r="E179" s="18">
        <v>0</v>
      </c>
      <c r="F179" s="18" t="s">
        <v>9</v>
      </c>
      <c r="G179" s="18">
        <v>30</v>
      </c>
      <c r="H179" s="22">
        <v>4.0629705681040384</v>
      </c>
      <c r="I179" s="22">
        <v>5.3086926762491444</v>
      </c>
      <c r="J179" s="22">
        <v>9.3716632443531829</v>
      </c>
      <c r="K179" s="22">
        <v>4.0629705681040384</v>
      </c>
      <c r="L179" s="22">
        <v>5.3086926762491444</v>
      </c>
      <c r="M179" s="22">
        <v>9.3716632443531829</v>
      </c>
      <c r="N179" s="22">
        <v>4.0328542094455848</v>
      </c>
      <c r="O179" s="22">
        <v>5.2292950034223136</v>
      </c>
      <c r="P179" s="22">
        <v>9.2621492128678984</v>
      </c>
      <c r="Q179" s="22">
        <v>3.7508555783709787</v>
      </c>
      <c r="R179" s="22">
        <v>5.292265571526352</v>
      </c>
      <c r="S179" s="22">
        <v>9.0431211498973312</v>
      </c>
      <c r="T179" s="30">
        <v>3</v>
      </c>
      <c r="U179" s="30">
        <v>14</v>
      </c>
      <c r="V179" s="20" t="s">
        <v>1</v>
      </c>
      <c r="W179" s="20">
        <v>5</v>
      </c>
      <c r="X179" s="20">
        <v>2</v>
      </c>
      <c r="Y179" s="5">
        <v>1</v>
      </c>
      <c r="Z179" s="24">
        <v>4</v>
      </c>
      <c r="AA179" s="23">
        <f t="shared" si="6"/>
        <v>1</v>
      </c>
      <c r="AB179" s="15">
        <v>1</v>
      </c>
      <c r="AC179" s="15">
        <v>0.875</v>
      </c>
      <c r="AD179" s="15">
        <v>0.875</v>
      </c>
      <c r="AE179" s="15">
        <v>0.91700000000000004</v>
      </c>
      <c r="AF179" s="20">
        <v>22</v>
      </c>
      <c r="AG179" s="20">
        <v>8.77</v>
      </c>
      <c r="AH179" s="24">
        <v>24</v>
      </c>
      <c r="AI179" s="23">
        <f t="shared" si="7"/>
        <v>1</v>
      </c>
      <c r="AJ179" s="17">
        <v>13.75</v>
      </c>
      <c r="AK179" s="17">
        <v>14</v>
      </c>
      <c r="AL179" s="14">
        <v>27.75</v>
      </c>
      <c r="AM179" s="23" cm="1">
        <f t="array" ref="AM179">IF(OR(AN179:AZ179=""),"BLANK",IF(AND(AN179:AZ179&lt;9999999),1,IF(AND(AN179:AZ179="NA"),3,2)))</f>
        <v>1</v>
      </c>
      <c r="AN179" s="20">
        <v>11</v>
      </c>
      <c r="AO179" s="26">
        <v>2</v>
      </c>
      <c r="AP179" s="15">
        <v>3</v>
      </c>
      <c r="AQ179" s="15">
        <v>4</v>
      </c>
      <c r="AR179" s="15">
        <v>6</v>
      </c>
      <c r="AS179" s="26">
        <v>719.5</v>
      </c>
      <c r="AT179" s="26">
        <v>1796</v>
      </c>
      <c r="AU179" s="26">
        <v>4431</v>
      </c>
      <c r="AV179" s="26">
        <v>5042.5</v>
      </c>
      <c r="AW179" s="26">
        <v>0</v>
      </c>
      <c r="AX179" s="26">
        <v>0</v>
      </c>
      <c r="AY179" s="26">
        <v>0</v>
      </c>
      <c r="AZ179" s="26">
        <v>0</v>
      </c>
      <c r="BA179" s="23">
        <f t="shared" si="8"/>
        <v>1</v>
      </c>
      <c r="BB179" s="24">
        <v>38</v>
      </c>
    </row>
    <row r="180" spans="1:54" x14ac:dyDescent="0.2">
      <c r="A180" s="5">
        <v>1439</v>
      </c>
      <c r="B180" s="20" t="s">
        <v>76</v>
      </c>
      <c r="C180" s="18" t="s">
        <v>54</v>
      </c>
      <c r="D180" s="18">
        <v>2</v>
      </c>
      <c r="E180" s="18">
        <v>0</v>
      </c>
      <c r="F180" s="18" t="s">
        <v>9</v>
      </c>
      <c r="G180" s="18">
        <v>28</v>
      </c>
      <c r="H180" s="22">
        <v>4.0711841204654347</v>
      </c>
      <c r="I180" s="22">
        <v>5.0951403148528405</v>
      </c>
      <c r="J180" s="22">
        <v>9.1663244353182751</v>
      </c>
      <c r="K180" s="22">
        <v>4.0602327173169064</v>
      </c>
      <c r="L180" s="22">
        <v>5.0951403148528405</v>
      </c>
      <c r="M180" s="22">
        <v>9.1553730321697468</v>
      </c>
      <c r="N180" s="22">
        <v>4.2546201232032859</v>
      </c>
      <c r="O180" s="22">
        <v>4.8377823408624234</v>
      </c>
      <c r="P180" s="22">
        <v>9.0924024640657084</v>
      </c>
      <c r="Q180" s="22" t="s">
        <v>8</v>
      </c>
      <c r="R180" s="22" t="s">
        <v>8</v>
      </c>
      <c r="S180" s="22" t="s">
        <v>8</v>
      </c>
      <c r="T180" s="30">
        <v>4</v>
      </c>
      <c r="U180" s="30">
        <v>16</v>
      </c>
      <c r="V180" s="20" t="s">
        <v>1</v>
      </c>
      <c r="W180" s="20">
        <v>5</v>
      </c>
      <c r="X180" s="20">
        <v>2</v>
      </c>
      <c r="Y180" s="5">
        <v>1</v>
      </c>
      <c r="Z180" s="24">
        <v>4</v>
      </c>
      <c r="AA180" s="23">
        <f t="shared" si="6"/>
        <v>1</v>
      </c>
      <c r="AB180" s="15">
        <v>1</v>
      </c>
      <c r="AC180" s="15">
        <v>1</v>
      </c>
      <c r="AD180" s="15">
        <v>0.625</v>
      </c>
      <c r="AE180" s="15">
        <v>0.875</v>
      </c>
      <c r="AF180" s="20">
        <v>21</v>
      </c>
      <c r="AG180" s="20">
        <v>3.62</v>
      </c>
      <c r="AH180" s="24">
        <v>24</v>
      </c>
      <c r="AI180" s="23">
        <f t="shared" si="7"/>
        <v>1</v>
      </c>
      <c r="AJ180" s="17">
        <v>7</v>
      </c>
      <c r="AK180" s="17">
        <v>7.5</v>
      </c>
      <c r="AL180" s="14">
        <v>14.5</v>
      </c>
      <c r="AM180" s="23" cm="1">
        <f t="array" ref="AM180">IF(OR(AN180:AZ180=""),"BLANK",IF(AND(AN180:AZ180&lt;9999999),1,IF(AND(AN180:AZ180="NA"),3,2)))</f>
        <v>1</v>
      </c>
      <c r="AN180" s="20">
        <v>4</v>
      </c>
      <c r="AO180" s="26">
        <v>2</v>
      </c>
      <c r="AP180" s="15">
        <v>3.5</v>
      </c>
      <c r="AQ180" s="15">
        <v>6.75</v>
      </c>
      <c r="AR180" s="15">
        <v>12</v>
      </c>
      <c r="AS180" s="26">
        <v>2931</v>
      </c>
      <c r="AT180" s="26">
        <v>11047.5</v>
      </c>
      <c r="AU180" s="26">
        <v>15483.25</v>
      </c>
      <c r="AV180" s="26">
        <v>29445</v>
      </c>
      <c r="AW180" s="26">
        <v>263.75</v>
      </c>
      <c r="AX180" s="26">
        <v>7740.875</v>
      </c>
      <c r="AY180" s="26">
        <v>4528.0611111111002</v>
      </c>
      <c r="AZ180" s="26">
        <v>12181.5</v>
      </c>
      <c r="BA180" s="23">
        <f t="shared" si="8"/>
        <v>1</v>
      </c>
      <c r="BB180" s="24">
        <v>37</v>
      </c>
    </row>
    <row r="181" spans="1:54" x14ac:dyDescent="0.2">
      <c r="A181" s="5">
        <v>1444</v>
      </c>
      <c r="B181" s="20" t="s">
        <v>76</v>
      </c>
      <c r="C181" s="18" t="s">
        <v>54</v>
      </c>
      <c r="D181" s="18">
        <v>5</v>
      </c>
      <c r="E181" s="18">
        <v>0</v>
      </c>
      <c r="F181" s="18" t="s">
        <v>9</v>
      </c>
      <c r="G181" s="18">
        <v>28</v>
      </c>
      <c r="H181" s="22">
        <v>3.9808350444900751</v>
      </c>
      <c r="I181" s="22" t="s">
        <v>8</v>
      </c>
      <c r="J181" s="22" t="s">
        <v>8</v>
      </c>
      <c r="K181" s="22">
        <v>3.9808350444900751</v>
      </c>
      <c r="L181" s="22" t="s">
        <v>8</v>
      </c>
      <c r="M181" s="22" t="s">
        <v>8</v>
      </c>
      <c r="N181" s="22">
        <v>4.0082135523613962</v>
      </c>
      <c r="O181" s="22" t="s">
        <v>8</v>
      </c>
      <c r="P181" s="22" t="s">
        <v>8</v>
      </c>
      <c r="Q181" s="22" t="s">
        <v>8</v>
      </c>
      <c r="R181" s="22" t="s">
        <v>8</v>
      </c>
      <c r="S181" s="22" t="s">
        <v>8</v>
      </c>
      <c r="T181" s="30">
        <v>3</v>
      </c>
      <c r="U181" s="30">
        <v>15</v>
      </c>
      <c r="V181" s="20" t="s">
        <v>1</v>
      </c>
      <c r="W181" s="20">
        <v>5</v>
      </c>
      <c r="X181" s="20">
        <v>2</v>
      </c>
      <c r="Y181" s="5">
        <v>1</v>
      </c>
      <c r="Z181" s="24">
        <v>4</v>
      </c>
      <c r="AA181" s="23">
        <f t="shared" si="6"/>
        <v>1</v>
      </c>
      <c r="AB181" s="15">
        <v>1</v>
      </c>
      <c r="AC181" s="15">
        <v>1</v>
      </c>
      <c r="AD181" s="15">
        <v>0.75</v>
      </c>
      <c r="AE181" s="15">
        <v>0.91700000000000004</v>
      </c>
      <c r="AF181" s="20">
        <v>22</v>
      </c>
      <c r="AG181" s="20">
        <v>9.23</v>
      </c>
      <c r="AH181" s="24">
        <v>24</v>
      </c>
      <c r="AI181" s="23">
        <f t="shared" si="7"/>
        <v>1</v>
      </c>
      <c r="AJ181" s="17">
        <v>11.75</v>
      </c>
      <c r="AK181" s="17">
        <v>12.75</v>
      </c>
      <c r="AL181" s="14">
        <v>24.5</v>
      </c>
      <c r="AM181" s="23" cm="1">
        <f t="array" ref="AM181">IF(OR(AN181:AZ181=""),"BLANK",IF(AND(AN181:AZ181&lt;9999999),1,IF(AND(AN181:AZ181="NA"),3,2)))</f>
        <v>1</v>
      </c>
      <c r="AN181" s="20">
        <v>7</v>
      </c>
      <c r="AO181" s="26">
        <v>2</v>
      </c>
      <c r="AP181" s="15">
        <v>3</v>
      </c>
      <c r="AQ181" s="15">
        <v>6</v>
      </c>
      <c r="AR181" s="15">
        <v>7.25</v>
      </c>
      <c r="AS181" s="26">
        <v>1140.5</v>
      </c>
      <c r="AT181" s="26">
        <v>2865.5</v>
      </c>
      <c r="AU181" s="26">
        <v>4989</v>
      </c>
      <c r="AV181" s="26">
        <v>9593.75</v>
      </c>
      <c r="AW181" s="26">
        <v>0</v>
      </c>
      <c r="AX181" s="26">
        <v>0</v>
      </c>
      <c r="AY181" s="26">
        <v>136.8125</v>
      </c>
      <c r="AZ181" s="26">
        <v>597.36547619049998</v>
      </c>
      <c r="BA181" s="23">
        <f t="shared" si="8"/>
        <v>1</v>
      </c>
      <c r="BB181" s="24">
        <v>37</v>
      </c>
    </row>
    <row r="182" spans="1:54" x14ac:dyDescent="0.2">
      <c r="A182" s="5">
        <v>1451</v>
      </c>
      <c r="B182" s="20" t="s">
        <v>76</v>
      </c>
      <c r="C182" s="18" t="s">
        <v>54</v>
      </c>
      <c r="D182" s="18">
        <v>2</v>
      </c>
      <c r="E182" s="18">
        <v>0</v>
      </c>
      <c r="F182" s="18" t="s">
        <v>9</v>
      </c>
      <c r="G182" s="18">
        <v>28</v>
      </c>
      <c r="H182" s="22">
        <v>3.9917864476386038</v>
      </c>
      <c r="I182" s="22" t="s">
        <v>8</v>
      </c>
      <c r="J182" s="22" t="s">
        <v>8</v>
      </c>
      <c r="K182" s="22">
        <v>3.9917864476386038</v>
      </c>
      <c r="L182" s="22" t="s">
        <v>8</v>
      </c>
      <c r="M182" s="22" t="s">
        <v>8</v>
      </c>
      <c r="N182" s="22">
        <v>4.0109514031485283</v>
      </c>
      <c r="O182" s="22" t="s">
        <v>8</v>
      </c>
      <c r="P182" s="22" t="s">
        <v>8</v>
      </c>
      <c r="Q182" s="22" t="s">
        <v>8</v>
      </c>
      <c r="R182" s="22" t="s">
        <v>8</v>
      </c>
      <c r="S182" s="22" t="s">
        <v>8</v>
      </c>
      <c r="T182" s="30">
        <v>4</v>
      </c>
      <c r="U182" s="30">
        <v>16</v>
      </c>
      <c r="V182" s="20" t="s">
        <v>1</v>
      </c>
      <c r="W182" s="20">
        <v>5</v>
      </c>
      <c r="X182" s="20">
        <v>2</v>
      </c>
      <c r="Y182" s="5">
        <v>1</v>
      </c>
      <c r="Z182" s="24">
        <v>4</v>
      </c>
      <c r="AA182" s="23">
        <f t="shared" si="6"/>
        <v>1</v>
      </c>
      <c r="AB182" s="15">
        <v>0.875</v>
      </c>
      <c r="AC182" s="15">
        <v>0.75</v>
      </c>
      <c r="AD182" s="15">
        <v>0.75</v>
      </c>
      <c r="AE182" s="15">
        <v>0.79200000000000004</v>
      </c>
      <c r="AF182" s="20">
        <v>19</v>
      </c>
      <c r="AG182" s="20">
        <v>5.72</v>
      </c>
      <c r="AH182" s="24">
        <v>24</v>
      </c>
      <c r="AI182" s="23">
        <f t="shared" si="7"/>
        <v>1</v>
      </c>
      <c r="AJ182" s="17">
        <v>4</v>
      </c>
      <c r="AK182" s="17">
        <v>1.5</v>
      </c>
      <c r="AL182" s="14">
        <v>5.5</v>
      </c>
      <c r="AM182" s="23" cm="1">
        <f t="array" ref="AM182">IF(OR(AN182:AZ182=""),"BLANK",IF(AND(AN182:AZ182&lt;9999999),1,IF(AND(AN182:AZ182="NA"),3,2)))</f>
        <v>1</v>
      </c>
      <c r="AN182" s="20">
        <v>10</v>
      </c>
      <c r="AO182" s="26">
        <v>2</v>
      </c>
      <c r="AP182" s="15">
        <v>3</v>
      </c>
      <c r="AQ182" s="15">
        <v>6.5</v>
      </c>
      <c r="AR182" s="15">
        <v>5</v>
      </c>
      <c r="AS182" s="26">
        <v>502</v>
      </c>
      <c r="AT182" s="26">
        <v>2335</v>
      </c>
      <c r="AU182" s="26">
        <v>8445.5</v>
      </c>
      <c r="AV182" s="26">
        <v>12965.5</v>
      </c>
      <c r="AW182" s="26">
        <v>0</v>
      </c>
      <c r="AX182" s="26">
        <v>0</v>
      </c>
      <c r="AY182" s="26">
        <v>905.57638888890006</v>
      </c>
      <c r="AZ182" s="26">
        <v>23.6</v>
      </c>
      <c r="BA182" s="23">
        <f t="shared" si="8"/>
        <v>1</v>
      </c>
      <c r="BB182" s="24">
        <v>34</v>
      </c>
    </row>
    <row r="183" spans="1:54" x14ac:dyDescent="0.2">
      <c r="A183" s="5">
        <v>1452</v>
      </c>
      <c r="B183" s="20" t="s">
        <v>65</v>
      </c>
      <c r="C183" s="18" t="s">
        <v>55</v>
      </c>
      <c r="D183" s="18">
        <v>5</v>
      </c>
      <c r="E183" s="18">
        <v>0</v>
      </c>
      <c r="F183" s="18" t="s">
        <v>9</v>
      </c>
      <c r="G183" s="18">
        <v>29</v>
      </c>
      <c r="H183" s="22">
        <v>4.2354551676933605</v>
      </c>
      <c r="I183" s="22">
        <v>5.2292950034223136</v>
      </c>
      <c r="J183" s="22">
        <v>9.464750171115675</v>
      </c>
      <c r="K183" s="22">
        <v>4.2354551676933605</v>
      </c>
      <c r="L183" s="22">
        <v>5.2320328542094456</v>
      </c>
      <c r="M183" s="22">
        <v>9.4674880219028061</v>
      </c>
      <c r="N183" s="22">
        <v>4.1149897330595486</v>
      </c>
      <c r="O183" s="22">
        <v>5.2101300479123891</v>
      </c>
      <c r="P183" s="22">
        <v>9.3251197809719368</v>
      </c>
      <c r="Q183" s="22">
        <v>3.2881587953456535</v>
      </c>
      <c r="R183" s="22">
        <v>5.9630390143737166</v>
      </c>
      <c r="S183" s="22">
        <v>9.2511978097193701</v>
      </c>
      <c r="T183" s="30">
        <v>6</v>
      </c>
      <c r="U183" s="30">
        <v>18</v>
      </c>
      <c r="V183" s="20" t="s">
        <v>1</v>
      </c>
      <c r="W183" s="20">
        <v>5</v>
      </c>
      <c r="X183" s="20">
        <v>2</v>
      </c>
      <c r="Y183" s="5">
        <v>1</v>
      </c>
      <c r="Z183" s="24">
        <v>4</v>
      </c>
      <c r="AA183" s="23">
        <f t="shared" si="6"/>
        <v>1</v>
      </c>
      <c r="AB183" s="15">
        <v>1</v>
      </c>
      <c r="AC183" s="15">
        <v>0.875</v>
      </c>
      <c r="AD183" s="15">
        <v>0.375</v>
      </c>
      <c r="AE183" s="15">
        <v>0.75</v>
      </c>
      <c r="AF183" s="20">
        <v>18</v>
      </c>
      <c r="AG183" s="20">
        <v>11.8</v>
      </c>
      <c r="AH183" s="24">
        <v>24</v>
      </c>
      <c r="AI183" s="23">
        <f t="shared" si="7"/>
        <v>1</v>
      </c>
      <c r="AJ183" s="17">
        <v>12.75</v>
      </c>
      <c r="AK183" s="17">
        <v>9.75</v>
      </c>
      <c r="AL183" s="14">
        <v>22.5</v>
      </c>
      <c r="AM183" s="23" cm="1">
        <f t="array" ref="AM183">IF(OR(AN183:AZ183=""),"BLANK",IF(AND(AN183:AZ183&lt;9999999),1,IF(AND(AN183:AZ183="NA"),3,2)))</f>
        <v>1</v>
      </c>
      <c r="AN183" s="20">
        <v>8</v>
      </c>
      <c r="AO183" s="26">
        <v>2</v>
      </c>
      <c r="AP183" s="15">
        <v>3.5</v>
      </c>
      <c r="AQ183" s="15">
        <v>5.25</v>
      </c>
      <c r="AR183" s="15">
        <v>7</v>
      </c>
      <c r="AS183" s="26">
        <v>2261</v>
      </c>
      <c r="AT183" s="26">
        <v>4190</v>
      </c>
      <c r="AU183" s="26">
        <v>9347</v>
      </c>
      <c r="AV183" s="26">
        <v>4268.75</v>
      </c>
      <c r="AW183" s="26">
        <v>0</v>
      </c>
      <c r="AX183" s="26">
        <v>0</v>
      </c>
      <c r="AY183" s="26">
        <v>0</v>
      </c>
      <c r="AZ183" s="26">
        <v>1215.0166666667001</v>
      </c>
      <c r="BA183" s="23">
        <f t="shared" si="8"/>
        <v>1</v>
      </c>
      <c r="BB183" s="24">
        <v>38</v>
      </c>
    </row>
    <row r="184" spans="1:54" x14ac:dyDescent="0.2">
      <c r="A184" s="5">
        <v>1467</v>
      </c>
      <c r="B184" s="20" t="s">
        <v>79</v>
      </c>
      <c r="C184" s="18" t="s">
        <v>54</v>
      </c>
      <c r="D184" s="18">
        <v>5</v>
      </c>
      <c r="E184" s="18">
        <v>0</v>
      </c>
      <c r="F184" s="18" t="s">
        <v>9</v>
      </c>
      <c r="G184" s="18">
        <v>30</v>
      </c>
      <c r="H184" s="22">
        <v>4.0054757015742641</v>
      </c>
      <c r="I184" s="22">
        <v>5.1800136892539355</v>
      </c>
      <c r="J184" s="22">
        <v>9.1854893908282005</v>
      </c>
      <c r="K184" s="22">
        <v>4.3887748117727581</v>
      </c>
      <c r="L184" s="22">
        <v>4.7967145790554415</v>
      </c>
      <c r="M184" s="22">
        <v>9.1854893908282005</v>
      </c>
      <c r="N184" s="22">
        <v>4.4106776180698155</v>
      </c>
      <c r="O184" s="22">
        <v>4.7912388774811774</v>
      </c>
      <c r="P184" s="22">
        <v>9.2019164955509929</v>
      </c>
      <c r="Q184" s="22" t="s">
        <v>8</v>
      </c>
      <c r="R184" s="22" t="s">
        <v>8</v>
      </c>
      <c r="S184" s="22" t="s">
        <v>8</v>
      </c>
      <c r="T184" s="30">
        <v>4</v>
      </c>
      <c r="U184" s="30">
        <v>16</v>
      </c>
      <c r="V184" s="20" t="s">
        <v>1</v>
      </c>
      <c r="W184" s="20">
        <v>5</v>
      </c>
      <c r="X184" s="20">
        <v>2</v>
      </c>
      <c r="Y184" s="5">
        <v>1</v>
      </c>
      <c r="Z184" s="24">
        <v>4</v>
      </c>
      <c r="AA184" s="23">
        <f t="shared" si="6"/>
        <v>2</v>
      </c>
      <c r="AB184" s="15">
        <v>1</v>
      </c>
      <c r="AC184" s="15">
        <v>1</v>
      </c>
      <c r="AD184" s="15">
        <v>0.625</v>
      </c>
      <c r="AE184" s="15">
        <v>0.875</v>
      </c>
      <c r="AF184" s="20">
        <v>21</v>
      </c>
      <c r="AG184" s="20" t="s">
        <v>8</v>
      </c>
      <c r="AH184" s="24">
        <v>24</v>
      </c>
      <c r="AI184" s="23">
        <f t="shared" si="7"/>
        <v>1</v>
      </c>
      <c r="AJ184" s="17">
        <v>13</v>
      </c>
      <c r="AK184" s="17">
        <v>10</v>
      </c>
      <c r="AL184" s="14">
        <v>23</v>
      </c>
      <c r="AM184" s="23" cm="1">
        <f t="array" ref="AM184">IF(OR(AN184:AZ184=""),"BLANK",IF(AND(AN184:AZ184&lt;9999999),1,IF(AND(AN184:AZ184="NA"),3,2)))</f>
        <v>1</v>
      </c>
      <c r="AN184" s="20">
        <v>8</v>
      </c>
      <c r="AO184" s="26">
        <v>2</v>
      </c>
      <c r="AP184" s="15">
        <v>4</v>
      </c>
      <c r="AQ184" s="15">
        <v>6</v>
      </c>
      <c r="AR184" s="15">
        <v>6.5</v>
      </c>
      <c r="AS184" s="26">
        <v>820.5</v>
      </c>
      <c r="AT184" s="26">
        <v>2512.5</v>
      </c>
      <c r="AU184" s="26">
        <v>2707.5</v>
      </c>
      <c r="AV184" s="26">
        <v>2836.25</v>
      </c>
      <c r="AW184" s="26">
        <v>0</v>
      </c>
      <c r="AX184" s="26">
        <v>328.93333333330003</v>
      </c>
      <c r="AY184" s="26">
        <v>1104.189484127</v>
      </c>
      <c r="AZ184" s="26">
        <v>523.54545454549998</v>
      </c>
      <c r="BA184" s="23">
        <f t="shared" si="8"/>
        <v>1</v>
      </c>
      <c r="BB184" s="24">
        <v>37</v>
      </c>
    </row>
    <row r="185" spans="1:54" x14ac:dyDescent="0.2">
      <c r="A185" s="5">
        <v>1476</v>
      </c>
      <c r="B185" s="20" t="s">
        <v>74</v>
      </c>
      <c r="C185" s="18" t="s">
        <v>55</v>
      </c>
      <c r="D185" s="18">
        <v>5</v>
      </c>
      <c r="E185" s="18">
        <v>0</v>
      </c>
      <c r="F185" s="18" t="s">
        <v>9</v>
      </c>
      <c r="G185" s="18">
        <v>29</v>
      </c>
      <c r="H185" s="22">
        <v>3.6331279945242985</v>
      </c>
      <c r="I185" s="22">
        <v>5.1362080766598224</v>
      </c>
      <c r="J185" s="22">
        <v>8.7693360711841208</v>
      </c>
      <c r="K185" s="22">
        <v>3.6331279945242985</v>
      </c>
      <c r="L185" s="22">
        <v>5.3689253935660508</v>
      </c>
      <c r="M185" s="22">
        <v>9.0020533880903493</v>
      </c>
      <c r="N185" s="22">
        <v>3.8110882956878851</v>
      </c>
      <c r="O185" s="22">
        <v>4.6789869952087608</v>
      </c>
      <c r="P185" s="22">
        <v>8.4900752908966464</v>
      </c>
      <c r="Q185" s="22">
        <v>3.2772073921971252</v>
      </c>
      <c r="R185" s="22">
        <v>5.8809034907597537</v>
      </c>
      <c r="S185" s="22">
        <v>9.158110882956878</v>
      </c>
      <c r="T185" s="30">
        <v>6</v>
      </c>
      <c r="U185" s="30">
        <v>18</v>
      </c>
      <c r="V185" s="20" t="s">
        <v>1</v>
      </c>
      <c r="W185" s="20">
        <v>5</v>
      </c>
      <c r="X185" s="20">
        <v>2</v>
      </c>
      <c r="Y185" s="5">
        <v>1</v>
      </c>
      <c r="Z185" s="24">
        <v>4</v>
      </c>
      <c r="AA185" s="23">
        <f t="shared" si="6"/>
        <v>1</v>
      </c>
      <c r="AB185" s="15">
        <v>0.875</v>
      </c>
      <c r="AC185" s="15">
        <v>0.75</v>
      </c>
      <c r="AD185" s="15">
        <v>0.75</v>
      </c>
      <c r="AE185" s="15">
        <v>0.79200000000000004</v>
      </c>
      <c r="AF185" s="20">
        <v>19</v>
      </c>
      <c r="AG185" s="20">
        <v>3.52</v>
      </c>
      <c r="AH185" s="24">
        <v>24</v>
      </c>
      <c r="AI185" s="23">
        <f t="shared" si="7"/>
        <v>1</v>
      </c>
      <c r="AJ185" s="17">
        <v>3.5</v>
      </c>
      <c r="AK185" s="17">
        <v>4.5</v>
      </c>
      <c r="AL185" s="14">
        <v>8</v>
      </c>
      <c r="AM185" s="23" cm="1">
        <f t="array" ref="AM185">IF(OR(AN185:AZ185=""),"BLANK",IF(AND(AN185:AZ185&lt;9999999),1,IF(AND(AN185:AZ185="NA"),3,2)))</f>
        <v>1</v>
      </c>
      <c r="AN185" s="20">
        <v>7</v>
      </c>
      <c r="AO185" s="26">
        <v>2</v>
      </c>
      <c r="AP185" s="15">
        <v>3</v>
      </c>
      <c r="AQ185" s="15">
        <v>6.25</v>
      </c>
      <c r="AR185" s="15">
        <v>6.5</v>
      </c>
      <c r="AS185" s="26">
        <v>1009</v>
      </c>
      <c r="AT185" s="26">
        <v>3307</v>
      </c>
      <c r="AU185" s="26">
        <v>2886.5</v>
      </c>
      <c r="AV185" s="26">
        <v>5521.5</v>
      </c>
      <c r="AW185" s="26">
        <v>499.25</v>
      </c>
      <c r="AX185" s="26">
        <v>0</v>
      </c>
      <c r="AY185" s="26">
        <v>5652.5486111111004</v>
      </c>
      <c r="AZ185" s="26">
        <v>4605.3931547619004</v>
      </c>
      <c r="BA185" s="23">
        <f t="shared" si="8"/>
        <v>1</v>
      </c>
      <c r="BB185" s="24">
        <v>27</v>
      </c>
    </row>
    <row r="186" spans="1:54" x14ac:dyDescent="0.2">
      <c r="A186" s="5">
        <v>1484</v>
      </c>
      <c r="B186" s="20" t="s">
        <v>75</v>
      </c>
      <c r="C186" s="18" t="s">
        <v>55</v>
      </c>
      <c r="D186" s="18">
        <v>5</v>
      </c>
      <c r="E186" s="18">
        <v>0</v>
      </c>
      <c r="F186" s="18" t="s">
        <v>9</v>
      </c>
      <c r="G186" s="18">
        <v>29</v>
      </c>
      <c r="H186" s="22">
        <v>4.2847364818617386</v>
      </c>
      <c r="I186" s="22">
        <v>6.0013689253935665</v>
      </c>
      <c r="J186" s="22">
        <v>10.286105407255304</v>
      </c>
      <c r="K186" s="22">
        <v>4.2847364818617386</v>
      </c>
      <c r="L186" s="22">
        <v>6.0013689253935665</v>
      </c>
      <c r="M186" s="22">
        <v>10.286105407255304</v>
      </c>
      <c r="N186" s="22">
        <v>4.2628336755646821</v>
      </c>
      <c r="O186" s="22" t="s">
        <v>8</v>
      </c>
      <c r="P186" s="22" t="s">
        <v>8</v>
      </c>
      <c r="Q186" s="22">
        <v>4.128678986995209</v>
      </c>
      <c r="R186" s="22" t="s">
        <v>8</v>
      </c>
      <c r="S186" s="22" t="s">
        <v>8</v>
      </c>
      <c r="T186" s="30" t="s">
        <v>8</v>
      </c>
      <c r="U186" s="30" t="s">
        <v>8</v>
      </c>
      <c r="V186" s="20" t="s">
        <v>1</v>
      </c>
      <c r="W186" s="20">
        <v>5</v>
      </c>
      <c r="X186" s="20">
        <v>2</v>
      </c>
      <c r="Y186" s="5">
        <v>1</v>
      </c>
      <c r="Z186" s="24">
        <v>4</v>
      </c>
      <c r="AA186" s="23">
        <f t="shared" si="6"/>
        <v>2</v>
      </c>
      <c r="AB186" s="15">
        <v>1</v>
      </c>
      <c r="AC186" s="15">
        <v>1</v>
      </c>
      <c r="AD186" s="15">
        <v>0.875</v>
      </c>
      <c r="AE186" s="15">
        <v>0.95799999999999996</v>
      </c>
      <c r="AF186" s="20">
        <v>23</v>
      </c>
      <c r="AG186" s="20" t="s">
        <v>8</v>
      </c>
      <c r="AH186" s="24">
        <v>24</v>
      </c>
      <c r="AI186" s="23">
        <f t="shared" si="7"/>
        <v>3</v>
      </c>
      <c r="AJ186" s="17" t="s">
        <v>8</v>
      </c>
      <c r="AK186" s="17" t="s">
        <v>8</v>
      </c>
      <c r="AL186" s="14" t="s">
        <v>8</v>
      </c>
      <c r="AM186" s="23" cm="1">
        <f t="array" ref="AM186">IF(OR(AN186:AZ186=""),"BLANK",IF(AND(AN186:AZ186&lt;9999999),1,IF(AND(AN186:AZ186="NA"),3,2)))</f>
        <v>1</v>
      </c>
      <c r="AN186" s="20">
        <v>11</v>
      </c>
      <c r="AO186" s="26">
        <v>2</v>
      </c>
      <c r="AP186" s="15">
        <v>3</v>
      </c>
      <c r="AQ186" s="15">
        <v>4</v>
      </c>
      <c r="AR186" s="15">
        <v>6</v>
      </c>
      <c r="AS186" s="26">
        <v>3000</v>
      </c>
      <c r="AT186" s="26">
        <v>9051.5</v>
      </c>
      <c r="AU186" s="26">
        <v>12439</v>
      </c>
      <c r="AV186" s="26">
        <v>11504.75</v>
      </c>
      <c r="AW186" s="26">
        <v>0</v>
      </c>
      <c r="AX186" s="26">
        <v>0</v>
      </c>
      <c r="AY186" s="26">
        <v>0</v>
      </c>
      <c r="AZ186" s="26">
        <v>573.5277777778</v>
      </c>
      <c r="BA186" s="23">
        <f t="shared" si="8"/>
        <v>1</v>
      </c>
      <c r="BB186" s="24">
        <v>37</v>
      </c>
    </row>
    <row r="187" spans="1:54" x14ac:dyDescent="0.2">
      <c r="A187" s="5">
        <v>1543</v>
      </c>
      <c r="B187" s="20" t="s">
        <v>62</v>
      </c>
      <c r="C187" s="18" t="s">
        <v>55</v>
      </c>
      <c r="D187" s="18">
        <v>3</v>
      </c>
      <c r="E187" s="18">
        <v>0</v>
      </c>
      <c r="F187" s="18" t="s">
        <v>9</v>
      </c>
      <c r="G187" s="18">
        <v>30</v>
      </c>
      <c r="H187" s="22">
        <v>4.0985626283367553</v>
      </c>
      <c r="I187" s="22">
        <v>4.4955509924709105</v>
      </c>
      <c r="J187" s="22">
        <v>8.5941136208076667</v>
      </c>
      <c r="K187" s="22">
        <v>4.0903490759753591</v>
      </c>
      <c r="L187" s="22">
        <v>4.5037645448323067</v>
      </c>
      <c r="M187" s="22">
        <v>8.5941136208076667</v>
      </c>
      <c r="N187" s="22">
        <v>4.0711841204654347</v>
      </c>
      <c r="O187" s="22">
        <v>4.386036960985626</v>
      </c>
      <c r="P187" s="22">
        <v>8.4572210814510616</v>
      </c>
      <c r="Q187" s="22" t="s">
        <v>8</v>
      </c>
      <c r="R187" s="22" t="s">
        <v>8</v>
      </c>
      <c r="S187" s="22" t="s">
        <v>8</v>
      </c>
      <c r="T187" s="30">
        <v>6</v>
      </c>
      <c r="U187" s="30">
        <v>18</v>
      </c>
      <c r="V187" s="20" t="s">
        <v>1</v>
      </c>
      <c r="W187" s="20">
        <v>5</v>
      </c>
      <c r="X187" s="20">
        <v>2</v>
      </c>
      <c r="Y187" s="5">
        <v>1</v>
      </c>
      <c r="Z187" s="24">
        <v>4</v>
      </c>
      <c r="AA187" s="23">
        <f t="shared" si="6"/>
        <v>1</v>
      </c>
      <c r="AB187" s="15">
        <v>1</v>
      </c>
      <c r="AC187" s="15">
        <v>1</v>
      </c>
      <c r="AD187" s="15">
        <v>0.875</v>
      </c>
      <c r="AE187" s="15">
        <v>0.95799999999999996</v>
      </c>
      <c r="AF187" s="20">
        <v>23</v>
      </c>
      <c r="AG187" s="20">
        <v>9.23</v>
      </c>
      <c r="AH187" s="24">
        <v>24</v>
      </c>
      <c r="AI187" s="23">
        <f t="shared" si="7"/>
        <v>1</v>
      </c>
      <c r="AJ187" s="17">
        <v>13.75</v>
      </c>
      <c r="AK187" s="17">
        <v>13</v>
      </c>
      <c r="AL187" s="14">
        <v>26.75</v>
      </c>
      <c r="AM187" s="23" cm="1">
        <f t="array" ref="AM187">IF(OR(AN187:AZ187=""),"BLANK",IF(AND(AN187:AZ187&lt;9999999),1,IF(AND(AN187:AZ187="NA"),3,2)))</f>
        <v>1</v>
      </c>
      <c r="AN187" s="20">
        <v>11</v>
      </c>
      <c r="AO187" s="26">
        <v>2</v>
      </c>
      <c r="AP187" s="15">
        <v>3</v>
      </c>
      <c r="AQ187" s="15">
        <v>4</v>
      </c>
      <c r="AR187" s="15">
        <v>5.25</v>
      </c>
      <c r="AS187" s="26">
        <v>2334.5</v>
      </c>
      <c r="AT187" s="26">
        <v>3888</v>
      </c>
      <c r="AU187" s="26">
        <v>10818</v>
      </c>
      <c r="AV187" s="26">
        <v>22855.5</v>
      </c>
      <c r="AW187" s="26">
        <v>632.75</v>
      </c>
      <c r="AX187" s="26">
        <v>0</v>
      </c>
      <c r="AY187" s="26">
        <v>0</v>
      </c>
      <c r="AZ187" s="26">
        <v>2207.6750000000002</v>
      </c>
      <c r="BA187" s="23">
        <f t="shared" si="8"/>
        <v>1</v>
      </c>
      <c r="BB187" s="24">
        <v>38</v>
      </c>
    </row>
    <row r="188" spans="1:54" x14ac:dyDescent="0.2">
      <c r="A188" s="5">
        <v>1577</v>
      </c>
      <c r="B188" s="20" t="s">
        <v>84</v>
      </c>
      <c r="C188" s="18" t="s">
        <v>54</v>
      </c>
      <c r="D188" s="18">
        <v>5</v>
      </c>
      <c r="E188" s="18">
        <v>0</v>
      </c>
      <c r="F188" s="18" t="s">
        <v>9</v>
      </c>
      <c r="G188" s="18">
        <v>30</v>
      </c>
      <c r="H188" s="22">
        <v>4.1478439425051334</v>
      </c>
      <c r="I188" s="22">
        <v>4.7994524298425736</v>
      </c>
      <c r="J188" s="22">
        <v>8.9472963723477079</v>
      </c>
      <c r="K188" s="22">
        <v>4.1478439425051334</v>
      </c>
      <c r="L188" s="22">
        <v>4.7994524298425736</v>
      </c>
      <c r="M188" s="22">
        <v>8.9472963723477079</v>
      </c>
      <c r="N188" s="22">
        <v>4.1670088980150579</v>
      </c>
      <c r="O188" s="22">
        <v>4.5749486652977414</v>
      </c>
      <c r="P188" s="22">
        <v>8.7419575633128002</v>
      </c>
      <c r="Q188" s="22" t="s">
        <v>8</v>
      </c>
      <c r="R188" s="22" t="s">
        <v>8</v>
      </c>
      <c r="S188" s="22" t="s">
        <v>8</v>
      </c>
      <c r="T188" s="30">
        <v>4</v>
      </c>
      <c r="U188" s="30">
        <v>16</v>
      </c>
      <c r="V188" s="20" t="s">
        <v>1</v>
      </c>
      <c r="W188" s="20">
        <v>5</v>
      </c>
      <c r="X188" s="20">
        <v>2</v>
      </c>
      <c r="Y188" s="5">
        <v>1</v>
      </c>
      <c r="Z188" s="24">
        <v>4</v>
      </c>
      <c r="AA188" s="23">
        <f t="shared" si="6"/>
        <v>1</v>
      </c>
      <c r="AB188" s="15">
        <v>1</v>
      </c>
      <c r="AC188" s="15">
        <v>0.875</v>
      </c>
      <c r="AD188" s="15">
        <v>0.625</v>
      </c>
      <c r="AE188" s="15">
        <v>0.83299999999999996</v>
      </c>
      <c r="AF188" s="20">
        <v>20</v>
      </c>
      <c r="AG188" s="20">
        <v>10.83</v>
      </c>
      <c r="AH188" s="24">
        <v>24</v>
      </c>
      <c r="AI188" s="23">
        <f t="shared" si="7"/>
        <v>1</v>
      </c>
      <c r="AJ188" s="17">
        <v>14</v>
      </c>
      <c r="AK188" s="17">
        <v>11.5</v>
      </c>
      <c r="AL188" s="14">
        <v>25.5</v>
      </c>
      <c r="AM188" s="23" cm="1">
        <f t="array" ref="AM188">IF(OR(AN188:AZ188=""),"BLANK",IF(AND(AN188:AZ188&lt;9999999),1,IF(AND(AN188:AZ188="NA"),3,2)))</f>
        <v>1</v>
      </c>
      <c r="AN188" s="20">
        <v>9</v>
      </c>
      <c r="AO188" s="26">
        <v>2</v>
      </c>
      <c r="AP188" s="15">
        <v>3</v>
      </c>
      <c r="AQ188" s="15">
        <v>6.25</v>
      </c>
      <c r="AR188" s="15">
        <v>6.75</v>
      </c>
      <c r="AS188" s="26">
        <v>2684.5</v>
      </c>
      <c r="AT188" s="26">
        <v>3359</v>
      </c>
      <c r="AU188" s="26">
        <v>6928.75</v>
      </c>
      <c r="AV188" s="26">
        <v>13266.75</v>
      </c>
      <c r="AW188" s="26">
        <v>0</v>
      </c>
      <c r="AX188" s="26">
        <v>0</v>
      </c>
      <c r="AY188" s="26">
        <v>1186.5104166666999</v>
      </c>
      <c r="AZ188" s="26">
        <v>2905.0374999999999</v>
      </c>
      <c r="BA188" s="23">
        <f t="shared" si="8"/>
        <v>1</v>
      </c>
      <c r="BB188" s="24">
        <v>30</v>
      </c>
    </row>
    <row r="189" spans="1:54" x14ac:dyDescent="0.2">
      <c r="A189" s="5">
        <v>1591</v>
      </c>
      <c r="B189" s="20" t="s">
        <v>82</v>
      </c>
      <c r="C189" s="18" t="s">
        <v>54</v>
      </c>
      <c r="D189" s="18">
        <v>5</v>
      </c>
      <c r="E189" s="18">
        <v>0</v>
      </c>
      <c r="F189" s="18" t="s">
        <v>9</v>
      </c>
      <c r="G189" s="18">
        <v>30</v>
      </c>
      <c r="H189" s="22">
        <v>3.7481177275838466</v>
      </c>
      <c r="I189" s="22">
        <v>5.207392197125257</v>
      </c>
      <c r="J189" s="22">
        <v>8.9555099247091032</v>
      </c>
      <c r="K189" s="22">
        <v>3.761806981519507</v>
      </c>
      <c r="L189" s="22">
        <v>5.1937029431895958</v>
      </c>
      <c r="M189" s="22">
        <v>8.9555099247091032</v>
      </c>
      <c r="N189" s="22">
        <v>3.7453798767967146</v>
      </c>
      <c r="O189" s="22">
        <v>5.1498973305954827</v>
      </c>
      <c r="P189" s="22">
        <v>8.8952772073921977</v>
      </c>
      <c r="Q189" s="22">
        <v>3.5071868583162216</v>
      </c>
      <c r="R189" s="22" t="s">
        <v>8</v>
      </c>
      <c r="S189" s="22" t="s">
        <v>8</v>
      </c>
      <c r="T189" s="30">
        <v>4</v>
      </c>
      <c r="U189" s="30">
        <v>16</v>
      </c>
      <c r="V189" s="20" t="s">
        <v>1</v>
      </c>
      <c r="W189" s="20">
        <v>5</v>
      </c>
      <c r="X189" s="20">
        <v>2</v>
      </c>
      <c r="Y189" s="5">
        <v>1</v>
      </c>
      <c r="Z189" s="24">
        <v>4</v>
      </c>
      <c r="AA189" s="23">
        <f t="shared" si="6"/>
        <v>1</v>
      </c>
      <c r="AB189" s="15">
        <v>1</v>
      </c>
      <c r="AC189" s="15">
        <v>0.625</v>
      </c>
      <c r="AD189" s="15">
        <v>0.2857142857142857</v>
      </c>
      <c r="AE189" s="15">
        <v>0.65200000000000002</v>
      </c>
      <c r="AF189" s="20">
        <v>15</v>
      </c>
      <c r="AG189" s="20">
        <v>6.28</v>
      </c>
      <c r="AH189" s="24">
        <v>23</v>
      </c>
      <c r="AI189" s="23">
        <f t="shared" si="7"/>
        <v>1</v>
      </c>
      <c r="AJ189" s="17">
        <v>9.75</v>
      </c>
      <c r="AK189" s="17">
        <v>6</v>
      </c>
      <c r="AL189" s="14">
        <v>15.75</v>
      </c>
      <c r="AM189" s="23" cm="1">
        <f t="array" ref="AM189">IF(OR(AN189:AZ189=""),"BLANK",IF(AND(AN189:AZ189&lt;9999999),1,IF(AND(AN189:AZ189="NA"),3,2)))</f>
        <v>1</v>
      </c>
      <c r="AN189" s="20">
        <v>6</v>
      </c>
      <c r="AO189" s="26">
        <v>2</v>
      </c>
      <c r="AP189" s="15">
        <v>3.5</v>
      </c>
      <c r="AQ189" s="15">
        <v>5.75</v>
      </c>
      <c r="AR189" s="15">
        <v>7.25</v>
      </c>
      <c r="AS189" s="26">
        <v>1535.5</v>
      </c>
      <c r="AT189" s="26">
        <v>8420</v>
      </c>
      <c r="AU189" s="26">
        <v>6963.75</v>
      </c>
      <c r="AV189" s="26">
        <v>20358.75</v>
      </c>
      <c r="AW189" s="26">
        <v>0</v>
      </c>
      <c r="AX189" s="26">
        <v>3873.625</v>
      </c>
      <c r="AY189" s="26">
        <v>3695</v>
      </c>
      <c r="AZ189" s="26">
        <v>2869.1649350649</v>
      </c>
      <c r="BA189" s="23">
        <f t="shared" si="8"/>
        <v>1</v>
      </c>
      <c r="BB189" s="24">
        <v>31</v>
      </c>
    </row>
    <row r="190" spans="1:54" x14ac:dyDescent="0.2">
      <c r="A190" s="5">
        <v>1600</v>
      </c>
      <c r="B190" s="20" t="s">
        <v>85</v>
      </c>
      <c r="C190" s="18" t="s">
        <v>54</v>
      </c>
      <c r="D190" s="18">
        <v>5</v>
      </c>
      <c r="E190" s="18">
        <v>0</v>
      </c>
      <c r="F190" s="18" t="s">
        <v>9</v>
      </c>
      <c r="G190" s="18">
        <v>27</v>
      </c>
      <c r="H190" s="22">
        <v>3.8165639972621492</v>
      </c>
      <c r="I190" s="22" t="s">
        <v>8</v>
      </c>
      <c r="J190" s="22" t="s">
        <v>8</v>
      </c>
      <c r="K190" s="22" t="s">
        <v>8</v>
      </c>
      <c r="L190" s="22" t="s">
        <v>8</v>
      </c>
      <c r="M190" s="22" t="s">
        <v>8</v>
      </c>
      <c r="N190" s="22">
        <v>3.7919233401779602</v>
      </c>
      <c r="O190" s="22" t="s">
        <v>8</v>
      </c>
      <c r="P190" s="22" t="s">
        <v>8</v>
      </c>
      <c r="Q190" s="22">
        <v>3.4086242299794662</v>
      </c>
      <c r="R190" s="22" t="s">
        <v>8</v>
      </c>
      <c r="S190" s="22" t="s">
        <v>8</v>
      </c>
      <c r="T190" s="30">
        <v>3</v>
      </c>
      <c r="U190" s="30">
        <v>14.5</v>
      </c>
      <c r="V190" s="20" t="s">
        <v>1</v>
      </c>
      <c r="W190" s="20">
        <v>5</v>
      </c>
      <c r="X190" s="20">
        <v>2</v>
      </c>
      <c r="Y190" s="5">
        <v>1</v>
      </c>
      <c r="Z190" s="24">
        <v>4</v>
      </c>
      <c r="AA190" s="23">
        <f t="shared" si="6"/>
        <v>1</v>
      </c>
      <c r="AB190" s="15">
        <v>0.625</v>
      </c>
      <c r="AC190" s="15">
        <v>0.375</v>
      </c>
      <c r="AD190" s="15">
        <v>0.125</v>
      </c>
      <c r="AE190" s="15">
        <v>0.375</v>
      </c>
      <c r="AF190" s="20">
        <v>9</v>
      </c>
      <c r="AG190" s="20">
        <v>6.83</v>
      </c>
      <c r="AH190" s="24">
        <v>24</v>
      </c>
      <c r="AI190" s="23">
        <f t="shared" si="7"/>
        <v>1</v>
      </c>
      <c r="AJ190" s="17">
        <v>3</v>
      </c>
      <c r="AK190" s="17">
        <v>4</v>
      </c>
      <c r="AL190" s="14">
        <v>7</v>
      </c>
      <c r="AM190" s="23" cm="1">
        <f t="array" ref="AM190">IF(OR(AN190:AZ190=""),"BLANK",IF(AND(AN190:AZ190&lt;9999999),1,IF(AND(AN190:AZ190="NA"),3,2)))</f>
        <v>1</v>
      </c>
      <c r="AN190" s="20">
        <v>7</v>
      </c>
      <c r="AO190" s="26">
        <v>2</v>
      </c>
      <c r="AP190" s="15">
        <v>3</v>
      </c>
      <c r="AQ190" s="15">
        <v>6.75</v>
      </c>
      <c r="AR190" s="15">
        <v>6.75</v>
      </c>
      <c r="AS190" s="26">
        <v>0</v>
      </c>
      <c r="AT190" s="26">
        <v>8078.5</v>
      </c>
      <c r="AU190" s="26">
        <v>13688.25</v>
      </c>
      <c r="AV190" s="26">
        <v>15609.5</v>
      </c>
      <c r="AW190" s="26">
        <v>0</v>
      </c>
      <c r="AX190" s="26">
        <v>0</v>
      </c>
      <c r="AY190" s="26">
        <v>104754.420833333</v>
      </c>
      <c r="AZ190" s="26">
        <v>3221.0204545454999</v>
      </c>
      <c r="BA190" s="23">
        <f t="shared" si="8"/>
        <v>1</v>
      </c>
      <c r="BB190" s="24">
        <v>16</v>
      </c>
    </row>
    <row r="191" spans="1:54" x14ac:dyDescent="0.2">
      <c r="A191" s="5">
        <v>1613</v>
      </c>
      <c r="B191" s="20" t="s">
        <v>82</v>
      </c>
      <c r="C191" s="18" t="s">
        <v>55</v>
      </c>
      <c r="D191" s="18">
        <v>5</v>
      </c>
      <c r="E191" s="18">
        <v>0</v>
      </c>
      <c r="F191" s="18" t="s">
        <v>9</v>
      </c>
      <c r="G191" s="18">
        <v>27</v>
      </c>
      <c r="H191" s="22">
        <v>3.7672826830937716</v>
      </c>
      <c r="I191" s="22">
        <v>5.0978781656399725</v>
      </c>
      <c r="J191" s="22">
        <v>8.8651608487337441</v>
      </c>
      <c r="K191" s="22">
        <v>3.7672826830937716</v>
      </c>
      <c r="L191" s="22">
        <v>5.2320328542094456</v>
      </c>
      <c r="M191" s="22">
        <v>8.9993155373032163</v>
      </c>
      <c r="N191" s="22" t="s">
        <v>8</v>
      </c>
      <c r="O191" s="22" t="s">
        <v>8</v>
      </c>
      <c r="P191" s="22" t="s">
        <v>8</v>
      </c>
      <c r="Q191" s="22">
        <v>3.3182751540041067</v>
      </c>
      <c r="R191" s="22" t="s">
        <v>8</v>
      </c>
      <c r="S191" s="22" t="s">
        <v>8</v>
      </c>
      <c r="T191" s="30">
        <v>4</v>
      </c>
      <c r="U191" s="30">
        <v>16</v>
      </c>
      <c r="V191" s="20" t="s">
        <v>1</v>
      </c>
      <c r="W191" s="20">
        <v>5</v>
      </c>
      <c r="X191" s="20">
        <v>2</v>
      </c>
      <c r="Y191" s="5">
        <v>1</v>
      </c>
      <c r="Z191" s="24">
        <v>4</v>
      </c>
      <c r="AA191" s="23">
        <f t="shared" si="6"/>
        <v>2</v>
      </c>
      <c r="AB191" s="15">
        <v>1</v>
      </c>
      <c r="AC191" s="15">
        <v>1</v>
      </c>
      <c r="AD191" s="15">
        <v>0.83333333333333337</v>
      </c>
      <c r="AE191" s="15">
        <v>0.95</v>
      </c>
      <c r="AF191" s="20">
        <v>19</v>
      </c>
      <c r="AG191" s="20" t="s">
        <v>8</v>
      </c>
      <c r="AH191" s="24">
        <v>20</v>
      </c>
      <c r="AI191" s="23">
        <f t="shared" si="7"/>
        <v>1</v>
      </c>
      <c r="AJ191" s="17">
        <v>7</v>
      </c>
      <c r="AK191" s="17">
        <v>7.25</v>
      </c>
      <c r="AL191" s="14">
        <v>14.25</v>
      </c>
      <c r="AM191" s="23" cm="1">
        <f t="array" ref="AM191">IF(OR(AN191:AZ191=""),"BLANK",IF(AND(AN191:AZ191&lt;9999999),1,IF(AND(AN191:AZ191="NA"),3,2)))</f>
        <v>1</v>
      </c>
      <c r="AN191" s="20">
        <v>11</v>
      </c>
      <c r="AO191" s="26">
        <v>2</v>
      </c>
      <c r="AP191" s="15">
        <v>3</v>
      </c>
      <c r="AQ191" s="15">
        <v>5</v>
      </c>
      <c r="AR191" s="15">
        <v>5</v>
      </c>
      <c r="AS191" s="26">
        <v>3251</v>
      </c>
      <c r="AT191" s="26">
        <v>11916.5</v>
      </c>
      <c r="AU191" s="26">
        <v>25777</v>
      </c>
      <c r="AV191" s="26">
        <v>33632.75</v>
      </c>
      <c r="AW191" s="26">
        <v>341</v>
      </c>
      <c r="AX191" s="26">
        <v>999.66666666670005</v>
      </c>
      <c r="AY191" s="26">
        <v>5350</v>
      </c>
      <c r="AZ191" s="26">
        <v>868.15</v>
      </c>
      <c r="BA191" s="23">
        <f t="shared" si="8"/>
        <v>1</v>
      </c>
      <c r="BB191" s="24">
        <v>36</v>
      </c>
    </row>
    <row r="192" spans="1:54" x14ac:dyDescent="0.2">
      <c r="A192" s="5">
        <v>1615</v>
      </c>
      <c r="B192" s="20" t="s">
        <v>77</v>
      </c>
      <c r="C192" s="18" t="s">
        <v>54</v>
      </c>
      <c r="D192" s="18">
        <v>5</v>
      </c>
      <c r="E192" s="18">
        <v>0</v>
      </c>
      <c r="F192" s="18" t="s">
        <v>9</v>
      </c>
      <c r="G192" s="18">
        <v>30</v>
      </c>
      <c r="H192" s="22">
        <v>4.1396303901437372</v>
      </c>
      <c r="I192" s="22">
        <v>4.7720739219712529</v>
      </c>
      <c r="J192" s="22">
        <v>8.9117043121149901</v>
      </c>
      <c r="K192" s="22">
        <v>4.1396303901437372</v>
      </c>
      <c r="L192" s="22">
        <v>4.7720739219712529</v>
      </c>
      <c r="M192" s="22">
        <v>8.9117043121149901</v>
      </c>
      <c r="N192" s="22">
        <v>4.0136892539356603</v>
      </c>
      <c r="O192" s="22">
        <v>4.5749486652977414</v>
      </c>
      <c r="P192" s="22">
        <v>8.5886379192334026</v>
      </c>
      <c r="Q192" s="22">
        <v>3.2580424366872007</v>
      </c>
      <c r="R192" s="22">
        <v>5.9219712525667347</v>
      </c>
      <c r="S192" s="22">
        <v>9.1800136892539363</v>
      </c>
      <c r="T192" s="30">
        <v>4</v>
      </c>
      <c r="U192" s="30">
        <v>16</v>
      </c>
      <c r="V192" s="20" t="s">
        <v>1</v>
      </c>
      <c r="W192" s="20">
        <v>5</v>
      </c>
      <c r="X192" s="20">
        <v>2</v>
      </c>
      <c r="Y192" s="5">
        <v>1</v>
      </c>
      <c r="Z192" s="24">
        <v>4</v>
      </c>
      <c r="AA192" s="23">
        <f t="shared" si="6"/>
        <v>1</v>
      </c>
      <c r="AB192" s="15">
        <v>1</v>
      </c>
      <c r="AC192" s="15">
        <v>1</v>
      </c>
      <c r="AD192" s="15">
        <v>0.75</v>
      </c>
      <c r="AE192" s="15">
        <v>0.91700000000000004</v>
      </c>
      <c r="AF192" s="20">
        <v>22</v>
      </c>
      <c r="AG192" s="20">
        <v>8.57</v>
      </c>
      <c r="AH192" s="24">
        <v>24</v>
      </c>
      <c r="AI192" s="23">
        <f t="shared" si="7"/>
        <v>1</v>
      </c>
      <c r="AJ192" s="17">
        <v>12</v>
      </c>
      <c r="AK192" s="17">
        <v>8</v>
      </c>
      <c r="AL192" s="14">
        <v>20</v>
      </c>
      <c r="AM192" s="23" cm="1">
        <f t="array" ref="AM192">IF(OR(AN192:AZ192=""),"BLANK",IF(AND(AN192:AZ192&lt;9999999),1,IF(AND(AN192:AZ192="NA"),3,2)))</f>
        <v>1</v>
      </c>
      <c r="AN192" s="20">
        <v>9</v>
      </c>
      <c r="AO192" s="26">
        <v>2</v>
      </c>
      <c r="AP192" s="15">
        <v>3</v>
      </c>
      <c r="AQ192" s="15">
        <v>6.25</v>
      </c>
      <c r="AR192" s="15">
        <v>5.25</v>
      </c>
      <c r="AS192" s="26">
        <v>1177</v>
      </c>
      <c r="AT192" s="26">
        <v>2789</v>
      </c>
      <c r="AU192" s="26">
        <v>7970.25</v>
      </c>
      <c r="AV192" s="26">
        <v>16166.5</v>
      </c>
      <c r="AW192" s="26">
        <v>0</v>
      </c>
      <c r="AX192" s="26">
        <v>0</v>
      </c>
      <c r="AY192" s="26">
        <v>2604.3854166667002</v>
      </c>
      <c r="AZ192" s="26">
        <v>0</v>
      </c>
      <c r="BA192" s="23">
        <f t="shared" si="8"/>
        <v>1</v>
      </c>
      <c r="BB192" s="24">
        <v>41</v>
      </c>
    </row>
    <row r="193" spans="1:54" x14ac:dyDescent="0.2">
      <c r="A193" s="5">
        <v>1617</v>
      </c>
      <c r="B193" s="20" t="s">
        <v>82</v>
      </c>
      <c r="C193" s="18" t="s">
        <v>54</v>
      </c>
      <c r="D193" s="18">
        <v>5</v>
      </c>
      <c r="E193" s="18">
        <v>0</v>
      </c>
      <c r="F193" s="18" t="s">
        <v>9</v>
      </c>
      <c r="G193" s="18">
        <v>29</v>
      </c>
      <c r="H193" s="22">
        <v>4.0082135523613962</v>
      </c>
      <c r="I193" s="22">
        <v>4.9226557152635184</v>
      </c>
      <c r="J193" s="22">
        <v>8.9308692676249137</v>
      </c>
      <c r="K193" s="22">
        <v>4.0082135523613962</v>
      </c>
      <c r="L193" s="22">
        <v>4.9226557152635184</v>
      </c>
      <c r="M193" s="22">
        <v>8.9308692676249137</v>
      </c>
      <c r="N193" s="22" t="s">
        <v>8</v>
      </c>
      <c r="O193" s="22" t="s">
        <v>8</v>
      </c>
      <c r="P193" s="22" t="s">
        <v>8</v>
      </c>
      <c r="Q193" s="22" t="s">
        <v>8</v>
      </c>
      <c r="R193" s="22" t="s">
        <v>8</v>
      </c>
      <c r="S193" s="22" t="s">
        <v>8</v>
      </c>
      <c r="T193" s="30" t="s">
        <v>8</v>
      </c>
      <c r="U193" s="30" t="s">
        <v>8</v>
      </c>
      <c r="V193" s="20" t="s">
        <v>1</v>
      </c>
      <c r="W193" s="20">
        <v>5</v>
      </c>
      <c r="X193" s="20">
        <v>2</v>
      </c>
      <c r="Y193" s="5">
        <v>1</v>
      </c>
      <c r="Z193" s="24">
        <v>4</v>
      </c>
      <c r="AA193" s="23">
        <f t="shared" si="6"/>
        <v>1</v>
      </c>
      <c r="AB193" s="15">
        <v>0.875</v>
      </c>
      <c r="AC193" s="15">
        <v>0.75</v>
      </c>
      <c r="AD193" s="15">
        <v>0.75</v>
      </c>
      <c r="AE193" s="15">
        <v>0.79200000000000004</v>
      </c>
      <c r="AF193" s="20">
        <v>19</v>
      </c>
      <c r="AG193" s="20">
        <v>1.68</v>
      </c>
      <c r="AH193" s="24">
        <v>24</v>
      </c>
      <c r="AI193" s="23">
        <f t="shared" si="7"/>
        <v>1</v>
      </c>
      <c r="AJ193" s="17">
        <v>9</v>
      </c>
      <c r="AK193" s="17">
        <v>10</v>
      </c>
      <c r="AL193" s="14">
        <v>19</v>
      </c>
      <c r="AM193" s="23" cm="1">
        <f t="array" ref="AM193">IF(OR(AN193:AZ193=""),"BLANK",IF(AND(AN193:AZ193&lt;9999999),1,IF(AND(AN193:AZ193="NA"),3,2)))</f>
        <v>1</v>
      </c>
      <c r="AN193" s="20">
        <v>7</v>
      </c>
      <c r="AO193" s="26">
        <v>2</v>
      </c>
      <c r="AP193" s="15">
        <v>4.5</v>
      </c>
      <c r="AQ193" s="15">
        <v>5.25</v>
      </c>
      <c r="AR193" s="15">
        <v>8.25</v>
      </c>
      <c r="AS193" s="26">
        <v>0</v>
      </c>
      <c r="AT193" s="26">
        <v>12673.5</v>
      </c>
      <c r="AU193" s="26">
        <v>10561.5</v>
      </c>
      <c r="AV193" s="26">
        <v>19194.5</v>
      </c>
      <c r="AW193" s="26">
        <v>0</v>
      </c>
      <c r="AX193" s="26">
        <v>10369.333333333299</v>
      </c>
      <c r="AY193" s="26">
        <v>6796.6388888888996</v>
      </c>
      <c r="AZ193" s="26">
        <v>3273.1750000000002</v>
      </c>
      <c r="BA193" s="23">
        <f t="shared" si="8"/>
        <v>1</v>
      </c>
      <c r="BB193" s="24">
        <v>38</v>
      </c>
    </row>
    <row r="194" spans="1:54" x14ac:dyDescent="0.2">
      <c r="A194" s="5">
        <v>1626</v>
      </c>
      <c r="B194" s="20" t="s">
        <v>68</v>
      </c>
      <c r="C194" s="18" t="s">
        <v>54</v>
      </c>
      <c r="D194" s="18">
        <v>5</v>
      </c>
      <c r="E194" s="18">
        <v>0</v>
      </c>
      <c r="F194" s="18" t="s">
        <v>9</v>
      </c>
      <c r="G194" s="18">
        <v>27</v>
      </c>
      <c r="H194" s="22">
        <v>3.7180013689253935</v>
      </c>
      <c r="I194" s="22" t="s">
        <v>8</v>
      </c>
      <c r="J194" s="22" t="s">
        <v>8</v>
      </c>
      <c r="K194" s="22">
        <v>3.7207392197125255</v>
      </c>
      <c r="L194" s="22" t="s">
        <v>8</v>
      </c>
      <c r="M194" s="22" t="s">
        <v>8</v>
      </c>
      <c r="N194" s="22">
        <v>3.7371663244353184</v>
      </c>
      <c r="O194" s="22" t="s">
        <v>8</v>
      </c>
      <c r="P194" s="22" t="s">
        <v>8</v>
      </c>
      <c r="Q194" s="22">
        <v>3.3921971252566734</v>
      </c>
      <c r="R194" s="22" t="s">
        <v>8</v>
      </c>
      <c r="S194" s="22" t="s">
        <v>8</v>
      </c>
      <c r="T194" s="30">
        <v>6</v>
      </c>
      <c r="U194" s="30">
        <v>18</v>
      </c>
      <c r="V194" s="20" t="s">
        <v>1</v>
      </c>
      <c r="W194" s="20">
        <v>5</v>
      </c>
      <c r="X194" s="20">
        <v>2</v>
      </c>
      <c r="Y194" s="5">
        <v>1</v>
      </c>
      <c r="Z194" s="24">
        <v>4</v>
      </c>
      <c r="AA194" s="23">
        <f t="shared" ref="AA194:AA257" si="9">IF(AND(ISNUMBER(AB194), ISNUMBER(AC194),ISNUMBER(AD194), ISNUMBER(AE194), ISNUMBER(AF194),ISNUMBER(AG194), ISNUMBER(AH194)), 1, IF(AND(AB194="NA", AC194="NA", AD194="na", AE194="na", AF194="na", AG194="na", AH194="na"), 3, 2))</f>
        <v>1</v>
      </c>
      <c r="AB194" s="15">
        <v>1</v>
      </c>
      <c r="AC194" s="15">
        <v>0.875</v>
      </c>
      <c r="AD194" s="15">
        <v>0.875</v>
      </c>
      <c r="AE194" s="15">
        <v>0.91700000000000004</v>
      </c>
      <c r="AF194" s="20">
        <v>22</v>
      </c>
      <c r="AG194" s="20">
        <v>2.67</v>
      </c>
      <c r="AH194" s="24">
        <v>24</v>
      </c>
      <c r="AI194" s="23">
        <f t="shared" ref="AI194:AI257" si="10">IF(AND(ISNUMBER(AJ194), ISNUMBER(AK194),ISNUMBER(AL194)), 1, IF(AND(AJ194="NA", AK194="NA", AL194="na"), 3, 2))</f>
        <v>1</v>
      </c>
      <c r="AJ194" s="17">
        <v>1</v>
      </c>
      <c r="AK194" s="17">
        <v>8.25</v>
      </c>
      <c r="AL194" s="14">
        <v>9.25</v>
      </c>
      <c r="AM194" s="23" cm="1">
        <f t="array" ref="AM194">IF(OR(AN194:AZ194=""),"BLANK",IF(AND(AN194:AZ194&lt;9999999),1,IF(AND(AN194:AZ194="NA"),3,2)))</f>
        <v>1</v>
      </c>
      <c r="AN194" s="20">
        <v>6</v>
      </c>
      <c r="AO194" s="26">
        <v>2</v>
      </c>
      <c r="AP194" s="15">
        <v>3</v>
      </c>
      <c r="AQ194" s="15">
        <v>7.5</v>
      </c>
      <c r="AR194" s="15">
        <v>8</v>
      </c>
      <c r="AS194" s="26">
        <v>575.5</v>
      </c>
      <c r="AT194" s="26">
        <v>3333</v>
      </c>
      <c r="AU194" s="26">
        <v>1762</v>
      </c>
      <c r="AV194" s="26">
        <v>4042.5</v>
      </c>
      <c r="AW194" s="26">
        <v>212</v>
      </c>
      <c r="AX194" s="26">
        <v>0</v>
      </c>
      <c r="AY194" s="26">
        <v>12902.1006944444</v>
      </c>
      <c r="AZ194" s="26">
        <v>7877.9097222221999</v>
      </c>
      <c r="BA194" s="23">
        <f t="shared" si="8"/>
        <v>1</v>
      </c>
      <c r="BB194" s="24">
        <v>23</v>
      </c>
    </row>
    <row r="195" spans="1:54" x14ac:dyDescent="0.2">
      <c r="A195" s="5">
        <v>1637</v>
      </c>
      <c r="B195" s="20" t="s">
        <v>82</v>
      </c>
      <c r="C195" s="18" t="s">
        <v>54</v>
      </c>
      <c r="D195" s="18">
        <v>5</v>
      </c>
      <c r="E195" s="18">
        <v>0</v>
      </c>
      <c r="F195" s="18" t="s">
        <v>9</v>
      </c>
      <c r="G195" s="18">
        <v>28</v>
      </c>
      <c r="H195" s="22">
        <v>3.8165639972621492</v>
      </c>
      <c r="I195" s="22" t="s">
        <v>8</v>
      </c>
      <c r="J195" s="22" t="s">
        <v>8</v>
      </c>
      <c r="K195" s="22">
        <v>3.8165639972621492</v>
      </c>
      <c r="L195" s="22" t="s">
        <v>8</v>
      </c>
      <c r="M195" s="22" t="s">
        <v>8</v>
      </c>
      <c r="N195" s="22">
        <v>3.7782340862422998</v>
      </c>
      <c r="O195" s="22" t="s">
        <v>8</v>
      </c>
      <c r="P195" s="22" t="s">
        <v>8</v>
      </c>
      <c r="Q195" s="22">
        <v>3.3100616016427105</v>
      </c>
      <c r="R195" s="22" t="s">
        <v>8</v>
      </c>
      <c r="S195" s="22" t="s">
        <v>8</v>
      </c>
      <c r="T195" s="30">
        <v>7</v>
      </c>
      <c r="U195" s="30">
        <v>21</v>
      </c>
      <c r="V195" s="20" t="s">
        <v>1</v>
      </c>
      <c r="W195" s="20">
        <v>5</v>
      </c>
      <c r="X195" s="20">
        <v>2</v>
      </c>
      <c r="Y195" s="5">
        <v>1</v>
      </c>
      <c r="Z195" s="24">
        <v>4</v>
      </c>
      <c r="AA195" s="23">
        <f t="shared" si="9"/>
        <v>2</v>
      </c>
      <c r="AB195" s="15">
        <v>0.8571428571428571</v>
      </c>
      <c r="AC195" s="15">
        <v>0.5714285714285714</v>
      </c>
      <c r="AD195" s="15">
        <v>0.33333333333333331</v>
      </c>
      <c r="AE195" s="15">
        <v>0.6</v>
      </c>
      <c r="AF195" s="20">
        <v>12</v>
      </c>
      <c r="AG195" s="20" t="s">
        <v>8</v>
      </c>
      <c r="AH195" s="24">
        <v>20</v>
      </c>
      <c r="AI195" s="23">
        <f t="shared" si="10"/>
        <v>1</v>
      </c>
      <c r="AJ195" s="17">
        <v>4.5</v>
      </c>
      <c r="AK195" s="17">
        <v>2.75</v>
      </c>
      <c r="AL195" s="14">
        <v>7.25</v>
      </c>
      <c r="AM195" s="23" cm="1">
        <f t="array" ref="AM195">IF(OR(AN195:AZ195=""),"BLANK",IF(AND(AN195:AZ195&lt;9999999),1,IF(AND(AN195:AZ195="NA"),3,2)))</f>
        <v>1</v>
      </c>
      <c r="AN195" s="20">
        <v>9</v>
      </c>
      <c r="AO195" s="26">
        <v>2</v>
      </c>
      <c r="AP195" s="15">
        <v>3</v>
      </c>
      <c r="AQ195" s="15">
        <v>5.25</v>
      </c>
      <c r="AR195" s="15">
        <v>8.25</v>
      </c>
      <c r="AS195" s="26">
        <v>2950</v>
      </c>
      <c r="AT195" s="26">
        <v>93.5</v>
      </c>
      <c r="AU195" s="26">
        <v>1063.5</v>
      </c>
      <c r="AV195" s="26">
        <v>12220.5</v>
      </c>
      <c r="AW195" s="26">
        <v>0</v>
      </c>
      <c r="AX195" s="26">
        <v>0</v>
      </c>
      <c r="AY195" s="26">
        <v>24816.236111111099</v>
      </c>
      <c r="AZ195" s="26">
        <v>10455.284469697001</v>
      </c>
      <c r="BA195" s="23">
        <f t="shared" ref="BA195:BA258" si="11">IF(BB195="NA", 3,1)</f>
        <v>1</v>
      </c>
      <c r="BB195" s="24">
        <v>27</v>
      </c>
    </row>
    <row r="196" spans="1:54" x14ac:dyDescent="0.2">
      <c r="A196" s="5">
        <v>1656</v>
      </c>
      <c r="B196" s="20" t="s">
        <v>85</v>
      </c>
      <c r="C196" s="18" t="s">
        <v>54</v>
      </c>
      <c r="D196" s="18">
        <v>5</v>
      </c>
      <c r="E196" s="18">
        <v>0</v>
      </c>
      <c r="F196" s="18" t="s">
        <v>9</v>
      </c>
      <c r="G196" s="18">
        <v>30</v>
      </c>
      <c r="H196" s="22">
        <v>3.676933607118412</v>
      </c>
      <c r="I196" s="22">
        <v>5.3114305270362765</v>
      </c>
      <c r="J196" s="22">
        <v>8.988364134154688</v>
      </c>
      <c r="K196" s="22">
        <v>3.6960985626283369</v>
      </c>
      <c r="L196" s="22">
        <v>5.292265571526352</v>
      </c>
      <c r="M196" s="22">
        <v>8.988364134154688</v>
      </c>
      <c r="N196" s="22">
        <v>3.7125256673511293</v>
      </c>
      <c r="O196" s="22">
        <v>5.2950034223134841</v>
      </c>
      <c r="P196" s="22">
        <v>9.0075290896646134</v>
      </c>
      <c r="Q196" s="22">
        <v>3.4469541409993156</v>
      </c>
      <c r="R196" s="22">
        <v>5.848049281314168</v>
      </c>
      <c r="S196" s="22">
        <v>9.2950034223134832</v>
      </c>
      <c r="T196" s="30">
        <v>4</v>
      </c>
      <c r="U196" s="30">
        <v>16</v>
      </c>
      <c r="V196" s="20" t="s">
        <v>1</v>
      </c>
      <c r="W196" s="20">
        <v>5</v>
      </c>
      <c r="X196" s="20">
        <v>2</v>
      </c>
      <c r="Y196" s="5">
        <v>1</v>
      </c>
      <c r="Z196" s="24">
        <v>4</v>
      </c>
      <c r="AA196" s="23">
        <f t="shared" si="9"/>
        <v>1</v>
      </c>
      <c r="AB196" s="15">
        <v>0.875</v>
      </c>
      <c r="AC196" s="15">
        <v>0.625</v>
      </c>
      <c r="AD196" s="15">
        <v>0.625</v>
      </c>
      <c r="AE196" s="15">
        <v>0.70799999999999996</v>
      </c>
      <c r="AF196" s="20">
        <v>17</v>
      </c>
      <c r="AG196" s="20">
        <v>4.5199999999999996</v>
      </c>
      <c r="AH196" s="24">
        <v>24</v>
      </c>
      <c r="AI196" s="23">
        <f t="shared" si="10"/>
        <v>1</v>
      </c>
      <c r="AJ196" s="17">
        <v>7</v>
      </c>
      <c r="AK196" s="17">
        <v>12.75</v>
      </c>
      <c r="AL196" s="14">
        <v>19.75</v>
      </c>
      <c r="AM196" s="23" cm="1">
        <f t="array" ref="AM196">IF(OR(AN196:AZ196=""),"BLANK",IF(AND(AN196:AZ196&lt;9999999),1,IF(AND(AN196:AZ196="NA"),3,2)))</f>
        <v>1</v>
      </c>
      <c r="AN196" s="20">
        <v>4</v>
      </c>
      <c r="AO196" s="26">
        <v>2</v>
      </c>
      <c r="AP196" s="15">
        <v>3.5</v>
      </c>
      <c r="AQ196" s="15">
        <v>6.5</v>
      </c>
      <c r="AR196" s="15">
        <v>7.25</v>
      </c>
      <c r="AS196" s="26">
        <v>3284.5</v>
      </c>
      <c r="AT196" s="26">
        <v>12898</v>
      </c>
      <c r="AU196" s="26">
        <v>5887.25</v>
      </c>
      <c r="AV196" s="26">
        <v>9137.25</v>
      </c>
      <c r="AW196" s="26">
        <v>333.25</v>
      </c>
      <c r="AX196" s="26">
        <v>885.29166666670005</v>
      </c>
      <c r="AY196" s="26">
        <v>3965.9166666667002</v>
      </c>
      <c r="AZ196" s="26">
        <v>364.44444444440001</v>
      </c>
      <c r="BA196" s="23">
        <f t="shared" si="11"/>
        <v>1</v>
      </c>
      <c r="BB196" s="24">
        <v>32</v>
      </c>
    </row>
    <row r="197" spans="1:54" x14ac:dyDescent="0.2">
      <c r="A197" s="5">
        <v>1664</v>
      </c>
      <c r="B197" s="20" t="s">
        <v>68</v>
      </c>
      <c r="C197" s="18" t="s">
        <v>55</v>
      </c>
      <c r="D197" s="18">
        <v>5</v>
      </c>
      <c r="E197" s="18">
        <v>0</v>
      </c>
      <c r="F197" s="18" t="s">
        <v>9</v>
      </c>
      <c r="G197" s="18">
        <v>29</v>
      </c>
      <c r="H197" s="22">
        <v>3.8165639972621492</v>
      </c>
      <c r="I197" s="22">
        <v>5.415468856947296</v>
      </c>
      <c r="J197" s="22">
        <v>9.2320328542094447</v>
      </c>
      <c r="K197" s="22">
        <v>3.8329911019849416</v>
      </c>
      <c r="L197" s="22">
        <v>5.4017796030116356</v>
      </c>
      <c r="M197" s="22">
        <v>9.2347707049965777</v>
      </c>
      <c r="N197" s="22">
        <v>3.7809719370294319</v>
      </c>
      <c r="O197" s="22" t="s">
        <v>8</v>
      </c>
      <c r="P197" s="22" t="s">
        <v>8</v>
      </c>
      <c r="Q197" s="22">
        <v>3.3100616016427105</v>
      </c>
      <c r="R197" s="22" t="s">
        <v>8</v>
      </c>
      <c r="S197" s="22" t="s">
        <v>8</v>
      </c>
      <c r="T197" s="30">
        <v>2</v>
      </c>
      <c r="U197" s="30">
        <v>12</v>
      </c>
      <c r="V197" s="20" t="s">
        <v>1</v>
      </c>
      <c r="W197" s="20">
        <v>5</v>
      </c>
      <c r="X197" s="20">
        <v>2</v>
      </c>
      <c r="Y197" s="5">
        <v>1</v>
      </c>
      <c r="Z197" s="24">
        <v>4</v>
      </c>
      <c r="AA197" s="23">
        <f t="shared" si="9"/>
        <v>1</v>
      </c>
      <c r="AB197" s="15">
        <v>0.875</v>
      </c>
      <c r="AC197" s="15">
        <v>1</v>
      </c>
      <c r="AD197" s="15">
        <v>0.625</v>
      </c>
      <c r="AE197" s="15">
        <v>0.83299999999999996</v>
      </c>
      <c r="AF197" s="20">
        <v>20</v>
      </c>
      <c r="AG197" s="20">
        <v>8.6999999999999993</v>
      </c>
      <c r="AH197" s="24">
        <v>24</v>
      </c>
      <c r="AI197" s="23">
        <f t="shared" si="10"/>
        <v>1</v>
      </c>
      <c r="AJ197" s="17">
        <v>2.5</v>
      </c>
      <c r="AK197" s="17">
        <v>4.75</v>
      </c>
      <c r="AL197" s="14">
        <v>7.25</v>
      </c>
      <c r="AM197" s="23" cm="1">
        <f t="array" ref="AM197">IF(OR(AN197:AZ197=""),"BLANK",IF(AND(AN197:AZ197&lt;9999999),1,IF(AND(AN197:AZ197="NA"),3,2)))</f>
        <v>1</v>
      </c>
      <c r="AN197" s="20">
        <v>8</v>
      </c>
      <c r="AO197" s="26">
        <v>2</v>
      </c>
      <c r="AP197" s="15">
        <v>4</v>
      </c>
      <c r="AQ197" s="15">
        <v>5.25</v>
      </c>
      <c r="AR197" s="15">
        <v>6.5</v>
      </c>
      <c r="AS197" s="26">
        <v>3256</v>
      </c>
      <c r="AT197" s="26">
        <v>6226.5</v>
      </c>
      <c r="AU197" s="26">
        <v>4739.75</v>
      </c>
      <c r="AV197" s="26">
        <v>3823</v>
      </c>
      <c r="AW197" s="26">
        <v>0</v>
      </c>
      <c r="AX197" s="26">
        <v>295.5</v>
      </c>
      <c r="AY197" s="26">
        <v>9404.9236111111004</v>
      </c>
      <c r="AZ197" s="26">
        <v>100.41363636360001</v>
      </c>
      <c r="BA197" s="23">
        <f t="shared" si="11"/>
        <v>1</v>
      </c>
      <c r="BB197" s="24">
        <v>29</v>
      </c>
    </row>
    <row r="198" spans="1:54" x14ac:dyDescent="0.2">
      <c r="A198" s="5">
        <v>1685</v>
      </c>
      <c r="B198" s="20" t="s">
        <v>75</v>
      </c>
      <c r="C198" s="18" t="s">
        <v>54</v>
      </c>
      <c r="D198" s="18">
        <v>5</v>
      </c>
      <c r="E198" s="18">
        <v>0</v>
      </c>
      <c r="F198" s="18" t="s">
        <v>9</v>
      </c>
      <c r="G198" s="18">
        <v>30</v>
      </c>
      <c r="H198" s="22">
        <v>3.7152635181382614</v>
      </c>
      <c r="I198" s="22">
        <v>5.0978781656399725</v>
      </c>
      <c r="J198" s="22">
        <v>8.8131416837782339</v>
      </c>
      <c r="K198" s="22">
        <v>3.7180013689253935</v>
      </c>
      <c r="L198" s="22">
        <v>5.0951403148528405</v>
      </c>
      <c r="M198" s="22">
        <v>8.8131416837782339</v>
      </c>
      <c r="N198" s="22">
        <v>3.8329911019849416</v>
      </c>
      <c r="O198" s="22">
        <v>4.6926762491444221</v>
      </c>
      <c r="P198" s="22">
        <v>8.5256673511293641</v>
      </c>
      <c r="Q198" s="22">
        <v>3.378507871321013</v>
      </c>
      <c r="R198" s="22">
        <v>5.8945927446954141</v>
      </c>
      <c r="S198" s="22">
        <v>9.2731006160164267</v>
      </c>
      <c r="T198" s="30" t="s">
        <v>8</v>
      </c>
      <c r="U198" s="30" t="s">
        <v>8</v>
      </c>
      <c r="V198" s="20" t="s">
        <v>1</v>
      </c>
      <c r="W198" s="20">
        <v>5</v>
      </c>
      <c r="X198" s="20">
        <v>2</v>
      </c>
      <c r="Y198" s="5">
        <v>1</v>
      </c>
      <c r="Z198" s="24">
        <v>4</v>
      </c>
      <c r="AA198" s="23">
        <f t="shared" si="9"/>
        <v>1</v>
      </c>
      <c r="AB198" s="15">
        <v>1</v>
      </c>
      <c r="AC198" s="15">
        <v>0.875</v>
      </c>
      <c r="AD198" s="15">
        <v>0.75</v>
      </c>
      <c r="AE198" s="15">
        <v>0.875</v>
      </c>
      <c r="AF198" s="20">
        <v>21</v>
      </c>
      <c r="AG198" s="20">
        <v>10.32</v>
      </c>
      <c r="AH198" s="24">
        <v>24</v>
      </c>
      <c r="AI198" s="23">
        <f t="shared" si="10"/>
        <v>1</v>
      </c>
      <c r="AJ198" s="17">
        <v>12</v>
      </c>
      <c r="AK198" s="17">
        <v>8.25</v>
      </c>
      <c r="AL198" s="14">
        <v>20.25</v>
      </c>
      <c r="AM198" s="23" cm="1">
        <f t="array" ref="AM198">IF(OR(AN198:AZ198=""),"BLANK",IF(AND(AN198:AZ198&lt;9999999),1,IF(AND(AN198:AZ198="NA"),3,2)))</f>
        <v>1</v>
      </c>
      <c r="AN198" s="20">
        <v>8</v>
      </c>
      <c r="AO198" s="26">
        <v>2</v>
      </c>
      <c r="AP198" s="15">
        <v>3</v>
      </c>
      <c r="AQ198" s="15">
        <v>5.5</v>
      </c>
      <c r="AR198" s="15">
        <v>5.75</v>
      </c>
      <c r="AS198" s="26">
        <v>2738.5</v>
      </c>
      <c r="AT198" s="26">
        <v>5515</v>
      </c>
      <c r="AU198" s="26">
        <v>12127.25</v>
      </c>
      <c r="AV198" s="26">
        <v>9654.75</v>
      </c>
      <c r="AW198" s="26">
        <v>0</v>
      </c>
      <c r="AX198" s="26">
        <v>0</v>
      </c>
      <c r="AY198" s="26">
        <v>753.10416666670005</v>
      </c>
      <c r="AZ198" s="26">
        <v>2023.7</v>
      </c>
      <c r="BA198" s="23">
        <f t="shared" si="11"/>
        <v>1</v>
      </c>
      <c r="BB198" s="24">
        <v>39</v>
      </c>
    </row>
    <row r="199" spans="1:54" x14ac:dyDescent="0.2">
      <c r="A199" s="5">
        <v>1751</v>
      </c>
      <c r="B199" s="20" t="s">
        <v>66</v>
      </c>
      <c r="C199" s="18" t="s">
        <v>55</v>
      </c>
      <c r="D199" s="18">
        <v>5</v>
      </c>
      <c r="E199" s="18">
        <v>0</v>
      </c>
      <c r="F199" s="18" t="s">
        <v>9</v>
      </c>
      <c r="G199" s="18">
        <v>30</v>
      </c>
      <c r="H199" s="22">
        <v>3.8193018480492813</v>
      </c>
      <c r="I199" s="22">
        <v>5.0650239561943877</v>
      </c>
      <c r="J199" s="22">
        <v>8.8843258042436695</v>
      </c>
      <c r="K199" s="22">
        <v>3.8138261464750172</v>
      </c>
      <c r="L199" s="22">
        <v>5.0650239561943877</v>
      </c>
      <c r="M199" s="22">
        <v>8.8788501026694053</v>
      </c>
      <c r="N199" s="22">
        <v>3.7371663244353184</v>
      </c>
      <c r="O199" s="22">
        <v>4.7802874743326491</v>
      </c>
      <c r="P199" s="22">
        <v>8.517453798767967</v>
      </c>
      <c r="Q199" s="22">
        <v>4.0164271047227924</v>
      </c>
      <c r="R199" s="22">
        <v>5.3826146475017111</v>
      </c>
      <c r="S199" s="22">
        <v>9.3990417522245036</v>
      </c>
      <c r="T199" s="30">
        <v>4</v>
      </c>
      <c r="U199" s="30">
        <v>16</v>
      </c>
      <c r="V199" s="20" t="s">
        <v>1</v>
      </c>
      <c r="W199" s="20">
        <v>5</v>
      </c>
      <c r="X199" s="20">
        <v>2</v>
      </c>
      <c r="Y199" s="5">
        <v>1</v>
      </c>
      <c r="Z199" s="24">
        <v>4</v>
      </c>
      <c r="AA199" s="23">
        <f t="shared" si="9"/>
        <v>1</v>
      </c>
      <c r="AB199" s="15">
        <v>1</v>
      </c>
      <c r="AC199" s="15">
        <v>1</v>
      </c>
      <c r="AD199" s="15">
        <v>0.875</v>
      </c>
      <c r="AE199" s="15">
        <v>0.95799999999999996</v>
      </c>
      <c r="AF199" s="20">
        <v>23</v>
      </c>
      <c r="AG199" s="20">
        <v>11.82</v>
      </c>
      <c r="AH199" s="24">
        <v>24</v>
      </c>
      <c r="AI199" s="23">
        <f t="shared" si="10"/>
        <v>1</v>
      </c>
      <c r="AJ199" s="17">
        <v>13</v>
      </c>
      <c r="AK199" s="17">
        <v>10.75</v>
      </c>
      <c r="AL199" s="14">
        <v>23.75</v>
      </c>
      <c r="AM199" s="23" cm="1">
        <f t="array" ref="AM199">IF(OR(AN199:AZ199=""),"BLANK",IF(AND(AN199:AZ199&lt;9999999),1,IF(AND(AN199:AZ199="NA"),3,2)))</f>
        <v>1</v>
      </c>
      <c r="AN199" s="20">
        <v>9</v>
      </c>
      <c r="AO199" s="26">
        <v>2</v>
      </c>
      <c r="AP199" s="15">
        <v>3</v>
      </c>
      <c r="AQ199" s="15">
        <v>4.25</v>
      </c>
      <c r="AR199" s="15">
        <v>6.25</v>
      </c>
      <c r="AS199" s="26">
        <v>3502</v>
      </c>
      <c r="AT199" s="26">
        <v>5312</v>
      </c>
      <c r="AU199" s="26">
        <v>8895.25</v>
      </c>
      <c r="AV199" s="26">
        <v>6671.75</v>
      </c>
      <c r="AW199" s="26">
        <v>0</v>
      </c>
      <c r="AX199" s="26">
        <v>3517.6666666667002</v>
      </c>
      <c r="AY199" s="26">
        <v>0</v>
      </c>
      <c r="AZ199" s="26">
        <v>343.57499999999999</v>
      </c>
      <c r="BA199" s="23">
        <f t="shared" si="11"/>
        <v>1</v>
      </c>
      <c r="BB199" s="24">
        <v>39</v>
      </c>
    </row>
    <row r="200" spans="1:54" x14ac:dyDescent="0.2">
      <c r="A200" s="5">
        <v>1759</v>
      </c>
      <c r="B200" s="20" t="s">
        <v>75</v>
      </c>
      <c r="C200" s="18" t="s">
        <v>55</v>
      </c>
      <c r="D200" s="18">
        <v>5</v>
      </c>
      <c r="E200" s="18">
        <v>0</v>
      </c>
      <c r="F200" s="18" t="s">
        <v>9</v>
      </c>
      <c r="G200" s="18">
        <v>30</v>
      </c>
      <c r="H200" s="22">
        <v>4.1067761806981515</v>
      </c>
      <c r="I200" s="22">
        <v>4.7008898015058183</v>
      </c>
      <c r="J200" s="22">
        <v>8.8076659822039698</v>
      </c>
      <c r="K200" s="22">
        <v>4.1067761806981515</v>
      </c>
      <c r="L200" s="22">
        <v>4.777549623545517</v>
      </c>
      <c r="M200" s="22">
        <v>8.8843258042436695</v>
      </c>
      <c r="N200" s="22">
        <v>4.1560574948665296</v>
      </c>
      <c r="O200" s="22">
        <v>4.7173169062286107</v>
      </c>
      <c r="P200" s="22">
        <v>8.8733744010951412</v>
      </c>
      <c r="Q200" s="22" t="s">
        <v>8</v>
      </c>
      <c r="R200" s="22" t="s">
        <v>8</v>
      </c>
      <c r="S200" s="22" t="s">
        <v>8</v>
      </c>
      <c r="T200" s="30">
        <v>6</v>
      </c>
      <c r="U200" s="30">
        <v>18</v>
      </c>
      <c r="V200" s="20" t="s">
        <v>1</v>
      </c>
      <c r="W200" s="20">
        <v>5</v>
      </c>
      <c r="X200" s="20">
        <v>2</v>
      </c>
      <c r="Y200" s="5">
        <v>1</v>
      </c>
      <c r="Z200" s="24">
        <v>4</v>
      </c>
      <c r="AA200" s="23">
        <f t="shared" si="9"/>
        <v>1</v>
      </c>
      <c r="AB200" s="15">
        <v>0.875</v>
      </c>
      <c r="AC200" s="15">
        <v>1</v>
      </c>
      <c r="AD200" s="15">
        <v>0.875</v>
      </c>
      <c r="AE200" s="15">
        <v>0.91700000000000004</v>
      </c>
      <c r="AF200" s="20">
        <v>22</v>
      </c>
      <c r="AG200" s="20">
        <v>5.73</v>
      </c>
      <c r="AH200" s="24">
        <v>24</v>
      </c>
      <c r="AI200" s="23">
        <f t="shared" si="10"/>
        <v>1</v>
      </c>
      <c r="AJ200" s="17">
        <v>7.75</v>
      </c>
      <c r="AK200" s="17">
        <v>7</v>
      </c>
      <c r="AL200" s="14">
        <v>14.75</v>
      </c>
      <c r="AM200" s="23" cm="1">
        <f t="array" ref="AM200">IF(OR(AN200:AZ200=""),"BLANK",IF(AND(AN200:AZ200&lt;9999999),1,IF(AND(AN200:AZ200="NA"),3,2)))</f>
        <v>1</v>
      </c>
      <c r="AN200" s="20">
        <v>7</v>
      </c>
      <c r="AO200" s="26">
        <v>2</v>
      </c>
      <c r="AP200" s="15">
        <v>3</v>
      </c>
      <c r="AQ200" s="15">
        <v>5.25</v>
      </c>
      <c r="AR200" s="15">
        <v>6</v>
      </c>
      <c r="AS200" s="26">
        <v>893</v>
      </c>
      <c r="AT200" s="26">
        <v>3047</v>
      </c>
      <c r="AU200" s="26">
        <v>4882.5</v>
      </c>
      <c r="AV200" s="26">
        <v>4379.5</v>
      </c>
      <c r="AW200" s="26">
        <v>0</v>
      </c>
      <c r="AX200" s="26">
        <v>0</v>
      </c>
      <c r="AY200" s="26">
        <v>1967.4625000000001</v>
      </c>
      <c r="AZ200" s="26">
        <v>218.85595238100001</v>
      </c>
      <c r="BA200" s="23">
        <f t="shared" si="11"/>
        <v>1</v>
      </c>
      <c r="BB200" s="24">
        <v>39</v>
      </c>
    </row>
    <row r="201" spans="1:54" x14ac:dyDescent="0.2">
      <c r="A201" s="5">
        <v>1767</v>
      </c>
      <c r="B201" s="20" t="s">
        <v>73</v>
      </c>
      <c r="C201" s="18" t="s">
        <v>54</v>
      </c>
      <c r="D201" s="18">
        <v>5</v>
      </c>
      <c r="E201" s="18">
        <v>0</v>
      </c>
      <c r="F201" s="18" t="s">
        <v>9</v>
      </c>
      <c r="G201" s="18">
        <v>30</v>
      </c>
      <c r="H201" s="22">
        <v>4.0219028062970565</v>
      </c>
      <c r="I201" s="22">
        <v>5.0458590006844624</v>
      </c>
      <c r="J201" s="22">
        <v>9.0677618069815189</v>
      </c>
      <c r="K201" s="22">
        <v>4.0219028062970565</v>
      </c>
      <c r="L201" s="22">
        <v>5.0458590006844624</v>
      </c>
      <c r="M201" s="22">
        <v>9.0677618069815189</v>
      </c>
      <c r="N201" s="22">
        <v>4.0355920602327169</v>
      </c>
      <c r="O201" s="22">
        <v>4.944558521560575</v>
      </c>
      <c r="P201" s="22">
        <v>8.9801505817932927</v>
      </c>
      <c r="Q201" s="22" t="s">
        <v>8</v>
      </c>
      <c r="R201" s="22" t="s">
        <v>8</v>
      </c>
      <c r="S201" s="22" t="s">
        <v>8</v>
      </c>
      <c r="T201" s="30">
        <v>4</v>
      </c>
      <c r="U201" s="30">
        <v>16</v>
      </c>
      <c r="V201" s="20" t="s">
        <v>1</v>
      </c>
      <c r="W201" s="20">
        <v>5</v>
      </c>
      <c r="X201" s="20">
        <v>2</v>
      </c>
      <c r="Y201" s="5">
        <v>1</v>
      </c>
      <c r="Z201" s="24">
        <v>4</v>
      </c>
      <c r="AA201" s="23">
        <f t="shared" si="9"/>
        <v>1</v>
      </c>
      <c r="AB201" s="15">
        <v>1</v>
      </c>
      <c r="AC201" s="15">
        <v>1</v>
      </c>
      <c r="AD201" s="15">
        <v>0.75</v>
      </c>
      <c r="AE201" s="15">
        <v>0.91700000000000004</v>
      </c>
      <c r="AF201" s="20">
        <v>22</v>
      </c>
      <c r="AG201" s="20">
        <v>6.15</v>
      </c>
      <c r="AH201" s="24">
        <v>24</v>
      </c>
      <c r="AI201" s="23">
        <f t="shared" si="10"/>
        <v>1</v>
      </c>
      <c r="AJ201" s="17">
        <v>15</v>
      </c>
      <c r="AK201" s="17">
        <v>11.75</v>
      </c>
      <c r="AL201" s="14">
        <v>26.75</v>
      </c>
      <c r="AM201" s="23" cm="1">
        <f t="array" ref="AM201">IF(OR(AN201:AZ201=""),"BLANK",IF(AND(AN201:AZ201&lt;9999999),1,IF(AND(AN201:AZ201="NA"),3,2)))</f>
        <v>1</v>
      </c>
      <c r="AN201" s="20">
        <v>9</v>
      </c>
      <c r="AO201" s="26">
        <v>2</v>
      </c>
      <c r="AP201" s="15">
        <v>3</v>
      </c>
      <c r="AQ201" s="15">
        <v>4.5</v>
      </c>
      <c r="AR201" s="15">
        <v>6.75</v>
      </c>
      <c r="AS201" s="26">
        <v>2098.5</v>
      </c>
      <c r="AT201" s="26">
        <v>3046</v>
      </c>
      <c r="AU201" s="26">
        <v>7554</v>
      </c>
      <c r="AV201" s="26">
        <v>15980</v>
      </c>
      <c r="AW201" s="26">
        <v>0</v>
      </c>
      <c r="AX201" s="26">
        <v>0</v>
      </c>
      <c r="AY201" s="26">
        <v>94.020833333300004</v>
      </c>
      <c r="AZ201" s="26">
        <v>511.9318181818</v>
      </c>
      <c r="BA201" s="23">
        <f t="shared" si="11"/>
        <v>3</v>
      </c>
      <c r="BB201" s="24" t="s">
        <v>8</v>
      </c>
    </row>
    <row r="202" spans="1:54" x14ac:dyDescent="0.2">
      <c r="A202" s="5">
        <v>1775</v>
      </c>
      <c r="B202" s="20" t="s">
        <v>79</v>
      </c>
      <c r="C202" s="18" t="s">
        <v>55</v>
      </c>
      <c r="D202" s="18">
        <v>5</v>
      </c>
      <c r="E202" s="18">
        <v>0</v>
      </c>
      <c r="F202" s="18" t="s">
        <v>9</v>
      </c>
      <c r="G202" s="18">
        <v>30</v>
      </c>
      <c r="H202" s="22">
        <v>3.592060232717317</v>
      </c>
      <c r="I202" s="22">
        <v>5.1964407939767279</v>
      </c>
      <c r="J202" s="22">
        <v>8.7885010266940444</v>
      </c>
      <c r="K202" s="22">
        <v>3.5838466803559208</v>
      </c>
      <c r="L202" s="22">
        <v>5.4757015742642023</v>
      </c>
      <c r="M202" s="22">
        <v>9.0595482546201236</v>
      </c>
      <c r="N202" s="22">
        <v>3.5728952772073921</v>
      </c>
      <c r="O202" s="22">
        <v>5.1553730321697468</v>
      </c>
      <c r="P202" s="22">
        <v>8.7282683093771389</v>
      </c>
      <c r="Q202" s="22">
        <v>3.2936344969199181</v>
      </c>
      <c r="R202" s="22">
        <v>5.9958932238193015</v>
      </c>
      <c r="S202" s="22">
        <v>9.2895277207392191</v>
      </c>
      <c r="T202" s="30">
        <v>4</v>
      </c>
      <c r="U202" s="30">
        <v>16</v>
      </c>
      <c r="V202" s="20" t="s">
        <v>1</v>
      </c>
      <c r="W202" s="20">
        <v>5</v>
      </c>
      <c r="X202" s="20">
        <v>2</v>
      </c>
      <c r="Y202" s="5">
        <v>1</v>
      </c>
      <c r="Z202" s="24">
        <v>4</v>
      </c>
      <c r="AA202" s="23">
        <f t="shared" si="9"/>
        <v>1</v>
      </c>
      <c r="AB202" s="15">
        <v>1</v>
      </c>
      <c r="AC202" s="15">
        <v>1</v>
      </c>
      <c r="AD202" s="15">
        <v>0.75</v>
      </c>
      <c r="AE202" s="15">
        <v>0.91300000000000003</v>
      </c>
      <c r="AF202" s="20">
        <v>21</v>
      </c>
      <c r="AG202" s="20">
        <v>8.8000000000000007</v>
      </c>
      <c r="AH202" s="24">
        <v>23</v>
      </c>
      <c r="AI202" s="23">
        <f t="shared" si="10"/>
        <v>1</v>
      </c>
      <c r="AJ202" s="17">
        <v>10.5</v>
      </c>
      <c r="AK202" s="17">
        <v>11.75</v>
      </c>
      <c r="AL202" s="14">
        <v>22.25</v>
      </c>
      <c r="AM202" s="23" cm="1">
        <f t="array" ref="AM202">IF(OR(AN202:AZ202=""),"BLANK",IF(AND(AN202:AZ202&lt;9999999),1,IF(AND(AN202:AZ202="NA"),3,2)))</f>
        <v>1</v>
      </c>
      <c r="AN202" s="20">
        <v>11</v>
      </c>
      <c r="AO202" s="26">
        <v>2</v>
      </c>
      <c r="AP202" s="15">
        <v>3</v>
      </c>
      <c r="AQ202" s="15">
        <v>4.5</v>
      </c>
      <c r="AR202" s="15">
        <v>5</v>
      </c>
      <c r="AS202" s="26">
        <v>2933</v>
      </c>
      <c r="AT202" s="26">
        <v>3824</v>
      </c>
      <c r="AU202" s="26">
        <v>12819.5</v>
      </c>
      <c r="AV202" s="26">
        <v>14280.5</v>
      </c>
      <c r="AW202" s="26">
        <v>0</v>
      </c>
      <c r="AX202" s="26">
        <v>0</v>
      </c>
      <c r="AY202" s="26">
        <v>808.20833333329995</v>
      </c>
      <c r="AZ202" s="26">
        <v>0</v>
      </c>
      <c r="BA202" s="23">
        <f t="shared" si="11"/>
        <v>1</v>
      </c>
      <c r="BB202" s="24">
        <v>35</v>
      </c>
    </row>
    <row r="203" spans="1:54" x14ac:dyDescent="0.2">
      <c r="A203" s="5">
        <v>1781</v>
      </c>
      <c r="B203" s="20" t="s">
        <v>66</v>
      </c>
      <c r="C203" s="18" t="s">
        <v>54</v>
      </c>
      <c r="D203" s="18">
        <v>5</v>
      </c>
      <c r="E203" s="18">
        <v>0</v>
      </c>
      <c r="F203" s="18" t="s">
        <v>9</v>
      </c>
      <c r="G203" s="18">
        <v>28</v>
      </c>
      <c r="H203" s="22">
        <v>4.0684462696783026</v>
      </c>
      <c r="I203" s="22" t="s">
        <v>8</v>
      </c>
      <c r="J203" s="22" t="s">
        <v>8</v>
      </c>
      <c r="K203" s="22">
        <v>4.0684462696783026</v>
      </c>
      <c r="L203" s="22" t="s">
        <v>8</v>
      </c>
      <c r="M203" s="22" t="s">
        <v>8</v>
      </c>
      <c r="N203" s="22" t="s">
        <v>8</v>
      </c>
      <c r="O203" s="22" t="s">
        <v>8</v>
      </c>
      <c r="P203" s="22" t="s">
        <v>8</v>
      </c>
      <c r="Q203" s="22" t="s">
        <v>8</v>
      </c>
      <c r="R203" s="22" t="s">
        <v>8</v>
      </c>
      <c r="S203" s="22" t="s">
        <v>8</v>
      </c>
      <c r="T203" s="30">
        <v>6</v>
      </c>
      <c r="U203" s="30">
        <v>18</v>
      </c>
      <c r="V203" s="20" t="s">
        <v>1</v>
      </c>
      <c r="W203" s="20">
        <v>5</v>
      </c>
      <c r="X203" s="20">
        <v>2</v>
      </c>
      <c r="Y203" s="5">
        <v>1</v>
      </c>
      <c r="Z203" s="24">
        <v>4</v>
      </c>
      <c r="AA203" s="23">
        <f t="shared" si="9"/>
        <v>1</v>
      </c>
      <c r="AB203" s="15">
        <v>1</v>
      </c>
      <c r="AC203" s="15">
        <v>0.875</v>
      </c>
      <c r="AD203" s="15">
        <v>0.625</v>
      </c>
      <c r="AE203" s="15">
        <v>0.83299999999999996</v>
      </c>
      <c r="AF203" s="20">
        <v>20</v>
      </c>
      <c r="AG203" s="20">
        <v>6.83</v>
      </c>
      <c r="AH203" s="24">
        <v>24</v>
      </c>
      <c r="AI203" s="23">
        <f t="shared" si="10"/>
        <v>1</v>
      </c>
      <c r="AJ203" s="17">
        <v>14</v>
      </c>
      <c r="AK203" s="17">
        <v>12</v>
      </c>
      <c r="AL203" s="14">
        <v>26</v>
      </c>
      <c r="AM203" s="23" cm="1">
        <f t="array" ref="AM203">IF(OR(AN203:AZ203=""),"BLANK",IF(AND(AN203:AZ203&lt;9999999),1,IF(AND(AN203:AZ203="NA"),3,2)))</f>
        <v>1</v>
      </c>
      <c r="AN203" s="20">
        <v>7</v>
      </c>
      <c r="AO203" s="26">
        <v>2</v>
      </c>
      <c r="AP203" s="15">
        <v>3</v>
      </c>
      <c r="AQ203" s="15">
        <v>5.5</v>
      </c>
      <c r="AR203" s="15">
        <v>10.25</v>
      </c>
      <c r="AS203" s="26">
        <v>1624.5</v>
      </c>
      <c r="AT203" s="26">
        <v>8041</v>
      </c>
      <c r="AU203" s="26">
        <v>11801.25</v>
      </c>
      <c r="AV203" s="26">
        <v>13496.5</v>
      </c>
      <c r="AW203" s="26">
        <v>0</v>
      </c>
      <c r="AX203" s="26">
        <v>0</v>
      </c>
      <c r="AY203" s="26">
        <v>730.72500000000002</v>
      </c>
      <c r="AZ203" s="26">
        <v>628.61249999999995</v>
      </c>
      <c r="BA203" s="23">
        <f t="shared" si="11"/>
        <v>1</v>
      </c>
      <c r="BB203" s="24">
        <v>39</v>
      </c>
    </row>
    <row r="204" spans="1:54" x14ac:dyDescent="0.2">
      <c r="A204" s="5">
        <v>1796</v>
      </c>
      <c r="B204" s="5" t="s">
        <v>73</v>
      </c>
      <c r="C204" s="18" t="s">
        <v>54</v>
      </c>
      <c r="D204" s="18">
        <v>6</v>
      </c>
      <c r="E204" s="18">
        <v>1</v>
      </c>
      <c r="F204" s="18" t="s">
        <v>9</v>
      </c>
      <c r="G204" s="18">
        <v>30</v>
      </c>
      <c r="H204" s="22">
        <v>4.213552361396304</v>
      </c>
      <c r="I204" s="22">
        <v>4.6242299794661195</v>
      </c>
      <c r="J204" s="22">
        <v>8.8377823408624234</v>
      </c>
      <c r="K204" s="22">
        <v>4.213552361396304</v>
      </c>
      <c r="L204" s="22">
        <v>4.6242299794661195</v>
      </c>
      <c r="M204" s="22">
        <v>8.8377823408624234</v>
      </c>
      <c r="N204" s="22">
        <v>4.1505817932922655</v>
      </c>
      <c r="O204" s="22">
        <v>4.6050650239561941</v>
      </c>
      <c r="P204" s="22">
        <v>8.7556468172484596</v>
      </c>
      <c r="Q204" s="22" t="s">
        <v>8</v>
      </c>
      <c r="R204" s="22" t="s">
        <v>8</v>
      </c>
      <c r="S204" s="22" t="s">
        <v>8</v>
      </c>
      <c r="T204" s="30">
        <v>7</v>
      </c>
      <c r="U204" s="30">
        <v>21</v>
      </c>
      <c r="V204" s="20" t="s">
        <v>1</v>
      </c>
      <c r="W204" s="20">
        <v>5</v>
      </c>
      <c r="X204" s="20">
        <v>2</v>
      </c>
      <c r="Y204" s="5">
        <v>1</v>
      </c>
      <c r="Z204" s="24">
        <v>4</v>
      </c>
      <c r="AA204" s="23">
        <f t="shared" si="9"/>
        <v>1</v>
      </c>
      <c r="AB204" s="15">
        <v>1</v>
      </c>
      <c r="AC204" s="15">
        <v>0.875</v>
      </c>
      <c r="AD204" s="15">
        <v>0.875</v>
      </c>
      <c r="AE204" s="15">
        <v>0.91700000000000004</v>
      </c>
      <c r="AF204" s="20">
        <v>22</v>
      </c>
      <c r="AG204" s="20">
        <v>11.83</v>
      </c>
      <c r="AH204" s="24">
        <v>24</v>
      </c>
      <c r="AI204" s="23">
        <f t="shared" si="10"/>
        <v>1</v>
      </c>
      <c r="AJ204" s="17">
        <v>11.5</v>
      </c>
      <c r="AK204" s="17">
        <v>10.5</v>
      </c>
      <c r="AL204" s="14">
        <v>22</v>
      </c>
      <c r="AM204" s="23" cm="1">
        <f t="array" ref="AM204">IF(OR(AN204:AZ204=""),"BLANK",IF(AND(AN204:AZ204&lt;9999999),1,IF(AND(AN204:AZ204="NA"),3,2)))</f>
        <v>1</v>
      </c>
      <c r="AN204" s="20">
        <v>11</v>
      </c>
      <c r="AO204" s="26">
        <v>2</v>
      </c>
      <c r="AP204" s="15">
        <v>3</v>
      </c>
      <c r="AQ204" s="15">
        <v>4</v>
      </c>
      <c r="AR204" s="15">
        <v>5.25</v>
      </c>
      <c r="AS204" s="26">
        <v>2499.5</v>
      </c>
      <c r="AT204" s="26">
        <v>6962.5</v>
      </c>
      <c r="AU204" s="26">
        <v>28331.25</v>
      </c>
      <c r="AV204" s="26">
        <v>44139.25</v>
      </c>
      <c r="AW204" s="26">
        <v>0</v>
      </c>
      <c r="AX204" s="26">
        <v>0</v>
      </c>
      <c r="AY204" s="26">
        <v>0</v>
      </c>
      <c r="AZ204" s="26">
        <v>196.2083333333</v>
      </c>
      <c r="BA204" s="23">
        <f t="shared" si="11"/>
        <v>1</v>
      </c>
      <c r="BB204" s="24">
        <v>35</v>
      </c>
    </row>
    <row r="205" spans="1:54" x14ac:dyDescent="0.2">
      <c r="A205" s="5">
        <v>1797</v>
      </c>
      <c r="B205" s="20" t="s">
        <v>65</v>
      </c>
      <c r="C205" s="18" t="s">
        <v>54</v>
      </c>
      <c r="D205" s="18">
        <v>5</v>
      </c>
      <c r="E205" s="18">
        <v>0</v>
      </c>
      <c r="F205" s="18" t="s">
        <v>9</v>
      </c>
      <c r="G205" s="18">
        <v>30</v>
      </c>
      <c r="H205" s="22">
        <v>4.1615331964407938</v>
      </c>
      <c r="I205" s="22" t="s">
        <v>8</v>
      </c>
      <c r="J205" s="22" t="s">
        <v>8</v>
      </c>
      <c r="K205" s="22">
        <v>4.1615331964407938</v>
      </c>
      <c r="L205" s="22" t="s">
        <v>8</v>
      </c>
      <c r="M205" s="22" t="s">
        <v>8</v>
      </c>
      <c r="N205" s="22">
        <v>4.131416837782341</v>
      </c>
      <c r="O205" s="22" t="s">
        <v>8</v>
      </c>
      <c r="P205" s="22" t="s">
        <v>8</v>
      </c>
      <c r="Q205" s="22">
        <v>3.9561943874058865</v>
      </c>
      <c r="R205" s="22" t="s">
        <v>8</v>
      </c>
      <c r="S205" s="22" t="s">
        <v>8</v>
      </c>
      <c r="T205" s="30">
        <v>4</v>
      </c>
      <c r="U205" s="30">
        <v>16</v>
      </c>
      <c r="V205" s="20" t="s">
        <v>1</v>
      </c>
      <c r="W205" s="20">
        <v>5</v>
      </c>
      <c r="X205" s="20">
        <v>2</v>
      </c>
      <c r="Y205" s="5">
        <v>1</v>
      </c>
      <c r="Z205" s="24">
        <v>4</v>
      </c>
      <c r="AA205" s="23">
        <f t="shared" si="9"/>
        <v>1</v>
      </c>
      <c r="AB205" s="15">
        <v>1</v>
      </c>
      <c r="AC205" s="15">
        <v>1</v>
      </c>
      <c r="AD205" s="15">
        <v>0.5</v>
      </c>
      <c r="AE205" s="15">
        <v>0.83299999999999996</v>
      </c>
      <c r="AF205" s="20">
        <v>20</v>
      </c>
      <c r="AG205" s="20">
        <v>3.28</v>
      </c>
      <c r="AH205" s="24">
        <v>24</v>
      </c>
      <c r="AI205" s="23">
        <f t="shared" si="10"/>
        <v>1</v>
      </c>
      <c r="AJ205" s="17">
        <v>7.25</v>
      </c>
      <c r="AK205" s="17">
        <v>4</v>
      </c>
      <c r="AL205" s="14">
        <v>11.25</v>
      </c>
      <c r="AM205" s="23" cm="1">
        <f t="array" ref="AM205">IF(OR(AN205:AZ205=""),"BLANK",IF(AND(AN205:AZ205&lt;9999999),1,IF(AND(AN205:AZ205="NA"),3,2)))</f>
        <v>1</v>
      </c>
      <c r="AN205" s="20">
        <v>8</v>
      </c>
      <c r="AO205" s="26">
        <v>2</v>
      </c>
      <c r="AP205" s="15">
        <v>3</v>
      </c>
      <c r="AQ205" s="15">
        <v>5.75</v>
      </c>
      <c r="AR205" s="15">
        <v>5.75</v>
      </c>
      <c r="AS205" s="26">
        <v>0</v>
      </c>
      <c r="AT205" s="26">
        <v>2272</v>
      </c>
      <c r="AU205" s="26">
        <v>2516.5</v>
      </c>
      <c r="AV205" s="26">
        <v>21239</v>
      </c>
      <c r="AW205" s="26">
        <v>1321</v>
      </c>
      <c r="AX205" s="26">
        <v>0</v>
      </c>
      <c r="AY205" s="26">
        <v>1483.8055555556</v>
      </c>
      <c r="AZ205" s="26">
        <v>1346.6321428571</v>
      </c>
      <c r="BA205" s="23">
        <f t="shared" si="11"/>
        <v>1</v>
      </c>
      <c r="BB205" s="24">
        <v>27</v>
      </c>
    </row>
    <row r="206" spans="1:54" x14ac:dyDescent="0.2">
      <c r="A206" s="5">
        <v>1800</v>
      </c>
      <c r="B206" s="20" t="s">
        <v>74</v>
      </c>
      <c r="C206" s="18" t="s">
        <v>54</v>
      </c>
      <c r="D206" s="18">
        <v>5</v>
      </c>
      <c r="E206" s="18">
        <v>0</v>
      </c>
      <c r="F206" s="18" t="s">
        <v>9</v>
      </c>
      <c r="G206" s="18">
        <v>27</v>
      </c>
      <c r="H206" s="22">
        <v>4.213552361396304</v>
      </c>
      <c r="I206" s="22" t="s">
        <v>8</v>
      </c>
      <c r="J206" s="22" t="s">
        <v>8</v>
      </c>
      <c r="K206" s="22">
        <v>5.3442847364818613</v>
      </c>
      <c r="L206" s="22" t="s">
        <v>8</v>
      </c>
      <c r="M206" s="22" t="s">
        <v>8</v>
      </c>
      <c r="N206" s="22">
        <v>4.1724845995893221</v>
      </c>
      <c r="O206" s="22" t="s">
        <v>8</v>
      </c>
      <c r="P206" s="22" t="s">
        <v>8</v>
      </c>
      <c r="Q206" s="22">
        <v>3.9890485968514717</v>
      </c>
      <c r="R206" s="22" t="s">
        <v>8</v>
      </c>
      <c r="S206" s="22" t="s">
        <v>8</v>
      </c>
      <c r="T206" s="30" t="s">
        <v>8</v>
      </c>
      <c r="U206" s="30" t="s">
        <v>8</v>
      </c>
      <c r="V206" s="20" t="s">
        <v>1</v>
      </c>
      <c r="W206" s="20">
        <v>5</v>
      </c>
      <c r="X206" s="20">
        <v>2</v>
      </c>
      <c r="Y206" s="5">
        <v>1</v>
      </c>
      <c r="Z206" s="24">
        <v>4</v>
      </c>
      <c r="AA206" s="23">
        <f t="shared" si="9"/>
        <v>3</v>
      </c>
      <c r="AB206" s="15" t="s">
        <v>8</v>
      </c>
      <c r="AC206" s="15" t="s">
        <v>8</v>
      </c>
      <c r="AD206" s="15" t="s">
        <v>8</v>
      </c>
      <c r="AE206" s="15" t="s">
        <v>8</v>
      </c>
      <c r="AF206" s="20" t="s">
        <v>8</v>
      </c>
      <c r="AG206" s="20" t="s">
        <v>8</v>
      </c>
      <c r="AH206" s="24" t="s">
        <v>8</v>
      </c>
      <c r="AI206" s="23">
        <f t="shared" si="10"/>
        <v>1</v>
      </c>
      <c r="AJ206" s="17">
        <v>13</v>
      </c>
      <c r="AK206" s="17">
        <v>9.5</v>
      </c>
      <c r="AL206" s="14">
        <v>22.5</v>
      </c>
      <c r="AM206" s="23" cm="1">
        <f t="array" ref="AM206">IF(OR(AN206:AZ206=""),"BLANK",IF(AND(AN206:AZ206&lt;9999999),1,IF(AND(AN206:AZ206="NA"),3,2)))</f>
        <v>1</v>
      </c>
      <c r="AN206" s="20">
        <v>9</v>
      </c>
      <c r="AO206" s="26">
        <v>2</v>
      </c>
      <c r="AP206" s="15">
        <v>3</v>
      </c>
      <c r="AQ206" s="15">
        <v>4.75</v>
      </c>
      <c r="AR206" s="15">
        <v>6</v>
      </c>
      <c r="AS206" s="26">
        <v>905</v>
      </c>
      <c r="AT206" s="26">
        <v>3818.5</v>
      </c>
      <c r="AU206" s="26">
        <v>6119.75</v>
      </c>
      <c r="AV206" s="26">
        <v>17507.25</v>
      </c>
      <c r="AW206" s="26">
        <v>0</v>
      </c>
      <c r="AX206" s="26">
        <v>256.6666666667</v>
      </c>
      <c r="AY206" s="26">
        <v>3454.9708333333001</v>
      </c>
      <c r="AZ206" s="26">
        <v>153.5444444444</v>
      </c>
      <c r="BA206" s="23">
        <f t="shared" si="11"/>
        <v>1</v>
      </c>
      <c r="BB206" s="24">
        <v>38</v>
      </c>
    </row>
    <row r="207" spans="1:54" x14ac:dyDescent="0.2">
      <c r="A207" s="5">
        <v>1844</v>
      </c>
      <c r="B207" s="20" t="s">
        <v>76</v>
      </c>
      <c r="C207" s="18" t="s">
        <v>55</v>
      </c>
      <c r="D207" s="18">
        <v>5</v>
      </c>
      <c r="E207" s="18">
        <v>0</v>
      </c>
      <c r="F207" s="18" t="s">
        <v>9</v>
      </c>
      <c r="G207" s="18">
        <v>30</v>
      </c>
      <c r="H207" s="22">
        <v>3.5838466803559208</v>
      </c>
      <c r="I207" s="22">
        <v>5.4428473648186175</v>
      </c>
      <c r="J207" s="22">
        <v>9.0266940451745388</v>
      </c>
      <c r="K207" s="22">
        <v>3.5838466803559208</v>
      </c>
      <c r="L207" s="22">
        <v>5.4428473648186175</v>
      </c>
      <c r="M207" s="22">
        <v>9.0266940451745388</v>
      </c>
      <c r="N207" s="22">
        <v>3.592060232717317</v>
      </c>
      <c r="O207" s="22">
        <v>5.415468856947296</v>
      </c>
      <c r="P207" s="22">
        <v>9.0075290896646134</v>
      </c>
      <c r="Q207" s="22">
        <v>3.8658453114305269</v>
      </c>
      <c r="R207" s="22">
        <v>5.3880903490759753</v>
      </c>
      <c r="S207" s="22">
        <v>9.2539356605065031</v>
      </c>
      <c r="T207" s="30">
        <v>3</v>
      </c>
      <c r="U207" s="30">
        <v>15</v>
      </c>
      <c r="V207" s="20" t="s">
        <v>1</v>
      </c>
      <c r="W207" s="20">
        <v>5</v>
      </c>
      <c r="X207" s="20">
        <v>2</v>
      </c>
      <c r="Y207" s="5">
        <v>1</v>
      </c>
      <c r="Z207" s="24">
        <v>4</v>
      </c>
      <c r="AA207" s="23">
        <f t="shared" si="9"/>
        <v>1</v>
      </c>
      <c r="AB207" s="15">
        <v>1</v>
      </c>
      <c r="AC207" s="15">
        <v>1</v>
      </c>
      <c r="AD207" s="15">
        <v>1</v>
      </c>
      <c r="AE207" s="15">
        <v>1</v>
      </c>
      <c r="AF207" s="20">
        <v>24</v>
      </c>
      <c r="AG207" s="20">
        <v>11.38</v>
      </c>
      <c r="AH207" s="24">
        <v>24</v>
      </c>
      <c r="AI207" s="23">
        <f t="shared" si="10"/>
        <v>1</v>
      </c>
      <c r="AJ207" s="17">
        <v>13.75</v>
      </c>
      <c r="AK207" s="17">
        <v>10</v>
      </c>
      <c r="AL207" s="14">
        <v>23.75</v>
      </c>
      <c r="AM207" s="23" cm="1">
        <f t="array" ref="AM207">IF(OR(AN207:AZ207=""),"BLANK",IF(AND(AN207:AZ207&lt;9999999),1,IF(AND(AN207:AZ207="NA"),3,2)))</f>
        <v>1</v>
      </c>
      <c r="AN207" s="20">
        <v>11</v>
      </c>
      <c r="AO207" s="26">
        <v>2</v>
      </c>
      <c r="AP207" s="15">
        <v>3</v>
      </c>
      <c r="AQ207" s="15">
        <v>4.25</v>
      </c>
      <c r="AR207" s="15">
        <v>5</v>
      </c>
      <c r="AS207" s="26">
        <v>1998.5</v>
      </c>
      <c r="AT207" s="26">
        <v>2596</v>
      </c>
      <c r="AU207" s="26">
        <v>7707.75</v>
      </c>
      <c r="AV207" s="26">
        <v>9368</v>
      </c>
      <c r="AW207" s="26">
        <v>0</v>
      </c>
      <c r="AX207" s="26">
        <v>0</v>
      </c>
      <c r="AY207" s="26">
        <v>0</v>
      </c>
      <c r="AZ207" s="26">
        <v>5.5</v>
      </c>
      <c r="BA207" s="23">
        <f t="shared" si="11"/>
        <v>1</v>
      </c>
      <c r="BB207" s="24">
        <v>41</v>
      </c>
    </row>
    <row r="208" spans="1:54" x14ac:dyDescent="0.2">
      <c r="A208" s="5">
        <v>1849</v>
      </c>
      <c r="B208" s="20" t="s">
        <v>79</v>
      </c>
      <c r="C208" s="18" t="s">
        <v>55</v>
      </c>
      <c r="D208" s="18">
        <v>5</v>
      </c>
      <c r="E208" s="18">
        <v>0</v>
      </c>
      <c r="F208" s="18" t="s">
        <v>9</v>
      </c>
      <c r="G208" s="18">
        <v>30</v>
      </c>
      <c r="H208" s="22">
        <v>3.7344284736481863</v>
      </c>
      <c r="I208" s="22">
        <v>5.0020533880903493</v>
      </c>
      <c r="J208" s="22">
        <v>8.736481861738536</v>
      </c>
      <c r="K208" s="22">
        <v>3.7344284736481863</v>
      </c>
      <c r="L208" s="22">
        <v>5.0677618069815198</v>
      </c>
      <c r="M208" s="22">
        <v>8.8021902806297057</v>
      </c>
      <c r="N208" s="22">
        <v>3.7316906228610542</v>
      </c>
      <c r="O208" s="22">
        <v>4.7529089664613275</v>
      </c>
      <c r="P208" s="22">
        <v>8.4845995893223822</v>
      </c>
      <c r="Q208" s="22">
        <v>3.3949349760438055</v>
      </c>
      <c r="R208" s="22" t="s">
        <v>8</v>
      </c>
      <c r="S208" s="22" t="s">
        <v>8</v>
      </c>
      <c r="T208" s="30">
        <v>6</v>
      </c>
      <c r="U208" s="30">
        <v>18</v>
      </c>
      <c r="V208" s="20" t="s">
        <v>1</v>
      </c>
      <c r="W208" s="20">
        <v>5</v>
      </c>
      <c r="X208" s="20">
        <v>2</v>
      </c>
      <c r="Y208" s="5">
        <v>1</v>
      </c>
      <c r="Z208" s="24">
        <v>4</v>
      </c>
      <c r="AA208" s="23">
        <f t="shared" si="9"/>
        <v>1</v>
      </c>
      <c r="AB208" s="15">
        <v>1</v>
      </c>
      <c r="AC208" s="15">
        <v>1</v>
      </c>
      <c r="AD208" s="15">
        <v>1</v>
      </c>
      <c r="AE208" s="15">
        <v>1</v>
      </c>
      <c r="AF208" s="20">
        <v>24</v>
      </c>
      <c r="AG208" s="20">
        <v>3.85</v>
      </c>
      <c r="AH208" s="24">
        <v>24</v>
      </c>
      <c r="AI208" s="23">
        <f t="shared" si="10"/>
        <v>1</v>
      </c>
      <c r="AJ208" s="17">
        <v>10</v>
      </c>
      <c r="AK208" s="17">
        <v>11</v>
      </c>
      <c r="AL208" s="14">
        <v>21</v>
      </c>
      <c r="AM208" s="23" cm="1">
        <f t="array" ref="AM208">IF(OR(AN208:AZ208=""),"BLANK",IF(AND(AN208:AZ208&lt;9999999),1,IF(AND(AN208:AZ208="NA"),3,2)))</f>
        <v>1</v>
      </c>
      <c r="AN208" s="20">
        <v>9</v>
      </c>
      <c r="AO208" s="26">
        <v>2</v>
      </c>
      <c r="AP208" s="15">
        <v>3</v>
      </c>
      <c r="AQ208" s="15">
        <v>4</v>
      </c>
      <c r="AR208" s="15">
        <v>6.25</v>
      </c>
      <c r="AS208" s="26">
        <v>1051</v>
      </c>
      <c r="AT208" s="26">
        <v>3338.5</v>
      </c>
      <c r="AU208" s="26">
        <v>6855</v>
      </c>
      <c r="AV208" s="26">
        <v>10254</v>
      </c>
      <c r="AW208" s="26">
        <v>108</v>
      </c>
      <c r="AX208" s="26">
        <v>0</v>
      </c>
      <c r="AY208" s="26">
        <v>0</v>
      </c>
      <c r="AZ208" s="26">
        <v>1310.6238095238</v>
      </c>
      <c r="BA208" s="23">
        <f t="shared" si="11"/>
        <v>1</v>
      </c>
      <c r="BB208" s="24">
        <v>38</v>
      </c>
    </row>
    <row r="209" spans="1:54" x14ac:dyDescent="0.2">
      <c r="A209" s="5">
        <v>1850</v>
      </c>
      <c r="B209" s="20" t="s">
        <v>79</v>
      </c>
      <c r="C209" s="18" t="s">
        <v>54</v>
      </c>
      <c r="D209" s="18">
        <v>5</v>
      </c>
      <c r="E209" s="18">
        <v>0</v>
      </c>
      <c r="F209" s="18" t="s">
        <v>9</v>
      </c>
      <c r="G209" s="18">
        <v>30</v>
      </c>
      <c r="H209" s="22">
        <v>3.7070499657768652</v>
      </c>
      <c r="I209" s="22">
        <v>4.9993155373032172</v>
      </c>
      <c r="J209" s="22">
        <v>8.7063655030800824</v>
      </c>
      <c r="K209" s="22">
        <v>3.6687200547570158</v>
      </c>
      <c r="L209" s="22">
        <v>4.9993155373032172</v>
      </c>
      <c r="M209" s="22">
        <v>8.6680355920602334</v>
      </c>
      <c r="N209" s="22">
        <v>4.0629705681040384</v>
      </c>
      <c r="O209" s="22">
        <v>4.5420944558521557</v>
      </c>
      <c r="P209" s="22">
        <v>8.605065023956195</v>
      </c>
      <c r="Q209" s="22">
        <v>3.7262149212867897</v>
      </c>
      <c r="R209" s="22">
        <v>5.4674880219028061</v>
      </c>
      <c r="S209" s="22">
        <v>9.1937029431895958</v>
      </c>
      <c r="T209" s="30">
        <v>6</v>
      </c>
      <c r="U209" s="30">
        <v>18</v>
      </c>
      <c r="V209" s="20" t="s">
        <v>1</v>
      </c>
      <c r="W209" s="20">
        <v>5</v>
      </c>
      <c r="X209" s="20">
        <v>2</v>
      </c>
      <c r="Y209" s="5">
        <v>1</v>
      </c>
      <c r="Z209" s="24">
        <v>4</v>
      </c>
      <c r="AA209" s="23">
        <f t="shared" si="9"/>
        <v>1</v>
      </c>
      <c r="AB209" s="15">
        <v>1</v>
      </c>
      <c r="AC209" s="15">
        <v>1</v>
      </c>
      <c r="AD209" s="15">
        <v>0.75</v>
      </c>
      <c r="AE209" s="15">
        <v>0.92</v>
      </c>
      <c r="AF209" s="20">
        <v>22</v>
      </c>
      <c r="AG209" s="20">
        <v>10.07</v>
      </c>
      <c r="AH209" s="24">
        <v>24</v>
      </c>
      <c r="AI209" s="23">
        <f t="shared" si="10"/>
        <v>1</v>
      </c>
      <c r="AJ209" s="17">
        <v>13</v>
      </c>
      <c r="AK209" s="17">
        <v>11</v>
      </c>
      <c r="AL209" s="14">
        <v>24</v>
      </c>
      <c r="AM209" s="23" cm="1">
        <f t="array" ref="AM209">IF(OR(AN209:AZ209=""),"BLANK",IF(AND(AN209:AZ209&lt;9999999),1,IF(AND(AN209:AZ209="NA"),3,2)))</f>
        <v>1</v>
      </c>
      <c r="AN209" s="20">
        <v>8</v>
      </c>
      <c r="AO209" s="26">
        <v>2</v>
      </c>
      <c r="AP209" s="15">
        <v>3.5</v>
      </c>
      <c r="AQ209" s="15">
        <v>5.25</v>
      </c>
      <c r="AR209" s="15">
        <v>6.75</v>
      </c>
      <c r="AS209" s="26">
        <v>1629</v>
      </c>
      <c r="AT209" s="26">
        <v>4676.5</v>
      </c>
      <c r="AU209" s="26">
        <v>8507.5</v>
      </c>
      <c r="AV209" s="26">
        <v>7316.25</v>
      </c>
      <c r="AW209" s="26">
        <v>0</v>
      </c>
      <c r="AX209" s="26">
        <v>0</v>
      </c>
      <c r="AY209" s="26">
        <v>236.4791666667</v>
      </c>
      <c r="AZ209" s="26">
        <v>1120.2780303029999</v>
      </c>
      <c r="BA209" s="23">
        <f t="shared" si="11"/>
        <v>1</v>
      </c>
      <c r="BB209" s="24">
        <v>39</v>
      </c>
    </row>
    <row r="210" spans="1:54" x14ac:dyDescent="0.2">
      <c r="A210" s="5">
        <v>1856</v>
      </c>
      <c r="B210" s="20" t="s">
        <v>80</v>
      </c>
      <c r="C210" s="18" t="s">
        <v>54</v>
      </c>
      <c r="D210" s="18">
        <v>5</v>
      </c>
      <c r="E210" s="18">
        <v>0</v>
      </c>
      <c r="F210" s="18" t="s">
        <v>9</v>
      </c>
      <c r="G210" s="18">
        <v>30</v>
      </c>
      <c r="H210" s="22">
        <v>3.7399041752224504</v>
      </c>
      <c r="I210" s="22" t="s">
        <v>8</v>
      </c>
      <c r="J210" s="22" t="s">
        <v>8</v>
      </c>
      <c r="K210" s="22">
        <v>3.7399041752224504</v>
      </c>
      <c r="L210" s="22" t="s">
        <v>8</v>
      </c>
      <c r="M210" s="22" t="s">
        <v>8</v>
      </c>
      <c r="N210" s="22">
        <v>3.761806981519507</v>
      </c>
      <c r="O210" s="22" t="s">
        <v>8</v>
      </c>
      <c r="P210" s="22" t="s">
        <v>8</v>
      </c>
      <c r="Q210" s="22">
        <v>3.890485968514716</v>
      </c>
      <c r="R210" s="22" t="s">
        <v>8</v>
      </c>
      <c r="S210" s="22" t="s">
        <v>8</v>
      </c>
      <c r="T210" s="30">
        <v>4</v>
      </c>
      <c r="U210" s="30">
        <v>16</v>
      </c>
      <c r="V210" s="20" t="s">
        <v>1</v>
      </c>
      <c r="W210" s="20">
        <v>5</v>
      </c>
      <c r="X210" s="20">
        <v>2</v>
      </c>
      <c r="Y210" s="5">
        <v>1</v>
      </c>
      <c r="Z210" s="24">
        <v>4</v>
      </c>
      <c r="AA210" s="23">
        <f t="shared" si="9"/>
        <v>1</v>
      </c>
      <c r="AB210" s="15">
        <v>1</v>
      </c>
      <c r="AC210" s="15">
        <v>1</v>
      </c>
      <c r="AD210" s="15">
        <v>0.625</v>
      </c>
      <c r="AE210" s="15">
        <v>0.88</v>
      </c>
      <c r="AF210" s="20">
        <v>21</v>
      </c>
      <c r="AG210" s="20">
        <v>5.17</v>
      </c>
      <c r="AH210" s="24">
        <v>24</v>
      </c>
      <c r="AI210" s="23">
        <f t="shared" si="10"/>
        <v>1</v>
      </c>
      <c r="AJ210" s="17">
        <v>11.75</v>
      </c>
      <c r="AK210" s="17">
        <v>10.75</v>
      </c>
      <c r="AL210" s="14">
        <v>22.5</v>
      </c>
      <c r="AM210" s="23" cm="1">
        <f t="array" ref="AM210">IF(OR(AN210:AZ210=""),"BLANK",IF(AND(AN210:AZ210&lt;9999999),1,IF(AND(AN210:AZ210="NA"),3,2)))</f>
        <v>1</v>
      </c>
      <c r="AN210" s="20">
        <v>8</v>
      </c>
      <c r="AO210" s="26">
        <v>2</v>
      </c>
      <c r="AP210" s="15">
        <v>3</v>
      </c>
      <c r="AQ210" s="15">
        <v>4.25</v>
      </c>
      <c r="AR210" s="15">
        <v>7.25</v>
      </c>
      <c r="AS210" s="26">
        <v>2811</v>
      </c>
      <c r="AT210" s="26">
        <v>10775</v>
      </c>
      <c r="AU210" s="26">
        <v>7197</v>
      </c>
      <c r="AV210" s="26">
        <v>12223.75</v>
      </c>
      <c r="AW210" s="26">
        <v>0</v>
      </c>
      <c r="AX210" s="26">
        <v>0</v>
      </c>
      <c r="AY210" s="26">
        <v>679.17499999999995</v>
      </c>
      <c r="AZ210" s="26">
        <v>3653.0100649351002</v>
      </c>
      <c r="BA210" s="23">
        <f t="shared" si="11"/>
        <v>1</v>
      </c>
      <c r="BB210" s="24">
        <v>40</v>
      </c>
    </row>
    <row r="211" spans="1:54" x14ac:dyDescent="0.2">
      <c r="A211" s="5">
        <v>1862</v>
      </c>
      <c r="B211" s="20" t="s">
        <v>73</v>
      </c>
      <c r="C211" s="18" t="s">
        <v>55</v>
      </c>
      <c r="D211" s="18">
        <v>5</v>
      </c>
      <c r="E211" s="18">
        <v>0</v>
      </c>
      <c r="F211" s="18" t="s">
        <v>9</v>
      </c>
      <c r="G211" s="18">
        <v>30</v>
      </c>
      <c r="H211" s="22">
        <v>4.16974674880219</v>
      </c>
      <c r="I211" s="22" t="s">
        <v>8</v>
      </c>
      <c r="J211" s="22" t="s">
        <v>8</v>
      </c>
      <c r="K211" s="22">
        <v>4.1752224503764541</v>
      </c>
      <c r="L211" s="22" t="s">
        <v>8</v>
      </c>
      <c r="M211" s="22" t="s">
        <v>8</v>
      </c>
      <c r="N211" s="22">
        <v>4.1889117043121153</v>
      </c>
      <c r="O211" s="22" t="s">
        <v>8</v>
      </c>
      <c r="P211" s="22" t="s">
        <v>8</v>
      </c>
      <c r="Q211" s="22" t="s">
        <v>8</v>
      </c>
      <c r="R211" s="22" t="s">
        <v>8</v>
      </c>
      <c r="S211" s="22" t="s">
        <v>8</v>
      </c>
      <c r="T211" s="30">
        <v>4</v>
      </c>
      <c r="U211" s="30">
        <v>16</v>
      </c>
      <c r="V211" s="20" t="s">
        <v>1</v>
      </c>
      <c r="W211" s="20">
        <v>5</v>
      </c>
      <c r="X211" s="20">
        <v>2</v>
      </c>
      <c r="Y211" s="5">
        <v>1</v>
      </c>
      <c r="Z211" s="24">
        <v>4</v>
      </c>
      <c r="AA211" s="23">
        <f t="shared" si="9"/>
        <v>1</v>
      </c>
      <c r="AB211" s="15">
        <v>0.875</v>
      </c>
      <c r="AC211" s="15">
        <v>1</v>
      </c>
      <c r="AD211" s="15">
        <v>0.875</v>
      </c>
      <c r="AE211" s="15">
        <v>0.92</v>
      </c>
      <c r="AF211" s="20">
        <v>22</v>
      </c>
      <c r="AG211" s="20">
        <v>10.25</v>
      </c>
      <c r="AH211" s="24">
        <v>24</v>
      </c>
      <c r="AI211" s="23">
        <f t="shared" si="10"/>
        <v>1</v>
      </c>
      <c r="AJ211" s="17">
        <v>14</v>
      </c>
      <c r="AK211" s="17">
        <v>11.5</v>
      </c>
      <c r="AL211" s="14">
        <v>25.5</v>
      </c>
      <c r="AM211" s="23" cm="1">
        <f t="array" ref="AM211">IF(OR(AN211:AZ211=""),"BLANK",IF(AND(AN211:AZ211&lt;9999999),1,IF(AND(AN211:AZ211="NA"),3,2)))</f>
        <v>1</v>
      </c>
      <c r="AN211" s="20">
        <v>12</v>
      </c>
      <c r="AO211" s="26">
        <v>2</v>
      </c>
      <c r="AP211" s="15">
        <v>3</v>
      </c>
      <c r="AQ211" s="15">
        <v>4</v>
      </c>
      <c r="AR211" s="15">
        <v>5</v>
      </c>
      <c r="AS211" s="26">
        <v>2153</v>
      </c>
      <c r="AT211" s="26">
        <v>4561</v>
      </c>
      <c r="AU211" s="26">
        <v>16346.25</v>
      </c>
      <c r="AV211" s="26">
        <v>16869.75</v>
      </c>
      <c r="AW211" s="26">
        <v>0</v>
      </c>
      <c r="AX211" s="26">
        <v>0</v>
      </c>
      <c r="AY211" s="26">
        <v>1873.5625</v>
      </c>
      <c r="AZ211" s="26">
        <v>0</v>
      </c>
      <c r="BA211" s="23">
        <f t="shared" si="11"/>
        <v>1</v>
      </c>
      <c r="BB211" s="24">
        <v>40</v>
      </c>
    </row>
    <row r="212" spans="1:54" x14ac:dyDescent="0.2">
      <c r="A212" s="5">
        <v>1863</v>
      </c>
      <c r="B212" s="20" t="s">
        <v>83</v>
      </c>
      <c r="C212" s="18" t="s">
        <v>54</v>
      </c>
      <c r="D212" s="18">
        <v>5</v>
      </c>
      <c r="E212" s="18">
        <v>0</v>
      </c>
      <c r="F212" s="18" t="s">
        <v>9</v>
      </c>
      <c r="G212" s="18">
        <v>30</v>
      </c>
      <c r="H212" s="22">
        <v>3.9726214921286789</v>
      </c>
      <c r="I212" s="22">
        <v>4.7200547570157427</v>
      </c>
      <c r="J212" s="22">
        <v>8.6926762491444212</v>
      </c>
      <c r="K212" s="22">
        <v>3.9726214921286789</v>
      </c>
      <c r="L212" s="22">
        <v>4.8240930869267622</v>
      </c>
      <c r="M212" s="22">
        <v>8.7967145790554415</v>
      </c>
      <c r="N212" s="22">
        <v>4.0574948665297743</v>
      </c>
      <c r="O212" s="22">
        <v>4.5393566050650236</v>
      </c>
      <c r="P212" s="22">
        <v>8.5968514715947979</v>
      </c>
      <c r="Q212" s="22">
        <v>3.7782340862422998</v>
      </c>
      <c r="R212" s="22">
        <v>5.5140314852840522</v>
      </c>
      <c r="S212" s="22">
        <v>9.292265571526352</v>
      </c>
      <c r="T212" s="30">
        <v>4</v>
      </c>
      <c r="U212" s="30">
        <v>16</v>
      </c>
      <c r="V212" s="20" t="s">
        <v>1</v>
      </c>
      <c r="W212" s="20">
        <v>5</v>
      </c>
      <c r="X212" s="20">
        <v>2</v>
      </c>
      <c r="Y212" s="5">
        <v>1</v>
      </c>
      <c r="Z212" s="24">
        <v>4</v>
      </c>
      <c r="AA212" s="23">
        <f t="shared" si="9"/>
        <v>2</v>
      </c>
      <c r="AB212" s="15">
        <v>0.875</v>
      </c>
      <c r="AC212" s="15">
        <v>0.625</v>
      </c>
      <c r="AD212" s="15">
        <v>0.375</v>
      </c>
      <c r="AE212" s="15">
        <v>0.62</v>
      </c>
      <c r="AF212" s="20">
        <v>15</v>
      </c>
      <c r="AG212" s="20" t="s">
        <v>8</v>
      </c>
      <c r="AH212" s="24">
        <v>24</v>
      </c>
      <c r="AI212" s="23">
        <f t="shared" si="10"/>
        <v>1</v>
      </c>
      <c r="AJ212" s="17">
        <v>5.75</v>
      </c>
      <c r="AK212" s="17">
        <v>7.5</v>
      </c>
      <c r="AL212" s="14">
        <v>13.25</v>
      </c>
      <c r="AM212" s="23" cm="1">
        <f t="array" ref="AM212">IF(OR(AN212:AZ212=""),"BLANK",IF(AND(AN212:AZ212&lt;9999999),1,IF(AND(AN212:AZ212="NA"),3,2)))</f>
        <v>1</v>
      </c>
      <c r="AN212" s="20">
        <v>8</v>
      </c>
      <c r="AO212" s="26">
        <v>2</v>
      </c>
      <c r="AP212" s="15">
        <v>3</v>
      </c>
      <c r="AQ212" s="15">
        <v>6.5</v>
      </c>
      <c r="AR212" s="15">
        <v>6.75</v>
      </c>
      <c r="AS212" s="26">
        <v>2522</v>
      </c>
      <c r="AT212" s="26">
        <v>8257.5</v>
      </c>
      <c r="AU212" s="26">
        <v>8068.75</v>
      </c>
      <c r="AV212" s="26">
        <v>11108.75</v>
      </c>
      <c r="AW212" s="26">
        <v>0</v>
      </c>
      <c r="AX212" s="26">
        <v>0</v>
      </c>
      <c r="AY212" s="26">
        <v>19763.229166666701</v>
      </c>
      <c r="AZ212" s="26">
        <v>4139.2378787878997</v>
      </c>
      <c r="BA212" s="23">
        <f t="shared" si="11"/>
        <v>1</v>
      </c>
      <c r="BB212" s="24">
        <v>31</v>
      </c>
    </row>
    <row r="213" spans="1:54" x14ac:dyDescent="0.2">
      <c r="A213" s="5">
        <v>1864</v>
      </c>
      <c r="B213" s="20" t="s">
        <v>79</v>
      </c>
      <c r="C213" s="18" t="s">
        <v>54</v>
      </c>
      <c r="D213" s="18">
        <v>1</v>
      </c>
      <c r="E213" s="18">
        <v>0</v>
      </c>
      <c r="F213" s="18" t="s">
        <v>9</v>
      </c>
      <c r="G213" s="18" t="s">
        <v>8</v>
      </c>
      <c r="H213" s="22">
        <v>3.5783709787816562</v>
      </c>
      <c r="I213" s="22" t="s">
        <v>8</v>
      </c>
      <c r="J213" s="22" t="s">
        <v>8</v>
      </c>
      <c r="K213" s="22">
        <v>3.5592060232717317</v>
      </c>
      <c r="L213" s="22" t="s">
        <v>8</v>
      </c>
      <c r="M213" s="22" t="s">
        <v>8</v>
      </c>
      <c r="N213" s="22">
        <v>3.5783709787816562</v>
      </c>
      <c r="O213" s="22" t="s">
        <v>8</v>
      </c>
      <c r="P213" s="22" t="s">
        <v>8</v>
      </c>
      <c r="Q213" s="22">
        <v>3.2498288843258041</v>
      </c>
      <c r="R213" s="22" t="s">
        <v>8</v>
      </c>
      <c r="S213" s="22" t="s">
        <v>8</v>
      </c>
      <c r="T213" s="30" t="s">
        <v>8</v>
      </c>
      <c r="U213" s="30" t="s">
        <v>8</v>
      </c>
      <c r="V213" s="20" t="s">
        <v>1</v>
      </c>
      <c r="W213" s="20">
        <v>5</v>
      </c>
      <c r="X213" s="20">
        <v>2</v>
      </c>
      <c r="Y213" s="5">
        <v>1</v>
      </c>
      <c r="Z213" s="24">
        <v>4</v>
      </c>
      <c r="AA213" s="23">
        <f t="shared" si="9"/>
        <v>3</v>
      </c>
      <c r="AB213" s="15" t="s">
        <v>8</v>
      </c>
      <c r="AC213" s="15" t="s">
        <v>8</v>
      </c>
      <c r="AD213" s="15" t="s">
        <v>8</v>
      </c>
      <c r="AE213" s="15" t="s">
        <v>8</v>
      </c>
      <c r="AF213" s="20" t="s">
        <v>8</v>
      </c>
      <c r="AG213" s="20" t="s">
        <v>8</v>
      </c>
      <c r="AH213" s="24" t="s">
        <v>8</v>
      </c>
      <c r="AI213" s="23">
        <f t="shared" si="10"/>
        <v>3</v>
      </c>
      <c r="AJ213" s="17" t="s">
        <v>8</v>
      </c>
      <c r="AK213" s="17" t="s">
        <v>8</v>
      </c>
      <c r="AL213" s="14" t="s">
        <v>8</v>
      </c>
      <c r="AM213" s="23" cm="1">
        <f t="array" ref="AM213">IF(OR(AN213:AZ213=""),"BLANK",IF(AND(AN213:AZ213&lt;9999999),1,IF(AND(AN213:AZ213="NA"),3,2)))</f>
        <v>1</v>
      </c>
      <c r="AN213" s="20">
        <v>11</v>
      </c>
      <c r="AO213" s="26">
        <v>2</v>
      </c>
      <c r="AP213" s="15">
        <v>3</v>
      </c>
      <c r="AQ213" s="15">
        <v>4</v>
      </c>
      <c r="AR213" s="15">
        <v>5.25</v>
      </c>
      <c r="AS213" s="26">
        <v>407</v>
      </c>
      <c r="AT213" s="26">
        <v>2894</v>
      </c>
      <c r="AU213" s="26">
        <v>4332.5</v>
      </c>
      <c r="AV213" s="26">
        <v>9136</v>
      </c>
      <c r="AW213" s="26">
        <v>0</v>
      </c>
      <c r="AX213" s="26">
        <v>0</v>
      </c>
      <c r="AY213" s="26">
        <v>0</v>
      </c>
      <c r="AZ213" s="26">
        <v>373.56666666669997</v>
      </c>
      <c r="BA213" s="23">
        <f t="shared" si="11"/>
        <v>3</v>
      </c>
      <c r="BB213" s="24" t="s">
        <v>8</v>
      </c>
    </row>
    <row r="214" spans="1:54" x14ac:dyDescent="0.2">
      <c r="A214" s="5">
        <v>1868</v>
      </c>
      <c r="B214" s="20" t="s">
        <v>83</v>
      </c>
      <c r="C214" s="18" t="s">
        <v>54</v>
      </c>
      <c r="D214" s="18">
        <v>5</v>
      </c>
      <c r="E214" s="18">
        <v>0</v>
      </c>
      <c r="F214" s="18" t="s">
        <v>9</v>
      </c>
      <c r="G214" s="18">
        <v>29</v>
      </c>
      <c r="H214" s="22">
        <v>3.7563312799452429</v>
      </c>
      <c r="I214" s="22" t="s">
        <v>8</v>
      </c>
      <c r="J214" s="22" t="s">
        <v>8</v>
      </c>
      <c r="K214" s="22">
        <v>3.7563312799452429</v>
      </c>
      <c r="L214" s="22" t="s">
        <v>8</v>
      </c>
      <c r="M214" s="22" t="s">
        <v>8</v>
      </c>
      <c r="N214" s="22">
        <v>3.761806981519507</v>
      </c>
      <c r="O214" s="22" t="s">
        <v>8</v>
      </c>
      <c r="P214" s="22" t="s">
        <v>8</v>
      </c>
      <c r="Q214" s="22">
        <v>3.14031485284052</v>
      </c>
      <c r="R214" s="22" t="s">
        <v>8</v>
      </c>
      <c r="S214" s="22" t="s">
        <v>8</v>
      </c>
      <c r="T214" s="30">
        <v>2</v>
      </c>
      <c r="U214" s="30">
        <v>12</v>
      </c>
      <c r="V214" s="20" t="s">
        <v>1</v>
      </c>
      <c r="W214" s="20">
        <v>5</v>
      </c>
      <c r="X214" s="20">
        <v>2</v>
      </c>
      <c r="Y214" s="5">
        <v>1</v>
      </c>
      <c r="Z214" s="24">
        <v>4</v>
      </c>
      <c r="AA214" s="23">
        <f t="shared" si="9"/>
        <v>1</v>
      </c>
      <c r="AB214" s="15">
        <v>0.875</v>
      </c>
      <c r="AC214" s="15">
        <v>0.75</v>
      </c>
      <c r="AD214" s="15">
        <v>0.5</v>
      </c>
      <c r="AE214" s="15">
        <v>0.71</v>
      </c>
      <c r="AF214" s="20">
        <v>17</v>
      </c>
      <c r="AG214" s="20">
        <v>2.1800000000000002</v>
      </c>
      <c r="AH214" s="24">
        <v>24</v>
      </c>
      <c r="AI214" s="23">
        <f t="shared" si="10"/>
        <v>1</v>
      </c>
      <c r="AJ214" s="17">
        <v>2.75</v>
      </c>
      <c r="AK214" s="17">
        <v>3.75</v>
      </c>
      <c r="AL214" s="14">
        <v>6.5</v>
      </c>
      <c r="AM214" s="23" cm="1">
        <f t="array" ref="AM214">IF(OR(AN214:AZ214=""),"BLANK",IF(AND(AN214:AZ214&lt;9999999),1,IF(AND(AN214:AZ214="NA"),3,2)))</f>
        <v>1</v>
      </c>
      <c r="AN214" s="20">
        <v>11</v>
      </c>
      <c r="AO214" s="26">
        <v>2</v>
      </c>
      <c r="AP214" s="15">
        <v>3</v>
      </c>
      <c r="AQ214" s="15">
        <v>5.25</v>
      </c>
      <c r="AR214" s="15">
        <v>5</v>
      </c>
      <c r="AS214" s="26">
        <v>1534.5</v>
      </c>
      <c r="AT214" s="26">
        <v>20988</v>
      </c>
      <c r="AU214" s="26">
        <v>22371.5</v>
      </c>
      <c r="AV214" s="26">
        <v>16211.75</v>
      </c>
      <c r="AW214" s="26">
        <v>2724.25</v>
      </c>
      <c r="AX214" s="26">
        <v>348</v>
      </c>
      <c r="AY214" s="26">
        <v>5073.5416666666997</v>
      </c>
      <c r="AZ214" s="26">
        <v>374</v>
      </c>
      <c r="BA214" s="23">
        <f t="shared" si="11"/>
        <v>1</v>
      </c>
      <c r="BB214" s="24">
        <v>35</v>
      </c>
    </row>
    <row r="215" spans="1:54" x14ac:dyDescent="0.2">
      <c r="A215" s="5">
        <v>1875</v>
      </c>
      <c r="B215" s="20" t="s">
        <v>70</v>
      </c>
      <c r="C215" s="18" t="s">
        <v>54</v>
      </c>
      <c r="D215" s="18">
        <v>5</v>
      </c>
      <c r="E215" s="18">
        <v>0</v>
      </c>
      <c r="F215" s="18" t="s">
        <v>9</v>
      </c>
      <c r="G215" s="18">
        <v>29</v>
      </c>
      <c r="H215" s="22">
        <v>4.1916495550992474</v>
      </c>
      <c r="I215" s="22">
        <v>4.4407939767282683</v>
      </c>
      <c r="J215" s="22">
        <v>8.6324435318275157</v>
      </c>
      <c r="K215" s="22">
        <v>4.1916495550992474</v>
      </c>
      <c r="L215" s="22">
        <v>4.4407939767282683</v>
      </c>
      <c r="M215" s="22">
        <v>8.6324435318275157</v>
      </c>
      <c r="N215" s="22">
        <v>4.216290212183436</v>
      </c>
      <c r="O215" s="22">
        <v>4.0520191649555102</v>
      </c>
      <c r="P215" s="22">
        <v>8.2683093771389462</v>
      </c>
      <c r="Q215" s="22" t="s">
        <v>8</v>
      </c>
      <c r="R215" s="22" t="s">
        <v>8</v>
      </c>
      <c r="S215" s="22" t="s">
        <v>8</v>
      </c>
      <c r="T215" s="30">
        <v>5</v>
      </c>
      <c r="U215" s="30">
        <v>17</v>
      </c>
      <c r="V215" s="20" t="s">
        <v>1</v>
      </c>
      <c r="W215" s="20">
        <v>5</v>
      </c>
      <c r="X215" s="20">
        <v>2</v>
      </c>
      <c r="Y215" s="5">
        <v>1</v>
      </c>
      <c r="Z215" s="24">
        <v>4</v>
      </c>
      <c r="AA215" s="23">
        <f t="shared" si="9"/>
        <v>1</v>
      </c>
      <c r="AB215" s="15">
        <v>1</v>
      </c>
      <c r="AC215" s="15">
        <v>1</v>
      </c>
      <c r="AD215" s="15">
        <v>0.875</v>
      </c>
      <c r="AE215" s="15">
        <v>0.96</v>
      </c>
      <c r="AF215" s="20">
        <v>23</v>
      </c>
      <c r="AG215" s="20">
        <v>10.57</v>
      </c>
      <c r="AH215" s="24">
        <v>24</v>
      </c>
      <c r="AI215" s="23">
        <f t="shared" si="10"/>
        <v>1</v>
      </c>
      <c r="AJ215" s="17">
        <v>10.75</v>
      </c>
      <c r="AK215" s="17">
        <v>13</v>
      </c>
      <c r="AL215" s="14">
        <v>23.75</v>
      </c>
      <c r="AM215" s="23" cm="1">
        <f t="array" ref="AM215">IF(OR(AN215:AZ215=""),"BLANK",IF(AND(AN215:AZ215&lt;9999999),1,IF(AND(AN215:AZ215="NA"),3,2)))</f>
        <v>1</v>
      </c>
      <c r="AN215" s="20">
        <v>9</v>
      </c>
      <c r="AO215" s="26">
        <v>2</v>
      </c>
      <c r="AP215" s="15">
        <v>3</v>
      </c>
      <c r="AQ215" s="15">
        <v>4.25</v>
      </c>
      <c r="AR215" s="15">
        <v>6.25</v>
      </c>
      <c r="AS215" s="26">
        <v>778.5</v>
      </c>
      <c r="AT215" s="26">
        <v>1763</v>
      </c>
      <c r="AU215" s="26">
        <v>3614</v>
      </c>
      <c r="AV215" s="26">
        <v>4381.5</v>
      </c>
      <c r="AW215" s="26">
        <v>0</v>
      </c>
      <c r="AX215" s="26">
        <v>0</v>
      </c>
      <c r="AY215" s="26">
        <v>0</v>
      </c>
      <c r="AZ215" s="26">
        <v>523.65833333329999</v>
      </c>
      <c r="BA215" s="23">
        <f t="shared" si="11"/>
        <v>1</v>
      </c>
      <c r="BB215" s="24">
        <v>34</v>
      </c>
    </row>
    <row r="216" spans="1:54" x14ac:dyDescent="0.2">
      <c r="A216" s="5">
        <v>1891</v>
      </c>
      <c r="B216" s="20" t="s">
        <v>85</v>
      </c>
      <c r="C216" s="18" t="s">
        <v>54</v>
      </c>
      <c r="D216" s="18">
        <v>5</v>
      </c>
      <c r="E216" s="18">
        <v>0</v>
      </c>
      <c r="F216" s="18" t="s">
        <v>9</v>
      </c>
      <c r="G216" s="18">
        <v>29</v>
      </c>
      <c r="H216" s="22">
        <v>3.5865845311430529</v>
      </c>
      <c r="I216" s="22">
        <v>5.3004791238877482</v>
      </c>
      <c r="J216" s="22">
        <v>8.8870636550308006</v>
      </c>
      <c r="K216" s="22">
        <v>3.5865845311430529</v>
      </c>
      <c r="L216" s="22">
        <v>5.3004791238877482</v>
      </c>
      <c r="M216" s="22">
        <v>8.8870636550308006</v>
      </c>
      <c r="N216" s="22">
        <v>3.7426420260095825</v>
      </c>
      <c r="O216" s="22">
        <v>5.0924024640657084</v>
      </c>
      <c r="P216" s="22">
        <v>8.8350444900752905</v>
      </c>
      <c r="Q216" s="22">
        <v>3.6714579055441479</v>
      </c>
      <c r="R216" s="22">
        <v>5.4428473648186175</v>
      </c>
      <c r="S216" s="22">
        <v>9.1143052703627649</v>
      </c>
      <c r="T216" s="30">
        <v>5</v>
      </c>
      <c r="U216" s="30">
        <v>17</v>
      </c>
      <c r="V216" s="20" t="s">
        <v>1</v>
      </c>
      <c r="W216" s="20">
        <v>5</v>
      </c>
      <c r="X216" s="20">
        <v>2</v>
      </c>
      <c r="Y216" s="5">
        <v>1</v>
      </c>
      <c r="Z216" s="24">
        <v>4</v>
      </c>
      <c r="AA216" s="23">
        <f t="shared" si="9"/>
        <v>1</v>
      </c>
      <c r="AB216" s="15">
        <v>1</v>
      </c>
      <c r="AC216" s="15">
        <v>1</v>
      </c>
      <c r="AD216" s="15">
        <v>0.5</v>
      </c>
      <c r="AE216" s="15">
        <v>0.83</v>
      </c>
      <c r="AF216" s="20">
        <v>20</v>
      </c>
      <c r="AG216" s="20">
        <v>1.22</v>
      </c>
      <c r="AH216" s="24">
        <v>24</v>
      </c>
      <c r="AI216" s="23">
        <f t="shared" si="10"/>
        <v>1</v>
      </c>
      <c r="AJ216" s="17">
        <v>9.5</v>
      </c>
      <c r="AK216" s="17">
        <v>6.75</v>
      </c>
      <c r="AL216" s="14">
        <v>16.25</v>
      </c>
      <c r="AM216" s="23" cm="1">
        <f t="array" ref="AM216">IF(OR(AN216:AZ216=""),"BLANK",IF(AND(AN216:AZ216&lt;9999999),1,IF(AND(AN216:AZ216="NA"),3,2)))</f>
        <v>1</v>
      </c>
      <c r="AN216" s="20">
        <v>8</v>
      </c>
      <c r="AO216" s="26">
        <v>2</v>
      </c>
      <c r="AP216" s="15">
        <v>3.5</v>
      </c>
      <c r="AQ216" s="15">
        <v>4.25</v>
      </c>
      <c r="AR216" s="15">
        <v>6.25</v>
      </c>
      <c r="AS216" s="26">
        <v>1259.5</v>
      </c>
      <c r="AT216" s="26">
        <v>4789</v>
      </c>
      <c r="AU216" s="26">
        <v>9828.5</v>
      </c>
      <c r="AV216" s="26">
        <v>39777.75</v>
      </c>
      <c r="AW216" s="26">
        <v>0</v>
      </c>
      <c r="AX216" s="26">
        <v>0</v>
      </c>
      <c r="AY216" s="26">
        <v>0</v>
      </c>
      <c r="AZ216" s="26">
        <v>1037.2027777778001</v>
      </c>
      <c r="BA216" s="23">
        <f t="shared" si="11"/>
        <v>1</v>
      </c>
      <c r="BB216" s="24">
        <v>33</v>
      </c>
    </row>
    <row r="217" spans="1:54" x14ac:dyDescent="0.2">
      <c r="A217" s="5">
        <v>1933</v>
      </c>
      <c r="B217" s="20" t="s">
        <v>83</v>
      </c>
      <c r="C217" s="18" t="s">
        <v>55</v>
      </c>
      <c r="D217" s="18">
        <v>5</v>
      </c>
      <c r="E217" s="18">
        <v>0</v>
      </c>
      <c r="F217" s="18" t="s">
        <v>9</v>
      </c>
      <c r="G217" s="18">
        <v>29</v>
      </c>
      <c r="H217" s="22">
        <v>3.5838466803559208</v>
      </c>
      <c r="I217" s="22" t="s">
        <v>8</v>
      </c>
      <c r="J217" s="22" t="s">
        <v>8</v>
      </c>
      <c r="K217" s="22">
        <v>3.5838466803559208</v>
      </c>
      <c r="L217" s="22" t="s">
        <v>8</v>
      </c>
      <c r="M217" s="22" t="s">
        <v>8</v>
      </c>
      <c r="N217" s="22" t="s">
        <v>8</v>
      </c>
      <c r="O217" s="22" t="s">
        <v>8</v>
      </c>
      <c r="P217" s="22" t="s">
        <v>8</v>
      </c>
      <c r="Q217" s="22" t="s">
        <v>8</v>
      </c>
      <c r="R217" s="22" t="s">
        <v>8</v>
      </c>
      <c r="S217" s="22" t="s">
        <v>8</v>
      </c>
      <c r="T217" s="30">
        <v>7</v>
      </c>
      <c r="U217" s="30">
        <v>21</v>
      </c>
      <c r="V217" s="20" t="s">
        <v>1</v>
      </c>
      <c r="W217" s="20">
        <v>5</v>
      </c>
      <c r="X217" s="20">
        <v>2</v>
      </c>
      <c r="Y217" s="5">
        <v>1</v>
      </c>
      <c r="Z217" s="24">
        <v>4</v>
      </c>
      <c r="AA217" s="23">
        <f t="shared" si="9"/>
        <v>1</v>
      </c>
      <c r="AB217" s="15">
        <v>0.875</v>
      </c>
      <c r="AC217" s="15">
        <v>0.5</v>
      </c>
      <c r="AD217" s="15">
        <v>0.14285714285714285</v>
      </c>
      <c r="AE217" s="15">
        <v>0.52</v>
      </c>
      <c r="AF217" s="20">
        <v>12</v>
      </c>
      <c r="AG217" s="20">
        <v>5.57</v>
      </c>
      <c r="AH217" s="24">
        <v>23</v>
      </c>
      <c r="AI217" s="23">
        <f t="shared" si="10"/>
        <v>2</v>
      </c>
      <c r="AJ217" s="17">
        <v>1.75</v>
      </c>
      <c r="AK217" s="17" t="s">
        <v>8</v>
      </c>
      <c r="AL217" s="14">
        <v>1.75</v>
      </c>
      <c r="AM217" s="23" cm="1">
        <f t="array" ref="AM217">IF(OR(AN217:AZ217=""),"BLANK",IF(AND(AN217:AZ217&lt;9999999),1,IF(AND(AN217:AZ217="NA"),3,2)))</f>
        <v>1</v>
      </c>
      <c r="AN217" s="20">
        <v>10</v>
      </c>
      <c r="AO217" s="26">
        <v>2</v>
      </c>
      <c r="AP217" s="15">
        <v>3</v>
      </c>
      <c r="AQ217" s="15">
        <v>4</v>
      </c>
      <c r="AR217" s="15">
        <v>6.5</v>
      </c>
      <c r="AS217" s="26">
        <v>2921.5</v>
      </c>
      <c r="AT217" s="26">
        <v>7538</v>
      </c>
      <c r="AU217" s="26">
        <v>8362</v>
      </c>
      <c r="AV217" s="26">
        <v>11918</v>
      </c>
      <c r="AW217" s="26">
        <v>76.75</v>
      </c>
      <c r="AX217" s="26">
        <v>1028.8333333333001</v>
      </c>
      <c r="AY217" s="26">
        <v>2704.6875</v>
      </c>
      <c r="AZ217" s="26">
        <v>10522.543750000001</v>
      </c>
      <c r="BA217" s="23">
        <f t="shared" si="11"/>
        <v>1</v>
      </c>
      <c r="BB217" s="24">
        <v>33</v>
      </c>
    </row>
    <row r="218" spans="1:54" x14ac:dyDescent="0.2">
      <c r="A218" s="5">
        <v>1978</v>
      </c>
      <c r="B218" s="20" t="s">
        <v>68</v>
      </c>
      <c r="C218" s="18" t="s">
        <v>54</v>
      </c>
      <c r="D218" s="18">
        <v>5</v>
      </c>
      <c r="E218" s="18">
        <v>0</v>
      </c>
      <c r="F218" s="18" t="s">
        <v>9</v>
      </c>
      <c r="G218" s="18">
        <v>30</v>
      </c>
      <c r="H218" s="22">
        <v>3.698836413415469</v>
      </c>
      <c r="I218" s="22" t="s">
        <v>8</v>
      </c>
      <c r="J218" s="22" t="s">
        <v>8</v>
      </c>
      <c r="K218" s="22">
        <v>3.698836413415469</v>
      </c>
      <c r="L218" s="22" t="s">
        <v>8</v>
      </c>
      <c r="M218" s="22" t="s">
        <v>8</v>
      </c>
      <c r="N218" s="22" t="s">
        <v>8</v>
      </c>
      <c r="O218" s="22" t="s">
        <v>8</v>
      </c>
      <c r="P218" s="22" t="s">
        <v>8</v>
      </c>
      <c r="Q218" s="22">
        <v>3.2772073921971252</v>
      </c>
      <c r="R218" s="22" t="s">
        <v>8</v>
      </c>
      <c r="S218" s="22" t="s">
        <v>8</v>
      </c>
      <c r="T218" s="30">
        <v>4</v>
      </c>
      <c r="U218" s="30">
        <v>16</v>
      </c>
      <c r="V218" s="20" t="s">
        <v>1</v>
      </c>
      <c r="W218" s="20">
        <v>5</v>
      </c>
      <c r="X218" s="20">
        <v>2</v>
      </c>
      <c r="Y218" s="5">
        <v>1</v>
      </c>
      <c r="Z218" s="24">
        <v>4</v>
      </c>
      <c r="AA218" s="23">
        <f t="shared" si="9"/>
        <v>1</v>
      </c>
      <c r="AB218" s="15">
        <v>1</v>
      </c>
      <c r="AC218" s="15">
        <v>0.625</v>
      </c>
      <c r="AD218" s="15">
        <v>0.25</v>
      </c>
      <c r="AE218" s="15">
        <v>0.62</v>
      </c>
      <c r="AF218" s="20">
        <v>15</v>
      </c>
      <c r="AG218" s="20">
        <v>2.6</v>
      </c>
      <c r="AH218" s="24">
        <v>24</v>
      </c>
      <c r="AI218" s="23">
        <f t="shared" si="10"/>
        <v>1</v>
      </c>
      <c r="AJ218" s="17">
        <v>7</v>
      </c>
      <c r="AK218" s="17">
        <v>9</v>
      </c>
      <c r="AL218" s="14">
        <v>16</v>
      </c>
      <c r="AM218" s="23" cm="1">
        <f t="array" ref="AM218">IF(OR(AN218:AZ218=""),"BLANK",IF(AND(AN218:AZ218&lt;9999999),1,IF(AND(AN218:AZ218="NA"),3,2)))</f>
        <v>1</v>
      </c>
      <c r="AN218" s="20">
        <v>6</v>
      </c>
      <c r="AO218" s="26">
        <v>2</v>
      </c>
      <c r="AP218" s="15">
        <v>3.5</v>
      </c>
      <c r="AQ218" s="15">
        <v>7</v>
      </c>
      <c r="AR218" s="15">
        <v>7</v>
      </c>
      <c r="AS218" s="26">
        <v>129</v>
      </c>
      <c r="AT218" s="26">
        <v>3615.5</v>
      </c>
      <c r="AU218" s="26">
        <v>4638.5</v>
      </c>
      <c r="AV218" s="26">
        <v>4416</v>
      </c>
      <c r="AW218" s="26">
        <v>210.5</v>
      </c>
      <c r="AX218" s="26">
        <v>0</v>
      </c>
      <c r="AY218" s="26">
        <v>4096.7986111111004</v>
      </c>
      <c r="AZ218" s="26">
        <v>2699.2541666666998</v>
      </c>
      <c r="BA218" s="23">
        <f t="shared" si="11"/>
        <v>1</v>
      </c>
      <c r="BB218" s="24">
        <v>38</v>
      </c>
    </row>
    <row r="219" spans="1:54" x14ac:dyDescent="0.2">
      <c r="A219" s="5">
        <v>1993</v>
      </c>
      <c r="B219" s="20" t="s">
        <v>74</v>
      </c>
      <c r="C219" s="18" t="s">
        <v>54</v>
      </c>
      <c r="D219" s="18">
        <v>5</v>
      </c>
      <c r="E219" s="18">
        <v>0</v>
      </c>
      <c r="F219" s="18" t="s">
        <v>9</v>
      </c>
      <c r="G219" s="18">
        <v>30</v>
      </c>
      <c r="H219" s="22">
        <v>3.5208761122518824</v>
      </c>
      <c r="I219" s="22">
        <v>4.7008898015058183</v>
      </c>
      <c r="J219" s="22">
        <v>8.2217659137577002</v>
      </c>
      <c r="K219" s="22">
        <v>3.5208761122518824</v>
      </c>
      <c r="L219" s="22">
        <v>4.7008898015058183</v>
      </c>
      <c r="M219" s="22">
        <v>8.2217659137577002</v>
      </c>
      <c r="N219" s="22">
        <v>3.6550308008213555</v>
      </c>
      <c r="O219" s="22">
        <v>4.5475701574264207</v>
      </c>
      <c r="P219" s="22">
        <v>8.2026009582477748</v>
      </c>
      <c r="Q219" s="22">
        <v>3.5236139630390144</v>
      </c>
      <c r="R219" s="22">
        <v>5.420944558521561</v>
      </c>
      <c r="S219" s="22">
        <v>8.944558521560575</v>
      </c>
      <c r="T219" s="30">
        <v>3</v>
      </c>
      <c r="U219" s="30">
        <v>14</v>
      </c>
      <c r="V219" s="20" t="s">
        <v>1</v>
      </c>
      <c r="W219" s="20">
        <v>5</v>
      </c>
      <c r="X219" s="20">
        <v>2</v>
      </c>
      <c r="Y219" s="5">
        <v>1</v>
      </c>
      <c r="Z219" s="24">
        <v>4</v>
      </c>
      <c r="AA219" s="23">
        <f t="shared" si="9"/>
        <v>1</v>
      </c>
      <c r="AB219" s="15">
        <v>1</v>
      </c>
      <c r="AC219" s="15">
        <v>0.875</v>
      </c>
      <c r="AD219" s="15">
        <v>0.5</v>
      </c>
      <c r="AE219" s="15">
        <v>0.79</v>
      </c>
      <c r="AF219" s="20">
        <v>19</v>
      </c>
      <c r="AG219" s="20">
        <v>10.220000000000001</v>
      </c>
      <c r="AH219" s="24">
        <v>24</v>
      </c>
      <c r="AI219" s="23">
        <f t="shared" si="10"/>
        <v>1</v>
      </c>
      <c r="AJ219" s="17">
        <v>10.25</v>
      </c>
      <c r="AK219" s="17">
        <v>9.25</v>
      </c>
      <c r="AL219" s="14">
        <v>19.5</v>
      </c>
      <c r="AM219" s="23" cm="1">
        <f t="array" ref="AM219">IF(OR(AN219:AZ219=""),"BLANK",IF(AND(AN219:AZ219&lt;9999999),1,IF(AND(AN219:AZ219="NA"),3,2)))</f>
        <v>1</v>
      </c>
      <c r="AN219" s="20">
        <v>10</v>
      </c>
      <c r="AO219" s="26">
        <v>2</v>
      </c>
      <c r="AP219" s="15">
        <v>3</v>
      </c>
      <c r="AQ219" s="15">
        <v>6.5</v>
      </c>
      <c r="AR219" s="15">
        <v>5</v>
      </c>
      <c r="AS219" s="26">
        <v>3052</v>
      </c>
      <c r="AT219" s="26">
        <v>2431</v>
      </c>
      <c r="AU219" s="26">
        <v>2473.25</v>
      </c>
      <c r="AV219" s="26">
        <v>4037.25</v>
      </c>
      <c r="AW219" s="26">
        <v>0</v>
      </c>
      <c r="AX219" s="26">
        <v>0</v>
      </c>
      <c r="AY219" s="26">
        <v>3672.9791666667002</v>
      </c>
      <c r="AZ219" s="26">
        <v>0</v>
      </c>
      <c r="BA219" s="23">
        <f t="shared" si="11"/>
        <v>1</v>
      </c>
      <c r="BB219" s="24">
        <v>34</v>
      </c>
    </row>
    <row r="220" spans="1:54" x14ac:dyDescent="0.2">
      <c r="A220" s="5">
        <v>2012</v>
      </c>
      <c r="B220" s="20" t="s">
        <v>86</v>
      </c>
      <c r="C220" s="18" t="s">
        <v>54</v>
      </c>
      <c r="D220" s="18">
        <v>5</v>
      </c>
      <c r="E220" s="18">
        <v>0</v>
      </c>
      <c r="F220" s="18" t="s">
        <v>9</v>
      </c>
      <c r="G220" s="18">
        <v>28</v>
      </c>
      <c r="H220" s="22">
        <v>3.6960985626283369</v>
      </c>
      <c r="I220" s="22">
        <v>4.9144421629021222</v>
      </c>
      <c r="J220" s="22">
        <v>8.6105407255304591</v>
      </c>
      <c r="K220" s="22" t="s">
        <v>8</v>
      </c>
      <c r="L220" s="22">
        <v>4.9144421629021222</v>
      </c>
      <c r="M220" s="22" t="s">
        <v>8</v>
      </c>
      <c r="N220" s="22">
        <v>4.1040383299110195</v>
      </c>
      <c r="O220" s="22">
        <v>4.2026009582477757</v>
      </c>
      <c r="P220" s="22">
        <v>8.3066392881587952</v>
      </c>
      <c r="Q220" s="22">
        <v>3.6605065023956196</v>
      </c>
      <c r="R220" s="22" t="s">
        <v>8</v>
      </c>
      <c r="S220" s="22" t="s">
        <v>8</v>
      </c>
      <c r="T220" s="30">
        <v>6</v>
      </c>
      <c r="U220" s="30">
        <v>18</v>
      </c>
      <c r="V220" s="20" t="s">
        <v>1</v>
      </c>
      <c r="W220" s="20">
        <v>5</v>
      </c>
      <c r="X220" s="20">
        <v>2</v>
      </c>
      <c r="Y220" s="5">
        <v>1</v>
      </c>
      <c r="Z220" s="24">
        <v>4</v>
      </c>
      <c r="AA220" s="23">
        <f t="shared" si="9"/>
        <v>1</v>
      </c>
      <c r="AB220" s="15">
        <v>1</v>
      </c>
      <c r="AC220" s="15">
        <v>0.75</v>
      </c>
      <c r="AD220" s="15">
        <v>0.375</v>
      </c>
      <c r="AE220" s="15">
        <v>0.71</v>
      </c>
      <c r="AF220" s="20">
        <v>17</v>
      </c>
      <c r="AG220" s="20">
        <v>3.22</v>
      </c>
      <c r="AH220" s="24">
        <v>24</v>
      </c>
      <c r="AI220" s="23">
        <f t="shared" si="10"/>
        <v>1</v>
      </c>
      <c r="AJ220" s="17">
        <v>5.25</v>
      </c>
      <c r="AK220" s="17">
        <v>3</v>
      </c>
      <c r="AL220" s="14">
        <v>8.25</v>
      </c>
      <c r="AM220" s="23" cm="1">
        <f t="array" ref="AM220">IF(OR(AN220:AZ220=""),"BLANK",IF(AND(AN220:AZ220&lt;9999999),1,IF(AND(AN220:AZ220="NA"),3,2)))</f>
        <v>1</v>
      </c>
      <c r="AN220" s="20">
        <v>7</v>
      </c>
      <c r="AO220" s="26">
        <v>2</v>
      </c>
      <c r="AP220" s="15">
        <v>3</v>
      </c>
      <c r="AQ220" s="15">
        <v>5.25</v>
      </c>
      <c r="AR220" s="15">
        <v>9.25</v>
      </c>
      <c r="AS220" s="26">
        <v>162</v>
      </c>
      <c r="AT220" s="26">
        <v>3445.5</v>
      </c>
      <c r="AU220" s="26">
        <v>2211</v>
      </c>
      <c r="AV220" s="26">
        <v>3436</v>
      </c>
      <c r="AW220" s="26">
        <v>0</v>
      </c>
      <c r="AX220" s="26">
        <v>2291.3333333332998</v>
      </c>
      <c r="AY220" s="26">
        <v>2419.4375</v>
      </c>
      <c r="AZ220" s="26">
        <v>3738.7410714286002</v>
      </c>
      <c r="BA220" s="23">
        <f t="shared" si="11"/>
        <v>1</v>
      </c>
      <c r="BB220" s="24">
        <v>28</v>
      </c>
    </row>
    <row r="221" spans="1:54" x14ac:dyDescent="0.2">
      <c r="A221" s="5">
        <v>2031</v>
      </c>
      <c r="B221" s="20" t="s">
        <v>70</v>
      </c>
      <c r="C221" s="18" t="s">
        <v>54</v>
      </c>
      <c r="D221" s="18">
        <v>5</v>
      </c>
      <c r="E221" s="18">
        <v>0</v>
      </c>
      <c r="F221" s="18" t="s">
        <v>9</v>
      </c>
      <c r="G221" s="18">
        <v>30</v>
      </c>
      <c r="H221" s="22">
        <v>3.8959616700889801</v>
      </c>
      <c r="I221" s="22" t="s">
        <v>8</v>
      </c>
      <c r="J221" s="22" t="s">
        <v>8</v>
      </c>
      <c r="K221" s="22">
        <v>3.8959616700889801</v>
      </c>
      <c r="L221" s="22" t="s">
        <v>8</v>
      </c>
      <c r="M221" s="22" t="s">
        <v>8</v>
      </c>
      <c r="N221" s="22">
        <v>3.9342915811088295</v>
      </c>
      <c r="O221" s="22" t="s">
        <v>8</v>
      </c>
      <c r="P221" s="22" t="s">
        <v>8</v>
      </c>
      <c r="Q221" s="22" t="s">
        <v>8</v>
      </c>
      <c r="R221" s="22" t="s">
        <v>8</v>
      </c>
      <c r="S221" s="22" t="s">
        <v>8</v>
      </c>
      <c r="T221" s="30" t="s">
        <v>8</v>
      </c>
      <c r="U221" s="30" t="s">
        <v>8</v>
      </c>
      <c r="V221" s="20" t="s">
        <v>1</v>
      </c>
      <c r="W221" s="20">
        <v>5</v>
      </c>
      <c r="X221" s="20">
        <v>2</v>
      </c>
      <c r="Y221" s="5">
        <v>1</v>
      </c>
      <c r="Z221" s="24">
        <v>4</v>
      </c>
      <c r="AA221" s="23">
        <f t="shared" si="9"/>
        <v>1</v>
      </c>
      <c r="AB221" s="15">
        <v>1</v>
      </c>
      <c r="AC221" s="15">
        <v>0.875</v>
      </c>
      <c r="AD221" s="15">
        <v>0.75</v>
      </c>
      <c r="AE221" s="15">
        <v>0.88</v>
      </c>
      <c r="AF221" s="20">
        <v>21</v>
      </c>
      <c r="AG221" s="20">
        <v>5.87</v>
      </c>
      <c r="AH221" s="24">
        <v>24</v>
      </c>
      <c r="AI221" s="23">
        <f t="shared" si="10"/>
        <v>1</v>
      </c>
      <c r="AJ221" s="17">
        <v>11</v>
      </c>
      <c r="AK221" s="17">
        <v>10</v>
      </c>
      <c r="AL221" s="14">
        <v>21</v>
      </c>
      <c r="AM221" s="23" cm="1">
        <f t="array" ref="AM221">IF(OR(AN221:AZ221=""),"BLANK",IF(AND(AN221:AZ221&lt;9999999),1,IF(AND(AN221:AZ221="NA"),3,2)))</f>
        <v>1</v>
      </c>
      <c r="AN221" s="20">
        <v>11</v>
      </c>
      <c r="AO221" s="26">
        <v>2</v>
      </c>
      <c r="AP221" s="15">
        <v>3</v>
      </c>
      <c r="AQ221" s="15">
        <v>4</v>
      </c>
      <c r="AR221" s="15">
        <v>5.25</v>
      </c>
      <c r="AS221" s="26">
        <v>870.5</v>
      </c>
      <c r="AT221" s="26">
        <v>2388.5</v>
      </c>
      <c r="AU221" s="26">
        <v>4930.75</v>
      </c>
      <c r="AV221" s="26">
        <v>6971</v>
      </c>
      <c r="AW221" s="26">
        <v>0</v>
      </c>
      <c r="AX221" s="26">
        <v>0</v>
      </c>
      <c r="AY221" s="26">
        <v>0</v>
      </c>
      <c r="AZ221" s="26">
        <v>856.55833333329997</v>
      </c>
      <c r="BA221" s="23">
        <f t="shared" si="11"/>
        <v>1</v>
      </c>
      <c r="BB221" s="24">
        <v>41</v>
      </c>
    </row>
    <row r="222" spans="1:54" x14ac:dyDescent="0.2">
      <c r="A222" s="5">
        <v>2035</v>
      </c>
      <c r="B222" s="20" t="s">
        <v>80</v>
      </c>
      <c r="C222" s="18" t="s">
        <v>55</v>
      </c>
      <c r="D222" s="18">
        <v>5</v>
      </c>
      <c r="E222" s="18">
        <v>0</v>
      </c>
      <c r="F222" s="18" t="s">
        <v>9</v>
      </c>
      <c r="G222" s="18">
        <v>29</v>
      </c>
      <c r="H222" s="22">
        <v>3.4934976043805612</v>
      </c>
      <c r="I222" s="22">
        <v>4.6187542778918553</v>
      </c>
      <c r="J222" s="22">
        <v>8.1122518822724157</v>
      </c>
      <c r="K222" s="22">
        <v>3.4934976043805612</v>
      </c>
      <c r="L222" s="22">
        <v>4.6187542778918553</v>
      </c>
      <c r="M222" s="22">
        <v>8.1122518822724157</v>
      </c>
      <c r="N222" s="22">
        <v>3.4880219028062971</v>
      </c>
      <c r="O222" s="22" t="s">
        <v>8</v>
      </c>
      <c r="P222" s="22" t="s">
        <v>8</v>
      </c>
      <c r="Q222" s="22" t="s">
        <v>8</v>
      </c>
      <c r="R222" s="22" t="s">
        <v>8</v>
      </c>
      <c r="S222" s="22" t="s">
        <v>8</v>
      </c>
      <c r="T222" s="30">
        <v>6</v>
      </c>
      <c r="U222" s="30">
        <v>18</v>
      </c>
      <c r="V222" s="20" t="s">
        <v>1</v>
      </c>
      <c r="W222" s="20">
        <v>5</v>
      </c>
      <c r="X222" s="20">
        <v>2</v>
      </c>
      <c r="Y222" s="5">
        <v>1</v>
      </c>
      <c r="Z222" s="24">
        <v>4</v>
      </c>
      <c r="AA222" s="23">
        <f t="shared" si="9"/>
        <v>1</v>
      </c>
      <c r="AB222" s="15">
        <v>0.875</v>
      </c>
      <c r="AC222" s="15">
        <v>0.8571428571428571</v>
      </c>
      <c r="AD222" s="15">
        <v>0.375</v>
      </c>
      <c r="AE222" s="15">
        <v>0.7</v>
      </c>
      <c r="AF222" s="20">
        <v>16</v>
      </c>
      <c r="AG222" s="20">
        <v>3.42</v>
      </c>
      <c r="AH222" s="24">
        <v>23</v>
      </c>
      <c r="AI222" s="23">
        <f t="shared" si="10"/>
        <v>1</v>
      </c>
      <c r="AJ222" s="17">
        <v>4</v>
      </c>
      <c r="AK222" s="17">
        <v>5.5</v>
      </c>
      <c r="AL222" s="14">
        <v>9.5</v>
      </c>
      <c r="AM222" s="23" cm="1">
        <f t="array" ref="AM222">IF(OR(AN222:AZ222=""),"BLANK",IF(AND(AN222:AZ222&lt;9999999),1,IF(AND(AN222:AZ222="NA"),3,2)))</f>
        <v>1</v>
      </c>
      <c r="AN222" s="20">
        <v>6</v>
      </c>
      <c r="AO222" s="26">
        <v>2</v>
      </c>
      <c r="AP222" s="15">
        <v>3.5</v>
      </c>
      <c r="AQ222" s="15">
        <v>7.25</v>
      </c>
      <c r="AR222" s="15">
        <v>7</v>
      </c>
      <c r="AS222" s="26">
        <v>2895.5</v>
      </c>
      <c r="AT222" s="26">
        <v>8395.5</v>
      </c>
      <c r="AU222" s="26">
        <v>4019</v>
      </c>
      <c r="AV222" s="26">
        <v>10021.25</v>
      </c>
      <c r="AW222" s="26">
        <v>0</v>
      </c>
      <c r="AX222" s="26">
        <v>1557.8333333333001</v>
      </c>
      <c r="AY222" s="26">
        <v>7923.316468254</v>
      </c>
      <c r="AZ222" s="26">
        <v>6552.4208333332999</v>
      </c>
      <c r="BA222" s="23">
        <f t="shared" si="11"/>
        <v>1</v>
      </c>
      <c r="BB222" s="24">
        <v>27</v>
      </c>
    </row>
    <row r="223" spans="1:54" x14ac:dyDescent="0.2">
      <c r="A223" s="5">
        <v>2043</v>
      </c>
      <c r="B223" s="20" t="s">
        <v>80</v>
      </c>
      <c r="C223" s="18" t="s">
        <v>54</v>
      </c>
      <c r="D223" s="18">
        <v>5</v>
      </c>
      <c r="E223" s="18">
        <v>0</v>
      </c>
      <c r="F223" s="18" t="s">
        <v>9</v>
      </c>
      <c r="G223" s="18">
        <v>30</v>
      </c>
      <c r="H223" s="22">
        <v>3.7262149212867897</v>
      </c>
      <c r="I223" s="22">
        <v>4.9774127310061598</v>
      </c>
      <c r="J223" s="22">
        <v>8.7036276522929494</v>
      </c>
      <c r="K223" s="22">
        <v>3.7262149212867897</v>
      </c>
      <c r="L223" s="22">
        <v>5.0130047912388775</v>
      </c>
      <c r="M223" s="22">
        <v>8.7392197125256672</v>
      </c>
      <c r="N223" s="22">
        <v>3.7289527720739222</v>
      </c>
      <c r="O223" s="22">
        <v>4.944558521560575</v>
      </c>
      <c r="P223" s="22">
        <v>8.6735112936344976</v>
      </c>
      <c r="Q223" s="22" t="s">
        <v>8</v>
      </c>
      <c r="R223" s="22" t="s">
        <v>8</v>
      </c>
      <c r="S223" s="22" t="s">
        <v>8</v>
      </c>
      <c r="T223" s="30">
        <v>3</v>
      </c>
      <c r="U223" s="30">
        <v>13</v>
      </c>
      <c r="V223" s="20" t="s">
        <v>1</v>
      </c>
      <c r="W223" s="20">
        <v>5</v>
      </c>
      <c r="X223" s="20">
        <v>2</v>
      </c>
      <c r="Y223" s="5">
        <v>1</v>
      </c>
      <c r="Z223" s="24">
        <v>4</v>
      </c>
      <c r="AA223" s="23">
        <f t="shared" si="9"/>
        <v>2</v>
      </c>
      <c r="AB223" s="15">
        <v>0.875</v>
      </c>
      <c r="AC223" s="15">
        <v>0.8571428571428571</v>
      </c>
      <c r="AD223" s="15">
        <v>0.83333333333333337</v>
      </c>
      <c r="AE223" s="15">
        <v>0.86</v>
      </c>
      <c r="AF223" s="20">
        <v>18</v>
      </c>
      <c r="AG223" s="20" t="s">
        <v>8</v>
      </c>
      <c r="AH223" s="24">
        <v>21</v>
      </c>
      <c r="AI223" s="23">
        <f t="shared" si="10"/>
        <v>1</v>
      </c>
      <c r="AJ223" s="17">
        <v>8</v>
      </c>
      <c r="AK223" s="17">
        <v>7</v>
      </c>
      <c r="AL223" s="14">
        <v>15</v>
      </c>
      <c r="AM223" s="23" cm="1">
        <f t="array" ref="AM223">IF(OR(AN223:AZ223=""),"BLANK",IF(AND(AN223:AZ223&lt;9999999),1,IF(AND(AN223:AZ223="NA"),3,2)))</f>
        <v>1</v>
      </c>
      <c r="AN223" s="20">
        <v>8</v>
      </c>
      <c r="AO223" s="26">
        <v>2</v>
      </c>
      <c r="AP223" s="15">
        <v>3</v>
      </c>
      <c r="AQ223" s="15">
        <v>5.75</v>
      </c>
      <c r="AR223" s="15">
        <v>7</v>
      </c>
      <c r="AS223" s="26">
        <v>603.5</v>
      </c>
      <c r="AT223" s="26">
        <v>1810.5</v>
      </c>
      <c r="AU223" s="26">
        <v>1929.75</v>
      </c>
      <c r="AV223" s="26">
        <v>1940.25</v>
      </c>
      <c r="AW223" s="26">
        <v>0</v>
      </c>
      <c r="AX223" s="26">
        <v>0</v>
      </c>
      <c r="AY223" s="26">
        <v>3765.3194444443998</v>
      </c>
      <c r="AZ223" s="26">
        <v>233.84166666670001</v>
      </c>
      <c r="BA223" s="23">
        <f t="shared" si="11"/>
        <v>1</v>
      </c>
      <c r="BB223" s="24">
        <v>37</v>
      </c>
    </row>
    <row r="224" spans="1:54" x14ac:dyDescent="0.2">
      <c r="A224" s="5">
        <v>2053</v>
      </c>
      <c r="B224" s="20" t="s">
        <v>80</v>
      </c>
      <c r="C224" s="18" t="s">
        <v>54</v>
      </c>
      <c r="D224" s="18">
        <v>5</v>
      </c>
      <c r="E224" s="18">
        <v>0</v>
      </c>
      <c r="F224" s="18" t="s">
        <v>9</v>
      </c>
      <c r="G224" s="18">
        <v>29</v>
      </c>
      <c r="H224" s="22">
        <v>3.9589322381930185</v>
      </c>
      <c r="I224" s="22" t="s">
        <v>8</v>
      </c>
      <c r="J224" s="22" t="s">
        <v>8</v>
      </c>
      <c r="K224" s="22">
        <v>3.9589322381930185</v>
      </c>
      <c r="L224" s="22" t="s">
        <v>8</v>
      </c>
      <c r="M224" s="22" t="s">
        <v>8</v>
      </c>
      <c r="N224" s="22" t="s">
        <v>8</v>
      </c>
      <c r="O224" s="22" t="s">
        <v>8</v>
      </c>
      <c r="P224" s="22" t="s">
        <v>8</v>
      </c>
      <c r="Q224" s="22" t="s">
        <v>8</v>
      </c>
      <c r="R224" s="22" t="s">
        <v>8</v>
      </c>
      <c r="S224" s="22" t="s">
        <v>8</v>
      </c>
      <c r="T224" s="30">
        <v>3</v>
      </c>
      <c r="U224" s="30">
        <v>13.5</v>
      </c>
      <c r="V224" s="20" t="s">
        <v>1</v>
      </c>
      <c r="W224" s="20">
        <v>5</v>
      </c>
      <c r="X224" s="20">
        <v>2</v>
      </c>
      <c r="Y224" s="5">
        <v>1</v>
      </c>
      <c r="Z224" s="24">
        <v>4</v>
      </c>
      <c r="AA224" s="23">
        <f t="shared" si="9"/>
        <v>1</v>
      </c>
      <c r="AB224" s="15">
        <v>1</v>
      </c>
      <c r="AC224" s="15">
        <v>0.5</v>
      </c>
      <c r="AD224" s="15">
        <v>0.2857142857142857</v>
      </c>
      <c r="AE224" s="15">
        <v>0.59</v>
      </c>
      <c r="AF224" s="20">
        <v>13</v>
      </c>
      <c r="AG224" s="20">
        <v>16</v>
      </c>
      <c r="AH224" s="24">
        <v>22</v>
      </c>
      <c r="AI224" s="23">
        <f t="shared" si="10"/>
        <v>1</v>
      </c>
      <c r="AJ224" s="17">
        <v>5.75</v>
      </c>
      <c r="AK224" s="17">
        <v>5.75</v>
      </c>
      <c r="AL224" s="14">
        <v>11.5</v>
      </c>
      <c r="AM224" s="23" cm="1">
        <f t="array" ref="AM224">IF(OR(AN224:AZ224=""),"BLANK",IF(AND(AN224:AZ224&lt;9999999),1,IF(AND(AN224:AZ224="NA"),3,2)))</f>
        <v>1</v>
      </c>
      <c r="AN224" s="20">
        <v>8</v>
      </c>
      <c r="AO224" s="26">
        <v>2</v>
      </c>
      <c r="AP224" s="15">
        <v>3.5</v>
      </c>
      <c r="AQ224" s="15">
        <v>6.5</v>
      </c>
      <c r="AR224" s="15">
        <v>6.75</v>
      </c>
      <c r="AS224" s="26">
        <v>4021.5</v>
      </c>
      <c r="AT224" s="26">
        <v>31861</v>
      </c>
      <c r="AU224" s="26">
        <v>14407</v>
      </c>
      <c r="AV224" s="26">
        <v>8337.25</v>
      </c>
      <c r="AW224" s="26">
        <v>593.5</v>
      </c>
      <c r="AX224" s="26">
        <v>561.33333333329995</v>
      </c>
      <c r="AY224" s="26">
        <v>7718.3958333333003</v>
      </c>
      <c r="AZ224" s="26">
        <v>3318.9625000000001</v>
      </c>
      <c r="BA224" s="23">
        <f t="shared" si="11"/>
        <v>1</v>
      </c>
      <c r="BB224" s="24">
        <v>32</v>
      </c>
    </row>
    <row r="225" spans="1:54" x14ac:dyDescent="0.2">
      <c r="A225" s="5">
        <v>2064</v>
      </c>
      <c r="B225" s="20" t="s">
        <v>86</v>
      </c>
      <c r="C225" s="18" t="s">
        <v>54</v>
      </c>
      <c r="D225" s="18">
        <v>5</v>
      </c>
      <c r="E225" s="18">
        <v>0</v>
      </c>
      <c r="F225" s="18" t="s">
        <v>9</v>
      </c>
      <c r="G225" s="18">
        <v>27</v>
      </c>
      <c r="H225" s="22">
        <v>3.8603696098562628</v>
      </c>
      <c r="I225" s="22" t="s">
        <v>8</v>
      </c>
      <c r="J225" s="22" t="s">
        <v>8</v>
      </c>
      <c r="K225" s="22" t="s">
        <v>8</v>
      </c>
      <c r="L225" s="22" t="s">
        <v>8</v>
      </c>
      <c r="M225" s="22" t="s">
        <v>8</v>
      </c>
      <c r="N225" s="22">
        <v>3.8959616700889801</v>
      </c>
      <c r="O225" s="22" t="s">
        <v>8</v>
      </c>
      <c r="P225" s="22" t="s">
        <v>8</v>
      </c>
      <c r="Q225" s="22">
        <v>3.2553045859000687</v>
      </c>
      <c r="R225" s="22" t="s">
        <v>8</v>
      </c>
      <c r="S225" s="22" t="s">
        <v>8</v>
      </c>
      <c r="T225" s="30">
        <v>3</v>
      </c>
      <c r="U225" s="30">
        <v>12</v>
      </c>
      <c r="V225" s="20" t="s">
        <v>1</v>
      </c>
      <c r="W225" s="20">
        <v>5</v>
      </c>
      <c r="X225" s="20">
        <v>2</v>
      </c>
      <c r="Y225" s="5">
        <v>1</v>
      </c>
      <c r="Z225" s="24">
        <v>4</v>
      </c>
      <c r="AA225" s="23">
        <f t="shared" si="9"/>
        <v>2</v>
      </c>
      <c r="AB225" s="15">
        <v>0.6</v>
      </c>
      <c r="AC225" s="15">
        <v>0.33333333333333331</v>
      </c>
      <c r="AD225" s="15">
        <v>0.5</v>
      </c>
      <c r="AE225" s="15">
        <v>0.47</v>
      </c>
      <c r="AF225" s="20">
        <v>7</v>
      </c>
      <c r="AG225" s="20" t="s">
        <v>8</v>
      </c>
      <c r="AH225" s="24">
        <v>15</v>
      </c>
      <c r="AI225" s="23">
        <f t="shared" si="10"/>
        <v>1</v>
      </c>
      <c r="AJ225" s="17">
        <v>0.5</v>
      </c>
      <c r="AK225" s="17">
        <v>1.75</v>
      </c>
      <c r="AL225" s="14">
        <v>2.25</v>
      </c>
      <c r="AM225" s="23" cm="1">
        <f t="array" ref="AM225">IF(OR(AN225:AZ225=""),"BLANK",IF(AND(AN225:AZ225&lt;9999999),1,IF(AND(AN225:AZ225="NA"),3,2)))</f>
        <v>1</v>
      </c>
      <c r="AN225" s="20">
        <v>9</v>
      </c>
      <c r="AO225" s="26">
        <v>2</v>
      </c>
      <c r="AP225" s="15">
        <v>3</v>
      </c>
      <c r="AQ225" s="15">
        <v>4.5</v>
      </c>
      <c r="AR225" s="15">
        <v>7</v>
      </c>
      <c r="AS225" s="26">
        <v>2885</v>
      </c>
      <c r="AT225" s="26">
        <v>21837</v>
      </c>
      <c r="AU225" s="26">
        <v>12409.75</v>
      </c>
      <c r="AV225" s="26">
        <v>10420.25</v>
      </c>
      <c r="AW225" s="26">
        <v>0</v>
      </c>
      <c r="AX225" s="26">
        <v>7900.8333333333003</v>
      </c>
      <c r="AY225" s="26">
        <v>14696</v>
      </c>
      <c r="AZ225" s="26">
        <v>22435.020833333299</v>
      </c>
      <c r="BA225" s="23">
        <f t="shared" si="11"/>
        <v>1</v>
      </c>
      <c r="BB225" s="24">
        <v>33</v>
      </c>
    </row>
    <row r="226" spans="1:54" x14ac:dyDescent="0.2">
      <c r="A226" s="5">
        <v>2068</v>
      </c>
      <c r="B226" s="20" t="s">
        <v>80</v>
      </c>
      <c r="C226" s="18" t="s">
        <v>55</v>
      </c>
      <c r="D226" s="18">
        <v>5</v>
      </c>
      <c r="E226" s="18">
        <v>0</v>
      </c>
      <c r="F226" s="18" t="s">
        <v>9</v>
      </c>
      <c r="G226" s="18">
        <v>28</v>
      </c>
      <c r="H226" s="22">
        <v>4.2381930184804926</v>
      </c>
      <c r="I226" s="22">
        <v>4.213552361396304</v>
      </c>
      <c r="J226" s="22">
        <v>8.4517453798767974</v>
      </c>
      <c r="K226" s="22">
        <v>4.2546201232032859</v>
      </c>
      <c r="L226" s="22">
        <v>4.1971252566735116</v>
      </c>
      <c r="M226" s="22">
        <v>8.4517453798767974</v>
      </c>
      <c r="N226" s="22">
        <v>4.1232032854209448</v>
      </c>
      <c r="O226" s="22">
        <v>3.8877481177275839</v>
      </c>
      <c r="P226" s="22">
        <v>8.0109514031485283</v>
      </c>
      <c r="Q226" s="22" t="s">
        <v>8</v>
      </c>
      <c r="R226" s="22" t="s">
        <v>8</v>
      </c>
      <c r="S226" s="22" t="s">
        <v>8</v>
      </c>
      <c r="T226" s="30" t="s">
        <v>8</v>
      </c>
      <c r="U226" s="30" t="s">
        <v>8</v>
      </c>
      <c r="V226" s="20" t="s">
        <v>1</v>
      </c>
      <c r="W226" s="20">
        <v>5</v>
      </c>
      <c r="X226" s="20">
        <v>2</v>
      </c>
      <c r="Y226" s="5">
        <v>1</v>
      </c>
      <c r="Z226" s="24">
        <v>4</v>
      </c>
      <c r="AA226" s="23">
        <f t="shared" si="9"/>
        <v>1</v>
      </c>
      <c r="AB226" s="15">
        <v>0.875</v>
      </c>
      <c r="AC226" s="15">
        <v>0.5</v>
      </c>
      <c r="AD226" s="15">
        <v>0.25</v>
      </c>
      <c r="AE226" s="15">
        <v>0.54</v>
      </c>
      <c r="AF226" s="20">
        <v>13</v>
      </c>
      <c r="AG226" s="20">
        <v>5.18</v>
      </c>
      <c r="AH226" s="24">
        <v>24</v>
      </c>
      <c r="AI226" s="23">
        <f t="shared" si="10"/>
        <v>1</v>
      </c>
      <c r="AJ226" s="17">
        <v>2.5</v>
      </c>
      <c r="AK226" s="17">
        <v>3.75</v>
      </c>
      <c r="AL226" s="14">
        <v>6.25</v>
      </c>
      <c r="AM226" s="23" cm="1">
        <f t="array" ref="AM226">IF(OR(AN226:AZ226=""),"BLANK",IF(AND(AN226:AZ226&lt;9999999),1,IF(AND(AN226:AZ226="NA"),3,2)))</f>
        <v>1</v>
      </c>
      <c r="AN226" s="20">
        <v>5</v>
      </c>
      <c r="AO226" s="26">
        <v>2</v>
      </c>
      <c r="AP226" s="15">
        <v>5.5</v>
      </c>
      <c r="AQ226" s="15">
        <v>7</v>
      </c>
      <c r="AR226" s="15">
        <v>7</v>
      </c>
      <c r="AS226" s="26">
        <v>4427</v>
      </c>
      <c r="AT226" s="26">
        <v>6775.5</v>
      </c>
      <c r="AU226" s="26">
        <v>4891.5</v>
      </c>
      <c r="AV226" s="26">
        <v>13487.25</v>
      </c>
      <c r="AW226" s="26">
        <v>0</v>
      </c>
      <c r="AX226" s="26">
        <v>11128.8166666667</v>
      </c>
      <c r="AY226" s="26">
        <v>17814.263888888901</v>
      </c>
      <c r="AZ226" s="26">
        <v>8253.9541666666992</v>
      </c>
      <c r="BA226" s="23">
        <f t="shared" si="11"/>
        <v>1</v>
      </c>
      <c r="BB226" s="24">
        <v>30</v>
      </c>
    </row>
    <row r="227" spans="1:54" x14ac:dyDescent="0.2">
      <c r="A227" s="5">
        <v>2085</v>
      </c>
      <c r="B227" s="20" t="s">
        <v>62</v>
      </c>
      <c r="C227" s="18" t="s">
        <v>55</v>
      </c>
      <c r="D227" s="18">
        <v>2</v>
      </c>
      <c r="E227" s="18">
        <v>0</v>
      </c>
      <c r="F227" s="18" t="s">
        <v>9</v>
      </c>
      <c r="G227" s="18">
        <v>30</v>
      </c>
      <c r="H227" s="22">
        <v>3.6878850102669403</v>
      </c>
      <c r="I227" s="22" t="s">
        <v>8</v>
      </c>
      <c r="J227" s="22" t="s">
        <v>8</v>
      </c>
      <c r="K227" s="22">
        <v>3.6878850102669403</v>
      </c>
      <c r="L227" s="22" t="s">
        <v>8</v>
      </c>
      <c r="M227" s="22" t="s">
        <v>8</v>
      </c>
      <c r="N227" s="22">
        <v>3.7262149212867897</v>
      </c>
      <c r="O227" s="22" t="s">
        <v>8</v>
      </c>
      <c r="P227" s="22" t="s">
        <v>8</v>
      </c>
      <c r="Q227" s="22" t="s">
        <v>8</v>
      </c>
      <c r="R227" s="22" t="s">
        <v>8</v>
      </c>
      <c r="S227" s="22" t="s">
        <v>8</v>
      </c>
      <c r="T227" s="30">
        <v>4</v>
      </c>
      <c r="U227" s="30">
        <v>16</v>
      </c>
      <c r="V227" s="20" t="s">
        <v>1</v>
      </c>
      <c r="W227" s="20">
        <v>5</v>
      </c>
      <c r="X227" s="20">
        <v>2</v>
      </c>
      <c r="Y227" s="5">
        <v>1</v>
      </c>
      <c r="Z227" s="24">
        <v>4</v>
      </c>
      <c r="AA227" s="23">
        <f t="shared" si="9"/>
        <v>1</v>
      </c>
      <c r="AB227" s="15">
        <v>0.875</v>
      </c>
      <c r="AC227" s="15">
        <v>0.875</v>
      </c>
      <c r="AD227" s="15">
        <v>0.5</v>
      </c>
      <c r="AE227" s="15">
        <v>0.75</v>
      </c>
      <c r="AF227" s="20">
        <v>18</v>
      </c>
      <c r="AG227" s="20">
        <v>9.3000000000000007</v>
      </c>
      <c r="AH227" s="24">
        <v>24</v>
      </c>
      <c r="AI227" s="23">
        <f t="shared" si="10"/>
        <v>1</v>
      </c>
      <c r="AJ227" s="17">
        <v>3.75</v>
      </c>
      <c r="AK227" s="17">
        <v>6</v>
      </c>
      <c r="AL227" s="14">
        <v>9.75</v>
      </c>
      <c r="AM227" s="23" cm="1">
        <f t="array" ref="AM227">IF(OR(AN227:AZ227=""),"BLANK",IF(AND(AN227:AZ227&lt;9999999),1,IF(AND(AN227:AZ227="NA"),3,2)))</f>
        <v>1</v>
      </c>
      <c r="AN227" s="20">
        <v>11</v>
      </c>
      <c r="AO227" s="26">
        <v>2</v>
      </c>
      <c r="AP227" s="15">
        <v>3</v>
      </c>
      <c r="AQ227" s="15">
        <v>4</v>
      </c>
      <c r="AR227" s="15">
        <v>5.25</v>
      </c>
      <c r="AS227" s="26">
        <v>4031.5</v>
      </c>
      <c r="AT227" s="26">
        <v>7011.5</v>
      </c>
      <c r="AU227" s="26">
        <v>8578.5</v>
      </c>
      <c r="AV227" s="26">
        <v>5429.75</v>
      </c>
      <c r="AW227" s="26">
        <v>30</v>
      </c>
      <c r="AX227" s="26">
        <v>259.8333333333</v>
      </c>
      <c r="AY227" s="26">
        <v>448</v>
      </c>
      <c r="AZ227" s="26">
        <v>297.38333333330002</v>
      </c>
      <c r="BA227" s="23">
        <f t="shared" si="11"/>
        <v>1</v>
      </c>
      <c r="BB227" s="24">
        <v>33</v>
      </c>
    </row>
    <row r="228" spans="1:54" x14ac:dyDescent="0.2">
      <c r="A228" s="5">
        <v>2087</v>
      </c>
      <c r="B228" s="20" t="s">
        <v>80</v>
      </c>
      <c r="C228" s="18" t="s">
        <v>54</v>
      </c>
      <c r="D228" s="18">
        <v>5</v>
      </c>
      <c r="E228" s="18">
        <v>0</v>
      </c>
      <c r="F228" s="18" t="s">
        <v>9</v>
      </c>
      <c r="G228" s="18">
        <v>30</v>
      </c>
      <c r="H228" s="22">
        <v>4</v>
      </c>
      <c r="I228" s="22">
        <v>4.6762491444216288</v>
      </c>
      <c r="J228" s="22">
        <v>8.6762491444216288</v>
      </c>
      <c r="K228" s="22">
        <v>4</v>
      </c>
      <c r="L228" s="22">
        <v>4.7063655030800824</v>
      </c>
      <c r="M228" s="22">
        <v>8.7063655030800824</v>
      </c>
      <c r="N228" s="22" t="s">
        <v>8</v>
      </c>
      <c r="O228" s="22" t="s">
        <v>8</v>
      </c>
      <c r="P228" s="22" t="s">
        <v>8</v>
      </c>
      <c r="Q228" s="22" t="s">
        <v>8</v>
      </c>
      <c r="R228" s="22" t="s">
        <v>8</v>
      </c>
      <c r="S228" s="22" t="s">
        <v>8</v>
      </c>
      <c r="T228" s="30">
        <v>4</v>
      </c>
      <c r="U228" s="30">
        <v>16</v>
      </c>
      <c r="V228" s="20" t="s">
        <v>1</v>
      </c>
      <c r="W228" s="20">
        <v>5</v>
      </c>
      <c r="X228" s="20">
        <v>2</v>
      </c>
      <c r="Y228" s="5">
        <v>1</v>
      </c>
      <c r="Z228" s="24">
        <v>4</v>
      </c>
      <c r="AA228" s="23">
        <f t="shared" si="9"/>
        <v>1</v>
      </c>
      <c r="AB228" s="15">
        <v>0.625</v>
      </c>
      <c r="AC228" s="15">
        <v>1</v>
      </c>
      <c r="AD228" s="15">
        <v>0.5</v>
      </c>
      <c r="AE228" s="15">
        <v>0.71</v>
      </c>
      <c r="AF228" s="20">
        <v>17</v>
      </c>
      <c r="AG228" s="20">
        <v>4.8499999999999996</v>
      </c>
      <c r="AH228" s="24">
        <v>24</v>
      </c>
      <c r="AI228" s="23">
        <f t="shared" si="10"/>
        <v>1</v>
      </c>
      <c r="AJ228" s="17">
        <v>4.25</v>
      </c>
      <c r="AK228" s="17">
        <v>7</v>
      </c>
      <c r="AL228" s="14">
        <v>11.25</v>
      </c>
      <c r="AM228" s="23" cm="1">
        <f t="array" ref="AM228">IF(OR(AN228:AZ228=""),"BLANK",IF(AND(AN228:AZ228&lt;9999999),1,IF(AND(AN228:AZ228="NA"),3,2)))</f>
        <v>1</v>
      </c>
      <c r="AN228" s="20">
        <v>6</v>
      </c>
      <c r="AO228" s="26">
        <v>2</v>
      </c>
      <c r="AP228" s="15">
        <v>3</v>
      </c>
      <c r="AQ228" s="15">
        <v>6.25</v>
      </c>
      <c r="AR228" s="15">
        <v>10.25</v>
      </c>
      <c r="AS228" s="26">
        <v>1775.5</v>
      </c>
      <c r="AT228" s="26">
        <v>3044</v>
      </c>
      <c r="AU228" s="26">
        <v>4082</v>
      </c>
      <c r="AV228" s="26">
        <v>3402.75</v>
      </c>
      <c r="AW228" s="26">
        <v>0</v>
      </c>
      <c r="AX228" s="26">
        <v>8031.5</v>
      </c>
      <c r="AY228" s="26">
        <v>10867.7881944444</v>
      </c>
      <c r="AZ228" s="26">
        <v>6608.9867424242002</v>
      </c>
      <c r="BA228" s="23">
        <f t="shared" si="11"/>
        <v>1</v>
      </c>
      <c r="BB228" s="24">
        <v>35</v>
      </c>
    </row>
    <row r="229" spans="1:54" x14ac:dyDescent="0.2">
      <c r="A229" s="5">
        <v>2093</v>
      </c>
      <c r="B229" s="20" t="s">
        <v>76</v>
      </c>
      <c r="C229" s="18" t="s">
        <v>55</v>
      </c>
      <c r="D229" s="18">
        <v>1</v>
      </c>
      <c r="E229" s="18">
        <v>0</v>
      </c>
      <c r="F229" s="18" t="s">
        <v>9</v>
      </c>
      <c r="G229" s="18">
        <v>30</v>
      </c>
      <c r="H229" s="22">
        <v>4.3805612594113619</v>
      </c>
      <c r="I229" s="22">
        <v>4.470910335386721</v>
      </c>
      <c r="J229" s="22">
        <v>8.8514715947980829</v>
      </c>
      <c r="K229" s="22">
        <v>4.3805612594113619</v>
      </c>
      <c r="L229" s="22">
        <v>4.470910335386721</v>
      </c>
      <c r="M229" s="22">
        <v>8.8514715947980829</v>
      </c>
      <c r="N229" s="22">
        <v>4.26009582477755</v>
      </c>
      <c r="O229" s="22">
        <v>4.470910335386721</v>
      </c>
      <c r="P229" s="22">
        <v>8.7310061601642719</v>
      </c>
      <c r="Q229" s="22" t="s">
        <v>8</v>
      </c>
      <c r="R229" s="22" t="s">
        <v>8</v>
      </c>
      <c r="S229" s="22" t="s">
        <v>8</v>
      </c>
      <c r="T229" s="30">
        <v>6</v>
      </c>
      <c r="U229" s="30">
        <v>18</v>
      </c>
      <c r="V229" s="20" t="s">
        <v>1</v>
      </c>
      <c r="W229" s="20">
        <v>5</v>
      </c>
      <c r="X229" s="20">
        <v>2</v>
      </c>
      <c r="Y229" s="5">
        <v>1</v>
      </c>
      <c r="Z229" s="24">
        <v>4</v>
      </c>
      <c r="AA229" s="23">
        <f t="shared" si="9"/>
        <v>1</v>
      </c>
      <c r="AB229" s="15">
        <v>1</v>
      </c>
      <c r="AC229" s="15">
        <v>0.875</v>
      </c>
      <c r="AD229" s="15">
        <v>1</v>
      </c>
      <c r="AE229" s="15">
        <v>0.96</v>
      </c>
      <c r="AF229" s="20">
        <v>23</v>
      </c>
      <c r="AG229" s="20">
        <v>11.28</v>
      </c>
      <c r="AH229" s="24">
        <v>24</v>
      </c>
      <c r="AI229" s="23">
        <f t="shared" si="10"/>
        <v>1</v>
      </c>
      <c r="AJ229" s="17">
        <v>10.5</v>
      </c>
      <c r="AK229" s="17">
        <v>4.75</v>
      </c>
      <c r="AL229" s="14">
        <v>15.25</v>
      </c>
      <c r="AM229" s="23" cm="1">
        <f t="array" ref="AM229">IF(OR(AN229:AZ229=""),"BLANK",IF(AND(AN229:AZ229&lt;9999999),1,IF(AND(AN229:AZ229="NA"),3,2)))</f>
        <v>1</v>
      </c>
      <c r="AN229" s="20">
        <v>10</v>
      </c>
      <c r="AO229" s="26">
        <v>2</v>
      </c>
      <c r="AP229" s="15">
        <v>3</v>
      </c>
      <c r="AQ229" s="15">
        <v>5</v>
      </c>
      <c r="AR229" s="15">
        <v>5.5</v>
      </c>
      <c r="AS229" s="26">
        <v>1983.5</v>
      </c>
      <c r="AT229" s="26">
        <v>4054</v>
      </c>
      <c r="AU229" s="26">
        <v>18427.25</v>
      </c>
      <c r="AV229" s="26">
        <v>12861.5</v>
      </c>
      <c r="AW229" s="26">
        <v>0</v>
      </c>
      <c r="AX229" s="26">
        <v>0</v>
      </c>
      <c r="AY229" s="26">
        <v>2568.4375</v>
      </c>
      <c r="AZ229" s="26">
        <v>2318.8857142857</v>
      </c>
      <c r="BA229" s="23">
        <f t="shared" si="11"/>
        <v>1</v>
      </c>
      <c r="BB229" s="24">
        <v>41</v>
      </c>
    </row>
    <row r="230" spans="1:54" x14ac:dyDescent="0.2">
      <c r="A230" s="5">
        <v>2095</v>
      </c>
      <c r="B230" s="20" t="s">
        <v>78</v>
      </c>
      <c r="C230" s="18" t="s">
        <v>55</v>
      </c>
      <c r="D230" s="18">
        <v>5</v>
      </c>
      <c r="E230" s="18">
        <v>0</v>
      </c>
      <c r="F230" s="18" t="s">
        <v>9</v>
      </c>
      <c r="G230" s="18">
        <v>29</v>
      </c>
      <c r="H230" s="22">
        <v>4.0054757015742641</v>
      </c>
      <c r="I230" s="22">
        <v>4.3778234086242298</v>
      </c>
      <c r="J230" s="22">
        <v>8.3832991101984948</v>
      </c>
      <c r="K230" s="22">
        <v>4.0054757015742641</v>
      </c>
      <c r="L230" s="22">
        <v>4.3778234086242298</v>
      </c>
      <c r="M230" s="22">
        <v>8.3832991101984948</v>
      </c>
      <c r="N230" s="22">
        <v>4.0191649555099245</v>
      </c>
      <c r="O230" s="22">
        <v>4.0246406570841886</v>
      </c>
      <c r="P230" s="22">
        <v>8.0438056125941131</v>
      </c>
      <c r="Q230" s="22" t="s">
        <v>8</v>
      </c>
      <c r="R230" s="22" t="s">
        <v>8</v>
      </c>
      <c r="S230" s="22" t="s">
        <v>8</v>
      </c>
      <c r="T230" s="30">
        <v>4</v>
      </c>
      <c r="U230" s="30">
        <v>16</v>
      </c>
      <c r="V230" s="20" t="s">
        <v>1</v>
      </c>
      <c r="W230" s="20">
        <v>5</v>
      </c>
      <c r="X230" s="20">
        <v>2</v>
      </c>
      <c r="Y230" s="5">
        <v>1</v>
      </c>
      <c r="Z230" s="24">
        <v>4</v>
      </c>
      <c r="AA230" s="23">
        <f t="shared" si="9"/>
        <v>1</v>
      </c>
      <c r="AB230" s="15">
        <v>1</v>
      </c>
      <c r="AC230" s="15">
        <v>0.875</v>
      </c>
      <c r="AD230" s="15">
        <v>0.625</v>
      </c>
      <c r="AE230" s="15">
        <v>0.83</v>
      </c>
      <c r="AF230" s="20">
        <v>20</v>
      </c>
      <c r="AG230" s="20">
        <v>8.3000000000000007</v>
      </c>
      <c r="AH230" s="24">
        <v>24</v>
      </c>
      <c r="AI230" s="23">
        <f t="shared" si="10"/>
        <v>1</v>
      </c>
      <c r="AJ230" s="17">
        <v>13</v>
      </c>
      <c r="AK230" s="17">
        <v>11.75</v>
      </c>
      <c r="AL230" s="14">
        <v>24.75</v>
      </c>
      <c r="AM230" s="23" cm="1">
        <f t="array" ref="AM230">IF(OR(AN230:AZ230=""),"BLANK",IF(AND(AN230:AZ230&lt;9999999),1,IF(AND(AN230:AZ230="NA"),3,2)))</f>
        <v>1</v>
      </c>
      <c r="AN230" s="20">
        <v>8</v>
      </c>
      <c r="AO230" s="26">
        <v>2</v>
      </c>
      <c r="AP230" s="15">
        <v>3</v>
      </c>
      <c r="AQ230" s="15">
        <v>5.5</v>
      </c>
      <c r="AR230" s="15">
        <v>7.75</v>
      </c>
      <c r="AS230" s="26">
        <v>5048</v>
      </c>
      <c r="AT230" s="26">
        <v>9965.5</v>
      </c>
      <c r="AU230" s="26">
        <v>8876.5</v>
      </c>
      <c r="AV230" s="26">
        <v>6093.75</v>
      </c>
      <c r="AW230" s="26">
        <v>0</v>
      </c>
      <c r="AX230" s="26">
        <v>0</v>
      </c>
      <c r="AY230" s="26">
        <v>3278.6833333333002</v>
      </c>
      <c r="AZ230" s="26">
        <v>456.31111111109999</v>
      </c>
      <c r="BA230" s="23">
        <f t="shared" si="11"/>
        <v>1</v>
      </c>
      <c r="BB230" s="24">
        <v>36</v>
      </c>
    </row>
    <row r="231" spans="1:54" x14ac:dyDescent="0.2">
      <c r="A231" s="5">
        <v>2117</v>
      </c>
      <c r="B231" s="20" t="s">
        <v>68</v>
      </c>
      <c r="C231" s="18" t="s">
        <v>54</v>
      </c>
      <c r="D231" s="18">
        <v>5</v>
      </c>
      <c r="E231" s="18">
        <v>0</v>
      </c>
      <c r="F231" s="18" t="s">
        <v>9</v>
      </c>
      <c r="G231" s="18">
        <v>30</v>
      </c>
      <c r="H231" s="22">
        <v>3.6030116358658453</v>
      </c>
      <c r="I231" s="22">
        <v>4.7145790554414786</v>
      </c>
      <c r="J231" s="22">
        <v>8.3175906913073234</v>
      </c>
      <c r="K231" s="22">
        <v>3.6030116358658453</v>
      </c>
      <c r="L231" s="22">
        <v>4.7173169062286107</v>
      </c>
      <c r="M231" s="22">
        <v>8.3203285420944564</v>
      </c>
      <c r="N231" s="22">
        <v>3.5838466803559208</v>
      </c>
      <c r="O231" s="22">
        <v>4.6187542778918553</v>
      </c>
      <c r="P231" s="22">
        <v>8.2026009582477748</v>
      </c>
      <c r="Q231" s="22">
        <v>3.5838466803559208</v>
      </c>
      <c r="R231" s="22">
        <v>5.4537987679671458</v>
      </c>
      <c r="S231" s="22">
        <v>9.037645448323067</v>
      </c>
      <c r="T231" s="30">
        <v>2</v>
      </c>
      <c r="U231" s="30">
        <v>12</v>
      </c>
      <c r="V231" s="20" t="s">
        <v>1</v>
      </c>
      <c r="W231" s="20">
        <v>5</v>
      </c>
      <c r="X231" s="20">
        <v>2</v>
      </c>
      <c r="Y231" s="5">
        <v>1</v>
      </c>
      <c r="Z231" s="24">
        <v>4</v>
      </c>
      <c r="AA231" s="23">
        <f t="shared" si="9"/>
        <v>1</v>
      </c>
      <c r="AB231" s="15">
        <v>1</v>
      </c>
      <c r="AC231" s="15">
        <v>0.5</v>
      </c>
      <c r="AD231" s="15">
        <v>0.375</v>
      </c>
      <c r="AE231" s="15">
        <v>0.62</v>
      </c>
      <c r="AF231" s="20">
        <v>15</v>
      </c>
      <c r="AG231" s="20">
        <v>2.35</v>
      </c>
      <c r="AH231" s="24">
        <v>24</v>
      </c>
      <c r="AI231" s="23">
        <f t="shared" si="10"/>
        <v>1</v>
      </c>
      <c r="AJ231" s="17">
        <v>5.75</v>
      </c>
      <c r="AK231" s="17">
        <v>6.5</v>
      </c>
      <c r="AL231" s="14">
        <v>12.25</v>
      </c>
      <c r="AM231" s="23" cm="1">
        <f t="array" ref="AM231">IF(OR(AN231:AZ231=""),"BLANK",IF(AND(AN231:AZ231&lt;9999999),1,IF(AND(AN231:AZ231="NA"),3,2)))</f>
        <v>1</v>
      </c>
      <c r="AN231" s="20">
        <v>9</v>
      </c>
      <c r="AO231" s="26">
        <v>2</v>
      </c>
      <c r="AP231" s="15">
        <v>3</v>
      </c>
      <c r="AQ231" s="15">
        <v>5.25</v>
      </c>
      <c r="AR231" s="15">
        <v>7.5</v>
      </c>
      <c r="AS231" s="26">
        <v>0</v>
      </c>
      <c r="AT231" s="26">
        <v>9117</v>
      </c>
      <c r="AU231" s="26">
        <v>14270.25</v>
      </c>
      <c r="AV231" s="26">
        <v>10286</v>
      </c>
      <c r="AW231" s="26">
        <v>576</v>
      </c>
      <c r="AX231" s="26">
        <v>0</v>
      </c>
      <c r="AY231" s="26">
        <v>10465.833333333299</v>
      </c>
      <c r="AZ231" s="26">
        <v>2618.8020833332998</v>
      </c>
      <c r="BA231" s="23">
        <f t="shared" si="11"/>
        <v>1</v>
      </c>
      <c r="BB231" s="24">
        <v>27</v>
      </c>
    </row>
    <row r="232" spans="1:54" x14ac:dyDescent="0.2">
      <c r="A232" s="5">
        <v>2127</v>
      </c>
      <c r="B232" s="20" t="s">
        <v>82</v>
      </c>
      <c r="C232" s="18" t="s">
        <v>54</v>
      </c>
      <c r="D232" s="18">
        <v>5</v>
      </c>
      <c r="E232" s="18">
        <v>0</v>
      </c>
      <c r="F232" s="18" t="s">
        <v>9</v>
      </c>
      <c r="G232" s="18">
        <v>27</v>
      </c>
      <c r="H232" s="22">
        <v>4.2245037645448322</v>
      </c>
      <c r="I232" s="22" t="s">
        <v>8</v>
      </c>
      <c r="J232" s="22" t="s">
        <v>8</v>
      </c>
      <c r="K232" s="22">
        <v>4.2245037645448322</v>
      </c>
      <c r="L232" s="22" t="s">
        <v>8</v>
      </c>
      <c r="M232" s="22" t="s">
        <v>8</v>
      </c>
      <c r="N232" s="22">
        <v>4.26009582477755</v>
      </c>
      <c r="O232" s="22" t="s">
        <v>8</v>
      </c>
      <c r="P232" s="22" t="s">
        <v>8</v>
      </c>
      <c r="Q232" s="22" t="s">
        <v>8</v>
      </c>
      <c r="R232" s="22" t="s">
        <v>8</v>
      </c>
      <c r="S232" s="22" t="s">
        <v>8</v>
      </c>
      <c r="T232" s="30" t="s">
        <v>8</v>
      </c>
      <c r="U232" s="30" t="s">
        <v>8</v>
      </c>
      <c r="V232" s="20" t="s">
        <v>1</v>
      </c>
      <c r="W232" s="20">
        <v>5</v>
      </c>
      <c r="X232" s="20">
        <v>2</v>
      </c>
      <c r="Y232" s="5">
        <v>1</v>
      </c>
      <c r="Z232" s="24">
        <v>4</v>
      </c>
      <c r="AA232" s="23">
        <f t="shared" si="9"/>
        <v>2</v>
      </c>
      <c r="AB232" s="15">
        <v>0.875</v>
      </c>
      <c r="AC232" s="15">
        <v>0.875</v>
      </c>
      <c r="AD232" s="15">
        <v>0.625</v>
      </c>
      <c r="AE232" s="15">
        <v>0.79</v>
      </c>
      <c r="AF232" s="20">
        <v>19</v>
      </c>
      <c r="AG232" s="20" t="s">
        <v>8</v>
      </c>
      <c r="AH232" s="24">
        <v>24</v>
      </c>
      <c r="AI232" s="23">
        <f t="shared" si="10"/>
        <v>1</v>
      </c>
      <c r="AJ232" s="17">
        <v>5</v>
      </c>
      <c r="AK232" s="17">
        <v>5.75</v>
      </c>
      <c r="AL232" s="14">
        <v>10.75</v>
      </c>
      <c r="AM232" s="23" cm="1">
        <f t="array" ref="AM232">IF(OR(AN232:AZ232=""),"BLANK",IF(AND(AN232:AZ232&lt;9999999),1,IF(AND(AN232:AZ232="NA"),3,2)))</f>
        <v>1</v>
      </c>
      <c r="AN232" s="20">
        <v>6</v>
      </c>
      <c r="AO232" s="26">
        <v>2</v>
      </c>
      <c r="AP232" s="15">
        <v>3.5</v>
      </c>
      <c r="AQ232" s="15">
        <v>6.75</v>
      </c>
      <c r="AR232" s="15">
        <v>7.25</v>
      </c>
      <c r="AS232" s="26">
        <v>2631.5</v>
      </c>
      <c r="AT232" s="26">
        <v>3005.5</v>
      </c>
      <c r="AU232" s="26">
        <v>6524</v>
      </c>
      <c r="AV232" s="26">
        <v>20142.75</v>
      </c>
      <c r="AW232" s="26">
        <v>0</v>
      </c>
      <c r="AX232" s="26">
        <v>552.83333333329995</v>
      </c>
      <c r="AY232" s="26">
        <v>16309.677777777801</v>
      </c>
      <c r="AZ232" s="26">
        <v>2031.3041666667</v>
      </c>
      <c r="BA232" s="23">
        <f t="shared" si="11"/>
        <v>3</v>
      </c>
      <c r="BB232" s="24" t="s">
        <v>8</v>
      </c>
    </row>
    <row r="233" spans="1:54" x14ac:dyDescent="0.2">
      <c r="A233" s="5">
        <v>2133</v>
      </c>
      <c r="B233" s="20" t="s">
        <v>68</v>
      </c>
      <c r="C233" s="18" t="s">
        <v>54</v>
      </c>
      <c r="D233" s="18">
        <v>2</v>
      </c>
      <c r="E233" s="18">
        <v>0</v>
      </c>
      <c r="F233" s="18" t="s">
        <v>9</v>
      </c>
      <c r="G233" s="18">
        <v>26</v>
      </c>
      <c r="H233" s="22">
        <v>4.4325804243668721</v>
      </c>
      <c r="I233" s="22" t="s">
        <v>8</v>
      </c>
      <c r="J233" s="22" t="s">
        <v>8</v>
      </c>
      <c r="K233" s="22" t="s">
        <v>8</v>
      </c>
      <c r="L233" s="22" t="s">
        <v>8</v>
      </c>
      <c r="M233" s="22" t="s">
        <v>8</v>
      </c>
      <c r="N233" s="22">
        <v>4.2491444216290208</v>
      </c>
      <c r="O233" s="22" t="s">
        <v>8</v>
      </c>
      <c r="P233" s="22" t="s">
        <v>8</v>
      </c>
      <c r="Q233" s="22" t="s">
        <v>8</v>
      </c>
      <c r="R233" s="22" t="s">
        <v>8</v>
      </c>
      <c r="S233" s="22" t="s">
        <v>8</v>
      </c>
      <c r="T233" s="30" t="s">
        <v>8</v>
      </c>
      <c r="U233" s="30" t="s">
        <v>8</v>
      </c>
      <c r="V233" s="20" t="s">
        <v>1</v>
      </c>
      <c r="W233" s="20">
        <v>5</v>
      </c>
      <c r="X233" s="20">
        <v>2</v>
      </c>
      <c r="Y233" s="5">
        <v>1</v>
      </c>
      <c r="Z233" s="24">
        <v>4</v>
      </c>
      <c r="AA233" s="23">
        <f t="shared" si="9"/>
        <v>1</v>
      </c>
      <c r="AB233" s="15">
        <v>0.375</v>
      </c>
      <c r="AC233" s="15">
        <v>0.375</v>
      </c>
      <c r="AD233" s="15">
        <v>0.625</v>
      </c>
      <c r="AE233" s="15">
        <v>0.46</v>
      </c>
      <c r="AF233" s="20">
        <v>11</v>
      </c>
      <c r="AG233" s="20">
        <v>2.0499999999999998</v>
      </c>
      <c r="AH233" s="24">
        <v>24</v>
      </c>
      <c r="AI233" s="23">
        <f t="shared" si="10"/>
        <v>1</v>
      </c>
      <c r="AJ233" s="17">
        <v>1.25</v>
      </c>
      <c r="AK233" s="17">
        <v>3</v>
      </c>
      <c r="AL233" s="14">
        <v>4.25</v>
      </c>
      <c r="AM233" s="23" cm="1">
        <f t="array" ref="AM233">IF(OR(AN233:AZ233=""),"BLANK",IF(AND(AN233:AZ233&lt;9999999),1,IF(AND(AN233:AZ233="NA"),3,2)))</f>
        <v>3</v>
      </c>
      <c r="AN233" s="18" t="s">
        <v>8</v>
      </c>
      <c r="AO233" s="32" t="s">
        <v>8</v>
      </c>
      <c r="AP233" s="17" t="s">
        <v>8</v>
      </c>
      <c r="AQ233" s="17" t="s">
        <v>8</v>
      </c>
      <c r="AR233" s="17" t="s">
        <v>8</v>
      </c>
      <c r="AS233" s="32" t="s">
        <v>8</v>
      </c>
      <c r="AT233" s="32" t="s">
        <v>8</v>
      </c>
      <c r="AU233" s="32" t="s">
        <v>8</v>
      </c>
      <c r="AV233" s="32" t="s">
        <v>8</v>
      </c>
      <c r="AW233" s="32" t="s">
        <v>8</v>
      </c>
      <c r="AX233" s="32" t="s">
        <v>8</v>
      </c>
      <c r="AY233" s="32" t="s">
        <v>8</v>
      </c>
      <c r="AZ233" s="32" t="s">
        <v>8</v>
      </c>
      <c r="BA233" s="23">
        <f t="shared" si="11"/>
        <v>1</v>
      </c>
      <c r="BB233" s="24">
        <v>14</v>
      </c>
    </row>
    <row r="234" spans="1:54" x14ac:dyDescent="0.2">
      <c r="A234" s="5">
        <v>2172</v>
      </c>
      <c r="B234" s="20" t="s">
        <v>77</v>
      </c>
      <c r="C234" s="18" t="s">
        <v>54</v>
      </c>
      <c r="D234" s="18">
        <v>5</v>
      </c>
      <c r="E234" s="18">
        <v>1</v>
      </c>
      <c r="F234" s="18" t="s">
        <v>9</v>
      </c>
      <c r="G234" s="18">
        <v>30</v>
      </c>
      <c r="H234" s="22">
        <v>3.9835728952772076</v>
      </c>
      <c r="I234" s="22">
        <v>4.2026009582477757</v>
      </c>
      <c r="J234" s="22">
        <v>8.1861738535249824</v>
      </c>
      <c r="K234" s="22">
        <v>3.9835728952772076</v>
      </c>
      <c r="L234" s="22">
        <v>4.2026009582477757</v>
      </c>
      <c r="M234" s="22">
        <v>8.1861738535249824</v>
      </c>
      <c r="N234" s="22">
        <v>4.046543463381246</v>
      </c>
      <c r="O234" s="22">
        <v>3.7946611909650922</v>
      </c>
      <c r="P234" s="22">
        <v>7.8412046543463383</v>
      </c>
      <c r="Q234" s="22" t="s">
        <v>8</v>
      </c>
      <c r="R234" s="22" t="s">
        <v>8</v>
      </c>
      <c r="S234" s="22" t="s">
        <v>8</v>
      </c>
      <c r="T234" s="30">
        <v>4</v>
      </c>
      <c r="U234" s="30">
        <v>16</v>
      </c>
      <c r="V234" s="20" t="s">
        <v>1</v>
      </c>
      <c r="W234" s="20">
        <v>5</v>
      </c>
      <c r="X234" s="20">
        <v>2</v>
      </c>
      <c r="Y234" s="5">
        <v>1</v>
      </c>
      <c r="Z234" s="24">
        <v>4</v>
      </c>
      <c r="AA234" s="23">
        <f t="shared" si="9"/>
        <v>1</v>
      </c>
      <c r="AB234" s="15">
        <v>1</v>
      </c>
      <c r="AC234" s="15">
        <v>1</v>
      </c>
      <c r="AD234" s="15">
        <v>0.875</v>
      </c>
      <c r="AE234" s="15">
        <v>0.96</v>
      </c>
      <c r="AF234" s="20">
        <v>23</v>
      </c>
      <c r="AG234" s="20">
        <v>8.6999999999999993</v>
      </c>
      <c r="AH234" s="24">
        <v>24</v>
      </c>
      <c r="AI234" s="23">
        <f t="shared" si="10"/>
        <v>1</v>
      </c>
      <c r="AJ234" s="17">
        <v>13</v>
      </c>
      <c r="AK234" s="17">
        <v>10.75</v>
      </c>
      <c r="AL234" s="14">
        <v>23.75</v>
      </c>
      <c r="AM234" s="23" cm="1">
        <f t="array" ref="AM234">IF(OR(AN234:AZ234=""),"BLANK",IF(AND(AN234:AZ234&lt;9999999),1,IF(AND(AN234:AZ234="NA"),3,2)))</f>
        <v>1</v>
      </c>
      <c r="AN234" s="20">
        <v>9</v>
      </c>
      <c r="AO234" s="26">
        <v>2</v>
      </c>
      <c r="AP234" s="15">
        <v>3</v>
      </c>
      <c r="AQ234" s="15">
        <v>4.25</v>
      </c>
      <c r="AR234" s="15">
        <v>7.25</v>
      </c>
      <c r="AS234" s="26">
        <v>733</v>
      </c>
      <c r="AT234" s="26">
        <v>2140.5</v>
      </c>
      <c r="AU234" s="26">
        <v>2479.75</v>
      </c>
      <c r="AV234" s="26">
        <v>3451.75</v>
      </c>
      <c r="AW234" s="26">
        <v>29.25</v>
      </c>
      <c r="AX234" s="26">
        <v>0</v>
      </c>
      <c r="AY234" s="26">
        <v>216.36250000000001</v>
      </c>
      <c r="AZ234" s="26">
        <v>478.56011904759998</v>
      </c>
      <c r="BA234" s="23">
        <f t="shared" si="11"/>
        <v>1</v>
      </c>
      <c r="BB234" s="24">
        <v>40</v>
      </c>
    </row>
    <row r="235" spans="1:54" x14ac:dyDescent="0.2">
      <c r="A235" s="5">
        <v>2206</v>
      </c>
      <c r="B235" s="20" t="s">
        <v>67</v>
      </c>
      <c r="C235" s="18" t="s">
        <v>55</v>
      </c>
      <c r="D235" s="18">
        <v>5</v>
      </c>
      <c r="E235" s="18">
        <v>0</v>
      </c>
      <c r="F235" s="18" t="s">
        <v>9</v>
      </c>
      <c r="G235" s="18">
        <v>30</v>
      </c>
      <c r="H235" s="22">
        <v>4.1204654346338128</v>
      </c>
      <c r="I235" s="22">
        <v>4.5119780971937029</v>
      </c>
      <c r="J235" s="22">
        <v>8.6324435318275157</v>
      </c>
      <c r="K235" s="22">
        <v>4.1779603011635862</v>
      </c>
      <c r="L235" s="22">
        <v>4.4544832306639286</v>
      </c>
      <c r="M235" s="22">
        <v>8.6324435318275157</v>
      </c>
      <c r="N235" s="22">
        <v>3.9890485968514717</v>
      </c>
      <c r="O235" s="22">
        <v>4.4900752908966464</v>
      </c>
      <c r="P235" s="22">
        <v>8.4791238877481181</v>
      </c>
      <c r="Q235" s="22" t="s">
        <v>8</v>
      </c>
      <c r="R235" s="22" t="s">
        <v>8</v>
      </c>
      <c r="S235" s="22" t="s">
        <v>8</v>
      </c>
      <c r="T235" s="30">
        <v>4</v>
      </c>
      <c r="U235" s="30">
        <v>16</v>
      </c>
      <c r="V235" s="20" t="s">
        <v>1</v>
      </c>
      <c r="W235" s="20">
        <v>5</v>
      </c>
      <c r="X235" s="20">
        <v>2</v>
      </c>
      <c r="Y235" s="5">
        <v>1</v>
      </c>
      <c r="Z235" s="24">
        <v>4</v>
      </c>
      <c r="AA235" s="23">
        <f t="shared" si="9"/>
        <v>2</v>
      </c>
      <c r="AB235" s="15">
        <v>0.875</v>
      </c>
      <c r="AC235" s="15">
        <v>1</v>
      </c>
      <c r="AD235" s="15">
        <v>0.5</v>
      </c>
      <c r="AE235" s="15">
        <v>0.79</v>
      </c>
      <c r="AF235" s="20">
        <v>19</v>
      </c>
      <c r="AG235" s="20" t="s">
        <v>8</v>
      </c>
      <c r="AH235" s="24">
        <v>24</v>
      </c>
      <c r="AI235" s="23">
        <f t="shared" si="10"/>
        <v>1</v>
      </c>
      <c r="AJ235" s="17">
        <v>6.75</v>
      </c>
      <c r="AK235" s="17">
        <v>4.5</v>
      </c>
      <c r="AL235" s="14">
        <v>11.25</v>
      </c>
      <c r="AM235" s="23" cm="1">
        <f t="array" ref="AM235">IF(OR(AN235:AZ235=""),"BLANK",IF(AND(AN235:AZ235&lt;9999999),1,IF(AND(AN235:AZ235="NA"),3,2)))</f>
        <v>1</v>
      </c>
      <c r="AN235" s="20">
        <v>10</v>
      </c>
      <c r="AO235" s="26">
        <v>2</v>
      </c>
      <c r="AP235" s="15">
        <v>3</v>
      </c>
      <c r="AQ235" s="15">
        <v>4</v>
      </c>
      <c r="AR235" s="15">
        <v>7.25</v>
      </c>
      <c r="AS235" s="26">
        <v>3291</v>
      </c>
      <c r="AT235" s="26">
        <v>4739</v>
      </c>
      <c r="AU235" s="26">
        <v>3242.75</v>
      </c>
      <c r="AV235" s="26">
        <v>8684.25</v>
      </c>
      <c r="AW235" s="26">
        <v>12.75</v>
      </c>
      <c r="AX235" s="26">
        <v>0</v>
      </c>
      <c r="AY235" s="26">
        <v>0</v>
      </c>
      <c r="AZ235" s="26">
        <v>369.59166666670001</v>
      </c>
      <c r="BA235" s="23">
        <f t="shared" si="11"/>
        <v>1</v>
      </c>
      <c r="BB235" s="24">
        <v>35</v>
      </c>
    </row>
    <row r="236" spans="1:54" x14ac:dyDescent="0.2">
      <c r="A236" s="5">
        <v>2220</v>
      </c>
      <c r="B236" s="20" t="s">
        <v>73</v>
      </c>
      <c r="C236" s="18" t="s">
        <v>54</v>
      </c>
      <c r="D236" s="18">
        <v>5</v>
      </c>
      <c r="E236" s="18">
        <v>0</v>
      </c>
      <c r="F236" s="18" t="s">
        <v>9</v>
      </c>
      <c r="G236" s="18">
        <v>30</v>
      </c>
      <c r="H236" s="22">
        <v>4.5557837097878169</v>
      </c>
      <c r="I236" s="22" t="s">
        <v>8</v>
      </c>
      <c r="J236" s="22" t="s">
        <v>8</v>
      </c>
      <c r="K236" s="22">
        <v>4.5557837097878169</v>
      </c>
      <c r="L236" s="22" t="s">
        <v>8</v>
      </c>
      <c r="M236" s="22" t="s">
        <v>8</v>
      </c>
      <c r="N236" s="22">
        <v>4.4462696783025324</v>
      </c>
      <c r="O236" s="22" t="s">
        <v>8</v>
      </c>
      <c r="P236" s="22" t="s">
        <v>8</v>
      </c>
      <c r="Q236" s="22" t="s">
        <v>8</v>
      </c>
      <c r="R236" s="22" t="s">
        <v>8</v>
      </c>
      <c r="S236" s="22" t="s">
        <v>8</v>
      </c>
      <c r="T236" s="30">
        <v>7</v>
      </c>
      <c r="U236" s="30">
        <v>21</v>
      </c>
      <c r="V236" s="20" t="s">
        <v>1</v>
      </c>
      <c r="W236" s="20">
        <v>5</v>
      </c>
      <c r="X236" s="20">
        <v>2</v>
      </c>
      <c r="Y236" s="5">
        <v>1</v>
      </c>
      <c r="Z236" s="24">
        <v>4</v>
      </c>
      <c r="AA236" s="23">
        <f t="shared" si="9"/>
        <v>1</v>
      </c>
      <c r="AB236" s="15">
        <v>1</v>
      </c>
      <c r="AC236" s="15">
        <v>1</v>
      </c>
      <c r="AD236" s="15">
        <v>1</v>
      </c>
      <c r="AE236" s="15">
        <v>1</v>
      </c>
      <c r="AF236" s="20">
        <v>24</v>
      </c>
      <c r="AG236" s="20">
        <v>8.02</v>
      </c>
      <c r="AH236" s="24">
        <v>24</v>
      </c>
      <c r="AI236" s="23">
        <f t="shared" si="10"/>
        <v>1</v>
      </c>
      <c r="AJ236" s="17">
        <v>14</v>
      </c>
      <c r="AK236" s="17">
        <v>14</v>
      </c>
      <c r="AL236" s="14">
        <v>28</v>
      </c>
      <c r="AM236" s="23" cm="1">
        <f t="array" ref="AM236">IF(OR(AN236:AZ236=""),"BLANK",IF(AND(AN236:AZ236&lt;9999999),1,IF(AND(AN236:AZ236="NA"),3,2)))</f>
        <v>1</v>
      </c>
      <c r="AN236" s="20">
        <v>12</v>
      </c>
      <c r="AO236" s="26">
        <v>2</v>
      </c>
      <c r="AP236" s="15">
        <v>3</v>
      </c>
      <c r="AQ236" s="15">
        <v>4</v>
      </c>
      <c r="AR236" s="15">
        <v>5</v>
      </c>
      <c r="AS236" s="26">
        <v>2249.5</v>
      </c>
      <c r="AT236" s="26">
        <v>4347</v>
      </c>
      <c r="AU236" s="26">
        <v>16909</v>
      </c>
      <c r="AV236" s="26">
        <v>37601.25</v>
      </c>
      <c r="AW236" s="26">
        <v>0</v>
      </c>
      <c r="AX236" s="26">
        <v>0</v>
      </c>
      <c r="AY236" s="26">
        <v>334.1875</v>
      </c>
      <c r="AZ236" s="26">
        <v>0</v>
      </c>
      <c r="BA236" s="23">
        <f t="shared" si="11"/>
        <v>1</v>
      </c>
      <c r="BB236" s="24">
        <v>41</v>
      </c>
    </row>
    <row r="237" spans="1:54" x14ac:dyDescent="0.2">
      <c r="A237" s="5">
        <v>2248</v>
      </c>
      <c r="B237" s="20" t="s">
        <v>76</v>
      </c>
      <c r="C237" s="18" t="s">
        <v>54</v>
      </c>
      <c r="D237" s="18">
        <v>5</v>
      </c>
      <c r="E237" s="18">
        <v>0</v>
      </c>
      <c r="F237" s="18" t="s">
        <v>9</v>
      </c>
      <c r="G237" s="18">
        <v>30</v>
      </c>
      <c r="H237" s="22">
        <v>4.2327173169062284</v>
      </c>
      <c r="I237" s="22">
        <v>4.0164271047227924</v>
      </c>
      <c r="J237" s="22">
        <v>8.2491444216290208</v>
      </c>
      <c r="K237" s="22">
        <v>4.2327173169062284</v>
      </c>
      <c r="L237" s="22">
        <v>4.2381930184804926</v>
      </c>
      <c r="M237" s="22">
        <v>8.470910335386721</v>
      </c>
      <c r="N237" s="22">
        <v>4.1861738535249833</v>
      </c>
      <c r="O237" s="22">
        <v>3.7782340862422998</v>
      </c>
      <c r="P237" s="22">
        <v>7.9644079397672831</v>
      </c>
      <c r="Q237" s="22" t="s">
        <v>8</v>
      </c>
      <c r="R237" s="22" t="s">
        <v>8</v>
      </c>
      <c r="S237" s="22" t="s">
        <v>8</v>
      </c>
      <c r="T237" s="30">
        <v>7</v>
      </c>
      <c r="U237" s="30">
        <v>21</v>
      </c>
      <c r="V237" s="20" t="s">
        <v>1</v>
      </c>
      <c r="W237" s="20">
        <v>5</v>
      </c>
      <c r="X237" s="20">
        <v>2</v>
      </c>
      <c r="Y237" s="5">
        <v>1</v>
      </c>
      <c r="Z237" s="24">
        <v>4</v>
      </c>
      <c r="AA237" s="23">
        <f t="shared" si="9"/>
        <v>1</v>
      </c>
      <c r="AB237" s="15">
        <v>1</v>
      </c>
      <c r="AC237" s="15">
        <v>0.75</v>
      </c>
      <c r="AD237" s="15">
        <v>0.75</v>
      </c>
      <c r="AE237" s="15">
        <v>0.83</v>
      </c>
      <c r="AF237" s="20">
        <v>20</v>
      </c>
      <c r="AG237" s="20">
        <v>6.53</v>
      </c>
      <c r="AH237" s="24">
        <v>24</v>
      </c>
      <c r="AI237" s="23">
        <f t="shared" si="10"/>
        <v>1</v>
      </c>
      <c r="AJ237" s="17">
        <v>12</v>
      </c>
      <c r="AK237" s="17">
        <v>9</v>
      </c>
      <c r="AL237" s="14">
        <v>21</v>
      </c>
      <c r="AM237" s="23" cm="1">
        <f t="array" ref="AM237">IF(OR(AN237:AZ237=""),"BLANK",IF(AND(AN237:AZ237&lt;9999999),1,IF(AND(AN237:AZ237="NA"),3,2)))</f>
        <v>1</v>
      </c>
      <c r="AN237" s="20">
        <v>11</v>
      </c>
      <c r="AO237" s="26">
        <v>2</v>
      </c>
      <c r="AP237" s="15">
        <v>3</v>
      </c>
      <c r="AQ237" s="15">
        <v>5.25</v>
      </c>
      <c r="AR237" s="15">
        <v>5</v>
      </c>
      <c r="AS237" s="26">
        <v>3969</v>
      </c>
      <c r="AT237" s="26">
        <v>4196</v>
      </c>
      <c r="AU237" s="26">
        <v>10862.75</v>
      </c>
      <c r="AV237" s="26">
        <v>12956.25</v>
      </c>
      <c r="AW237" s="26">
        <v>0</v>
      </c>
      <c r="AX237" s="26">
        <v>0</v>
      </c>
      <c r="AY237" s="26">
        <v>827.73611111109994</v>
      </c>
      <c r="AZ237" s="26">
        <v>0</v>
      </c>
      <c r="BA237" s="23">
        <f t="shared" si="11"/>
        <v>1</v>
      </c>
      <c r="BB237" s="24">
        <v>38</v>
      </c>
    </row>
    <row r="238" spans="1:54" x14ac:dyDescent="0.2">
      <c r="A238" s="5">
        <v>2440</v>
      </c>
      <c r="B238" s="20" t="s">
        <v>63</v>
      </c>
      <c r="C238" s="18" t="s">
        <v>55</v>
      </c>
      <c r="D238" s="18">
        <v>5</v>
      </c>
      <c r="E238" s="18">
        <v>0</v>
      </c>
      <c r="F238" s="18" t="s">
        <v>9</v>
      </c>
      <c r="G238" s="18">
        <v>27</v>
      </c>
      <c r="H238" s="17">
        <v>3.9835728952772076</v>
      </c>
      <c r="I238" s="17">
        <v>4.2874743326488707</v>
      </c>
      <c r="J238" s="17">
        <v>8.2710472279260774</v>
      </c>
      <c r="K238" s="17">
        <v>3.9835728952772076</v>
      </c>
      <c r="L238" s="17">
        <v>4.2874743326488707</v>
      </c>
      <c r="M238" s="17">
        <v>8.2710472279260774</v>
      </c>
      <c r="N238" s="17">
        <v>4.0821355236139629</v>
      </c>
      <c r="O238" s="17">
        <v>4.128678986995209</v>
      </c>
      <c r="P238" s="17">
        <v>8.2108145106091719</v>
      </c>
      <c r="Q238" s="17">
        <v>5.1498973305954827</v>
      </c>
      <c r="R238" s="17">
        <v>3.4715947980835042</v>
      </c>
      <c r="S238" s="17">
        <v>8.6214921286789874</v>
      </c>
      <c r="T238" s="30">
        <v>3</v>
      </c>
      <c r="U238" s="30">
        <v>14</v>
      </c>
      <c r="V238" s="20" t="s">
        <v>1</v>
      </c>
      <c r="W238" s="20">
        <v>5</v>
      </c>
      <c r="X238" s="20">
        <v>2</v>
      </c>
      <c r="Y238" s="5">
        <v>1</v>
      </c>
      <c r="Z238" s="24">
        <v>4</v>
      </c>
      <c r="AA238" s="23">
        <f t="shared" si="9"/>
        <v>1</v>
      </c>
      <c r="AB238" s="15">
        <v>0.875</v>
      </c>
      <c r="AC238" s="15">
        <v>0.875</v>
      </c>
      <c r="AD238" s="15">
        <v>0.625</v>
      </c>
      <c r="AE238" s="15">
        <v>0.79200000000000004</v>
      </c>
      <c r="AF238" s="20">
        <v>19</v>
      </c>
      <c r="AG238" s="20">
        <v>6.68</v>
      </c>
      <c r="AH238" s="24">
        <v>24</v>
      </c>
      <c r="AI238" s="23">
        <f t="shared" si="10"/>
        <v>1</v>
      </c>
      <c r="AJ238" s="17">
        <v>10.75</v>
      </c>
      <c r="AK238" s="17">
        <v>10.75</v>
      </c>
      <c r="AL238" s="14">
        <v>21.5</v>
      </c>
      <c r="AM238" s="23" cm="1">
        <f t="array" ref="AM238">IF(OR(AN238:AZ238=""),"BLANK",IF(AND(AN238:AZ238&lt;9999999),1,IF(AND(AN238:AZ238="NA"),3,2)))</f>
        <v>1</v>
      </c>
      <c r="AN238" s="20">
        <v>8</v>
      </c>
      <c r="AO238" s="26">
        <v>2</v>
      </c>
      <c r="AP238" s="15">
        <v>3</v>
      </c>
      <c r="AQ238" s="15">
        <v>5.75</v>
      </c>
      <c r="AR238" s="15">
        <v>7.5</v>
      </c>
      <c r="AS238" s="26">
        <v>2139</v>
      </c>
      <c r="AT238" s="26">
        <v>6184</v>
      </c>
      <c r="AU238" s="26">
        <v>13839.75</v>
      </c>
      <c r="AV238" s="26">
        <v>10710.75</v>
      </c>
      <c r="AW238" s="26">
        <v>938.5</v>
      </c>
      <c r="AX238" s="26">
        <v>0</v>
      </c>
      <c r="AY238" s="26">
        <v>541.0277777778</v>
      </c>
      <c r="AZ238" s="26">
        <v>563.81666666670003</v>
      </c>
      <c r="BA238" s="23">
        <f t="shared" si="11"/>
        <v>1</v>
      </c>
      <c r="BB238" s="24">
        <v>37</v>
      </c>
    </row>
    <row r="239" spans="1:54" x14ac:dyDescent="0.2">
      <c r="A239" s="5">
        <v>2543</v>
      </c>
      <c r="B239" s="20" t="s">
        <v>74</v>
      </c>
      <c r="C239" s="18" t="s">
        <v>54</v>
      </c>
      <c r="D239" s="18">
        <v>5</v>
      </c>
      <c r="E239" s="18">
        <v>0</v>
      </c>
      <c r="F239" s="18" t="s">
        <v>9</v>
      </c>
      <c r="G239" s="18">
        <v>30</v>
      </c>
      <c r="H239" s="22">
        <v>3.8138261464750172</v>
      </c>
      <c r="I239" s="22" t="s">
        <v>8</v>
      </c>
      <c r="J239" s="22" t="s">
        <v>8</v>
      </c>
      <c r="K239" s="22">
        <v>6.6776180698151952</v>
      </c>
      <c r="L239" s="22" t="s">
        <v>8</v>
      </c>
      <c r="M239" s="22" t="s">
        <v>8</v>
      </c>
      <c r="N239" s="22" t="s">
        <v>8</v>
      </c>
      <c r="O239" s="22" t="s">
        <v>8</v>
      </c>
      <c r="P239" s="22" t="s">
        <v>8</v>
      </c>
      <c r="Q239" s="22">
        <v>4.4052019164955514</v>
      </c>
      <c r="R239" s="22" t="s">
        <v>8</v>
      </c>
      <c r="S239" s="22" t="s">
        <v>8</v>
      </c>
      <c r="T239" s="30">
        <v>3</v>
      </c>
      <c r="U239" s="30">
        <v>13.5</v>
      </c>
      <c r="V239" s="20" t="s">
        <v>1</v>
      </c>
      <c r="W239" s="20">
        <v>5</v>
      </c>
      <c r="X239" s="20">
        <v>2</v>
      </c>
      <c r="Y239" s="5">
        <v>1</v>
      </c>
      <c r="Z239" s="24">
        <v>4</v>
      </c>
      <c r="AA239" s="23">
        <f t="shared" si="9"/>
        <v>1</v>
      </c>
      <c r="AB239" s="15">
        <v>0.875</v>
      </c>
      <c r="AC239" s="15">
        <v>0.75</v>
      </c>
      <c r="AD239" s="15">
        <v>0.625</v>
      </c>
      <c r="AE239" s="15">
        <v>0.75</v>
      </c>
      <c r="AF239" s="20">
        <v>18</v>
      </c>
      <c r="AG239" s="20">
        <v>5.43</v>
      </c>
      <c r="AH239" s="24">
        <v>24</v>
      </c>
      <c r="AI239" s="23">
        <f t="shared" si="10"/>
        <v>1</v>
      </c>
      <c r="AJ239" s="17">
        <v>8.5</v>
      </c>
      <c r="AK239" s="17">
        <v>7.75</v>
      </c>
      <c r="AL239" s="14">
        <v>16.25</v>
      </c>
      <c r="AM239" s="23" cm="1">
        <f t="array" ref="AM239">IF(OR(AN239:AZ239=""),"BLANK",IF(AND(AN239:AZ239&lt;9999999),1,IF(AND(AN239:AZ239="NA"),3,2)))</f>
        <v>1</v>
      </c>
      <c r="AN239" s="20">
        <v>8</v>
      </c>
      <c r="AO239" s="26">
        <v>2</v>
      </c>
      <c r="AP239" s="15">
        <v>3.5</v>
      </c>
      <c r="AQ239" s="15">
        <v>6</v>
      </c>
      <c r="AR239" s="15">
        <v>6.5</v>
      </c>
      <c r="AS239" s="26">
        <v>4842.5</v>
      </c>
      <c r="AT239" s="26">
        <v>13446</v>
      </c>
      <c r="AU239" s="26">
        <v>8320.25</v>
      </c>
      <c r="AV239" s="26">
        <v>8948.5</v>
      </c>
      <c r="AW239" s="26">
        <v>336.75</v>
      </c>
      <c r="AX239" s="26">
        <v>2026.6666666666999</v>
      </c>
      <c r="AY239" s="26">
        <v>4245.7430555556002</v>
      </c>
      <c r="AZ239" s="26">
        <v>1388.3045454544999</v>
      </c>
      <c r="BA239" s="23">
        <f t="shared" si="11"/>
        <v>1</v>
      </c>
      <c r="BB239" s="24">
        <v>33</v>
      </c>
    </row>
    <row r="240" spans="1:54" x14ac:dyDescent="0.2">
      <c r="A240" s="5">
        <v>2561</v>
      </c>
      <c r="B240" s="20" t="s">
        <v>78</v>
      </c>
      <c r="C240" s="18" t="s">
        <v>55</v>
      </c>
      <c r="D240" s="18">
        <v>5</v>
      </c>
      <c r="E240" s="18">
        <v>0</v>
      </c>
      <c r="F240" s="18" t="s">
        <v>9</v>
      </c>
      <c r="G240" s="18">
        <v>30</v>
      </c>
      <c r="H240" s="22">
        <v>3.8631074606433948</v>
      </c>
      <c r="I240" s="22">
        <v>4.2929500342231348</v>
      </c>
      <c r="J240" s="22">
        <v>8.1560574948665305</v>
      </c>
      <c r="K240" s="22">
        <v>3.8631074606433948</v>
      </c>
      <c r="L240" s="22">
        <v>4.2929500342231348</v>
      </c>
      <c r="M240" s="22">
        <v>8.1560574948665305</v>
      </c>
      <c r="N240" s="22">
        <v>3.805612594113621</v>
      </c>
      <c r="O240" s="22">
        <v>4.3312799452429847</v>
      </c>
      <c r="P240" s="22">
        <v>8.1368925393566052</v>
      </c>
      <c r="Q240" s="22" t="s">
        <v>8</v>
      </c>
      <c r="R240" s="22" t="s">
        <v>8</v>
      </c>
      <c r="S240" s="22" t="s">
        <v>8</v>
      </c>
      <c r="T240" s="30">
        <v>3</v>
      </c>
      <c r="U240" s="30">
        <v>14</v>
      </c>
      <c r="V240" s="20" t="s">
        <v>1</v>
      </c>
      <c r="W240" s="20">
        <v>5</v>
      </c>
      <c r="X240" s="20">
        <v>2</v>
      </c>
      <c r="Y240" s="5">
        <v>1</v>
      </c>
      <c r="Z240" s="24">
        <v>4</v>
      </c>
      <c r="AA240" s="23">
        <f t="shared" si="9"/>
        <v>1</v>
      </c>
      <c r="AB240" s="15">
        <v>0.875</v>
      </c>
      <c r="AC240" s="15">
        <v>0.875</v>
      </c>
      <c r="AD240" s="15">
        <v>0.75</v>
      </c>
      <c r="AE240" s="15">
        <v>0.83299999999999996</v>
      </c>
      <c r="AF240" s="20">
        <v>20</v>
      </c>
      <c r="AG240" s="20">
        <v>6.6</v>
      </c>
      <c r="AH240" s="24">
        <v>24</v>
      </c>
      <c r="AI240" s="23">
        <f t="shared" si="10"/>
        <v>1</v>
      </c>
      <c r="AJ240" s="17">
        <v>9.75</v>
      </c>
      <c r="AK240" s="17">
        <v>12</v>
      </c>
      <c r="AL240" s="14">
        <v>21.75</v>
      </c>
      <c r="AM240" s="23" cm="1">
        <f t="array" ref="AM240">IF(OR(AN240:AZ240=""),"BLANK",IF(AND(AN240:AZ240&lt;9999999),1,IF(AND(AN240:AZ240="NA"),3,2)))</f>
        <v>1</v>
      </c>
      <c r="AN240" s="20">
        <v>8</v>
      </c>
      <c r="AO240" s="26">
        <v>2</v>
      </c>
      <c r="AP240" s="15">
        <v>3</v>
      </c>
      <c r="AQ240" s="15">
        <v>6.25</v>
      </c>
      <c r="AR240" s="15">
        <v>6.25</v>
      </c>
      <c r="AS240" s="26">
        <v>1304.5</v>
      </c>
      <c r="AT240" s="26">
        <v>1131.5</v>
      </c>
      <c r="AU240" s="26">
        <v>6556.75</v>
      </c>
      <c r="AV240" s="26">
        <v>20626</v>
      </c>
      <c r="AW240" s="26">
        <v>0</v>
      </c>
      <c r="AX240" s="26">
        <v>0</v>
      </c>
      <c r="AY240" s="26">
        <v>2135.6388888889001</v>
      </c>
      <c r="AZ240" s="26">
        <v>2060.7305555555999</v>
      </c>
      <c r="BA240" s="23">
        <f t="shared" si="11"/>
        <v>1</v>
      </c>
      <c r="BB240" s="24">
        <v>37</v>
      </c>
    </row>
    <row r="241" spans="1:54" x14ac:dyDescent="0.2">
      <c r="A241" s="5">
        <v>2743</v>
      </c>
      <c r="B241" s="20" t="s">
        <v>82</v>
      </c>
      <c r="C241" s="18" t="s">
        <v>55</v>
      </c>
      <c r="D241" s="18">
        <v>5</v>
      </c>
      <c r="E241" s="18">
        <v>0</v>
      </c>
      <c r="F241" s="18" t="s">
        <v>9</v>
      </c>
      <c r="G241" s="18">
        <v>27</v>
      </c>
      <c r="H241" s="17">
        <v>3.5865845311430529</v>
      </c>
      <c r="I241" s="17" t="s">
        <v>8</v>
      </c>
      <c r="J241" s="17" t="s">
        <v>8</v>
      </c>
      <c r="K241" s="17">
        <v>3.5263518138261465</v>
      </c>
      <c r="L241" s="17" t="s">
        <v>8</v>
      </c>
      <c r="M241" s="17" t="s">
        <v>8</v>
      </c>
      <c r="N241" s="17">
        <v>3.7563312799452429</v>
      </c>
      <c r="O241" s="17" t="s">
        <v>8</v>
      </c>
      <c r="P241" s="17" t="s">
        <v>8</v>
      </c>
      <c r="Q241" s="17">
        <v>3.9479808350444903</v>
      </c>
      <c r="R241" s="17" t="s">
        <v>8</v>
      </c>
      <c r="S241" s="17" t="s">
        <v>8</v>
      </c>
      <c r="T241" s="30">
        <v>2</v>
      </c>
      <c r="U241" s="30">
        <v>12</v>
      </c>
      <c r="V241" s="20" t="s">
        <v>1</v>
      </c>
      <c r="W241" s="20">
        <v>5</v>
      </c>
      <c r="X241" s="20">
        <v>2</v>
      </c>
      <c r="Y241" s="5">
        <v>1</v>
      </c>
      <c r="Z241" s="24">
        <v>4</v>
      </c>
      <c r="AA241" s="23">
        <f t="shared" si="9"/>
        <v>1</v>
      </c>
      <c r="AB241" s="15">
        <v>0.875</v>
      </c>
      <c r="AC241" s="15">
        <v>0.875</v>
      </c>
      <c r="AD241" s="15">
        <v>0.5</v>
      </c>
      <c r="AE241" s="15">
        <v>0.75</v>
      </c>
      <c r="AF241" s="20">
        <v>18</v>
      </c>
      <c r="AG241" s="20">
        <v>7.0000000000000007E-2</v>
      </c>
      <c r="AH241" s="24">
        <v>24</v>
      </c>
      <c r="AI241" s="23">
        <f t="shared" si="10"/>
        <v>1</v>
      </c>
      <c r="AJ241" s="17">
        <v>7.25</v>
      </c>
      <c r="AK241" s="17">
        <v>9.75</v>
      </c>
      <c r="AL241" s="14">
        <v>17</v>
      </c>
      <c r="AM241" s="23" cm="1">
        <f t="array" ref="AM241">IF(OR(AN241:AZ241=""),"BLANK",IF(AND(AN241:AZ241&lt;9999999),1,IF(AND(AN241:AZ241="NA"),3,2)))</f>
        <v>1</v>
      </c>
      <c r="AN241" s="20">
        <v>9</v>
      </c>
      <c r="AO241" s="26">
        <v>2</v>
      </c>
      <c r="AP241" s="15">
        <v>3</v>
      </c>
      <c r="AQ241" s="15">
        <v>5.25</v>
      </c>
      <c r="AR241" s="15">
        <v>6.25</v>
      </c>
      <c r="AS241" s="26">
        <v>534</v>
      </c>
      <c r="AT241" s="26">
        <v>5581</v>
      </c>
      <c r="AU241" s="26">
        <v>8001</v>
      </c>
      <c r="AV241" s="26">
        <v>8687.75</v>
      </c>
      <c r="AW241" s="26">
        <v>0</v>
      </c>
      <c r="AX241" s="26">
        <v>0</v>
      </c>
      <c r="AY241" s="26">
        <v>3127.6062499999998</v>
      </c>
      <c r="AZ241" s="26">
        <v>197</v>
      </c>
      <c r="BA241" s="23">
        <f t="shared" si="11"/>
        <v>1</v>
      </c>
      <c r="BB241" s="24">
        <v>29</v>
      </c>
    </row>
    <row r="242" spans="1:54" x14ac:dyDescent="0.2">
      <c r="A242" s="5">
        <v>2748</v>
      </c>
      <c r="B242" s="20" t="s">
        <v>63</v>
      </c>
      <c r="C242" s="18" t="s">
        <v>55</v>
      </c>
      <c r="D242" s="18">
        <v>5</v>
      </c>
      <c r="E242" s="18">
        <v>0</v>
      </c>
      <c r="F242" s="18" t="s">
        <v>9</v>
      </c>
      <c r="G242" s="18">
        <v>29</v>
      </c>
      <c r="H242" s="17">
        <v>3.6194387405886381</v>
      </c>
      <c r="I242" s="17">
        <v>4.3312799452429847</v>
      </c>
      <c r="J242" s="17">
        <v>7.9507186858316219</v>
      </c>
      <c r="K242" s="17">
        <v>3.6194387405886381</v>
      </c>
      <c r="L242" s="17">
        <v>4.3312799452429847</v>
      </c>
      <c r="M242" s="17">
        <v>7.9507186858316219</v>
      </c>
      <c r="N242" s="17">
        <v>5.0650239561943877</v>
      </c>
      <c r="O242" s="17" t="s">
        <v>8</v>
      </c>
      <c r="P242" s="17" t="s">
        <v>8</v>
      </c>
      <c r="Q242" s="17">
        <v>4.8021902806297057</v>
      </c>
      <c r="R242" s="17" t="s">
        <v>8</v>
      </c>
      <c r="S242" s="17" t="s">
        <v>8</v>
      </c>
      <c r="T242" s="30">
        <v>3</v>
      </c>
      <c r="U242" s="30">
        <v>14</v>
      </c>
      <c r="V242" s="20" t="s">
        <v>1</v>
      </c>
      <c r="W242" s="20">
        <v>5</v>
      </c>
      <c r="X242" s="20">
        <v>2</v>
      </c>
      <c r="Y242" s="5">
        <v>1</v>
      </c>
      <c r="Z242" s="24">
        <v>4</v>
      </c>
      <c r="AA242" s="23">
        <f t="shared" si="9"/>
        <v>1</v>
      </c>
      <c r="AB242" s="15">
        <v>1</v>
      </c>
      <c r="AC242" s="15">
        <v>0.5</v>
      </c>
      <c r="AD242" s="15">
        <v>0.625</v>
      </c>
      <c r="AE242" s="15">
        <v>0.70799999999999996</v>
      </c>
      <c r="AF242" s="20">
        <v>17</v>
      </c>
      <c r="AG242" s="20">
        <v>3.62</v>
      </c>
      <c r="AH242" s="24">
        <v>24</v>
      </c>
      <c r="AI242" s="23">
        <f t="shared" si="10"/>
        <v>1</v>
      </c>
      <c r="AJ242" s="17">
        <v>4.5</v>
      </c>
      <c r="AK242" s="17">
        <v>7.75</v>
      </c>
      <c r="AL242" s="14">
        <v>12.25</v>
      </c>
      <c r="AM242" s="23" cm="1">
        <f t="array" ref="AM242">IF(OR(AN242:AZ242=""),"BLANK",IF(AND(AN242:AZ242&lt;9999999),1,IF(AND(AN242:AZ242="NA"),3,2)))</f>
        <v>1</v>
      </c>
      <c r="AN242" s="20">
        <v>11</v>
      </c>
      <c r="AO242" s="26">
        <v>2</v>
      </c>
      <c r="AP242" s="15">
        <v>3</v>
      </c>
      <c r="AQ242" s="15">
        <v>4</v>
      </c>
      <c r="AR242" s="15">
        <v>6.75</v>
      </c>
      <c r="AS242" s="26">
        <v>202</v>
      </c>
      <c r="AT242" s="26">
        <v>5807</v>
      </c>
      <c r="AU242" s="26">
        <v>7471.5</v>
      </c>
      <c r="AV242" s="26">
        <v>10478.5</v>
      </c>
      <c r="AW242" s="26">
        <v>0</v>
      </c>
      <c r="AX242" s="26">
        <v>0</v>
      </c>
      <c r="AY242" s="26">
        <v>0</v>
      </c>
      <c r="AZ242" s="26">
        <v>746.28750000000002</v>
      </c>
      <c r="BA242" s="23">
        <f t="shared" si="11"/>
        <v>1</v>
      </c>
      <c r="BB242" s="24">
        <v>30</v>
      </c>
    </row>
    <row r="243" spans="1:54" x14ac:dyDescent="0.2">
      <c r="A243" s="5">
        <v>2790</v>
      </c>
      <c r="B243" s="20" t="s">
        <v>74</v>
      </c>
      <c r="C243" s="18" t="s">
        <v>54</v>
      </c>
      <c r="D243" s="18">
        <v>5</v>
      </c>
      <c r="E243" s="18">
        <v>0</v>
      </c>
      <c r="F243" s="18" t="s">
        <v>9</v>
      </c>
      <c r="G243" s="18">
        <v>30</v>
      </c>
      <c r="H243" s="22">
        <v>3.5975359342915811</v>
      </c>
      <c r="I243" s="22">
        <v>4.2518822724161529</v>
      </c>
      <c r="J243" s="22">
        <v>7.8494182067077345</v>
      </c>
      <c r="K243" s="22">
        <v>3.5975359342915811</v>
      </c>
      <c r="L243" s="22">
        <v>4.2518822724161529</v>
      </c>
      <c r="M243" s="22">
        <v>7.8494182067077345</v>
      </c>
      <c r="N243" s="22">
        <v>3.5838466803559208</v>
      </c>
      <c r="O243" s="22">
        <v>4.2080766598220398</v>
      </c>
      <c r="P243" s="22">
        <v>7.7919233401779602</v>
      </c>
      <c r="Q243" s="22" t="s">
        <v>8</v>
      </c>
      <c r="R243" s="22" t="s">
        <v>8</v>
      </c>
      <c r="S243" s="22" t="s">
        <v>8</v>
      </c>
      <c r="T243" s="30">
        <v>3</v>
      </c>
      <c r="U243" s="30">
        <v>14</v>
      </c>
      <c r="V243" s="20" t="s">
        <v>1</v>
      </c>
      <c r="W243" s="20">
        <v>5</v>
      </c>
      <c r="X243" s="20">
        <v>2</v>
      </c>
      <c r="Y243" s="5">
        <v>1</v>
      </c>
      <c r="Z243" s="24">
        <v>4</v>
      </c>
      <c r="AA243" s="23">
        <f t="shared" si="9"/>
        <v>1</v>
      </c>
      <c r="AB243" s="15">
        <v>0.875</v>
      </c>
      <c r="AC243" s="15">
        <v>0.625</v>
      </c>
      <c r="AD243" s="15">
        <v>0.25</v>
      </c>
      <c r="AE243" s="15">
        <v>0.58299999999999996</v>
      </c>
      <c r="AF243" s="20">
        <v>14</v>
      </c>
      <c r="AG243" s="20">
        <v>4.93</v>
      </c>
      <c r="AH243" s="24">
        <v>24</v>
      </c>
      <c r="AI243" s="23">
        <f t="shared" si="10"/>
        <v>1</v>
      </c>
      <c r="AJ243" s="17">
        <v>5.5</v>
      </c>
      <c r="AK243" s="17">
        <v>6</v>
      </c>
      <c r="AL243" s="14">
        <v>11.5</v>
      </c>
      <c r="AM243" s="23" cm="1">
        <f t="array" ref="AM243">IF(OR(AN243:AZ243=""),"BLANK",IF(AND(AN243:AZ243&lt;9999999),1,IF(AND(AN243:AZ243="NA"),3,2)))</f>
        <v>1</v>
      </c>
      <c r="AN243" s="20">
        <v>8</v>
      </c>
      <c r="AO243" s="26">
        <v>2</v>
      </c>
      <c r="AP243" s="15">
        <v>3</v>
      </c>
      <c r="AQ243" s="15">
        <v>5.75</v>
      </c>
      <c r="AR243" s="15">
        <v>7</v>
      </c>
      <c r="AS243" s="26">
        <v>2048</v>
      </c>
      <c r="AT243" s="26">
        <v>2523</v>
      </c>
      <c r="AU243" s="26">
        <v>4310.5</v>
      </c>
      <c r="AV243" s="26">
        <v>8689.25</v>
      </c>
      <c r="AW243" s="26">
        <v>2411.5</v>
      </c>
      <c r="AX243" s="26">
        <v>194.8333333333</v>
      </c>
      <c r="AY243" s="26">
        <v>803.45833333329995</v>
      </c>
      <c r="AZ243" s="26">
        <v>1172.6083333332999</v>
      </c>
      <c r="BA243" s="23">
        <f t="shared" si="11"/>
        <v>1</v>
      </c>
      <c r="BB243" s="24">
        <v>32</v>
      </c>
    </row>
    <row r="244" spans="1:54" x14ac:dyDescent="0.2">
      <c r="A244" s="5">
        <v>2813</v>
      </c>
      <c r="B244" s="20" t="s">
        <v>82</v>
      </c>
      <c r="C244" s="18" t="s">
        <v>54</v>
      </c>
      <c r="D244" s="18">
        <v>5</v>
      </c>
      <c r="E244" s="18">
        <v>0</v>
      </c>
      <c r="F244" s="18" t="s">
        <v>9</v>
      </c>
      <c r="G244" s="18">
        <v>26</v>
      </c>
      <c r="H244" s="17">
        <v>3.5893223819301849</v>
      </c>
      <c r="I244" s="17" t="s">
        <v>8</v>
      </c>
      <c r="J244" s="17" t="s">
        <v>8</v>
      </c>
      <c r="K244" s="17">
        <v>3.5893223819301849</v>
      </c>
      <c r="L244" s="17" t="s">
        <v>8</v>
      </c>
      <c r="M244" s="17" t="s">
        <v>8</v>
      </c>
      <c r="N244" s="17">
        <v>3.6358658453114305</v>
      </c>
      <c r="O244" s="17" t="s">
        <v>8</v>
      </c>
      <c r="P244" s="17" t="s">
        <v>8</v>
      </c>
      <c r="Q244" s="17">
        <v>4.4845995893223822</v>
      </c>
      <c r="R244" s="17" t="s">
        <v>8</v>
      </c>
      <c r="S244" s="17" t="s">
        <v>8</v>
      </c>
      <c r="T244" s="30">
        <v>2</v>
      </c>
      <c r="U244" s="30">
        <v>12</v>
      </c>
      <c r="V244" s="20" t="s">
        <v>1</v>
      </c>
      <c r="W244" s="20">
        <v>5</v>
      </c>
      <c r="X244" s="20">
        <v>2</v>
      </c>
      <c r="Y244" s="5">
        <v>1</v>
      </c>
      <c r="Z244" s="24">
        <v>4</v>
      </c>
      <c r="AA244" s="23">
        <f t="shared" si="9"/>
        <v>1</v>
      </c>
      <c r="AB244" s="15">
        <v>0.875</v>
      </c>
      <c r="AC244" s="15">
        <v>0.875</v>
      </c>
      <c r="AD244" s="15">
        <v>0.5</v>
      </c>
      <c r="AE244" s="15">
        <v>0.75</v>
      </c>
      <c r="AF244" s="20">
        <v>18</v>
      </c>
      <c r="AG244" s="20">
        <v>6.47</v>
      </c>
      <c r="AH244" s="24">
        <v>24</v>
      </c>
      <c r="AI244" s="23">
        <f t="shared" si="10"/>
        <v>1</v>
      </c>
      <c r="AJ244" s="17">
        <v>4.25</v>
      </c>
      <c r="AK244" s="17">
        <v>1.25</v>
      </c>
      <c r="AL244" s="14">
        <v>5.5</v>
      </c>
      <c r="AM244" s="23" cm="1">
        <f t="array" ref="AM244">IF(OR(AN244:AZ244=""),"BLANK",IF(AND(AN244:AZ244&lt;9999999),1,IF(AND(AN244:AZ244="NA"),3,2)))</f>
        <v>1</v>
      </c>
      <c r="AN244" s="20">
        <v>8</v>
      </c>
      <c r="AO244" s="26">
        <v>2</v>
      </c>
      <c r="AP244" s="15">
        <v>3</v>
      </c>
      <c r="AQ244" s="15">
        <v>5.25</v>
      </c>
      <c r="AR244" s="15">
        <v>9.75</v>
      </c>
      <c r="AS244" s="26">
        <v>7073</v>
      </c>
      <c r="AT244" s="26">
        <v>11022</v>
      </c>
      <c r="AU244" s="26">
        <v>3763.25</v>
      </c>
      <c r="AV244" s="26">
        <v>5278.5</v>
      </c>
      <c r="AW244" s="26">
        <v>1103.25</v>
      </c>
      <c r="AX244" s="26">
        <v>304.1666666667</v>
      </c>
      <c r="AY244" s="26">
        <v>6333.2152777778001</v>
      </c>
      <c r="AZ244" s="26">
        <v>4903.0375000000004</v>
      </c>
      <c r="BA244" s="23">
        <f t="shared" si="11"/>
        <v>1</v>
      </c>
      <c r="BB244" s="24">
        <v>29</v>
      </c>
    </row>
    <row r="245" spans="1:54" x14ac:dyDescent="0.2">
      <c r="A245" s="5">
        <v>2819</v>
      </c>
      <c r="B245" s="20" t="s">
        <v>70</v>
      </c>
      <c r="C245" s="18" t="s">
        <v>54</v>
      </c>
      <c r="D245" s="18">
        <v>5</v>
      </c>
      <c r="E245" s="18">
        <v>0</v>
      </c>
      <c r="F245" s="18" t="s">
        <v>9</v>
      </c>
      <c r="G245" s="18">
        <v>26</v>
      </c>
      <c r="H245" s="17">
        <v>4.1971252566735116</v>
      </c>
      <c r="I245" s="17" t="s">
        <v>8</v>
      </c>
      <c r="J245" s="17" t="s">
        <v>8</v>
      </c>
      <c r="K245" s="17">
        <v>4.1916495550992474</v>
      </c>
      <c r="L245" s="17" t="s">
        <v>8</v>
      </c>
      <c r="M245" s="17" t="s">
        <v>8</v>
      </c>
      <c r="N245" s="17">
        <v>4.1642710472279258</v>
      </c>
      <c r="O245" s="17" t="s">
        <v>8</v>
      </c>
      <c r="P245" s="17" t="s">
        <v>8</v>
      </c>
      <c r="Q245" s="17">
        <v>5.1909650924024637</v>
      </c>
      <c r="R245" s="17" t="s">
        <v>8</v>
      </c>
      <c r="S245" s="17" t="s">
        <v>8</v>
      </c>
      <c r="T245" s="30">
        <v>2</v>
      </c>
      <c r="U245" s="30">
        <v>12</v>
      </c>
      <c r="V245" s="20" t="s">
        <v>1</v>
      </c>
      <c r="W245" s="20">
        <v>5</v>
      </c>
      <c r="X245" s="20">
        <v>2</v>
      </c>
      <c r="Y245" s="5">
        <v>1</v>
      </c>
      <c r="Z245" s="24">
        <v>4</v>
      </c>
      <c r="AA245" s="23">
        <f t="shared" si="9"/>
        <v>1</v>
      </c>
      <c r="AB245" s="15">
        <v>0.875</v>
      </c>
      <c r="AC245" s="15">
        <v>0.625</v>
      </c>
      <c r="AD245" s="15">
        <v>0.125</v>
      </c>
      <c r="AE245" s="15">
        <v>0.54200000000000004</v>
      </c>
      <c r="AF245" s="20">
        <v>13</v>
      </c>
      <c r="AG245" s="20">
        <v>10.93</v>
      </c>
      <c r="AH245" s="24">
        <v>24</v>
      </c>
      <c r="AI245" s="23">
        <f t="shared" si="10"/>
        <v>1</v>
      </c>
      <c r="AJ245" s="17">
        <v>4.25</v>
      </c>
      <c r="AK245" s="17">
        <v>6</v>
      </c>
      <c r="AL245" s="14">
        <v>10.25</v>
      </c>
      <c r="AM245" s="23" cm="1">
        <f t="array" ref="AM245">IF(OR(AN245:AZ245=""),"BLANK",IF(AND(AN245:AZ245&lt;9999999),1,IF(AND(AN245:AZ245="NA"),3,2)))</f>
        <v>1</v>
      </c>
      <c r="AN245" s="20">
        <v>9</v>
      </c>
      <c r="AO245" s="26">
        <v>2</v>
      </c>
      <c r="AP245" s="15">
        <v>3</v>
      </c>
      <c r="AQ245" s="15">
        <v>6.5</v>
      </c>
      <c r="AR245" s="15">
        <v>5.25</v>
      </c>
      <c r="AS245" s="26">
        <v>1458</v>
      </c>
      <c r="AT245" s="26">
        <v>3094.5</v>
      </c>
      <c r="AU245" s="26">
        <v>3699</v>
      </c>
      <c r="AV245" s="26">
        <v>5963.25</v>
      </c>
      <c r="AW245" s="26">
        <v>751</v>
      </c>
      <c r="AX245" s="26">
        <v>93.5</v>
      </c>
      <c r="AY245" s="26">
        <v>4082.2361111110999</v>
      </c>
      <c r="AZ245" s="26">
        <v>1303.2</v>
      </c>
      <c r="BA245" s="23">
        <f t="shared" si="11"/>
        <v>1</v>
      </c>
      <c r="BB245" s="24">
        <v>33</v>
      </c>
    </row>
    <row r="246" spans="1:54" x14ac:dyDescent="0.2">
      <c r="A246" s="5">
        <v>2872</v>
      </c>
      <c r="B246" s="20" t="s">
        <v>75</v>
      </c>
      <c r="C246" s="18" t="s">
        <v>54</v>
      </c>
      <c r="D246" s="18">
        <v>5</v>
      </c>
      <c r="E246" s="18">
        <v>0</v>
      </c>
      <c r="F246" s="18" t="s">
        <v>9</v>
      </c>
      <c r="G246" s="18">
        <v>30</v>
      </c>
      <c r="H246" s="17">
        <v>3.463381245722108</v>
      </c>
      <c r="I246" s="17" t="s">
        <v>8</v>
      </c>
      <c r="J246" s="17" t="s">
        <v>8</v>
      </c>
      <c r="K246" s="17">
        <v>3.4715947980835042</v>
      </c>
      <c r="L246" s="17" t="s">
        <v>8</v>
      </c>
      <c r="M246" s="17" t="s">
        <v>8</v>
      </c>
      <c r="N246" s="17">
        <v>3.7453798767967146</v>
      </c>
      <c r="O246" s="17">
        <v>3.7207392197125255</v>
      </c>
      <c r="P246" s="17">
        <v>7.4661190965092405</v>
      </c>
      <c r="Q246" s="17">
        <v>3.7125256673511293</v>
      </c>
      <c r="R246" s="17" t="s">
        <v>8</v>
      </c>
      <c r="S246" s="17" t="s">
        <v>8</v>
      </c>
      <c r="T246" s="30">
        <v>5</v>
      </c>
      <c r="U246" s="30">
        <v>17</v>
      </c>
      <c r="V246" s="20" t="s">
        <v>1</v>
      </c>
      <c r="W246" s="20">
        <v>5</v>
      </c>
      <c r="X246" s="20">
        <v>2</v>
      </c>
      <c r="Y246" s="5">
        <v>1</v>
      </c>
      <c r="Z246" s="24">
        <v>4</v>
      </c>
      <c r="AA246" s="23">
        <f t="shared" si="9"/>
        <v>2</v>
      </c>
      <c r="AB246" s="15">
        <v>1</v>
      </c>
      <c r="AC246" s="15">
        <v>1</v>
      </c>
      <c r="AD246" s="15">
        <v>0.75</v>
      </c>
      <c r="AE246" s="15">
        <v>0.91700000000000004</v>
      </c>
      <c r="AF246" s="20">
        <v>22</v>
      </c>
      <c r="AG246" s="20" t="s">
        <v>8</v>
      </c>
      <c r="AH246" s="24">
        <v>24</v>
      </c>
      <c r="AI246" s="23">
        <f t="shared" si="10"/>
        <v>1</v>
      </c>
      <c r="AJ246" s="17">
        <v>10</v>
      </c>
      <c r="AK246" s="17">
        <v>8</v>
      </c>
      <c r="AL246" s="14">
        <v>18</v>
      </c>
      <c r="AM246" s="23" cm="1">
        <f t="array" ref="AM246">IF(OR(AN246:AZ246=""),"BLANK",IF(AND(AN246:AZ246&lt;9999999),1,IF(AND(AN246:AZ246="NA"),3,2)))</f>
        <v>1</v>
      </c>
      <c r="AN246" s="20">
        <v>10</v>
      </c>
      <c r="AO246" s="26">
        <v>2</v>
      </c>
      <c r="AP246" s="15">
        <v>3</v>
      </c>
      <c r="AQ246" s="15">
        <v>4.25</v>
      </c>
      <c r="AR246" s="15">
        <v>5.5</v>
      </c>
      <c r="AS246" s="26">
        <v>2581</v>
      </c>
      <c r="AT246" s="26">
        <v>3452</v>
      </c>
      <c r="AU246" s="26">
        <v>14969.75</v>
      </c>
      <c r="AV246" s="26">
        <v>26893.25</v>
      </c>
      <c r="AW246" s="26">
        <v>0</v>
      </c>
      <c r="AX246" s="26">
        <v>0</v>
      </c>
      <c r="AY246" s="26">
        <v>67.224999999999994</v>
      </c>
      <c r="AZ246" s="26">
        <v>626.54285714289995</v>
      </c>
      <c r="BA246" s="23">
        <f t="shared" si="11"/>
        <v>1</v>
      </c>
      <c r="BB246" s="24">
        <v>40</v>
      </c>
    </row>
    <row r="247" spans="1:54" x14ac:dyDescent="0.2">
      <c r="A247" s="5">
        <v>2885</v>
      </c>
      <c r="B247" s="20" t="s">
        <v>78</v>
      </c>
      <c r="C247" s="18" t="s">
        <v>54</v>
      </c>
      <c r="D247" s="18">
        <v>5</v>
      </c>
      <c r="E247" s="18">
        <v>0</v>
      </c>
      <c r="F247" s="18" t="s">
        <v>9</v>
      </c>
      <c r="G247" s="18">
        <v>30</v>
      </c>
      <c r="H247" s="17">
        <v>3.6577686516084875</v>
      </c>
      <c r="I247" s="17">
        <v>4.4982888432580426</v>
      </c>
      <c r="J247" s="17">
        <v>8.1560574948665305</v>
      </c>
      <c r="K247" s="17">
        <v>3.6577686516084875</v>
      </c>
      <c r="L247" s="17">
        <v>4.5475701574264207</v>
      </c>
      <c r="M247" s="17">
        <v>8.2053388090349078</v>
      </c>
      <c r="N247" s="17">
        <v>3.7371663244353184</v>
      </c>
      <c r="O247" s="17">
        <v>4.3531827515400412</v>
      </c>
      <c r="P247" s="17">
        <v>8.0903490759753591</v>
      </c>
      <c r="Q247" s="17">
        <v>4.6160164271047224</v>
      </c>
      <c r="R247" s="17">
        <v>3.6796714579055441</v>
      </c>
      <c r="S247" s="17">
        <v>8.2956878850102669</v>
      </c>
      <c r="T247" s="30">
        <v>3</v>
      </c>
      <c r="U247" s="30">
        <v>14</v>
      </c>
      <c r="V247" s="20" t="s">
        <v>1</v>
      </c>
      <c r="W247" s="20">
        <v>5</v>
      </c>
      <c r="X247" s="20">
        <v>2</v>
      </c>
      <c r="Y247" s="5">
        <v>1</v>
      </c>
      <c r="Z247" s="24">
        <v>4</v>
      </c>
      <c r="AA247" s="23">
        <f t="shared" si="9"/>
        <v>1</v>
      </c>
      <c r="AB247" s="15">
        <v>1</v>
      </c>
      <c r="AC247" s="15">
        <v>0.875</v>
      </c>
      <c r="AD247" s="15">
        <v>1</v>
      </c>
      <c r="AE247" s="15">
        <v>0.95799999999999996</v>
      </c>
      <c r="AF247" s="20">
        <v>23</v>
      </c>
      <c r="AG247" s="20">
        <v>9.82</v>
      </c>
      <c r="AH247" s="24">
        <v>24</v>
      </c>
      <c r="AI247" s="23">
        <f t="shared" si="10"/>
        <v>1</v>
      </c>
      <c r="AJ247" s="17">
        <v>9.75</v>
      </c>
      <c r="AK247" s="17">
        <v>11.75</v>
      </c>
      <c r="AL247" s="14">
        <v>21.5</v>
      </c>
      <c r="AM247" s="23" cm="1">
        <f t="array" ref="AM247">IF(OR(AN247:AZ247=""),"BLANK",IF(AND(AN247:AZ247&lt;9999999),1,IF(AND(AN247:AZ247="NA"),3,2)))</f>
        <v>1</v>
      </c>
      <c r="AN247" s="20">
        <v>6</v>
      </c>
      <c r="AO247" s="26">
        <v>3.5</v>
      </c>
      <c r="AP247" s="15">
        <v>5</v>
      </c>
      <c r="AQ247" s="15">
        <v>6.75</v>
      </c>
      <c r="AR247" s="15">
        <v>6.75</v>
      </c>
      <c r="AS247" s="26">
        <v>442</v>
      </c>
      <c r="AT247" s="26">
        <v>618.5</v>
      </c>
      <c r="AU247" s="26">
        <v>1050.25</v>
      </c>
      <c r="AV247" s="26">
        <v>3253.25</v>
      </c>
      <c r="AW247" s="26">
        <v>995.8</v>
      </c>
      <c r="AX247" s="26">
        <v>0</v>
      </c>
      <c r="AY247" s="26">
        <v>1222.40625</v>
      </c>
      <c r="AZ247" s="26">
        <v>1007.1916666667</v>
      </c>
      <c r="BA247" s="23">
        <f t="shared" si="11"/>
        <v>1</v>
      </c>
      <c r="BB247" s="24">
        <v>38</v>
      </c>
    </row>
    <row r="248" spans="1:54" x14ac:dyDescent="0.2">
      <c r="A248" s="5">
        <v>2893</v>
      </c>
      <c r="B248" s="20" t="s">
        <v>63</v>
      </c>
      <c r="C248" s="18" t="s">
        <v>54</v>
      </c>
      <c r="D248" s="18">
        <v>5</v>
      </c>
      <c r="E248" s="18">
        <v>0</v>
      </c>
      <c r="F248" s="18" t="s">
        <v>9</v>
      </c>
      <c r="G248" s="18">
        <v>29</v>
      </c>
      <c r="H248" s="22">
        <v>3.9014373716632442</v>
      </c>
      <c r="I248" s="22" t="s">
        <v>8</v>
      </c>
      <c r="J248" s="22" t="s">
        <v>8</v>
      </c>
      <c r="K248" s="22">
        <v>3.9014373716632442</v>
      </c>
      <c r="L248" s="22" t="s">
        <v>8</v>
      </c>
      <c r="M248" s="22" t="s">
        <v>8</v>
      </c>
      <c r="N248" s="22">
        <v>3.871321013004791</v>
      </c>
      <c r="O248" s="22" t="s">
        <v>8</v>
      </c>
      <c r="P248" s="22" t="s">
        <v>8</v>
      </c>
      <c r="Q248" s="22" t="s">
        <v>8</v>
      </c>
      <c r="R248" s="22" t="s">
        <v>8</v>
      </c>
      <c r="S248" s="22" t="s">
        <v>8</v>
      </c>
      <c r="T248" s="30">
        <v>3</v>
      </c>
      <c r="U248" s="30">
        <v>15</v>
      </c>
      <c r="V248" s="20" t="s">
        <v>1</v>
      </c>
      <c r="W248" s="20">
        <v>5</v>
      </c>
      <c r="X248" s="20">
        <v>2</v>
      </c>
      <c r="Y248" s="5">
        <v>1</v>
      </c>
      <c r="Z248" s="24">
        <v>4</v>
      </c>
      <c r="AA248" s="23">
        <f t="shared" si="9"/>
        <v>1</v>
      </c>
      <c r="AB248" s="15">
        <v>0.875</v>
      </c>
      <c r="AC248" s="15">
        <v>0.5</v>
      </c>
      <c r="AD248" s="15">
        <v>0.375</v>
      </c>
      <c r="AE248" s="15">
        <v>0.58299999999999996</v>
      </c>
      <c r="AF248" s="20">
        <v>14</v>
      </c>
      <c r="AG248" s="20">
        <v>9.7799999999999994</v>
      </c>
      <c r="AH248" s="24">
        <v>24</v>
      </c>
      <c r="AI248" s="23">
        <f t="shared" si="10"/>
        <v>1</v>
      </c>
      <c r="AJ248" s="17">
        <v>6.5</v>
      </c>
      <c r="AK248" s="17">
        <v>4.5</v>
      </c>
      <c r="AL248" s="14">
        <v>11</v>
      </c>
      <c r="AM248" s="23" cm="1">
        <f t="array" ref="AM248">IF(OR(AN248:AZ248=""),"BLANK",IF(AND(AN248:AZ248&lt;9999999),1,IF(AND(AN248:AZ248="NA"),3,2)))</f>
        <v>1</v>
      </c>
      <c r="AN248" s="20">
        <v>8</v>
      </c>
      <c r="AO248" s="26">
        <v>2</v>
      </c>
      <c r="AP248" s="15">
        <v>3</v>
      </c>
      <c r="AQ248" s="15">
        <v>5.75</v>
      </c>
      <c r="AR248" s="15">
        <v>7.5</v>
      </c>
      <c r="AS248" s="26">
        <v>4652.5</v>
      </c>
      <c r="AT248" s="26">
        <v>6959.5</v>
      </c>
      <c r="AU248" s="26">
        <v>10558.25</v>
      </c>
      <c r="AV248" s="26">
        <v>15106.5</v>
      </c>
      <c r="AW248" s="26">
        <v>138.75</v>
      </c>
      <c r="AX248" s="26">
        <v>495.8333333333</v>
      </c>
      <c r="AY248" s="26">
        <v>3399.5625</v>
      </c>
      <c r="AZ248" s="26">
        <v>761.33787878789997</v>
      </c>
      <c r="BA248" s="23">
        <f t="shared" si="11"/>
        <v>1</v>
      </c>
      <c r="BB248" s="24">
        <v>31</v>
      </c>
    </row>
    <row r="249" spans="1:54" x14ac:dyDescent="0.2">
      <c r="A249" s="5">
        <v>2909</v>
      </c>
      <c r="B249" s="20" t="s">
        <v>74</v>
      </c>
      <c r="C249" s="18" t="s">
        <v>54</v>
      </c>
      <c r="D249" s="18">
        <v>5</v>
      </c>
      <c r="E249" s="18">
        <v>0</v>
      </c>
      <c r="F249" s="18" t="s">
        <v>9</v>
      </c>
      <c r="G249" s="18">
        <v>30</v>
      </c>
      <c r="H249" s="22">
        <v>3.4496919917864477</v>
      </c>
      <c r="I249" s="22">
        <v>4.0930869267624912</v>
      </c>
      <c r="J249" s="22">
        <v>7.5427789185489393</v>
      </c>
      <c r="K249" s="22">
        <v>3.4496919917864477</v>
      </c>
      <c r="L249" s="22" t="s">
        <v>8</v>
      </c>
      <c r="M249" s="22" t="s">
        <v>8</v>
      </c>
      <c r="N249" s="22">
        <v>3.4414784394250515</v>
      </c>
      <c r="O249" s="22" t="s">
        <v>8</v>
      </c>
      <c r="P249" s="22" t="s">
        <v>8</v>
      </c>
      <c r="Q249" s="22">
        <v>3.8329911019849416</v>
      </c>
      <c r="R249" s="22" t="s">
        <v>8</v>
      </c>
      <c r="S249" s="22" t="s">
        <v>8</v>
      </c>
      <c r="T249" s="30">
        <v>4</v>
      </c>
      <c r="U249" s="30">
        <v>16</v>
      </c>
      <c r="V249" s="20" t="s">
        <v>1</v>
      </c>
      <c r="W249" s="20">
        <v>5</v>
      </c>
      <c r="X249" s="20">
        <v>2</v>
      </c>
      <c r="Y249" s="5">
        <v>1</v>
      </c>
      <c r="Z249" s="24">
        <v>4</v>
      </c>
      <c r="AA249" s="23">
        <f t="shared" si="9"/>
        <v>1</v>
      </c>
      <c r="AB249" s="15">
        <v>1</v>
      </c>
      <c r="AC249" s="15">
        <v>0.75</v>
      </c>
      <c r="AD249" s="15">
        <v>0.75</v>
      </c>
      <c r="AE249" s="15">
        <v>0.83299999999999996</v>
      </c>
      <c r="AF249" s="20">
        <v>20</v>
      </c>
      <c r="AG249" s="20">
        <v>5.92</v>
      </c>
      <c r="AH249" s="24">
        <v>24</v>
      </c>
      <c r="AI249" s="23">
        <f t="shared" si="10"/>
        <v>1</v>
      </c>
      <c r="AJ249" s="17">
        <v>8.5</v>
      </c>
      <c r="AK249" s="17">
        <v>10.75</v>
      </c>
      <c r="AL249" s="14">
        <v>19.25</v>
      </c>
      <c r="AM249" s="23" cm="1">
        <f t="array" ref="AM249">IF(OR(AN249:AZ249=""),"BLANK",IF(AND(AN249:AZ249&lt;9999999),1,IF(AND(AN249:AZ249="NA"),3,2)))</f>
        <v>1</v>
      </c>
      <c r="AN249" s="20">
        <v>9</v>
      </c>
      <c r="AO249" s="26">
        <v>2</v>
      </c>
      <c r="AP249" s="15">
        <v>3</v>
      </c>
      <c r="AQ249" s="15">
        <v>5.25</v>
      </c>
      <c r="AR249" s="15">
        <v>7.5</v>
      </c>
      <c r="AS249" s="26">
        <v>637</v>
      </c>
      <c r="AT249" s="26">
        <v>5673.5</v>
      </c>
      <c r="AU249" s="26">
        <v>4930.5</v>
      </c>
      <c r="AV249" s="26">
        <v>7826.25</v>
      </c>
      <c r="AW249" s="26">
        <v>939.25</v>
      </c>
      <c r="AX249" s="26">
        <v>35.833333333299997</v>
      </c>
      <c r="AY249" s="26">
        <v>378.9027777778</v>
      </c>
      <c r="AZ249" s="26">
        <v>1145.05</v>
      </c>
      <c r="BA249" s="23">
        <f t="shared" si="11"/>
        <v>1</v>
      </c>
      <c r="BB249" s="24">
        <v>39</v>
      </c>
    </row>
    <row r="250" spans="1:54" x14ac:dyDescent="0.2">
      <c r="A250" s="5">
        <v>2940</v>
      </c>
      <c r="B250" s="20" t="s">
        <v>74</v>
      </c>
      <c r="C250" s="18" t="s">
        <v>54</v>
      </c>
      <c r="D250" s="18">
        <v>5</v>
      </c>
      <c r="E250" s="18">
        <v>0</v>
      </c>
      <c r="F250" s="18" t="s">
        <v>9</v>
      </c>
      <c r="G250" s="18">
        <v>28</v>
      </c>
      <c r="H250" s="17">
        <v>4.0629705681040384</v>
      </c>
      <c r="I250" s="17">
        <v>3.8740588637919235</v>
      </c>
      <c r="J250" s="17">
        <v>7.9370294318959616</v>
      </c>
      <c r="K250" s="17">
        <v>4.0629705681040384</v>
      </c>
      <c r="L250" s="17">
        <v>3.8740588637919235</v>
      </c>
      <c r="M250" s="17">
        <v>7.9370294318959616</v>
      </c>
      <c r="N250" s="17">
        <v>4.0629705681040384</v>
      </c>
      <c r="O250" s="17">
        <v>3.8384668035592062</v>
      </c>
      <c r="P250" s="17">
        <v>7.9014373716632447</v>
      </c>
      <c r="Q250" s="17">
        <v>4.5201916495550991</v>
      </c>
      <c r="R250" s="17">
        <v>3.5756331279945242</v>
      </c>
      <c r="S250" s="17">
        <v>8.0958247775496233</v>
      </c>
      <c r="T250" s="30">
        <v>3</v>
      </c>
      <c r="U250" s="30">
        <v>14</v>
      </c>
      <c r="V250" s="20" t="s">
        <v>1</v>
      </c>
      <c r="W250" s="20">
        <v>5</v>
      </c>
      <c r="X250" s="20">
        <v>2</v>
      </c>
      <c r="Y250" s="5">
        <v>1</v>
      </c>
      <c r="Z250" s="24">
        <v>4</v>
      </c>
      <c r="AA250" s="23">
        <f t="shared" si="9"/>
        <v>1</v>
      </c>
      <c r="AB250" s="15">
        <v>0.875</v>
      </c>
      <c r="AC250" s="15">
        <v>0.75</v>
      </c>
      <c r="AD250" s="15">
        <v>0.375</v>
      </c>
      <c r="AE250" s="15">
        <v>0.66700000000000004</v>
      </c>
      <c r="AF250" s="20">
        <v>16</v>
      </c>
      <c r="AG250" s="20">
        <v>9.1199999999999992</v>
      </c>
      <c r="AH250" s="24">
        <v>24</v>
      </c>
      <c r="AI250" s="23">
        <f t="shared" si="10"/>
        <v>1</v>
      </c>
      <c r="AJ250" s="17">
        <v>5.75</v>
      </c>
      <c r="AK250" s="17">
        <v>8.25</v>
      </c>
      <c r="AL250" s="14">
        <v>14</v>
      </c>
      <c r="AM250" s="23" cm="1">
        <f t="array" ref="AM250">IF(OR(AN250:AZ250=""),"BLANK",IF(AND(AN250:AZ250&lt;9999999),1,IF(AND(AN250:AZ250="NA"),3,2)))</f>
        <v>1</v>
      </c>
      <c r="AN250" s="20">
        <v>7</v>
      </c>
      <c r="AO250" s="26">
        <v>2</v>
      </c>
      <c r="AP250" s="15">
        <v>3</v>
      </c>
      <c r="AQ250" s="15">
        <v>5.25</v>
      </c>
      <c r="AR250" s="15">
        <v>10.5</v>
      </c>
      <c r="AS250" s="26">
        <v>1934</v>
      </c>
      <c r="AT250" s="26">
        <v>4681</v>
      </c>
      <c r="AU250" s="26">
        <v>4100</v>
      </c>
      <c r="AV250" s="26">
        <v>6676</v>
      </c>
      <c r="AW250" s="26">
        <v>44.5</v>
      </c>
      <c r="AX250" s="26">
        <v>256</v>
      </c>
      <c r="AY250" s="26">
        <v>436.1041666667</v>
      </c>
      <c r="AZ250" s="26">
        <v>1953.6875</v>
      </c>
      <c r="BA250" s="23">
        <f t="shared" si="11"/>
        <v>1</v>
      </c>
      <c r="BB250" s="24">
        <v>26</v>
      </c>
    </row>
    <row r="251" spans="1:54" x14ac:dyDescent="0.2">
      <c r="A251" s="5">
        <v>2976</v>
      </c>
      <c r="B251" s="20" t="s">
        <v>63</v>
      </c>
      <c r="C251" s="18" t="s">
        <v>54</v>
      </c>
      <c r="D251" s="18">
        <v>5</v>
      </c>
      <c r="E251" s="18">
        <v>0</v>
      </c>
      <c r="F251" s="18" t="s">
        <v>9</v>
      </c>
      <c r="G251" s="18">
        <v>28</v>
      </c>
      <c r="H251" s="17">
        <v>3.5154004106776182</v>
      </c>
      <c r="I251" s="17">
        <v>4.3258042436687196</v>
      </c>
      <c r="J251" s="17">
        <v>7.8412046543463383</v>
      </c>
      <c r="K251" s="17">
        <v>3.5154004106776182</v>
      </c>
      <c r="L251" s="17">
        <v>4.3258042436687196</v>
      </c>
      <c r="M251" s="17">
        <v>7.8412046543463383</v>
      </c>
      <c r="N251" s="17">
        <v>3.5071868583162216</v>
      </c>
      <c r="O251" s="17">
        <v>4.6242299794661195</v>
      </c>
      <c r="P251" s="17">
        <v>8.131416837782341</v>
      </c>
      <c r="Q251" s="17">
        <v>3.893223819301848</v>
      </c>
      <c r="R251" s="17">
        <v>3.8439425051334704</v>
      </c>
      <c r="S251" s="17">
        <v>7.7371663244353179</v>
      </c>
      <c r="T251" s="30">
        <v>3</v>
      </c>
      <c r="U251" s="30">
        <v>15</v>
      </c>
      <c r="V251" s="20" t="s">
        <v>1</v>
      </c>
      <c r="W251" s="20">
        <v>5</v>
      </c>
      <c r="X251" s="20">
        <v>2</v>
      </c>
      <c r="Y251" s="5">
        <v>1</v>
      </c>
      <c r="Z251" s="24">
        <v>4</v>
      </c>
      <c r="AA251" s="23">
        <f t="shared" si="9"/>
        <v>1</v>
      </c>
      <c r="AB251" s="15">
        <v>0.875</v>
      </c>
      <c r="AC251" s="15">
        <v>0.875</v>
      </c>
      <c r="AD251" s="15">
        <v>0.25</v>
      </c>
      <c r="AE251" s="15">
        <v>0.66700000000000004</v>
      </c>
      <c r="AF251" s="20">
        <v>16</v>
      </c>
      <c r="AG251" s="20">
        <v>2.58</v>
      </c>
      <c r="AH251" s="24">
        <v>24</v>
      </c>
      <c r="AI251" s="23">
        <f t="shared" si="10"/>
        <v>1</v>
      </c>
      <c r="AJ251" s="17">
        <v>5.75</v>
      </c>
      <c r="AK251" s="17">
        <v>2.75</v>
      </c>
      <c r="AL251" s="14">
        <v>8.5</v>
      </c>
      <c r="AM251" s="23" cm="1">
        <f t="array" ref="AM251">IF(OR(AN251:AZ251=""),"BLANK",IF(AND(AN251:AZ251&lt;9999999),1,IF(AND(AN251:AZ251="NA"),3,2)))</f>
        <v>1</v>
      </c>
      <c r="AN251" s="20">
        <v>8</v>
      </c>
      <c r="AO251" s="26">
        <v>2</v>
      </c>
      <c r="AP251" s="15">
        <v>3</v>
      </c>
      <c r="AQ251" s="15">
        <v>6.75</v>
      </c>
      <c r="AR251" s="15">
        <v>6.75</v>
      </c>
      <c r="AS251" s="26">
        <v>3471</v>
      </c>
      <c r="AT251" s="26">
        <v>8403.5</v>
      </c>
      <c r="AU251" s="26">
        <v>6888.75</v>
      </c>
      <c r="AV251" s="26">
        <v>7368.5</v>
      </c>
      <c r="AW251" s="26">
        <v>0</v>
      </c>
      <c r="AX251" s="26">
        <v>16.666666666699999</v>
      </c>
      <c r="AY251" s="26">
        <v>3529.0513888889</v>
      </c>
      <c r="AZ251" s="26">
        <v>590.11666666669998</v>
      </c>
      <c r="BA251" s="23">
        <f t="shared" si="11"/>
        <v>1</v>
      </c>
      <c r="BB251" s="24">
        <v>41</v>
      </c>
    </row>
    <row r="252" spans="1:54" x14ac:dyDescent="0.2">
      <c r="A252" s="5">
        <v>3005</v>
      </c>
      <c r="B252" s="20" t="s">
        <v>86</v>
      </c>
      <c r="C252" s="18" t="s">
        <v>54</v>
      </c>
      <c r="D252" s="18">
        <v>5</v>
      </c>
      <c r="E252" s="18">
        <v>0</v>
      </c>
      <c r="F252" s="18" t="s">
        <v>9</v>
      </c>
      <c r="G252" s="18">
        <v>29</v>
      </c>
      <c r="H252" s="22">
        <v>3.7015742642026011</v>
      </c>
      <c r="I252" s="22" t="s">
        <v>8</v>
      </c>
      <c r="J252" s="22" t="s">
        <v>8</v>
      </c>
      <c r="K252" s="22">
        <v>3.7015742642026011</v>
      </c>
      <c r="L252" s="22" t="s">
        <v>8</v>
      </c>
      <c r="M252" s="22" t="s">
        <v>8</v>
      </c>
      <c r="N252" s="22">
        <v>3.676933607118412</v>
      </c>
      <c r="O252" s="22" t="s">
        <v>8</v>
      </c>
      <c r="P252" s="22" t="s">
        <v>8</v>
      </c>
      <c r="Q252" s="22">
        <v>4.4626967830253248</v>
      </c>
      <c r="R252" s="22" t="s">
        <v>8</v>
      </c>
      <c r="S252" s="22" t="s">
        <v>8</v>
      </c>
      <c r="T252" s="30">
        <v>1</v>
      </c>
      <c r="U252" s="30">
        <v>11</v>
      </c>
      <c r="V252" s="20" t="s">
        <v>1</v>
      </c>
      <c r="W252" s="20">
        <v>5</v>
      </c>
      <c r="X252" s="20">
        <v>2</v>
      </c>
      <c r="Y252" s="5">
        <v>1</v>
      </c>
      <c r="Z252" s="24">
        <v>4</v>
      </c>
      <c r="AA252" s="23">
        <f t="shared" si="9"/>
        <v>2</v>
      </c>
      <c r="AB252" s="15">
        <v>0.875</v>
      </c>
      <c r="AC252" s="15">
        <v>1</v>
      </c>
      <c r="AD252" s="15">
        <v>0.5</v>
      </c>
      <c r="AE252" s="15">
        <v>0.81</v>
      </c>
      <c r="AF252" s="20">
        <v>17</v>
      </c>
      <c r="AG252" s="20" t="s">
        <v>8</v>
      </c>
      <c r="AH252" s="24">
        <v>21</v>
      </c>
      <c r="AI252" s="23">
        <f t="shared" si="10"/>
        <v>1</v>
      </c>
      <c r="AJ252" s="17">
        <v>2.5</v>
      </c>
      <c r="AK252" s="17">
        <v>5.25</v>
      </c>
      <c r="AL252" s="14">
        <v>7.75</v>
      </c>
      <c r="AM252" s="23" cm="1">
        <f t="array" ref="AM252">IF(OR(AN252:AZ252=""),"BLANK",IF(AND(AN252:AZ252&lt;9999999),1,IF(AND(AN252:AZ252="NA"),3,2)))</f>
        <v>1</v>
      </c>
      <c r="AN252" s="20">
        <v>8</v>
      </c>
      <c r="AO252" s="26">
        <v>2</v>
      </c>
      <c r="AP252" s="15">
        <v>3</v>
      </c>
      <c r="AQ252" s="15">
        <v>5</v>
      </c>
      <c r="AR252" s="15">
        <v>8</v>
      </c>
      <c r="AS252" s="26">
        <v>2161</v>
      </c>
      <c r="AT252" s="26">
        <v>7717.5</v>
      </c>
      <c r="AU252" s="26">
        <v>7024.75</v>
      </c>
      <c r="AV252" s="26">
        <v>5335.5</v>
      </c>
      <c r="AW252" s="26">
        <v>2414.25</v>
      </c>
      <c r="AX252" s="26">
        <v>487</v>
      </c>
      <c r="AY252" s="26">
        <v>10627.625</v>
      </c>
      <c r="AZ252" s="26">
        <v>3942.1507215007</v>
      </c>
      <c r="BA252" s="23">
        <f t="shared" si="11"/>
        <v>1</v>
      </c>
      <c r="BB252" s="24">
        <v>29</v>
      </c>
    </row>
    <row r="253" spans="1:54" x14ac:dyDescent="0.2">
      <c r="A253" s="5">
        <v>3025</v>
      </c>
      <c r="B253" s="20" t="s">
        <v>70</v>
      </c>
      <c r="C253" s="18" t="s">
        <v>54</v>
      </c>
      <c r="D253" s="18">
        <v>5</v>
      </c>
      <c r="E253" s="18">
        <v>0</v>
      </c>
      <c r="F253" s="18" t="s">
        <v>9</v>
      </c>
      <c r="G253" s="18">
        <v>29</v>
      </c>
      <c r="H253" s="22">
        <v>3.4305270362765228</v>
      </c>
      <c r="I253" s="22">
        <v>4.0520191649555102</v>
      </c>
      <c r="J253" s="22">
        <v>7.482546201232033</v>
      </c>
      <c r="K253" s="22">
        <v>3.4305270362765228</v>
      </c>
      <c r="L253" s="22">
        <v>4.0547570157426422</v>
      </c>
      <c r="M253" s="22">
        <v>7.485284052019165</v>
      </c>
      <c r="N253" s="22">
        <v>3.460643394934976</v>
      </c>
      <c r="O253" s="22">
        <v>3.9972621492128679</v>
      </c>
      <c r="P253" s="22">
        <v>7.4579055441478443</v>
      </c>
      <c r="Q253" s="22">
        <v>4.1560574948665296</v>
      </c>
      <c r="R253" s="22" t="s">
        <v>8</v>
      </c>
      <c r="S253" s="22" t="s">
        <v>8</v>
      </c>
      <c r="T253" s="30">
        <v>4</v>
      </c>
      <c r="U253" s="30">
        <v>16</v>
      </c>
      <c r="V253" s="20" t="s">
        <v>1</v>
      </c>
      <c r="W253" s="20">
        <v>5</v>
      </c>
      <c r="X253" s="20">
        <v>2</v>
      </c>
      <c r="Y253" s="5">
        <v>1</v>
      </c>
      <c r="Z253" s="24">
        <v>4</v>
      </c>
      <c r="AA253" s="23">
        <f t="shared" si="9"/>
        <v>1</v>
      </c>
      <c r="AB253" s="15">
        <v>0.875</v>
      </c>
      <c r="AC253" s="15">
        <v>0.75</v>
      </c>
      <c r="AD253" s="15">
        <v>0.625</v>
      </c>
      <c r="AE253" s="15">
        <v>0.75</v>
      </c>
      <c r="AF253" s="20">
        <v>18</v>
      </c>
      <c r="AG253" s="20">
        <v>10.87</v>
      </c>
      <c r="AH253" s="24">
        <v>24</v>
      </c>
      <c r="AI253" s="23">
        <f t="shared" si="10"/>
        <v>1</v>
      </c>
      <c r="AJ253" s="17">
        <v>9.25</v>
      </c>
      <c r="AK253" s="17">
        <v>9.5</v>
      </c>
      <c r="AL253" s="14">
        <v>18.75</v>
      </c>
      <c r="AM253" s="23" cm="1">
        <f t="array" ref="AM253">IF(OR(AN253:AZ253=""),"BLANK",IF(AND(AN253:AZ253&lt;9999999),1,IF(AND(AN253:AZ253="NA"),3,2)))</f>
        <v>1</v>
      </c>
      <c r="AN253" s="20">
        <v>7</v>
      </c>
      <c r="AO253" s="26">
        <v>2</v>
      </c>
      <c r="AP253" s="15">
        <v>3</v>
      </c>
      <c r="AQ253" s="15">
        <v>5.5</v>
      </c>
      <c r="AR253" s="15">
        <v>8.25</v>
      </c>
      <c r="AS253" s="26">
        <v>30</v>
      </c>
      <c r="AT253" s="26">
        <v>3025</v>
      </c>
      <c r="AU253" s="26">
        <v>4333.75</v>
      </c>
      <c r="AV253" s="26">
        <v>2515.75</v>
      </c>
      <c r="AW253" s="26">
        <v>0</v>
      </c>
      <c r="AX253" s="26">
        <v>0</v>
      </c>
      <c r="AY253" s="26">
        <v>568.08333333329995</v>
      </c>
      <c r="AZ253" s="26">
        <v>1609.3817460317</v>
      </c>
      <c r="BA253" s="23">
        <f t="shared" si="11"/>
        <v>1</v>
      </c>
      <c r="BB253" s="24">
        <v>30</v>
      </c>
    </row>
    <row r="254" spans="1:54" x14ac:dyDescent="0.2">
      <c r="A254" s="5">
        <v>3053</v>
      </c>
      <c r="B254" s="20" t="s">
        <v>75</v>
      </c>
      <c r="C254" s="18" t="s">
        <v>55</v>
      </c>
      <c r="D254" s="18">
        <v>2</v>
      </c>
      <c r="E254" s="18">
        <v>0</v>
      </c>
      <c r="F254" s="18" t="s">
        <v>9</v>
      </c>
      <c r="G254" s="18" t="s">
        <v>8</v>
      </c>
      <c r="H254" s="22">
        <v>5.6290212183435999</v>
      </c>
      <c r="I254" s="22" t="s">
        <v>8</v>
      </c>
      <c r="J254" s="22" t="s">
        <v>8</v>
      </c>
      <c r="K254" s="22">
        <v>5.6344969199178641</v>
      </c>
      <c r="L254" s="22" t="s">
        <v>8</v>
      </c>
      <c r="M254" s="22" t="s">
        <v>8</v>
      </c>
      <c r="N254" s="22">
        <v>5.5797399041752227</v>
      </c>
      <c r="O254" s="22" t="s">
        <v>8</v>
      </c>
      <c r="P254" s="22" t="s">
        <v>8</v>
      </c>
      <c r="Q254" s="22" t="s">
        <v>8</v>
      </c>
      <c r="R254" s="22" t="s">
        <v>8</v>
      </c>
      <c r="S254" s="22" t="s">
        <v>8</v>
      </c>
      <c r="T254" s="30">
        <v>3</v>
      </c>
      <c r="U254" s="30">
        <v>15</v>
      </c>
      <c r="V254" s="20" t="s">
        <v>1</v>
      </c>
      <c r="W254" s="20">
        <v>5</v>
      </c>
      <c r="X254" s="20">
        <v>2</v>
      </c>
      <c r="Y254" s="5">
        <v>1</v>
      </c>
      <c r="Z254" s="24">
        <v>4</v>
      </c>
      <c r="AA254" s="23">
        <f t="shared" si="9"/>
        <v>3</v>
      </c>
      <c r="AB254" s="15" t="s">
        <v>8</v>
      </c>
      <c r="AC254" s="15" t="s">
        <v>8</v>
      </c>
      <c r="AD254" s="15" t="s">
        <v>8</v>
      </c>
      <c r="AE254" s="15" t="s">
        <v>8</v>
      </c>
      <c r="AF254" s="20" t="s">
        <v>8</v>
      </c>
      <c r="AG254" s="20" t="s">
        <v>8</v>
      </c>
      <c r="AH254" s="24" t="s">
        <v>8</v>
      </c>
      <c r="AI254" s="23">
        <f t="shared" si="10"/>
        <v>3</v>
      </c>
      <c r="AJ254" s="17" t="s">
        <v>8</v>
      </c>
      <c r="AK254" s="17" t="s">
        <v>8</v>
      </c>
      <c r="AL254" s="14" t="s">
        <v>8</v>
      </c>
      <c r="AM254" s="23" cm="1">
        <f t="array" ref="AM254">IF(OR(AN254:AZ254=""),"BLANK",IF(AND(AN254:AZ254&lt;9999999),1,IF(AND(AN254:AZ254="NA"),3,2)))</f>
        <v>1</v>
      </c>
      <c r="AN254" s="20">
        <v>3</v>
      </c>
      <c r="AO254" s="26">
        <v>2</v>
      </c>
      <c r="AP254" s="15">
        <v>3.5</v>
      </c>
      <c r="AQ254" s="15">
        <v>8.25</v>
      </c>
      <c r="AR254" s="15">
        <v>12</v>
      </c>
      <c r="AS254" s="26">
        <v>4241</v>
      </c>
      <c r="AT254" s="26">
        <v>13015</v>
      </c>
      <c r="AU254" s="26">
        <v>6904.5</v>
      </c>
      <c r="AV254" s="26">
        <v>2234</v>
      </c>
      <c r="AW254" s="26">
        <v>379.25</v>
      </c>
      <c r="AX254" s="26">
        <v>1922.1666666666999</v>
      </c>
      <c r="AY254" s="26">
        <v>1640.7222222221999</v>
      </c>
      <c r="AZ254" s="26">
        <v>0</v>
      </c>
      <c r="BA254" s="23">
        <f t="shared" si="11"/>
        <v>1</v>
      </c>
      <c r="BB254" s="24">
        <v>35</v>
      </c>
    </row>
    <row r="255" spans="1:54" x14ac:dyDescent="0.2">
      <c r="A255" s="5">
        <v>3066</v>
      </c>
      <c r="B255" s="20" t="s">
        <v>70</v>
      </c>
      <c r="C255" s="18" t="s">
        <v>54</v>
      </c>
      <c r="D255" s="18">
        <v>5</v>
      </c>
      <c r="E255" s="18">
        <v>0</v>
      </c>
      <c r="F255" s="18" t="s">
        <v>9</v>
      </c>
      <c r="G255" s="18">
        <v>29</v>
      </c>
      <c r="H255" s="22">
        <v>3.5619438740588638</v>
      </c>
      <c r="I255" s="22">
        <v>3.8576317590691307</v>
      </c>
      <c r="J255" s="22">
        <v>7.4195756331279945</v>
      </c>
      <c r="K255" s="22">
        <v>3.5619438740588638</v>
      </c>
      <c r="L255" s="22">
        <v>3.8576317590691307</v>
      </c>
      <c r="M255" s="22">
        <v>7.4195756331279945</v>
      </c>
      <c r="N255" s="22">
        <v>3.5318275154004106</v>
      </c>
      <c r="O255" s="22">
        <v>3.8439425051334704</v>
      </c>
      <c r="P255" s="22">
        <v>7.3757700205338805</v>
      </c>
      <c r="Q255" s="22">
        <v>3.9644079397672827</v>
      </c>
      <c r="R255" s="22" t="s">
        <v>8</v>
      </c>
      <c r="S255" s="22" t="s">
        <v>8</v>
      </c>
      <c r="T255" s="30">
        <v>3</v>
      </c>
      <c r="U255" s="30">
        <v>14</v>
      </c>
      <c r="V255" s="20" t="s">
        <v>1</v>
      </c>
      <c r="W255" s="20">
        <v>5</v>
      </c>
      <c r="X255" s="20">
        <v>2</v>
      </c>
      <c r="Y255" s="5">
        <v>1</v>
      </c>
      <c r="Z255" s="24">
        <v>4</v>
      </c>
      <c r="AA255" s="23">
        <f t="shared" si="9"/>
        <v>1</v>
      </c>
      <c r="AB255" s="15">
        <v>1</v>
      </c>
      <c r="AC255" s="15">
        <v>0.625</v>
      </c>
      <c r="AD255" s="15">
        <v>0.5</v>
      </c>
      <c r="AE255" s="15">
        <v>0.70799999999999996</v>
      </c>
      <c r="AF255" s="20">
        <v>17</v>
      </c>
      <c r="AG255" s="20">
        <v>11.62</v>
      </c>
      <c r="AH255" s="24">
        <v>24</v>
      </c>
      <c r="AI255" s="23">
        <f t="shared" si="10"/>
        <v>1</v>
      </c>
      <c r="AJ255" s="17">
        <v>9.75</v>
      </c>
      <c r="AK255" s="17">
        <v>7.5</v>
      </c>
      <c r="AL255" s="14">
        <v>17.25</v>
      </c>
      <c r="AM255" s="23" cm="1">
        <f t="array" ref="AM255">IF(OR(AN255:AZ255=""),"BLANK",IF(AND(AN255:AZ255&lt;9999999),1,IF(AND(AN255:AZ255="NA"),3,2)))</f>
        <v>1</v>
      </c>
      <c r="AN255" s="20">
        <v>7</v>
      </c>
      <c r="AO255" s="26">
        <v>2</v>
      </c>
      <c r="AP255" s="15">
        <v>3</v>
      </c>
      <c r="AQ255" s="15">
        <v>4.25</v>
      </c>
      <c r="AR255" s="15">
        <v>10.25</v>
      </c>
      <c r="AS255" s="26">
        <v>5693.5</v>
      </c>
      <c r="AT255" s="26">
        <v>6558.5</v>
      </c>
      <c r="AU255" s="26">
        <v>7430.25</v>
      </c>
      <c r="AV255" s="26">
        <v>13232.5</v>
      </c>
      <c r="AW255" s="26">
        <v>0</v>
      </c>
      <c r="AX255" s="26">
        <v>0</v>
      </c>
      <c r="AY255" s="26">
        <v>0</v>
      </c>
      <c r="AZ255" s="26">
        <v>712.50189393940002</v>
      </c>
      <c r="BA255" s="23">
        <f t="shared" si="11"/>
        <v>1</v>
      </c>
      <c r="BB255" s="24">
        <v>34</v>
      </c>
    </row>
    <row r="256" spans="1:54" x14ac:dyDescent="0.2">
      <c r="A256" s="5">
        <v>3102</v>
      </c>
      <c r="B256" s="20" t="s">
        <v>64</v>
      </c>
      <c r="C256" s="18" t="s">
        <v>55</v>
      </c>
      <c r="D256" s="18">
        <v>5</v>
      </c>
      <c r="E256" s="18">
        <v>0</v>
      </c>
      <c r="F256" s="18" t="s">
        <v>9</v>
      </c>
      <c r="G256" s="18">
        <v>27</v>
      </c>
      <c r="H256" s="17">
        <v>3.4715947980835042</v>
      </c>
      <c r="I256" s="17">
        <v>3.9753593429158109</v>
      </c>
      <c r="J256" s="17">
        <v>7.4469541409993152</v>
      </c>
      <c r="K256" s="17">
        <v>3.4688569472963722</v>
      </c>
      <c r="L256" s="17">
        <v>3.9753593429158109</v>
      </c>
      <c r="M256" s="17">
        <v>7.4442162902121831</v>
      </c>
      <c r="N256" s="17">
        <v>3.4360027378507869</v>
      </c>
      <c r="O256" s="17">
        <v>3.9698836413415468</v>
      </c>
      <c r="P256" s="17">
        <v>7.4058863791923342</v>
      </c>
      <c r="Q256" s="17">
        <v>3.8439425051334704</v>
      </c>
      <c r="R256" s="17" t="s">
        <v>8</v>
      </c>
      <c r="S256" s="17" t="s">
        <v>8</v>
      </c>
      <c r="T256" s="30">
        <v>4</v>
      </c>
      <c r="U256" s="30">
        <v>16</v>
      </c>
      <c r="V256" s="20" t="s">
        <v>1</v>
      </c>
      <c r="W256" s="20">
        <v>5</v>
      </c>
      <c r="X256" s="20">
        <v>2</v>
      </c>
      <c r="Y256" s="5">
        <v>1</v>
      </c>
      <c r="Z256" s="24">
        <v>4</v>
      </c>
      <c r="AA256" s="23">
        <f t="shared" si="9"/>
        <v>2</v>
      </c>
      <c r="AB256" s="15">
        <v>1</v>
      </c>
      <c r="AC256" s="15">
        <v>0.5</v>
      </c>
      <c r="AD256" s="15">
        <v>0.5</v>
      </c>
      <c r="AE256" s="15">
        <v>0.66700000000000004</v>
      </c>
      <c r="AF256" s="20">
        <v>16</v>
      </c>
      <c r="AG256" s="20" t="s">
        <v>8</v>
      </c>
      <c r="AH256" s="24">
        <v>24</v>
      </c>
      <c r="AI256" s="23">
        <f t="shared" si="10"/>
        <v>1</v>
      </c>
      <c r="AJ256" s="17">
        <v>1</v>
      </c>
      <c r="AK256" s="17">
        <v>3.75</v>
      </c>
      <c r="AL256" s="14">
        <v>4.75</v>
      </c>
      <c r="AM256" s="23" cm="1">
        <f t="array" ref="AM256">IF(OR(AN256:AZ256=""),"BLANK",IF(AND(AN256:AZ256&lt;9999999),1,IF(AND(AN256:AZ256="NA"),3,2)))</f>
        <v>1</v>
      </c>
      <c r="AN256" s="20">
        <v>6</v>
      </c>
      <c r="AO256" s="26">
        <v>2</v>
      </c>
      <c r="AP256" s="15">
        <v>3</v>
      </c>
      <c r="AQ256" s="15">
        <v>5.25</v>
      </c>
      <c r="AR256" s="15">
        <v>11.5</v>
      </c>
      <c r="AS256" s="26">
        <v>0</v>
      </c>
      <c r="AT256" s="26">
        <v>8484</v>
      </c>
      <c r="AU256" s="26">
        <v>6997</v>
      </c>
      <c r="AV256" s="26">
        <v>5339.5</v>
      </c>
      <c r="AW256" s="26">
        <v>395.25</v>
      </c>
      <c r="AX256" s="26">
        <v>0</v>
      </c>
      <c r="AY256" s="26">
        <v>2078.1812500000001</v>
      </c>
      <c r="AZ256" s="26">
        <v>2621.7125000000001</v>
      </c>
      <c r="BA256" s="23">
        <f t="shared" si="11"/>
        <v>1</v>
      </c>
      <c r="BB256" s="24">
        <v>27</v>
      </c>
    </row>
    <row r="257" spans="1:54" x14ac:dyDescent="0.2">
      <c r="A257" s="5">
        <v>3126</v>
      </c>
      <c r="B257" s="20" t="s">
        <v>63</v>
      </c>
      <c r="C257" s="18" t="s">
        <v>54</v>
      </c>
      <c r="D257" s="18">
        <v>5</v>
      </c>
      <c r="E257" s="18">
        <v>0</v>
      </c>
      <c r="F257" s="18" t="s">
        <v>9</v>
      </c>
      <c r="G257" s="18">
        <v>30</v>
      </c>
      <c r="H257" s="17">
        <v>3.4770704996577688</v>
      </c>
      <c r="I257" s="17">
        <v>4.3531827515400412</v>
      </c>
      <c r="J257" s="17">
        <v>7.83025325119781</v>
      </c>
      <c r="K257" s="17">
        <v>3.5646817248459959</v>
      </c>
      <c r="L257" s="17">
        <v>4.2464065708418888</v>
      </c>
      <c r="M257" s="17">
        <v>7.8110882956878847</v>
      </c>
      <c r="N257" s="17">
        <v>3.5592060232717317</v>
      </c>
      <c r="O257" s="17">
        <v>4.1916495550992474</v>
      </c>
      <c r="P257" s="17">
        <v>7.7508555783709792</v>
      </c>
      <c r="Q257" s="17">
        <v>3.6550308008213555</v>
      </c>
      <c r="R257" s="17" t="s">
        <v>8</v>
      </c>
      <c r="S257" s="17" t="s">
        <v>8</v>
      </c>
      <c r="T257" s="30">
        <v>3</v>
      </c>
      <c r="U257" s="30">
        <v>15</v>
      </c>
      <c r="V257" s="20" t="s">
        <v>1</v>
      </c>
      <c r="W257" s="20">
        <v>5</v>
      </c>
      <c r="X257" s="20">
        <v>2</v>
      </c>
      <c r="Y257" s="5">
        <v>1</v>
      </c>
      <c r="Z257" s="24">
        <v>4</v>
      </c>
      <c r="AA257" s="23">
        <f t="shared" si="9"/>
        <v>1</v>
      </c>
      <c r="AB257" s="15">
        <v>1</v>
      </c>
      <c r="AC257" s="15">
        <v>0.875</v>
      </c>
      <c r="AD257" s="15">
        <v>0.375</v>
      </c>
      <c r="AE257" s="15">
        <v>0.73899999999999999</v>
      </c>
      <c r="AF257" s="20">
        <v>17</v>
      </c>
      <c r="AG257" s="20">
        <v>1.72</v>
      </c>
      <c r="AH257" s="24">
        <v>23</v>
      </c>
      <c r="AI257" s="23">
        <f t="shared" si="10"/>
        <v>1</v>
      </c>
      <c r="AJ257" s="17">
        <v>7.75</v>
      </c>
      <c r="AK257" s="17">
        <v>3.25</v>
      </c>
      <c r="AL257" s="14">
        <v>11</v>
      </c>
      <c r="AM257" s="23" cm="1">
        <f t="array" ref="AM257">IF(OR(AN257:AZ257=""),"BLANK",IF(AND(AN257:AZ257&lt;9999999),1,IF(AND(AN257:AZ257="NA"),3,2)))</f>
        <v>1</v>
      </c>
      <c r="AN257" s="20">
        <v>9</v>
      </c>
      <c r="AO257" s="26">
        <v>2</v>
      </c>
      <c r="AP257" s="15">
        <v>3</v>
      </c>
      <c r="AQ257" s="15">
        <v>5.25</v>
      </c>
      <c r="AR257" s="15">
        <v>7.5</v>
      </c>
      <c r="AS257" s="26">
        <v>3534</v>
      </c>
      <c r="AT257" s="26">
        <v>7507</v>
      </c>
      <c r="AU257" s="26">
        <v>18407.5</v>
      </c>
      <c r="AV257" s="26">
        <v>20780.25</v>
      </c>
      <c r="AW257" s="26">
        <v>907.25</v>
      </c>
      <c r="AX257" s="26">
        <v>0</v>
      </c>
      <c r="AY257" s="26">
        <v>2913.3055555556002</v>
      </c>
      <c r="AZ257" s="26">
        <v>2180.4708333333001</v>
      </c>
      <c r="BA257" s="23">
        <f t="shared" si="11"/>
        <v>1</v>
      </c>
      <c r="BB257" s="24">
        <v>34</v>
      </c>
    </row>
    <row r="258" spans="1:54" x14ac:dyDescent="0.2">
      <c r="A258" s="5">
        <v>3131</v>
      </c>
      <c r="B258" s="20" t="s">
        <v>81</v>
      </c>
      <c r="C258" s="18" t="s">
        <v>54</v>
      </c>
      <c r="D258" s="18">
        <v>5</v>
      </c>
      <c r="E258" s="18">
        <v>0</v>
      </c>
      <c r="F258" s="18" t="s">
        <v>9</v>
      </c>
      <c r="G258" s="18">
        <v>29</v>
      </c>
      <c r="H258" s="17">
        <v>3.5482546201232035</v>
      </c>
      <c r="I258" s="17">
        <v>4.2902121834360027</v>
      </c>
      <c r="J258" s="17">
        <v>7.8384668035592062</v>
      </c>
      <c r="K258" s="17">
        <v>3.5482546201232035</v>
      </c>
      <c r="L258" s="17">
        <v>4.2902121834360027</v>
      </c>
      <c r="M258" s="17">
        <v>7.8384668035592062</v>
      </c>
      <c r="N258" s="17">
        <v>3.5400410677618068</v>
      </c>
      <c r="O258" s="17">
        <v>4.3230663928815876</v>
      </c>
      <c r="P258" s="17">
        <v>7.8631074606433948</v>
      </c>
      <c r="Q258" s="17">
        <v>3.4086242299794662</v>
      </c>
      <c r="R258" s="17">
        <v>4.2546201232032859</v>
      </c>
      <c r="S258" s="17">
        <v>7.6632443531827512</v>
      </c>
      <c r="T258" s="30">
        <v>3</v>
      </c>
      <c r="U258" s="30">
        <v>14.5</v>
      </c>
      <c r="V258" s="20" t="s">
        <v>1</v>
      </c>
      <c r="W258" s="20">
        <v>5</v>
      </c>
      <c r="X258" s="20">
        <v>2</v>
      </c>
      <c r="Y258" s="5">
        <v>1</v>
      </c>
      <c r="Z258" s="24">
        <v>4</v>
      </c>
      <c r="AA258" s="23">
        <f t="shared" ref="AA258:AA321" si="12">IF(AND(ISNUMBER(AB258), ISNUMBER(AC258),ISNUMBER(AD258), ISNUMBER(AE258), ISNUMBER(AF258),ISNUMBER(AG258), ISNUMBER(AH258)), 1, IF(AND(AB258="NA", AC258="NA", AD258="na", AE258="na", AF258="na", AG258="na", AH258="na"), 3, 2))</f>
        <v>1</v>
      </c>
      <c r="AB258" s="15">
        <v>1</v>
      </c>
      <c r="AC258" s="15">
        <v>0.8571428571428571</v>
      </c>
      <c r="AD258" s="15">
        <v>0.25</v>
      </c>
      <c r="AE258" s="15">
        <v>0.69599999999999995</v>
      </c>
      <c r="AF258" s="20">
        <v>16</v>
      </c>
      <c r="AG258" s="20">
        <v>8.9700000000000006</v>
      </c>
      <c r="AH258" s="24">
        <v>23</v>
      </c>
      <c r="AI258" s="23">
        <f t="shared" ref="AI258:AI321" si="13">IF(AND(ISNUMBER(AJ258), ISNUMBER(AK258),ISNUMBER(AL258)), 1, IF(AND(AJ258="NA", AK258="NA", AL258="na"), 3, 2))</f>
        <v>1</v>
      </c>
      <c r="AJ258" s="17">
        <v>8</v>
      </c>
      <c r="AK258" s="17">
        <v>7.5</v>
      </c>
      <c r="AL258" s="14">
        <v>15.5</v>
      </c>
      <c r="AM258" s="23" cm="1">
        <f t="array" ref="AM258">IF(OR(AN258:AZ258=""),"BLANK",IF(AND(AN258:AZ258&lt;9999999),1,IF(AND(AN258:AZ258="NA"),3,2)))</f>
        <v>1</v>
      </c>
      <c r="AN258" s="20">
        <v>7</v>
      </c>
      <c r="AO258" s="26">
        <v>2</v>
      </c>
      <c r="AP258" s="15">
        <v>3</v>
      </c>
      <c r="AQ258" s="15">
        <v>5.5</v>
      </c>
      <c r="AR258" s="15">
        <v>8.75</v>
      </c>
      <c r="AS258" s="26">
        <v>2327.5</v>
      </c>
      <c r="AT258" s="26">
        <v>3330</v>
      </c>
      <c r="AU258" s="26">
        <v>3041</v>
      </c>
      <c r="AV258" s="26">
        <v>5788.25</v>
      </c>
      <c r="AW258" s="26">
        <v>387.25</v>
      </c>
      <c r="AX258" s="26">
        <v>970.66666666670005</v>
      </c>
      <c r="AY258" s="26">
        <v>4607.3</v>
      </c>
      <c r="AZ258" s="26">
        <v>3574.9060606060998</v>
      </c>
      <c r="BA258" s="23">
        <f t="shared" si="11"/>
        <v>1</v>
      </c>
      <c r="BB258" s="24">
        <v>36</v>
      </c>
    </row>
    <row r="259" spans="1:54" x14ac:dyDescent="0.2">
      <c r="A259" s="5">
        <v>3146</v>
      </c>
      <c r="B259" s="20" t="s">
        <v>82</v>
      </c>
      <c r="C259" s="18" t="s">
        <v>55</v>
      </c>
      <c r="D259" s="18">
        <v>5</v>
      </c>
      <c r="E259" s="18">
        <v>1</v>
      </c>
      <c r="F259" s="18" t="s">
        <v>9</v>
      </c>
      <c r="G259" s="18">
        <v>25</v>
      </c>
      <c r="H259" s="17">
        <v>3.460643394934976</v>
      </c>
      <c r="I259" s="17">
        <v>4.5393566050650236</v>
      </c>
      <c r="J259" s="17">
        <v>8</v>
      </c>
      <c r="K259" s="17">
        <v>3.460643394934976</v>
      </c>
      <c r="L259" s="17">
        <v>4.6543463381245722</v>
      </c>
      <c r="M259" s="17">
        <v>8.1149897330595486</v>
      </c>
      <c r="N259" s="17">
        <v>3.5263518138261465</v>
      </c>
      <c r="O259" s="17">
        <v>4.4791238877481181</v>
      </c>
      <c r="P259" s="17">
        <v>8.0054757015742641</v>
      </c>
      <c r="Q259" s="17">
        <v>3.5455167693360714</v>
      </c>
      <c r="R259" s="17" t="s">
        <v>8</v>
      </c>
      <c r="S259" s="17" t="s">
        <v>8</v>
      </c>
      <c r="T259" s="30">
        <v>3</v>
      </c>
      <c r="U259" s="30">
        <v>13</v>
      </c>
      <c r="V259" s="20" t="s">
        <v>1</v>
      </c>
      <c r="W259" s="20">
        <v>5</v>
      </c>
      <c r="X259" s="20">
        <v>2</v>
      </c>
      <c r="Y259" s="5">
        <v>1</v>
      </c>
      <c r="Z259" s="24">
        <v>4</v>
      </c>
      <c r="AA259" s="23">
        <f t="shared" si="12"/>
        <v>1</v>
      </c>
      <c r="AB259" s="15">
        <v>0.875</v>
      </c>
      <c r="AC259" s="15">
        <v>0.625</v>
      </c>
      <c r="AD259" s="15">
        <v>0.25</v>
      </c>
      <c r="AE259" s="15">
        <v>0.58299999999999996</v>
      </c>
      <c r="AF259" s="20">
        <v>14</v>
      </c>
      <c r="AG259" s="20">
        <v>10.85</v>
      </c>
      <c r="AH259" s="24">
        <v>24</v>
      </c>
      <c r="AI259" s="23">
        <f t="shared" si="13"/>
        <v>1</v>
      </c>
      <c r="AJ259" s="17">
        <v>6.5</v>
      </c>
      <c r="AK259" s="17">
        <v>0.25</v>
      </c>
      <c r="AL259" s="14">
        <v>6.75</v>
      </c>
      <c r="AM259" s="23" cm="1">
        <f t="array" ref="AM259">IF(OR(AN259:AZ259=""),"BLANK",IF(AND(AN259:AZ259&lt;9999999),1,IF(AND(AN259:AZ259="NA"),3,2)))</f>
        <v>1</v>
      </c>
      <c r="AN259" s="20">
        <v>7</v>
      </c>
      <c r="AO259" s="26">
        <v>2</v>
      </c>
      <c r="AP259" s="15">
        <v>3</v>
      </c>
      <c r="AQ259" s="15">
        <v>6.75</v>
      </c>
      <c r="AR259" s="15">
        <v>7.5</v>
      </c>
      <c r="AS259" s="26">
        <v>1580.5</v>
      </c>
      <c r="AT259" s="26">
        <v>5144</v>
      </c>
      <c r="AU259" s="26">
        <v>6751.25</v>
      </c>
      <c r="AV259" s="26">
        <v>7358.5</v>
      </c>
      <c r="AW259" s="26">
        <v>0</v>
      </c>
      <c r="AX259" s="26">
        <v>0</v>
      </c>
      <c r="AY259" s="26">
        <v>1253.0277777778001</v>
      </c>
      <c r="AZ259" s="26">
        <v>93.008333333300001</v>
      </c>
      <c r="BA259" s="23">
        <f t="shared" ref="BA259:BA322" si="14">IF(BB259="NA", 3,1)</f>
        <v>1</v>
      </c>
      <c r="BB259" s="24">
        <v>21</v>
      </c>
    </row>
    <row r="260" spans="1:54" x14ac:dyDescent="0.2">
      <c r="A260" s="5">
        <v>3163</v>
      </c>
      <c r="B260" s="20" t="s">
        <v>62</v>
      </c>
      <c r="C260" s="18" t="s">
        <v>55</v>
      </c>
      <c r="D260" s="18">
        <v>5</v>
      </c>
      <c r="E260" s="18">
        <v>0</v>
      </c>
      <c r="F260" s="18" t="s">
        <v>9</v>
      </c>
      <c r="G260" s="18">
        <v>30</v>
      </c>
      <c r="H260" s="17">
        <v>3.3921971252566734</v>
      </c>
      <c r="I260" s="17">
        <v>4.5010266940451746</v>
      </c>
      <c r="J260" s="17">
        <v>7.8932238193018485</v>
      </c>
      <c r="K260" s="17">
        <v>3.3921971252566734</v>
      </c>
      <c r="L260" s="17">
        <v>4.5010266940451746</v>
      </c>
      <c r="M260" s="17">
        <v>7.8932238193018485</v>
      </c>
      <c r="N260" s="17">
        <v>3.4086242299794662</v>
      </c>
      <c r="O260" s="17" t="s">
        <v>8</v>
      </c>
      <c r="P260" s="17" t="s">
        <v>8</v>
      </c>
      <c r="Q260" s="17">
        <v>3.8302532511978096</v>
      </c>
      <c r="R260" s="17" t="s">
        <v>8</v>
      </c>
      <c r="S260" s="17" t="s">
        <v>8</v>
      </c>
      <c r="T260" s="30">
        <v>4</v>
      </c>
      <c r="U260" s="30">
        <v>16</v>
      </c>
      <c r="V260" s="20" t="s">
        <v>1</v>
      </c>
      <c r="W260" s="20">
        <v>5</v>
      </c>
      <c r="X260" s="20">
        <v>2</v>
      </c>
      <c r="Y260" s="5">
        <v>1</v>
      </c>
      <c r="Z260" s="24">
        <v>4</v>
      </c>
      <c r="AA260" s="23">
        <f t="shared" si="12"/>
        <v>1</v>
      </c>
      <c r="AB260" s="15">
        <v>1</v>
      </c>
      <c r="AC260" s="15">
        <v>0.875</v>
      </c>
      <c r="AD260" s="15">
        <v>0.875</v>
      </c>
      <c r="AE260" s="15">
        <v>0.91700000000000004</v>
      </c>
      <c r="AF260" s="20">
        <v>22</v>
      </c>
      <c r="AG260" s="20">
        <v>6.83</v>
      </c>
      <c r="AH260" s="24">
        <v>24</v>
      </c>
      <c r="AI260" s="23">
        <f t="shared" si="13"/>
        <v>1</v>
      </c>
      <c r="AJ260" s="17">
        <v>12.75</v>
      </c>
      <c r="AK260" s="17">
        <v>5.75</v>
      </c>
      <c r="AL260" s="14">
        <v>18.5</v>
      </c>
      <c r="AM260" s="23" cm="1">
        <f t="array" ref="AM260">IF(OR(AN260:AZ260=""),"BLANK",IF(AND(AN260:AZ260&lt;9999999),1,IF(AND(AN260:AZ260="NA"),3,2)))</f>
        <v>1</v>
      </c>
      <c r="AN260" s="20">
        <v>10</v>
      </c>
      <c r="AO260" s="26">
        <v>2</v>
      </c>
      <c r="AP260" s="15">
        <v>3</v>
      </c>
      <c r="AQ260" s="15">
        <v>4</v>
      </c>
      <c r="AR260" s="15">
        <v>8.25</v>
      </c>
      <c r="AS260" s="26">
        <v>800</v>
      </c>
      <c r="AT260" s="26">
        <v>3964.5</v>
      </c>
      <c r="AU260" s="26">
        <v>5504.25</v>
      </c>
      <c r="AV260" s="26">
        <v>11046.25</v>
      </c>
      <c r="AW260" s="26">
        <v>0</v>
      </c>
      <c r="AX260" s="26">
        <v>378.6666666667</v>
      </c>
      <c r="AY260" s="26">
        <v>0</v>
      </c>
      <c r="AZ260" s="26">
        <v>741.43030303030002</v>
      </c>
      <c r="BA260" s="23">
        <f t="shared" si="14"/>
        <v>1</v>
      </c>
      <c r="BB260" s="24">
        <v>38</v>
      </c>
    </row>
    <row r="261" spans="1:54" x14ac:dyDescent="0.2">
      <c r="A261" s="5">
        <v>3182</v>
      </c>
      <c r="B261" s="20" t="s">
        <v>75</v>
      </c>
      <c r="C261" s="18" t="s">
        <v>55</v>
      </c>
      <c r="D261" s="18">
        <v>5</v>
      </c>
      <c r="E261" s="18">
        <v>0</v>
      </c>
      <c r="F261" s="18" t="s">
        <v>9</v>
      </c>
      <c r="G261" s="18">
        <v>26</v>
      </c>
      <c r="H261" s="22">
        <v>3.5509924709103355</v>
      </c>
      <c r="I261" s="22" t="s">
        <v>8</v>
      </c>
      <c r="J261" s="22" t="s">
        <v>8</v>
      </c>
      <c r="K261" s="22">
        <v>3.5646817248459959</v>
      </c>
      <c r="L261" s="22" t="s">
        <v>8</v>
      </c>
      <c r="M261" s="22" t="s">
        <v>8</v>
      </c>
      <c r="N261" s="22">
        <v>3.5509924709103355</v>
      </c>
      <c r="O261" s="22" t="s">
        <v>8</v>
      </c>
      <c r="P261" s="22" t="s">
        <v>8</v>
      </c>
      <c r="Q261" s="22">
        <v>3.3319644079397674</v>
      </c>
      <c r="R261" s="22" t="s">
        <v>8</v>
      </c>
      <c r="S261" s="22" t="s">
        <v>8</v>
      </c>
      <c r="T261" s="30" t="s">
        <v>8</v>
      </c>
      <c r="U261" s="30" t="s">
        <v>8</v>
      </c>
      <c r="V261" s="20" t="s">
        <v>1</v>
      </c>
      <c r="W261" s="20">
        <v>5</v>
      </c>
      <c r="X261" s="20">
        <v>2</v>
      </c>
      <c r="Y261" s="5">
        <v>1</v>
      </c>
      <c r="Z261" s="24">
        <v>4</v>
      </c>
      <c r="AA261" s="23">
        <f t="shared" si="12"/>
        <v>1</v>
      </c>
      <c r="AB261" s="15">
        <v>1</v>
      </c>
      <c r="AC261" s="15">
        <v>0.625</v>
      </c>
      <c r="AD261" s="15">
        <v>0.625</v>
      </c>
      <c r="AE261" s="15">
        <v>0.75</v>
      </c>
      <c r="AF261" s="20">
        <v>18</v>
      </c>
      <c r="AG261" s="20">
        <v>10.130000000000001</v>
      </c>
      <c r="AH261" s="24">
        <v>24</v>
      </c>
      <c r="AI261" s="23">
        <f t="shared" si="13"/>
        <v>1</v>
      </c>
      <c r="AJ261" s="17">
        <v>5</v>
      </c>
      <c r="AK261" s="17">
        <v>0</v>
      </c>
      <c r="AL261" s="14">
        <v>5</v>
      </c>
      <c r="AM261" s="23" cm="1">
        <f t="array" ref="AM261">IF(OR(AN261:AZ261=""),"BLANK",IF(AND(AN261:AZ261&lt;9999999),1,IF(AND(AN261:AZ261="NA"),3,2)))</f>
        <v>1</v>
      </c>
      <c r="AN261" s="20">
        <v>8</v>
      </c>
      <c r="AO261" s="26">
        <v>2</v>
      </c>
      <c r="AP261" s="15">
        <v>3</v>
      </c>
      <c r="AQ261" s="15">
        <v>5.25</v>
      </c>
      <c r="AR261" s="15">
        <v>9</v>
      </c>
      <c r="AS261" s="26">
        <v>751.5</v>
      </c>
      <c r="AT261" s="26">
        <v>4070</v>
      </c>
      <c r="AU261" s="26">
        <v>4236.75</v>
      </c>
      <c r="AV261" s="26">
        <v>4737</v>
      </c>
      <c r="AW261" s="26">
        <v>0</v>
      </c>
      <c r="AX261" s="26">
        <v>1113.3333333333001</v>
      </c>
      <c r="AY261" s="26">
        <v>3532.4861111110999</v>
      </c>
      <c r="AZ261" s="26">
        <v>4316.3190476190002</v>
      </c>
      <c r="BA261" s="23">
        <f t="shared" si="14"/>
        <v>1</v>
      </c>
      <c r="BB261" s="24">
        <v>16</v>
      </c>
    </row>
    <row r="262" spans="1:54" x14ac:dyDescent="0.2">
      <c r="A262" s="5">
        <v>3211</v>
      </c>
      <c r="B262" s="20" t="s">
        <v>80</v>
      </c>
      <c r="C262" s="18" t="s">
        <v>55</v>
      </c>
      <c r="D262" s="18">
        <v>5</v>
      </c>
      <c r="E262" s="18">
        <v>0</v>
      </c>
      <c r="F262" s="18" t="s">
        <v>9</v>
      </c>
      <c r="G262" s="18">
        <v>27</v>
      </c>
      <c r="H262" s="17">
        <v>3.8850102669404518</v>
      </c>
      <c r="I262" s="17">
        <v>3.7535934291581108</v>
      </c>
      <c r="J262" s="17">
        <v>7.6386036960985626</v>
      </c>
      <c r="K262" s="17">
        <v>4.3641341546885695</v>
      </c>
      <c r="L262" s="17">
        <v>3.3100616016427105</v>
      </c>
      <c r="M262" s="17">
        <v>7.6741957563312804</v>
      </c>
      <c r="N262" s="17">
        <v>4.0136892539356603</v>
      </c>
      <c r="O262" s="17">
        <v>3.6358658453114305</v>
      </c>
      <c r="P262" s="17">
        <v>7.6495550992470909</v>
      </c>
      <c r="Q262" s="17">
        <v>4.0958247775496233</v>
      </c>
      <c r="R262" s="17">
        <v>3.808350444900753</v>
      </c>
      <c r="S262" s="17">
        <v>7.9041752224503767</v>
      </c>
      <c r="T262" s="30">
        <v>4</v>
      </c>
      <c r="U262" s="30">
        <v>16</v>
      </c>
      <c r="V262" s="20" t="s">
        <v>1</v>
      </c>
      <c r="W262" s="20">
        <v>5</v>
      </c>
      <c r="X262" s="20">
        <v>2</v>
      </c>
      <c r="Y262" s="5">
        <v>1</v>
      </c>
      <c r="Z262" s="24">
        <v>4</v>
      </c>
      <c r="AA262" s="23">
        <f t="shared" si="12"/>
        <v>1</v>
      </c>
      <c r="AB262" s="15">
        <v>1</v>
      </c>
      <c r="AC262" s="15">
        <v>0.875</v>
      </c>
      <c r="AD262" s="15">
        <v>0.5</v>
      </c>
      <c r="AE262" s="15">
        <v>0.79200000000000004</v>
      </c>
      <c r="AF262" s="20">
        <v>19</v>
      </c>
      <c r="AG262" s="20">
        <v>10.220000000000001</v>
      </c>
      <c r="AH262" s="24">
        <v>24</v>
      </c>
      <c r="AI262" s="23">
        <f t="shared" si="13"/>
        <v>1</v>
      </c>
      <c r="AJ262" s="17">
        <v>6.5</v>
      </c>
      <c r="AK262" s="17">
        <v>7</v>
      </c>
      <c r="AL262" s="14">
        <v>13.5</v>
      </c>
      <c r="AM262" s="23" cm="1">
        <f t="array" ref="AM262">IF(OR(AN262:AZ262=""),"BLANK",IF(AND(AN262:AZ262&lt;9999999),1,IF(AND(AN262:AZ262="NA"),3,2)))</f>
        <v>1</v>
      </c>
      <c r="AN262" s="20">
        <v>9</v>
      </c>
      <c r="AO262" s="26">
        <v>2</v>
      </c>
      <c r="AP262" s="15">
        <v>3</v>
      </c>
      <c r="AQ262" s="15">
        <v>5.25</v>
      </c>
      <c r="AR262" s="15">
        <v>6</v>
      </c>
      <c r="AS262" s="26">
        <v>1357.5</v>
      </c>
      <c r="AT262" s="26">
        <v>6122</v>
      </c>
      <c r="AU262" s="26">
        <v>7468.5</v>
      </c>
      <c r="AV262" s="26">
        <v>14313</v>
      </c>
      <c r="AW262" s="26">
        <v>0</v>
      </c>
      <c r="AX262" s="26">
        <v>0</v>
      </c>
      <c r="AY262" s="26">
        <v>1154.9236111110999</v>
      </c>
      <c r="AZ262" s="26">
        <v>973.45</v>
      </c>
      <c r="BA262" s="23">
        <f t="shared" si="14"/>
        <v>1</v>
      </c>
      <c r="BB262" s="24">
        <v>36</v>
      </c>
    </row>
    <row r="263" spans="1:54" x14ac:dyDescent="0.2">
      <c r="A263" s="5">
        <v>3242</v>
      </c>
      <c r="B263" s="20" t="s">
        <v>63</v>
      </c>
      <c r="C263" s="18" t="s">
        <v>54</v>
      </c>
      <c r="D263" s="18">
        <v>5</v>
      </c>
      <c r="E263" s="18">
        <v>0</v>
      </c>
      <c r="F263" s="18" t="s">
        <v>9</v>
      </c>
      <c r="G263" s="18">
        <v>27</v>
      </c>
      <c r="H263" s="17">
        <v>3.5044490075290895</v>
      </c>
      <c r="I263" s="17" t="s">
        <v>8</v>
      </c>
      <c r="J263" s="17" t="s">
        <v>8</v>
      </c>
      <c r="K263" s="17">
        <v>3.5044490075290895</v>
      </c>
      <c r="L263" s="17" t="s">
        <v>8</v>
      </c>
      <c r="M263" s="17" t="s">
        <v>8</v>
      </c>
      <c r="N263" s="17">
        <v>3.5181382614647503</v>
      </c>
      <c r="O263" s="17" t="s">
        <v>8</v>
      </c>
      <c r="P263" s="17" t="s">
        <v>8</v>
      </c>
      <c r="Q263" s="17">
        <v>3.4277891854893907</v>
      </c>
      <c r="R263" s="17" t="s">
        <v>8</v>
      </c>
      <c r="S263" s="17" t="s">
        <v>8</v>
      </c>
      <c r="T263" s="30">
        <v>3</v>
      </c>
      <c r="U263" s="30">
        <v>14</v>
      </c>
      <c r="V263" s="20" t="s">
        <v>1</v>
      </c>
      <c r="W263" s="20">
        <v>5</v>
      </c>
      <c r="X263" s="20">
        <v>2</v>
      </c>
      <c r="Y263" s="5">
        <v>1</v>
      </c>
      <c r="Z263" s="24">
        <v>4</v>
      </c>
      <c r="AA263" s="23">
        <f t="shared" si="12"/>
        <v>1</v>
      </c>
      <c r="AB263" s="15">
        <v>1</v>
      </c>
      <c r="AC263" s="15">
        <v>0.875</v>
      </c>
      <c r="AD263" s="15">
        <v>0.125</v>
      </c>
      <c r="AE263" s="15">
        <v>0.66700000000000004</v>
      </c>
      <c r="AF263" s="20">
        <v>16</v>
      </c>
      <c r="AG263" s="20">
        <v>2.83</v>
      </c>
      <c r="AH263" s="24">
        <v>24</v>
      </c>
      <c r="AI263" s="23">
        <f t="shared" si="13"/>
        <v>1</v>
      </c>
      <c r="AJ263" s="17">
        <v>6.75</v>
      </c>
      <c r="AK263" s="17">
        <v>8.75</v>
      </c>
      <c r="AL263" s="14">
        <v>15.5</v>
      </c>
      <c r="AM263" s="23" cm="1">
        <f t="array" ref="AM263">IF(OR(AN263:AZ263=""),"BLANK",IF(AND(AN263:AZ263&lt;9999999),1,IF(AND(AN263:AZ263="NA"),3,2)))</f>
        <v>1</v>
      </c>
      <c r="AN263" s="20">
        <v>9</v>
      </c>
      <c r="AO263" s="26">
        <v>2</v>
      </c>
      <c r="AP263" s="15">
        <v>3</v>
      </c>
      <c r="AQ263" s="15">
        <v>5.75</v>
      </c>
      <c r="AR263" s="15">
        <v>6.25</v>
      </c>
      <c r="AS263" s="26">
        <v>2399.5</v>
      </c>
      <c r="AT263" s="26">
        <v>3591.5</v>
      </c>
      <c r="AU263" s="26">
        <v>5737.25</v>
      </c>
      <c r="AV263" s="26">
        <v>7319.25</v>
      </c>
      <c r="AW263" s="26">
        <v>74.75</v>
      </c>
      <c r="AX263" s="26">
        <v>0</v>
      </c>
      <c r="AY263" s="26">
        <v>1498.3611111110999</v>
      </c>
      <c r="AZ263" s="26">
        <v>3428.625</v>
      </c>
      <c r="BA263" s="23">
        <f t="shared" si="14"/>
        <v>1</v>
      </c>
      <c r="BB263" s="24">
        <v>26</v>
      </c>
    </row>
    <row r="264" spans="1:54" x14ac:dyDescent="0.2">
      <c r="A264" s="5">
        <v>3306</v>
      </c>
      <c r="B264" s="20" t="s">
        <v>82</v>
      </c>
      <c r="C264" s="18" t="s">
        <v>54</v>
      </c>
      <c r="D264" s="18">
        <v>5</v>
      </c>
      <c r="E264" s="18">
        <v>0</v>
      </c>
      <c r="F264" s="18" t="s">
        <v>9</v>
      </c>
      <c r="G264" s="18">
        <v>30</v>
      </c>
      <c r="H264" s="22">
        <v>3.4524298425735798</v>
      </c>
      <c r="I264" s="22">
        <v>3.4113620807665983</v>
      </c>
      <c r="J264" s="22">
        <v>6.8637919233401776</v>
      </c>
      <c r="K264" s="22">
        <v>3.4524298425735798</v>
      </c>
      <c r="L264" s="22">
        <v>3.4496919917864477</v>
      </c>
      <c r="M264" s="22">
        <v>6.9021218343600275</v>
      </c>
      <c r="N264" s="22">
        <v>3.4332648870636548</v>
      </c>
      <c r="O264" s="22">
        <v>3.4305270362765228</v>
      </c>
      <c r="P264" s="22">
        <v>6.8637919233401776</v>
      </c>
      <c r="Q264" s="22">
        <v>3.3648186173853527</v>
      </c>
      <c r="R264" s="22" t="s">
        <v>8</v>
      </c>
      <c r="S264" s="22" t="s">
        <v>8</v>
      </c>
      <c r="T264" s="30">
        <v>4</v>
      </c>
      <c r="U264" s="30">
        <v>16</v>
      </c>
      <c r="V264" s="20" t="s">
        <v>1</v>
      </c>
      <c r="W264" s="20">
        <v>5</v>
      </c>
      <c r="X264" s="20">
        <v>2</v>
      </c>
      <c r="Y264" s="5">
        <v>1</v>
      </c>
      <c r="Z264" s="24">
        <v>4</v>
      </c>
      <c r="AA264" s="23">
        <f t="shared" si="12"/>
        <v>2</v>
      </c>
      <c r="AB264" s="15">
        <v>0.875</v>
      </c>
      <c r="AC264" s="15">
        <v>0.875</v>
      </c>
      <c r="AD264" s="15">
        <v>0.5714285714285714</v>
      </c>
      <c r="AE264" s="15">
        <v>0.78300000000000003</v>
      </c>
      <c r="AF264" s="20">
        <v>18</v>
      </c>
      <c r="AG264" s="20" t="s">
        <v>8</v>
      </c>
      <c r="AH264" s="24">
        <v>23</v>
      </c>
      <c r="AI264" s="23">
        <f t="shared" si="13"/>
        <v>1</v>
      </c>
      <c r="AJ264" s="17">
        <v>5</v>
      </c>
      <c r="AK264" s="17">
        <v>4.75</v>
      </c>
      <c r="AL264" s="14">
        <v>9.75</v>
      </c>
      <c r="AM264" s="23" cm="1">
        <f t="array" ref="AM264">IF(OR(AN264:AZ264=""),"BLANK",IF(AND(AN264:AZ264&lt;9999999),1,IF(AND(AN264:AZ264="NA"),3,2)))</f>
        <v>1</v>
      </c>
      <c r="AN264" s="20">
        <v>6</v>
      </c>
      <c r="AO264" s="26">
        <v>2</v>
      </c>
      <c r="AP264" s="15">
        <v>3</v>
      </c>
      <c r="AQ264" s="15">
        <v>5.75</v>
      </c>
      <c r="AR264" s="15">
        <v>12</v>
      </c>
      <c r="AS264" s="26">
        <v>448</v>
      </c>
      <c r="AT264" s="26">
        <v>7310</v>
      </c>
      <c r="AU264" s="26">
        <v>2404</v>
      </c>
      <c r="AV264" s="26">
        <v>2770.5</v>
      </c>
      <c r="AW264" s="26">
        <v>0</v>
      </c>
      <c r="AX264" s="26">
        <v>348.8333333333</v>
      </c>
      <c r="AY264" s="26">
        <v>2333.3611111110999</v>
      </c>
      <c r="AZ264" s="26">
        <v>6029.2916666666997</v>
      </c>
      <c r="BA264" s="23">
        <f t="shared" si="14"/>
        <v>1</v>
      </c>
      <c r="BB264" s="24">
        <v>35</v>
      </c>
    </row>
    <row r="265" spans="1:54" x14ac:dyDescent="0.2">
      <c r="A265" s="5">
        <v>3319</v>
      </c>
      <c r="B265" s="20" t="s">
        <v>82</v>
      </c>
      <c r="C265" s="18" t="s">
        <v>54</v>
      </c>
      <c r="D265" s="18">
        <v>5</v>
      </c>
      <c r="E265" s="18">
        <v>0</v>
      </c>
      <c r="F265" s="18" t="s">
        <v>9</v>
      </c>
      <c r="G265" s="18">
        <v>25</v>
      </c>
      <c r="H265" s="17">
        <v>3.6221765913757702</v>
      </c>
      <c r="I265" s="17">
        <v>4.3285420944558526</v>
      </c>
      <c r="J265" s="17">
        <v>7.9507186858316219</v>
      </c>
      <c r="K265" s="17">
        <v>3.6933607118412048</v>
      </c>
      <c r="L265" s="17">
        <v>4.2792607802874745</v>
      </c>
      <c r="M265" s="17">
        <v>7.9726214921286793</v>
      </c>
      <c r="N265" s="17">
        <v>3.871321013004791</v>
      </c>
      <c r="O265" s="17">
        <v>4.1998631074606436</v>
      </c>
      <c r="P265" s="17">
        <v>8.0711841204654338</v>
      </c>
      <c r="Q265" s="17">
        <v>3.6030116358658453</v>
      </c>
      <c r="R265" s="17" t="s">
        <v>8</v>
      </c>
      <c r="S265" s="17" t="s">
        <v>8</v>
      </c>
      <c r="T265" s="30">
        <v>1</v>
      </c>
      <c r="U265" s="30">
        <v>10</v>
      </c>
      <c r="V265" s="20" t="s">
        <v>1</v>
      </c>
      <c r="W265" s="20">
        <v>5</v>
      </c>
      <c r="X265" s="20">
        <v>2</v>
      </c>
      <c r="Y265" s="5">
        <v>1</v>
      </c>
      <c r="Z265" s="24">
        <v>4</v>
      </c>
      <c r="AA265" s="23">
        <f t="shared" si="12"/>
        <v>1</v>
      </c>
      <c r="AB265" s="15">
        <v>0.75</v>
      </c>
      <c r="AC265" s="15">
        <v>0.4</v>
      </c>
      <c r="AD265" s="15">
        <v>0.42857142857142855</v>
      </c>
      <c r="AE265" s="15">
        <v>0.55000000000000004</v>
      </c>
      <c r="AF265" s="20">
        <v>11</v>
      </c>
      <c r="AG265" s="20">
        <v>0.92</v>
      </c>
      <c r="AH265" s="24">
        <v>20</v>
      </c>
      <c r="AI265" s="23">
        <f t="shared" si="13"/>
        <v>1</v>
      </c>
      <c r="AJ265" s="17">
        <v>0.25</v>
      </c>
      <c r="AK265" s="17">
        <v>-0.75</v>
      </c>
      <c r="AL265" s="14">
        <v>-0.5</v>
      </c>
      <c r="AM265" s="23" cm="1">
        <f t="array" ref="AM265">IF(OR(AN265:AZ265=""),"BLANK",IF(AND(AN265:AZ265&lt;9999999),1,IF(AND(AN265:AZ265="NA"),3,2)))</f>
        <v>1</v>
      </c>
      <c r="AN265" s="20">
        <v>4</v>
      </c>
      <c r="AO265" s="26">
        <v>2</v>
      </c>
      <c r="AP265" s="15">
        <v>4</v>
      </c>
      <c r="AQ265" s="15">
        <v>6.25</v>
      </c>
      <c r="AR265" s="15">
        <v>5.75</v>
      </c>
      <c r="AS265" s="26">
        <v>731.5</v>
      </c>
      <c r="AT265" s="26">
        <v>17376</v>
      </c>
      <c r="AU265" s="26">
        <v>20289</v>
      </c>
      <c r="AV265" s="26">
        <v>9625</v>
      </c>
      <c r="AW265" s="26">
        <v>0</v>
      </c>
      <c r="AX265" s="26">
        <v>10692</v>
      </c>
      <c r="AY265" s="26">
        <v>20115.875</v>
      </c>
      <c r="AZ265" s="26">
        <v>5495.4583333333003</v>
      </c>
      <c r="BA265" s="23">
        <f t="shared" si="14"/>
        <v>1</v>
      </c>
      <c r="BB265" s="24">
        <v>21</v>
      </c>
    </row>
    <row r="266" spans="1:54" x14ac:dyDescent="0.2">
      <c r="A266" s="5">
        <v>3328</v>
      </c>
      <c r="B266" s="20" t="s">
        <v>82</v>
      </c>
      <c r="C266" s="18" t="s">
        <v>55</v>
      </c>
      <c r="D266" s="18">
        <v>5</v>
      </c>
      <c r="E266" s="18">
        <v>0</v>
      </c>
      <c r="F266" s="18" t="s">
        <v>9</v>
      </c>
      <c r="G266" s="18">
        <v>28</v>
      </c>
      <c r="H266" s="22">
        <v>3.7015742642026011</v>
      </c>
      <c r="I266" s="22">
        <v>4.5694729637234772</v>
      </c>
      <c r="J266" s="22">
        <v>8.2710472279260774</v>
      </c>
      <c r="K266" s="22">
        <v>3.7015742642026011</v>
      </c>
      <c r="L266" s="22">
        <v>4.5694729637234772</v>
      </c>
      <c r="M266" s="22">
        <v>8.2710472279260774</v>
      </c>
      <c r="N266" s="22">
        <v>4.687200547570157</v>
      </c>
      <c r="O266" s="22">
        <v>3.5044490075290895</v>
      </c>
      <c r="P266" s="22">
        <v>8.1916495550992465</v>
      </c>
      <c r="Q266" s="22" t="s">
        <v>8</v>
      </c>
      <c r="R266" s="22" t="s">
        <v>8</v>
      </c>
      <c r="S266" s="22" t="s">
        <v>8</v>
      </c>
      <c r="T266" s="30">
        <v>3</v>
      </c>
      <c r="U266" s="30">
        <v>13</v>
      </c>
      <c r="V266" s="20" t="s">
        <v>1</v>
      </c>
      <c r="W266" s="20">
        <v>5</v>
      </c>
      <c r="X266" s="20">
        <v>2</v>
      </c>
      <c r="Y266" s="5">
        <v>1</v>
      </c>
      <c r="Z266" s="24">
        <v>4</v>
      </c>
      <c r="AA266" s="23">
        <f t="shared" si="12"/>
        <v>1</v>
      </c>
      <c r="AB266" s="15">
        <v>0.875</v>
      </c>
      <c r="AC266" s="15">
        <v>0.5714285714285714</v>
      </c>
      <c r="AD266" s="15">
        <v>0.625</v>
      </c>
      <c r="AE266" s="15">
        <v>0.69599999999999995</v>
      </c>
      <c r="AF266" s="20">
        <v>16</v>
      </c>
      <c r="AG266" s="20">
        <v>1.37</v>
      </c>
      <c r="AH266" s="24">
        <v>23</v>
      </c>
      <c r="AI266" s="23">
        <f t="shared" si="13"/>
        <v>1</v>
      </c>
      <c r="AJ266" s="17">
        <v>2.5</v>
      </c>
      <c r="AK266" s="17">
        <v>3.5</v>
      </c>
      <c r="AL266" s="14">
        <v>6</v>
      </c>
      <c r="AM266" s="23" cm="1">
        <f t="array" ref="AM266">IF(OR(AN266:AZ266=""),"BLANK",IF(AND(AN266:AZ266&lt;9999999),1,IF(AND(AN266:AZ266="NA"),3,2)))</f>
        <v>1</v>
      </c>
      <c r="AN266" s="20">
        <v>11</v>
      </c>
      <c r="AO266" s="26">
        <v>2</v>
      </c>
      <c r="AP266" s="15">
        <v>3</v>
      </c>
      <c r="AQ266" s="15">
        <v>4</v>
      </c>
      <c r="AR266" s="15">
        <v>6</v>
      </c>
      <c r="AS266" s="26">
        <v>4263.5</v>
      </c>
      <c r="AT266" s="26">
        <v>9790.5</v>
      </c>
      <c r="AU266" s="26">
        <v>20874</v>
      </c>
      <c r="AV266" s="26">
        <v>23960.5</v>
      </c>
      <c r="AW266" s="26">
        <v>127.5</v>
      </c>
      <c r="AX266" s="26">
        <v>260.8333333333</v>
      </c>
      <c r="AY266" s="26">
        <v>1740.125</v>
      </c>
      <c r="AZ266" s="26">
        <v>2460.3944444444001</v>
      </c>
      <c r="BA266" s="23">
        <f t="shared" si="14"/>
        <v>1</v>
      </c>
      <c r="BB266" s="24">
        <v>24</v>
      </c>
    </row>
    <row r="267" spans="1:54" x14ac:dyDescent="0.2">
      <c r="A267" s="5">
        <v>3334</v>
      </c>
      <c r="B267" s="20" t="s">
        <v>64</v>
      </c>
      <c r="C267" s="18" t="s">
        <v>55</v>
      </c>
      <c r="D267" s="18">
        <v>5</v>
      </c>
      <c r="E267" s="18">
        <v>0</v>
      </c>
      <c r="F267" s="18" t="s">
        <v>9</v>
      </c>
      <c r="G267" s="18">
        <v>30</v>
      </c>
      <c r="H267" s="17">
        <v>3.5290896646132786</v>
      </c>
      <c r="I267" s="17">
        <v>4.4681724845995889</v>
      </c>
      <c r="J267" s="17">
        <v>7.9972621492128679</v>
      </c>
      <c r="K267" s="17">
        <v>4.774811772758385</v>
      </c>
      <c r="L267" s="17">
        <v>3.2224503764544834</v>
      </c>
      <c r="M267" s="17">
        <v>7.9972621492128679</v>
      </c>
      <c r="N267" s="17">
        <v>3.5236139630390144</v>
      </c>
      <c r="O267" s="17">
        <v>4.3915126625598901</v>
      </c>
      <c r="P267" s="17">
        <v>7.915126625598905</v>
      </c>
      <c r="Q267" s="17">
        <v>3.3456536618754278</v>
      </c>
      <c r="R267" s="17">
        <v>4.4079397672826834</v>
      </c>
      <c r="S267" s="17">
        <v>7.7535934291581112</v>
      </c>
      <c r="T267" s="30" t="s">
        <v>8</v>
      </c>
      <c r="U267" s="30" t="s">
        <v>8</v>
      </c>
      <c r="V267" s="20" t="s">
        <v>1</v>
      </c>
      <c r="W267" s="20">
        <v>5</v>
      </c>
      <c r="X267" s="20">
        <v>2</v>
      </c>
      <c r="Y267" s="5">
        <v>1</v>
      </c>
      <c r="Z267" s="24">
        <v>4</v>
      </c>
      <c r="AA267" s="23">
        <f t="shared" si="12"/>
        <v>1</v>
      </c>
      <c r="AB267" s="15">
        <v>1</v>
      </c>
      <c r="AC267" s="15">
        <v>1</v>
      </c>
      <c r="AD267" s="15">
        <v>0.625</v>
      </c>
      <c r="AE267" s="15">
        <v>0.875</v>
      </c>
      <c r="AF267" s="20">
        <v>21</v>
      </c>
      <c r="AG267" s="20">
        <v>6.28</v>
      </c>
      <c r="AH267" s="24">
        <v>24</v>
      </c>
      <c r="AI267" s="23">
        <f t="shared" si="13"/>
        <v>1</v>
      </c>
      <c r="AJ267" s="17">
        <v>12</v>
      </c>
      <c r="AK267" s="17">
        <v>11</v>
      </c>
      <c r="AL267" s="14">
        <v>23</v>
      </c>
      <c r="AM267" s="23" cm="1">
        <f t="array" ref="AM267">IF(OR(AN267:AZ267=""),"BLANK",IF(AND(AN267:AZ267&lt;9999999),1,IF(AND(AN267:AZ267="NA"),3,2)))</f>
        <v>1</v>
      </c>
      <c r="AN267" s="20">
        <v>8</v>
      </c>
      <c r="AO267" s="26">
        <v>2</v>
      </c>
      <c r="AP267" s="15">
        <v>3.5</v>
      </c>
      <c r="AQ267" s="15">
        <v>4.25</v>
      </c>
      <c r="AR267" s="15">
        <v>6.25</v>
      </c>
      <c r="AS267" s="26">
        <v>1918</v>
      </c>
      <c r="AT267" s="26">
        <v>5026</v>
      </c>
      <c r="AU267" s="26">
        <v>17407.5</v>
      </c>
      <c r="AV267" s="26">
        <v>13081.5</v>
      </c>
      <c r="AW267" s="26">
        <v>381.25</v>
      </c>
      <c r="AX267" s="26">
        <v>3110.4583333332998</v>
      </c>
      <c r="AY267" s="26">
        <v>1483.6624999999999</v>
      </c>
      <c r="AZ267" s="26">
        <v>1494.2472222222</v>
      </c>
      <c r="BA267" s="23">
        <f t="shared" si="14"/>
        <v>1</v>
      </c>
      <c r="BB267" s="24">
        <v>39</v>
      </c>
    </row>
    <row r="268" spans="1:54" x14ac:dyDescent="0.2">
      <c r="A268" s="5">
        <v>3457</v>
      </c>
      <c r="B268" s="20" t="s">
        <v>81</v>
      </c>
      <c r="C268" s="18" t="s">
        <v>54</v>
      </c>
      <c r="D268" s="18">
        <v>5</v>
      </c>
      <c r="E268" s="18">
        <v>0</v>
      </c>
      <c r="F268" s="18" t="s">
        <v>9</v>
      </c>
      <c r="G268" s="18">
        <v>30</v>
      </c>
      <c r="H268" s="17">
        <v>4.0027378507871321</v>
      </c>
      <c r="I268" s="17">
        <v>3.2525667351129361</v>
      </c>
      <c r="J268" s="17">
        <v>7.2553045859000687</v>
      </c>
      <c r="K268" s="17">
        <v>4.0027378507871321</v>
      </c>
      <c r="L268" s="17">
        <v>3.2525667351129361</v>
      </c>
      <c r="M268" s="17">
        <v>7.2553045859000687</v>
      </c>
      <c r="N268" s="17">
        <v>4.043805612594114</v>
      </c>
      <c r="O268" s="17">
        <v>3.247091033538672</v>
      </c>
      <c r="P268" s="17">
        <v>7.2908966461327855</v>
      </c>
      <c r="Q268" s="17">
        <v>3.9863107460643397</v>
      </c>
      <c r="R268" s="17">
        <v>3.4305270362765228</v>
      </c>
      <c r="S268" s="17">
        <v>7.4168377823408624</v>
      </c>
      <c r="T268" s="30">
        <v>2</v>
      </c>
      <c r="U268" s="30">
        <v>12</v>
      </c>
      <c r="V268" s="20" t="s">
        <v>1</v>
      </c>
      <c r="W268" s="20">
        <v>5</v>
      </c>
      <c r="X268" s="20">
        <v>2</v>
      </c>
      <c r="Y268" s="5">
        <v>1</v>
      </c>
      <c r="Z268" s="24">
        <v>4</v>
      </c>
      <c r="AA268" s="23">
        <f t="shared" si="12"/>
        <v>2</v>
      </c>
      <c r="AB268" s="15">
        <v>0.875</v>
      </c>
      <c r="AC268" s="15">
        <v>0.8571428571428571</v>
      </c>
      <c r="AD268" s="15">
        <v>0.5714285714285714</v>
      </c>
      <c r="AE268" s="15">
        <v>0.77300000000000002</v>
      </c>
      <c r="AF268" s="20">
        <v>17</v>
      </c>
      <c r="AG268" s="20" t="s">
        <v>8</v>
      </c>
      <c r="AH268" s="24">
        <v>22</v>
      </c>
      <c r="AI268" s="23">
        <f t="shared" si="13"/>
        <v>1</v>
      </c>
      <c r="AJ268" s="17">
        <v>7</v>
      </c>
      <c r="AK268" s="17">
        <v>4.75</v>
      </c>
      <c r="AL268" s="14">
        <v>11.75</v>
      </c>
      <c r="AM268" s="23" cm="1">
        <f t="array" ref="AM268">IF(OR(AN268:AZ268=""),"BLANK",IF(AND(AN268:AZ268&lt;9999999),1,IF(AND(AN268:AZ268="NA"),3,2)))</f>
        <v>1</v>
      </c>
      <c r="AN268" s="20">
        <v>10</v>
      </c>
      <c r="AO268" s="26">
        <v>2</v>
      </c>
      <c r="AP268" s="15">
        <v>3</v>
      </c>
      <c r="AQ268" s="15">
        <v>4</v>
      </c>
      <c r="AR268" s="15">
        <v>8</v>
      </c>
      <c r="AS268" s="26">
        <v>1376.5</v>
      </c>
      <c r="AT268" s="26">
        <v>5476</v>
      </c>
      <c r="AU268" s="26">
        <v>8173.5</v>
      </c>
      <c r="AV268" s="26">
        <v>17346</v>
      </c>
      <c r="AW268" s="26">
        <v>0</v>
      </c>
      <c r="AX268" s="26">
        <v>0</v>
      </c>
      <c r="AY268" s="26">
        <v>644.5625</v>
      </c>
      <c r="AZ268" s="26">
        <v>2720.1374999999998</v>
      </c>
      <c r="BA268" s="23">
        <f t="shared" si="14"/>
        <v>1</v>
      </c>
      <c r="BB268" s="24">
        <v>33</v>
      </c>
    </row>
    <row r="269" spans="1:54" x14ac:dyDescent="0.2">
      <c r="A269" s="5">
        <v>3531</v>
      </c>
      <c r="B269" s="20" t="s">
        <v>78</v>
      </c>
      <c r="C269" s="18" t="s">
        <v>54</v>
      </c>
      <c r="D269" s="18">
        <v>2</v>
      </c>
      <c r="E269" s="18">
        <v>0</v>
      </c>
      <c r="F269" s="18" t="s">
        <v>9</v>
      </c>
      <c r="G269" s="18">
        <v>27</v>
      </c>
      <c r="H269" s="17">
        <v>3.5236139630390144</v>
      </c>
      <c r="I269" s="17">
        <v>3.6139630390143735</v>
      </c>
      <c r="J269" s="17">
        <v>7.137577002053388</v>
      </c>
      <c r="K269" s="17">
        <v>3.5236139630390144</v>
      </c>
      <c r="L269" s="17">
        <v>3.6139630390143735</v>
      </c>
      <c r="M269" s="17">
        <v>7.137577002053388</v>
      </c>
      <c r="N269" s="17">
        <v>3.485284052019165</v>
      </c>
      <c r="O269" s="17">
        <v>3.5263518138261465</v>
      </c>
      <c r="P269" s="17">
        <v>7.0116358658453111</v>
      </c>
      <c r="Q269" s="17">
        <v>3.6714579055441479</v>
      </c>
      <c r="R269" s="17">
        <v>3.4140999315537304</v>
      </c>
      <c r="S269" s="17">
        <v>7.0855578370978778</v>
      </c>
      <c r="T269" s="30">
        <v>4</v>
      </c>
      <c r="U269" s="30">
        <v>16</v>
      </c>
      <c r="V269" s="20" t="s">
        <v>1</v>
      </c>
      <c r="W269" s="20">
        <v>5</v>
      </c>
      <c r="X269" s="20">
        <v>2</v>
      </c>
      <c r="Y269" s="5">
        <v>1</v>
      </c>
      <c r="Z269" s="24">
        <v>4</v>
      </c>
      <c r="AA269" s="23">
        <f t="shared" si="12"/>
        <v>1</v>
      </c>
      <c r="AB269" s="15">
        <v>1</v>
      </c>
      <c r="AC269" s="15">
        <v>0.875</v>
      </c>
      <c r="AD269" s="15">
        <v>0.75</v>
      </c>
      <c r="AE269" s="15">
        <v>0.875</v>
      </c>
      <c r="AF269" s="20">
        <v>21</v>
      </c>
      <c r="AG269" s="20">
        <v>4.3499999999999996</v>
      </c>
      <c r="AH269" s="24">
        <v>24</v>
      </c>
      <c r="AI269" s="23">
        <f t="shared" si="13"/>
        <v>1</v>
      </c>
      <c r="AJ269" s="17">
        <v>9.25</v>
      </c>
      <c r="AK269" s="17">
        <v>12</v>
      </c>
      <c r="AL269" s="14">
        <v>21.25</v>
      </c>
      <c r="AM269" s="23" cm="1">
        <f t="array" ref="AM269">IF(OR(AN269:AZ269=""),"BLANK",IF(AND(AN269:AZ269&lt;9999999),1,IF(AND(AN269:AZ269="NA"),3,2)))</f>
        <v>1</v>
      </c>
      <c r="AN269" s="20">
        <v>9</v>
      </c>
      <c r="AO269" s="26">
        <v>2</v>
      </c>
      <c r="AP269" s="15">
        <v>3</v>
      </c>
      <c r="AQ269" s="15">
        <v>6.5</v>
      </c>
      <c r="AR269" s="15">
        <v>5.75</v>
      </c>
      <c r="AS269" s="26">
        <v>3092</v>
      </c>
      <c r="AT269" s="26">
        <v>5297.5</v>
      </c>
      <c r="AU269" s="26">
        <v>7435.75</v>
      </c>
      <c r="AV269" s="26">
        <v>13690.5</v>
      </c>
      <c r="AW269" s="26">
        <v>1379.5</v>
      </c>
      <c r="AX269" s="26">
        <v>328.5</v>
      </c>
      <c r="AY269" s="26">
        <v>2983.8958333332998</v>
      </c>
      <c r="AZ269" s="26">
        <v>954.27499999999998</v>
      </c>
      <c r="BA269" s="23">
        <f t="shared" si="14"/>
        <v>1</v>
      </c>
      <c r="BB269" s="24">
        <v>35</v>
      </c>
    </row>
    <row r="270" spans="1:54" x14ac:dyDescent="0.2">
      <c r="A270" s="5">
        <v>3535</v>
      </c>
      <c r="B270" s="20" t="s">
        <v>64</v>
      </c>
      <c r="C270" s="18" t="s">
        <v>55</v>
      </c>
      <c r="D270" s="18">
        <v>2</v>
      </c>
      <c r="E270" s="18">
        <v>0</v>
      </c>
      <c r="F270" s="18" t="s">
        <v>9</v>
      </c>
      <c r="G270" s="18">
        <v>29</v>
      </c>
      <c r="H270" s="17">
        <v>3.4989733059548254</v>
      </c>
      <c r="I270" s="17" t="s">
        <v>8</v>
      </c>
      <c r="J270" s="17" t="s">
        <v>8</v>
      </c>
      <c r="K270" s="17">
        <v>3.4989733059548254</v>
      </c>
      <c r="L270" s="17" t="s">
        <v>8</v>
      </c>
      <c r="M270" s="17" t="s">
        <v>8</v>
      </c>
      <c r="N270" s="17">
        <v>3.5208761122518824</v>
      </c>
      <c r="O270" s="17" t="s">
        <v>8</v>
      </c>
      <c r="P270" s="17" t="s">
        <v>8</v>
      </c>
      <c r="Q270" s="17">
        <v>4.0054757015742641</v>
      </c>
      <c r="R270" s="17" t="s">
        <v>8</v>
      </c>
      <c r="S270" s="17" t="s">
        <v>8</v>
      </c>
      <c r="T270" s="30">
        <v>3</v>
      </c>
      <c r="U270" s="30">
        <v>14</v>
      </c>
      <c r="V270" s="20" t="s">
        <v>1</v>
      </c>
      <c r="W270" s="20">
        <v>5</v>
      </c>
      <c r="X270" s="20">
        <v>2</v>
      </c>
      <c r="Y270" s="5">
        <v>1</v>
      </c>
      <c r="Z270" s="24">
        <v>4</v>
      </c>
      <c r="AA270" s="23">
        <f t="shared" si="12"/>
        <v>1</v>
      </c>
      <c r="AB270" s="15">
        <v>0.8571428571428571</v>
      </c>
      <c r="AC270" s="15">
        <v>1</v>
      </c>
      <c r="AD270" s="15">
        <v>0.5</v>
      </c>
      <c r="AE270" s="15">
        <v>0.78300000000000003</v>
      </c>
      <c r="AF270" s="20">
        <v>18</v>
      </c>
      <c r="AG270" s="20">
        <v>6.98</v>
      </c>
      <c r="AH270" s="24">
        <v>23</v>
      </c>
      <c r="AI270" s="23">
        <f t="shared" si="13"/>
        <v>1</v>
      </c>
      <c r="AJ270" s="17">
        <v>7.5</v>
      </c>
      <c r="AK270" s="17">
        <v>7.5</v>
      </c>
      <c r="AL270" s="14">
        <v>15</v>
      </c>
      <c r="AM270" s="23" cm="1">
        <f t="array" ref="AM270">IF(OR(AN270:AZ270=""),"BLANK",IF(AND(AN270:AZ270&lt;9999999),1,IF(AND(AN270:AZ270="NA"),3,2)))</f>
        <v>1</v>
      </c>
      <c r="AN270" s="20">
        <v>10</v>
      </c>
      <c r="AO270" s="26">
        <v>2</v>
      </c>
      <c r="AP270" s="15">
        <v>3</v>
      </c>
      <c r="AQ270" s="15">
        <v>5.25</v>
      </c>
      <c r="AR270" s="15">
        <v>5.5</v>
      </c>
      <c r="AS270" s="26">
        <v>3554</v>
      </c>
      <c r="AT270" s="26">
        <v>5860</v>
      </c>
      <c r="AU270" s="26">
        <v>4821.75</v>
      </c>
      <c r="AV270" s="26">
        <v>8571.5</v>
      </c>
      <c r="AW270" s="26">
        <v>778</v>
      </c>
      <c r="AX270" s="26">
        <v>189.6666666667</v>
      </c>
      <c r="AY270" s="26">
        <v>516.16666666670005</v>
      </c>
      <c r="AZ270" s="26">
        <v>450.78571428570001</v>
      </c>
      <c r="BA270" s="23">
        <f t="shared" si="14"/>
        <v>1</v>
      </c>
      <c r="BB270" s="24">
        <v>26</v>
      </c>
    </row>
    <row r="271" spans="1:54" x14ac:dyDescent="0.2">
      <c r="A271" s="5">
        <v>3537</v>
      </c>
      <c r="B271" s="20" t="s">
        <v>75</v>
      </c>
      <c r="C271" s="18" t="s">
        <v>54</v>
      </c>
      <c r="D271" s="18">
        <v>5</v>
      </c>
      <c r="E271" s="18">
        <v>0</v>
      </c>
      <c r="F271" s="18" t="s">
        <v>9</v>
      </c>
      <c r="G271" s="18">
        <v>30</v>
      </c>
      <c r="H271" s="22">
        <v>3.4277891854893907</v>
      </c>
      <c r="I271" s="22">
        <v>4.1587953456536617</v>
      </c>
      <c r="J271" s="22">
        <v>7.5865845311430524</v>
      </c>
      <c r="K271" s="22">
        <v>3.4277891854893907</v>
      </c>
      <c r="L271" s="22">
        <v>4.5037645448323067</v>
      </c>
      <c r="M271" s="22">
        <v>7.9315537303216974</v>
      </c>
      <c r="N271" s="22" t="s">
        <v>8</v>
      </c>
      <c r="O271" s="22" t="s">
        <v>8</v>
      </c>
      <c r="P271" s="22">
        <v>7.5646817248459959</v>
      </c>
      <c r="Q271" s="22" t="s">
        <v>8</v>
      </c>
      <c r="R271" s="22" t="s">
        <v>8</v>
      </c>
      <c r="S271" s="22">
        <v>7.8001368925393564</v>
      </c>
      <c r="T271" s="30">
        <v>3</v>
      </c>
      <c r="U271" s="30">
        <v>15</v>
      </c>
      <c r="V271" s="20" t="s">
        <v>1</v>
      </c>
      <c r="W271" s="20">
        <v>5</v>
      </c>
      <c r="X271" s="20">
        <v>2</v>
      </c>
      <c r="Y271" s="5">
        <v>1</v>
      </c>
      <c r="Z271" s="24">
        <v>4</v>
      </c>
      <c r="AA271" s="23">
        <f t="shared" si="12"/>
        <v>1</v>
      </c>
      <c r="AB271" s="15">
        <v>1</v>
      </c>
      <c r="AC271" s="15">
        <v>0.875</v>
      </c>
      <c r="AD271" s="15">
        <v>0.5</v>
      </c>
      <c r="AE271" s="15">
        <v>0.79200000000000004</v>
      </c>
      <c r="AF271" s="20">
        <v>19</v>
      </c>
      <c r="AG271" s="20">
        <v>8.7799999999999994</v>
      </c>
      <c r="AH271" s="24">
        <v>24</v>
      </c>
      <c r="AI271" s="23">
        <f t="shared" si="13"/>
        <v>1</v>
      </c>
      <c r="AJ271" s="17">
        <v>7.75</v>
      </c>
      <c r="AK271" s="17">
        <v>7.25</v>
      </c>
      <c r="AL271" s="14">
        <v>15</v>
      </c>
      <c r="AM271" s="23" cm="1">
        <f t="array" ref="AM271">IF(OR(AN271:AZ271=""),"BLANK",IF(AND(AN271:AZ271&lt;9999999),1,IF(AND(AN271:AZ271="NA"),3,2)))</f>
        <v>1</v>
      </c>
      <c r="AN271" s="20">
        <v>10</v>
      </c>
      <c r="AO271" s="26">
        <v>2</v>
      </c>
      <c r="AP271" s="15">
        <v>4</v>
      </c>
      <c r="AQ271" s="15">
        <v>4</v>
      </c>
      <c r="AR271" s="15">
        <v>6.75</v>
      </c>
      <c r="AS271" s="26">
        <v>1851.5</v>
      </c>
      <c r="AT271" s="26">
        <v>5934.5</v>
      </c>
      <c r="AU271" s="26">
        <v>3866</v>
      </c>
      <c r="AV271" s="26">
        <v>15175.75</v>
      </c>
      <c r="AW271" s="26">
        <v>0</v>
      </c>
      <c r="AX271" s="26">
        <v>1668.7</v>
      </c>
      <c r="AY271" s="26">
        <v>0</v>
      </c>
      <c r="AZ271" s="26">
        <v>933.27916666670001</v>
      </c>
      <c r="BA271" s="23">
        <f t="shared" si="14"/>
        <v>1</v>
      </c>
      <c r="BB271" s="24">
        <v>38</v>
      </c>
    </row>
    <row r="272" spans="1:54" x14ac:dyDescent="0.2">
      <c r="A272" s="5">
        <v>3567</v>
      </c>
      <c r="B272" s="20" t="s">
        <v>74</v>
      </c>
      <c r="C272" s="18" t="s">
        <v>55</v>
      </c>
      <c r="D272" s="18">
        <v>5</v>
      </c>
      <c r="E272" s="18">
        <v>0</v>
      </c>
      <c r="F272" s="18" t="s">
        <v>9</v>
      </c>
      <c r="G272" s="18">
        <v>29</v>
      </c>
      <c r="H272" s="17">
        <v>3.5482546201232035</v>
      </c>
      <c r="I272" s="17">
        <v>3.9069130732375084</v>
      </c>
      <c r="J272" s="17">
        <v>7.4551676933607123</v>
      </c>
      <c r="K272" s="17">
        <v>3.5482546201232035</v>
      </c>
      <c r="L272" s="17">
        <v>3.9069130732375084</v>
      </c>
      <c r="M272" s="17">
        <v>7.4551676933607123</v>
      </c>
      <c r="N272" s="17">
        <v>3.5646817248459959</v>
      </c>
      <c r="O272" s="17">
        <v>3.8986995208761122</v>
      </c>
      <c r="P272" s="17">
        <v>7.4633812457221085</v>
      </c>
      <c r="Q272" s="17">
        <v>4.0410677618069819</v>
      </c>
      <c r="R272" s="17">
        <v>3.5455167693360714</v>
      </c>
      <c r="S272" s="17">
        <v>7.5865845311430524</v>
      </c>
      <c r="T272" s="30">
        <v>4</v>
      </c>
      <c r="U272" s="30">
        <v>16</v>
      </c>
      <c r="V272" s="20" t="s">
        <v>1</v>
      </c>
      <c r="W272" s="20">
        <v>5</v>
      </c>
      <c r="X272" s="20">
        <v>2</v>
      </c>
      <c r="Y272" s="5">
        <v>1</v>
      </c>
      <c r="Z272" s="24">
        <v>4</v>
      </c>
      <c r="AA272" s="23">
        <f t="shared" si="12"/>
        <v>1</v>
      </c>
      <c r="AB272" s="15">
        <v>1</v>
      </c>
      <c r="AC272" s="15">
        <v>0.875</v>
      </c>
      <c r="AD272" s="15">
        <v>0.625</v>
      </c>
      <c r="AE272" s="15">
        <v>0.83299999999999996</v>
      </c>
      <c r="AF272" s="20">
        <v>20</v>
      </c>
      <c r="AG272" s="20">
        <v>8.02</v>
      </c>
      <c r="AH272" s="24">
        <v>24</v>
      </c>
      <c r="AI272" s="23">
        <f t="shared" si="13"/>
        <v>1</v>
      </c>
      <c r="AJ272" s="17">
        <v>7.75</v>
      </c>
      <c r="AK272" s="17">
        <v>9.75</v>
      </c>
      <c r="AL272" s="14">
        <v>17.5</v>
      </c>
      <c r="AM272" s="23" cm="1">
        <f t="array" ref="AM272">IF(OR(AN272:AZ272=""),"BLANK",IF(AND(AN272:AZ272&lt;9999999),1,IF(AND(AN272:AZ272="NA"),3,2)))</f>
        <v>1</v>
      </c>
      <c r="AN272" s="20">
        <v>10</v>
      </c>
      <c r="AO272" s="26">
        <v>2</v>
      </c>
      <c r="AP272" s="15">
        <v>3</v>
      </c>
      <c r="AQ272" s="15">
        <v>5.5</v>
      </c>
      <c r="AR272" s="15">
        <v>5</v>
      </c>
      <c r="AS272" s="26">
        <v>312</v>
      </c>
      <c r="AT272" s="26">
        <v>2516.5</v>
      </c>
      <c r="AU272" s="26">
        <v>7457.5</v>
      </c>
      <c r="AV272" s="26">
        <v>3742.25</v>
      </c>
      <c r="AW272" s="26">
        <v>0</v>
      </c>
      <c r="AX272" s="26">
        <v>0</v>
      </c>
      <c r="AY272" s="26">
        <v>339.79305555560001</v>
      </c>
      <c r="AZ272" s="26">
        <v>0</v>
      </c>
      <c r="BA272" s="23">
        <f t="shared" si="14"/>
        <v>1</v>
      </c>
      <c r="BB272" s="24">
        <v>35</v>
      </c>
    </row>
    <row r="273" spans="1:54" x14ac:dyDescent="0.2">
      <c r="A273" s="5">
        <v>3571</v>
      </c>
      <c r="B273" s="20" t="s">
        <v>62</v>
      </c>
      <c r="C273" s="18" t="s">
        <v>55</v>
      </c>
      <c r="D273" s="18">
        <v>5</v>
      </c>
      <c r="E273" s="18">
        <v>0</v>
      </c>
      <c r="F273" s="18" t="s">
        <v>9</v>
      </c>
      <c r="G273" s="18">
        <v>30</v>
      </c>
      <c r="H273" s="17">
        <v>3.4962354551676933</v>
      </c>
      <c r="I273" s="17">
        <v>4.0191649555099245</v>
      </c>
      <c r="J273" s="17">
        <v>7.5154004106776178</v>
      </c>
      <c r="K273" s="17">
        <v>3.893223819301848</v>
      </c>
      <c r="L273" s="17">
        <v>3.6221765913757702</v>
      </c>
      <c r="M273" s="17">
        <v>7.5154004106776178</v>
      </c>
      <c r="N273" s="17">
        <v>3.5592060232717317</v>
      </c>
      <c r="O273" s="17">
        <v>3.9123887748117729</v>
      </c>
      <c r="P273" s="17">
        <v>7.4715947980835047</v>
      </c>
      <c r="Q273" s="17">
        <v>3.7973990417522243</v>
      </c>
      <c r="R273" s="17" t="s">
        <v>8</v>
      </c>
      <c r="S273" s="17" t="s">
        <v>8</v>
      </c>
      <c r="T273" s="30">
        <v>4</v>
      </c>
      <c r="U273" s="30">
        <v>16</v>
      </c>
      <c r="V273" s="20" t="s">
        <v>1</v>
      </c>
      <c r="W273" s="20">
        <v>5</v>
      </c>
      <c r="X273" s="20">
        <v>2</v>
      </c>
      <c r="Y273" s="5">
        <v>1</v>
      </c>
      <c r="Z273" s="24">
        <v>4</v>
      </c>
      <c r="AA273" s="23">
        <f t="shared" si="12"/>
        <v>2</v>
      </c>
      <c r="AB273" s="15">
        <v>1</v>
      </c>
      <c r="AC273" s="15">
        <v>1</v>
      </c>
      <c r="AD273" s="15">
        <v>0.875</v>
      </c>
      <c r="AE273" s="15">
        <v>0.95799999999999996</v>
      </c>
      <c r="AF273" s="20">
        <v>23</v>
      </c>
      <c r="AG273" s="20" t="s">
        <v>8</v>
      </c>
      <c r="AH273" s="24">
        <v>24</v>
      </c>
      <c r="AI273" s="23">
        <f t="shared" si="13"/>
        <v>1</v>
      </c>
      <c r="AJ273" s="17">
        <v>10.75</v>
      </c>
      <c r="AK273" s="17">
        <v>10</v>
      </c>
      <c r="AL273" s="14">
        <v>20.75</v>
      </c>
      <c r="AM273" s="23" cm="1">
        <f t="array" ref="AM273">IF(OR(AN273:AZ273=""),"BLANK",IF(AND(AN273:AZ273&lt;9999999),1,IF(AND(AN273:AZ273="NA"),3,2)))</f>
        <v>1</v>
      </c>
      <c r="AN273" s="20">
        <v>7</v>
      </c>
      <c r="AO273" s="26">
        <v>2</v>
      </c>
      <c r="AP273" s="15">
        <v>3.5</v>
      </c>
      <c r="AQ273" s="15">
        <v>7</v>
      </c>
      <c r="AR273" s="15">
        <v>5.75</v>
      </c>
      <c r="AS273" s="26">
        <v>1230.5</v>
      </c>
      <c r="AT273" s="26">
        <v>1234</v>
      </c>
      <c r="AU273" s="26">
        <v>2971.5</v>
      </c>
      <c r="AV273" s="26">
        <v>10400</v>
      </c>
      <c r="AW273" s="26">
        <v>38</v>
      </c>
      <c r="AX273" s="26">
        <v>215.3333333333</v>
      </c>
      <c r="AY273" s="26">
        <v>2328.9444444443998</v>
      </c>
      <c r="AZ273" s="26">
        <v>26.55</v>
      </c>
      <c r="BA273" s="23">
        <f t="shared" si="14"/>
        <v>1</v>
      </c>
      <c r="BB273" s="24">
        <v>33</v>
      </c>
    </row>
    <row r="274" spans="1:54" x14ac:dyDescent="0.2">
      <c r="A274" s="5">
        <v>3592</v>
      </c>
      <c r="B274" s="20" t="s">
        <v>78</v>
      </c>
      <c r="C274" s="18" t="s">
        <v>55</v>
      </c>
      <c r="D274" s="18">
        <v>5</v>
      </c>
      <c r="E274" s="18">
        <v>0</v>
      </c>
      <c r="F274" s="18" t="s">
        <v>9</v>
      </c>
      <c r="G274" s="18">
        <v>30</v>
      </c>
      <c r="H274" s="17">
        <v>3.4469541409993156</v>
      </c>
      <c r="I274" s="17">
        <v>4.1095140314852845</v>
      </c>
      <c r="J274" s="17">
        <v>7.5564681724845997</v>
      </c>
      <c r="K274" s="17">
        <v>3.4469541409993156</v>
      </c>
      <c r="L274" s="17">
        <v>4.1095140314852845</v>
      </c>
      <c r="M274" s="17">
        <v>7.5564681724845997</v>
      </c>
      <c r="N274" s="17">
        <v>3.4387405886379194</v>
      </c>
      <c r="O274" s="17">
        <v>4.1615331964407938</v>
      </c>
      <c r="P274" s="17">
        <v>7.6002737850787137</v>
      </c>
      <c r="Q274" s="17">
        <v>4.0657084188911705</v>
      </c>
      <c r="R274" s="17">
        <v>3.6632443531827517</v>
      </c>
      <c r="S274" s="17">
        <v>7.7289527720739217</v>
      </c>
      <c r="T274" s="30">
        <v>3</v>
      </c>
      <c r="U274" s="30">
        <v>14.5</v>
      </c>
      <c r="V274" s="20" t="s">
        <v>1</v>
      </c>
      <c r="W274" s="20">
        <v>5</v>
      </c>
      <c r="X274" s="20">
        <v>2</v>
      </c>
      <c r="Y274" s="5">
        <v>1</v>
      </c>
      <c r="Z274" s="24">
        <v>4</v>
      </c>
      <c r="AA274" s="23">
        <f t="shared" si="12"/>
        <v>1</v>
      </c>
      <c r="AB274" s="15">
        <v>1</v>
      </c>
      <c r="AC274" s="15">
        <v>0.75</v>
      </c>
      <c r="AD274" s="15">
        <v>0.75</v>
      </c>
      <c r="AE274" s="15">
        <v>0.83299999999999996</v>
      </c>
      <c r="AF274" s="20">
        <v>20</v>
      </c>
      <c r="AG274" s="20">
        <v>10.52</v>
      </c>
      <c r="AH274" s="24">
        <v>24</v>
      </c>
      <c r="AI274" s="23">
        <f t="shared" si="13"/>
        <v>1</v>
      </c>
      <c r="AJ274" s="17">
        <v>12.75</v>
      </c>
      <c r="AK274" s="17">
        <v>10.5</v>
      </c>
      <c r="AL274" s="14">
        <v>23.25</v>
      </c>
      <c r="AM274" s="23" cm="1">
        <f t="array" ref="AM274">IF(OR(AN274:AZ274=""),"BLANK",IF(AND(AN274:AZ274&lt;9999999),1,IF(AND(AN274:AZ274="NA"),3,2)))</f>
        <v>1</v>
      </c>
      <c r="AN274" s="20">
        <v>9</v>
      </c>
      <c r="AO274" s="26">
        <v>2</v>
      </c>
      <c r="AP274" s="15">
        <v>3.5</v>
      </c>
      <c r="AQ274" s="15">
        <v>5.25</v>
      </c>
      <c r="AR274" s="15">
        <v>5.5</v>
      </c>
      <c r="AS274" s="26">
        <v>2488</v>
      </c>
      <c r="AT274" s="26">
        <v>9293.5</v>
      </c>
      <c r="AU274" s="26">
        <v>10077</v>
      </c>
      <c r="AV274" s="26">
        <v>14659.5</v>
      </c>
      <c r="AW274" s="26">
        <v>0</v>
      </c>
      <c r="AX274" s="26">
        <v>1359.2916666666999</v>
      </c>
      <c r="AY274" s="26">
        <v>1026.5347222221999</v>
      </c>
      <c r="AZ274" s="26">
        <v>190.15</v>
      </c>
      <c r="BA274" s="23">
        <f t="shared" si="14"/>
        <v>1</v>
      </c>
      <c r="BB274" s="24">
        <v>37</v>
      </c>
    </row>
    <row r="275" spans="1:54" x14ac:dyDescent="0.2">
      <c r="A275" s="5">
        <v>3608</v>
      </c>
      <c r="B275" s="20" t="s">
        <v>63</v>
      </c>
      <c r="C275" s="18" t="s">
        <v>55</v>
      </c>
      <c r="D275" s="18">
        <v>5</v>
      </c>
      <c r="E275" s="18">
        <v>0</v>
      </c>
      <c r="F275" s="18" t="s">
        <v>9</v>
      </c>
      <c r="G275" s="18">
        <v>29</v>
      </c>
      <c r="H275" s="17">
        <v>3.5071868583162216</v>
      </c>
      <c r="I275" s="17">
        <v>3.9370294318959616</v>
      </c>
      <c r="J275" s="17">
        <v>7.4442162902121831</v>
      </c>
      <c r="K275" s="17">
        <v>3.5071868583162216</v>
      </c>
      <c r="L275" s="17">
        <v>3.9397672826830936</v>
      </c>
      <c r="M275" s="17">
        <v>7.4469541409993152</v>
      </c>
      <c r="N275" s="17">
        <v>3.6194387405886381</v>
      </c>
      <c r="O275" s="17">
        <v>3.8275154004106775</v>
      </c>
      <c r="P275" s="17">
        <v>7.4469541409993152</v>
      </c>
      <c r="Q275" s="17">
        <v>4.0027378507871321</v>
      </c>
      <c r="R275" s="17">
        <v>3.5728952772073921</v>
      </c>
      <c r="S275" s="17">
        <v>7.5756331279945242</v>
      </c>
      <c r="T275" s="30">
        <v>5</v>
      </c>
      <c r="U275" s="30">
        <v>18</v>
      </c>
      <c r="V275" s="20" t="s">
        <v>1</v>
      </c>
      <c r="W275" s="20">
        <v>5</v>
      </c>
      <c r="X275" s="20">
        <v>2</v>
      </c>
      <c r="Y275" s="5">
        <v>1</v>
      </c>
      <c r="Z275" s="24">
        <v>4</v>
      </c>
      <c r="AA275" s="23">
        <f t="shared" si="12"/>
        <v>1</v>
      </c>
      <c r="AB275" s="15">
        <v>1</v>
      </c>
      <c r="AC275" s="15">
        <v>0.75</v>
      </c>
      <c r="AD275" s="15">
        <v>0.5</v>
      </c>
      <c r="AE275" s="15">
        <v>0.75</v>
      </c>
      <c r="AF275" s="20">
        <v>18</v>
      </c>
      <c r="AG275" s="20">
        <v>3.92</v>
      </c>
      <c r="AH275" s="24">
        <v>24</v>
      </c>
      <c r="AI275" s="23">
        <f t="shared" si="13"/>
        <v>1</v>
      </c>
      <c r="AJ275" s="17">
        <v>6.5</v>
      </c>
      <c r="AK275" s="17">
        <v>5.75</v>
      </c>
      <c r="AL275" s="14">
        <v>12.25</v>
      </c>
      <c r="AM275" s="23" cm="1">
        <f t="array" ref="AM275">IF(OR(AN275:AZ275=""),"BLANK",IF(AND(AN275:AZ275&lt;9999999),1,IF(AND(AN275:AZ275="NA"),3,2)))</f>
        <v>1</v>
      </c>
      <c r="AN275" s="20">
        <v>7</v>
      </c>
      <c r="AO275" s="26">
        <v>2</v>
      </c>
      <c r="AP275" s="15">
        <v>3</v>
      </c>
      <c r="AQ275" s="15">
        <v>5.25</v>
      </c>
      <c r="AR275" s="15">
        <v>8</v>
      </c>
      <c r="AS275" s="26">
        <v>3285</v>
      </c>
      <c r="AT275" s="26">
        <v>2631</v>
      </c>
      <c r="AU275" s="26">
        <v>13102</v>
      </c>
      <c r="AV275" s="26">
        <v>12340.75</v>
      </c>
      <c r="AW275" s="26">
        <v>0</v>
      </c>
      <c r="AX275" s="26">
        <v>0</v>
      </c>
      <c r="AY275" s="26">
        <v>932.60625000000005</v>
      </c>
      <c r="AZ275" s="26">
        <v>1096.7</v>
      </c>
      <c r="BA275" s="23">
        <f t="shared" si="14"/>
        <v>1</v>
      </c>
      <c r="BB275" s="24">
        <v>28</v>
      </c>
    </row>
    <row r="276" spans="1:54" x14ac:dyDescent="0.2">
      <c r="A276" s="5">
        <v>3621</v>
      </c>
      <c r="B276" s="20" t="s">
        <v>74</v>
      </c>
      <c r="C276" s="18" t="s">
        <v>54</v>
      </c>
      <c r="D276" s="18">
        <v>5</v>
      </c>
      <c r="E276" s="18">
        <v>0</v>
      </c>
      <c r="F276" s="18" t="s">
        <v>9</v>
      </c>
      <c r="G276" s="18">
        <v>29</v>
      </c>
      <c r="H276" s="22">
        <v>3.8576317590691307</v>
      </c>
      <c r="I276" s="22" t="s">
        <v>8</v>
      </c>
      <c r="J276" s="22" t="s">
        <v>8</v>
      </c>
      <c r="K276" s="22">
        <v>3.868583162217659</v>
      </c>
      <c r="L276" s="22" t="s">
        <v>8</v>
      </c>
      <c r="M276" s="22" t="s">
        <v>8</v>
      </c>
      <c r="N276" s="22" t="s">
        <v>8</v>
      </c>
      <c r="O276" s="22" t="s">
        <v>8</v>
      </c>
      <c r="P276" s="22" t="s">
        <v>8</v>
      </c>
      <c r="Q276" s="22" t="s">
        <v>8</v>
      </c>
      <c r="R276" s="22" t="s">
        <v>8</v>
      </c>
      <c r="S276" s="22" t="s">
        <v>8</v>
      </c>
      <c r="T276" s="30">
        <v>3</v>
      </c>
      <c r="U276" s="30">
        <v>15</v>
      </c>
      <c r="V276" s="20" t="s">
        <v>1</v>
      </c>
      <c r="W276" s="20">
        <v>5</v>
      </c>
      <c r="X276" s="20">
        <v>2</v>
      </c>
      <c r="Y276" s="5">
        <v>1</v>
      </c>
      <c r="Z276" s="24">
        <v>4</v>
      </c>
      <c r="AA276" s="23">
        <f t="shared" si="12"/>
        <v>1</v>
      </c>
      <c r="AB276" s="15">
        <v>1</v>
      </c>
      <c r="AC276" s="15">
        <v>0.75</v>
      </c>
      <c r="AD276" s="15">
        <v>0.5</v>
      </c>
      <c r="AE276" s="15">
        <v>0.75</v>
      </c>
      <c r="AF276" s="20">
        <v>18</v>
      </c>
      <c r="AG276" s="20">
        <v>10.27</v>
      </c>
      <c r="AH276" s="24">
        <v>24</v>
      </c>
      <c r="AI276" s="23">
        <f t="shared" si="13"/>
        <v>1</v>
      </c>
      <c r="AJ276" s="17">
        <v>7.75</v>
      </c>
      <c r="AK276" s="17">
        <v>10.75</v>
      </c>
      <c r="AL276" s="14">
        <v>18.5</v>
      </c>
      <c r="AM276" s="23" cm="1">
        <f t="array" ref="AM276">IF(OR(AN276:AZ276=""),"BLANK",IF(AND(AN276:AZ276&lt;9999999),1,IF(AND(AN276:AZ276="NA"),3,2)))</f>
        <v>1</v>
      </c>
      <c r="AN276" s="20">
        <v>8</v>
      </c>
      <c r="AO276" s="26">
        <v>2</v>
      </c>
      <c r="AP276" s="15">
        <v>3</v>
      </c>
      <c r="AQ276" s="15">
        <v>5.5</v>
      </c>
      <c r="AR276" s="15">
        <v>7.25</v>
      </c>
      <c r="AS276" s="26">
        <v>915</v>
      </c>
      <c r="AT276" s="26">
        <v>2403</v>
      </c>
      <c r="AU276" s="26">
        <v>6985.5</v>
      </c>
      <c r="AV276" s="26">
        <v>6973</v>
      </c>
      <c r="AW276" s="26">
        <v>0</v>
      </c>
      <c r="AX276" s="26">
        <v>25.833333333300001</v>
      </c>
      <c r="AY276" s="26">
        <v>0</v>
      </c>
      <c r="AZ276" s="26">
        <v>981.61369047619996</v>
      </c>
      <c r="BA276" s="23">
        <f t="shared" si="14"/>
        <v>1</v>
      </c>
      <c r="BB276" s="24">
        <v>34</v>
      </c>
    </row>
    <row r="277" spans="1:54" x14ac:dyDescent="0.2">
      <c r="A277" s="5">
        <v>3639</v>
      </c>
      <c r="B277" s="20" t="s">
        <v>64</v>
      </c>
      <c r="C277" s="18" t="s">
        <v>54</v>
      </c>
      <c r="D277" s="18">
        <v>5</v>
      </c>
      <c r="E277" s="18">
        <v>0</v>
      </c>
      <c r="F277" s="18" t="s">
        <v>9</v>
      </c>
      <c r="G277" s="18">
        <v>30</v>
      </c>
      <c r="H277" s="22">
        <v>3.4469541409993156</v>
      </c>
      <c r="I277" s="22" t="s">
        <v>8</v>
      </c>
      <c r="J277" s="22" t="s">
        <v>8</v>
      </c>
      <c r="K277" s="22">
        <v>3.4469541409993156</v>
      </c>
      <c r="L277" s="22" t="s">
        <v>8</v>
      </c>
      <c r="M277" s="22" t="s">
        <v>8</v>
      </c>
      <c r="N277" s="22">
        <v>3.57015742642026</v>
      </c>
      <c r="O277" s="22" t="s">
        <v>8</v>
      </c>
      <c r="P277" s="22" t="s">
        <v>8</v>
      </c>
      <c r="Q277" s="22">
        <v>4.6214921286789874</v>
      </c>
      <c r="R277" s="22" t="s">
        <v>8</v>
      </c>
      <c r="S277" s="22" t="s">
        <v>8</v>
      </c>
      <c r="T277" s="30">
        <v>5</v>
      </c>
      <c r="U277" s="30">
        <v>17</v>
      </c>
      <c r="V277" s="20" t="s">
        <v>1</v>
      </c>
      <c r="W277" s="20">
        <v>5</v>
      </c>
      <c r="X277" s="20">
        <v>2</v>
      </c>
      <c r="Y277" s="5">
        <v>1</v>
      </c>
      <c r="Z277" s="24">
        <v>4</v>
      </c>
      <c r="AA277" s="23">
        <f t="shared" si="12"/>
        <v>1</v>
      </c>
      <c r="AB277" s="15">
        <v>0.875</v>
      </c>
      <c r="AC277" s="15">
        <v>0.75</v>
      </c>
      <c r="AD277" s="15">
        <v>0.5</v>
      </c>
      <c r="AE277" s="15">
        <v>0.70799999999999996</v>
      </c>
      <c r="AF277" s="20">
        <v>17</v>
      </c>
      <c r="AG277" s="20">
        <v>8.5</v>
      </c>
      <c r="AH277" s="24">
        <v>24</v>
      </c>
      <c r="AI277" s="23">
        <f t="shared" si="13"/>
        <v>1</v>
      </c>
      <c r="AJ277" s="17">
        <v>12</v>
      </c>
      <c r="AK277" s="17">
        <v>11</v>
      </c>
      <c r="AL277" s="14">
        <v>23</v>
      </c>
      <c r="AM277" s="23" cm="1">
        <f t="array" ref="AM277">IF(OR(AN277:AZ277=""),"BLANK",IF(AND(AN277:AZ277&lt;9999999),1,IF(AND(AN277:AZ277="NA"),3,2)))</f>
        <v>1</v>
      </c>
      <c r="AN277" s="20">
        <v>6</v>
      </c>
      <c r="AO277" s="26">
        <v>2</v>
      </c>
      <c r="AP277" s="15">
        <v>3.5</v>
      </c>
      <c r="AQ277" s="15">
        <v>6</v>
      </c>
      <c r="AR277" s="15">
        <v>7.75</v>
      </c>
      <c r="AS277" s="26">
        <v>1996.5</v>
      </c>
      <c r="AT277" s="26">
        <v>5818.5</v>
      </c>
      <c r="AU277" s="26">
        <v>13260.25</v>
      </c>
      <c r="AV277" s="26">
        <v>10228.75</v>
      </c>
      <c r="AW277" s="26">
        <v>332.5</v>
      </c>
      <c r="AX277" s="26">
        <v>68.875</v>
      </c>
      <c r="AY277" s="26">
        <v>1920.6152777778</v>
      </c>
      <c r="AZ277" s="26">
        <v>1158.9486111111</v>
      </c>
      <c r="BA277" s="23">
        <f t="shared" si="14"/>
        <v>1</v>
      </c>
      <c r="BB277" s="24">
        <v>35</v>
      </c>
    </row>
    <row r="278" spans="1:54" x14ac:dyDescent="0.2">
      <c r="A278" s="5">
        <v>3653</v>
      </c>
      <c r="B278" s="20" t="s">
        <v>74</v>
      </c>
      <c r="C278" s="18" t="s">
        <v>54</v>
      </c>
      <c r="D278" s="18">
        <v>5</v>
      </c>
      <c r="E278" s="18">
        <v>0</v>
      </c>
      <c r="F278" s="18" t="s">
        <v>9</v>
      </c>
      <c r="G278" s="18">
        <v>30</v>
      </c>
      <c r="H278" s="17">
        <v>3.4688569472963722</v>
      </c>
      <c r="I278" s="17">
        <v>3.9479808350444903</v>
      </c>
      <c r="J278" s="17">
        <v>7.4168377823408624</v>
      </c>
      <c r="K278" s="17">
        <v>3.482546201232033</v>
      </c>
      <c r="L278" s="17">
        <v>3.9342915811088295</v>
      </c>
      <c r="M278" s="17">
        <v>7.4168377823408624</v>
      </c>
      <c r="N278" s="17">
        <v>3.4360027378507869</v>
      </c>
      <c r="O278" s="17">
        <v>3.9178644763860371</v>
      </c>
      <c r="P278" s="17">
        <v>7.353867214236824</v>
      </c>
      <c r="Q278" s="17">
        <v>3.9315537303216974</v>
      </c>
      <c r="R278" s="17">
        <v>3.5756331279945242</v>
      </c>
      <c r="S278" s="17">
        <v>7.5071868583162216</v>
      </c>
      <c r="T278" s="30">
        <v>3</v>
      </c>
      <c r="U278" s="30">
        <v>14</v>
      </c>
      <c r="V278" s="20" t="s">
        <v>1</v>
      </c>
      <c r="W278" s="20">
        <v>5</v>
      </c>
      <c r="X278" s="20">
        <v>2</v>
      </c>
      <c r="Y278" s="5">
        <v>1</v>
      </c>
      <c r="Z278" s="24">
        <v>4</v>
      </c>
      <c r="AA278" s="23">
        <f t="shared" si="12"/>
        <v>1</v>
      </c>
      <c r="AB278" s="15">
        <v>0.75</v>
      </c>
      <c r="AC278" s="15">
        <v>0.625</v>
      </c>
      <c r="AD278" s="15">
        <v>0.625</v>
      </c>
      <c r="AE278" s="15">
        <v>0.66700000000000004</v>
      </c>
      <c r="AF278" s="20">
        <v>16</v>
      </c>
      <c r="AG278" s="20">
        <v>5</v>
      </c>
      <c r="AH278" s="24">
        <v>24</v>
      </c>
      <c r="AI278" s="23">
        <f t="shared" si="13"/>
        <v>1</v>
      </c>
      <c r="AJ278" s="17">
        <v>7</v>
      </c>
      <c r="AK278" s="17">
        <v>9.25</v>
      </c>
      <c r="AL278" s="14">
        <v>16.25</v>
      </c>
      <c r="AM278" s="23" cm="1">
        <f t="array" ref="AM278">IF(OR(AN278:AZ278=""),"BLANK",IF(AND(AN278:AZ278&lt;9999999),1,IF(AND(AN278:AZ278="NA"),3,2)))</f>
        <v>1</v>
      </c>
      <c r="AN278" s="20">
        <v>9</v>
      </c>
      <c r="AO278" s="26">
        <v>2</v>
      </c>
      <c r="AP278" s="15">
        <v>3</v>
      </c>
      <c r="AQ278" s="15">
        <v>4.5</v>
      </c>
      <c r="AR278" s="15">
        <v>7</v>
      </c>
      <c r="AS278" s="26">
        <v>1564.5</v>
      </c>
      <c r="AT278" s="26">
        <v>13637.5</v>
      </c>
      <c r="AU278" s="26">
        <v>9226.5</v>
      </c>
      <c r="AV278" s="26">
        <v>9297.75</v>
      </c>
      <c r="AW278" s="26">
        <v>183.25</v>
      </c>
      <c r="AX278" s="26">
        <v>1628</v>
      </c>
      <c r="AY278" s="26">
        <v>0</v>
      </c>
      <c r="AZ278" s="26">
        <v>2874.3291666667001</v>
      </c>
      <c r="BA278" s="23">
        <f t="shared" si="14"/>
        <v>1</v>
      </c>
      <c r="BB278" s="24">
        <v>35</v>
      </c>
    </row>
    <row r="279" spans="1:54" x14ac:dyDescent="0.2">
      <c r="A279" s="5">
        <v>3658</v>
      </c>
      <c r="B279" s="20" t="s">
        <v>74</v>
      </c>
      <c r="C279" s="18" t="s">
        <v>55</v>
      </c>
      <c r="D279" s="18">
        <v>5</v>
      </c>
      <c r="E279" s="18">
        <v>0</v>
      </c>
      <c r="F279" s="18" t="s">
        <v>9</v>
      </c>
      <c r="G279" s="18">
        <v>29</v>
      </c>
      <c r="H279" s="17">
        <v>3.5564681724845997</v>
      </c>
      <c r="I279" s="17">
        <v>4.084873374401095</v>
      </c>
      <c r="J279" s="17">
        <v>7.6413415468856947</v>
      </c>
      <c r="K279" s="17">
        <v>4.3121149897330593</v>
      </c>
      <c r="L279" s="17">
        <v>3.3702943189596168</v>
      </c>
      <c r="M279" s="17">
        <v>7.6824093086926766</v>
      </c>
      <c r="N279" s="17">
        <v>3.5017111567419574</v>
      </c>
      <c r="O279" s="17">
        <v>4.0301163586584527</v>
      </c>
      <c r="P279" s="17">
        <v>7.5318275154004111</v>
      </c>
      <c r="Q279" s="17">
        <v>3.9288158795345653</v>
      </c>
      <c r="R279" s="17">
        <v>3.9123887748117729</v>
      </c>
      <c r="S279" s="17">
        <v>7.8412046543463383</v>
      </c>
      <c r="T279" s="30" t="s">
        <v>8</v>
      </c>
      <c r="U279" s="30" t="s">
        <v>8</v>
      </c>
      <c r="V279" s="20" t="s">
        <v>1</v>
      </c>
      <c r="W279" s="20">
        <v>5</v>
      </c>
      <c r="X279" s="20">
        <v>2</v>
      </c>
      <c r="Y279" s="5">
        <v>1</v>
      </c>
      <c r="Z279" s="24">
        <v>4</v>
      </c>
      <c r="AA279" s="23">
        <f t="shared" si="12"/>
        <v>2</v>
      </c>
      <c r="AB279" s="15">
        <v>1</v>
      </c>
      <c r="AC279" s="15">
        <v>1</v>
      </c>
      <c r="AD279" s="15">
        <v>0.75</v>
      </c>
      <c r="AE279" s="15">
        <v>0.91700000000000004</v>
      </c>
      <c r="AF279" s="20">
        <v>22</v>
      </c>
      <c r="AG279" s="20" t="s">
        <v>8</v>
      </c>
      <c r="AH279" s="24">
        <v>24</v>
      </c>
      <c r="AI279" s="23">
        <f t="shared" si="13"/>
        <v>1</v>
      </c>
      <c r="AJ279" s="17">
        <v>6.75</v>
      </c>
      <c r="AK279" s="17">
        <v>5.5</v>
      </c>
      <c r="AL279" s="14">
        <v>12.25</v>
      </c>
      <c r="AM279" s="23" cm="1">
        <f t="array" ref="AM279">IF(OR(AN279:AZ279=""),"BLANK",IF(AND(AN279:AZ279&lt;9999999),1,IF(AND(AN279:AZ279="NA"),3,2)))</f>
        <v>1</v>
      </c>
      <c r="AN279" s="20">
        <v>9</v>
      </c>
      <c r="AO279" s="26">
        <v>2</v>
      </c>
      <c r="AP279" s="15">
        <v>3</v>
      </c>
      <c r="AQ279" s="15">
        <v>4</v>
      </c>
      <c r="AR279" s="15">
        <v>8.75</v>
      </c>
      <c r="AS279" s="26">
        <v>10932.5</v>
      </c>
      <c r="AT279" s="26">
        <v>8980.5</v>
      </c>
      <c r="AU279" s="26">
        <v>15749</v>
      </c>
      <c r="AV279" s="26">
        <v>27139.75</v>
      </c>
      <c r="AW279" s="26">
        <v>2095</v>
      </c>
      <c r="AX279" s="26">
        <v>261.1666666667</v>
      </c>
      <c r="AY279" s="26">
        <v>3103.5625</v>
      </c>
      <c r="AZ279" s="26">
        <v>12652.0645021645</v>
      </c>
      <c r="BA279" s="23">
        <f t="shared" si="14"/>
        <v>1</v>
      </c>
      <c r="BB279" s="24">
        <v>35</v>
      </c>
    </row>
    <row r="280" spans="1:54" x14ac:dyDescent="0.2">
      <c r="A280" s="5">
        <v>3660</v>
      </c>
      <c r="B280" s="20" t="s">
        <v>74</v>
      </c>
      <c r="C280" s="18" t="s">
        <v>54</v>
      </c>
      <c r="D280" s="18">
        <v>5</v>
      </c>
      <c r="E280" s="18">
        <v>0</v>
      </c>
      <c r="F280" s="18" t="s">
        <v>9</v>
      </c>
      <c r="G280" s="18">
        <v>29</v>
      </c>
      <c r="H280" s="17">
        <v>3.4387405886379194</v>
      </c>
      <c r="I280" s="17">
        <v>4.1971252566735116</v>
      </c>
      <c r="J280" s="17">
        <v>7.6358658453114305</v>
      </c>
      <c r="K280" s="17">
        <v>3.4579055441478439</v>
      </c>
      <c r="L280" s="17">
        <v>4.1670088980150579</v>
      </c>
      <c r="M280" s="17">
        <v>7.6249144421629023</v>
      </c>
      <c r="N280" s="17">
        <v>3.4661190965092401</v>
      </c>
      <c r="O280" s="17">
        <v>4.216290212183436</v>
      </c>
      <c r="P280" s="17">
        <v>7.6824093086926766</v>
      </c>
      <c r="Q280" s="17">
        <v>3.485284052019165</v>
      </c>
      <c r="R280" s="17">
        <v>4.1779603011635862</v>
      </c>
      <c r="S280" s="17">
        <v>7.6632443531827512</v>
      </c>
      <c r="T280" s="30">
        <v>4</v>
      </c>
      <c r="U280" s="30">
        <v>16</v>
      </c>
      <c r="V280" s="20" t="s">
        <v>1</v>
      </c>
      <c r="W280" s="20">
        <v>5</v>
      </c>
      <c r="X280" s="20">
        <v>2</v>
      </c>
      <c r="Y280" s="5">
        <v>1</v>
      </c>
      <c r="Z280" s="24">
        <v>4</v>
      </c>
      <c r="AA280" s="23">
        <f t="shared" si="12"/>
        <v>2</v>
      </c>
      <c r="AB280" s="15">
        <v>1</v>
      </c>
      <c r="AC280" s="15">
        <v>0.875</v>
      </c>
      <c r="AD280" s="15">
        <v>0.5</v>
      </c>
      <c r="AE280" s="15">
        <v>0.79200000000000004</v>
      </c>
      <c r="AF280" s="20">
        <v>19</v>
      </c>
      <c r="AG280" s="20" t="s">
        <v>8</v>
      </c>
      <c r="AH280" s="24">
        <v>24</v>
      </c>
      <c r="AI280" s="23">
        <f t="shared" si="13"/>
        <v>2</v>
      </c>
      <c r="AJ280" s="17" t="s">
        <v>8</v>
      </c>
      <c r="AK280" s="17">
        <v>7.5</v>
      </c>
      <c r="AL280" s="14">
        <v>7.5</v>
      </c>
      <c r="AM280" s="23" cm="1">
        <f t="array" ref="AM280">IF(OR(AN280:AZ280=""),"BLANK",IF(AND(AN280:AZ280&lt;9999999),1,IF(AND(AN280:AZ280="NA"),3,2)))</f>
        <v>1</v>
      </c>
      <c r="AN280" s="20">
        <v>7</v>
      </c>
      <c r="AO280" s="26">
        <v>3</v>
      </c>
      <c r="AP280" s="15">
        <v>3</v>
      </c>
      <c r="AQ280" s="15">
        <v>4.25</v>
      </c>
      <c r="AR280" s="15">
        <v>7.25</v>
      </c>
      <c r="AS280" s="26">
        <v>716.5</v>
      </c>
      <c r="AT280" s="26">
        <v>3091.5</v>
      </c>
      <c r="AU280" s="26">
        <v>1702</v>
      </c>
      <c r="AV280" s="26">
        <v>2400</v>
      </c>
      <c r="AW280" s="26">
        <v>1885.375</v>
      </c>
      <c r="AX280" s="26">
        <v>0</v>
      </c>
      <c r="AY280" s="26">
        <v>270.53750000000002</v>
      </c>
      <c r="AZ280" s="26">
        <v>660.68928571430001</v>
      </c>
      <c r="BA280" s="23">
        <f t="shared" si="14"/>
        <v>1</v>
      </c>
      <c r="BB280" s="24">
        <v>29</v>
      </c>
    </row>
    <row r="281" spans="1:54" x14ac:dyDescent="0.2">
      <c r="A281" s="5">
        <v>3693</v>
      </c>
      <c r="B281" s="20" t="s">
        <v>74</v>
      </c>
      <c r="C281" s="18" t="s">
        <v>54</v>
      </c>
      <c r="D281" s="18">
        <v>5</v>
      </c>
      <c r="E281" s="18">
        <v>0</v>
      </c>
      <c r="F281" s="18" t="s">
        <v>9</v>
      </c>
      <c r="G281" s="18">
        <v>29</v>
      </c>
      <c r="H281" s="17">
        <v>3.4743326488706368</v>
      </c>
      <c r="I281" s="17">
        <v>4.0273785078713207</v>
      </c>
      <c r="J281" s="17">
        <v>7.5017111567419574</v>
      </c>
      <c r="K281" s="17">
        <v>3.4743326488706368</v>
      </c>
      <c r="L281" s="17">
        <v>4.0273785078713207</v>
      </c>
      <c r="M281" s="17">
        <v>7.5017111567419574</v>
      </c>
      <c r="N281" s="17">
        <v>3.4880219028062971</v>
      </c>
      <c r="O281" s="17" t="s">
        <v>8</v>
      </c>
      <c r="P281" s="17" t="s">
        <v>8</v>
      </c>
      <c r="Q281" s="17">
        <v>4.0766598220396988</v>
      </c>
      <c r="R281" s="17" t="s">
        <v>8</v>
      </c>
      <c r="S281" s="17" t="s">
        <v>8</v>
      </c>
      <c r="T281" s="30">
        <v>4</v>
      </c>
      <c r="U281" s="30">
        <v>16</v>
      </c>
      <c r="V281" s="20" t="s">
        <v>1</v>
      </c>
      <c r="W281" s="20">
        <v>5</v>
      </c>
      <c r="X281" s="20">
        <v>2</v>
      </c>
      <c r="Y281" s="5">
        <v>1</v>
      </c>
      <c r="Z281" s="24">
        <v>4</v>
      </c>
      <c r="AA281" s="23">
        <f t="shared" si="12"/>
        <v>1</v>
      </c>
      <c r="AB281" s="15">
        <v>1</v>
      </c>
      <c r="AC281" s="15">
        <v>1</v>
      </c>
      <c r="AD281" s="15">
        <v>0.8571428571428571</v>
      </c>
      <c r="AE281" s="15">
        <v>0.95499999999999996</v>
      </c>
      <c r="AF281" s="20">
        <v>21</v>
      </c>
      <c r="AG281" s="20">
        <v>0.95</v>
      </c>
      <c r="AH281" s="24">
        <v>22</v>
      </c>
      <c r="AI281" s="23">
        <f t="shared" si="13"/>
        <v>1</v>
      </c>
      <c r="AJ281" s="17">
        <v>9</v>
      </c>
      <c r="AK281" s="17">
        <v>7.5</v>
      </c>
      <c r="AL281" s="14">
        <v>16.5</v>
      </c>
      <c r="AM281" s="23" cm="1">
        <f t="array" ref="AM281">IF(OR(AN281:AZ281=""),"BLANK",IF(AND(AN281:AZ281&lt;9999999),1,IF(AND(AN281:AZ281="NA"),3,2)))</f>
        <v>1</v>
      </c>
      <c r="AN281" s="20">
        <v>12</v>
      </c>
      <c r="AO281" s="26">
        <v>2</v>
      </c>
      <c r="AP281" s="15">
        <v>3</v>
      </c>
      <c r="AQ281" s="15">
        <v>4</v>
      </c>
      <c r="AR281" s="15">
        <v>5</v>
      </c>
      <c r="AS281" s="26">
        <v>3401.5</v>
      </c>
      <c r="AT281" s="26">
        <v>6433.5</v>
      </c>
      <c r="AU281" s="26">
        <v>9870.25</v>
      </c>
      <c r="AV281" s="26">
        <v>33998</v>
      </c>
      <c r="AW281" s="26">
        <v>0</v>
      </c>
      <c r="AX281" s="26">
        <v>0</v>
      </c>
      <c r="AY281" s="26">
        <v>1844.9375</v>
      </c>
      <c r="AZ281" s="26">
        <v>587.20000000000005</v>
      </c>
      <c r="BA281" s="23">
        <f t="shared" si="14"/>
        <v>1</v>
      </c>
      <c r="BB281" s="24">
        <v>40</v>
      </c>
    </row>
    <row r="282" spans="1:54" x14ac:dyDescent="0.2">
      <c r="A282" s="5">
        <v>3727</v>
      </c>
      <c r="B282" s="20" t="s">
        <v>74</v>
      </c>
      <c r="C282" s="18" t="s">
        <v>55</v>
      </c>
      <c r="D282" s="18">
        <v>5</v>
      </c>
      <c r="E282" s="18">
        <v>0</v>
      </c>
      <c r="F282" s="18" t="s">
        <v>9</v>
      </c>
      <c r="G282" s="18">
        <v>30</v>
      </c>
      <c r="H282" s="22">
        <v>3.4195756331279945</v>
      </c>
      <c r="I282" s="22" t="s">
        <v>8</v>
      </c>
      <c r="J282" s="22" t="s">
        <v>8</v>
      </c>
      <c r="K282" s="22">
        <v>3.4195756331279945</v>
      </c>
      <c r="L282" s="22" t="s">
        <v>8</v>
      </c>
      <c r="M282" s="22" t="s">
        <v>8</v>
      </c>
      <c r="N282" s="22">
        <v>3.4140999315537304</v>
      </c>
      <c r="O282" s="22" t="s">
        <v>8</v>
      </c>
      <c r="P282" s="22" t="s">
        <v>8</v>
      </c>
      <c r="Q282" s="22">
        <v>4.5968514715947979</v>
      </c>
      <c r="R282" s="22" t="s">
        <v>8</v>
      </c>
      <c r="S282" s="22" t="s">
        <v>8</v>
      </c>
      <c r="T282" s="30">
        <v>3</v>
      </c>
      <c r="U282" s="30">
        <v>15</v>
      </c>
      <c r="V282" s="20" t="s">
        <v>1</v>
      </c>
      <c r="W282" s="20">
        <v>5</v>
      </c>
      <c r="X282" s="20">
        <v>2</v>
      </c>
      <c r="Y282" s="5">
        <v>1</v>
      </c>
      <c r="Z282" s="24">
        <v>4</v>
      </c>
      <c r="AA282" s="23">
        <f t="shared" si="12"/>
        <v>1</v>
      </c>
      <c r="AB282" s="15">
        <v>0.875</v>
      </c>
      <c r="AC282" s="15">
        <v>0.5</v>
      </c>
      <c r="AD282" s="15">
        <v>0.625</v>
      </c>
      <c r="AE282" s="15">
        <v>0.66700000000000004</v>
      </c>
      <c r="AF282" s="20">
        <v>16</v>
      </c>
      <c r="AG282" s="20">
        <v>1.68</v>
      </c>
      <c r="AH282" s="24">
        <v>24</v>
      </c>
      <c r="AI282" s="23">
        <f t="shared" si="13"/>
        <v>1</v>
      </c>
      <c r="AJ282" s="17">
        <v>3.75</v>
      </c>
      <c r="AK282" s="17">
        <v>2.5</v>
      </c>
      <c r="AL282" s="14">
        <v>6.25</v>
      </c>
      <c r="AM282" s="23" cm="1">
        <f t="array" ref="AM282">IF(OR(AN282:AZ282=""),"BLANK",IF(AND(AN282:AZ282&lt;9999999),1,IF(AND(AN282:AZ282="NA"),3,2)))</f>
        <v>1</v>
      </c>
      <c r="AN282" s="20">
        <v>6</v>
      </c>
      <c r="AO282" s="26">
        <v>2</v>
      </c>
      <c r="AP282" s="15">
        <v>3.5</v>
      </c>
      <c r="AQ282" s="15">
        <v>6.75</v>
      </c>
      <c r="AR282" s="15">
        <v>7</v>
      </c>
      <c r="AS282" s="26">
        <v>5320</v>
      </c>
      <c r="AT282" s="26">
        <v>11300</v>
      </c>
      <c r="AU282" s="26">
        <v>10801</v>
      </c>
      <c r="AV282" s="26">
        <v>9092.75</v>
      </c>
      <c r="AW282" s="26">
        <v>0</v>
      </c>
      <c r="AX282" s="26">
        <v>2227.8333333332998</v>
      </c>
      <c r="AY282" s="26">
        <v>7651.1111111111004</v>
      </c>
      <c r="AZ282" s="26">
        <v>3498.2624999999998</v>
      </c>
      <c r="BA282" s="23">
        <f t="shared" si="14"/>
        <v>1</v>
      </c>
      <c r="BB282" s="24">
        <v>33</v>
      </c>
    </row>
    <row r="283" spans="1:54" x14ac:dyDescent="0.2">
      <c r="A283" s="5">
        <v>3744</v>
      </c>
      <c r="B283" s="20" t="s">
        <v>63</v>
      </c>
      <c r="C283" s="18" t="s">
        <v>55</v>
      </c>
      <c r="D283" s="18">
        <v>5</v>
      </c>
      <c r="E283" s="18">
        <v>0</v>
      </c>
      <c r="F283" s="18" t="s">
        <v>9</v>
      </c>
      <c r="G283" s="18">
        <v>26</v>
      </c>
      <c r="H283" s="17">
        <v>3.9616700889801506</v>
      </c>
      <c r="I283" s="17">
        <v>3.1321013004791238</v>
      </c>
      <c r="J283" s="17">
        <v>7.0937713894592749</v>
      </c>
      <c r="K283" s="17">
        <v>3.9616700889801506</v>
      </c>
      <c r="L283" s="17">
        <v>3.1540041067761808</v>
      </c>
      <c r="M283" s="17">
        <v>7.1156741957563314</v>
      </c>
      <c r="N283" s="17">
        <v>3.9835728952772076</v>
      </c>
      <c r="O283" s="17">
        <v>3.052703627652293</v>
      </c>
      <c r="P283" s="17">
        <v>7.0362765229295006</v>
      </c>
      <c r="Q283" s="17">
        <v>3.9452429842573578</v>
      </c>
      <c r="R283" s="17">
        <v>3.1074606433949348</v>
      </c>
      <c r="S283" s="17">
        <v>7.052703627652293</v>
      </c>
      <c r="T283" s="30">
        <v>3</v>
      </c>
      <c r="U283" s="30">
        <v>15</v>
      </c>
      <c r="V283" s="20" t="s">
        <v>1</v>
      </c>
      <c r="W283" s="20">
        <v>5</v>
      </c>
      <c r="X283" s="20">
        <v>2</v>
      </c>
      <c r="Y283" s="5">
        <v>1</v>
      </c>
      <c r="Z283" s="24">
        <v>4</v>
      </c>
      <c r="AA283" s="23">
        <f t="shared" si="12"/>
        <v>1</v>
      </c>
      <c r="AB283" s="15">
        <v>1</v>
      </c>
      <c r="AC283" s="15">
        <v>0.7142857142857143</v>
      </c>
      <c r="AD283" s="15">
        <v>0.5714285714285714</v>
      </c>
      <c r="AE283" s="15">
        <v>0.77300000000000002</v>
      </c>
      <c r="AF283" s="20">
        <v>17</v>
      </c>
      <c r="AG283" s="20">
        <v>9.7799999999999994</v>
      </c>
      <c r="AH283" s="24">
        <v>22</v>
      </c>
      <c r="AI283" s="23">
        <f t="shared" si="13"/>
        <v>1</v>
      </c>
      <c r="AJ283" s="17">
        <v>1.25</v>
      </c>
      <c r="AK283" s="17">
        <v>4.25</v>
      </c>
      <c r="AL283" s="14">
        <v>5.5</v>
      </c>
      <c r="AM283" s="23" cm="1">
        <f t="array" ref="AM283">IF(OR(AN283:AZ283=""),"BLANK",IF(AND(AN283:AZ283&lt;9999999),1,IF(AND(AN283:AZ283="NA"),3,2)))</f>
        <v>1</v>
      </c>
      <c r="AN283" s="20">
        <v>8</v>
      </c>
      <c r="AO283" s="26">
        <v>2</v>
      </c>
      <c r="AP283" s="15">
        <v>3</v>
      </c>
      <c r="AQ283" s="15">
        <v>5.25</v>
      </c>
      <c r="AR283" s="15">
        <v>9</v>
      </c>
      <c r="AS283" s="26">
        <v>992</v>
      </c>
      <c r="AT283" s="26">
        <v>2478.5</v>
      </c>
      <c r="AU283" s="26">
        <v>12734.5</v>
      </c>
      <c r="AV283" s="26">
        <v>7922</v>
      </c>
      <c r="AW283" s="26">
        <v>65.75</v>
      </c>
      <c r="AX283" s="26">
        <v>164.8333333333</v>
      </c>
      <c r="AY283" s="26">
        <v>2102.4375</v>
      </c>
      <c r="AZ283" s="26">
        <v>2364.7005952381</v>
      </c>
      <c r="BA283" s="23">
        <f t="shared" si="14"/>
        <v>1</v>
      </c>
      <c r="BB283" s="24">
        <v>22</v>
      </c>
    </row>
    <row r="284" spans="1:54" x14ac:dyDescent="0.2">
      <c r="A284" s="5">
        <v>3846</v>
      </c>
      <c r="B284" s="20" t="s">
        <v>68</v>
      </c>
      <c r="C284" s="18" t="s">
        <v>54</v>
      </c>
      <c r="D284" s="18">
        <v>2</v>
      </c>
      <c r="E284" s="18">
        <v>0</v>
      </c>
      <c r="F284" s="18" t="s">
        <v>9</v>
      </c>
      <c r="G284" s="18">
        <v>29</v>
      </c>
      <c r="H284" s="17">
        <v>3.5838466803559208</v>
      </c>
      <c r="I284" s="17" t="s">
        <v>8</v>
      </c>
      <c r="J284" s="17" t="s">
        <v>8</v>
      </c>
      <c r="K284" s="17">
        <v>3.5838466803559208</v>
      </c>
      <c r="L284" s="17" t="s">
        <v>8</v>
      </c>
      <c r="M284" s="17" t="s">
        <v>8</v>
      </c>
      <c r="N284" s="17">
        <v>3.5592060232717317</v>
      </c>
      <c r="O284" s="17" t="s">
        <v>8</v>
      </c>
      <c r="P284" s="17" t="s">
        <v>8</v>
      </c>
      <c r="Q284" s="17">
        <v>3.9425051334702257</v>
      </c>
      <c r="R284" s="17" t="s">
        <v>8</v>
      </c>
      <c r="S284" s="17" t="s">
        <v>8</v>
      </c>
      <c r="T284" s="30">
        <v>4</v>
      </c>
      <c r="U284" s="30">
        <v>16</v>
      </c>
      <c r="V284" s="20" t="s">
        <v>1</v>
      </c>
      <c r="W284" s="20">
        <v>5</v>
      </c>
      <c r="X284" s="20">
        <v>2</v>
      </c>
      <c r="Y284" s="5">
        <v>1</v>
      </c>
      <c r="Z284" s="24">
        <v>4</v>
      </c>
      <c r="AA284" s="23">
        <f t="shared" si="12"/>
        <v>1</v>
      </c>
      <c r="AB284" s="15">
        <v>0.625</v>
      </c>
      <c r="AC284" s="15">
        <v>0.75</v>
      </c>
      <c r="AD284" s="15">
        <v>0.125</v>
      </c>
      <c r="AE284" s="15">
        <v>0.5</v>
      </c>
      <c r="AF284" s="20">
        <v>12</v>
      </c>
      <c r="AG284" s="20">
        <v>4.97</v>
      </c>
      <c r="AH284" s="24">
        <v>24</v>
      </c>
      <c r="AI284" s="23">
        <f t="shared" si="13"/>
        <v>1</v>
      </c>
      <c r="AJ284" s="17">
        <v>6</v>
      </c>
      <c r="AK284" s="17">
        <v>3.75</v>
      </c>
      <c r="AL284" s="14">
        <v>9.75</v>
      </c>
      <c r="AM284" s="23" cm="1">
        <f t="array" ref="AM284">IF(OR(AN284:AZ284=""),"BLANK",IF(AND(AN284:AZ284&lt;9999999),1,IF(AND(AN284:AZ284="NA"),3,2)))</f>
        <v>1</v>
      </c>
      <c r="AN284" s="20">
        <v>6</v>
      </c>
      <c r="AO284" s="26">
        <v>2</v>
      </c>
      <c r="AP284" s="15">
        <v>5</v>
      </c>
      <c r="AQ284" s="15">
        <v>6.75</v>
      </c>
      <c r="AR284" s="15">
        <v>7</v>
      </c>
      <c r="AS284" s="26">
        <v>1772.5</v>
      </c>
      <c r="AT284" s="26">
        <v>4453</v>
      </c>
      <c r="AU284" s="26">
        <v>2916.5</v>
      </c>
      <c r="AV284" s="26">
        <v>1733.5</v>
      </c>
      <c r="AW284" s="26">
        <v>0</v>
      </c>
      <c r="AX284" s="26">
        <v>8036.6666666666997</v>
      </c>
      <c r="AY284" s="26">
        <v>3277.8430555556001</v>
      </c>
      <c r="AZ284" s="26">
        <v>666.32916666669996</v>
      </c>
      <c r="BA284" s="23">
        <f t="shared" si="14"/>
        <v>1</v>
      </c>
      <c r="BB284" s="24">
        <v>30</v>
      </c>
    </row>
    <row r="285" spans="1:54" x14ac:dyDescent="0.2">
      <c r="A285" s="5">
        <v>3863</v>
      </c>
      <c r="B285" s="20" t="s">
        <v>75</v>
      </c>
      <c r="C285" s="18" t="s">
        <v>54</v>
      </c>
      <c r="D285" s="18">
        <v>5</v>
      </c>
      <c r="E285" s="18">
        <v>0</v>
      </c>
      <c r="F285" s="18" t="s">
        <v>9</v>
      </c>
      <c r="G285" s="18">
        <v>29</v>
      </c>
      <c r="H285" s="22">
        <v>3.5592060232717317</v>
      </c>
      <c r="I285" s="22">
        <v>3.8384668035592062</v>
      </c>
      <c r="J285" s="22">
        <v>7.397672826830938</v>
      </c>
      <c r="K285" s="22">
        <v>3.5592060232717317</v>
      </c>
      <c r="L285" s="22">
        <v>3.8384668035592062</v>
      </c>
      <c r="M285" s="22">
        <v>7.397672826830938</v>
      </c>
      <c r="N285" s="22">
        <v>3.6057494866529773</v>
      </c>
      <c r="O285" s="22">
        <v>3.8001368925393568</v>
      </c>
      <c r="P285" s="22">
        <v>7.4058863791923342</v>
      </c>
      <c r="Q285" s="22">
        <v>3.8877481177275839</v>
      </c>
      <c r="R285" s="22">
        <v>3.5263518138261465</v>
      </c>
      <c r="S285" s="22">
        <v>7.4140999315537304</v>
      </c>
      <c r="T285" s="30">
        <v>5</v>
      </c>
      <c r="U285" s="30">
        <v>16</v>
      </c>
      <c r="V285" s="20" t="s">
        <v>1</v>
      </c>
      <c r="W285" s="20">
        <v>5</v>
      </c>
      <c r="X285" s="20">
        <v>2</v>
      </c>
      <c r="Y285" s="5">
        <v>1</v>
      </c>
      <c r="Z285" s="24">
        <v>4</v>
      </c>
      <c r="AA285" s="23">
        <f t="shared" si="12"/>
        <v>1</v>
      </c>
      <c r="AB285" s="15">
        <v>0.875</v>
      </c>
      <c r="AC285" s="15">
        <v>1</v>
      </c>
      <c r="AD285" s="15">
        <v>0.625</v>
      </c>
      <c r="AE285" s="15">
        <v>0.83299999999999996</v>
      </c>
      <c r="AF285" s="20">
        <v>20</v>
      </c>
      <c r="AG285" s="20">
        <v>8.57</v>
      </c>
      <c r="AH285" s="24">
        <v>24</v>
      </c>
      <c r="AI285" s="23">
        <f t="shared" si="13"/>
        <v>1</v>
      </c>
      <c r="AJ285" s="17">
        <v>8.75</v>
      </c>
      <c r="AK285" s="17">
        <v>10</v>
      </c>
      <c r="AL285" s="14">
        <v>18.75</v>
      </c>
      <c r="AM285" s="23" cm="1">
        <f t="array" ref="AM285">IF(OR(AN285:AZ285=""),"BLANK",IF(AND(AN285:AZ285&lt;9999999),1,IF(AND(AN285:AZ285="NA"),3,2)))</f>
        <v>1</v>
      </c>
      <c r="AN285" s="20">
        <v>5</v>
      </c>
      <c r="AO285" s="26">
        <v>2</v>
      </c>
      <c r="AP285" s="15">
        <v>3</v>
      </c>
      <c r="AQ285" s="15">
        <v>7.75</v>
      </c>
      <c r="AR285" s="15">
        <v>12</v>
      </c>
      <c r="AS285" s="26">
        <v>3974.5</v>
      </c>
      <c r="AT285" s="26">
        <v>12481</v>
      </c>
      <c r="AU285" s="26">
        <v>3325</v>
      </c>
      <c r="AV285" s="26">
        <v>3395</v>
      </c>
      <c r="AW285" s="26">
        <v>52.75</v>
      </c>
      <c r="AX285" s="26">
        <v>551.83333333329995</v>
      </c>
      <c r="AY285" s="26">
        <v>2126.2847222221999</v>
      </c>
      <c r="AZ285" s="26">
        <v>1480.5</v>
      </c>
      <c r="BA285" s="23">
        <f t="shared" si="14"/>
        <v>1</v>
      </c>
      <c r="BB285" s="24">
        <v>37</v>
      </c>
    </row>
    <row r="286" spans="1:54" x14ac:dyDescent="0.2">
      <c r="A286" s="5">
        <v>3898</v>
      </c>
      <c r="B286" s="20" t="s">
        <v>82</v>
      </c>
      <c r="C286" s="18" t="s">
        <v>55</v>
      </c>
      <c r="D286" s="18">
        <v>5</v>
      </c>
      <c r="E286" s="18">
        <v>0</v>
      </c>
      <c r="F286" s="18" t="s">
        <v>9</v>
      </c>
      <c r="G286" s="18">
        <v>26</v>
      </c>
      <c r="H286" s="22">
        <v>4.9719370294318956</v>
      </c>
      <c r="I286" s="22" t="s">
        <v>8</v>
      </c>
      <c r="J286" s="22" t="s">
        <v>8</v>
      </c>
      <c r="K286" s="22">
        <v>4.9719370294318956</v>
      </c>
      <c r="L286" s="22" t="s">
        <v>8</v>
      </c>
      <c r="M286" s="22" t="s">
        <v>8</v>
      </c>
      <c r="N286" s="22">
        <v>4.9281314168377826</v>
      </c>
      <c r="O286" s="22" t="s">
        <v>8</v>
      </c>
      <c r="P286" s="22" t="s">
        <v>8</v>
      </c>
      <c r="Q286" s="22">
        <v>4.862422997946612</v>
      </c>
      <c r="R286" s="22" t="s">
        <v>8</v>
      </c>
      <c r="S286" s="22" t="s">
        <v>8</v>
      </c>
      <c r="T286" s="30" t="s">
        <v>8</v>
      </c>
      <c r="U286" s="30" t="s">
        <v>8</v>
      </c>
      <c r="V286" s="20" t="s">
        <v>1</v>
      </c>
      <c r="W286" s="20">
        <v>5</v>
      </c>
      <c r="X286" s="20">
        <v>2</v>
      </c>
      <c r="Y286" s="5">
        <v>1</v>
      </c>
      <c r="Z286" s="24">
        <v>4</v>
      </c>
      <c r="AA286" s="23">
        <f t="shared" si="12"/>
        <v>1</v>
      </c>
      <c r="AB286" s="15">
        <v>0.875</v>
      </c>
      <c r="AC286" s="15">
        <v>1</v>
      </c>
      <c r="AD286" s="15">
        <v>0.5</v>
      </c>
      <c r="AE286" s="15">
        <v>0.79200000000000004</v>
      </c>
      <c r="AF286" s="20">
        <v>19</v>
      </c>
      <c r="AG286" s="20">
        <v>4.3</v>
      </c>
      <c r="AH286" s="24">
        <v>24</v>
      </c>
      <c r="AI286" s="23">
        <f t="shared" si="13"/>
        <v>1</v>
      </c>
      <c r="AJ286" s="17">
        <v>7.75</v>
      </c>
      <c r="AK286" s="17">
        <v>9.75</v>
      </c>
      <c r="AL286" s="14">
        <v>17.5</v>
      </c>
      <c r="AM286" s="23" cm="1">
        <f t="array" ref="AM286">IF(OR(AN286:AZ286=""),"BLANK",IF(AND(AN286:AZ286&lt;9999999),1,IF(AND(AN286:AZ286="NA"),3,2)))</f>
        <v>1</v>
      </c>
      <c r="AN286" s="18">
        <v>10</v>
      </c>
      <c r="AO286" s="32">
        <v>2</v>
      </c>
      <c r="AP286" s="17">
        <v>3</v>
      </c>
      <c r="AQ286" s="17">
        <v>5.5</v>
      </c>
      <c r="AR286" s="17">
        <v>5</v>
      </c>
      <c r="AS286" s="32">
        <v>2210</v>
      </c>
      <c r="AT286" s="32">
        <v>5599.5</v>
      </c>
      <c r="AU286" s="32">
        <v>9816.25</v>
      </c>
      <c r="AV286" s="32">
        <v>12979.75</v>
      </c>
      <c r="AW286" s="32">
        <v>4301.25</v>
      </c>
      <c r="AX286" s="32">
        <v>0</v>
      </c>
      <c r="AY286" s="32">
        <v>7771.9777777777999</v>
      </c>
      <c r="AZ286" s="32">
        <v>628.54999999999995</v>
      </c>
      <c r="BA286" s="23">
        <f t="shared" si="14"/>
        <v>1</v>
      </c>
      <c r="BB286" s="24">
        <v>32</v>
      </c>
    </row>
    <row r="287" spans="1:54" x14ac:dyDescent="0.2">
      <c r="A287" s="5">
        <v>3899</v>
      </c>
      <c r="B287" s="20" t="s">
        <v>68</v>
      </c>
      <c r="C287" s="18" t="s">
        <v>54</v>
      </c>
      <c r="D287" s="18">
        <v>5</v>
      </c>
      <c r="E287" s="18">
        <v>0</v>
      </c>
      <c r="F287" s="18" t="s">
        <v>9</v>
      </c>
      <c r="G287" s="18">
        <v>28</v>
      </c>
      <c r="H287" s="17">
        <v>3.5263518138261465</v>
      </c>
      <c r="I287" s="17" t="s">
        <v>8</v>
      </c>
      <c r="J287" s="17" t="s">
        <v>8</v>
      </c>
      <c r="K287" s="17">
        <v>3.5263518138261465</v>
      </c>
      <c r="L287" s="17" t="s">
        <v>8</v>
      </c>
      <c r="M287" s="17" t="s">
        <v>8</v>
      </c>
      <c r="N287" s="17">
        <v>3.6002737850787132</v>
      </c>
      <c r="O287" s="17" t="s">
        <v>8</v>
      </c>
      <c r="P287" s="17" t="s">
        <v>8</v>
      </c>
      <c r="Q287" s="17">
        <v>4.5749486652977414</v>
      </c>
      <c r="R287" s="17" t="s">
        <v>8</v>
      </c>
      <c r="S287" s="17" t="s">
        <v>8</v>
      </c>
      <c r="T287" s="30">
        <v>2</v>
      </c>
      <c r="U287" s="30">
        <v>12</v>
      </c>
      <c r="V287" s="20" t="s">
        <v>1</v>
      </c>
      <c r="W287" s="20">
        <v>5</v>
      </c>
      <c r="X287" s="20">
        <v>2</v>
      </c>
      <c r="Y287" s="5">
        <v>1</v>
      </c>
      <c r="Z287" s="24">
        <v>4</v>
      </c>
      <c r="AA287" s="23">
        <f t="shared" si="12"/>
        <v>1</v>
      </c>
      <c r="AB287" s="15">
        <v>0.625</v>
      </c>
      <c r="AC287" s="15">
        <v>0.125</v>
      </c>
      <c r="AD287" s="15">
        <v>0.125</v>
      </c>
      <c r="AE287" s="15">
        <v>0.29199999999999998</v>
      </c>
      <c r="AF287" s="20">
        <v>7</v>
      </c>
      <c r="AG287" s="20">
        <v>11.08</v>
      </c>
      <c r="AH287" s="24">
        <v>24</v>
      </c>
      <c r="AI287" s="23">
        <f t="shared" si="13"/>
        <v>2</v>
      </c>
      <c r="AJ287" s="17">
        <v>2.25</v>
      </c>
      <c r="AK287" s="17" t="s">
        <v>8</v>
      </c>
      <c r="AL287" s="14">
        <v>2.25</v>
      </c>
      <c r="AM287" s="23" cm="1">
        <f t="array" ref="AM287">IF(OR(AN287:AZ287=""),"BLANK",IF(AND(AN287:AZ287&lt;9999999),1,IF(AND(AN287:AZ287="NA"),3,2)))</f>
        <v>1</v>
      </c>
      <c r="AN287" s="20">
        <v>8</v>
      </c>
      <c r="AO287" s="26">
        <v>8</v>
      </c>
      <c r="AP287" s="15">
        <v>8</v>
      </c>
      <c r="AQ287" s="15">
        <v>8</v>
      </c>
      <c r="AR287" s="15">
        <v>8</v>
      </c>
      <c r="AS287" s="26">
        <v>8</v>
      </c>
      <c r="AT287" s="26">
        <v>8</v>
      </c>
      <c r="AU287" s="26">
        <v>8</v>
      </c>
      <c r="AV287" s="26">
        <v>8</v>
      </c>
      <c r="AW287" s="26">
        <v>8</v>
      </c>
      <c r="AX287" s="26">
        <v>8</v>
      </c>
      <c r="AY287" s="26">
        <v>8</v>
      </c>
      <c r="AZ287" s="26">
        <v>8</v>
      </c>
      <c r="BA287" s="23">
        <f t="shared" si="14"/>
        <v>1</v>
      </c>
      <c r="BB287" s="24">
        <v>22</v>
      </c>
    </row>
    <row r="288" spans="1:54" x14ac:dyDescent="0.2">
      <c r="A288" s="5">
        <v>3911</v>
      </c>
      <c r="B288" s="20" t="s">
        <v>62</v>
      </c>
      <c r="C288" s="18" t="s">
        <v>54</v>
      </c>
      <c r="D288" s="18">
        <v>5</v>
      </c>
      <c r="E288" s="18">
        <v>0</v>
      </c>
      <c r="F288" s="18" t="s">
        <v>9</v>
      </c>
      <c r="G288" s="18">
        <v>29</v>
      </c>
      <c r="H288" s="17">
        <v>3.6030116358658453</v>
      </c>
      <c r="I288" s="17">
        <v>3.9014373716632442</v>
      </c>
      <c r="J288" s="17">
        <v>7.5044490075290895</v>
      </c>
      <c r="K288" s="17">
        <v>3.6030116358658453</v>
      </c>
      <c r="L288" s="17">
        <v>3.9014373716632442</v>
      </c>
      <c r="M288" s="17">
        <v>7.5044490075290895</v>
      </c>
      <c r="N288" s="17">
        <v>3.6139630390143735</v>
      </c>
      <c r="O288" s="17">
        <v>3.9206023271731691</v>
      </c>
      <c r="P288" s="17">
        <v>7.5345653661875431</v>
      </c>
      <c r="Q288" s="17">
        <v>3.9616700889801506</v>
      </c>
      <c r="R288" s="17">
        <v>3.7727583846680357</v>
      </c>
      <c r="S288" s="17">
        <v>7.7344284736481859</v>
      </c>
      <c r="T288" s="30">
        <v>4</v>
      </c>
      <c r="U288" s="30">
        <v>16</v>
      </c>
      <c r="V288" s="20" t="s">
        <v>1</v>
      </c>
      <c r="W288" s="20">
        <v>5</v>
      </c>
      <c r="X288" s="20">
        <v>2</v>
      </c>
      <c r="Y288" s="5">
        <v>1</v>
      </c>
      <c r="Z288" s="24">
        <v>4</v>
      </c>
      <c r="AA288" s="23">
        <f t="shared" si="12"/>
        <v>1</v>
      </c>
      <c r="AB288" s="15">
        <v>0.875</v>
      </c>
      <c r="AC288" s="15">
        <v>0.875</v>
      </c>
      <c r="AD288" s="15">
        <v>0.625</v>
      </c>
      <c r="AE288" s="15">
        <v>0.79200000000000004</v>
      </c>
      <c r="AF288" s="20">
        <v>19</v>
      </c>
      <c r="AG288" s="20">
        <v>10.07</v>
      </c>
      <c r="AH288" s="24">
        <v>24</v>
      </c>
      <c r="AI288" s="23">
        <f t="shared" si="13"/>
        <v>1</v>
      </c>
      <c r="AJ288" s="17">
        <v>14</v>
      </c>
      <c r="AK288" s="17">
        <v>8.75</v>
      </c>
      <c r="AL288" s="14">
        <v>22.75</v>
      </c>
      <c r="AM288" s="23" cm="1">
        <f t="array" ref="AM288">IF(OR(AN288:AZ288=""),"BLANK",IF(AND(AN288:AZ288&lt;9999999),1,IF(AND(AN288:AZ288="NA"),3,2)))</f>
        <v>1</v>
      </c>
      <c r="AN288" s="20">
        <v>10</v>
      </c>
      <c r="AO288" s="26">
        <v>2</v>
      </c>
      <c r="AP288" s="15">
        <v>3</v>
      </c>
      <c r="AQ288" s="15">
        <v>5.25</v>
      </c>
      <c r="AR288" s="15">
        <v>6.75</v>
      </c>
      <c r="AS288" s="26">
        <v>1129</v>
      </c>
      <c r="AT288" s="26">
        <v>6386</v>
      </c>
      <c r="AU288" s="26">
        <v>15709.25</v>
      </c>
      <c r="AV288" s="26">
        <v>29796.5</v>
      </c>
      <c r="AW288" s="26">
        <v>0</v>
      </c>
      <c r="AX288" s="26">
        <v>10623.333333333299</v>
      </c>
      <c r="AY288" s="26">
        <v>4037.0625</v>
      </c>
      <c r="AZ288" s="26">
        <v>413.40416666670001</v>
      </c>
      <c r="BA288" s="23">
        <f t="shared" si="14"/>
        <v>1</v>
      </c>
      <c r="BB288" s="24">
        <v>39</v>
      </c>
    </row>
    <row r="289" spans="1:54" x14ac:dyDescent="0.2">
      <c r="A289" s="5">
        <v>3946</v>
      </c>
      <c r="B289" s="20" t="s">
        <v>82</v>
      </c>
      <c r="C289" s="18" t="s">
        <v>54</v>
      </c>
      <c r="D289" s="18">
        <v>5</v>
      </c>
      <c r="E289" s="18">
        <v>0</v>
      </c>
      <c r="F289" s="18" t="s">
        <v>9</v>
      </c>
      <c r="G289" s="18">
        <v>30</v>
      </c>
      <c r="H289" s="17">
        <v>2.4996577686516086</v>
      </c>
      <c r="I289" s="17">
        <v>4.3367556468172488</v>
      </c>
      <c r="J289" s="17">
        <v>6.8364134154688569</v>
      </c>
      <c r="K289" s="17">
        <v>2.4996577686516086</v>
      </c>
      <c r="L289" s="17">
        <v>4.3367556468172488</v>
      </c>
      <c r="M289" s="17">
        <v>6.8364134154688569</v>
      </c>
      <c r="N289" s="17">
        <v>2.5078713210130048</v>
      </c>
      <c r="O289" s="17">
        <v>4.2847364818617386</v>
      </c>
      <c r="P289" s="17">
        <v>6.792607802874743</v>
      </c>
      <c r="Q289" s="17">
        <v>3.2963723477070501</v>
      </c>
      <c r="R289" s="17">
        <v>3.7371663244353184</v>
      </c>
      <c r="S289" s="17">
        <v>7.0335386721423685</v>
      </c>
      <c r="T289" s="30">
        <v>5</v>
      </c>
      <c r="U289" s="30">
        <v>17</v>
      </c>
      <c r="V289" s="20" t="s">
        <v>1</v>
      </c>
      <c r="W289" s="20">
        <v>5</v>
      </c>
      <c r="X289" s="20">
        <v>2</v>
      </c>
      <c r="Y289" s="5">
        <v>1</v>
      </c>
      <c r="Z289" s="24">
        <v>4</v>
      </c>
      <c r="AA289" s="23">
        <f t="shared" si="12"/>
        <v>1</v>
      </c>
      <c r="AB289" s="15">
        <v>1</v>
      </c>
      <c r="AC289" s="15">
        <v>0.875</v>
      </c>
      <c r="AD289" s="15">
        <v>0.625</v>
      </c>
      <c r="AE289" s="15">
        <v>0.83299999999999996</v>
      </c>
      <c r="AF289" s="20">
        <v>20</v>
      </c>
      <c r="AG289" s="20">
        <v>3.28</v>
      </c>
      <c r="AH289" s="24">
        <v>24</v>
      </c>
      <c r="AI289" s="23">
        <f t="shared" si="13"/>
        <v>1</v>
      </c>
      <c r="AJ289" s="17">
        <v>6.5</v>
      </c>
      <c r="AK289" s="17">
        <v>8.5</v>
      </c>
      <c r="AL289" s="14">
        <v>15</v>
      </c>
      <c r="AM289" s="23" cm="1">
        <f t="array" ref="AM289">IF(OR(AN289:AZ289=""),"BLANK",IF(AND(AN289:AZ289&lt;9999999),1,IF(AND(AN289:AZ289="NA"),3,2)))</f>
        <v>1</v>
      </c>
      <c r="AN289" s="20">
        <v>10</v>
      </c>
      <c r="AO289" s="26">
        <v>2</v>
      </c>
      <c r="AP289" s="15">
        <v>3</v>
      </c>
      <c r="AQ289" s="15">
        <v>5.25</v>
      </c>
      <c r="AR289" s="15">
        <v>6.75</v>
      </c>
      <c r="AS289" s="26">
        <v>3323.5</v>
      </c>
      <c r="AT289" s="26">
        <v>6575</v>
      </c>
      <c r="AU289" s="26">
        <v>10464.25</v>
      </c>
      <c r="AV289" s="26">
        <v>9216</v>
      </c>
      <c r="AW289" s="26">
        <v>0</v>
      </c>
      <c r="AX289" s="26">
        <v>0</v>
      </c>
      <c r="AY289" s="26">
        <v>1314.4930555556</v>
      </c>
      <c r="AZ289" s="26">
        <v>343.4166666667</v>
      </c>
      <c r="BA289" s="23">
        <f t="shared" si="14"/>
        <v>1</v>
      </c>
      <c r="BB289" s="24">
        <v>35</v>
      </c>
    </row>
    <row r="290" spans="1:54" x14ac:dyDescent="0.2">
      <c r="A290" s="5">
        <v>4033</v>
      </c>
      <c r="B290" s="20" t="s">
        <v>75</v>
      </c>
      <c r="C290" s="18" t="s">
        <v>55</v>
      </c>
      <c r="D290" s="18">
        <v>2</v>
      </c>
      <c r="E290" s="18">
        <v>0</v>
      </c>
      <c r="F290" s="18" t="s">
        <v>9</v>
      </c>
      <c r="G290" s="18">
        <v>30</v>
      </c>
      <c r="H290" s="22">
        <v>3.4770704996577688</v>
      </c>
      <c r="I290" s="22" t="s">
        <v>8</v>
      </c>
      <c r="J290" s="22" t="s">
        <v>8</v>
      </c>
      <c r="K290" s="22">
        <v>3.4770704996577688</v>
      </c>
      <c r="L290" s="22" t="s">
        <v>8</v>
      </c>
      <c r="M290" s="22" t="s">
        <v>8</v>
      </c>
      <c r="N290" s="22">
        <v>3.485284052019165</v>
      </c>
      <c r="O290" s="22" t="s">
        <v>8</v>
      </c>
      <c r="P290" s="22" t="s">
        <v>8</v>
      </c>
      <c r="Q290" s="22">
        <v>4.0355920602327169</v>
      </c>
      <c r="R290" s="22" t="s">
        <v>8</v>
      </c>
      <c r="S290" s="22" t="s">
        <v>8</v>
      </c>
      <c r="T290" s="30">
        <v>4</v>
      </c>
      <c r="U290" s="30">
        <v>16</v>
      </c>
      <c r="V290" s="20" t="s">
        <v>1</v>
      </c>
      <c r="W290" s="20">
        <v>5</v>
      </c>
      <c r="X290" s="20">
        <v>2</v>
      </c>
      <c r="Y290" s="5">
        <v>1</v>
      </c>
      <c r="Z290" s="24">
        <v>4</v>
      </c>
      <c r="AA290" s="23">
        <f t="shared" si="12"/>
        <v>2</v>
      </c>
      <c r="AB290" s="15">
        <v>1</v>
      </c>
      <c r="AC290" s="15">
        <v>0.42857142857142855</v>
      </c>
      <c r="AD290" s="15">
        <v>0.66666666666666663</v>
      </c>
      <c r="AE290" s="15">
        <v>0.71399999999999997</v>
      </c>
      <c r="AF290" s="20">
        <v>15</v>
      </c>
      <c r="AG290" s="20" t="s">
        <v>8</v>
      </c>
      <c r="AH290" s="24">
        <v>21</v>
      </c>
      <c r="AI290" s="23">
        <f t="shared" si="13"/>
        <v>1</v>
      </c>
      <c r="AJ290" s="17">
        <v>3.5</v>
      </c>
      <c r="AK290" s="17">
        <v>7</v>
      </c>
      <c r="AL290" s="14">
        <v>10.5</v>
      </c>
      <c r="AM290" s="23" cm="1">
        <f t="array" ref="AM290">IF(OR(AN290:AZ290=""),"BLANK",IF(AND(AN290:AZ290&lt;9999999),1,IF(AND(AN290:AZ290="NA"),3,2)))</f>
        <v>1</v>
      </c>
      <c r="AN290" s="20">
        <v>9</v>
      </c>
      <c r="AO290" s="26">
        <v>2</v>
      </c>
      <c r="AP290" s="15">
        <v>3</v>
      </c>
      <c r="AQ290" s="15">
        <v>5.25</v>
      </c>
      <c r="AR290" s="15">
        <v>6.5</v>
      </c>
      <c r="AS290" s="26">
        <v>7170.5</v>
      </c>
      <c r="AT290" s="26">
        <v>13050.5</v>
      </c>
      <c r="AU290" s="26">
        <v>24869.5</v>
      </c>
      <c r="AV290" s="26">
        <v>20216.5</v>
      </c>
      <c r="AW290" s="26">
        <v>1400.25</v>
      </c>
      <c r="AX290" s="26">
        <v>1321.6666666666999</v>
      </c>
      <c r="AY290" s="26">
        <v>2958.9097222221999</v>
      </c>
      <c r="AZ290" s="26">
        <v>3918.0166666667001</v>
      </c>
      <c r="BA290" s="23">
        <f t="shared" si="14"/>
        <v>1</v>
      </c>
      <c r="BB290" s="24">
        <v>33</v>
      </c>
    </row>
    <row r="291" spans="1:54" x14ac:dyDescent="0.2">
      <c r="A291" s="5">
        <v>4104</v>
      </c>
      <c r="B291" s="20" t="s">
        <v>70</v>
      </c>
      <c r="C291" s="18" t="s">
        <v>54</v>
      </c>
      <c r="D291" s="18">
        <v>5</v>
      </c>
      <c r="E291" s="18">
        <v>0</v>
      </c>
      <c r="F291" s="18" t="s">
        <v>9</v>
      </c>
      <c r="G291" s="18">
        <v>29</v>
      </c>
      <c r="H291" s="22">
        <v>3.6605065023956196</v>
      </c>
      <c r="I291" s="22" t="s">
        <v>8</v>
      </c>
      <c r="J291" s="22" t="s">
        <v>8</v>
      </c>
      <c r="K291" s="22">
        <v>3.6605065023956196</v>
      </c>
      <c r="L291" s="22" t="s">
        <v>8</v>
      </c>
      <c r="M291" s="22" t="s">
        <v>8</v>
      </c>
      <c r="N291" s="22">
        <v>3.6659822039698837</v>
      </c>
      <c r="O291" s="22" t="s">
        <v>8</v>
      </c>
      <c r="P291" s="22" t="s">
        <v>8</v>
      </c>
      <c r="Q291" s="22" t="s">
        <v>8</v>
      </c>
      <c r="R291" s="22" t="s">
        <v>8</v>
      </c>
      <c r="S291" s="22" t="s">
        <v>8</v>
      </c>
      <c r="T291" s="30">
        <v>3</v>
      </c>
      <c r="U291" s="30">
        <v>14</v>
      </c>
      <c r="V291" s="20" t="s">
        <v>1</v>
      </c>
      <c r="W291" s="20">
        <v>5</v>
      </c>
      <c r="X291" s="20">
        <v>2</v>
      </c>
      <c r="Y291" s="5">
        <v>1</v>
      </c>
      <c r="Z291" s="24">
        <v>4</v>
      </c>
      <c r="AA291" s="23">
        <f t="shared" si="12"/>
        <v>1</v>
      </c>
      <c r="AB291" s="15">
        <v>1</v>
      </c>
      <c r="AC291" s="15">
        <v>0.75</v>
      </c>
      <c r="AD291" s="15">
        <v>0.375</v>
      </c>
      <c r="AE291" s="15">
        <v>0.70799999999999996</v>
      </c>
      <c r="AF291" s="20">
        <v>17</v>
      </c>
      <c r="AG291" s="20">
        <v>6.05</v>
      </c>
      <c r="AH291" s="24">
        <v>24</v>
      </c>
      <c r="AI291" s="23">
        <f t="shared" si="13"/>
        <v>1</v>
      </c>
      <c r="AJ291" s="17">
        <v>1.25</v>
      </c>
      <c r="AK291" s="17">
        <v>9</v>
      </c>
      <c r="AL291" s="14">
        <v>10.25</v>
      </c>
      <c r="AM291" s="23" cm="1">
        <f t="array" ref="AM291">IF(OR(AN291:AZ291=""),"BLANK",IF(AND(AN291:AZ291&lt;9999999),1,IF(AND(AN291:AZ291="NA"),3,2)))</f>
        <v>1</v>
      </c>
      <c r="AN291" s="20">
        <v>7</v>
      </c>
      <c r="AO291" s="26">
        <v>2</v>
      </c>
      <c r="AP291" s="15">
        <v>3</v>
      </c>
      <c r="AQ291" s="15">
        <v>5.75</v>
      </c>
      <c r="AR291" s="15">
        <v>7</v>
      </c>
      <c r="AS291" s="26">
        <v>450.5</v>
      </c>
      <c r="AT291" s="26">
        <v>4463.5</v>
      </c>
      <c r="AU291" s="26">
        <v>1771.75</v>
      </c>
      <c r="AV291" s="26">
        <v>3940.75</v>
      </c>
      <c r="AW291" s="26">
        <v>0</v>
      </c>
      <c r="AX291" s="26">
        <v>0</v>
      </c>
      <c r="AY291" s="26">
        <v>4442.625</v>
      </c>
      <c r="AZ291" s="26">
        <v>1704.9613636363999</v>
      </c>
      <c r="BA291" s="23">
        <f t="shared" si="14"/>
        <v>1</v>
      </c>
      <c r="BB291" s="24">
        <v>30</v>
      </c>
    </row>
    <row r="292" spans="1:54" x14ac:dyDescent="0.2">
      <c r="A292" s="5">
        <v>4129</v>
      </c>
      <c r="B292" s="20" t="s">
        <v>70</v>
      </c>
      <c r="C292" s="18" t="s">
        <v>54</v>
      </c>
      <c r="D292" s="18">
        <v>5</v>
      </c>
      <c r="E292" s="18">
        <v>0</v>
      </c>
      <c r="F292" s="18" t="s">
        <v>9</v>
      </c>
      <c r="G292" s="18">
        <v>29</v>
      </c>
      <c r="H292" s="22">
        <v>3.9069130732375084</v>
      </c>
      <c r="I292" s="22" t="s">
        <v>8</v>
      </c>
      <c r="J292" s="22" t="s">
        <v>8</v>
      </c>
      <c r="K292" s="22">
        <v>3.9014373716632442</v>
      </c>
      <c r="L292" s="22" t="s">
        <v>8</v>
      </c>
      <c r="M292" s="22" t="s">
        <v>8</v>
      </c>
      <c r="N292" s="22">
        <v>3.9644079397672827</v>
      </c>
      <c r="O292" s="22" t="s">
        <v>8</v>
      </c>
      <c r="P292" s="22" t="s">
        <v>8</v>
      </c>
      <c r="Q292" s="22" t="s">
        <v>8</v>
      </c>
      <c r="R292" s="22" t="s">
        <v>8</v>
      </c>
      <c r="S292" s="22" t="s">
        <v>8</v>
      </c>
      <c r="T292" s="30">
        <v>3</v>
      </c>
      <c r="U292" s="30">
        <v>14</v>
      </c>
      <c r="V292" s="20" t="s">
        <v>1</v>
      </c>
      <c r="W292" s="20">
        <v>5</v>
      </c>
      <c r="X292" s="20">
        <v>2</v>
      </c>
      <c r="Y292" s="5">
        <v>1</v>
      </c>
      <c r="Z292" s="24">
        <v>4</v>
      </c>
      <c r="AA292" s="23">
        <f t="shared" si="12"/>
        <v>1</v>
      </c>
      <c r="AB292" s="15">
        <v>1</v>
      </c>
      <c r="AC292" s="15">
        <v>0.75</v>
      </c>
      <c r="AD292" s="15">
        <v>0.625</v>
      </c>
      <c r="AE292" s="15">
        <v>0.79200000000000004</v>
      </c>
      <c r="AF292" s="20">
        <v>19</v>
      </c>
      <c r="AG292" s="20">
        <v>2.5499999999999998</v>
      </c>
      <c r="AH292" s="24">
        <v>24</v>
      </c>
      <c r="AI292" s="23">
        <f t="shared" si="13"/>
        <v>1</v>
      </c>
      <c r="AJ292" s="17">
        <v>5</v>
      </c>
      <c r="AK292" s="17">
        <v>7.25</v>
      </c>
      <c r="AL292" s="14">
        <v>12.25</v>
      </c>
      <c r="AM292" s="23" cm="1">
        <f t="array" ref="AM292">IF(OR(AN292:AZ292=""),"BLANK",IF(AND(AN292:AZ292&lt;9999999),1,IF(AND(AN292:AZ292="NA"),3,2)))</f>
        <v>1</v>
      </c>
      <c r="AN292" s="20">
        <v>6</v>
      </c>
      <c r="AO292" s="26">
        <v>2</v>
      </c>
      <c r="AP292" s="15">
        <v>3</v>
      </c>
      <c r="AQ292" s="15">
        <v>7</v>
      </c>
      <c r="AR292" s="15">
        <v>8.75</v>
      </c>
      <c r="AS292" s="26">
        <v>1319.5</v>
      </c>
      <c r="AT292" s="26">
        <v>4656</v>
      </c>
      <c r="AU292" s="26">
        <v>11450.5</v>
      </c>
      <c r="AV292" s="26">
        <v>10168.75</v>
      </c>
      <c r="AW292" s="26">
        <v>0</v>
      </c>
      <c r="AX292" s="26">
        <v>1907</v>
      </c>
      <c r="AY292" s="26">
        <v>5787.4444444443998</v>
      </c>
      <c r="AZ292" s="26">
        <v>6449.8916666667001</v>
      </c>
      <c r="BA292" s="23">
        <f t="shared" si="14"/>
        <v>1</v>
      </c>
      <c r="BB292" s="24">
        <v>26</v>
      </c>
    </row>
    <row r="293" spans="1:54" x14ac:dyDescent="0.2">
      <c r="A293" s="5">
        <v>4169</v>
      </c>
      <c r="B293" s="20" t="s">
        <v>68</v>
      </c>
      <c r="C293" s="18" t="s">
        <v>54</v>
      </c>
      <c r="D293" s="18">
        <v>5</v>
      </c>
      <c r="E293" s="18">
        <v>0</v>
      </c>
      <c r="F293" s="18" t="s">
        <v>9</v>
      </c>
      <c r="G293" s="18">
        <v>28</v>
      </c>
      <c r="H293" s="22">
        <v>3.6906228610540723</v>
      </c>
      <c r="I293" s="22" t="s">
        <v>8</v>
      </c>
      <c r="J293" s="22" t="s">
        <v>8</v>
      </c>
      <c r="K293" s="22">
        <v>4.0027378507871321</v>
      </c>
      <c r="L293" s="22" t="s">
        <v>8</v>
      </c>
      <c r="M293" s="22" t="s">
        <v>8</v>
      </c>
      <c r="N293" s="22">
        <v>3.676933607118412</v>
      </c>
      <c r="O293" s="22" t="s">
        <v>8</v>
      </c>
      <c r="P293" s="22" t="s">
        <v>8</v>
      </c>
      <c r="Q293" s="22" t="s">
        <v>8</v>
      </c>
      <c r="R293" s="22" t="s">
        <v>8</v>
      </c>
      <c r="S293" s="22" t="s">
        <v>8</v>
      </c>
      <c r="T293" s="30" t="s">
        <v>8</v>
      </c>
      <c r="U293" s="30" t="s">
        <v>8</v>
      </c>
      <c r="V293" s="20" t="s">
        <v>1</v>
      </c>
      <c r="W293" s="20">
        <v>5</v>
      </c>
      <c r="X293" s="20">
        <v>2</v>
      </c>
      <c r="Y293" s="5">
        <v>1</v>
      </c>
      <c r="Z293" s="24">
        <v>4</v>
      </c>
      <c r="AA293" s="23">
        <f t="shared" si="12"/>
        <v>1</v>
      </c>
      <c r="AB293" s="15">
        <v>0.83333333333333337</v>
      </c>
      <c r="AC293" s="15">
        <v>1</v>
      </c>
      <c r="AD293" s="15">
        <v>0.8</v>
      </c>
      <c r="AE293" s="15">
        <v>0.875</v>
      </c>
      <c r="AF293" s="20">
        <v>14</v>
      </c>
      <c r="AG293" s="20">
        <v>16</v>
      </c>
      <c r="AH293" s="24">
        <v>16</v>
      </c>
      <c r="AI293" s="23">
        <f t="shared" si="13"/>
        <v>1</v>
      </c>
      <c r="AJ293" s="17">
        <v>4.5</v>
      </c>
      <c r="AK293" s="17">
        <v>3.75</v>
      </c>
      <c r="AL293" s="14">
        <v>8.25</v>
      </c>
      <c r="AM293" s="23" cm="1">
        <f t="array" ref="AM293">IF(OR(AN293:AZ293=""),"BLANK",IF(AND(AN293:AZ293&lt;9999999),1,IF(AND(AN293:AZ293="NA"),3,2)))</f>
        <v>1</v>
      </c>
      <c r="AN293" s="20">
        <v>6</v>
      </c>
      <c r="AO293" s="26">
        <v>2</v>
      </c>
      <c r="AP293" s="15">
        <v>3</v>
      </c>
      <c r="AQ293" s="15">
        <v>5.5</v>
      </c>
      <c r="AR293" s="15">
        <v>9.5</v>
      </c>
      <c r="AS293" s="26">
        <v>2292</v>
      </c>
      <c r="AT293" s="26">
        <v>5919.5</v>
      </c>
      <c r="AU293" s="26">
        <v>6621.75</v>
      </c>
      <c r="AV293" s="26">
        <v>18400.25</v>
      </c>
      <c r="AW293" s="26">
        <v>0</v>
      </c>
      <c r="AX293" s="26">
        <v>0</v>
      </c>
      <c r="AY293" s="26">
        <v>6424.7263888889001</v>
      </c>
      <c r="AZ293" s="26">
        <v>6461.8645833333003</v>
      </c>
      <c r="BA293" s="23">
        <f t="shared" si="14"/>
        <v>1</v>
      </c>
      <c r="BB293" s="24">
        <v>32</v>
      </c>
    </row>
    <row r="294" spans="1:54" x14ac:dyDescent="0.2">
      <c r="A294" s="5">
        <v>4172</v>
      </c>
      <c r="B294" s="20" t="s">
        <v>78</v>
      </c>
      <c r="C294" s="18" t="s">
        <v>55</v>
      </c>
      <c r="D294" s="18">
        <v>5</v>
      </c>
      <c r="E294" s="18">
        <v>0</v>
      </c>
      <c r="F294" s="18" t="s">
        <v>9</v>
      </c>
      <c r="G294" s="18">
        <v>27</v>
      </c>
      <c r="H294" s="17">
        <v>3.5838466803559208</v>
      </c>
      <c r="I294" s="17" t="s">
        <v>8</v>
      </c>
      <c r="J294" s="17" t="s">
        <v>8</v>
      </c>
      <c r="K294" s="17">
        <v>3.5838466803559208</v>
      </c>
      <c r="L294" s="17" t="s">
        <v>8</v>
      </c>
      <c r="M294" s="17" t="s">
        <v>8</v>
      </c>
      <c r="N294" s="17">
        <v>3.6030116358658453</v>
      </c>
      <c r="O294" s="17" t="s">
        <v>8</v>
      </c>
      <c r="P294" s="17" t="s">
        <v>8</v>
      </c>
      <c r="Q294" s="17">
        <v>3.8302532511978096</v>
      </c>
      <c r="R294" s="17" t="s">
        <v>8</v>
      </c>
      <c r="S294" s="17" t="s">
        <v>8</v>
      </c>
      <c r="T294" s="30">
        <v>2</v>
      </c>
      <c r="U294" s="30">
        <v>12</v>
      </c>
      <c r="V294" s="20" t="s">
        <v>1</v>
      </c>
      <c r="W294" s="20">
        <v>5</v>
      </c>
      <c r="X294" s="20">
        <v>2</v>
      </c>
      <c r="Y294" s="5">
        <v>1</v>
      </c>
      <c r="Z294" s="24">
        <v>4</v>
      </c>
      <c r="AA294" s="23">
        <f t="shared" si="12"/>
        <v>1</v>
      </c>
      <c r="AB294" s="15">
        <v>1</v>
      </c>
      <c r="AC294" s="15">
        <v>0.875</v>
      </c>
      <c r="AD294" s="15">
        <v>0.625</v>
      </c>
      <c r="AE294" s="15">
        <v>0.83299999999999996</v>
      </c>
      <c r="AF294" s="20">
        <v>20</v>
      </c>
      <c r="AG294" s="20">
        <v>6.45</v>
      </c>
      <c r="AH294" s="24">
        <v>24</v>
      </c>
      <c r="AI294" s="23">
        <f t="shared" si="13"/>
        <v>1</v>
      </c>
      <c r="AJ294" s="17">
        <v>9.25</v>
      </c>
      <c r="AK294" s="17">
        <v>10.25</v>
      </c>
      <c r="AL294" s="14">
        <v>19.5</v>
      </c>
      <c r="AM294" s="23" cm="1">
        <f t="array" ref="AM294">IF(OR(AN294:AZ294=""),"BLANK",IF(AND(AN294:AZ294&lt;9999999),1,IF(AND(AN294:AZ294="NA"),3,2)))</f>
        <v>1</v>
      </c>
      <c r="AN294" s="20">
        <v>9</v>
      </c>
      <c r="AO294" s="26">
        <v>2</v>
      </c>
      <c r="AP294" s="15">
        <v>3</v>
      </c>
      <c r="AQ294" s="15">
        <v>4.25</v>
      </c>
      <c r="AR294" s="15">
        <v>7</v>
      </c>
      <c r="AS294" s="26">
        <v>1749.5</v>
      </c>
      <c r="AT294" s="26">
        <v>5360.5</v>
      </c>
      <c r="AU294" s="26">
        <v>6151.75</v>
      </c>
      <c r="AV294" s="26">
        <v>9298.5</v>
      </c>
      <c r="AW294" s="26">
        <v>0</v>
      </c>
      <c r="AX294" s="26">
        <v>0</v>
      </c>
      <c r="AY294" s="26">
        <v>1624.7</v>
      </c>
      <c r="AZ294" s="26">
        <v>2260.6</v>
      </c>
      <c r="BA294" s="23">
        <f t="shared" si="14"/>
        <v>1</v>
      </c>
      <c r="BB294" s="24">
        <v>33</v>
      </c>
    </row>
    <row r="295" spans="1:54" x14ac:dyDescent="0.2">
      <c r="A295" s="5">
        <v>4196</v>
      </c>
      <c r="B295" s="20" t="s">
        <v>83</v>
      </c>
      <c r="C295" s="18" t="s">
        <v>55</v>
      </c>
      <c r="D295" s="18">
        <v>5</v>
      </c>
      <c r="E295" s="18">
        <v>0</v>
      </c>
      <c r="F295" s="18" t="s">
        <v>9</v>
      </c>
      <c r="G295" s="18">
        <v>29</v>
      </c>
      <c r="H295" s="17">
        <v>3.4579055441478439</v>
      </c>
      <c r="I295" s="17">
        <v>4.0109514031485283</v>
      </c>
      <c r="J295" s="17">
        <v>7.4688569472963726</v>
      </c>
      <c r="K295" s="17">
        <v>3.4579055441478439</v>
      </c>
      <c r="L295" s="17">
        <v>4.0136892539356603</v>
      </c>
      <c r="M295" s="17">
        <v>7.4715947980835047</v>
      </c>
      <c r="N295" s="17">
        <v>3.4168377823408624</v>
      </c>
      <c r="O295" s="17">
        <v>3.5865845311430529</v>
      </c>
      <c r="P295" s="17">
        <v>7.0034223134839149</v>
      </c>
      <c r="Q295" s="17">
        <v>3.5181382614647503</v>
      </c>
      <c r="R295" s="17" t="s">
        <v>8</v>
      </c>
      <c r="S295" s="17" t="s">
        <v>8</v>
      </c>
      <c r="T295" s="30">
        <v>4</v>
      </c>
      <c r="U295" s="30">
        <v>16</v>
      </c>
      <c r="V295" s="20" t="s">
        <v>1</v>
      </c>
      <c r="W295" s="20">
        <v>5</v>
      </c>
      <c r="X295" s="20">
        <v>2</v>
      </c>
      <c r="Y295" s="5">
        <v>1</v>
      </c>
      <c r="Z295" s="24">
        <v>4</v>
      </c>
      <c r="AA295" s="23">
        <f t="shared" si="12"/>
        <v>1</v>
      </c>
      <c r="AB295" s="15">
        <v>1</v>
      </c>
      <c r="AC295" s="15">
        <v>0.625</v>
      </c>
      <c r="AD295" s="15">
        <v>0.375</v>
      </c>
      <c r="AE295" s="15">
        <v>0.66700000000000004</v>
      </c>
      <c r="AF295" s="20">
        <v>16</v>
      </c>
      <c r="AG295" s="20">
        <v>5</v>
      </c>
      <c r="AH295" s="24">
        <v>24</v>
      </c>
      <c r="AI295" s="23">
        <f t="shared" si="13"/>
        <v>1</v>
      </c>
      <c r="AJ295" s="17">
        <v>3</v>
      </c>
      <c r="AK295" s="17">
        <v>5.75</v>
      </c>
      <c r="AL295" s="14">
        <v>8.75</v>
      </c>
      <c r="AM295" s="23" cm="1">
        <f t="array" ref="AM295">IF(OR(AN295:AZ295=""),"BLANK",IF(AND(AN295:AZ295&lt;9999999),1,IF(AND(AN295:AZ295="NA"),3,2)))</f>
        <v>1</v>
      </c>
      <c r="AN295" s="20">
        <v>4</v>
      </c>
      <c r="AO295" s="26">
        <v>2</v>
      </c>
      <c r="AP295" s="15">
        <v>5.5</v>
      </c>
      <c r="AQ295" s="15">
        <v>7.25</v>
      </c>
      <c r="AR295" s="15">
        <v>9.25</v>
      </c>
      <c r="AS295" s="26">
        <v>699</v>
      </c>
      <c r="AT295" s="26">
        <v>1828.5</v>
      </c>
      <c r="AU295" s="26">
        <v>3101</v>
      </c>
      <c r="AV295" s="26">
        <v>2635</v>
      </c>
      <c r="AW295" s="26">
        <v>0</v>
      </c>
      <c r="AX295" s="26">
        <v>7357.0714285714002</v>
      </c>
      <c r="AY295" s="26">
        <v>10942.018849206301</v>
      </c>
      <c r="AZ295" s="26">
        <v>5295.9142676767997</v>
      </c>
      <c r="BA295" s="23">
        <f t="shared" si="14"/>
        <v>1</v>
      </c>
      <c r="BB295" s="24">
        <v>24</v>
      </c>
    </row>
    <row r="296" spans="1:54" x14ac:dyDescent="0.2">
      <c r="A296" s="5">
        <v>4240</v>
      </c>
      <c r="B296" s="20" t="s">
        <v>68</v>
      </c>
      <c r="C296" s="18" t="s">
        <v>55</v>
      </c>
      <c r="D296" s="18">
        <v>5</v>
      </c>
      <c r="E296" s="18">
        <v>0</v>
      </c>
      <c r="F296" s="18" t="s">
        <v>9</v>
      </c>
      <c r="G296" s="18">
        <v>29</v>
      </c>
      <c r="H296" s="22">
        <v>3.5838466803559208</v>
      </c>
      <c r="I296" s="22" t="s">
        <v>8</v>
      </c>
      <c r="J296" s="22" t="s">
        <v>8</v>
      </c>
      <c r="K296" s="22">
        <v>3.5838466803559208</v>
      </c>
      <c r="L296" s="22" t="s">
        <v>8</v>
      </c>
      <c r="M296" s="22" t="s">
        <v>8</v>
      </c>
      <c r="N296" s="22">
        <v>3.7946611909650922</v>
      </c>
      <c r="O296" s="22" t="s">
        <v>8</v>
      </c>
      <c r="P296" s="22" t="s">
        <v>8</v>
      </c>
      <c r="Q296" s="22">
        <v>3.7344284736481863</v>
      </c>
      <c r="R296" s="22" t="s">
        <v>8</v>
      </c>
      <c r="S296" s="22" t="s">
        <v>8</v>
      </c>
      <c r="T296" s="30">
        <v>4</v>
      </c>
      <c r="U296" s="30">
        <v>16</v>
      </c>
      <c r="V296" s="20" t="s">
        <v>1</v>
      </c>
      <c r="W296" s="20">
        <v>5</v>
      </c>
      <c r="X296" s="20">
        <v>2</v>
      </c>
      <c r="Y296" s="5">
        <v>1</v>
      </c>
      <c r="Z296" s="24">
        <v>4</v>
      </c>
      <c r="AA296" s="23">
        <f t="shared" si="12"/>
        <v>2</v>
      </c>
      <c r="AB296" s="15">
        <v>1</v>
      </c>
      <c r="AC296" s="15">
        <v>0.625</v>
      </c>
      <c r="AD296" s="15">
        <v>0.5</v>
      </c>
      <c r="AE296" s="15">
        <v>0.72699999999999998</v>
      </c>
      <c r="AF296" s="20">
        <v>16</v>
      </c>
      <c r="AG296" s="20" t="s">
        <v>8</v>
      </c>
      <c r="AH296" s="24">
        <v>22</v>
      </c>
      <c r="AI296" s="23">
        <f t="shared" si="13"/>
        <v>1</v>
      </c>
      <c r="AJ296" s="17">
        <v>5.75</v>
      </c>
      <c r="AK296" s="17">
        <v>4.25</v>
      </c>
      <c r="AL296" s="14">
        <v>10</v>
      </c>
      <c r="AM296" s="23" cm="1">
        <f t="array" ref="AM296">IF(OR(AN296:AZ296=""),"BLANK",IF(AND(AN296:AZ296&lt;9999999),1,IF(AND(AN296:AZ296="NA"),3,2)))</f>
        <v>1</v>
      </c>
      <c r="AN296" s="20">
        <v>9</v>
      </c>
      <c r="AO296" s="26">
        <v>2</v>
      </c>
      <c r="AP296" s="15">
        <v>3</v>
      </c>
      <c r="AQ296" s="15">
        <v>5.25</v>
      </c>
      <c r="AR296" s="15">
        <v>5.75</v>
      </c>
      <c r="AS296" s="26">
        <v>4000</v>
      </c>
      <c r="AT296" s="26">
        <v>29114</v>
      </c>
      <c r="AU296" s="26">
        <v>22829.25</v>
      </c>
      <c r="AV296" s="26">
        <v>33692.25</v>
      </c>
      <c r="AW296" s="26">
        <v>0</v>
      </c>
      <c r="AX296" s="26">
        <v>0</v>
      </c>
      <c r="AY296" s="26">
        <v>12210.5375</v>
      </c>
      <c r="AZ296" s="26">
        <v>5620.5062500000004</v>
      </c>
      <c r="BA296" s="23">
        <f t="shared" si="14"/>
        <v>1</v>
      </c>
      <c r="BB296" s="24">
        <v>32</v>
      </c>
    </row>
    <row r="297" spans="1:54" x14ac:dyDescent="0.2">
      <c r="A297" s="5">
        <v>4265</v>
      </c>
      <c r="B297" s="20" t="s">
        <v>63</v>
      </c>
      <c r="C297" s="18" t="s">
        <v>54</v>
      </c>
      <c r="D297" s="18">
        <v>5</v>
      </c>
      <c r="E297" s="18">
        <v>0</v>
      </c>
      <c r="F297" s="18" t="s">
        <v>9</v>
      </c>
      <c r="G297" s="18">
        <v>29</v>
      </c>
      <c r="H297" s="17">
        <v>3.5126625598904861</v>
      </c>
      <c r="I297" s="17" t="s">
        <v>8</v>
      </c>
      <c r="J297" s="17" t="s">
        <v>8</v>
      </c>
      <c r="K297" s="17">
        <v>3.5126625598904861</v>
      </c>
      <c r="L297" s="17" t="s">
        <v>8</v>
      </c>
      <c r="M297" s="17" t="s">
        <v>8</v>
      </c>
      <c r="N297" s="17">
        <v>3.5017111567419574</v>
      </c>
      <c r="O297" s="17" t="s">
        <v>8</v>
      </c>
      <c r="P297" s="17" t="s">
        <v>8</v>
      </c>
      <c r="Q297" s="17">
        <v>3.6605065023956196</v>
      </c>
      <c r="R297" s="17" t="s">
        <v>8</v>
      </c>
      <c r="S297" s="17" t="s">
        <v>8</v>
      </c>
      <c r="T297" s="30">
        <v>3</v>
      </c>
      <c r="U297" s="30">
        <v>14</v>
      </c>
      <c r="V297" s="20" t="s">
        <v>1</v>
      </c>
      <c r="W297" s="20">
        <v>5</v>
      </c>
      <c r="X297" s="20">
        <v>2</v>
      </c>
      <c r="Y297" s="5">
        <v>1</v>
      </c>
      <c r="Z297" s="24">
        <v>4</v>
      </c>
      <c r="AA297" s="23">
        <f t="shared" si="12"/>
        <v>1</v>
      </c>
      <c r="AB297" s="15">
        <v>1</v>
      </c>
      <c r="AC297" s="15">
        <v>0.75</v>
      </c>
      <c r="AD297" s="15">
        <v>0.5</v>
      </c>
      <c r="AE297" s="15">
        <v>0.75</v>
      </c>
      <c r="AF297" s="20">
        <v>18</v>
      </c>
      <c r="AG297" s="20">
        <v>9.3000000000000007</v>
      </c>
      <c r="AH297" s="24">
        <v>24</v>
      </c>
      <c r="AI297" s="23">
        <f t="shared" si="13"/>
        <v>1</v>
      </c>
      <c r="AJ297" s="17">
        <v>8.25</v>
      </c>
      <c r="AK297" s="17">
        <v>4.5</v>
      </c>
      <c r="AL297" s="14">
        <v>12.75</v>
      </c>
      <c r="AM297" s="23" cm="1">
        <f t="array" ref="AM297">IF(OR(AN297:AZ297=""),"BLANK",IF(AND(AN297:AZ297&lt;9999999),1,IF(AND(AN297:AZ297="NA"),3,2)))</f>
        <v>1</v>
      </c>
      <c r="AN297" s="20">
        <v>8</v>
      </c>
      <c r="AO297" s="26">
        <v>2</v>
      </c>
      <c r="AP297" s="15">
        <v>3</v>
      </c>
      <c r="AQ297" s="15">
        <v>5.25</v>
      </c>
      <c r="AR297" s="15">
        <v>9.25</v>
      </c>
      <c r="AS297" s="26">
        <v>1879.5</v>
      </c>
      <c r="AT297" s="26">
        <v>7573</v>
      </c>
      <c r="AU297" s="26">
        <v>5055.25</v>
      </c>
      <c r="AV297" s="26">
        <v>8616.5</v>
      </c>
      <c r="AW297" s="26">
        <v>21</v>
      </c>
      <c r="AX297" s="26">
        <v>577.33333333329995</v>
      </c>
      <c r="AY297" s="26">
        <v>2135.1041666667002</v>
      </c>
      <c r="AZ297" s="26">
        <v>2170.0727272726999</v>
      </c>
      <c r="BA297" s="23">
        <f t="shared" si="14"/>
        <v>1</v>
      </c>
      <c r="BB297" s="24">
        <v>37</v>
      </c>
    </row>
    <row r="298" spans="1:54" x14ac:dyDescent="0.2">
      <c r="A298" s="5">
        <v>4288</v>
      </c>
      <c r="B298" s="20" t="s">
        <v>63</v>
      </c>
      <c r="C298" s="18" t="s">
        <v>54</v>
      </c>
      <c r="D298" s="18">
        <v>5</v>
      </c>
      <c r="E298" s="18">
        <v>0</v>
      </c>
      <c r="F298" s="18" t="s">
        <v>9</v>
      </c>
      <c r="G298" s="18">
        <v>29</v>
      </c>
      <c r="H298" s="17">
        <v>3.4715947980835042</v>
      </c>
      <c r="I298" s="17">
        <v>3.6851471594798082</v>
      </c>
      <c r="J298" s="17">
        <v>7.1567419575633124</v>
      </c>
      <c r="K298" s="17">
        <v>3.4715947980835042</v>
      </c>
      <c r="L298" s="17">
        <v>3.7316906228610542</v>
      </c>
      <c r="M298" s="17">
        <v>7.2032854209445585</v>
      </c>
      <c r="N298" s="17">
        <v>3.4880219028062971</v>
      </c>
      <c r="O298" s="17" t="s">
        <v>8</v>
      </c>
      <c r="P298" s="17" t="s">
        <v>8</v>
      </c>
      <c r="Q298" s="17">
        <v>3.6577686516084875</v>
      </c>
      <c r="R298" s="17" t="s">
        <v>8</v>
      </c>
      <c r="S298" s="17" t="s">
        <v>8</v>
      </c>
      <c r="T298" s="30">
        <v>4</v>
      </c>
      <c r="U298" s="30">
        <v>16</v>
      </c>
      <c r="V298" s="20" t="s">
        <v>1</v>
      </c>
      <c r="W298" s="20">
        <v>5</v>
      </c>
      <c r="X298" s="20">
        <v>2</v>
      </c>
      <c r="Y298" s="5">
        <v>1</v>
      </c>
      <c r="Z298" s="24">
        <v>4</v>
      </c>
      <c r="AA298" s="23">
        <f t="shared" si="12"/>
        <v>1</v>
      </c>
      <c r="AB298" s="15">
        <v>1</v>
      </c>
      <c r="AC298" s="15">
        <v>1</v>
      </c>
      <c r="AD298" s="15">
        <v>0.75</v>
      </c>
      <c r="AE298" s="15">
        <v>0.91700000000000004</v>
      </c>
      <c r="AF298" s="20">
        <v>22</v>
      </c>
      <c r="AG298" s="20">
        <v>9.07</v>
      </c>
      <c r="AH298" s="24">
        <v>24</v>
      </c>
      <c r="AI298" s="23">
        <f t="shared" si="13"/>
        <v>1</v>
      </c>
      <c r="AJ298" s="17">
        <v>10</v>
      </c>
      <c r="AK298" s="17">
        <v>7.5</v>
      </c>
      <c r="AL298" s="14">
        <v>17.5</v>
      </c>
      <c r="AM298" s="23" cm="1">
        <f t="array" ref="AM298">IF(OR(AN298:AZ298=""),"BLANK",IF(AND(AN298:AZ298&lt;9999999),1,IF(AND(AN298:AZ298="NA"),3,2)))</f>
        <v>1</v>
      </c>
      <c r="AN298" s="20">
        <v>8</v>
      </c>
      <c r="AO298" s="26">
        <v>2</v>
      </c>
      <c r="AP298" s="15">
        <v>3</v>
      </c>
      <c r="AQ298" s="15">
        <v>5.25</v>
      </c>
      <c r="AR298" s="15">
        <v>6.5</v>
      </c>
      <c r="AS298" s="26">
        <v>2847.5</v>
      </c>
      <c r="AT298" s="26">
        <v>3089</v>
      </c>
      <c r="AU298" s="26">
        <v>7614.5</v>
      </c>
      <c r="AV298" s="26">
        <v>22249</v>
      </c>
      <c r="AW298" s="26">
        <v>0</v>
      </c>
      <c r="AX298" s="26">
        <v>247.3333333333</v>
      </c>
      <c r="AY298" s="26">
        <v>3929.0267857142999</v>
      </c>
      <c r="AZ298" s="26">
        <v>1862.4698412698001</v>
      </c>
      <c r="BA298" s="23">
        <f t="shared" si="14"/>
        <v>1</v>
      </c>
      <c r="BB298" s="24">
        <v>38</v>
      </c>
    </row>
    <row r="299" spans="1:54" x14ac:dyDescent="0.2">
      <c r="A299" s="5">
        <v>4301</v>
      </c>
      <c r="B299" s="20" t="s">
        <v>63</v>
      </c>
      <c r="C299" s="18" t="s">
        <v>54</v>
      </c>
      <c r="D299" s="18">
        <v>5</v>
      </c>
      <c r="E299" s="18">
        <v>0</v>
      </c>
      <c r="F299" s="18" t="s">
        <v>9</v>
      </c>
      <c r="G299" s="18">
        <v>26</v>
      </c>
      <c r="H299" s="17">
        <v>3.5537303216974676</v>
      </c>
      <c r="I299" s="17" t="s">
        <v>8</v>
      </c>
      <c r="J299" s="17" t="s">
        <v>8</v>
      </c>
      <c r="K299" s="17">
        <v>3.9315537303216974</v>
      </c>
      <c r="L299" s="17" t="s">
        <v>8</v>
      </c>
      <c r="M299" s="17" t="s">
        <v>8</v>
      </c>
      <c r="N299" s="17">
        <v>3.5181382614647503</v>
      </c>
      <c r="O299" s="17" t="s">
        <v>8</v>
      </c>
      <c r="P299" s="17" t="s">
        <v>8</v>
      </c>
      <c r="Q299" s="17">
        <v>3.893223819301848</v>
      </c>
      <c r="R299" s="17" t="s">
        <v>8</v>
      </c>
      <c r="S299" s="17" t="s">
        <v>8</v>
      </c>
      <c r="T299" s="30">
        <v>3</v>
      </c>
      <c r="U299" s="30">
        <v>13</v>
      </c>
      <c r="V299" s="20" t="s">
        <v>1</v>
      </c>
      <c r="W299" s="20">
        <v>5</v>
      </c>
      <c r="X299" s="20">
        <v>2</v>
      </c>
      <c r="Y299" s="5">
        <v>1</v>
      </c>
      <c r="Z299" s="24">
        <v>4</v>
      </c>
      <c r="AA299" s="23">
        <f t="shared" si="12"/>
        <v>1</v>
      </c>
      <c r="AB299" s="15">
        <v>1</v>
      </c>
      <c r="AC299" s="15">
        <v>0.625</v>
      </c>
      <c r="AD299" s="15">
        <v>0.5</v>
      </c>
      <c r="AE299" s="15">
        <v>0.70799999999999996</v>
      </c>
      <c r="AF299" s="20">
        <v>17</v>
      </c>
      <c r="AG299" s="20">
        <v>8.67</v>
      </c>
      <c r="AH299" s="24">
        <v>24</v>
      </c>
      <c r="AI299" s="23">
        <f t="shared" si="13"/>
        <v>1</v>
      </c>
      <c r="AJ299" s="17">
        <v>4</v>
      </c>
      <c r="AK299" s="17">
        <v>9.75</v>
      </c>
      <c r="AL299" s="14">
        <v>13.75</v>
      </c>
      <c r="AM299" s="23" cm="1">
        <f t="array" ref="AM299">IF(OR(AN299:AZ299=""),"BLANK",IF(AND(AN299:AZ299&lt;9999999),1,IF(AND(AN299:AZ299="NA"),3,2)))</f>
        <v>1</v>
      </c>
      <c r="AN299" s="20">
        <v>8</v>
      </c>
      <c r="AO299" s="26">
        <v>2</v>
      </c>
      <c r="AP299" s="15">
        <v>3</v>
      </c>
      <c r="AQ299" s="15">
        <v>6.5</v>
      </c>
      <c r="AR299" s="15">
        <v>6.5</v>
      </c>
      <c r="AS299" s="26">
        <v>946</v>
      </c>
      <c r="AT299" s="26">
        <v>2793.5</v>
      </c>
      <c r="AU299" s="26">
        <v>4549.75</v>
      </c>
      <c r="AV299" s="26">
        <v>8450.25</v>
      </c>
      <c r="AW299" s="26">
        <v>0</v>
      </c>
      <c r="AX299" s="26">
        <v>0</v>
      </c>
      <c r="AY299" s="26">
        <v>5300.5902777778001</v>
      </c>
      <c r="AZ299" s="26">
        <v>986.06666666670003</v>
      </c>
      <c r="BA299" s="23">
        <f t="shared" si="14"/>
        <v>1</v>
      </c>
      <c r="BB299" s="24">
        <v>29</v>
      </c>
    </row>
    <row r="300" spans="1:54" x14ac:dyDescent="0.2">
      <c r="A300" s="5">
        <v>4312</v>
      </c>
      <c r="B300" s="20" t="s">
        <v>64</v>
      </c>
      <c r="C300" s="18" t="s">
        <v>54</v>
      </c>
      <c r="D300" s="18">
        <v>5</v>
      </c>
      <c r="E300" s="18">
        <v>0</v>
      </c>
      <c r="F300" s="18" t="s">
        <v>9</v>
      </c>
      <c r="G300" s="18">
        <v>29</v>
      </c>
      <c r="H300" s="17">
        <v>3.7563312799452429</v>
      </c>
      <c r="I300" s="17">
        <v>3.3566050650239561</v>
      </c>
      <c r="J300" s="17">
        <v>7.1129363449691994</v>
      </c>
      <c r="K300" s="17">
        <v>3.7563312799452429</v>
      </c>
      <c r="L300" s="17">
        <v>3.3566050650239561</v>
      </c>
      <c r="M300" s="17">
        <v>7.1129363449691994</v>
      </c>
      <c r="N300" s="17">
        <v>3.9096509240246409</v>
      </c>
      <c r="O300" s="17">
        <v>3.1266255989048597</v>
      </c>
      <c r="P300" s="17">
        <v>7.0362765229295006</v>
      </c>
      <c r="Q300" s="17">
        <v>3.6605065023956196</v>
      </c>
      <c r="R300" s="17">
        <v>3.3702943189596168</v>
      </c>
      <c r="S300" s="17">
        <v>7.0308008213552364</v>
      </c>
      <c r="T300" s="30">
        <v>3</v>
      </c>
      <c r="U300" s="30">
        <v>14</v>
      </c>
      <c r="V300" s="20" t="s">
        <v>1</v>
      </c>
      <c r="W300" s="20">
        <v>5</v>
      </c>
      <c r="X300" s="20">
        <v>2</v>
      </c>
      <c r="Y300" s="5">
        <v>1</v>
      </c>
      <c r="Z300" s="24">
        <v>4</v>
      </c>
      <c r="AA300" s="23">
        <f t="shared" si="12"/>
        <v>1</v>
      </c>
      <c r="AB300" s="15">
        <v>1</v>
      </c>
      <c r="AC300" s="15">
        <v>0.875</v>
      </c>
      <c r="AD300" s="15">
        <v>0.75</v>
      </c>
      <c r="AE300" s="15">
        <v>0.875</v>
      </c>
      <c r="AF300" s="20">
        <v>21</v>
      </c>
      <c r="AG300" s="20">
        <v>6.7</v>
      </c>
      <c r="AH300" s="24">
        <v>24</v>
      </c>
      <c r="AI300" s="23">
        <f t="shared" si="13"/>
        <v>1</v>
      </c>
      <c r="AJ300" s="17">
        <v>9.75</v>
      </c>
      <c r="AK300" s="17">
        <v>10</v>
      </c>
      <c r="AL300" s="14">
        <v>19.75</v>
      </c>
      <c r="AM300" s="23" cm="1">
        <f t="array" ref="AM300">IF(OR(AN300:AZ300=""),"BLANK",IF(AND(AN300:AZ300&lt;9999999),1,IF(AND(AN300:AZ300="NA"),3,2)))</f>
        <v>1</v>
      </c>
      <c r="AN300" s="20">
        <v>8</v>
      </c>
      <c r="AO300" s="26">
        <v>2</v>
      </c>
      <c r="AP300" s="15">
        <v>3</v>
      </c>
      <c r="AQ300" s="15">
        <v>5.5</v>
      </c>
      <c r="AR300" s="15">
        <v>8.5</v>
      </c>
      <c r="AS300" s="26">
        <v>1429</v>
      </c>
      <c r="AT300" s="26">
        <v>5240.5</v>
      </c>
      <c r="AU300" s="26">
        <v>6425.5</v>
      </c>
      <c r="AV300" s="26">
        <v>5638.25</v>
      </c>
      <c r="AW300" s="26">
        <v>0</v>
      </c>
      <c r="AX300" s="26">
        <v>0</v>
      </c>
      <c r="AY300" s="26">
        <v>0</v>
      </c>
      <c r="AZ300" s="26">
        <v>1396.7874999999999</v>
      </c>
      <c r="BA300" s="23">
        <f t="shared" si="14"/>
        <v>1</v>
      </c>
      <c r="BB300" s="24">
        <v>31</v>
      </c>
    </row>
    <row r="301" spans="1:54" x14ac:dyDescent="0.2">
      <c r="A301" s="5">
        <v>4315</v>
      </c>
      <c r="B301" s="20" t="s">
        <v>68</v>
      </c>
      <c r="C301" s="18" t="s">
        <v>55</v>
      </c>
      <c r="D301" s="18">
        <v>5</v>
      </c>
      <c r="E301" s="18">
        <v>0</v>
      </c>
      <c r="F301" s="18" t="s">
        <v>9</v>
      </c>
      <c r="G301" s="18">
        <v>30</v>
      </c>
      <c r="H301" s="17">
        <v>2.4695414099931554</v>
      </c>
      <c r="I301" s="17">
        <v>4.3778234086242298</v>
      </c>
      <c r="J301" s="17">
        <v>6.8473648186173852</v>
      </c>
      <c r="K301" s="17">
        <v>2.4695414099931554</v>
      </c>
      <c r="L301" s="17">
        <v>4.3778234086242298</v>
      </c>
      <c r="M301" s="17">
        <v>6.8473648186173852</v>
      </c>
      <c r="N301" s="17">
        <v>2.622861054072553</v>
      </c>
      <c r="O301" s="17">
        <v>4.1889117043121153</v>
      </c>
      <c r="P301" s="17">
        <v>6.8117727583846683</v>
      </c>
      <c r="Q301" s="17">
        <v>2.9295003422313486</v>
      </c>
      <c r="R301" s="17" t="s">
        <v>8</v>
      </c>
      <c r="S301" s="17" t="s">
        <v>8</v>
      </c>
      <c r="T301" s="30">
        <v>4</v>
      </c>
      <c r="U301" s="30">
        <v>16</v>
      </c>
      <c r="V301" s="20" t="s">
        <v>1</v>
      </c>
      <c r="W301" s="20">
        <v>5</v>
      </c>
      <c r="X301" s="20">
        <v>2</v>
      </c>
      <c r="Y301" s="5">
        <v>1</v>
      </c>
      <c r="Z301" s="24">
        <v>4</v>
      </c>
      <c r="AA301" s="23">
        <f t="shared" si="12"/>
        <v>1</v>
      </c>
      <c r="AB301" s="15">
        <v>1</v>
      </c>
      <c r="AC301" s="15">
        <v>0.75</v>
      </c>
      <c r="AD301" s="15">
        <v>0.625</v>
      </c>
      <c r="AE301" s="15">
        <v>0.79200000000000004</v>
      </c>
      <c r="AF301" s="20">
        <v>19</v>
      </c>
      <c r="AG301" s="20">
        <v>5.43</v>
      </c>
      <c r="AH301" s="24">
        <v>24</v>
      </c>
      <c r="AI301" s="23">
        <f t="shared" si="13"/>
        <v>1</v>
      </c>
      <c r="AJ301" s="17">
        <v>7.75</v>
      </c>
      <c r="AK301" s="17">
        <v>6.75</v>
      </c>
      <c r="AL301" s="14">
        <v>14.5</v>
      </c>
      <c r="AM301" s="23" cm="1">
        <f t="array" ref="AM301">IF(OR(AN301:AZ301=""),"BLANK",IF(AND(AN301:AZ301&lt;9999999),1,IF(AND(AN301:AZ301="NA"),3,2)))</f>
        <v>1</v>
      </c>
      <c r="AN301" s="20">
        <v>7</v>
      </c>
      <c r="AO301" s="26">
        <v>2</v>
      </c>
      <c r="AP301" s="15">
        <v>3.5</v>
      </c>
      <c r="AQ301" s="15">
        <v>5</v>
      </c>
      <c r="AR301" s="15">
        <v>8.25</v>
      </c>
      <c r="AS301" s="26">
        <v>2272</v>
      </c>
      <c r="AT301" s="26">
        <v>8109.5</v>
      </c>
      <c r="AU301" s="26">
        <v>12565</v>
      </c>
      <c r="AV301" s="26">
        <v>15856</v>
      </c>
      <c r="AW301" s="26">
        <v>3879</v>
      </c>
      <c r="AX301" s="26">
        <v>0</v>
      </c>
      <c r="AY301" s="26">
        <v>2638.59375</v>
      </c>
      <c r="AZ301" s="26">
        <v>5264.0962301586997</v>
      </c>
      <c r="BA301" s="23">
        <f t="shared" si="14"/>
        <v>1</v>
      </c>
      <c r="BB301" s="24">
        <v>37</v>
      </c>
    </row>
    <row r="302" spans="1:54" x14ac:dyDescent="0.2">
      <c r="A302" s="5">
        <v>4328</v>
      </c>
      <c r="B302" s="20" t="s">
        <v>80</v>
      </c>
      <c r="C302" s="18" t="s">
        <v>55</v>
      </c>
      <c r="D302" s="18">
        <v>5</v>
      </c>
      <c r="E302" s="18">
        <v>0</v>
      </c>
      <c r="F302" s="18" t="s">
        <v>9</v>
      </c>
      <c r="G302" s="18">
        <v>28</v>
      </c>
      <c r="H302" s="17">
        <v>3.5099247091033541</v>
      </c>
      <c r="I302" s="17">
        <v>3.2005475701574264</v>
      </c>
      <c r="J302" s="17">
        <v>6.71047227926078</v>
      </c>
      <c r="K302" s="17">
        <v>3.5099247091033541</v>
      </c>
      <c r="L302" s="17">
        <v>3.2005475701574264</v>
      </c>
      <c r="M302" s="17">
        <v>6.71047227926078</v>
      </c>
      <c r="N302" s="17">
        <v>3.5345653661875427</v>
      </c>
      <c r="O302" s="17">
        <v>3.2525667351129361</v>
      </c>
      <c r="P302" s="17">
        <v>6.7871321013004788</v>
      </c>
      <c r="Q302" s="17">
        <v>3.4223134839151266</v>
      </c>
      <c r="R302" s="17">
        <v>3.3730321697467489</v>
      </c>
      <c r="S302" s="17">
        <v>6.795345653661875</v>
      </c>
      <c r="T302" s="30" t="s">
        <v>8</v>
      </c>
      <c r="U302" s="30" t="s">
        <v>8</v>
      </c>
      <c r="V302" s="20" t="s">
        <v>1</v>
      </c>
      <c r="W302" s="20">
        <v>5</v>
      </c>
      <c r="X302" s="20">
        <v>2</v>
      </c>
      <c r="Y302" s="5">
        <v>1</v>
      </c>
      <c r="Z302" s="24">
        <v>4</v>
      </c>
      <c r="AA302" s="23">
        <f t="shared" si="12"/>
        <v>1</v>
      </c>
      <c r="AB302" s="15">
        <v>0.875</v>
      </c>
      <c r="AC302" s="15">
        <v>0.75</v>
      </c>
      <c r="AD302" s="15">
        <v>0.5714285714285714</v>
      </c>
      <c r="AE302" s="15">
        <v>0.73899999999999999</v>
      </c>
      <c r="AF302" s="20">
        <v>17</v>
      </c>
      <c r="AG302" s="20">
        <v>9.07</v>
      </c>
      <c r="AH302" s="24">
        <v>23</v>
      </c>
      <c r="AI302" s="23">
        <f t="shared" si="13"/>
        <v>1</v>
      </c>
      <c r="AJ302" s="17">
        <v>4</v>
      </c>
      <c r="AK302" s="17">
        <v>6.25</v>
      </c>
      <c r="AL302" s="14">
        <v>10.25</v>
      </c>
      <c r="AM302" s="23" cm="1">
        <f t="array" ref="AM302">IF(OR(AN302:AZ302=""),"BLANK",IF(AND(AN302:AZ302&lt;9999999),1,IF(AND(AN302:AZ302="NA"),3,2)))</f>
        <v>1</v>
      </c>
      <c r="AN302" s="20">
        <v>9</v>
      </c>
      <c r="AO302" s="26">
        <v>2</v>
      </c>
      <c r="AP302" s="15">
        <v>3</v>
      </c>
      <c r="AQ302" s="15">
        <v>4.5</v>
      </c>
      <c r="AR302" s="15">
        <v>8.25</v>
      </c>
      <c r="AS302" s="26">
        <v>2157</v>
      </c>
      <c r="AT302" s="26">
        <v>7648.5</v>
      </c>
      <c r="AU302" s="26">
        <v>12114.25</v>
      </c>
      <c r="AV302" s="26">
        <v>7490</v>
      </c>
      <c r="AW302" s="26">
        <v>556</v>
      </c>
      <c r="AX302" s="26">
        <v>0</v>
      </c>
      <c r="AY302" s="26">
        <v>1239.25</v>
      </c>
      <c r="AZ302" s="26">
        <v>2459.1363636363999</v>
      </c>
      <c r="BA302" s="23">
        <f t="shared" si="14"/>
        <v>1</v>
      </c>
      <c r="BB302" s="24">
        <v>23</v>
      </c>
    </row>
    <row r="303" spans="1:54" x14ac:dyDescent="0.2">
      <c r="A303" s="5">
        <v>4394</v>
      </c>
      <c r="B303" s="20" t="s">
        <v>62</v>
      </c>
      <c r="C303" s="18" t="s">
        <v>55</v>
      </c>
      <c r="D303" s="18">
        <v>2</v>
      </c>
      <c r="E303" s="18">
        <v>0</v>
      </c>
      <c r="F303" s="18" t="s">
        <v>9</v>
      </c>
      <c r="G303" s="18">
        <v>28</v>
      </c>
      <c r="H303" s="17">
        <v>3.9589322381930185</v>
      </c>
      <c r="I303" s="17">
        <v>3.1868583162217661</v>
      </c>
      <c r="J303" s="17">
        <v>7.1457905544147842</v>
      </c>
      <c r="K303" s="17">
        <v>3.9479808350444903</v>
      </c>
      <c r="L303" s="17">
        <v>3.184120465434634</v>
      </c>
      <c r="M303" s="17">
        <v>7.1321013004791238</v>
      </c>
      <c r="N303" s="17">
        <v>3.9479808350444903</v>
      </c>
      <c r="O303" s="17">
        <v>3.2224503764544834</v>
      </c>
      <c r="P303" s="17">
        <v>7.1704312114989737</v>
      </c>
      <c r="Q303" s="17">
        <v>3.8850102669404518</v>
      </c>
      <c r="R303" s="17">
        <v>3.2553045859000687</v>
      </c>
      <c r="S303" s="17">
        <v>7.14031485284052</v>
      </c>
      <c r="T303" s="30">
        <v>4</v>
      </c>
      <c r="U303" s="30">
        <v>16</v>
      </c>
      <c r="V303" s="20" t="s">
        <v>1</v>
      </c>
      <c r="W303" s="20">
        <v>5</v>
      </c>
      <c r="X303" s="20">
        <v>2</v>
      </c>
      <c r="Y303" s="5">
        <v>1</v>
      </c>
      <c r="Z303" s="24">
        <v>4</v>
      </c>
      <c r="AA303" s="23">
        <f t="shared" si="12"/>
        <v>1</v>
      </c>
      <c r="AB303" s="15">
        <v>1</v>
      </c>
      <c r="AC303" s="15">
        <v>0.75</v>
      </c>
      <c r="AD303" s="15">
        <v>0.625</v>
      </c>
      <c r="AE303" s="15">
        <v>0.79200000000000004</v>
      </c>
      <c r="AF303" s="20">
        <v>19</v>
      </c>
      <c r="AG303" s="20">
        <v>6.33</v>
      </c>
      <c r="AH303" s="24">
        <v>24</v>
      </c>
      <c r="AI303" s="23">
        <f t="shared" si="13"/>
        <v>1</v>
      </c>
      <c r="AJ303" s="17">
        <v>8</v>
      </c>
      <c r="AK303" s="17">
        <v>8.75</v>
      </c>
      <c r="AL303" s="14">
        <v>16.75</v>
      </c>
      <c r="AM303" s="23" cm="1">
        <f t="array" ref="AM303">IF(OR(AN303:AZ303=""),"BLANK",IF(AND(AN303:AZ303&lt;9999999),1,IF(AND(AN303:AZ303="NA"),3,2)))</f>
        <v>1</v>
      </c>
      <c r="AN303" s="20">
        <v>8</v>
      </c>
      <c r="AO303" s="26">
        <v>2</v>
      </c>
      <c r="AP303" s="15">
        <v>3.5</v>
      </c>
      <c r="AQ303" s="15">
        <v>6.5</v>
      </c>
      <c r="AR303" s="15">
        <v>5.25</v>
      </c>
      <c r="AS303" s="26">
        <v>1247</v>
      </c>
      <c r="AT303" s="26">
        <v>5267.5</v>
      </c>
      <c r="AU303" s="26">
        <v>12755.5</v>
      </c>
      <c r="AV303" s="26">
        <v>31420</v>
      </c>
      <c r="AW303" s="26">
        <v>0</v>
      </c>
      <c r="AX303" s="26">
        <v>0</v>
      </c>
      <c r="AY303" s="26">
        <v>3155.625</v>
      </c>
      <c r="AZ303" s="26">
        <v>997.33333333329995</v>
      </c>
      <c r="BA303" s="23">
        <f t="shared" si="14"/>
        <v>1</v>
      </c>
      <c r="BB303" s="24">
        <v>29</v>
      </c>
    </row>
    <row r="304" spans="1:54" x14ac:dyDescent="0.2">
      <c r="A304" s="5">
        <v>4398</v>
      </c>
      <c r="B304" s="20" t="s">
        <v>82</v>
      </c>
      <c r="C304" s="18" t="s">
        <v>55</v>
      </c>
      <c r="D304" s="18">
        <v>5</v>
      </c>
      <c r="E304" s="18">
        <v>0</v>
      </c>
      <c r="F304" s="18" t="s">
        <v>9</v>
      </c>
      <c r="G304" s="18">
        <v>28</v>
      </c>
      <c r="H304" s="22">
        <v>3.4770704996577688</v>
      </c>
      <c r="I304" s="22" t="s">
        <v>8</v>
      </c>
      <c r="J304" s="22" t="s">
        <v>8</v>
      </c>
      <c r="K304" s="22">
        <v>3.4770704996577688</v>
      </c>
      <c r="L304" s="22" t="s">
        <v>8</v>
      </c>
      <c r="M304" s="22" t="s">
        <v>8</v>
      </c>
      <c r="N304" s="22" t="s">
        <v>8</v>
      </c>
      <c r="O304" s="22" t="s">
        <v>8</v>
      </c>
      <c r="P304" s="22" t="s">
        <v>8</v>
      </c>
      <c r="Q304" s="22" t="s">
        <v>8</v>
      </c>
      <c r="R304" s="22" t="s">
        <v>8</v>
      </c>
      <c r="S304" s="22" t="s">
        <v>8</v>
      </c>
      <c r="T304" s="30" t="s">
        <v>8</v>
      </c>
      <c r="U304" s="30" t="s">
        <v>8</v>
      </c>
      <c r="V304" s="20" t="s">
        <v>1</v>
      </c>
      <c r="W304" s="20">
        <v>5</v>
      </c>
      <c r="X304" s="20">
        <v>2</v>
      </c>
      <c r="Y304" s="5">
        <v>1</v>
      </c>
      <c r="Z304" s="24">
        <v>4</v>
      </c>
      <c r="AA304" s="23">
        <f t="shared" si="12"/>
        <v>3</v>
      </c>
      <c r="AB304" s="15" t="s">
        <v>8</v>
      </c>
      <c r="AC304" s="15" t="s">
        <v>8</v>
      </c>
      <c r="AD304" s="15" t="s">
        <v>8</v>
      </c>
      <c r="AE304" s="15" t="s">
        <v>8</v>
      </c>
      <c r="AF304" s="20" t="s">
        <v>8</v>
      </c>
      <c r="AG304" s="20" t="s">
        <v>8</v>
      </c>
      <c r="AH304" s="24" t="s">
        <v>8</v>
      </c>
      <c r="AI304" s="23">
        <f t="shared" si="13"/>
        <v>3</v>
      </c>
      <c r="AJ304" s="17" t="s">
        <v>8</v>
      </c>
      <c r="AK304" s="17" t="s">
        <v>8</v>
      </c>
      <c r="AL304" s="14" t="s">
        <v>8</v>
      </c>
      <c r="AM304" s="23" cm="1">
        <f t="array" ref="AM304">IF(OR(AN304:AZ304=""),"BLANK",IF(AND(AN304:AZ304&lt;9999999),1,IF(AND(AN304:AZ304="NA"),3,2)))</f>
        <v>1</v>
      </c>
      <c r="AN304" s="18">
        <v>8</v>
      </c>
      <c r="AO304" s="32">
        <v>2</v>
      </c>
      <c r="AP304" s="17">
        <v>3.5</v>
      </c>
      <c r="AQ304" s="17">
        <v>5.5</v>
      </c>
      <c r="AR304" s="17">
        <v>6.75</v>
      </c>
      <c r="AS304" s="32">
        <v>3623</v>
      </c>
      <c r="AT304" s="32">
        <v>11628</v>
      </c>
      <c r="AU304" s="32">
        <v>17026.25</v>
      </c>
      <c r="AV304" s="32">
        <v>9197.25</v>
      </c>
      <c r="AW304" s="32">
        <v>0</v>
      </c>
      <c r="AX304" s="32">
        <v>3425.25</v>
      </c>
      <c r="AY304" s="32">
        <v>2860.2208333333001</v>
      </c>
      <c r="AZ304" s="32">
        <v>1851.1125</v>
      </c>
      <c r="BA304" s="23">
        <f t="shared" si="14"/>
        <v>3</v>
      </c>
      <c r="BB304" s="24" t="s">
        <v>8</v>
      </c>
    </row>
    <row r="305" spans="1:54" x14ac:dyDescent="0.2">
      <c r="A305" s="5">
        <v>4451</v>
      </c>
      <c r="B305" s="20" t="s">
        <v>62</v>
      </c>
      <c r="C305" s="18" t="s">
        <v>55</v>
      </c>
      <c r="D305" s="18">
        <v>5</v>
      </c>
      <c r="E305" s="18">
        <v>1</v>
      </c>
      <c r="F305" s="18" t="s">
        <v>9</v>
      </c>
      <c r="G305" s="18">
        <v>25</v>
      </c>
      <c r="H305" s="17">
        <v>3.4168377823408624</v>
      </c>
      <c r="I305" s="17">
        <v>3.6030116358658453</v>
      </c>
      <c r="J305" s="17">
        <v>7.0198494182067082</v>
      </c>
      <c r="K305" s="17">
        <v>3.485284052019165</v>
      </c>
      <c r="L305" s="17">
        <v>3.5345653661875427</v>
      </c>
      <c r="M305" s="17">
        <v>7.0198494182067082</v>
      </c>
      <c r="N305" s="17">
        <v>3.4387405886379194</v>
      </c>
      <c r="O305" s="17">
        <v>3.6030116358658453</v>
      </c>
      <c r="P305" s="17">
        <v>7.0417522245037647</v>
      </c>
      <c r="Q305" s="17">
        <v>3.5044490075290895</v>
      </c>
      <c r="R305" s="17">
        <v>3.57015742642026</v>
      </c>
      <c r="S305" s="17">
        <v>7.0746064339493495</v>
      </c>
      <c r="T305" s="30">
        <v>3</v>
      </c>
      <c r="U305" s="30">
        <v>14</v>
      </c>
      <c r="V305" s="20" t="s">
        <v>1</v>
      </c>
      <c r="W305" s="20">
        <v>5</v>
      </c>
      <c r="X305" s="20">
        <v>2</v>
      </c>
      <c r="Y305" s="5">
        <v>1</v>
      </c>
      <c r="Z305" s="24">
        <v>4</v>
      </c>
      <c r="AA305" s="23">
        <f t="shared" si="12"/>
        <v>1</v>
      </c>
      <c r="AB305" s="15">
        <v>0.75</v>
      </c>
      <c r="AC305" s="15">
        <v>0.5</v>
      </c>
      <c r="AD305" s="15">
        <v>0.375</v>
      </c>
      <c r="AE305" s="15">
        <v>0.54200000000000004</v>
      </c>
      <c r="AF305" s="20">
        <v>13</v>
      </c>
      <c r="AG305" s="20">
        <v>9.77</v>
      </c>
      <c r="AH305" s="24">
        <v>24</v>
      </c>
      <c r="AI305" s="23">
        <f t="shared" si="13"/>
        <v>1</v>
      </c>
      <c r="AJ305" s="17">
        <v>0</v>
      </c>
      <c r="AK305" s="17">
        <v>2.5</v>
      </c>
      <c r="AL305" s="14">
        <v>2.5</v>
      </c>
      <c r="AM305" s="23" cm="1">
        <f t="array" ref="AM305">IF(OR(AN305:AZ305=""),"BLANK",IF(AND(AN305:AZ305&lt;9999999),1,IF(AND(AN305:AZ305="NA"),3,2)))</f>
        <v>1</v>
      </c>
      <c r="AN305" s="20">
        <v>3</v>
      </c>
      <c r="AO305" s="26">
        <v>2</v>
      </c>
      <c r="AP305" s="15">
        <v>4.5</v>
      </c>
      <c r="AQ305" s="15">
        <v>6</v>
      </c>
      <c r="AR305" s="15">
        <v>10.25</v>
      </c>
      <c r="AS305" s="26">
        <v>1004</v>
      </c>
      <c r="AT305" s="26">
        <v>5053</v>
      </c>
      <c r="AU305" s="26">
        <v>2846.5</v>
      </c>
      <c r="AV305" s="26">
        <v>3086.75</v>
      </c>
      <c r="AW305" s="26">
        <v>4077</v>
      </c>
      <c r="AX305" s="26">
        <v>2368.9166666667002</v>
      </c>
      <c r="AY305" s="26">
        <v>1697.0416666666999</v>
      </c>
      <c r="AZ305" s="26">
        <v>1045.4916666667</v>
      </c>
      <c r="BA305" s="23">
        <f t="shared" si="14"/>
        <v>1</v>
      </c>
      <c r="BB305" s="24">
        <v>17</v>
      </c>
    </row>
    <row r="306" spans="1:54" x14ac:dyDescent="0.2">
      <c r="A306" s="5">
        <v>4461</v>
      </c>
      <c r="B306" s="20" t="s">
        <v>74</v>
      </c>
      <c r="C306" s="18" t="s">
        <v>55</v>
      </c>
      <c r="D306" s="18">
        <v>5</v>
      </c>
      <c r="E306" s="18">
        <v>0</v>
      </c>
      <c r="F306" s="18" t="s">
        <v>9</v>
      </c>
      <c r="G306" s="18">
        <v>29</v>
      </c>
      <c r="H306" s="17">
        <v>3.463381245722108</v>
      </c>
      <c r="I306" s="17">
        <v>3.3648186173853527</v>
      </c>
      <c r="J306" s="17">
        <v>6.8281998631074607</v>
      </c>
      <c r="K306" s="17">
        <v>3.463381245722108</v>
      </c>
      <c r="L306" s="17">
        <v>3.3648186173853527</v>
      </c>
      <c r="M306" s="17">
        <v>6.8281998631074607</v>
      </c>
      <c r="N306" s="17">
        <v>3.4387405886379194</v>
      </c>
      <c r="O306" s="17">
        <v>3.4277891854893907</v>
      </c>
      <c r="P306" s="17">
        <v>6.8665297741273097</v>
      </c>
      <c r="Q306" s="17">
        <v>3.3949349760438055</v>
      </c>
      <c r="R306" s="17">
        <v>3.5017111567419574</v>
      </c>
      <c r="S306" s="17">
        <v>6.8966461327857633</v>
      </c>
      <c r="T306" s="30">
        <v>5</v>
      </c>
      <c r="U306" s="30">
        <v>17</v>
      </c>
      <c r="V306" s="20" t="s">
        <v>1</v>
      </c>
      <c r="W306" s="20">
        <v>5</v>
      </c>
      <c r="X306" s="20">
        <v>2</v>
      </c>
      <c r="Y306" s="5">
        <v>1</v>
      </c>
      <c r="Z306" s="24">
        <v>4</v>
      </c>
      <c r="AA306" s="23">
        <f t="shared" si="12"/>
        <v>1</v>
      </c>
      <c r="AB306" s="15">
        <v>1</v>
      </c>
      <c r="AC306" s="15">
        <v>0.75</v>
      </c>
      <c r="AD306" s="15">
        <v>0.75</v>
      </c>
      <c r="AE306" s="15">
        <v>0.83299999999999996</v>
      </c>
      <c r="AF306" s="20">
        <v>20</v>
      </c>
      <c r="AG306" s="20">
        <v>9.9700000000000006</v>
      </c>
      <c r="AH306" s="24">
        <v>24</v>
      </c>
      <c r="AI306" s="23">
        <f t="shared" si="13"/>
        <v>1</v>
      </c>
      <c r="AJ306" s="17">
        <v>7.5</v>
      </c>
      <c r="AK306" s="17">
        <v>5.5</v>
      </c>
      <c r="AL306" s="14">
        <v>13</v>
      </c>
      <c r="AM306" s="23" cm="1">
        <f t="array" ref="AM306">IF(OR(AN306:AZ306=""),"BLANK",IF(AND(AN306:AZ306&lt;9999999),1,IF(AND(AN306:AZ306="NA"),3,2)))</f>
        <v>1</v>
      </c>
      <c r="AN306" s="20">
        <v>8</v>
      </c>
      <c r="AO306" s="26">
        <v>2</v>
      </c>
      <c r="AP306" s="15">
        <v>3</v>
      </c>
      <c r="AQ306" s="15">
        <v>5.25</v>
      </c>
      <c r="AR306" s="15">
        <v>8.75</v>
      </c>
      <c r="AS306" s="26">
        <v>5966.5</v>
      </c>
      <c r="AT306" s="26">
        <v>8107.5</v>
      </c>
      <c r="AU306" s="26">
        <v>39442.5</v>
      </c>
      <c r="AV306" s="26">
        <v>9183.25</v>
      </c>
      <c r="AW306" s="26">
        <v>0</v>
      </c>
      <c r="AX306" s="26">
        <v>0</v>
      </c>
      <c r="AY306" s="26">
        <v>576.9375</v>
      </c>
      <c r="AZ306" s="26">
        <v>0</v>
      </c>
      <c r="BA306" s="23">
        <f t="shared" si="14"/>
        <v>1</v>
      </c>
      <c r="BB306" s="24">
        <v>33</v>
      </c>
    </row>
    <row r="307" spans="1:54" x14ac:dyDescent="0.2">
      <c r="A307" s="5">
        <v>4488</v>
      </c>
      <c r="B307" s="20" t="s">
        <v>82</v>
      </c>
      <c r="C307" s="18" t="s">
        <v>54</v>
      </c>
      <c r="D307" s="18">
        <v>5</v>
      </c>
      <c r="E307" s="18">
        <v>0</v>
      </c>
      <c r="F307" s="18" t="s">
        <v>9</v>
      </c>
      <c r="G307" s="18">
        <v>29</v>
      </c>
      <c r="H307" s="17">
        <v>3.460643394934976</v>
      </c>
      <c r="I307" s="17">
        <v>3.5345653661875427</v>
      </c>
      <c r="J307" s="17">
        <v>6.9952087611225187</v>
      </c>
      <c r="K307" s="17">
        <v>4.6379192334017798</v>
      </c>
      <c r="L307" s="17">
        <v>2.3572895277207393</v>
      </c>
      <c r="M307" s="17">
        <v>6.9952087611225187</v>
      </c>
      <c r="N307" s="17">
        <v>3.6303901437371664</v>
      </c>
      <c r="O307" s="17" t="s">
        <v>8</v>
      </c>
      <c r="P307" s="17" t="s">
        <v>8</v>
      </c>
      <c r="Q307" s="17">
        <v>3.5126625598904861</v>
      </c>
      <c r="R307" s="17" t="s">
        <v>8</v>
      </c>
      <c r="S307" s="17" t="s">
        <v>8</v>
      </c>
      <c r="T307" s="30" t="s">
        <v>8</v>
      </c>
      <c r="U307" s="30" t="s">
        <v>8</v>
      </c>
      <c r="V307" s="20" t="s">
        <v>1</v>
      </c>
      <c r="W307" s="20">
        <v>5</v>
      </c>
      <c r="X307" s="20">
        <v>2</v>
      </c>
      <c r="Y307" s="5">
        <v>1</v>
      </c>
      <c r="Z307" s="24">
        <v>4</v>
      </c>
      <c r="AA307" s="23">
        <f t="shared" si="12"/>
        <v>1</v>
      </c>
      <c r="AB307" s="15">
        <v>0.875</v>
      </c>
      <c r="AC307" s="15">
        <v>0.625</v>
      </c>
      <c r="AD307" s="15">
        <v>0.5</v>
      </c>
      <c r="AE307" s="15">
        <v>0.66700000000000004</v>
      </c>
      <c r="AF307" s="20">
        <v>16</v>
      </c>
      <c r="AG307" s="20">
        <v>4.4000000000000004</v>
      </c>
      <c r="AH307" s="24">
        <v>24</v>
      </c>
      <c r="AI307" s="23">
        <f t="shared" si="13"/>
        <v>1</v>
      </c>
      <c r="AJ307" s="17">
        <v>3.5</v>
      </c>
      <c r="AK307" s="17">
        <v>2</v>
      </c>
      <c r="AL307" s="14">
        <v>5.5</v>
      </c>
      <c r="AM307" s="23" cm="1">
        <f t="array" ref="AM307">IF(OR(AN307:AZ307=""),"BLANK",IF(AND(AN307:AZ307&lt;9999999),1,IF(AND(AN307:AZ307="NA"),3,2)))</f>
        <v>1</v>
      </c>
      <c r="AN307" s="20">
        <v>9</v>
      </c>
      <c r="AO307" s="26">
        <v>2</v>
      </c>
      <c r="AP307" s="15">
        <v>3</v>
      </c>
      <c r="AQ307" s="15">
        <v>6.25</v>
      </c>
      <c r="AR307" s="15">
        <v>6</v>
      </c>
      <c r="AS307" s="26">
        <v>2484.5</v>
      </c>
      <c r="AT307" s="26">
        <v>8899</v>
      </c>
      <c r="AU307" s="26">
        <v>6659.75</v>
      </c>
      <c r="AV307" s="26">
        <v>9044.75</v>
      </c>
      <c r="AW307" s="26">
        <v>0</v>
      </c>
      <c r="AX307" s="26">
        <v>0</v>
      </c>
      <c r="AY307" s="26">
        <v>3551.78125</v>
      </c>
      <c r="AZ307" s="26">
        <v>350.63333333330002</v>
      </c>
      <c r="BA307" s="23">
        <f t="shared" si="14"/>
        <v>1</v>
      </c>
      <c r="BB307" s="24">
        <v>30</v>
      </c>
    </row>
    <row r="308" spans="1:54" x14ac:dyDescent="0.2">
      <c r="A308" s="5">
        <v>4507</v>
      </c>
      <c r="B308" s="20" t="s">
        <v>68</v>
      </c>
      <c r="C308" s="18" t="s">
        <v>55</v>
      </c>
      <c r="D308" s="18">
        <v>5</v>
      </c>
      <c r="E308" s="18">
        <v>0</v>
      </c>
      <c r="F308" s="18" t="s">
        <v>9</v>
      </c>
      <c r="G308" s="18">
        <v>29</v>
      </c>
      <c r="H308" s="22">
        <v>3.4223134839151266</v>
      </c>
      <c r="I308" s="22" t="s">
        <v>8</v>
      </c>
      <c r="J308" s="22" t="s">
        <v>8</v>
      </c>
      <c r="K308" s="22">
        <v>3.4223134839151266</v>
      </c>
      <c r="L308" s="22" t="s">
        <v>8</v>
      </c>
      <c r="M308" s="22" t="s">
        <v>8</v>
      </c>
      <c r="N308" s="22" t="s">
        <v>8</v>
      </c>
      <c r="O308" s="22" t="s">
        <v>8</v>
      </c>
      <c r="P308" s="22" t="s">
        <v>8</v>
      </c>
      <c r="Q308" s="22">
        <v>3.4496919917864477</v>
      </c>
      <c r="R308" s="22" t="s">
        <v>8</v>
      </c>
      <c r="S308" s="22" t="s">
        <v>8</v>
      </c>
      <c r="T308" s="30">
        <v>4</v>
      </c>
      <c r="U308" s="30">
        <v>16</v>
      </c>
      <c r="V308" s="20" t="s">
        <v>1</v>
      </c>
      <c r="W308" s="20">
        <v>5</v>
      </c>
      <c r="X308" s="20">
        <v>2</v>
      </c>
      <c r="Y308" s="5">
        <v>1</v>
      </c>
      <c r="Z308" s="24">
        <v>4</v>
      </c>
      <c r="AA308" s="23">
        <f t="shared" si="12"/>
        <v>1</v>
      </c>
      <c r="AB308" s="15">
        <v>0.875</v>
      </c>
      <c r="AC308" s="15">
        <v>0.7142857142857143</v>
      </c>
      <c r="AD308" s="15">
        <v>0.5</v>
      </c>
      <c r="AE308" s="15">
        <v>0.69599999999999995</v>
      </c>
      <c r="AF308" s="20">
        <v>16</v>
      </c>
      <c r="AG308" s="20">
        <v>3.07</v>
      </c>
      <c r="AH308" s="24">
        <v>23</v>
      </c>
      <c r="AI308" s="23">
        <f t="shared" si="13"/>
        <v>1</v>
      </c>
      <c r="AJ308" s="17">
        <v>6</v>
      </c>
      <c r="AK308" s="17">
        <v>10.75</v>
      </c>
      <c r="AL308" s="14">
        <v>16.75</v>
      </c>
      <c r="AM308" s="23" cm="1">
        <f t="array" ref="AM308">IF(OR(AN308:AZ308=""),"BLANK",IF(AND(AN308:AZ308&lt;9999999),1,IF(AND(AN308:AZ308="NA"),3,2)))</f>
        <v>1</v>
      </c>
      <c r="AN308" s="20">
        <v>8</v>
      </c>
      <c r="AO308" s="26">
        <v>2</v>
      </c>
      <c r="AP308" s="15">
        <v>3</v>
      </c>
      <c r="AQ308" s="15">
        <v>4</v>
      </c>
      <c r="AR308" s="15">
        <v>10.5</v>
      </c>
      <c r="AS308" s="26">
        <v>1687.5</v>
      </c>
      <c r="AT308" s="26">
        <v>5444</v>
      </c>
      <c r="AU308" s="26">
        <v>1022.5</v>
      </c>
      <c r="AV308" s="26">
        <v>2690</v>
      </c>
      <c r="AW308" s="26">
        <v>0</v>
      </c>
      <c r="AX308" s="26">
        <v>0</v>
      </c>
      <c r="AY308" s="26">
        <v>0</v>
      </c>
      <c r="AZ308" s="26">
        <v>7194.375</v>
      </c>
      <c r="BA308" s="23">
        <f t="shared" si="14"/>
        <v>1</v>
      </c>
      <c r="BB308" s="24">
        <v>33</v>
      </c>
    </row>
    <row r="309" spans="1:54" x14ac:dyDescent="0.2">
      <c r="A309" s="5">
        <v>4540</v>
      </c>
      <c r="B309" s="20" t="s">
        <v>81</v>
      </c>
      <c r="C309" s="18" t="s">
        <v>54</v>
      </c>
      <c r="D309" s="18">
        <v>5</v>
      </c>
      <c r="E309" s="18">
        <v>1</v>
      </c>
      <c r="F309" s="18" t="s">
        <v>9</v>
      </c>
      <c r="G309" s="18">
        <v>29</v>
      </c>
      <c r="H309" s="17">
        <v>3.4442162902121836</v>
      </c>
      <c r="I309" s="17">
        <v>3.5838466803559208</v>
      </c>
      <c r="J309" s="17">
        <v>7.0280629705681044</v>
      </c>
      <c r="K309" s="17">
        <v>3.6659822039698837</v>
      </c>
      <c r="L309" s="17" t="s">
        <v>8</v>
      </c>
      <c r="M309" s="17" t="s">
        <v>8</v>
      </c>
      <c r="N309" s="17">
        <v>3.4113620807665983</v>
      </c>
      <c r="O309" s="17" t="s">
        <v>8</v>
      </c>
      <c r="P309" s="17" t="s">
        <v>8</v>
      </c>
      <c r="Q309" s="17">
        <v>3.5318275154004106</v>
      </c>
      <c r="R309" s="17" t="s">
        <v>8</v>
      </c>
      <c r="S309" s="17" t="s">
        <v>8</v>
      </c>
      <c r="T309" s="30">
        <v>3</v>
      </c>
      <c r="U309" s="30">
        <v>14</v>
      </c>
      <c r="V309" s="20" t="s">
        <v>1</v>
      </c>
      <c r="W309" s="20">
        <v>5</v>
      </c>
      <c r="X309" s="20">
        <v>2</v>
      </c>
      <c r="Y309" s="5">
        <v>1</v>
      </c>
      <c r="Z309" s="24">
        <v>4</v>
      </c>
      <c r="AA309" s="23">
        <f t="shared" si="12"/>
        <v>1</v>
      </c>
      <c r="AB309" s="15">
        <v>0.75</v>
      </c>
      <c r="AC309" s="15">
        <v>0.8571428571428571</v>
      </c>
      <c r="AD309" s="15">
        <v>0.125</v>
      </c>
      <c r="AE309" s="15">
        <v>0.56499999999999995</v>
      </c>
      <c r="AF309" s="20">
        <v>13</v>
      </c>
      <c r="AG309" s="20">
        <v>6.5</v>
      </c>
      <c r="AH309" s="24">
        <v>23</v>
      </c>
      <c r="AI309" s="23">
        <f t="shared" si="13"/>
        <v>3</v>
      </c>
      <c r="AJ309" s="17" t="s">
        <v>8</v>
      </c>
      <c r="AK309" s="17" t="s">
        <v>8</v>
      </c>
      <c r="AL309" s="14" t="s">
        <v>8</v>
      </c>
      <c r="AM309" s="23" cm="1">
        <f t="array" ref="AM309">IF(OR(AN309:AZ309=""),"BLANK",IF(AND(AN309:AZ309&lt;9999999),1,IF(AND(AN309:AZ309="NA"),3,2)))</f>
        <v>1</v>
      </c>
      <c r="AN309" s="20">
        <v>8</v>
      </c>
      <c r="AO309" s="26">
        <v>2</v>
      </c>
      <c r="AP309" s="15">
        <v>3</v>
      </c>
      <c r="AQ309" s="15">
        <v>5</v>
      </c>
      <c r="AR309" s="15">
        <v>10</v>
      </c>
      <c r="AS309" s="26">
        <v>432.5</v>
      </c>
      <c r="AT309" s="26">
        <v>5619</v>
      </c>
      <c r="AU309" s="26">
        <v>6524</v>
      </c>
      <c r="AV309" s="26">
        <v>5722.5</v>
      </c>
      <c r="AW309" s="26">
        <v>0</v>
      </c>
      <c r="AX309" s="26">
        <v>0</v>
      </c>
      <c r="AY309" s="26">
        <v>882.65625</v>
      </c>
      <c r="AZ309" s="26">
        <v>4263.2272727273003</v>
      </c>
      <c r="BA309" s="23">
        <f t="shared" si="14"/>
        <v>1</v>
      </c>
      <c r="BB309" s="24">
        <v>22</v>
      </c>
    </row>
    <row r="310" spans="1:54" x14ac:dyDescent="0.2">
      <c r="A310" s="5">
        <v>4565</v>
      </c>
      <c r="B310" s="20" t="s">
        <v>83</v>
      </c>
      <c r="C310" s="18" t="s">
        <v>54</v>
      </c>
      <c r="D310" s="18">
        <v>5</v>
      </c>
      <c r="E310" s="18">
        <v>0</v>
      </c>
      <c r="F310" s="18" t="s">
        <v>9</v>
      </c>
      <c r="G310" s="18">
        <v>28</v>
      </c>
      <c r="H310" s="22">
        <v>3.7946611909650922</v>
      </c>
      <c r="I310" s="22" t="s">
        <v>8</v>
      </c>
      <c r="J310" s="22" t="s">
        <v>8</v>
      </c>
      <c r="K310" s="22">
        <v>3.7946611909650922</v>
      </c>
      <c r="L310" s="22" t="s">
        <v>8</v>
      </c>
      <c r="M310" s="22" t="s">
        <v>8</v>
      </c>
      <c r="N310" s="22">
        <v>3.8658453114305269</v>
      </c>
      <c r="O310" s="22" t="s">
        <v>8</v>
      </c>
      <c r="P310" s="22" t="s">
        <v>8</v>
      </c>
      <c r="Q310" s="22">
        <v>3.5811088295687883</v>
      </c>
      <c r="R310" s="22" t="s">
        <v>8</v>
      </c>
      <c r="S310" s="22" t="s">
        <v>8</v>
      </c>
      <c r="T310" s="30">
        <v>3</v>
      </c>
      <c r="U310" s="30">
        <v>15</v>
      </c>
      <c r="V310" s="20" t="s">
        <v>1</v>
      </c>
      <c r="W310" s="20">
        <v>5</v>
      </c>
      <c r="X310" s="20">
        <v>2</v>
      </c>
      <c r="Y310" s="5">
        <v>1</v>
      </c>
      <c r="Z310" s="24">
        <v>4</v>
      </c>
      <c r="AA310" s="23">
        <f t="shared" si="12"/>
        <v>1</v>
      </c>
      <c r="AB310" s="15">
        <v>1</v>
      </c>
      <c r="AC310" s="15">
        <v>0.5</v>
      </c>
      <c r="AD310" s="15">
        <v>0.25</v>
      </c>
      <c r="AE310" s="15">
        <v>0.58299999999999996</v>
      </c>
      <c r="AF310" s="20">
        <v>14</v>
      </c>
      <c r="AG310" s="20">
        <v>4.57</v>
      </c>
      <c r="AH310" s="24">
        <v>24</v>
      </c>
      <c r="AI310" s="23">
        <f t="shared" si="13"/>
        <v>1</v>
      </c>
      <c r="AJ310" s="17">
        <v>3.75</v>
      </c>
      <c r="AK310" s="17">
        <v>3.5</v>
      </c>
      <c r="AL310" s="14">
        <v>7.25</v>
      </c>
      <c r="AM310" s="23" cm="1">
        <f t="array" ref="AM310">IF(OR(AN310:AZ310=""),"BLANK",IF(AND(AN310:AZ310&lt;9999999),1,IF(AND(AN310:AZ310="NA"),3,2)))</f>
        <v>1</v>
      </c>
      <c r="AN310" s="20">
        <v>9</v>
      </c>
      <c r="AO310" s="26">
        <v>2</v>
      </c>
      <c r="AP310" s="15">
        <v>3</v>
      </c>
      <c r="AQ310" s="15">
        <v>4</v>
      </c>
      <c r="AR310" s="15">
        <v>7.25</v>
      </c>
      <c r="AS310" s="26">
        <v>0</v>
      </c>
      <c r="AT310" s="26">
        <v>22883.5</v>
      </c>
      <c r="AU310" s="26">
        <v>18676.5</v>
      </c>
      <c r="AV310" s="26">
        <v>10388.5</v>
      </c>
      <c r="AW310" s="26">
        <v>1335.25</v>
      </c>
      <c r="AX310" s="26">
        <v>1431.5</v>
      </c>
      <c r="AY310" s="26">
        <v>25.625</v>
      </c>
      <c r="AZ310" s="26">
        <v>6380.0206349206001</v>
      </c>
      <c r="BA310" s="23">
        <f t="shared" si="14"/>
        <v>1</v>
      </c>
      <c r="BB310" s="24">
        <v>21</v>
      </c>
    </row>
    <row r="311" spans="1:54" x14ac:dyDescent="0.2">
      <c r="A311" s="5">
        <v>4581</v>
      </c>
      <c r="B311" s="20" t="s">
        <v>82</v>
      </c>
      <c r="C311" s="18" t="s">
        <v>54</v>
      </c>
      <c r="D311" s="18">
        <v>5</v>
      </c>
      <c r="E311" s="18">
        <v>0</v>
      </c>
      <c r="F311" s="18" t="s">
        <v>9</v>
      </c>
      <c r="G311" s="18">
        <v>30</v>
      </c>
      <c r="H311" s="17">
        <v>3.4715947980835042</v>
      </c>
      <c r="I311" s="17">
        <v>3.4469541409993156</v>
      </c>
      <c r="J311" s="17">
        <v>6.9185489390828199</v>
      </c>
      <c r="K311" s="17">
        <v>3.4579055441478439</v>
      </c>
      <c r="L311" s="17">
        <v>3.5455167693360714</v>
      </c>
      <c r="M311" s="17">
        <v>7.0034223134839149</v>
      </c>
      <c r="N311" s="17">
        <v>3.5154004106776182</v>
      </c>
      <c r="O311" s="17">
        <v>3.1978097193702943</v>
      </c>
      <c r="P311" s="17">
        <v>6.7132101300479121</v>
      </c>
      <c r="Q311" s="17">
        <v>3.4880219028062971</v>
      </c>
      <c r="R311" s="17">
        <v>3.4496919917864477</v>
      </c>
      <c r="S311" s="17">
        <v>6.9377138945927443</v>
      </c>
      <c r="T311" s="30">
        <v>3</v>
      </c>
      <c r="U311" s="30">
        <v>14</v>
      </c>
      <c r="V311" s="20" t="s">
        <v>1</v>
      </c>
      <c r="W311" s="20">
        <v>5</v>
      </c>
      <c r="X311" s="20">
        <v>2</v>
      </c>
      <c r="Y311" s="5">
        <v>1</v>
      </c>
      <c r="Z311" s="24">
        <v>4</v>
      </c>
      <c r="AA311" s="23">
        <f t="shared" si="12"/>
        <v>1</v>
      </c>
      <c r="AB311" s="15">
        <v>0.75</v>
      </c>
      <c r="AC311" s="15">
        <v>0.625</v>
      </c>
      <c r="AD311" s="15">
        <v>0.2857142857142857</v>
      </c>
      <c r="AE311" s="15">
        <v>0.56499999999999995</v>
      </c>
      <c r="AF311" s="20">
        <v>13</v>
      </c>
      <c r="AG311" s="20">
        <v>9.67</v>
      </c>
      <c r="AH311" s="24">
        <v>23</v>
      </c>
      <c r="AI311" s="23">
        <f t="shared" si="13"/>
        <v>1</v>
      </c>
      <c r="AJ311" s="17">
        <v>10</v>
      </c>
      <c r="AK311" s="17">
        <v>9</v>
      </c>
      <c r="AL311" s="14">
        <v>19</v>
      </c>
      <c r="AM311" s="23" cm="1">
        <f t="array" ref="AM311">IF(OR(AN311:AZ311=""),"BLANK",IF(AND(AN311:AZ311&lt;9999999),1,IF(AND(AN311:AZ311="NA"),3,2)))</f>
        <v>1</v>
      </c>
      <c r="AN311" s="20">
        <v>7</v>
      </c>
      <c r="AO311" s="26">
        <v>2</v>
      </c>
      <c r="AP311" s="15">
        <v>3.5</v>
      </c>
      <c r="AQ311" s="15">
        <v>5.25</v>
      </c>
      <c r="AR311" s="15">
        <v>9.75</v>
      </c>
      <c r="AS311" s="26">
        <v>5255</v>
      </c>
      <c r="AT311" s="26">
        <v>9821</v>
      </c>
      <c r="AU311" s="26">
        <v>16424.5</v>
      </c>
      <c r="AV311" s="26">
        <v>16875.75</v>
      </c>
      <c r="AW311" s="26">
        <v>318.5</v>
      </c>
      <c r="AX311" s="26">
        <v>1120.8333333333001</v>
      </c>
      <c r="AY311" s="26">
        <v>7988.0486111111004</v>
      </c>
      <c r="AZ311" s="26">
        <v>5464.4750000000004</v>
      </c>
      <c r="BA311" s="23">
        <f t="shared" si="14"/>
        <v>1</v>
      </c>
      <c r="BB311" s="24">
        <v>35</v>
      </c>
    </row>
    <row r="312" spans="1:54" x14ac:dyDescent="0.2">
      <c r="A312" s="5">
        <v>4582</v>
      </c>
      <c r="B312" s="20" t="s">
        <v>81</v>
      </c>
      <c r="C312" s="18" t="s">
        <v>54</v>
      </c>
      <c r="D312" s="18">
        <v>5</v>
      </c>
      <c r="E312" s="18">
        <v>0</v>
      </c>
      <c r="F312" s="18" t="s">
        <v>9</v>
      </c>
      <c r="G312" s="18">
        <v>30</v>
      </c>
      <c r="H312" s="22">
        <v>3.4113620807665983</v>
      </c>
      <c r="I312" s="22">
        <v>3.4195756331279945</v>
      </c>
      <c r="J312" s="22">
        <v>6.8309377138945928</v>
      </c>
      <c r="K312" s="22">
        <v>3.3401779603011637</v>
      </c>
      <c r="L312" s="22">
        <v>3.3894592744695413</v>
      </c>
      <c r="M312" s="22">
        <v>6.7296372347707054</v>
      </c>
      <c r="N312" s="22">
        <v>3.5838466803559208</v>
      </c>
      <c r="O312" s="22">
        <v>3.1950718685831623</v>
      </c>
      <c r="P312" s="22">
        <v>6.7789185489390826</v>
      </c>
      <c r="Q312" s="22">
        <v>3.2388774811772758</v>
      </c>
      <c r="R312" s="22" t="s">
        <v>8</v>
      </c>
      <c r="S312" s="22" t="s">
        <v>8</v>
      </c>
      <c r="T312" s="30">
        <v>4</v>
      </c>
      <c r="U312" s="30">
        <v>16</v>
      </c>
      <c r="V312" s="20" t="s">
        <v>1</v>
      </c>
      <c r="W312" s="20">
        <v>5</v>
      </c>
      <c r="X312" s="20">
        <v>2</v>
      </c>
      <c r="Y312" s="5">
        <v>1</v>
      </c>
      <c r="Z312" s="24">
        <v>4</v>
      </c>
      <c r="AA312" s="23">
        <f t="shared" si="12"/>
        <v>2</v>
      </c>
      <c r="AB312" s="15">
        <v>1</v>
      </c>
      <c r="AC312" s="15">
        <v>0.75</v>
      </c>
      <c r="AD312" s="15">
        <v>0.5714285714285714</v>
      </c>
      <c r="AE312" s="15">
        <v>0.78300000000000003</v>
      </c>
      <c r="AF312" s="20">
        <v>18</v>
      </c>
      <c r="AG312" s="20" t="s">
        <v>8</v>
      </c>
      <c r="AH312" s="24">
        <v>23</v>
      </c>
      <c r="AI312" s="23">
        <f t="shared" si="13"/>
        <v>1</v>
      </c>
      <c r="AJ312" s="17">
        <v>8</v>
      </c>
      <c r="AK312" s="17">
        <v>9</v>
      </c>
      <c r="AL312" s="14">
        <v>17</v>
      </c>
      <c r="AM312" s="23" cm="1">
        <f t="array" ref="AM312">IF(OR(AN312:AZ312=""),"BLANK",IF(AND(AN312:AZ312&lt;9999999),1,IF(AND(AN312:AZ312="NA"),3,2)))</f>
        <v>1</v>
      </c>
      <c r="AN312" s="20">
        <v>11</v>
      </c>
      <c r="AO312" s="26">
        <v>2</v>
      </c>
      <c r="AP312" s="15">
        <v>3</v>
      </c>
      <c r="AQ312" s="15">
        <v>4</v>
      </c>
      <c r="AR312" s="15">
        <v>6</v>
      </c>
      <c r="AS312" s="26">
        <v>4301.5</v>
      </c>
      <c r="AT312" s="26">
        <v>20438.5</v>
      </c>
      <c r="AU312" s="26">
        <v>17705.25</v>
      </c>
      <c r="AV312" s="26">
        <v>10192</v>
      </c>
      <c r="AW312" s="26">
        <v>0</v>
      </c>
      <c r="AX312" s="26">
        <v>0</v>
      </c>
      <c r="AY312" s="26">
        <v>1584.8125</v>
      </c>
      <c r="AZ312" s="26">
        <v>1812.8</v>
      </c>
      <c r="BA312" s="23">
        <f t="shared" si="14"/>
        <v>1</v>
      </c>
      <c r="BB312" s="24">
        <v>32</v>
      </c>
    </row>
    <row r="313" spans="1:54" x14ac:dyDescent="0.2">
      <c r="A313" s="5">
        <v>4586</v>
      </c>
      <c r="B313" s="20" t="s">
        <v>80</v>
      </c>
      <c r="C313" s="18" t="s">
        <v>55</v>
      </c>
      <c r="D313" s="18">
        <v>5</v>
      </c>
      <c r="E313" s="18">
        <v>0</v>
      </c>
      <c r="F313" s="18" t="s">
        <v>9</v>
      </c>
      <c r="G313" s="18" t="s">
        <v>8</v>
      </c>
      <c r="H313" s="22">
        <v>3.8494182067077345</v>
      </c>
      <c r="I313" s="22" t="s">
        <v>8</v>
      </c>
      <c r="J313" s="22" t="s">
        <v>8</v>
      </c>
      <c r="K313" s="22">
        <v>3.8494182067077345</v>
      </c>
      <c r="L313" s="22" t="s">
        <v>8</v>
      </c>
      <c r="M313" s="22" t="s">
        <v>8</v>
      </c>
      <c r="N313" s="22" t="s">
        <v>8</v>
      </c>
      <c r="O313" s="22" t="s">
        <v>8</v>
      </c>
      <c r="P313" s="22" t="s">
        <v>8</v>
      </c>
      <c r="Q313" s="22" t="s">
        <v>8</v>
      </c>
      <c r="R313" s="22" t="s">
        <v>8</v>
      </c>
      <c r="S313" s="22" t="s">
        <v>8</v>
      </c>
      <c r="T313" s="30">
        <v>4</v>
      </c>
      <c r="U313" s="30">
        <v>16</v>
      </c>
      <c r="V313" s="20" t="s">
        <v>1</v>
      </c>
      <c r="W313" s="20">
        <v>5</v>
      </c>
      <c r="X313" s="20">
        <v>2</v>
      </c>
      <c r="Y313" s="5">
        <v>1</v>
      </c>
      <c r="Z313" s="24">
        <v>4</v>
      </c>
      <c r="AA313" s="23">
        <f t="shared" si="12"/>
        <v>3</v>
      </c>
      <c r="AB313" s="15" t="s">
        <v>8</v>
      </c>
      <c r="AC313" s="15" t="s">
        <v>8</v>
      </c>
      <c r="AD313" s="15" t="s">
        <v>8</v>
      </c>
      <c r="AE313" s="15" t="s">
        <v>8</v>
      </c>
      <c r="AF313" s="20" t="s">
        <v>8</v>
      </c>
      <c r="AG313" s="20" t="s">
        <v>8</v>
      </c>
      <c r="AH313" s="24" t="s">
        <v>8</v>
      </c>
      <c r="AI313" s="23">
        <f t="shared" si="13"/>
        <v>3</v>
      </c>
      <c r="AJ313" s="17" t="s">
        <v>8</v>
      </c>
      <c r="AK313" s="17" t="s">
        <v>8</v>
      </c>
      <c r="AL313" s="14" t="s">
        <v>8</v>
      </c>
      <c r="AM313" s="23" cm="1">
        <f t="array" ref="AM313">IF(OR(AN313:AZ313=""),"BLANK",IF(AND(AN313:AZ313&lt;9999999),1,IF(AND(AN313:AZ313="NA"),3,2)))</f>
        <v>1</v>
      </c>
      <c r="AN313" s="20">
        <v>6</v>
      </c>
      <c r="AO313" s="26">
        <v>2</v>
      </c>
      <c r="AP313" s="15">
        <v>5</v>
      </c>
      <c r="AQ313" s="15">
        <v>5.25</v>
      </c>
      <c r="AR313" s="15">
        <v>10.25</v>
      </c>
      <c r="AS313" s="26">
        <v>4085</v>
      </c>
      <c r="AT313" s="26">
        <v>35703</v>
      </c>
      <c r="AU313" s="26">
        <v>1352.25</v>
      </c>
      <c r="AV313" s="26">
        <v>6179.75</v>
      </c>
      <c r="AW313" s="26">
        <v>0</v>
      </c>
      <c r="AX313" s="26">
        <v>2091.4761904761999</v>
      </c>
      <c r="AY313" s="26">
        <v>235.5972222222</v>
      </c>
      <c r="AZ313" s="26">
        <v>1699.8333333333001</v>
      </c>
      <c r="BA313" s="23">
        <f t="shared" si="14"/>
        <v>3</v>
      </c>
      <c r="BB313" s="24" t="s">
        <v>8</v>
      </c>
    </row>
    <row r="314" spans="1:54" x14ac:dyDescent="0.2">
      <c r="A314" s="5">
        <v>4607</v>
      </c>
      <c r="B314" s="20" t="s">
        <v>82</v>
      </c>
      <c r="C314" s="18" t="s">
        <v>55</v>
      </c>
      <c r="D314" s="18">
        <v>5</v>
      </c>
      <c r="E314" s="18">
        <v>0</v>
      </c>
      <c r="F314" s="18" t="s">
        <v>9</v>
      </c>
      <c r="G314" s="18">
        <v>27</v>
      </c>
      <c r="H314" s="22">
        <v>4.3148528405201914</v>
      </c>
      <c r="I314" s="22" t="s">
        <v>8</v>
      </c>
      <c r="J314" s="22" t="s">
        <v>8</v>
      </c>
      <c r="K314" s="22">
        <v>4.3148528405201914</v>
      </c>
      <c r="L314" s="22" t="s">
        <v>8</v>
      </c>
      <c r="M314" s="22" t="s">
        <v>8</v>
      </c>
      <c r="N314" s="22">
        <v>4.2737850787132103</v>
      </c>
      <c r="O314" s="22" t="s">
        <v>8</v>
      </c>
      <c r="P314" s="22" t="s">
        <v>8</v>
      </c>
      <c r="Q314" s="22">
        <v>4.2518822724161529</v>
      </c>
      <c r="R314" s="22" t="s">
        <v>8</v>
      </c>
      <c r="S314" s="22" t="s">
        <v>8</v>
      </c>
      <c r="T314" s="30">
        <v>3</v>
      </c>
      <c r="U314" s="30">
        <v>15</v>
      </c>
      <c r="V314" s="20" t="s">
        <v>1</v>
      </c>
      <c r="W314" s="20">
        <v>5</v>
      </c>
      <c r="X314" s="20">
        <v>2</v>
      </c>
      <c r="Y314" s="5">
        <v>1</v>
      </c>
      <c r="Z314" s="24">
        <v>4</v>
      </c>
      <c r="AA314" s="23">
        <f t="shared" si="12"/>
        <v>1</v>
      </c>
      <c r="AB314" s="15">
        <v>0.8571428571428571</v>
      </c>
      <c r="AC314" s="15">
        <v>0.625</v>
      </c>
      <c r="AD314" s="15">
        <v>0.25</v>
      </c>
      <c r="AE314" s="15">
        <v>0.56499999999999995</v>
      </c>
      <c r="AF314" s="20">
        <v>13</v>
      </c>
      <c r="AG314" s="20">
        <v>4.9000000000000004</v>
      </c>
      <c r="AH314" s="24">
        <v>23</v>
      </c>
      <c r="AI314" s="23">
        <f t="shared" si="13"/>
        <v>1</v>
      </c>
      <c r="AJ314" s="17">
        <v>6.5</v>
      </c>
      <c r="AK314" s="17">
        <v>3.25</v>
      </c>
      <c r="AL314" s="14">
        <v>9.75</v>
      </c>
      <c r="AM314" s="23" cm="1">
        <f t="array" ref="AM314">IF(OR(AN314:AZ314=""),"BLANK",IF(AND(AN314:AZ314&lt;9999999),1,IF(AND(AN314:AZ314="NA"),3,2)))</f>
        <v>1</v>
      </c>
      <c r="AN314" s="20">
        <v>5</v>
      </c>
      <c r="AO314" s="26">
        <v>2</v>
      </c>
      <c r="AP314" s="15">
        <v>4</v>
      </c>
      <c r="AQ314" s="15">
        <v>7</v>
      </c>
      <c r="AR314" s="15">
        <v>8.75</v>
      </c>
      <c r="AS314" s="26">
        <v>407.5</v>
      </c>
      <c r="AT314" s="26">
        <v>9198</v>
      </c>
      <c r="AU314" s="26">
        <v>5871.75</v>
      </c>
      <c r="AV314" s="26">
        <v>4891</v>
      </c>
      <c r="AW314" s="26">
        <v>1193</v>
      </c>
      <c r="AX314" s="26">
        <v>3815.7</v>
      </c>
      <c r="AY314" s="26">
        <v>8279.2093253967996</v>
      </c>
      <c r="AZ314" s="26">
        <v>7555.1291666667003</v>
      </c>
      <c r="BA314" s="23">
        <f t="shared" si="14"/>
        <v>1</v>
      </c>
      <c r="BB314" s="24">
        <v>23</v>
      </c>
    </row>
    <row r="315" spans="1:54" x14ac:dyDescent="0.2">
      <c r="A315" s="5">
        <v>4613</v>
      </c>
      <c r="B315" s="20" t="s">
        <v>81</v>
      </c>
      <c r="C315" s="18" t="s">
        <v>55</v>
      </c>
      <c r="D315" s="18">
        <v>3</v>
      </c>
      <c r="E315" s="18">
        <v>0</v>
      </c>
      <c r="F315" s="18" t="s">
        <v>9</v>
      </c>
      <c r="G315" s="18">
        <v>28</v>
      </c>
      <c r="H315" s="17">
        <v>3.5044490075290895</v>
      </c>
      <c r="I315" s="17" t="s">
        <v>8</v>
      </c>
      <c r="J315" s="17" t="s">
        <v>8</v>
      </c>
      <c r="K315" s="17">
        <v>3.6057494866529773</v>
      </c>
      <c r="L315" s="17" t="s">
        <v>8</v>
      </c>
      <c r="M315" s="17" t="s">
        <v>8</v>
      </c>
      <c r="N315" s="17">
        <v>3.5044490075290895</v>
      </c>
      <c r="O315" s="17" t="s">
        <v>8</v>
      </c>
      <c r="P315" s="17" t="s">
        <v>8</v>
      </c>
      <c r="Q315" s="17">
        <v>3.4880219028062971</v>
      </c>
      <c r="R315" s="17" t="s">
        <v>8</v>
      </c>
      <c r="S315" s="17" t="s">
        <v>8</v>
      </c>
      <c r="T315" s="30" t="s">
        <v>8</v>
      </c>
      <c r="U315" s="30" t="s">
        <v>8</v>
      </c>
      <c r="V315" s="20" t="s">
        <v>1</v>
      </c>
      <c r="W315" s="20">
        <v>5</v>
      </c>
      <c r="X315" s="20">
        <v>2</v>
      </c>
      <c r="Y315" s="5">
        <v>1</v>
      </c>
      <c r="Z315" s="24">
        <v>4</v>
      </c>
      <c r="AA315" s="23">
        <f t="shared" si="12"/>
        <v>1</v>
      </c>
      <c r="AB315" s="15">
        <v>1</v>
      </c>
      <c r="AC315" s="15">
        <v>0.625</v>
      </c>
      <c r="AD315" s="15">
        <v>0.375</v>
      </c>
      <c r="AE315" s="15">
        <v>0.66700000000000004</v>
      </c>
      <c r="AF315" s="20">
        <v>16</v>
      </c>
      <c r="AG315" s="20">
        <v>1.1499999999999999</v>
      </c>
      <c r="AH315" s="24">
        <v>24</v>
      </c>
      <c r="AI315" s="23">
        <f t="shared" si="13"/>
        <v>1</v>
      </c>
      <c r="AJ315" s="17">
        <v>7.75</v>
      </c>
      <c r="AK315" s="17">
        <v>11</v>
      </c>
      <c r="AL315" s="14">
        <v>18.75</v>
      </c>
      <c r="AM315" s="23" cm="1">
        <f t="array" ref="AM315">IF(OR(AN315:AZ315=""),"BLANK",IF(AND(AN315:AZ315&lt;9999999),1,IF(AND(AN315:AZ315="NA"),3,2)))</f>
        <v>1</v>
      </c>
      <c r="AN315" s="20">
        <v>5</v>
      </c>
      <c r="AO315" s="26">
        <v>2</v>
      </c>
      <c r="AP315" s="15">
        <v>4</v>
      </c>
      <c r="AQ315" s="15">
        <v>6.5</v>
      </c>
      <c r="AR315" s="15">
        <v>9</v>
      </c>
      <c r="AS315" s="26">
        <v>529</v>
      </c>
      <c r="AT315" s="26">
        <v>7592.5</v>
      </c>
      <c r="AU315" s="26">
        <v>11355</v>
      </c>
      <c r="AV315" s="26">
        <v>16010.25</v>
      </c>
      <c r="AW315" s="26">
        <v>374.5</v>
      </c>
      <c r="AX315" s="26">
        <v>1516.3</v>
      </c>
      <c r="AY315" s="26">
        <v>8203.8194444443998</v>
      </c>
      <c r="AZ315" s="26">
        <v>8118.2440476190004</v>
      </c>
      <c r="BA315" s="23">
        <f t="shared" si="14"/>
        <v>1</v>
      </c>
      <c r="BB315" s="24">
        <v>32</v>
      </c>
    </row>
    <row r="316" spans="1:54" x14ac:dyDescent="0.2">
      <c r="A316" s="5">
        <v>4615</v>
      </c>
      <c r="B316" s="20" t="s">
        <v>68</v>
      </c>
      <c r="C316" s="18" t="s">
        <v>55</v>
      </c>
      <c r="D316" s="18">
        <v>5</v>
      </c>
      <c r="E316" s="18">
        <v>0</v>
      </c>
      <c r="F316" s="18" t="s">
        <v>9</v>
      </c>
      <c r="G316" s="18">
        <v>28</v>
      </c>
      <c r="H316" s="17">
        <v>3.4469541409993156</v>
      </c>
      <c r="I316" s="17" t="s">
        <v>8</v>
      </c>
      <c r="J316" s="17" t="s">
        <v>8</v>
      </c>
      <c r="K316" s="17">
        <v>3.3730321697467489</v>
      </c>
      <c r="L316" s="17" t="s">
        <v>8</v>
      </c>
      <c r="M316" s="17" t="s">
        <v>8</v>
      </c>
      <c r="N316" s="17">
        <v>3.5345653661875427</v>
      </c>
      <c r="O316" s="17" t="s">
        <v>8</v>
      </c>
      <c r="P316" s="17" t="s">
        <v>8</v>
      </c>
      <c r="Q316" s="17">
        <v>3.6358658453114305</v>
      </c>
      <c r="R316" s="17" t="s">
        <v>8</v>
      </c>
      <c r="S316" s="17" t="s">
        <v>8</v>
      </c>
      <c r="T316" s="30">
        <v>3</v>
      </c>
      <c r="U316" s="30">
        <v>15</v>
      </c>
      <c r="V316" s="20" t="s">
        <v>1</v>
      </c>
      <c r="W316" s="20">
        <v>5</v>
      </c>
      <c r="X316" s="20">
        <v>2</v>
      </c>
      <c r="Y316" s="5">
        <v>1</v>
      </c>
      <c r="Z316" s="24">
        <v>4</v>
      </c>
      <c r="AA316" s="23">
        <f t="shared" si="12"/>
        <v>1</v>
      </c>
      <c r="AB316" s="15">
        <v>0.875</v>
      </c>
      <c r="AC316" s="15">
        <v>0.75</v>
      </c>
      <c r="AD316" s="15">
        <v>0.125</v>
      </c>
      <c r="AE316" s="15">
        <v>0.58299999999999996</v>
      </c>
      <c r="AF316" s="20">
        <v>14</v>
      </c>
      <c r="AG316" s="20">
        <v>6.38</v>
      </c>
      <c r="AH316" s="24">
        <v>24</v>
      </c>
      <c r="AI316" s="23">
        <f t="shared" si="13"/>
        <v>1</v>
      </c>
      <c r="AJ316" s="17">
        <v>3.25</v>
      </c>
      <c r="AK316" s="17">
        <v>5.75</v>
      </c>
      <c r="AL316" s="14">
        <v>9</v>
      </c>
      <c r="AM316" s="23" cm="1">
        <f t="array" ref="AM316">IF(OR(AN316:AZ316=""),"BLANK",IF(AND(AN316:AZ316&lt;9999999),1,IF(AND(AN316:AZ316="NA"),3,2)))</f>
        <v>1</v>
      </c>
      <c r="AN316" s="20">
        <v>6</v>
      </c>
      <c r="AO316" s="26">
        <v>2</v>
      </c>
      <c r="AP316" s="15">
        <v>3</v>
      </c>
      <c r="AQ316" s="15">
        <v>4.5</v>
      </c>
      <c r="AR316" s="15">
        <v>10.75</v>
      </c>
      <c r="AS316" s="26">
        <v>0</v>
      </c>
      <c r="AT316" s="26">
        <v>8184.5</v>
      </c>
      <c r="AU316" s="26">
        <v>4075.5</v>
      </c>
      <c r="AV316" s="26">
        <v>6635</v>
      </c>
      <c r="AW316" s="26">
        <v>0</v>
      </c>
      <c r="AX316" s="26">
        <v>0</v>
      </c>
      <c r="AY316" s="26">
        <v>2267.9625000000001</v>
      </c>
      <c r="AZ316" s="26">
        <v>8205.2083333332994</v>
      </c>
      <c r="BA316" s="23">
        <f t="shared" si="14"/>
        <v>1</v>
      </c>
      <c r="BB316" s="24">
        <v>32</v>
      </c>
    </row>
    <row r="317" spans="1:54" x14ac:dyDescent="0.2">
      <c r="A317" s="5">
        <v>4629</v>
      </c>
      <c r="B317" s="20" t="s">
        <v>82</v>
      </c>
      <c r="C317" s="18" t="s">
        <v>54</v>
      </c>
      <c r="D317" s="18">
        <v>5</v>
      </c>
      <c r="E317" s="18">
        <v>0</v>
      </c>
      <c r="F317" s="18" t="s">
        <v>9</v>
      </c>
      <c r="G317" s="18">
        <v>30</v>
      </c>
      <c r="H317" s="22">
        <v>3.4798083504449009</v>
      </c>
      <c r="I317" s="22" t="s">
        <v>8</v>
      </c>
      <c r="J317" s="22" t="s">
        <v>8</v>
      </c>
      <c r="K317" s="22">
        <v>3.4305270362765228</v>
      </c>
      <c r="L317" s="22" t="s">
        <v>8</v>
      </c>
      <c r="M317" s="22" t="s">
        <v>8</v>
      </c>
      <c r="N317" s="22" t="s">
        <v>8</v>
      </c>
      <c r="O317" s="22" t="s">
        <v>8</v>
      </c>
      <c r="P317" s="22" t="s">
        <v>8</v>
      </c>
      <c r="Q317" s="22" t="s">
        <v>8</v>
      </c>
      <c r="R317" s="22" t="s">
        <v>8</v>
      </c>
      <c r="S317" s="22" t="s">
        <v>8</v>
      </c>
      <c r="T317" s="30" t="s">
        <v>8</v>
      </c>
      <c r="U317" s="30" t="s">
        <v>8</v>
      </c>
      <c r="V317" s="20" t="s">
        <v>1</v>
      </c>
      <c r="W317" s="20">
        <v>5</v>
      </c>
      <c r="X317" s="20">
        <v>2</v>
      </c>
      <c r="Y317" s="5">
        <v>1</v>
      </c>
      <c r="Z317" s="24">
        <v>4</v>
      </c>
      <c r="AA317" s="23">
        <f t="shared" si="12"/>
        <v>3</v>
      </c>
      <c r="AB317" s="15" t="s">
        <v>8</v>
      </c>
      <c r="AC317" s="15" t="s">
        <v>8</v>
      </c>
      <c r="AD317" s="15" t="s">
        <v>8</v>
      </c>
      <c r="AE317" s="15" t="s">
        <v>8</v>
      </c>
      <c r="AF317" s="20" t="s">
        <v>8</v>
      </c>
      <c r="AG317" s="20" t="s">
        <v>8</v>
      </c>
      <c r="AH317" s="24" t="s">
        <v>8</v>
      </c>
      <c r="AI317" s="23">
        <f t="shared" si="13"/>
        <v>3</v>
      </c>
      <c r="AJ317" s="17" t="s">
        <v>8</v>
      </c>
      <c r="AK317" s="17" t="s">
        <v>8</v>
      </c>
      <c r="AL317" s="14" t="s">
        <v>8</v>
      </c>
      <c r="AM317" s="23" cm="1">
        <f t="array" ref="AM317">IF(OR(AN317:AZ317=""),"BLANK",IF(AND(AN317:AZ317&lt;9999999),1,IF(AND(AN317:AZ317="NA"),3,2)))</f>
        <v>1</v>
      </c>
      <c r="AN317" s="20">
        <v>11</v>
      </c>
      <c r="AO317" s="20">
        <v>2</v>
      </c>
      <c r="AP317" s="15">
        <v>3</v>
      </c>
      <c r="AQ317" s="20">
        <v>5.25</v>
      </c>
      <c r="AR317" s="15">
        <v>5</v>
      </c>
      <c r="AS317" s="20">
        <v>2019</v>
      </c>
      <c r="AT317" s="26">
        <v>2630.5</v>
      </c>
      <c r="AU317" s="26">
        <v>6109.75</v>
      </c>
      <c r="AV317" s="20">
        <v>8727</v>
      </c>
      <c r="AW317" s="20">
        <v>0</v>
      </c>
      <c r="AX317" s="20">
        <v>0</v>
      </c>
      <c r="AY317" s="20">
        <v>0</v>
      </c>
      <c r="AZ317" s="20">
        <v>0</v>
      </c>
      <c r="BA317" s="23">
        <f t="shared" si="14"/>
        <v>3</v>
      </c>
      <c r="BB317" s="24" t="s">
        <v>8</v>
      </c>
    </row>
    <row r="318" spans="1:54" x14ac:dyDescent="0.2">
      <c r="A318" s="5">
        <v>4641</v>
      </c>
      <c r="B318" s="20" t="s">
        <v>82</v>
      </c>
      <c r="C318" s="18" t="s">
        <v>54</v>
      </c>
      <c r="D318" s="18">
        <v>5</v>
      </c>
      <c r="E318" s="18">
        <v>0</v>
      </c>
      <c r="F318" s="18" t="s">
        <v>9</v>
      </c>
      <c r="G318" s="18">
        <v>30</v>
      </c>
      <c r="H318" s="17">
        <v>3.4195756331279945</v>
      </c>
      <c r="I318" s="17">
        <v>3.40041067761807</v>
      </c>
      <c r="J318" s="17">
        <v>6.8199863107460645</v>
      </c>
      <c r="K318" s="17">
        <v>3.4469541409993156</v>
      </c>
      <c r="L318" s="17">
        <v>3.4688569472963722</v>
      </c>
      <c r="M318" s="17">
        <v>6.9158110882956878</v>
      </c>
      <c r="N318" s="17">
        <v>3.3921971252566734</v>
      </c>
      <c r="O318" s="17">
        <v>3.378507871321013</v>
      </c>
      <c r="P318" s="17">
        <v>6.7707049965776864</v>
      </c>
      <c r="Q318" s="17">
        <v>3.3292265571526354</v>
      </c>
      <c r="R318" s="17" t="s">
        <v>8</v>
      </c>
      <c r="S318" s="17" t="s">
        <v>8</v>
      </c>
      <c r="T318" s="30">
        <v>3</v>
      </c>
      <c r="U318" s="30">
        <v>14</v>
      </c>
      <c r="V318" s="20" t="s">
        <v>1</v>
      </c>
      <c r="W318" s="20">
        <v>5</v>
      </c>
      <c r="X318" s="20">
        <v>2</v>
      </c>
      <c r="Y318" s="5">
        <v>1</v>
      </c>
      <c r="Z318" s="24">
        <v>4</v>
      </c>
      <c r="AA318" s="23">
        <f t="shared" si="12"/>
        <v>1</v>
      </c>
      <c r="AB318" s="15">
        <v>1</v>
      </c>
      <c r="AC318" s="15">
        <v>0.8571428571428571</v>
      </c>
      <c r="AD318" s="15">
        <v>0.66666666666666663</v>
      </c>
      <c r="AE318" s="15">
        <v>0.85699999999999998</v>
      </c>
      <c r="AF318" s="20">
        <v>18</v>
      </c>
      <c r="AG318" s="20">
        <v>6.78</v>
      </c>
      <c r="AH318" s="24">
        <v>21</v>
      </c>
      <c r="AI318" s="23">
        <f t="shared" si="13"/>
        <v>2</v>
      </c>
      <c r="AJ318" s="17">
        <v>5</v>
      </c>
      <c r="AK318" s="17" t="s">
        <v>8</v>
      </c>
      <c r="AL318" s="14">
        <v>5</v>
      </c>
      <c r="AM318" s="23" cm="1">
        <f t="array" ref="AM318">IF(OR(AN318:AZ318=""),"BLANK",IF(AND(AN318:AZ318&lt;9999999),1,IF(AND(AN318:AZ318="NA"),3,2)))</f>
        <v>1</v>
      </c>
      <c r="AN318" s="20">
        <v>8</v>
      </c>
      <c r="AO318" s="26">
        <v>2</v>
      </c>
      <c r="AP318" s="15">
        <v>3</v>
      </c>
      <c r="AQ318" s="15">
        <v>4.5</v>
      </c>
      <c r="AR318" s="15">
        <v>10</v>
      </c>
      <c r="AS318" s="26">
        <v>257</v>
      </c>
      <c r="AT318" s="26">
        <v>4910.5</v>
      </c>
      <c r="AU318" s="26">
        <v>7919.25</v>
      </c>
      <c r="AV318" s="26">
        <v>8331.25</v>
      </c>
      <c r="AW318" s="26">
        <v>338.75</v>
      </c>
      <c r="AX318" s="26">
        <v>0</v>
      </c>
      <c r="AY318" s="26">
        <v>2034.2708333333001</v>
      </c>
      <c r="AZ318" s="26">
        <v>5082.5602272727001</v>
      </c>
      <c r="BA318" s="23">
        <f t="shared" si="14"/>
        <v>1</v>
      </c>
      <c r="BB318" s="24">
        <v>30</v>
      </c>
    </row>
    <row r="319" spans="1:54" x14ac:dyDescent="0.2">
      <c r="A319" s="5">
        <v>4658</v>
      </c>
      <c r="B319" s="20" t="s">
        <v>82</v>
      </c>
      <c r="C319" s="18" t="s">
        <v>54</v>
      </c>
      <c r="D319" s="18">
        <v>5</v>
      </c>
      <c r="E319" s="18">
        <v>0</v>
      </c>
      <c r="F319" s="18" t="s">
        <v>9</v>
      </c>
      <c r="G319" s="18">
        <v>30</v>
      </c>
      <c r="H319" s="17">
        <v>3.7508555783709787</v>
      </c>
      <c r="I319" s="17">
        <v>2.9897330595482545</v>
      </c>
      <c r="J319" s="17">
        <v>6.7405886379192337</v>
      </c>
      <c r="K319" s="17">
        <v>3.786447638603696</v>
      </c>
      <c r="L319" s="17">
        <v>2.9377138945927448</v>
      </c>
      <c r="M319" s="17">
        <v>6.7241615331964404</v>
      </c>
      <c r="N319" s="17">
        <v>3.7180013689253935</v>
      </c>
      <c r="O319" s="17" t="s">
        <v>8</v>
      </c>
      <c r="P319" s="17" t="s">
        <v>8</v>
      </c>
      <c r="Q319" s="17">
        <v>3.6933607118412048</v>
      </c>
      <c r="R319" s="17" t="s">
        <v>8</v>
      </c>
      <c r="S319" s="17" t="s">
        <v>8</v>
      </c>
      <c r="T319" s="30" t="s">
        <v>8</v>
      </c>
      <c r="U319" s="30" t="s">
        <v>8</v>
      </c>
      <c r="V319" s="20" t="s">
        <v>1</v>
      </c>
      <c r="W319" s="20">
        <v>5</v>
      </c>
      <c r="X319" s="20">
        <v>2</v>
      </c>
      <c r="Y319" s="5">
        <v>1</v>
      </c>
      <c r="Z319" s="24">
        <v>4</v>
      </c>
      <c r="AA319" s="23">
        <f t="shared" si="12"/>
        <v>1</v>
      </c>
      <c r="AB319" s="15">
        <v>1</v>
      </c>
      <c r="AC319" s="15">
        <v>0.875</v>
      </c>
      <c r="AD319" s="15">
        <v>0.5</v>
      </c>
      <c r="AE319" s="15">
        <v>0.79200000000000004</v>
      </c>
      <c r="AF319" s="20">
        <v>19</v>
      </c>
      <c r="AG319" s="20">
        <v>4.93</v>
      </c>
      <c r="AH319" s="24">
        <v>24</v>
      </c>
      <c r="AI319" s="23">
        <f t="shared" si="13"/>
        <v>1</v>
      </c>
      <c r="AJ319" s="17">
        <v>1</v>
      </c>
      <c r="AK319" s="17">
        <v>1</v>
      </c>
      <c r="AL319" s="14">
        <v>2</v>
      </c>
      <c r="AM319" s="23" cm="1">
        <f t="array" ref="AM319">IF(OR(AN319:AZ319=""),"BLANK",IF(AND(AN319:AZ319&lt;9999999),1,IF(AND(AN319:AZ319="NA"),3,2)))</f>
        <v>1</v>
      </c>
      <c r="AN319" s="20">
        <v>7</v>
      </c>
      <c r="AO319" s="26">
        <v>2</v>
      </c>
      <c r="AP319" s="15">
        <v>3</v>
      </c>
      <c r="AQ319" s="15">
        <v>6</v>
      </c>
      <c r="AR319" s="15">
        <v>6.25</v>
      </c>
      <c r="AS319" s="26">
        <v>1173</v>
      </c>
      <c r="AT319" s="26">
        <v>1597.5</v>
      </c>
      <c r="AU319" s="26">
        <v>4617.5</v>
      </c>
      <c r="AV319" s="26">
        <v>9594</v>
      </c>
      <c r="AW319" s="26">
        <v>0</v>
      </c>
      <c r="AX319" s="26">
        <v>0</v>
      </c>
      <c r="AY319" s="26">
        <v>4028.3763888888998</v>
      </c>
      <c r="AZ319" s="26">
        <v>1874.8611111110999</v>
      </c>
      <c r="BA319" s="23">
        <f t="shared" si="14"/>
        <v>1</v>
      </c>
      <c r="BB319" s="24">
        <v>29</v>
      </c>
    </row>
    <row r="320" spans="1:54" x14ac:dyDescent="0.2">
      <c r="A320" s="5">
        <v>4664</v>
      </c>
      <c r="B320" s="20" t="s">
        <v>82</v>
      </c>
      <c r="C320" s="18" t="s">
        <v>55</v>
      </c>
      <c r="D320" s="18">
        <v>5</v>
      </c>
      <c r="E320" s="18">
        <v>0</v>
      </c>
      <c r="F320" s="18" t="s">
        <v>9</v>
      </c>
      <c r="G320" s="18">
        <v>30</v>
      </c>
      <c r="H320" s="17">
        <v>3.9671457905544147</v>
      </c>
      <c r="I320" s="17" t="s">
        <v>8</v>
      </c>
      <c r="J320" s="17" t="s">
        <v>8</v>
      </c>
      <c r="K320" s="17">
        <v>4.1587953456536617</v>
      </c>
      <c r="L320" s="17" t="s">
        <v>8</v>
      </c>
      <c r="M320" s="17" t="s">
        <v>8</v>
      </c>
      <c r="N320" s="17">
        <v>3.9534565366187544</v>
      </c>
      <c r="O320" s="17" t="s">
        <v>8</v>
      </c>
      <c r="P320" s="17" t="s">
        <v>8</v>
      </c>
      <c r="Q320" s="17">
        <v>4.0383299110198498</v>
      </c>
      <c r="R320" s="17" t="s">
        <v>8</v>
      </c>
      <c r="S320" s="17" t="s">
        <v>8</v>
      </c>
      <c r="T320" s="30">
        <v>6</v>
      </c>
      <c r="U320" s="30">
        <v>18</v>
      </c>
      <c r="V320" s="20" t="s">
        <v>1</v>
      </c>
      <c r="W320" s="20">
        <v>5</v>
      </c>
      <c r="X320" s="20">
        <v>2</v>
      </c>
      <c r="Y320" s="5">
        <v>1</v>
      </c>
      <c r="Z320" s="24">
        <v>4</v>
      </c>
      <c r="AA320" s="23">
        <f t="shared" si="12"/>
        <v>2</v>
      </c>
      <c r="AB320" s="15">
        <v>1</v>
      </c>
      <c r="AC320" s="15">
        <v>1</v>
      </c>
      <c r="AD320" s="15">
        <v>0.625</v>
      </c>
      <c r="AE320" s="15">
        <v>0.875</v>
      </c>
      <c r="AF320" s="20">
        <v>21</v>
      </c>
      <c r="AG320" s="20" t="s">
        <v>8</v>
      </c>
      <c r="AH320" s="24">
        <v>24</v>
      </c>
      <c r="AI320" s="23">
        <f t="shared" si="13"/>
        <v>1</v>
      </c>
      <c r="AJ320" s="17">
        <v>8</v>
      </c>
      <c r="AK320" s="17">
        <v>5</v>
      </c>
      <c r="AL320" s="14">
        <v>13</v>
      </c>
      <c r="AM320" s="23" cm="1">
        <f t="array" ref="AM320">IF(OR(AN320:AZ320=""),"BLANK",IF(AND(AN320:AZ320&lt;9999999),1,IF(AND(AN320:AZ320="NA"),3,2)))</f>
        <v>1</v>
      </c>
      <c r="AN320" s="20">
        <v>9</v>
      </c>
      <c r="AO320" s="26">
        <v>2</v>
      </c>
      <c r="AP320" s="15">
        <v>3</v>
      </c>
      <c r="AQ320" s="15">
        <v>4</v>
      </c>
      <c r="AR320" s="15">
        <v>9.75</v>
      </c>
      <c r="AS320" s="26">
        <v>0</v>
      </c>
      <c r="AT320" s="26">
        <v>10179</v>
      </c>
      <c r="AU320" s="26">
        <v>6095</v>
      </c>
      <c r="AV320" s="26">
        <v>10961.5</v>
      </c>
      <c r="AW320" s="26">
        <v>3929</v>
      </c>
      <c r="AX320" s="26">
        <v>730.33333333329995</v>
      </c>
      <c r="AY320" s="26">
        <v>0</v>
      </c>
      <c r="AZ320" s="26">
        <v>4735.3874999999998</v>
      </c>
      <c r="BA320" s="23">
        <f t="shared" si="14"/>
        <v>1</v>
      </c>
      <c r="BB320" s="24">
        <v>35</v>
      </c>
    </row>
    <row r="321" spans="1:54" x14ac:dyDescent="0.2">
      <c r="A321" s="5">
        <v>4679</v>
      </c>
      <c r="B321" s="20" t="s">
        <v>63</v>
      </c>
      <c r="C321" s="18" t="s">
        <v>55</v>
      </c>
      <c r="D321" s="18">
        <v>5</v>
      </c>
      <c r="E321" s="18">
        <v>0</v>
      </c>
      <c r="F321" s="18" t="s">
        <v>9</v>
      </c>
      <c r="G321" s="18">
        <v>29</v>
      </c>
      <c r="H321" s="22">
        <v>3.5427789185489389</v>
      </c>
      <c r="I321" s="22">
        <v>3.2169746748802188</v>
      </c>
      <c r="J321" s="22">
        <v>6.7597535934291582</v>
      </c>
      <c r="K321" s="22">
        <v>3.5427789185489389</v>
      </c>
      <c r="L321" s="22">
        <v>3.2443531827515399</v>
      </c>
      <c r="M321" s="22">
        <v>6.7871321013004788</v>
      </c>
      <c r="N321" s="22">
        <v>3.592060232717317</v>
      </c>
      <c r="O321" s="22">
        <v>3.1321013004791238</v>
      </c>
      <c r="P321" s="22">
        <v>6.7241615331964404</v>
      </c>
      <c r="Q321" s="22">
        <v>3.9096509240246409</v>
      </c>
      <c r="R321" s="22">
        <v>2.9322381930184807</v>
      </c>
      <c r="S321" s="22">
        <v>6.8418891170431211</v>
      </c>
      <c r="T321" s="30" t="s">
        <v>8</v>
      </c>
      <c r="U321" s="30" t="s">
        <v>8</v>
      </c>
      <c r="V321" s="20" t="s">
        <v>1</v>
      </c>
      <c r="W321" s="20">
        <v>5</v>
      </c>
      <c r="X321" s="20">
        <v>2</v>
      </c>
      <c r="Y321" s="5">
        <v>1</v>
      </c>
      <c r="Z321" s="24">
        <v>4</v>
      </c>
      <c r="AA321" s="23">
        <f t="shared" si="12"/>
        <v>1</v>
      </c>
      <c r="AB321" s="15">
        <v>0.875</v>
      </c>
      <c r="AC321" s="15">
        <v>1</v>
      </c>
      <c r="AD321" s="15">
        <v>0.875</v>
      </c>
      <c r="AE321" s="15">
        <v>0.91700000000000004</v>
      </c>
      <c r="AF321" s="20">
        <v>22</v>
      </c>
      <c r="AG321" s="20">
        <v>3.3</v>
      </c>
      <c r="AH321" s="24">
        <v>24</v>
      </c>
      <c r="AI321" s="23">
        <f t="shared" si="13"/>
        <v>1</v>
      </c>
      <c r="AJ321" s="17">
        <v>6.75</v>
      </c>
      <c r="AK321" s="17">
        <v>12</v>
      </c>
      <c r="AL321" s="14">
        <v>18.75</v>
      </c>
      <c r="AM321" s="23" cm="1">
        <f t="array" ref="AM321">IF(OR(AN321:AZ321=""),"BLANK",IF(AND(AN321:AZ321&lt;9999999),1,IF(AND(AN321:AZ321="NA"),3,2)))</f>
        <v>1</v>
      </c>
      <c r="AN321" s="20">
        <v>10</v>
      </c>
      <c r="AO321" s="26">
        <v>2</v>
      </c>
      <c r="AP321" s="15">
        <v>3</v>
      </c>
      <c r="AQ321" s="15">
        <v>4</v>
      </c>
      <c r="AR321" s="15">
        <v>6</v>
      </c>
      <c r="AS321" s="26">
        <v>421</v>
      </c>
      <c r="AT321" s="26">
        <v>7100</v>
      </c>
      <c r="AU321" s="26">
        <v>16654</v>
      </c>
      <c r="AV321" s="26">
        <v>75413.75</v>
      </c>
      <c r="AW321" s="26">
        <v>0</v>
      </c>
      <c r="AX321" s="26">
        <v>0</v>
      </c>
      <c r="AY321" s="26">
        <v>2561.125</v>
      </c>
      <c r="AZ321" s="26">
        <v>27765.871428571401</v>
      </c>
      <c r="BA321" s="23">
        <f t="shared" si="14"/>
        <v>1</v>
      </c>
      <c r="BB321" s="24">
        <v>34</v>
      </c>
    </row>
    <row r="322" spans="1:54" x14ac:dyDescent="0.2">
      <c r="A322" s="5">
        <v>4682</v>
      </c>
      <c r="B322" s="20" t="s">
        <v>78</v>
      </c>
      <c r="C322" s="18" t="s">
        <v>55</v>
      </c>
      <c r="D322" s="18">
        <v>5</v>
      </c>
      <c r="E322" s="18">
        <v>0</v>
      </c>
      <c r="F322" s="18" t="s">
        <v>9</v>
      </c>
      <c r="G322" s="18">
        <v>28</v>
      </c>
      <c r="H322" s="22">
        <v>3.4962354551676933</v>
      </c>
      <c r="I322" s="22" t="s">
        <v>8</v>
      </c>
      <c r="J322" s="22" t="s">
        <v>8</v>
      </c>
      <c r="K322" s="22">
        <v>3.4770704996577688</v>
      </c>
      <c r="L322" s="22" t="s">
        <v>8</v>
      </c>
      <c r="M322" s="22" t="s">
        <v>8</v>
      </c>
      <c r="N322" s="22">
        <v>3.4058863791923342</v>
      </c>
      <c r="O322" s="22" t="s">
        <v>8</v>
      </c>
      <c r="P322" s="22" t="s">
        <v>8</v>
      </c>
      <c r="Q322" s="22" t="s">
        <v>8</v>
      </c>
      <c r="R322" s="22" t="s">
        <v>8</v>
      </c>
      <c r="S322" s="22" t="s">
        <v>8</v>
      </c>
      <c r="T322" s="30">
        <v>3</v>
      </c>
      <c r="U322" s="30">
        <v>13</v>
      </c>
      <c r="V322" s="20" t="s">
        <v>1</v>
      </c>
      <c r="W322" s="20">
        <v>5</v>
      </c>
      <c r="X322" s="20">
        <v>2</v>
      </c>
      <c r="Y322" s="5">
        <v>1</v>
      </c>
      <c r="Z322" s="24">
        <v>4</v>
      </c>
      <c r="AA322" s="23">
        <f t="shared" ref="AA322:AA338" si="15">IF(AND(ISNUMBER(AB322), ISNUMBER(AC322),ISNUMBER(AD322), ISNUMBER(AE322), ISNUMBER(AF322),ISNUMBER(AG322), ISNUMBER(AH322)), 1, IF(AND(AB322="NA", AC322="NA", AD322="na", AE322="na", AF322="na", AG322="na", AH322="na"), 3, 2))</f>
        <v>2</v>
      </c>
      <c r="AB322" s="15">
        <v>0.75</v>
      </c>
      <c r="AC322" s="15">
        <v>0.625</v>
      </c>
      <c r="AD322" s="15">
        <v>0.25</v>
      </c>
      <c r="AE322" s="15">
        <v>0.54200000000000004</v>
      </c>
      <c r="AF322" s="20">
        <v>13</v>
      </c>
      <c r="AG322" s="20" t="s">
        <v>8</v>
      </c>
      <c r="AH322" s="24">
        <v>24</v>
      </c>
      <c r="AI322" s="23">
        <f t="shared" ref="AI322:AI338" si="16">IF(AND(ISNUMBER(AJ322), ISNUMBER(AK322),ISNUMBER(AL322)), 1, IF(AND(AJ322="NA", AK322="NA", AL322="na"), 3, 2))</f>
        <v>1</v>
      </c>
      <c r="AJ322" s="17">
        <v>4.75</v>
      </c>
      <c r="AK322" s="17">
        <v>4.75</v>
      </c>
      <c r="AL322" s="14">
        <v>9.5</v>
      </c>
      <c r="AM322" s="23" cm="1">
        <f t="array" ref="AM322">IF(OR(AN322:AZ322=""),"BLANK",IF(AND(AN322:AZ322&lt;9999999),1,IF(AND(AN322:AZ322="NA"),3,2)))</f>
        <v>1</v>
      </c>
      <c r="AN322" s="20">
        <v>9</v>
      </c>
      <c r="AO322" s="26">
        <v>2</v>
      </c>
      <c r="AP322" s="15">
        <v>3</v>
      </c>
      <c r="AQ322" s="15">
        <v>4.5</v>
      </c>
      <c r="AR322" s="15">
        <v>7</v>
      </c>
      <c r="AS322" s="26">
        <v>2046</v>
      </c>
      <c r="AT322" s="26">
        <v>4506</v>
      </c>
      <c r="AU322" s="26">
        <v>5338.75</v>
      </c>
      <c r="AV322" s="26">
        <v>7523.75</v>
      </c>
      <c r="AW322" s="26">
        <v>0</v>
      </c>
      <c r="AX322" s="26">
        <v>0</v>
      </c>
      <c r="AY322" s="26">
        <v>0</v>
      </c>
      <c r="AZ322" s="26">
        <v>896.12083333329997</v>
      </c>
      <c r="BA322" s="23">
        <f t="shared" si="14"/>
        <v>1</v>
      </c>
      <c r="BB322" s="24">
        <v>20</v>
      </c>
    </row>
    <row r="323" spans="1:54" x14ac:dyDescent="0.2">
      <c r="A323" s="5">
        <v>4684</v>
      </c>
      <c r="B323" s="20" t="s">
        <v>70</v>
      </c>
      <c r="C323" s="18" t="s">
        <v>55</v>
      </c>
      <c r="D323" s="18">
        <v>5</v>
      </c>
      <c r="E323" s="18">
        <v>0</v>
      </c>
      <c r="F323" s="18" t="s">
        <v>9</v>
      </c>
      <c r="G323" s="18">
        <v>28</v>
      </c>
      <c r="H323" s="17">
        <v>3.4579055441478439</v>
      </c>
      <c r="I323" s="17">
        <v>3.1759069130732374</v>
      </c>
      <c r="J323" s="17">
        <v>6.6338124572210813</v>
      </c>
      <c r="K323" s="17">
        <v>3.4496919917864477</v>
      </c>
      <c r="L323" s="17">
        <v>3.1759069130732374</v>
      </c>
      <c r="M323" s="17">
        <v>6.6255989048596851</v>
      </c>
      <c r="N323" s="17">
        <v>3.3511293634496919</v>
      </c>
      <c r="O323" s="17" t="s">
        <v>8</v>
      </c>
      <c r="P323" s="17" t="s">
        <v>8</v>
      </c>
      <c r="Q323" s="17">
        <v>3.3949349760438055</v>
      </c>
      <c r="R323" s="17" t="s">
        <v>8</v>
      </c>
      <c r="S323" s="17" t="s">
        <v>8</v>
      </c>
      <c r="T323" s="30">
        <v>4</v>
      </c>
      <c r="U323" s="30">
        <v>16</v>
      </c>
      <c r="V323" s="20" t="s">
        <v>1</v>
      </c>
      <c r="W323" s="20">
        <v>5</v>
      </c>
      <c r="X323" s="20">
        <v>2</v>
      </c>
      <c r="Y323" s="5">
        <v>1</v>
      </c>
      <c r="Z323" s="24">
        <v>4</v>
      </c>
      <c r="AA323" s="23">
        <f t="shared" si="15"/>
        <v>1</v>
      </c>
      <c r="AB323" s="15">
        <v>1</v>
      </c>
      <c r="AC323" s="15">
        <v>0.875</v>
      </c>
      <c r="AD323" s="15">
        <v>0.375</v>
      </c>
      <c r="AE323" s="15">
        <v>0.75</v>
      </c>
      <c r="AF323" s="20">
        <v>18</v>
      </c>
      <c r="AG323" s="20">
        <v>9.6300000000000008</v>
      </c>
      <c r="AH323" s="24">
        <v>24</v>
      </c>
      <c r="AI323" s="23">
        <f t="shared" si="16"/>
        <v>1</v>
      </c>
      <c r="AJ323" s="17">
        <v>5.5</v>
      </c>
      <c r="AK323" s="17">
        <v>7.75</v>
      </c>
      <c r="AL323" s="14">
        <v>13.25</v>
      </c>
      <c r="AM323" s="23" cm="1">
        <f t="array" ref="AM323">IF(OR(AN323:AZ323=""),"BLANK",IF(AND(AN323:AZ323&lt;9999999),1,IF(AND(AN323:AZ323="NA"),3,2)))</f>
        <v>1</v>
      </c>
      <c r="AN323" s="20">
        <v>8</v>
      </c>
      <c r="AO323" s="26">
        <v>2</v>
      </c>
      <c r="AP323" s="15">
        <v>3</v>
      </c>
      <c r="AQ323" s="15">
        <v>4.75</v>
      </c>
      <c r="AR323" s="15">
        <v>7.25</v>
      </c>
      <c r="AS323" s="26">
        <v>0</v>
      </c>
      <c r="AT323" s="26">
        <v>799.5</v>
      </c>
      <c r="AU323" s="26">
        <v>4298</v>
      </c>
      <c r="AV323" s="26">
        <v>7992.75</v>
      </c>
      <c r="AW323" s="26">
        <v>0</v>
      </c>
      <c r="AX323" s="26">
        <v>438.1666666667</v>
      </c>
      <c r="AY323" s="26">
        <v>1432.8839285714</v>
      </c>
      <c r="AZ323" s="26">
        <v>1208.0388888888999</v>
      </c>
      <c r="BA323" s="23">
        <f t="shared" ref="BA323:BA338" si="17">IF(BB323="NA", 3,1)</f>
        <v>1</v>
      </c>
      <c r="BB323" s="24">
        <v>33</v>
      </c>
    </row>
    <row r="324" spans="1:54" x14ac:dyDescent="0.2">
      <c r="A324" s="5">
        <v>4691</v>
      </c>
      <c r="B324" s="20" t="s">
        <v>82</v>
      </c>
      <c r="C324" s="18" t="s">
        <v>55</v>
      </c>
      <c r="D324" s="18">
        <v>6</v>
      </c>
      <c r="E324" s="18">
        <v>1</v>
      </c>
      <c r="F324" s="18" t="s">
        <v>9</v>
      </c>
      <c r="G324" s="18">
        <v>25</v>
      </c>
      <c r="H324" s="22">
        <v>4.2108145106091719</v>
      </c>
      <c r="I324" s="22" t="s">
        <v>8</v>
      </c>
      <c r="J324" s="22" t="s">
        <v>8</v>
      </c>
      <c r="K324" s="22">
        <v>4.1971252566735116</v>
      </c>
      <c r="L324" s="22" t="s">
        <v>8</v>
      </c>
      <c r="M324" s="22" t="s">
        <v>8</v>
      </c>
      <c r="N324" s="22">
        <v>4.1368925393566052</v>
      </c>
      <c r="O324" s="22" t="s">
        <v>8</v>
      </c>
      <c r="P324" s="22" t="s">
        <v>8</v>
      </c>
      <c r="Q324" s="22">
        <v>4.1423682409308693</v>
      </c>
      <c r="R324" s="22" t="s">
        <v>8</v>
      </c>
      <c r="S324" s="22" t="s">
        <v>8</v>
      </c>
      <c r="T324" s="30">
        <v>3</v>
      </c>
      <c r="U324" s="30">
        <v>13</v>
      </c>
      <c r="V324" s="20" t="s">
        <v>1</v>
      </c>
      <c r="W324" s="20">
        <v>5</v>
      </c>
      <c r="X324" s="20">
        <v>2</v>
      </c>
      <c r="Y324" s="5">
        <v>1</v>
      </c>
      <c r="Z324" s="24">
        <v>4</v>
      </c>
      <c r="AA324" s="23">
        <f t="shared" si="15"/>
        <v>1</v>
      </c>
      <c r="AB324" s="15">
        <v>0.625</v>
      </c>
      <c r="AC324" s="15">
        <v>0.5</v>
      </c>
      <c r="AD324" s="15">
        <v>0.125</v>
      </c>
      <c r="AE324" s="15">
        <v>0.41699999999999998</v>
      </c>
      <c r="AF324" s="20">
        <v>10</v>
      </c>
      <c r="AG324" s="20">
        <v>4.83</v>
      </c>
      <c r="AH324" s="24">
        <v>24</v>
      </c>
      <c r="AI324" s="23">
        <f t="shared" si="16"/>
        <v>1</v>
      </c>
      <c r="AJ324" s="17">
        <v>4.75</v>
      </c>
      <c r="AK324" s="17">
        <v>3.25</v>
      </c>
      <c r="AL324" s="14">
        <v>8</v>
      </c>
      <c r="AM324" s="23" cm="1">
        <f t="array" ref="AM324">IF(OR(AN324:AZ324=""),"BLANK",IF(AND(AN324:AZ324&lt;9999999),1,IF(AND(AN324:AZ324="NA"),3,2)))</f>
        <v>1</v>
      </c>
      <c r="AN324" s="20">
        <v>7</v>
      </c>
      <c r="AO324" s="26">
        <v>2</v>
      </c>
      <c r="AP324" s="15">
        <v>5</v>
      </c>
      <c r="AQ324" s="15">
        <v>6.5</v>
      </c>
      <c r="AR324" s="15">
        <v>5.25</v>
      </c>
      <c r="AS324" s="26">
        <v>8749.5</v>
      </c>
      <c r="AT324" s="26">
        <v>44706.5</v>
      </c>
      <c r="AU324" s="26">
        <v>23432.25</v>
      </c>
      <c r="AV324" s="26">
        <v>19430.25</v>
      </c>
      <c r="AW324" s="26">
        <v>482.75</v>
      </c>
      <c r="AX324" s="26">
        <v>14972</v>
      </c>
      <c r="AY324" s="26">
        <v>3853.0208333332998</v>
      </c>
      <c r="AZ324" s="26">
        <v>2407.1916666666998</v>
      </c>
      <c r="BA324" s="23">
        <f t="shared" si="17"/>
        <v>1</v>
      </c>
      <c r="BB324" s="24">
        <v>27</v>
      </c>
    </row>
    <row r="325" spans="1:54" x14ac:dyDescent="0.2">
      <c r="A325" s="5">
        <v>4727</v>
      </c>
      <c r="B325" s="20" t="s">
        <v>64</v>
      </c>
      <c r="C325" s="18" t="s">
        <v>55</v>
      </c>
      <c r="D325" s="18">
        <v>5</v>
      </c>
      <c r="E325" s="18">
        <v>0</v>
      </c>
      <c r="F325" s="18" t="s">
        <v>9</v>
      </c>
      <c r="G325" s="18">
        <v>26</v>
      </c>
      <c r="H325" s="22">
        <v>3.3867214236824092</v>
      </c>
      <c r="I325" s="22" t="s">
        <v>8</v>
      </c>
      <c r="J325" s="22" t="s">
        <v>8</v>
      </c>
      <c r="K325" s="22">
        <v>3.3867214236824092</v>
      </c>
      <c r="L325" s="22" t="s">
        <v>8</v>
      </c>
      <c r="M325" s="22" t="s">
        <v>8</v>
      </c>
      <c r="N325" s="22" t="s">
        <v>8</v>
      </c>
      <c r="O325" s="22" t="s">
        <v>8</v>
      </c>
      <c r="P325" s="22" t="s">
        <v>8</v>
      </c>
      <c r="Q325" s="22" t="s">
        <v>8</v>
      </c>
      <c r="R325" s="22" t="s">
        <v>8</v>
      </c>
      <c r="S325" s="22" t="s">
        <v>8</v>
      </c>
      <c r="T325" s="30">
        <v>6</v>
      </c>
      <c r="U325" s="30">
        <v>18</v>
      </c>
      <c r="V325" s="20" t="s">
        <v>1</v>
      </c>
      <c r="W325" s="20">
        <v>5</v>
      </c>
      <c r="X325" s="20">
        <v>2</v>
      </c>
      <c r="Y325" s="5">
        <v>1</v>
      </c>
      <c r="Z325" s="24">
        <v>4</v>
      </c>
      <c r="AA325" s="23">
        <f t="shared" si="15"/>
        <v>1</v>
      </c>
      <c r="AB325" s="15">
        <v>1</v>
      </c>
      <c r="AC325" s="15">
        <v>1</v>
      </c>
      <c r="AD325" s="15">
        <v>0.5</v>
      </c>
      <c r="AE325" s="15">
        <v>0.83299999999999996</v>
      </c>
      <c r="AF325" s="20">
        <v>20</v>
      </c>
      <c r="AG325" s="20">
        <v>3.03</v>
      </c>
      <c r="AH325" s="24">
        <v>24</v>
      </c>
      <c r="AI325" s="23">
        <f t="shared" si="16"/>
        <v>1</v>
      </c>
      <c r="AJ325" s="17">
        <v>9</v>
      </c>
      <c r="AK325" s="17">
        <v>10.75</v>
      </c>
      <c r="AL325" s="14">
        <v>19.75</v>
      </c>
      <c r="AM325" s="23" cm="1">
        <f t="array" ref="AM325">IF(OR(AN325:AZ325=""),"BLANK",IF(AND(AN325:AZ325&lt;9999999),1,IF(AND(AN325:AZ325="NA"),3,2)))</f>
        <v>1</v>
      </c>
      <c r="AN325" s="20">
        <v>10</v>
      </c>
      <c r="AO325" s="26">
        <v>2</v>
      </c>
      <c r="AP325" s="15">
        <v>3</v>
      </c>
      <c r="AQ325" s="15">
        <v>4.25</v>
      </c>
      <c r="AR325" s="15">
        <v>5.25</v>
      </c>
      <c r="AS325" s="26">
        <v>3430</v>
      </c>
      <c r="AT325" s="26">
        <v>4477.5</v>
      </c>
      <c r="AU325" s="26">
        <v>12804.5</v>
      </c>
      <c r="AV325" s="26">
        <v>15973.25</v>
      </c>
      <c r="AW325" s="26">
        <v>0</v>
      </c>
      <c r="AX325" s="26">
        <v>0</v>
      </c>
      <c r="AY325" s="26">
        <v>0</v>
      </c>
      <c r="AZ325" s="26">
        <v>0</v>
      </c>
      <c r="BA325" s="23">
        <f t="shared" si="17"/>
        <v>1</v>
      </c>
      <c r="BB325" s="24">
        <v>37</v>
      </c>
    </row>
    <row r="326" spans="1:54" x14ac:dyDescent="0.2">
      <c r="A326" s="5">
        <v>4737</v>
      </c>
      <c r="B326" s="20" t="s">
        <v>78</v>
      </c>
      <c r="C326" s="18" t="s">
        <v>55</v>
      </c>
      <c r="D326" s="18">
        <v>5</v>
      </c>
      <c r="E326" s="18">
        <v>0</v>
      </c>
      <c r="F326" s="18" t="s">
        <v>9</v>
      </c>
      <c r="G326" s="18">
        <v>29</v>
      </c>
      <c r="H326" s="17">
        <v>3.4907597535934292</v>
      </c>
      <c r="I326" s="17" t="s">
        <v>8</v>
      </c>
      <c r="J326" s="17" t="s">
        <v>8</v>
      </c>
      <c r="K326" s="17">
        <v>3.4907597535934292</v>
      </c>
      <c r="L326" s="17" t="s">
        <v>8</v>
      </c>
      <c r="M326" s="17" t="s">
        <v>8</v>
      </c>
      <c r="N326" s="17">
        <v>3.485284052019165</v>
      </c>
      <c r="O326" s="17" t="s">
        <v>8</v>
      </c>
      <c r="P326" s="17" t="s">
        <v>8</v>
      </c>
      <c r="Q326" s="17">
        <v>3.5017111567419574</v>
      </c>
      <c r="R326" s="17" t="s">
        <v>8</v>
      </c>
      <c r="S326" s="17" t="s">
        <v>8</v>
      </c>
      <c r="T326" s="30">
        <v>4</v>
      </c>
      <c r="U326" s="30">
        <v>16</v>
      </c>
      <c r="V326" s="20" t="s">
        <v>1</v>
      </c>
      <c r="W326" s="20">
        <v>5</v>
      </c>
      <c r="X326" s="20">
        <v>2</v>
      </c>
      <c r="Y326" s="5">
        <v>1</v>
      </c>
      <c r="Z326" s="24">
        <v>4</v>
      </c>
      <c r="AA326" s="23">
        <f t="shared" si="15"/>
        <v>2</v>
      </c>
      <c r="AB326" s="15">
        <v>1</v>
      </c>
      <c r="AC326" s="15">
        <v>0.8571428571428571</v>
      </c>
      <c r="AD326" s="15">
        <v>0.66666666666666663</v>
      </c>
      <c r="AE326" s="15">
        <v>0.85699999999999998</v>
      </c>
      <c r="AF326" s="20">
        <v>18</v>
      </c>
      <c r="AG326" s="20" t="s">
        <v>8</v>
      </c>
      <c r="AH326" s="24">
        <v>21</v>
      </c>
      <c r="AI326" s="23">
        <f t="shared" si="16"/>
        <v>1</v>
      </c>
      <c r="AJ326" s="17">
        <v>8.75</v>
      </c>
      <c r="AK326" s="17">
        <v>11</v>
      </c>
      <c r="AL326" s="14">
        <v>19.75</v>
      </c>
      <c r="AM326" s="23" cm="1">
        <f t="array" ref="AM326">IF(OR(AN326:AZ326=""),"BLANK",IF(AND(AN326:AZ326&lt;9999999),1,IF(AND(AN326:AZ326="NA"),3,2)))</f>
        <v>1</v>
      </c>
      <c r="AN326" s="20">
        <v>8</v>
      </c>
      <c r="AO326" s="26">
        <v>2</v>
      </c>
      <c r="AP326" s="15">
        <v>3</v>
      </c>
      <c r="AQ326" s="15">
        <v>6.5</v>
      </c>
      <c r="AR326" s="15">
        <v>8</v>
      </c>
      <c r="AS326" s="26">
        <v>8662</v>
      </c>
      <c r="AT326" s="26">
        <v>5393</v>
      </c>
      <c r="AU326" s="26">
        <v>5371.5</v>
      </c>
      <c r="AV326" s="26">
        <v>11587.75</v>
      </c>
      <c r="AW326" s="26">
        <v>0</v>
      </c>
      <c r="AX326" s="26">
        <v>0</v>
      </c>
      <c r="AY326" s="26">
        <v>3251.9861111110999</v>
      </c>
      <c r="AZ326" s="26">
        <v>3760.8772727272999</v>
      </c>
      <c r="BA326" s="23">
        <f t="shared" si="17"/>
        <v>1</v>
      </c>
      <c r="BB326" s="24">
        <v>34</v>
      </c>
    </row>
    <row r="327" spans="1:54" x14ac:dyDescent="0.2">
      <c r="A327" s="5">
        <v>4743</v>
      </c>
      <c r="B327" s="20" t="s">
        <v>70</v>
      </c>
      <c r="C327" s="18" t="s">
        <v>54</v>
      </c>
      <c r="D327" s="18">
        <v>5</v>
      </c>
      <c r="E327" s="18">
        <v>0</v>
      </c>
      <c r="F327" s="18" t="s">
        <v>9</v>
      </c>
      <c r="G327" s="18">
        <v>29</v>
      </c>
      <c r="H327" s="22">
        <v>3.485284052019165</v>
      </c>
      <c r="I327" s="22" t="s">
        <v>8</v>
      </c>
      <c r="J327" s="22" t="s">
        <v>8</v>
      </c>
      <c r="K327" s="22">
        <v>3.5318275154004106</v>
      </c>
      <c r="L327" s="22" t="s">
        <v>8</v>
      </c>
      <c r="M327" s="22" t="s">
        <v>8</v>
      </c>
      <c r="N327" s="22">
        <v>3.4962354551676933</v>
      </c>
      <c r="O327" s="22" t="s">
        <v>8</v>
      </c>
      <c r="P327" s="22" t="s">
        <v>8</v>
      </c>
      <c r="Q327" s="22">
        <v>3.353867214236824</v>
      </c>
      <c r="R327" s="22" t="s">
        <v>8</v>
      </c>
      <c r="S327" s="22" t="s">
        <v>8</v>
      </c>
      <c r="T327" s="30">
        <v>3</v>
      </c>
      <c r="U327" s="30">
        <v>14</v>
      </c>
      <c r="V327" s="20" t="s">
        <v>1</v>
      </c>
      <c r="W327" s="20">
        <v>5</v>
      </c>
      <c r="X327" s="20">
        <v>2</v>
      </c>
      <c r="Y327" s="5">
        <v>1</v>
      </c>
      <c r="Z327" s="24">
        <v>4</v>
      </c>
      <c r="AA327" s="23">
        <f t="shared" si="15"/>
        <v>1</v>
      </c>
      <c r="AB327" s="15">
        <v>1</v>
      </c>
      <c r="AC327" s="15">
        <v>1</v>
      </c>
      <c r="AD327" s="15">
        <v>0.75</v>
      </c>
      <c r="AE327" s="15">
        <v>0.91700000000000004</v>
      </c>
      <c r="AF327" s="20">
        <v>22</v>
      </c>
      <c r="AG327" s="20">
        <v>4.95</v>
      </c>
      <c r="AH327" s="24">
        <v>24</v>
      </c>
      <c r="AI327" s="23">
        <f t="shared" si="16"/>
        <v>1</v>
      </c>
      <c r="AJ327" s="17">
        <v>9.75</v>
      </c>
      <c r="AK327" s="17">
        <v>12</v>
      </c>
      <c r="AL327" s="14">
        <v>21.75</v>
      </c>
      <c r="AM327" s="23" cm="1">
        <f t="array" ref="AM327">IF(OR(AN327:AZ327=""),"BLANK",IF(AND(AN327:AZ327&lt;9999999),1,IF(AND(AN327:AZ327="NA"),3,2)))</f>
        <v>1</v>
      </c>
      <c r="AN327" s="20">
        <v>10</v>
      </c>
      <c r="AO327" s="26">
        <v>2</v>
      </c>
      <c r="AP327" s="15">
        <v>3</v>
      </c>
      <c r="AQ327" s="15">
        <v>5</v>
      </c>
      <c r="AR327" s="15">
        <v>5.5</v>
      </c>
      <c r="AS327" s="26">
        <v>406.5</v>
      </c>
      <c r="AT327" s="26">
        <v>4142.5</v>
      </c>
      <c r="AU327" s="26">
        <v>8296</v>
      </c>
      <c r="AV327" s="26">
        <v>6962.25</v>
      </c>
      <c r="AW327" s="26">
        <v>0</v>
      </c>
      <c r="AX327" s="26">
        <v>0</v>
      </c>
      <c r="AY327" s="26">
        <v>371.3125</v>
      </c>
      <c r="AZ327" s="26">
        <v>0</v>
      </c>
      <c r="BA327" s="23">
        <f t="shared" si="17"/>
        <v>1</v>
      </c>
      <c r="BB327" s="24">
        <v>39</v>
      </c>
    </row>
    <row r="328" spans="1:54" x14ac:dyDescent="0.2">
      <c r="A328" s="5">
        <v>4749</v>
      </c>
      <c r="B328" s="20" t="s">
        <v>70</v>
      </c>
      <c r="C328" s="18" t="s">
        <v>54</v>
      </c>
      <c r="D328" s="18">
        <v>5</v>
      </c>
      <c r="E328" s="18">
        <v>0</v>
      </c>
      <c r="F328" s="18" t="s">
        <v>9</v>
      </c>
      <c r="G328" s="18">
        <v>30</v>
      </c>
      <c r="H328" s="17">
        <v>3.4579055441478439</v>
      </c>
      <c r="I328" s="17" t="s">
        <v>8</v>
      </c>
      <c r="J328" s="17" t="s">
        <v>8</v>
      </c>
      <c r="K328" s="17">
        <v>3.460643394934976</v>
      </c>
      <c r="L328" s="17" t="s">
        <v>8</v>
      </c>
      <c r="M328" s="17" t="s">
        <v>8</v>
      </c>
      <c r="N328" s="17">
        <v>3.4934976043805612</v>
      </c>
      <c r="O328" s="17" t="s">
        <v>8</v>
      </c>
      <c r="P328" s="17" t="s">
        <v>8</v>
      </c>
      <c r="Q328" s="17">
        <v>3.482546201232033</v>
      </c>
      <c r="R328" s="17" t="s">
        <v>8</v>
      </c>
      <c r="S328" s="17" t="s">
        <v>8</v>
      </c>
      <c r="T328" s="30">
        <v>3</v>
      </c>
      <c r="U328" s="30">
        <v>14</v>
      </c>
      <c r="V328" s="20" t="s">
        <v>1</v>
      </c>
      <c r="W328" s="20">
        <v>5</v>
      </c>
      <c r="X328" s="20">
        <v>2</v>
      </c>
      <c r="Y328" s="5">
        <v>1</v>
      </c>
      <c r="Z328" s="24">
        <v>4</v>
      </c>
      <c r="AA328" s="23">
        <f t="shared" si="15"/>
        <v>2</v>
      </c>
      <c r="AB328" s="15">
        <v>0.875</v>
      </c>
      <c r="AC328" s="15">
        <v>1</v>
      </c>
      <c r="AD328" s="15">
        <v>0.625</v>
      </c>
      <c r="AE328" s="15">
        <v>0.83299999999999996</v>
      </c>
      <c r="AF328" s="20">
        <v>20</v>
      </c>
      <c r="AG328" s="20" t="s">
        <v>8</v>
      </c>
      <c r="AH328" s="24">
        <v>24</v>
      </c>
      <c r="AI328" s="23">
        <f t="shared" si="16"/>
        <v>1</v>
      </c>
      <c r="AJ328" s="17">
        <v>8</v>
      </c>
      <c r="AK328" s="17">
        <v>10.75</v>
      </c>
      <c r="AL328" s="14">
        <v>18.75</v>
      </c>
      <c r="AM328" s="23" cm="1">
        <f t="array" ref="AM328">IF(OR(AN328:AZ328=""),"BLANK",IF(AND(AN328:AZ328&lt;9999999),1,IF(AND(AN328:AZ328="NA"),3,2)))</f>
        <v>1</v>
      </c>
      <c r="AN328" s="20">
        <v>7</v>
      </c>
      <c r="AO328" s="26">
        <v>2</v>
      </c>
      <c r="AP328" s="15">
        <v>3</v>
      </c>
      <c r="AQ328" s="15">
        <v>5.25</v>
      </c>
      <c r="AR328" s="15">
        <v>11</v>
      </c>
      <c r="AS328" s="26">
        <v>1854.5</v>
      </c>
      <c r="AT328" s="26">
        <v>5057.5</v>
      </c>
      <c r="AU328" s="26">
        <v>7449</v>
      </c>
      <c r="AV328" s="26">
        <v>9346.5</v>
      </c>
      <c r="AW328" s="26">
        <v>158.5</v>
      </c>
      <c r="AX328" s="26">
        <v>257</v>
      </c>
      <c r="AY328" s="26">
        <v>2678.6597222221999</v>
      </c>
      <c r="AZ328" s="26">
        <v>3574.40625</v>
      </c>
      <c r="BA328" s="23">
        <f t="shared" si="17"/>
        <v>1</v>
      </c>
      <c r="BB328" s="24">
        <v>35</v>
      </c>
    </row>
    <row r="329" spans="1:54" x14ac:dyDescent="0.2">
      <c r="A329" s="5">
        <v>4769</v>
      </c>
      <c r="B329" s="20" t="s">
        <v>70</v>
      </c>
      <c r="C329" s="18" t="s">
        <v>54</v>
      </c>
      <c r="D329" s="18">
        <v>5</v>
      </c>
      <c r="E329" s="18">
        <v>0</v>
      </c>
      <c r="F329" s="18" t="s">
        <v>9</v>
      </c>
      <c r="G329" s="18">
        <v>30</v>
      </c>
      <c r="H329" s="17">
        <v>3.4661190965092401</v>
      </c>
      <c r="I329" s="17">
        <v>3.2772073921971252</v>
      </c>
      <c r="J329" s="17">
        <v>6.7433264887063658</v>
      </c>
      <c r="K329" s="17">
        <v>3.4661190965092401</v>
      </c>
      <c r="L329" s="17">
        <v>3.2772073921971252</v>
      </c>
      <c r="M329" s="17">
        <v>6.7433264887063658</v>
      </c>
      <c r="N329" s="17">
        <v>3.4414784394250515</v>
      </c>
      <c r="O329" s="17">
        <v>3.1813826146475015</v>
      </c>
      <c r="P329" s="17">
        <v>6.622861054072553</v>
      </c>
      <c r="Q329" s="17">
        <v>3.2388774811772758</v>
      </c>
      <c r="R329" s="17" t="s">
        <v>8</v>
      </c>
      <c r="S329" s="17" t="s">
        <v>8</v>
      </c>
      <c r="T329" s="30">
        <v>3</v>
      </c>
      <c r="U329" s="30">
        <v>14</v>
      </c>
      <c r="V329" s="20" t="s">
        <v>1</v>
      </c>
      <c r="W329" s="20">
        <v>5</v>
      </c>
      <c r="X329" s="20">
        <v>2</v>
      </c>
      <c r="Y329" s="5">
        <v>1</v>
      </c>
      <c r="Z329" s="24">
        <v>4</v>
      </c>
      <c r="AA329" s="23">
        <f t="shared" si="15"/>
        <v>1</v>
      </c>
      <c r="AB329" s="15">
        <v>1</v>
      </c>
      <c r="AC329" s="15">
        <v>0.875</v>
      </c>
      <c r="AD329" s="15">
        <v>0.7142857142857143</v>
      </c>
      <c r="AE329" s="15">
        <v>0.87</v>
      </c>
      <c r="AF329" s="20">
        <v>20</v>
      </c>
      <c r="AG329" s="20">
        <v>9.25</v>
      </c>
      <c r="AH329" s="24">
        <v>23</v>
      </c>
      <c r="AI329" s="23">
        <f t="shared" si="16"/>
        <v>1</v>
      </c>
      <c r="AJ329" s="17">
        <v>9</v>
      </c>
      <c r="AK329" s="17">
        <v>11.5</v>
      </c>
      <c r="AL329" s="14">
        <v>20.5</v>
      </c>
      <c r="AM329" s="23" cm="1">
        <f t="array" ref="AM329">IF(OR(AN329:AZ329=""),"BLANK",IF(AND(AN329:AZ329&lt;9999999),1,IF(AND(AN329:AZ329="NA"),3,2)))</f>
        <v>1</v>
      </c>
      <c r="AN329" s="20">
        <v>6</v>
      </c>
      <c r="AO329" s="26">
        <v>2</v>
      </c>
      <c r="AP329" s="15">
        <v>3.5</v>
      </c>
      <c r="AQ329" s="15">
        <v>5.5</v>
      </c>
      <c r="AR329" s="15">
        <v>7.25</v>
      </c>
      <c r="AS329" s="26">
        <v>1907.5</v>
      </c>
      <c r="AT329" s="26">
        <v>4780</v>
      </c>
      <c r="AU329" s="26">
        <v>5458</v>
      </c>
      <c r="AV329" s="26">
        <v>7288.25</v>
      </c>
      <c r="AW329" s="26">
        <v>397.5</v>
      </c>
      <c r="AX329" s="26">
        <v>0</v>
      </c>
      <c r="AY329" s="26">
        <v>1311.9305555556</v>
      </c>
      <c r="AZ329" s="26">
        <v>694.98246753249998</v>
      </c>
      <c r="BA329" s="23">
        <f t="shared" si="17"/>
        <v>1</v>
      </c>
      <c r="BB329" s="24">
        <v>38</v>
      </c>
    </row>
    <row r="330" spans="1:54" x14ac:dyDescent="0.2">
      <c r="A330" s="5">
        <v>4788</v>
      </c>
      <c r="B330" s="20" t="s">
        <v>64</v>
      </c>
      <c r="C330" s="18" t="s">
        <v>54</v>
      </c>
      <c r="D330" s="18">
        <v>5</v>
      </c>
      <c r="E330" s="18">
        <v>1</v>
      </c>
      <c r="F330" s="18" t="s">
        <v>9</v>
      </c>
      <c r="G330" s="18">
        <v>28</v>
      </c>
      <c r="H330" s="22">
        <v>3.6741957563312799</v>
      </c>
      <c r="I330" s="22" t="s">
        <v>8</v>
      </c>
      <c r="J330" s="22" t="s">
        <v>8</v>
      </c>
      <c r="K330" s="22">
        <v>3.6632443531827517</v>
      </c>
      <c r="L330" s="22" t="s">
        <v>8</v>
      </c>
      <c r="M330" s="22" t="s">
        <v>8</v>
      </c>
      <c r="N330" s="22">
        <v>3.4715947980835042</v>
      </c>
      <c r="O330" s="22" t="s">
        <v>8</v>
      </c>
      <c r="P330" s="22" t="s">
        <v>8</v>
      </c>
      <c r="Q330" s="22">
        <v>3.4140999315537304</v>
      </c>
      <c r="R330" s="22" t="s">
        <v>8</v>
      </c>
      <c r="S330" s="22" t="s">
        <v>8</v>
      </c>
      <c r="T330" s="30" t="s">
        <v>8</v>
      </c>
      <c r="U330" s="30" t="s">
        <v>8</v>
      </c>
      <c r="V330" s="20" t="s">
        <v>1</v>
      </c>
      <c r="W330" s="20">
        <v>5</v>
      </c>
      <c r="X330" s="20">
        <v>2</v>
      </c>
      <c r="Y330" s="5">
        <v>1</v>
      </c>
      <c r="Z330" s="24">
        <v>4</v>
      </c>
      <c r="AA330" s="23">
        <f t="shared" si="15"/>
        <v>1</v>
      </c>
      <c r="AB330" s="15">
        <v>0.875</v>
      </c>
      <c r="AC330" s="15">
        <v>0.625</v>
      </c>
      <c r="AD330" s="15">
        <v>0.375</v>
      </c>
      <c r="AE330" s="15">
        <v>0.625</v>
      </c>
      <c r="AF330" s="20">
        <v>15</v>
      </c>
      <c r="AG330" s="20">
        <v>6.47</v>
      </c>
      <c r="AH330" s="24">
        <v>24</v>
      </c>
      <c r="AI330" s="23">
        <f t="shared" si="16"/>
        <v>1</v>
      </c>
      <c r="AJ330" s="17">
        <v>8.75</v>
      </c>
      <c r="AK330" s="17">
        <v>6.25</v>
      </c>
      <c r="AL330" s="14">
        <v>15</v>
      </c>
      <c r="AM330" s="23" cm="1">
        <f t="array" ref="AM330">IF(OR(AN330:AZ330=""),"BLANK",IF(AND(AN330:AZ330&lt;9999999),1,IF(AND(AN330:AZ330="NA"),3,2)))</f>
        <v>1</v>
      </c>
      <c r="AN330" s="20">
        <v>9</v>
      </c>
      <c r="AO330" s="26">
        <v>2</v>
      </c>
      <c r="AP330" s="15">
        <v>3</v>
      </c>
      <c r="AQ330" s="15">
        <v>5.25</v>
      </c>
      <c r="AR330" s="15">
        <v>7</v>
      </c>
      <c r="AS330" s="26">
        <v>2191</v>
      </c>
      <c r="AT330" s="26">
        <v>2685.5</v>
      </c>
      <c r="AU330" s="26">
        <v>4811</v>
      </c>
      <c r="AV330" s="26">
        <v>10693</v>
      </c>
      <c r="AW330" s="26">
        <v>2676</v>
      </c>
      <c r="AX330" s="26">
        <v>0</v>
      </c>
      <c r="AY330" s="26">
        <v>1663.3194444444</v>
      </c>
      <c r="AZ330" s="26">
        <v>3654.5629870130001</v>
      </c>
      <c r="BA330" s="23">
        <f t="shared" si="17"/>
        <v>1</v>
      </c>
      <c r="BB330" s="24">
        <v>34</v>
      </c>
    </row>
    <row r="331" spans="1:54" x14ac:dyDescent="0.2">
      <c r="A331" s="5">
        <v>4795</v>
      </c>
      <c r="B331" s="20" t="s">
        <v>70</v>
      </c>
      <c r="C331" s="18" t="s">
        <v>54</v>
      </c>
      <c r="D331" s="18">
        <v>5</v>
      </c>
      <c r="E331" s="18">
        <v>0</v>
      </c>
      <c r="F331" s="18" t="s">
        <v>9</v>
      </c>
      <c r="G331" s="18">
        <v>29</v>
      </c>
      <c r="H331" s="22">
        <v>3.2197125256673513</v>
      </c>
      <c r="I331" s="22">
        <v>3.0800821355236141</v>
      </c>
      <c r="J331" s="22">
        <v>6.2997946611909654</v>
      </c>
      <c r="K331" s="22">
        <v>3.2197125256673513</v>
      </c>
      <c r="L331" s="22">
        <v>3.1129363449691994</v>
      </c>
      <c r="M331" s="22">
        <v>6.3326488706365502</v>
      </c>
      <c r="N331" s="22">
        <v>3.2963723477070501</v>
      </c>
      <c r="O331" s="22">
        <v>2.9514031485284051</v>
      </c>
      <c r="P331" s="22">
        <v>6.2477754962354553</v>
      </c>
      <c r="Q331" s="22">
        <v>3.5263518138261465</v>
      </c>
      <c r="R331" s="22" t="s">
        <v>8</v>
      </c>
      <c r="S331" s="22" t="s">
        <v>8</v>
      </c>
      <c r="T331" s="30" t="s">
        <v>8</v>
      </c>
      <c r="U331" s="30" t="s">
        <v>8</v>
      </c>
      <c r="V331" s="20" t="s">
        <v>1</v>
      </c>
      <c r="W331" s="20">
        <v>5</v>
      </c>
      <c r="X331" s="20">
        <v>2</v>
      </c>
      <c r="Y331" s="5">
        <v>1</v>
      </c>
      <c r="Z331" s="24">
        <v>4</v>
      </c>
      <c r="AA331" s="23">
        <f t="shared" si="15"/>
        <v>1</v>
      </c>
      <c r="AB331" s="15">
        <v>1</v>
      </c>
      <c r="AC331" s="15">
        <v>0.75</v>
      </c>
      <c r="AD331" s="15">
        <v>0.375</v>
      </c>
      <c r="AE331" s="15">
        <v>0.70799999999999996</v>
      </c>
      <c r="AF331" s="20">
        <v>17</v>
      </c>
      <c r="AG331" s="20">
        <v>8.9499999999999993</v>
      </c>
      <c r="AH331" s="24">
        <v>24</v>
      </c>
      <c r="AI331" s="23">
        <f t="shared" si="16"/>
        <v>1</v>
      </c>
      <c r="AJ331" s="17">
        <v>10</v>
      </c>
      <c r="AK331" s="17">
        <v>8.75</v>
      </c>
      <c r="AL331" s="14">
        <v>18.75</v>
      </c>
      <c r="AM331" s="23" cm="1">
        <f t="array" ref="AM331">IF(OR(AN331:AZ331=""),"BLANK",IF(AND(AN331:AZ331&lt;9999999),1,IF(AND(AN331:AZ331="NA"),3,2)))</f>
        <v>1</v>
      </c>
      <c r="AN331" s="20">
        <v>7</v>
      </c>
      <c r="AO331" s="26">
        <v>2</v>
      </c>
      <c r="AP331" s="15">
        <v>3.5</v>
      </c>
      <c r="AQ331" s="15">
        <v>7.5</v>
      </c>
      <c r="AR331" s="15">
        <v>6.75</v>
      </c>
      <c r="AS331" s="26">
        <v>3874.5</v>
      </c>
      <c r="AT331" s="26">
        <v>6347.5</v>
      </c>
      <c r="AU331" s="26">
        <v>9994.5</v>
      </c>
      <c r="AV331" s="26">
        <v>14647.75</v>
      </c>
      <c r="AW331" s="26">
        <v>0</v>
      </c>
      <c r="AX331" s="26">
        <v>1277.3333333333001</v>
      </c>
      <c r="AY331" s="26">
        <v>3706.5972222221999</v>
      </c>
      <c r="AZ331" s="26">
        <v>1872.4041666666999</v>
      </c>
      <c r="BA331" s="23">
        <f t="shared" si="17"/>
        <v>1</v>
      </c>
      <c r="BB331" s="24">
        <v>37</v>
      </c>
    </row>
    <row r="332" spans="1:54" x14ac:dyDescent="0.2">
      <c r="A332" s="5">
        <v>4800</v>
      </c>
      <c r="B332" s="20" t="s">
        <v>78</v>
      </c>
      <c r="C332" s="18" t="s">
        <v>54</v>
      </c>
      <c r="D332" s="18">
        <v>5</v>
      </c>
      <c r="E332" s="18">
        <v>0</v>
      </c>
      <c r="F332" s="18" t="s">
        <v>9</v>
      </c>
      <c r="G332" s="18" t="s">
        <v>8</v>
      </c>
      <c r="H332" s="22">
        <v>3.5674195756331279</v>
      </c>
      <c r="I332" s="22" t="s">
        <v>8</v>
      </c>
      <c r="J332" s="22" t="s">
        <v>8</v>
      </c>
      <c r="K332" s="22">
        <v>3.5674195756331279</v>
      </c>
      <c r="L332" s="22" t="s">
        <v>8</v>
      </c>
      <c r="M332" s="22" t="s">
        <v>8</v>
      </c>
      <c r="N332" s="22">
        <v>3.4743326488706368</v>
      </c>
      <c r="O332" s="22" t="s">
        <v>8</v>
      </c>
      <c r="P332" s="22" t="s">
        <v>8</v>
      </c>
      <c r="Q332" s="22">
        <v>3.8028747433264889</v>
      </c>
      <c r="R332" s="22" t="s">
        <v>8</v>
      </c>
      <c r="S332" s="22" t="s">
        <v>8</v>
      </c>
      <c r="T332" s="30">
        <v>4</v>
      </c>
      <c r="U332" s="30">
        <v>16</v>
      </c>
      <c r="V332" s="20" t="s">
        <v>1</v>
      </c>
      <c r="W332" s="20">
        <v>5</v>
      </c>
      <c r="X332" s="20">
        <v>2</v>
      </c>
      <c r="Y332" s="5">
        <v>1</v>
      </c>
      <c r="Z332" s="24">
        <v>4</v>
      </c>
      <c r="AA332" s="23">
        <f t="shared" si="15"/>
        <v>3</v>
      </c>
      <c r="AB332" s="15" t="s">
        <v>8</v>
      </c>
      <c r="AC332" s="15" t="s">
        <v>8</v>
      </c>
      <c r="AD332" s="15" t="s">
        <v>8</v>
      </c>
      <c r="AE332" s="15" t="s">
        <v>8</v>
      </c>
      <c r="AF332" s="20" t="s">
        <v>8</v>
      </c>
      <c r="AG332" s="20" t="s">
        <v>8</v>
      </c>
      <c r="AH332" s="24" t="s">
        <v>8</v>
      </c>
      <c r="AI332" s="23">
        <f t="shared" si="16"/>
        <v>3</v>
      </c>
      <c r="AJ332" s="17" t="s">
        <v>8</v>
      </c>
      <c r="AK332" s="17" t="s">
        <v>8</v>
      </c>
      <c r="AL332" s="14" t="s">
        <v>8</v>
      </c>
      <c r="AM332" s="23" cm="1">
        <f t="array" ref="AM332">IF(OR(AN332:AZ332=""),"BLANK",IF(AND(AN332:AZ332&lt;9999999),1,IF(AND(AN332:AZ332="NA"),3,2)))</f>
        <v>1</v>
      </c>
      <c r="AN332" s="20">
        <v>11</v>
      </c>
      <c r="AO332" s="26">
        <v>2</v>
      </c>
      <c r="AP332" s="15">
        <v>3</v>
      </c>
      <c r="AQ332" s="15">
        <v>4.25</v>
      </c>
      <c r="AR332" s="15">
        <v>5</v>
      </c>
      <c r="AS332" s="26">
        <v>3315.5</v>
      </c>
      <c r="AT332" s="26">
        <v>5008</v>
      </c>
      <c r="AU332" s="26">
        <v>9403</v>
      </c>
      <c r="AV332" s="26">
        <v>13567.75</v>
      </c>
      <c r="AW332" s="26">
        <v>0</v>
      </c>
      <c r="AX332" s="26">
        <v>0</v>
      </c>
      <c r="AY332" s="26">
        <v>0</v>
      </c>
      <c r="AZ332" s="26">
        <v>0</v>
      </c>
      <c r="BA332" s="23">
        <f t="shared" si="17"/>
        <v>1</v>
      </c>
      <c r="BB332" s="24">
        <v>40</v>
      </c>
    </row>
    <row r="333" spans="1:54" x14ac:dyDescent="0.2">
      <c r="A333" s="5">
        <v>4805</v>
      </c>
      <c r="B333" s="20" t="s">
        <v>74</v>
      </c>
      <c r="C333" s="18" t="s">
        <v>54</v>
      </c>
      <c r="D333" s="18">
        <v>5</v>
      </c>
      <c r="E333" s="18">
        <v>0</v>
      </c>
      <c r="F333" s="18" t="s">
        <v>9</v>
      </c>
      <c r="G333" s="18" t="s">
        <v>8</v>
      </c>
      <c r="H333" s="22">
        <v>3.676933607118412</v>
      </c>
      <c r="I333" s="22" t="s">
        <v>8</v>
      </c>
      <c r="J333" s="22" t="s">
        <v>8</v>
      </c>
      <c r="K333" s="22" t="s">
        <v>8</v>
      </c>
      <c r="L333" s="22" t="s">
        <v>8</v>
      </c>
      <c r="M333" s="22" t="s">
        <v>8</v>
      </c>
      <c r="N333" s="22" t="s">
        <v>8</v>
      </c>
      <c r="O333" s="22" t="s">
        <v>8</v>
      </c>
      <c r="P333" s="22" t="s">
        <v>8</v>
      </c>
      <c r="Q333" s="22">
        <v>3.5811088295687883</v>
      </c>
      <c r="R333" s="22" t="s">
        <v>8</v>
      </c>
      <c r="S333" s="22" t="s">
        <v>8</v>
      </c>
      <c r="T333" s="30" t="s">
        <v>8</v>
      </c>
      <c r="U333" s="30" t="s">
        <v>8</v>
      </c>
      <c r="V333" s="20" t="s">
        <v>1</v>
      </c>
      <c r="W333" s="20">
        <v>5</v>
      </c>
      <c r="X333" s="20">
        <v>2</v>
      </c>
      <c r="Y333" s="5">
        <v>1</v>
      </c>
      <c r="Z333" s="24">
        <v>4</v>
      </c>
      <c r="AA333" s="23">
        <f t="shared" si="15"/>
        <v>3</v>
      </c>
      <c r="AB333" s="15" t="s">
        <v>8</v>
      </c>
      <c r="AC333" s="15" t="s">
        <v>8</v>
      </c>
      <c r="AD333" s="15" t="s">
        <v>8</v>
      </c>
      <c r="AE333" s="15" t="s">
        <v>8</v>
      </c>
      <c r="AF333" s="20" t="s">
        <v>8</v>
      </c>
      <c r="AG333" s="20" t="s">
        <v>8</v>
      </c>
      <c r="AH333" s="24" t="s">
        <v>8</v>
      </c>
      <c r="AI333" s="23">
        <f t="shared" si="16"/>
        <v>3</v>
      </c>
      <c r="AJ333" s="17" t="s">
        <v>8</v>
      </c>
      <c r="AK333" s="17" t="s">
        <v>8</v>
      </c>
      <c r="AL333" s="14" t="s">
        <v>8</v>
      </c>
      <c r="AM333" s="23" cm="1">
        <f t="array" ref="AM333">IF(OR(AN333:AZ333=""),"BLANK",IF(AND(AN333:AZ333&lt;9999999),1,IF(AND(AN333:AZ333="NA"),3,2)))</f>
        <v>1</v>
      </c>
      <c r="AN333" s="20">
        <v>11</v>
      </c>
      <c r="AO333" s="26">
        <v>2</v>
      </c>
      <c r="AP333" s="15">
        <v>3</v>
      </c>
      <c r="AQ333" s="15">
        <v>4.25</v>
      </c>
      <c r="AR333" s="15">
        <v>5</v>
      </c>
      <c r="AS333" s="26">
        <v>1431.5</v>
      </c>
      <c r="AT333" s="26">
        <v>4368.5</v>
      </c>
      <c r="AU333" s="26">
        <v>9353.5</v>
      </c>
      <c r="AV333" s="26">
        <v>11578.5</v>
      </c>
      <c r="AW333" s="26">
        <v>527.5</v>
      </c>
      <c r="AX333" s="26">
        <v>0</v>
      </c>
      <c r="AY333" s="26">
        <v>0</v>
      </c>
      <c r="AZ333" s="26">
        <v>0</v>
      </c>
      <c r="BA333" s="23">
        <f t="shared" si="17"/>
        <v>3</v>
      </c>
      <c r="BB333" s="24" t="s">
        <v>8</v>
      </c>
    </row>
    <row r="334" spans="1:54" x14ac:dyDescent="0.2">
      <c r="A334" s="5">
        <v>4841</v>
      </c>
      <c r="B334" s="20" t="s">
        <v>64</v>
      </c>
      <c r="C334" s="18" t="s">
        <v>54</v>
      </c>
      <c r="D334" s="18">
        <v>5</v>
      </c>
      <c r="E334" s="18">
        <v>0</v>
      </c>
      <c r="F334" s="18" t="s">
        <v>9</v>
      </c>
      <c r="G334" s="18">
        <v>29</v>
      </c>
      <c r="H334" s="22">
        <v>3.5427789185489389</v>
      </c>
      <c r="I334" s="22" t="s">
        <v>8</v>
      </c>
      <c r="J334" s="22" t="s">
        <v>8</v>
      </c>
      <c r="K334" s="22">
        <v>3.5427789185489389</v>
      </c>
      <c r="L334" s="22" t="s">
        <v>8</v>
      </c>
      <c r="M334" s="22" t="s">
        <v>8</v>
      </c>
      <c r="N334" s="22">
        <v>3.5126625598904861</v>
      </c>
      <c r="O334" s="22" t="s">
        <v>8</v>
      </c>
      <c r="P334" s="22" t="s">
        <v>8</v>
      </c>
      <c r="Q334" s="22" t="s">
        <v>8</v>
      </c>
      <c r="R334" s="22" t="s">
        <v>8</v>
      </c>
      <c r="S334" s="22" t="s">
        <v>8</v>
      </c>
      <c r="T334" s="30">
        <v>3</v>
      </c>
      <c r="U334" s="30">
        <v>14</v>
      </c>
      <c r="V334" s="20" t="s">
        <v>1</v>
      </c>
      <c r="W334" s="20">
        <v>5</v>
      </c>
      <c r="X334" s="20">
        <v>2</v>
      </c>
      <c r="Y334" s="5">
        <v>1</v>
      </c>
      <c r="Z334" s="24">
        <v>4</v>
      </c>
      <c r="AA334" s="23">
        <f t="shared" si="15"/>
        <v>1</v>
      </c>
      <c r="AB334" s="15">
        <v>1</v>
      </c>
      <c r="AC334" s="15">
        <v>0.875</v>
      </c>
      <c r="AD334" s="15">
        <v>0.625</v>
      </c>
      <c r="AE334" s="15">
        <v>0.83299999999999996</v>
      </c>
      <c r="AF334" s="20">
        <v>20</v>
      </c>
      <c r="AG334" s="20">
        <v>5.85</v>
      </c>
      <c r="AH334" s="24">
        <v>24</v>
      </c>
      <c r="AI334" s="23">
        <f t="shared" si="16"/>
        <v>1</v>
      </c>
      <c r="AJ334" s="17">
        <v>9.75</v>
      </c>
      <c r="AK334" s="17">
        <v>11.75</v>
      </c>
      <c r="AL334" s="14">
        <v>21.5</v>
      </c>
      <c r="AM334" s="23" cm="1">
        <f t="array" ref="AM334">IF(OR(AN334:AZ334=""),"BLANK",IF(AND(AN334:AZ334&lt;9999999),1,IF(AND(AN334:AZ334="NA"),3,2)))</f>
        <v>1</v>
      </c>
      <c r="AN334" s="20">
        <v>7</v>
      </c>
      <c r="AO334" s="26">
        <v>2</v>
      </c>
      <c r="AP334" s="15">
        <v>3.5</v>
      </c>
      <c r="AQ334" s="15">
        <v>5.5</v>
      </c>
      <c r="AR334" s="15">
        <v>7</v>
      </c>
      <c r="AS334" s="26">
        <v>834</v>
      </c>
      <c r="AT334" s="26">
        <v>7461</v>
      </c>
      <c r="AU334" s="26">
        <v>2962.75</v>
      </c>
      <c r="AV334" s="26">
        <v>11619.25</v>
      </c>
      <c r="AW334" s="26">
        <v>684</v>
      </c>
      <c r="AX334" s="26">
        <v>0</v>
      </c>
      <c r="AY334" s="26">
        <v>4572.9624999999996</v>
      </c>
      <c r="AZ334" s="26">
        <v>2966.1208333333002</v>
      </c>
      <c r="BA334" s="23">
        <f t="shared" si="17"/>
        <v>1</v>
      </c>
      <c r="BB334" s="24">
        <v>31</v>
      </c>
    </row>
    <row r="335" spans="1:54" x14ac:dyDescent="0.2">
      <c r="A335" s="5">
        <v>4847</v>
      </c>
      <c r="B335" s="20" t="s">
        <v>63</v>
      </c>
      <c r="C335" s="18" t="s">
        <v>54</v>
      </c>
      <c r="D335" s="18">
        <v>5</v>
      </c>
      <c r="E335" s="18">
        <v>0</v>
      </c>
      <c r="F335" s="18" t="s">
        <v>9</v>
      </c>
      <c r="G335" s="18">
        <v>29</v>
      </c>
      <c r="H335" s="22">
        <v>3.1649555099247091</v>
      </c>
      <c r="I335" s="22">
        <v>2.9815195071868583</v>
      </c>
      <c r="J335" s="22">
        <v>6.1464750171115679</v>
      </c>
      <c r="K335" s="17">
        <v>3.1676933607118412</v>
      </c>
      <c r="L335" s="17" t="s">
        <v>8</v>
      </c>
      <c r="M335" s="17" t="s">
        <v>8</v>
      </c>
      <c r="N335" s="17">
        <v>3.1813826146475015</v>
      </c>
      <c r="O335" s="17">
        <v>2.967830253251198</v>
      </c>
      <c r="P335" s="17">
        <v>6.1492128678986999</v>
      </c>
      <c r="Q335" s="17">
        <v>2.7980835044490076</v>
      </c>
      <c r="R335" s="17" t="s">
        <v>8</v>
      </c>
      <c r="S335" s="17" t="s">
        <v>8</v>
      </c>
      <c r="T335" s="30">
        <v>6</v>
      </c>
      <c r="U335" s="30">
        <v>18</v>
      </c>
      <c r="V335" s="20" t="s">
        <v>1</v>
      </c>
      <c r="W335" s="20">
        <v>5</v>
      </c>
      <c r="X335" s="20">
        <v>2</v>
      </c>
      <c r="Y335" s="5">
        <v>1</v>
      </c>
      <c r="Z335" s="24">
        <v>4</v>
      </c>
      <c r="AA335" s="23">
        <f t="shared" si="15"/>
        <v>1</v>
      </c>
      <c r="AB335" s="15">
        <v>1</v>
      </c>
      <c r="AC335" s="15">
        <v>0.875</v>
      </c>
      <c r="AD335" s="15">
        <v>0.75</v>
      </c>
      <c r="AE335" s="15">
        <v>0.875</v>
      </c>
      <c r="AF335" s="20">
        <v>21</v>
      </c>
      <c r="AG335" s="20">
        <v>3.37</v>
      </c>
      <c r="AH335" s="24">
        <v>24</v>
      </c>
      <c r="AI335" s="23">
        <f t="shared" si="16"/>
        <v>1</v>
      </c>
      <c r="AJ335" s="17">
        <v>8</v>
      </c>
      <c r="AK335" s="17">
        <v>9.75</v>
      </c>
      <c r="AL335" s="14">
        <v>17.75</v>
      </c>
      <c r="AM335" s="23" cm="1">
        <f t="array" ref="AM335">IF(OR(AN335:AZ335=""),"BLANK",IF(AND(AN335:AZ335&lt;9999999),1,IF(AND(AN335:AZ335="NA"),3,2)))</f>
        <v>1</v>
      </c>
      <c r="AN335" s="20">
        <v>9</v>
      </c>
      <c r="AO335" s="26">
        <v>2</v>
      </c>
      <c r="AP335" s="15">
        <v>3</v>
      </c>
      <c r="AQ335" s="15">
        <v>5.75</v>
      </c>
      <c r="AR335" s="15">
        <v>5.25</v>
      </c>
      <c r="AS335" s="26">
        <v>1892</v>
      </c>
      <c r="AT335" s="26">
        <v>7618</v>
      </c>
      <c r="AU335" s="26">
        <v>11740.5</v>
      </c>
      <c r="AV335" s="26">
        <v>11507</v>
      </c>
      <c r="AW335" s="26">
        <v>0</v>
      </c>
      <c r="AX335" s="26">
        <v>0</v>
      </c>
      <c r="AY335" s="26">
        <v>1341.7222222221999</v>
      </c>
      <c r="AZ335" s="26">
        <v>657.65833333329999</v>
      </c>
      <c r="BA335" s="23">
        <f t="shared" si="17"/>
        <v>1</v>
      </c>
      <c r="BB335" s="24">
        <v>39</v>
      </c>
    </row>
    <row r="336" spans="1:54" x14ac:dyDescent="0.2">
      <c r="A336" s="5">
        <v>4868</v>
      </c>
      <c r="B336" s="20" t="s">
        <v>74</v>
      </c>
      <c r="C336" s="18" t="s">
        <v>54</v>
      </c>
      <c r="D336" s="18">
        <v>5</v>
      </c>
      <c r="E336" s="18">
        <v>0</v>
      </c>
      <c r="F336" s="18" t="s">
        <v>9</v>
      </c>
      <c r="G336" s="18">
        <v>28</v>
      </c>
      <c r="H336" s="17">
        <v>3.1567419575633129</v>
      </c>
      <c r="I336" s="17">
        <v>2.9212867898699519</v>
      </c>
      <c r="J336" s="17">
        <v>6.0780287474332653</v>
      </c>
      <c r="K336" s="17">
        <v>3.159479808350445</v>
      </c>
      <c r="L336" s="17">
        <v>2.9596167008898013</v>
      </c>
      <c r="M336" s="17">
        <v>6.1190965092402463</v>
      </c>
      <c r="N336" s="17">
        <v>3.0855578370978782</v>
      </c>
      <c r="O336" s="17">
        <v>2.97056810403833</v>
      </c>
      <c r="P336" s="17">
        <v>6.0561259411362078</v>
      </c>
      <c r="Q336" s="17">
        <v>2.8336755646817249</v>
      </c>
      <c r="R336" s="17" t="s">
        <v>8</v>
      </c>
      <c r="S336" s="17" t="s">
        <v>8</v>
      </c>
      <c r="T336" s="30">
        <v>3</v>
      </c>
      <c r="U336" s="30">
        <v>14</v>
      </c>
      <c r="V336" s="20" t="s">
        <v>1</v>
      </c>
      <c r="W336" s="20">
        <v>5</v>
      </c>
      <c r="X336" s="20">
        <v>2</v>
      </c>
      <c r="Y336" s="5">
        <v>1</v>
      </c>
      <c r="Z336" s="24">
        <v>4</v>
      </c>
      <c r="AA336" s="23">
        <f t="shared" si="15"/>
        <v>1</v>
      </c>
      <c r="AB336" s="15">
        <v>0.875</v>
      </c>
      <c r="AC336" s="15">
        <v>0.625</v>
      </c>
      <c r="AD336" s="15">
        <v>0.625</v>
      </c>
      <c r="AE336" s="15">
        <v>0.70799999999999996</v>
      </c>
      <c r="AF336" s="20">
        <v>17</v>
      </c>
      <c r="AG336" s="20">
        <v>8.17</v>
      </c>
      <c r="AH336" s="24">
        <v>24</v>
      </c>
      <c r="AI336" s="23">
        <f t="shared" si="16"/>
        <v>1</v>
      </c>
      <c r="AJ336" s="17">
        <v>7.25</v>
      </c>
      <c r="AK336" s="17">
        <v>6.25</v>
      </c>
      <c r="AL336" s="14">
        <v>13.5</v>
      </c>
      <c r="AM336" s="23" cm="1">
        <f t="array" ref="AM336">IF(OR(AN336:AZ336=""),"BLANK",IF(AND(AN336:AZ336&lt;9999999),1,IF(AND(AN336:AZ336="NA"),3,2)))</f>
        <v>1</v>
      </c>
      <c r="AN336" s="20">
        <v>9</v>
      </c>
      <c r="AO336" s="26">
        <v>2</v>
      </c>
      <c r="AP336" s="15">
        <v>3</v>
      </c>
      <c r="AQ336" s="15">
        <v>4.5</v>
      </c>
      <c r="AR336" s="15">
        <v>7.25</v>
      </c>
      <c r="AS336" s="26">
        <v>1780</v>
      </c>
      <c r="AT336" s="26">
        <v>2463</v>
      </c>
      <c r="AU336" s="26">
        <v>4881.75</v>
      </c>
      <c r="AV336" s="26">
        <v>4287.5</v>
      </c>
      <c r="AW336" s="26">
        <v>379.25</v>
      </c>
      <c r="AX336" s="26">
        <v>176.5</v>
      </c>
      <c r="AY336" s="26">
        <v>707.39583333329995</v>
      </c>
      <c r="AZ336" s="26">
        <v>625.83571428569996</v>
      </c>
      <c r="BA336" s="23">
        <f t="shared" si="17"/>
        <v>1</v>
      </c>
      <c r="BB336" s="24">
        <v>33</v>
      </c>
    </row>
    <row r="337" spans="1:54" x14ac:dyDescent="0.2">
      <c r="A337" s="5">
        <v>4869</v>
      </c>
      <c r="B337" s="20" t="s">
        <v>82</v>
      </c>
      <c r="C337" s="18" t="s">
        <v>55</v>
      </c>
      <c r="D337" s="18">
        <v>5</v>
      </c>
      <c r="E337" s="18">
        <v>0</v>
      </c>
      <c r="F337" s="18" t="s">
        <v>9</v>
      </c>
      <c r="G337" s="18">
        <v>25</v>
      </c>
      <c r="H337" s="17">
        <v>3.2525667351129361</v>
      </c>
      <c r="I337" s="17">
        <v>2.8583162217659139</v>
      </c>
      <c r="J337" s="17">
        <v>6.1108829568788501</v>
      </c>
      <c r="K337" s="17">
        <v>3.2525667351129361</v>
      </c>
      <c r="L337" s="17">
        <v>2.8583162217659139</v>
      </c>
      <c r="M337" s="17">
        <v>6.1108829568788501</v>
      </c>
      <c r="N337" s="17">
        <v>3.2580424366872007</v>
      </c>
      <c r="O337" s="17">
        <v>2.8884325804243667</v>
      </c>
      <c r="P337" s="17">
        <v>6.1464750171115679</v>
      </c>
      <c r="Q337" s="17">
        <v>2.8966461327857633</v>
      </c>
      <c r="R337" s="17" t="s">
        <v>8</v>
      </c>
      <c r="S337" s="17" t="s">
        <v>8</v>
      </c>
      <c r="T337" s="30">
        <v>3</v>
      </c>
      <c r="U337" s="30">
        <v>14</v>
      </c>
      <c r="V337" s="20" t="s">
        <v>1</v>
      </c>
      <c r="W337" s="20">
        <v>5</v>
      </c>
      <c r="X337" s="20">
        <v>2</v>
      </c>
      <c r="Y337" s="5">
        <v>1</v>
      </c>
      <c r="Z337" s="24">
        <v>4</v>
      </c>
      <c r="AA337" s="23">
        <f t="shared" si="15"/>
        <v>1</v>
      </c>
      <c r="AB337" s="15">
        <v>1</v>
      </c>
      <c r="AC337" s="15">
        <v>0.75</v>
      </c>
      <c r="AD337" s="15">
        <v>0.25</v>
      </c>
      <c r="AE337" s="15">
        <v>0.66700000000000004</v>
      </c>
      <c r="AF337" s="20">
        <v>16</v>
      </c>
      <c r="AG337" s="20">
        <v>0.48</v>
      </c>
      <c r="AH337" s="24">
        <v>24</v>
      </c>
      <c r="AI337" s="23">
        <f t="shared" si="16"/>
        <v>1</v>
      </c>
      <c r="AJ337" s="17">
        <v>3.5</v>
      </c>
      <c r="AK337" s="17">
        <v>2.5</v>
      </c>
      <c r="AL337" s="14">
        <v>6</v>
      </c>
      <c r="AM337" s="23" cm="1">
        <f t="array" ref="AM337">IF(OR(AN337:AZ337=""),"BLANK",IF(AND(AN337:AZ337&lt;9999999),1,IF(AND(AN337:AZ337="NA"),3,2)))</f>
        <v>1</v>
      </c>
      <c r="AN337" s="20">
        <v>5</v>
      </c>
      <c r="AO337" s="26">
        <v>2</v>
      </c>
      <c r="AP337" s="15">
        <v>3.5</v>
      </c>
      <c r="AQ337" s="15">
        <v>6.75</v>
      </c>
      <c r="AR337" s="15">
        <v>6.5</v>
      </c>
      <c r="AS337" s="26">
        <v>1035.5</v>
      </c>
      <c r="AT337" s="26">
        <v>7231</v>
      </c>
      <c r="AU337" s="26">
        <v>8259.25</v>
      </c>
      <c r="AV337" s="26">
        <v>8224.5</v>
      </c>
      <c r="AW337" s="26">
        <v>1117.5</v>
      </c>
      <c r="AX337" s="26">
        <v>789.66666666670005</v>
      </c>
      <c r="AY337" s="26">
        <v>2548.8958333332998</v>
      </c>
      <c r="AZ337" s="26">
        <v>385.49166666669998</v>
      </c>
      <c r="BA337" s="23">
        <f t="shared" si="17"/>
        <v>1</v>
      </c>
      <c r="BB337" s="24">
        <v>30</v>
      </c>
    </row>
    <row r="338" spans="1:54" x14ac:dyDescent="0.2">
      <c r="A338" s="5">
        <v>4876</v>
      </c>
      <c r="B338" s="20" t="s">
        <v>74</v>
      </c>
      <c r="C338" s="18" t="s">
        <v>54</v>
      </c>
      <c r="D338" s="18">
        <v>5</v>
      </c>
      <c r="E338" s="18">
        <v>0</v>
      </c>
      <c r="F338" s="18" t="s">
        <v>9</v>
      </c>
      <c r="G338" s="18">
        <v>28</v>
      </c>
      <c r="H338" s="22">
        <v>3.2826830937713893</v>
      </c>
      <c r="I338" s="22">
        <v>3.0006844626967832</v>
      </c>
      <c r="J338" s="22">
        <v>6.2833675564681721</v>
      </c>
      <c r="K338" s="22">
        <v>3.2826830937713893</v>
      </c>
      <c r="L338" s="22" t="s">
        <v>8</v>
      </c>
      <c r="M338" s="22" t="s">
        <v>8</v>
      </c>
      <c r="N338" s="22">
        <v>3.2936344969199181</v>
      </c>
      <c r="O338" s="22">
        <v>2.9760438056125942</v>
      </c>
      <c r="P338" s="22">
        <v>6.2696783025325118</v>
      </c>
      <c r="Q338" s="22" t="s">
        <v>8</v>
      </c>
      <c r="R338" s="22" t="s">
        <v>8</v>
      </c>
      <c r="S338" s="22">
        <v>5.9958932238193015</v>
      </c>
      <c r="T338" s="30" t="s">
        <v>8</v>
      </c>
      <c r="U338" s="30" t="s">
        <v>8</v>
      </c>
      <c r="V338" s="20" t="s">
        <v>1</v>
      </c>
      <c r="W338" s="20">
        <v>5</v>
      </c>
      <c r="X338" s="20">
        <v>2</v>
      </c>
      <c r="Y338" s="5">
        <v>1</v>
      </c>
      <c r="Z338" s="24">
        <v>4</v>
      </c>
      <c r="AA338" s="23">
        <f t="shared" si="15"/>
        <v>1</v>
      </c>
      <c r="AB338" s="15">
        <v>1</v>
      </c>
      <c r="AC338" s="15">
        <v>0.625</v>
      </c>
      <c r="AD338" s="15">
        <v>0.375</v>
      </c>
      <c r="AE338" s="15">
        <v>0.66700000000000004</v>
      </c>
      <c r="AF338" s="20">
        <v>16</v>
      </c>
      <c r="AG338" s="20">
        <v>8.75</v>
      </c>
      <c r="AH338" s="24">
        <v>24</v>
      </c>
      <c r="AI338" s="23">
        <f t="shared" si="16"/>
        <v>1</v>
      </c>
      <c r="AJ338" s="17">
        <v>9</v>
      </c>
      <c r="AK338" s="17">
        <v>10</v>
      </c>
      <c r="AL338" s="14">
        <v>19</v>
      </c>
      <c r="AM338" s="23" cm="1">
        <f t="array" ref="AM338">IF(OR(AN338:AZ338=""),"BLANK",IF(AND(AN338:AZ338&lt;9999999),1,IF(AND(AN338:AZ338="NA"),3,2)))</f>
        <v>1</v>
      </c>
      <c r="AN338" s="20">
        <v>10</v>
      </c>
      <c r="AO338" s="26">
        <v>2</v>
      </c>
      <c r="AP338" s="15">
        <v>3</v>
      </c>
      <c r="AQ338" s="15">
        <v>5.5</v>
      </c>
      <c r="AR338" s="15">
        <v>5</v>
      </c>
      <c r="AS338" s="26">
        <v>27.5</v>
      </c>
      <c r="AT338" s="26">
        <v>941.5</v>
      </c>
      <c r="AU338" s="26">
        <v>2162.75</v>
      </c>
      <c r="AV338" s="26">
        <v>4326.25</v>
      </c>
      <c r="AW338" s="26">
        <v>0</v>
      </c>
      <c r="AX338" s="26">
        <v>558</v>
      </c>
      <c r="AY338" s="26">
        <v>502.46944444439998</v>
      </c>
      <c r="AZ338" s="26">
        <v>1423.95</v>
      </c>
      <c r="BA338" s="23">
        <f t="shared" si="17"/>
        <v>1</v>
      </c>
      <c r="BB338" s="24">
        <v>31</v>
      </c>
    </row>
    <row r="339" spans="1:54" x14ac:dyDescent="0.2">
      <c r="A339" s="18">
        <v>21</v>
      </c>
      <c r="B339" s="20" t="s">
        <v>9</v>
      </c>
      <c r="C339" s="27" t="s">
        <v>9</v>
      </c>
      <c r="D339" s="27" t="s">
        <v>9</v>
      </c>
      <c r="E339" s="27" t="s">
        <v>9</v>
      </c>
      <c r="F339" s="18" t="s">
        <v>9</v>
      </c>
      <c r="G339" s="27" t="s">
        <v>9</v>
      </c>
      <c r="H339" s="22" t="s">
        <v>8</v>
      </c>
      <c r="I339" s="22" t="s">
        <v>8</v>
      </c>
      <c r="J339" s="22" t="s">
        <v>8</v>
      </c>
      <c r="K339" s="22" t="s">
        <v>8</v>
      </c>
      <c r="L339" s="22" t="s">
        <v>8</v>
      </c>
      <c r="M339" s="22" t="s">
        <v>8</v>
      </c>
      <c r="N339" s="22" t="s">
        <v>8</v>
      </c>
      <c r="O339" s="22" t="s">
        <v>8</v>
      </c>
      <c r="P339" s="22" t="s">
        <v>8</v>
      </c>
      <c r="Q339" s="22" t="s">
        <v>8</v>
      </c>
      <c r="R339" s="22" t="s">
        <v>8</v>
      </c>
      <c r="S339" s="22" t="s">
        <v>8</v>
      </c>
      <c r="T339" s="20" t="s">
        <v>9</v>
      </c>
      <c r="U339" s="20" t="s">
        <v>9</v>
      </c>
      <c r="V339" s="20" t="s">
        <v>1</v>
      </c>
      <c r="W339" s="20">
        <v>5</v>
      </c>
      <c r="X339" s="20">
        <v>2</v>
      </c>
      <c r="Y339" s="20">
        <v>2</v>
      </c>
      <c r="Z339" s="24">
        <v>4</v>
      </c>
      <c r="AA339" s="20">
        <v>3</v>
      </c>
      <c r="AB339" s="15" t="s">
        <v>9</v>
      </c>
      <c r="AC339" s="15" t="s">
        <v>9</v>
      </c>
      <c r="AD339" s="15" t="s">
        <v>9</v>
      </c>
      <c r="AE339" s="15" t="s">
        <v>9</v>
      </c>
      <c r="AF339" s="20" t="s">
        <v>9</v>
      </c>
      <c r="AG339" s="20" t="s">
        <v>9</v>
      </c>
      <c r="AH339" s="20" t="s">
        <v>9</v>
      </c>
      <c r="AI339" s="23">
        <v>3</v>
      </c>
      <c r="AJ339" s="15" t="s">
        <v>9</v>
      </c>
      <c r="AK339" s="15" t="s">
        <v>9</v>
      </c>
      <c r="AL339" s="25" t="s">
        <v>9</v>
      </c>
      <c r="AM339" s="31">
        <v>3</v>
      </c>
      <c r="AN339" s="26" t="s">
        <v>9</v>
      </c>
      <c r="AO339" s="26" t="s">
        <v>9</v>
      </c>
      <c r="AP339" s="26" t="s">
        <v>9</v>
      </c>
      <c r="AQ339" s="26" t="s">
        <v>9</v>
      </c>
      <c r="AR339" s="26" t="s">
        <v>9</v>
      </c>
      <c r="AS339" s="26" t="s">
        <v>9</v>
      </c>
      <c r="AT339" s="26" t="s">
        <v>9</v>
      </c>
      <c r="AU339" s="26" t="s">
        <v>9</v>
      </c>
      <c r="AV339" s="26" t="s">
        <v>9</v>
      </c>
      <c r="AW339" s="26" t="s">
        <v>9</v>
      </c>
      <c r="AX339" s="26" t="s">
        <v>9</v>
      </c>
      <c r="AY339" s="26" t="s">
        <v>9</v>
      </c>
      <c r="AZ339" s="26" t="s">
        <v>9</v>
      </c>
      <c r="BA339" s="23">
        <v>3</v>
      </c>
      <c r="BB339" s="24" t="s">
        <v>9</v>
      </c>
    </row>
    <row r="340" spans="1:54" x14ac:dyDescent="0.2">
      <c r="A340" s="5">
        <v>101</v>
      </c>
      <c r="B340" s="20" t="s">
        <v>9</v>
      </c>
      <c r="C340" s="27" t="s">
        <v>9</v>
      </c>
      <c r="D340" s="27" t="s">
        <v>9</v>
      </c>
      <c r="E340" s="27" t="s">
        <v>9</v>
      </c>
      <c r="F340" s="18" t="s">
        <v>9</v>
      </c>
      <c r="G340" s="27" t="s">
        <v>9</v>
      </c>
      <c r="H340" s="22" t="s">
        <v>8</v>
      </c>
      <c r="I340" s="22" t="s">
        <v>8</v>
      </c>
      <c r="J340" s="22" t="s">
        <v>8</v>
      </c>
      <c r="K340" s="22" t="s">
        <v>8</v>
      </c>
      <c r="L340" s="22" t="s">
        <v>8</v>
      </c>
      <c r="M340" s="22" t="s">
        <v>8</v>
      </c>
      <c r="N340" s="22" t="s">
        <v>8</v>
      </c>
      <c r="O340" s="22" t="s">
        <v>8</v>
      </c>
      <c r="P340" s="22" t="s">
        <v>8</v>
      </c>
      <c r="Q340" s="22" t="s">
        <v>8</v>
      </c>
      <c r="R340" s="22" t="s">
        <v>8</v>
      </c>
      <c r="S340" s="22" t="s">
        <v>8</v>
      </c>
      <c r="T340" s="20" t="s">
        <v>9</v>
      </c>
      <c r="U340" s="20" t="s">
        <v>9</v>
      </c>
      <c r="V340" s="20" t="s">
        <v>1</v>
      </c>
      <c r="W340" s="20">
        <v>5</v>
      </c>
      <c r="X340" s="20">
        <v>2</v>
      </c>
      <c r="Y340" s="20">
        <v>2</v>
      </c>
      <c r="Z340" s="24">
        <v>4</v>
      </c>
      <c r="AA340" s="20">
        <v>3</v>
      </c>
      <c r="AB340" s="15" t="s">
        <v>9</v>
      </c>
      <c r="AC340" s="15" t="s">
        <v>9</v>
      </c>
      <c r="AD340" s="15" t="s">
        <v>9</v>
      </c>
      <c r="AE340" s="15" t="s">
        <v>9</v>
      </c>
      <c r="AF340" s="20" t="s">
        <v>9</v>
      </c>
      <c r="AG340" s="20" t="s">
        <v>9</v>
      </c>
      <c r="AH340" s="20" t="s">
        <v>9</v>
      </c>
      <c r="AI340" s="23">
        <v>3</v>
      </c>
      <c r="AJ340" s="15" t="s">
        <v>9</v>
      </c>
      <c r="AK340" s="15" t="s">
        <v>9</v>
      </c>
      <c r="AL340" s="25" t="s">
        <v>9</v>
      </c>
      <c r="AM340" s="31">
        <v>3</v>
      </c>
      <c r="AN340" s="26" t="s">
        <v>9</v>
      </c>
      <c r="AO340" s="26" t="s">
        <v>9</v>
      </c>
      <c r="AP340" s="26" t="s">
        <v>9</v>
      </c>
      <c r="AQ340" s="26" t="s">
        <v>9</v>
      </c>
      <c r="AR340" s="26" t="s">
        <v>9</v>
      </c>
      <c r="AS340" s="26" t="s">
        <v>9</v>
      </c>
      <c r="AT340" s="26" t="s">
        <v>9</v>
      </c>
      <c r="AU340" s="26" t="s">
        <v>9</v>
      </c>
      <c r="AV340" s="26" t="s">
        <v>9</v>
      </c>
      <c r="AW340" s="26" t="s">
        <v>9</v>
      </c>
      <c r="AX340" s="26" t="s">
        <v>9</v>
      </c>
      <c r="AY340" s="26" t="s">
        <v>9</v>
      </c>
      <c r="AZ340" s="26" t="s">
        <v>9</v>
      </c>
      <c r="BA340" s="23">
        <v>3</v>
      </c>
      <c r="BB340" s="24" t="s">
        <v>9</v>
      </c>
    </row>
    <row r="341" spans="1:54" x14ac:dyDescent="0.2">
      <c r="A341" s="5">
        <v>142</v>
      </c>
      <c r="B341" s="20" t="s">
        <v>9</v>
      </c>
      <c r="C341" s="27" t="s">
        <v>9</v>
      </c>
      <c r="D341" s="27" t="s">
        <v>9</v>
      </c>
      <c r="E341" s="27" t="s">
        <v>9</v>
      </c>
      <c r="F341" s="18" t="s">
        <v>9</v>
      </c>
      <c r="G341" s="27" t="s">
        <v>9</v>
      </c>
      <c r="H341" s="22" t="s">
        <v>8</v>
      </c>
      <c r="I341" s="22" t="s">
        <v>8</v>
      </c>
      <c r="J341" s="22" t="s">
        <v>8</v>
      </c>
      <c r="K341" s="22" t="s">
        <v>8</v>
      </c>
      <c r="L341" s="22" t="s">
        <v>8</v>
      </c>
      <c r="M341" s="22" t="s">
        <v>8</v>
      </c>
      <c r="N341" s="22" t="s">
        <v>8</v>
      </c>
      <c r="O341" s="22" t="s">
        <v>8</v>
      </c>
      <c r="P341" s="22" t="s">
        <v>8</v>
      </c>
      <c r="Q341" s="22" t="s">
        <v>8</v>
      </c>
      <c r="R341" s="22" t="s">
        <v>8</v>
      </c>
      <c r="S341" s="22" t="s">
        <v>8</v>
      </c>
      <c r="T341" s="20" t="s">
        <v>9</v>
      </c>
      <c r="U341" s="20" t="s">
        <v>9</v>
      </c>
      <c r="V341" s="20" t="s">
        <v>1</v>
      </c>
      <c r="W341" s="20">
        <v>5</v>
      </c>
      <c r="X341" s="20">
        <v>2</v>
      </c>
      <c r="Y341" s="20">
        <v>2</v>
      </c>
      <c r="Z341" s="24">
        <v>4</v>
      </c>
      <c r="AA341" s="20">
        <v>3</v>
      </c>
      <c r="AB341" s="15" t="s">
        <v>9</v>
      </c>
      <c r="AC341" s="15" t="s">
        <v>9</v>
      </c>
      <c r="AD341" s="15" t="s">
        <v>9</v>
      </c>
      <c r="AE341" s="15" t="s">
        <v>9</v>
      </c>
      <c r="AF341" s="20" t="s">
        <v>9</v>
      </c>
      <c r="AG341" s="20" t="s">
        <v>9</v>
      </c>
      <c r="AH341" s="20" t="s">
        <v>9</v>
      </c>
      <c r="AI341" s="23">
        <v>3</v>
      </c>
      <c r="AJ341" s="15" t="s">
        <v>9</v>
      </c>
      <c r="AK341" s="15" t="s">
        <v>9</v>
      </c>
      <c r="AL341" s="25" t="s">
        <v>9</v>
      </c>
      <c r="AM341" s="31">
        <v>3</v>
      </c>
      <c r="AN341" s="26" t="s">
        <v>9</v>
      </c>
      <c r="AO341" s="26" t="s">
        <v>9</v>
      </c>
      <c r="AP341" s="26" t="s">
        <v>9</v>
      </c>
      <c r="AQ341" s="26" t="s">
        <v>9</v>
      </c>
      <c r="AR341" s="26" t="s">
        <v>9</v>
      </c>
      <c r="AS341" s="26" t="s">
        <v>9</v>
      </c>
      <c r="AT341" s="26" t="s">
        <v>9</v>
      </c>
      <c r="AU341" s="26" t="s">
        <v>9</v>
      </c>
      <c r="AV341" s="26" t="s">
        <v>9</v>
      </c>
      <c r="AW341" s="26" t="s">
        <v>9</v>
      </c>
      <c r="AX341" s="26" t="s">
        <v>9</v>
      </c>
      <c r="AY341" s="26" t="s">
        <v>9</v>
      </c>
      <c r="AZ341" s="26" t="s">
        <v>9</v>
      </c>
      <c r="BA341" s="23">
        <v>3</v>
      </c>
      <c r="BB341" s="24" t="s">
        <v>9</v>
      </c>
    </row>
    <row r="342" spans="1:54" x14ac:dyDescent="0.2">
      <c r="A342" s="5">
        <v>153</v>
      </c>
      <c r="B342" s="20" t="s">
        <v>9</v>
      </c>
      <c r="C342" s="27" t="s">
        <v>9</v>
      </c>
      <c r="D342" s="27" t="s">
        <v>9</v>
      </c>
      <c r="E342" s="27" t="s">
        <v>9</v>
      </c>
      <c r="F342" s="18" t="s">
        <v>9</v>
      </c>
      <c r="G342" s="27" t="s">
        <v>9</v>
      </c>
      <c r="H342" s="22" t="s">
        <v>8</v>
      </c>
      <c r="I342" s="22" t="s">
        <v>8</v>
      </c>
      <c r="J342" s="22" t="s">
        <v>8</v>
      </c>
      <c r="K342" s="22" t="s">
        <v>8</v>
      </c>
      <c r="L342" s="22" t="s">
        <v>8</v>
      </c>
      <c r="M342" s="22" t="s">
        <v>8</v>
      </c>
      <c r="N342" s="22" t="s">
        <v>8</v>
      </c>
      <c r="O342" s="22" t="s">
        <v>8</v>
      </c>
      <c r="P342" s="22" t="s">
        <v>8</v>
      </c>
      <c r="Q342" s="22" t="s">
        <v>8</v>
      </c>
      <c r="R342" s="22" t="s">
        <v>8</v>
      </c>
      <c r="S342" s="22" t="s">
        <v>8</v>
      </c>
      <c r="T342" s="20" t="s">
        <v>9</v>
      </c>
      <c r="U342" s="20" t="s">
        <v>9</v>
      </c>
      <c r="V342" s="20" t="s">
        <v>1</v>
      </c>
      <c r="W342" s="20">
        <v>5</v>
      </c>
      <c r="X342" s="20">
        <v>2</v>
      </c>
      <c r="Y342" s="20">
        <v>2</v>
      </c>
      <c r="Z342" s="24">
        <v>4</v>
      </c>
      <c r="AA342" s="20">
        <v>3</v>
      </c>
      <c r="AB342" s="15" t="s">
        <v>9</v>
      </c>
      <c r="AC342" s="15" t="s">
        <v>9</v>
      </c>
      <c r="AD342" s="15" t="s">
        <v>9</v>
      </c>
      <c r="AE342" s="15" t="s">
        <v>9</v>
      </c>
      <c r="AF342" s="20" t="s">
        <v>9</v>
      </c>
      <c r="AG342" s="20" t="s">
        <v>9</v>
      </c>
      <c r="AH342" s="20" t="s">
        <v>9</v>
      </c>
      <c r="AI342" s="23">
        <v>3</v>
      </c>
      <c r="AJ342" s="15" t="s">
        <v>9</v>
      </c>
      <c r="AK342" s="15" t="s">
        <v>9</v>
      </c>
      <c r="AL342" s="25" t="s">
        <v>9</v>
      </c>
      <c r="AM342" s="31">
        <v>3</v>
      </c>
      <c r="AN342" s="26" t="s">
        <v>9</v>
      </c>
      <c r="AO342" s="26" t="s">
        <v>9</v>
      </c>
      <c r="AP342" s="26" t="s">
        <v>9</v>
      </c>
      <c r="AQ342" s="26" t="s">
        <v>9</v>
      </c>
      <c r="AR342" s="26" t="s">
        <v>9</v>
      </c>
      <c r="AS342" s="26" t="s">
        <v>9</v>
      </c>
      <c r="AT342" s="26" t="s">
        <v>9</v>
      </c>
      <c r="AU342" s="26" t="s">
        <v>9</v>
      </c>
      <c r="AV342" s="26" t="s">
        <v>9</v>
      </c>
      <c r="AW342" s="26" t="s">
        <v>9</v>
      </c>
      <c r="AX342" s="26" t="s">
        <v>9</v>
      </c>
      <c r="AY342" s="26" t="s">
        <v>9</v>
      </c>
      <c r="AZ342" s="26" t="s">
        <v>9</v>
      </c>
      <c r="BA342" s="23">
        <v>3</v>
      </c>
      <c r="BB342" s="24" t="s">
        <v>9</v>
      </c>
    </row>
    <row r="343" spans="1:54" x14ac:dyDescent="0.2">
      <c r="A343" s="5">
        <v>155</v>
      </c>
      <c r="B343" s="20" t="s">
        <v>9</v>
      </c>
      <c r="C343" s="27" t="s">
        <v>9</v>
      </c>
      <c r="D343" s="27" t="s">
        <v>9</v>
      </c>
      <c r="E343" s="27" t="s">
        <v>9</v>
      </c>
      <c r="F343" s="18" t="s">
        <v>9</v>
      </c>
      <c r="G343" s="27" t="s">
        <v>9</v>
      </c>
      <c r="H343" s="22" t="s">
        <v>8</v>
      </c>
      <c r="I343" s="22" t="s">
        <v>8</v>
      </c>
      <c r="J343" s="22" t="s">
        <v>8</v>
      </c>
      <c r="K343" s="22" t="s">
        <v>8</v>
      </c>
      <c r="L343" s="22" t="s">
        <v>8</v>
      </c>
      <c r="M343" s="22" t="s">
        <v>8</v>
      </c>
      <c r="N343" s="22" t="s">
        <v>8</v>
      </c>
      <c r="O343" s="22" t="s">
        <v>8</v>
      </c>
      <c r="P343" s="22" t="s">
        <v>8</v>
      </c>
      <c r="Q343" s="22" t="s">
        <v>8</v>
      </c>
      <c r="R343" s="22" t="s">
        <v>8</v>
      </c>
      <c r="S343" s="22" t="s">
        <v>8</v>
      </c>
      <c r="T343" s="20" t="s">
        <v>9</v>
      </c>
      <c r="U343" s="20" t="s">
        <v>9</v>
      </c>
      <c r="V343" s="20" t="s">
        <v>1</v>
      </c>
      <c r="W343" s="20">
        <v>5</v>
      </c>
      <c r="X343" s="20">
        <v>2</v>
      </c>
      <c r="Y343" s="20">
        <v>2</v>
      </c>
      <c r="Z343" s="24">
        <v>4</v>
      </c>
      <c r="AA343" s="20">
        <v>3</v>
      </c>
      <c r="AB343" s="15" t="s">
        <v>9</v>
      </c>
      <c r="AC343" s="15" t="s">
        <v>9</v>
      </c>
      <c r="AD343" s="15" t="s">
        <v>9</v>
      </c>
      <c r="AE343" s="15" t="s">
        <v>9</v>
      </c>
      <c r="AF343" s="20" t="s">
        <v>9</v>
      </c>
      <c r="AG343" s="20" t="s">
        <v>9</v>
      </c>
      <c r="AH343" s="20" t="s">
        <v>9</v>
      </c>
      <c r="AI343" s="23">
        <v>3</v>
      </c>
      <c r="AJ343" s="15" t="s">
        <v>9</v>
      </c>
      <c r="AK343" s="15" t="s">
        <v>9</v>
      </c>
      <c r="AL343" s="25" t="s">
        <v>9</v>
      </c>
      <c r="AM343" s="31">
        <v>3</v>
      </c>
      <c r="AN343" s="26" t="s">
        <v>9</v>
      </c>
      <c r="AO343" s="26" t="s">
        <v>9</v>
      </c>
      <c r="AP343" s="26" t="s">
        <v>9</v>
      </c>
      <c r="AQ343" s="26" t="s">
        <v>9</v>
      </c>
      <c r="AR343" s="26" t="s">
        <v>9</v>
      </c>
      <c r="AS343" s="26" t="s">
        <v>9</v>
      </c>
      <c r="AT343" s="26" t="s">
        <v>9</v>
      </c>
      <c r="AU343" s="26" t="s">
        <v>9</v>
      </c>
      <c r="AV343" s="26" t="s">
        <v>9</v>
      </c>
      <c r="AW343" s="26" t="s">
        <v>9</v>
      </c>
      <c r="AX343" s="26" t="s">
        <v>9</v>
      </c>
      <c r="AY343" s="26" t="s">
        <v>9</v>
      </c>
      <c r="AZ343" s="26" t="s">
        <v>9</v>
      </c>
      <c r="BA343" s="23">
        <v>3</v>
      </c>
      <c r="BB343" s="24" t="s">
        <v>9</v>
      </c>
    </row>
    <row r="344" spans="1:54" x14ac:dyDescent="0.2">
      <c r="A344" s="5">
        <v>182</v>
      </c>
      <c r="B344" s="20" t="s">
        <v>9</v>
      </c>
      <c r="C344" s="27" t="s">
        <v>9</v>
      </c>
      <c r="D344" s="27" t="s">
        <v>9</v>
      </c>
      <c r="E344" s="27" t="s">
        <v>9</v>
      </c>
      <c r="F344" s="18" t="s">
        <v>9</v>
      </c>
      <c r="G344" s="27" t="s">
        <v>9</v>
      </c>
      <c r="H344" s="22" t="s">
        <v>8</v>
      </c>
      <c r="I344" s="22" t="s">
        <v>8</v>
      </c>
      <c r="J344" s="22" t="s">
        <v>8</v>
      </c>
      <c r="K344" s="22" t="s">
        <v>8</v>
      </c>
      <c r="L344" s="22" t="s">
        <v>8</v>
      </c>
      <c r="M344" s="22" t="s">
        <v>8</v>
      </c>
      <c r="N344" s="22" t="s">
        <v>8</v>
      </c>
      <c r="O344" s="22" t="s">
        <v>8</v>
      </c>
      <c r="P344" s="22" t="s">
        <v>8</v>
      </c>
      <c r="Q344" s="22" t="s">
        <v>8</v>
      </c>
      <c r="R344" s="22" t="s">
        <v>8</v>
      </c>
      <c r="S344" s="22" t="s">
        <v>8</v>
      </c>
      <c r="T344" s="20" t="s">
        <v>9</v>
      </c>
      <c r="U344" s="20" t="s">
        <v>9</v>
      </c>
      <c r="V344" s="20" t="s">
        <v>1</v>
      </c>
      <c r="W344" s="20">
        <v>5</v>
      </c>
      <c r="X344" s="20">
        <v>2</v>
      </c>
      <c r="Y344" s="20">
        <v>2</v>
      </c>
      <c r="Z344" s="24">
        <v>4</v>
      </c>
      <c r="AA344" s="20">
        <v>3</v>
      </c>
      <c r="AB344" s="15" t="s">
        <v>9</v>
      </c>
      <c r="AC344" s="15" t="s">
        <v>9</v>
      </c>
      <c r="AD344" s="15" t="s">
        <v>9</v>
      </c>
      <c r="AE344" s="15" t="s">
        <v>9</v>
      </c>
      <c r="AF344" s="20" t="s">
        <v>9</v>
      </c>
      <c r="AG344" s="20" t="s">
        <v>9</v>
      </c>
      <c r="AH344" s="20" t="s">
        <v>9</v>
      </c>
      <c r="AI344" s="23">
        <v>3</v>
      </c>
      <c r="AJ344" s="15" t="s">
        <v>9</v>
      </c>
      <c r="AK344" s="15" t="s">
        <v>9</v>
      </c>
      <c r="AL344" s="25" t="s">
        <v>9</v>
      </c>
      <c r="AM344" s="31">
        <v>3</v>
      </c>
      <c r="AN344" s="26" t="s">
        <v>9</v>
      </c>
      <c r="AO344" s="26" t="s">
        <v>9</v>
      </c>
      <c r="AP344" s="26" t="s">
        <v>9</v>
      </c>
      <c r="AQ344" s="26" t="s">
        <v>9</v>
      </c>
      <c r="AR344" s="26" t="s">
        <v>9</v>
      </c>
      <c r="AS344" s="26" t="s">
        <v>9</v>
      </c>
      <c r="AT344" s="26" t="s">
        <v>9</v>
      </c>
      <c r="AU344" s="26" t="s">
        <v>9</v>
      </c>
      <c r="AV344" s="26" t="s">
        <v>9</v>
      </c>
      <c r="AW344" s="26" t="s">
        <v>9</v>
      </c>
      <c r="AX344" s="26" t="s">
        <v>9</v>
      </c>
      <c r="AY344" s="26" t="s">
        <v>9</v>
      </c>
      <c r="AZ344" s="26" t="s">
        <v>9</v>
      </c>
      <c r="BA344" s="23">
        <v>3</v>
      </c>
      <c r="BB344" s="24" t="s">
        <v>9</v>
      </c>
    </row>
    <row r="345" spans="1:54" x14ac:dyDescent="0.2">
      <c r="A345" s="5">
        <v>215</v>
      </c>
      <c r="B345" s="20" t="s">
        <v>9</v>
      </c>
      <c r="C345" s="27" t="s">
        <v>9</v>
      </c>
      <c r="D345" s="27" t="s">
        <v>9</v>
      </c>
      <c r="E345" s="27" t="s">
        <v>9</v>
      </c>
      <c r="F345" s="18" t="s">
        <v>9</v>
      </c>
      <c r="G345" s="27" t="s">
        <v>9</v>
      </c>
      <c r="H345" s="22" t="s">
        <v>8</v>
      </c>
      <c r="I345" s="22" t="s">
        <v>8</v>
      </c>
      <c r="J345" s="22" t="s">
        <v>8</v>
      </c>
      <c r="K345" s="22" t="s">
        <v>8</v>
      </c>
      <c r="L345" s="22" t="s">
        <v>8</v>
      </c>
      <c r="M345" s="22" t="s">
        <v>8</v>
      </c>
      <c r="N345" s="22" t="s">
        <v>8</v>
      </c>
      <c r="O345" s="22" t="s">
        <v>8</v>
      </c>
      <c r="P345" s="22">
        <v>9.2101300479123882</v>
      </c>
      <c r="Q345" s="22" t="s">
        <v>8</v>
      </c>
      <c r="R345" s="22" t="s">
        <v>8</v>
      </c>
      <c r="S345" s="22" t="s">
        <v>8</v>
      </c>
      <c r="T345" s="20" t="s">
        <v>9</v>
      </c>
      <c r="U345" s="20" t="s">
        <v>9</v>
      </c>
      <c r="V345" s="20" t="s">
        <v>1</v>
      </c>
      <c r="W345" s="20">
        <v>5</v>
      </c>
      <c r="X345" s="20">
        <v>2</v>
      </c>
      <c r="Y345" s="20">
        <v>2</v>
      </c>
      <c r="Z345" s="24">
        <v>4</v>
      </c>
      <c r="AA345" s="20">
        <v>3</v>
      </c>
      <c r="AB345" s="15" t="s">
        <v>9</v>
      </c>
      <c r="AC345" s="15" t="s">
        <v>9</v>
      </c>
      <c r="AD345" s="15" t="s">
        <v>9</v>
      </c>
      <c r="AE345" s="15" t="s">
        <v>9</v>
      </c>
      <c r="AF345" s="20" t="s">
        <v>9</v>
      </c>
      <c r="AG345" s="20" t="s">
        <v>9</v>
      </c>
      <c r="AH345" s="20" t="s">
        <v>9</v>
      </c>
      <c r="AI345" s="23">
        <v>3</v>
      </c>
      <c r="AJ345" s="15" t="s">
        <v>9</v>
      </c>
      <c r="AK345" s="15" t="s">
        <v>9</v>
      </c>
      <c r="AL345" s="25" t="s">
        <v>9</v>
      </c>
      <c r="AM345" s="31">
        <v>3</v>
      </c>
      <c r="AN345" s="26" t="s">
        <v>9</v>
      </c>
      <c r="AO345" s="26" t="s">
        <v>9</v>
      </c>
      <c r="AP345" s="26" t="s">
        <v>9</v>
      </c>
      <c r="AQ345" s="26" t="s">
        <v>9</v>
      </c>
      <c r="AR345" s="26" t="s">
        <v>9</v>
      </c>
      <c r="AS345" s="26" t="s">
        <v>9</v>
      </c>
      <c r="AT345" s="26" t="s">
        <v>9</v>
      </c>
      <c r="AU345" s="26" t="s">
        <v>9</v>
      </c>
      <c r="AV345" s="26" t="s">
        <v>9</v>
      </c>
      <c r="AW345" s="26" t="s">
        <v>9</v>
      </c>
      <c r="AX345" s="26" t="s">
        <v>9</v>
      </c>
      <c r="AY345" s="26" t="s">
        <v>9</v>
      </c>
      <c r="AZ345" s="26" t="s">
        <v>9</v>
      </c>
      <c r="BA345" s="23">
        <v>3</v>
      </c>
      <c r="BB345" s="24" t="s">
        <v>9</v>
      </c>
    </row>
    <row r="346" spans="1:54" x14ac:dyDescent="0.2">
      <c r="A346" s="5">
        <v>252</v>
      </c>
      <c r="B346" s="20" t="s">
        <v>9</v>
      </c>
      <c r="C346" s="27" t="s">
        <v>9</v>
      </c>
      <c r="D346" s="27" t="s">
        <v>9</v>
      </c>
      <c r="E346" s="27" t="s">
        <v>9</v>
      </c>
      <c r="F346" s="18" t="s">
        <v>9</v>
      </c>
      <c r="G346" s="27" t="s">
        <v>9</v>
      </c>
      <c r="H346" s="22" t="s">
        <v>8</v>
      </c>
      <c r="I346" s="22" t="s">
        <v>8</v>
      </c>
      <c r="J346" s="22" t="s">
        <v>8</v>
      </c>
      <c r="K346" s="22" t="s">
        <v>8</v>
      </c>
      <c r="L346" s="22" t="s">
        <v>8</v>
      </c>
      <c r="M346" s="22" t="s">
        <v>8</v>
      </c>
      <c r="N346" s="22" t="s">
        <v>8</v>
      </c>
      <c r="O346" s="22" t="s">
        <v>8</v>
      </c>
      <c r="P346" s="22" t="s">
        <v>8</v>
      </c>
      <c r="Q346" s="22" t="s">
        <v>8</v>
      </c>
      <c r="R346" s="22" t="s">
        <v>8</v>
      </c>
      <c r="S346" s="22" t="s">
        <v>8</v>
      </c>
      <c r="T346" s="20" t="s">
        <v>9</v>
      </c>
      <c r="U346" s="20" t="s">
        <v>9</v>
      </c>
      <c r="V346" s="20" t="s">
        <v>1</v>
      </c>
      <c r="W346" s="20">
        <v>5</v>
      </c>
      <c r="X346" s="20">
        <v>2</v>
      </c>
      <c r="Y346" s="20">
        <v>2</v>
      </c>
      <c r="Z346" s="24">
        <v>4</v>
      </c>
      <c r="AA346" s="20">
        <v>3</v>
      </c>
      <c r="AB346" s="15" t="s">
        <v>9</v>
      </c>
      <c r="AC346" s="15" t="s">
        <v>9</v>
      </c>
      <c r="AD346" s="15" t="s">
        <v>9</v>
      </c>
      <c r="AE346" s="15" t="s">
        <v>9</v>
      </c>
      <c r="AF346" s="20" t="s">
        <v>9</v>
      </c>
      <c r="AG346" s="20" t="s">
        <v>9</v>
      </c>
      <c r="AH346" s="20" t="s">
        <v>9</v>
      </c>
      <c r="AI346" s="23">
        <v>3</v>
      </c>
      <c r="AJ346" s="15" t="s">
        <v>9</v>
      </c>
      <c r="AK346" s="15" t="s">
        <v>9</v>
      </c>
      <c r="AL346" s="25" t="s">
        <v>9</v>
      </c>
      <c r="AM346" s="31">
        <v>3</v>
      </c>
      <c r="AN346" s="26" t="s">
        <v>9</v>
      </c>
      <c r="AO346" s="26" t="s">
        <v>9</v>
      </c>
      <c r="AP346" s="26" t="s">
        <v>9</v>
      </c>
      <c r="AQ346" s="26" t="s">
        <v>9</v>
      </c>
      <c r="AR346" s="26" t="s">
        <v>9</v>
      </c>
      <c r="AS346" s="26" t="s">
        <v>9</v>
      </c>
      <c r="AT346" s="26" t="s">
        <v>9</v>
      </c>
      <c r="AU346" s="26" t="s">
        <v>9</v>
      </c>
      <c r="AV346" s="26" t="s">
        <v>9</v>
      </c>
      <c r="AW346" s="26" t="s">
        <v>9</v>
      </c>
      <c r="AX346" s="26" t="s">
        <v>9</v>
      </c>
      <c r="AY346" s="26" t="s">
        <v>9</v>
      </c>
      <c r="AZ346" s="26" t="s">
        <v>9</v>
      </c>
      <c r="BA346" s="23">
        <v>3</v>
      </c>
      <c r="BB346" s="24" t="s">
        <v>9</v>
      </c>
    </row>
    <row r="347" spans="1:54" x14ac:dyDescent="0.2">
      <c r="A347" s="5">
        <v>253</v>
      </c>
      <c r="B347" s="20" t="s">
        <v>9</v>
      </c>
      <c r="C347" s="27" t="s">
        <v>9</v>
      </c>
      <c r="D347" s="27" t="s">
        <v>9</v>
      </c>
      <c r="E347" s="27" t="s">
        <v>9</v>
      </c>
      <c r="F347" s="18" t="s">
        <v>9</v>
      </c>
      <c r="G347" s="27" t="s">
        <v>9</v>
      </c>
      <c r="H347" s="22" t="s">
        <v>8</v>
      </c>
      <c r="I347" s="22" t="s">
        <v>8</v>
      </c>
      <c r="J347" s="22" t="s">
        <v>8</v>
      </c>
      <c r="K347" s="22" t="s">
        <v>8</v>
      </c>
      <c r="L347" s="22" t="s">
        <v>8</v>
      </c>
      <c r="M347" s="22" t="s">
        <v>8</v>
      </c>
      <c r="N347" s="22" t="s">
        <v>8</v>
      </c>
      <c r="O347" s="22" t="s">
        <v>8</v>
      </c>
      <c r="P347" s="22" t="s">
        <v>8</v>
      </c>
      <c r="Q347" s="22" t="s">
        <v>8</v>
      </c>
      <c r="R347" s="22" t="s">
        <v>8</v>
      </c>
      <c r="S347" s="22" t="s">
        <v>8</v>
      </c>
      <c r="T347" s="20" t="s">
        <v>9</v>
      </c>
      <c r="U347" s="20" t="s">
        <v>9</v>
      </c>
      <c r="V347" s="20" t="s">
        <v>1</v>
      </c>
      <c r="W347" s="20">
        <v>5</v>
      </c>
      <c r="X347" s="20">
        <v>2</v>
      </c>
      <c r="Y347" s="20">
        <v>2</v>
      </c>
      <c r="Z347" s="24">
        <v>4</v>
      </c>
      <c r="AA347" s="20">
        <v>3</v>
      </c>
      <c r="AB347" s="15" t="s">
        <v>9</v>
      </c>
      <c r="AC347" s="15" t="s">
        <v>9</v>
      </c>
      <c r="AD347" s="15" t="s">
        <v>9</v>
      </c>
      <c r="AE347" s="15" t="s">
        <v>9</v>
      </c>
      <c r="AF347" s="20" t="s">
        <v>9</v>
      </c>
      <c r="AG347" s="20" t="s">
        <v>9</v>
      </c>
      <c r="AH347" s="20" t="s">
        <v>9</v>
      </c>
      <c r="AI347" s="23">
        <v>3</v>
      </c>
      <c r="AJ347" s="15" t="s">
        <v>9</v>
      </c>
      <c r="AK347" s="15" t="s">
        <v>9</v>
      </c>
      <c r="AL347" s="25" t="s">
        <v>9</v>
      </c>
      <c r="AM347" s="31">
        <v>3</v>
      </c>
      <c r="AN347" s="26" t="s">
        <v>9</v>
      </c>
      <c r="AO347" s="26" t="s">
        <v>9</v>
      </c>
      <c r="AP347" s="26" t="s">
        <v>9</v>
      </c>
      <c r="AQ347" s="26" t="s">
        <v>9</v>
      </c>
      <c r="AR347" s="26" t="s">
        <v>9</v>
      </c>
      <c r="AS347" s="26" t="s">
        <v>9</v>
      </c>
      <c r="AT347" s="26" t="s">
        <v>9</v>
      </c>
      <c r="AU347" s="26" t="s">
        <v>9</v>
      </c>
      <c r="AV347" s="26" t="s">
        <v>9</v>
      </c>
      <c r="AW347" s="26" t="s">
        <v>9</v>
      </c>
      <c r="AX347" s="26" t="s">
        <v>9</v>
      </c>
      <c r="AY347" s="26" t="s">
        <v>9</v>
      </c>
      <c r="AZ347" s="26" t="s">
        <v>9</v>
      </c>
      <c r="BA347" s="23">
        <v>3</v>
      </c>
      <c r="BB347" s="24" t="s">
        <v>9</v>
      </c>
    </row>
    <row r="348" spans="1:54" x14ac:dyDescent="0.2">
      <c r="A348" s="5">
        <v>269</v>
      </c>
      <c r="B348" s="20" t="s">
        <v>9</v>
      </c>
      <c r="C348" s="27" t="s">
        <v>9</v>
      </c>
      <c r="D348" s="27" t="s">
        <v>9</v>
      </c>
      <c r="E348" s="27" t="s">
        <v>9</v>
      </c>
      <c r="F348" s="18" t="s">
        <v>9</v>
      </c>
      <c r="G348" s="27" t="s">
        <v>9</v>
      </c>
      <c r="H348" s="22" t="s">
        <v>8</v>
      </c>
      <c r="I348" s="22" t="s">
        <v>8</v>
      </c>
      <c r="J348" s="22" t="s">
        <v>8</v>
      </c>
      <c r="K348" s="22" t="s">
        <v>8</v>
      </c>
      <c r="L348" s="22" t="s">
        <v>8</v>
      </c>
      <c r="M348" s="22" t="s">
        <v>8</v>
      </c>
      <c r="N348" s="22" t="s">
        <v>8</v>
      </c>
      <c r="O348" s="22" t="s">
        <v>8</v>
      </c>
      <c r="P348" s="22" t="s">
        <v>8</v>
      </c>
      <c r="Q348" s="22" t="s">
        <v>8</v>
      </c>
      <c r="R348" s="22" t="s">
        <v>8</v>
      </c>
      <c r="S348" s="22" t="s">
        <v>8</v>
      </c>
      <c r="T348" s="20" t="s">
        <v>9</v>
      </c>
      <c r="U348" s="20" t="s">
        <v>9</v>
      </c>
      <c r="V348" s="20" t="s">
        <v>1</v>
      </c>
      <c r="W348" s="20">
        <v>5</v>
      </c>
      <c r="X348" s="20">
        <v>2</v>
      </c>
      <c r="Y348" s="20">
        <v>2</v>
      </c>
      <c r="Z348" s="24">
        <v>4</v>
      </c>
      <c r="AA348" s="20">
        <v>3</v>
      </c>
      <c r="AB348" s="15" t="s">
        <v>9</v>
      </c>
      <c r="AC348" s="15" t="s">
        <v>9</v>
      </c>
      <c r="AD348" s="15" t="s">
        <v>9</v>
      </c>
      <c r="AE348" s="15" t="s">
        <v>9</v>
      </c>
      <c r="AF348" s="20" t="s">
        <v>9</v>
      </c>
      <c r="AG348" s="20" t="s">
        <v>9</v>
      </c>
      <c r="AH348" s="20" t="s">
        <v>9</v>
      </c>
      <c r="AI348" s="23">
        <v>3</v>
      </c>
      <c r="AJ348" s="15" t="s">
        <v>9</v>
      </c>
      <c r="AK348" s="15" t="s">
        <v>9</v>
      </c>
      <c r="AL348" s="25" t="s">
        <v>9</v>
      </c>
      <c r="AM348" s="31">
        <v>3</v>
      </c>
      <c r="AN348" s="26" t="s">
        <v>9</v>
      </c>
      <c r="AO348" s="26" t="s">
        <v>9</v>
      </c>
      <c r="AP348" s="26" t="s">
        <v>9</v>
      </c>
      <c r="AQ348" s="26" t="s">
        <v>9</v>
      </c>
      <c r="AR348" s="26" t="s">
        <v>9</v>
      </c>
      <c r="AS348" s="26" t="s">
        <v>9</v>
      </c>
      <c r="AT348" s="26" t="s">
        <v>9</v>
      </c>
      <c r="AU348" s="26" t="s">
        <v>9</v>
      </c>
      <c r="AV348" s="26" t="s">
        <v>9</v>
      </c>
      <c r="AW348" s="26" t="s">
        <v>9</v>
      </c>
      <c r="AX348" s="26" t="s">
        <v>9</v>
      </c>
      <c r="AY348" s="26" t="s">
        <v>9</v>
      </c>
      <c r="AZ348" s="26" t="s">
        <v>9</v>
      </c>
      <c r="BA348" s="23">
        <v>3</v>
      </c>
      <c r="BB348" s="24" t="s">
        <v>9</v>
      </c>
    </row>
    <row r="349" spans="1:54" x14ac:dyDescent="0.2">
      <c r="A349" s="5">
        <v>295</v>
      </c>
      <c r="B349" s="20" t="s">
        <v>9</v>
      </c>
      <c r="C349" s="27" t="s">
        <v>9</v>
      </c>
      <c r="D349" s="27" t="s">
        <v>9</v>
      </c>
      <c r="E349" s="27" t="s">
        <v>9</v>
      </c>
      <c r="F349" s="18" t="s">
        <v>9</v>
      </c>
      <c r="G349" s="27" t="s">
        <v>9</v>
      </c>
      <c r="H349" s="22" t="s">
        <v>8</v>
      </c>
      <c r="I349" s="22" t="s">
        <v>8</v>
      </c>
      <c r="J349" s="22" t="s">
        <v>8</v>
      </c>
      <c r="K349" s="22" t="s">
        <v>8</v>
      </c>
      <c r="L349" s="22" t="s">
        <v>8</v>
      </c>
      <c r="M349" s="22" t="s">
        <v>8</v>
      </c>
      <c r="N349" s="22" t="s">
        <v>8</v>
      </c>
      <c r="O349" s="22" t="s">
        <v>8</v>
      </c>
      <c r="P349" s="22" t="s">
        <v>8</v>
      </c>
      <c r="Q349" s="22" t="s">
        <v>8</v>
      </c>
      <c r="R349" s="22" t="s">
        <v>8</v>
      </c>
      <c r="S349" s="22" t="s">
        <v>8</v>
      </c>
      <c r="T349" s="20" t="s">
        <v>9</v>
      </c>
      <c r="U349" s="20" t="s">
        <v>9</v>
      </c>
      <c r="V349" s="20" t="s">
        <v>1</v>
      </c>
      <c r="W349" s="20">
        <v>5</v>
      </c>
      <c r="X349" s="20">
        <v>2</v>
      </c>
      <c r="Y349" s="20">
        <v>2</v>
      </c>
      <c r="Z349" s="24">
        <v>4</v>
      </c>
      <c r="AA349" s="20">
        <v>3</v>
      </c>
      <c r="AB349" s="15" t="s">
        <v>9</v>
      </c>
      <c r="AC349" s="15" t="s">
        <v>9</v>
      </c>
      <c r="AD349" s="15" t="s">
        <v>9</v>
      </c>
      <c r="AE349" s="15" t="s">
        <v>9</v>
      </c>
      <c r="AF349" s="20" t="s">
        <v>9</v>
      </c>
      <c r="AG349" s="20" t="s">
        <v>9</v>
      </c>
      <c r="AH349" s="20" t="s">
        <v>9</v>
      </c>
      <c r="AI349" s="23">
        <v>3</v>
      </c>
      <c r="AJ349" s="15" t="s">
        <v>9</v>
      </c>
      <c r="AK349" s="15" t="s">
        <v>9</v>
      </c>
      <c r="AL349" s="25" t="s">
        <v>9</v>
      </c>
      <c r="AM349" s="31">
        <v>3</v>
      </c>
      <c r="AN349" s="26" t="s">
        <v>9</v>
      </c>
      <c r="AO349" s="26" t="s">
        <v>9</v>
      </c>
      <c r="AP349" s="26" t="s">
        <v>9</v>
      </c>
      <c r="AQ349" s="26" t="s">
        <v>9</v>
      </c>
      <c r="AR349" s="26" t="s">
        <v>9</v>
      </c>
      <c r="AS349" s="26" t="s">
        <v>9</v>
      </c>
      <c r="AT349" s="26" t="s">
        <v>9</v>
      </c>
      <c r="AU349" s="26" t="s">
        <v>9</v>
      </c>
      <c r="AV349" s="26" t="s">
        <v>9</v>
      </c>
      <c r="AW349" s="26" t="s">
        <v>9</v>
      </c>
      <c r="AX349" s="26" t="s">
        <v>9</v>
      </c>
      <c r="AY349" s="26" t="s">
        <v>9</v>
      </c>
      <c r="AZ349" s="26" t="s">
        <v>9</v>
      </c>
      <c r="BA349" s="23">
        <v>3</v>
      </c>
      <c r="BB349" s="24" t="s">
        <v>9</v>
      </c>
    </row>
    <row r="350" spans="1:54" x14ac:dyDescent="0.2">
      <c r="A350" s="5">
        <v>299</v>
      </c>
      <c r="B350" s="20" t="s">
        <v>9</v>
      </c>
      <c r="C350" s="27" t="s">
        <v>9</v>
      </c>
      <c r="D350" s="27" t="s">
        <v>9</v>
      </c>
      <c r="E350" s="27" t="s">
        <v>9</v>
      </c>
      <c r="F350" s="18" t="s">
        <v>9</v>
      </c>
      <c r="G350" s="27" t="s">
        <v>9</v>
      </c>
      <c r="H350" s="22" t="s">
        <v>8</v>
      </c>
      <c r="I350" s="22" t="s">
        <v>8</v>
      </c>
      <c r="J350" s="22" t="s">
        <v>8</v>
      </c>
      <c r="K350" s="22" t="s">
        <v>8</v>
      </c>
      <c r="L350" s="22" t="s">
        <v>8</v>
      </c>
      <c r="M350" s="22" t="s">
        <v>8</v>
      </c>
      <c r="N350" s="22" t="s">
        <v>8</v>
      </c>
      <c r="O350" s="22" t="s">
        <v>8</v>
      </c>
      <c r="P350" s="22" t="s">
        <v>8</v>
      </c>
      <c r="Q350" s="22" t="s">
        <v>8</v>
      </c>
      <c r="R350" s="22" t="s">
        <v>8</v>
      </c>
      <c r="S350" s="22" t="s">
        <v>8</v>
      </c>
      <c r="T350" s="20" t="s">
        <v>9</v>
      </c>
      <c r="U350" s="20" t="s">
        <v>9</v>
      </c>
      <c r="V350" s="20" t="s">
        <v>1</v>
      </c>
      <c r="W350" s="20">
        <v>5</v>
      </c>
      <c r="X350" s="20">
        <v>2</v>
      </c>
      <c r="Y350" s="20">
        <v>2</v>
      </c>
      <c r="Z350" s="24">
        <v>4</v>
      </c>
      <c r="AA350" s="20">
        <v>3</v>
      </c>
      <c r="AB350" s="15" t="s">
        <v>9</v>
      </c>
      <c r="AC350" s="15" t="s">
        <v>9</v>
      </c>
      <c r="AD350" s="15" t="s">
        <v>9</v>
      </c>
      <c r="AE350" s="15" t="s">
        <v>9</v>
      </c>
      <c r="AF350" s="20" t="s">
        <v>9</v>
      </c>
      <c r="AG350" s="20" t="s">
        <v>9</v>
      </c>
      <c r="AH350" s="20" t="s">
        <v>9</v>
      </c>
      <c r="AI350" s="23">
        <v>3</v>
      </c>
      <c r="AJ350" s="15" t="s">
        <v>9</v>
      </c>
      <c r="AK350" s="15" t="s">
        <v>9</v>
      </c>
      <c r="AL350" s="25" t="s">
        <v>9</v>
      </c>
      <c r="AM350" s="31">
        <v>3</v>
      </c>
      <c r="AN350" s="26" t="s">
        <v>9</v>
      </c>
      <c r="AO350" s="26" t="s">
        <v>9</v>
      </c>
      <c r="AP350" s="26" t="s">
        <v>9</v>
      </c>
      <c r="AQ350" s="26" t="s">
        <v>9</v>
      </c>
      <c r="AR350" s="26" t="s">
        <v>9</v>
      </c>
      <c r="AS350" s="26" t="s">
        <v>9</v>
      </c>
      <c r="AT350" s="26" t="s">
        <v>9</v>
      </c>
      <c r="AU350" s="26" t="s">
        <v>9</v>
      </c>
      <c r="AV350" s="26" t="s">
        <v>9</v>
      </c>
      <c r="AW350" s="26" t="s">
        <v>9</v>
      </c>
      <c r="AX350" s="26" t="s">
        <v>9</v>
      </c>
      <c r="AY350" s="26" t="s">
        <v>9</v>
      </c>
      <c r="AZ350" s="26" t="s">
        <v>9</v>
      </c>
      <c r="BA350" s="23">
        <v>3</v>
      </c>
      <c r="BB350" s="24" t="s">
        <v>9</v>
      </c>
    </row>
    <row r="351" spans="1:54" x14ac:dyDescent="0.2">
      <c r="A351" s="5">
        <v>381</v>
      </c>
      <c r="B351" s="20" t="s">
        <v>9</v>
      </c>
      <c r="C351" s="27" t="s">
        <v>9</v>
      </c>
      <c r="D351" s="27" t="s">
        <v>9</v>
      </c>
      <c r="E351" s="27" t="s">
        <v>9</v>
      </c>
      <c r="F351" s="18" t="s">
        <v>9</v>
      </c>
      <c r="G351" s="27" t="s">
        <v>9</v>
      </c>
      <c r="H351" s="22" t="s">
        <v>8</v>
      </c>
      <c r="I351" s="22" t="s">
        <v>8</v>
      </c>
      <c r="J351" s="22" t="s">
        <v>8</v>
      </c>
      <c r="K351" s="22" t="s">
        <v>8</v>
      </c>
      <c r="L351" s="22" t="s">
        <v>8</v>
      </c>
      <c r="M351" s="22" t="s">
        <v>8</v>
      </c>
      <c r="N351" s="22" t="s">
        <v>8</v>
      </c>
      <c r="O351" s="22" t="s">
        <v>8</v>
      </c>
      <c r="P351" s="22" t="s">
        <v>8</v>
      </c>
      <c r="Q351" s="22" t="s">
        <v>8</v>
      </c>
      <c r="R351" s="22" t="s">
        <v>8</v>
      </c>
      <c r="S351" s="22" t="s">
        <v>8</v>
      </c>
      <c r="T351" s="20" t="s">
        <v>9</v>
      </c>
      <c r="U351" s="20" t="s">
        <v>9</v>
      </c>
      <c r="V351" s="20" t="s">
        <v>1</v>
      </c>
      <c r="W351" s="20">
        <v>5</v>
      </c>
      <c r="X351" s="20">
        <v>2</v>
      </c>
      <c r="Y351" s="20">
        <v>2</v>
      </c>
      <c r="Z351" s="24">
        <v>4</v>
      </c>
      <c r="AA351" s="20">
        <v>3</v>
      </c>
      <c r="AB351" s="15" t="s">
        <v>9</v>
      </c>
      <c r="AC351" s="15" t="s">
        <v>9</v>
      </c>
      <c r="AD351" s="15" t="s">
        <v>9</v>
      </c>
      <c r="AE351" s="15" t="s">
        <v>9</v>
      </c>
      <c r="AF351" s="20" t="s">
        <v>9</v>
      </c>
      <c r="AG351" s="20" t="s">
        <v>9</v>
      </c>
      <c r="AH351" s="20" t="s">
        <v>9</v>
      </c>
      <c r="AI351" s="23">
        <v>3</v>
      </c>
      <c r="AJ351" s="15" t="s">
        <v>9</v>
      </c>
      <c r="AK351" s="15" t="s">
        <v>9</v>
      </c>
      <c r="AL351" s="25" t="s">
        <v>9</v>
      </c>
      <c r="AM351" s="31">
        <v>3</v>
      </c>
      <c r="AN351" s="26" t="s">
        <v>9</v>
      </c>
      <c r="AO351" s="26" t="s">
        <v>9</v>
      </c>
      <c r="AP351" s="26" t="s">
        <v>9</v>
      </c>
      <c r="AQ351" s="26" t="s">
        <v>9</v>
      </c>
      <c r="AR351" s="26" t="s">
        <v>9</v>
      </c>
      <c r="AS351" s="26" t="s">
        <v>9</v>
      </c>
      <c r="AT351" s="26" t="s">
        <v>9</v>
      </c>
      <c r="AU351" s="26" t="s">
        <v>9</v>
      </c>
      <c r="AV351" s="26" t="s">
        <v>9</v>
      </c>
      <c r="AW351" s="26" t="s">
        <v>9</v>
      </c>
      <c r="AX351" s="26" t="s">
        <v>9</v>
      </c>
      <c r="AY351" s="26" t="s">
        <v>9</v>
      </c>
      <c r="AZ351" s="26" t="s">
        <v>9</v>
      </c>
      <c r="BA351" s="23">
        <v>3</v>
      </c>
      <c r="BB351" s="24" t="s">
        <v>9</v>
      </c>
    </row>
    <row r="352" spans="1:54" x14ac:dyDescent="0.2">
      <c r="A352" s="5">
        <v>458</v>
      </c>
      <c r="B352" s="20" t="s">
        <v>9</v>
      </c>
      <c r="C352" s="27" t="s">
        <v>9</v>
      </c>
      <c r="D352" s="27" t="s">
        <v>9</v>
      </c>
      <c r="E352" s="27" t="s">
        <v>9</v>
      </c>
      <c r="F352" s="18" t="s">
        <v>9</v>
      </c>
      <c r="G352" s="27" t="s">
        <v>9</v>
      </c>
      <c r="H352" s="22" t="s">
        <v>8</v>
      </c>
      <c r="I352" s="22" t="s">
        <v>8</v>
      </c>
      <c r="J352" s="22">
        <v>10.190280629705681</v>
      </c>
      <c r="K352" s="22" t="s">
        <v>8</v>
      </c>
      <c r="L352" s="22" t="s">
        <v>8</v>
      </c>
      <c r="M352" s="22">
        <v>10.190280629705681</v>
      </c>
      <c r="N352" s="22" t="s">
        <v>8</v>
      </c>
      <c r="O352" s="22" t="s">
        <v>8</v>
      </c>
      <c r="P352" s="22" t="s">
        <v>8</v>
      </c>
      <c r="Q352" s="22" t="s">
        <v>8</v>
      </c>
      <c r="R352" s="22" t="s">
        <v>8</v>
      </c>
      <c r="S352" s="22" t="s">
        <v>8</v>
      </c>
      <c r="T352" s="20" t="s">
        <v>9</v>
      </c>
      <c r="U352" s="20" t="s">
        <v>9</v>
      </c>
      <c r="V352" s="20" t="s">
        <v>1</v>
      </c>
      <c r="W352" s="20">
        <v>5</v>
      </c>
      <c r="X352" s="20">
        <v>2</v>
      </c>
      <c r="Y352" s="20">
        <v>2</v>
      </c>
      <c r="Z352" s="24">
        <v>4</v>
      </c>
      <c r="AA352" s="20">
        <v>3</v>
      </c>
      <c r="AB352" s="15" t="s">
        <v>9</v>
      </c>
      <c r="AC352" s="15" t="s">
        <v>9</v>
      </c>
      <c r="AD352" s="15" t="s">
        <v>9</v>
      </c>
      <c r="AE352" s="15" t="s">
        <v>9</v>
      </c>
      <c r="AF352" s="20" t="s">
        <v>9</v>
      </c>
      <c r="AG352" s="20" t="s">
        <v>9</v>
      </c>
      <c r="AH352" s="20" t="s">
        <v>9</v>
      </c>
      <c r="AI352" s="23">
        <v>3</v>
      </c>
      <c r="AJ352" s="15" t="s">
        <v>9</v>
      </c>
      <c r="AK352" s="15" t="s">
        <v>9</v>
      </c>
      <c r="AL352" s="25" t="s">
        <v>9</v>
      </c>
      <c r="AM352" s="31">
        <v>3</v>
      </c>
      <c r="AN352" s="26" t="s">
        <v>9</v>
      </c>
      <c r="AO352" s="26" t="s">
        <v>9</v>
      </c>
      <c r="AP352" s="26" t="s">
        <v>9</v>
      </c>
      <c r="AQ352" s="26" t="s">
        <v>9</v>
      </c>
      <c r="AR352" s="26" t="s">
        <v>9</v>
      </c>
      <c r="AS352" s="26" t="s">
        <v>9</v>
      </c>
      <c r="AT352" s="26" t="s">
        <v>9</v>
      </c>
      <c r="AU352" s="26" t="s">
        <v>9</v>
      </c>
      <c r="AV352" s="26" t="s">
        <v>9</v>
      </c>
      <c r="AW352" s="26" t="s">
        <v>9</v>
      </c>
      <c r="AX352" s="26" t="s">
        <v>9</v>
      </c>
      <c r="AY352" s="26" t="s">
        <v>9</v>
      </c>
      <c r="AZ352" s="26" t="s">
        <v>9</v>
      </c>
      <c r="BA352" s="23">
        <v>3</v>
      </c>
      <c r="BB352" s="24" t="s">
        <v>9</v>
      </c>
    </row>
    <row r="353" spans="1:54" x14ac:dyDescent="0.2">
      <c r="A353" s="5">
        <v>474</v>
      </c>
      <c r="B353" s="20" t="s">
        <v>9</v>
      </c>
      <c r="C353" s="27" t="s">
        <v>9</v>
      </c>
      <c r="D353" s="27" t="s">
        <v>9</v>
      </c>
      <c r="E353" s="27" t="s">
        <v>9</v>
      </c>
      <c r="F353" s="18" t="s">
        <v>9</v>
      </c>
      <c r="G353" s="27" t="s">
        <v>9</v>
      </c>
      <c r="H353" s="22" t="s">
        <v>8</v>
      </c>
      <c r="I353" s="22" t="s">
        <v>8</v>
      </c>
      <c r="J353" s="22" t="s">
        <v>8</v>
      </c>
      <c r="K353" s="22" t="s">
        <v>8</v>
      </c>
      <c r="L353" s="22" t="s">
        <v>8</v>
      </c>
      <c r="M353" s="22" t="s">
        <v>8</v>
      </c>
      <c r="N353" s="22" t="s">
        <v>8</v>
      </c>
      <c r="O353" s="22" t="s">
        <v>8</v>
      </c>
      <c r="P353" s="22" t="s">
        <v>8</v>
      </c>
      <c r="Q353" s="22" t="s">
        <v>8</v>
      </c>
      <c r="R353" s="22" t="s">
        <v>8</v>
      </c>
      <c r="S353" s="22" t="s">
        <v>8</v>
      </c>
      <c r="T353" s="20" t="s">
        <v>9</v>
      </c>
      <c r="U353" s="20" t="s">
        <v>9</v>
      </c>
      <c r="V353" s="20" t="s">
        <v>1</v>
      </c>
      <c r="W353" s="20">
        <v>5</v>
      </c>
      <c r="X353" s="20">
        <v>2</v>
      </c>
      <c r="Y353" s="20">
        <v>2</v>
      </c>
      <c r="Z353" s="24">
        <v>4</v>
      </c>
      <c r="AA353" s="20">
        <v>3</v>
      </c>
      <c r="AB353" s="15" t="s">
        <v>9</v>
      </c>
      <c r="AC353" s="15" t="s">
        <v>9</v>
      </c>
      <c r="AD353" s="15" t="s">
        <v>9</v>
      </c>
      <c r="AE353" s="15" t="s">
        <v>9</v>
      </c>
      <c r="AF353" s="20" t="s">
        <v>9</v>
      </c>
      <c r="AG353" s="20" t="s">
        <v>9</v>
      </c>
      <c r="AH353" s="20" t="s">
        <v>9</v>
      </c>
      <c r="AI353" s="23">
        <v>3</v>
      </c>
      <c r="AJ353" s="15" t="s">
        <v>9</v>
      </c>
      <c r="AK353" s="15" t="s">
        <v>9</v>
      </c>
      <c r="AL353" s="25" t="s">
        <v>9</v>
      </c>
      <c r="AM353" s="31">
        <v>3</v>
      </c>
      <c r="AN353" s="26" t="s">
        <v>9</v>
      </c>
      <c r="AO353" s="26" t="s">
        <v>9</v>
      </c>
      <c r="AP353" s="26" t="s">
        <v>9</v>
      </c>
      <c r="AQ353" s="26" t="s">
        <v>9</v>
      </c>
      <c r="AR353" s="26" t="s">
        <v>9</v>
      </c>
      <c r="AS353" s="26" t="s">
        <v>9</v>
      </c>
      <c r="AT353" s="26" t="s">
        <v>9</v>
      </c>
      <c r="AU353" s="26" t="s">
        <v>9</v>
      </c>
      <c r="AV353" s="26" t="s">
        <v>9</v>
      </c>
      <c r="AW353" s="26" t="s">
        <v>9</v>
      </c>
      <c r="AX353" s="26" t="s">
        <v>9</v>
      </c>
      <c r="AY353" s="26" t="s">
        <v>9</v>
      </c>
      <c r="AZ353" s="26" t="s">
        <v>9</v>
      </c>
      <c r="BA353" s="23">
        <v>3</v>
      </c>
      <c r="BB353" s="24" t="s">
        <v>9</v>
      </c>
    </row>
    <row r="354" spans="1:54" x14ac:dyDescent="0.2">
      <c r="A354" s="5">
        <v>476</v>
      </c>
      <c r="B354" s="20" t="s">
        <v>9</v>
      </c>
      <c r="C354" s="27" t="s">
        <v>9</v>
      </c>
      <c r="D354" s="27" t="s">
        <v>9</v>
      </c>
      <c r="E354" s="27" t="s">
        <v>9</v>
      </c>
      <c r="F354" s="18" t="s">
        <v>9</v>
      </c>
      <c r="G354" s="27" t="s">
        <v>9</v>
      </c>
      <c r="H354" s="22" t="s">
        <v>8</v>
      </c>
      <c r="I354" s="22" t="s">
        <v>8</v>
      </c>
      <c r="J354" s="22" t="s">
        <v>8</v>
      </c>
      <c r="K354" s="22" t="s">
        <v>8</v>
      </c>
      <c r="L354" s="22" t="s">
        <v>8</v>
      </c>
      <c r="M354" s="22" t="s">
        <v>8</v>
      </c>
      <c r="N354" s="22" t="s">
        <v>8</v>
      </c>
      <c r="O354" s="22" t="s">
        <v>8</v>
      </c>
      <c r="P354" s="22" t="s">
        <v>8</v>
      </c>
      <c r="Q354" s="22" t="s">
        <v>8</v>
      </c>
      <c r="R354" s="22" t="s">
        <v>8</v>
      </c>
      <c r="S354" s="22" t="s">
        <v>8</v>
      </c>
      <c r="T354" s="20" t="s">
        <v>9</v>
      </c>
      <c r="U354" s="20" t="s">
        <v>9</v>
      </c>
      <c r="V354" s="20" t="s">
        <v>1</v>
      </c>
      <c r="W354" s="20">
        <v>5</v>
      </c>
      <c r="X354" s="20">
        <v>2</v>
      </c>
      <c r="Y354" s="20">
        <v>2</v>
      </c>
      <c r="Z354" s="24">
        <v>4</v>
      </c>
      <c r="AA354" s="20">
        <v>3</v>
      </c>
      <c r="AB354" s="15" t="s">
        <v>9</v>
      </c>
      <c r="AC354" s="15" t="s">
        <v>9</v>
      </c>
      <c r="AD354" s="15" t="s">
        <v>9</v>
      </c>
      <c r="AE354" s="15" t="s">
        <v>9</v>
      </c>
      <c r="AF354" s="20" t="s">
        <v>9</v>
      </c>
      <c r="AG354" s="20" t="s">
        <v>9</v>
      </c>
      <c r="AH354" s="20" t="s">
        <v>9</v>
      </c>
      <c r="AI354" s="23">
        <v>3</v>
      </c>
      <c r="AJ354" s="15" t="s">
        <v>9</v>
      </c>
      <c r="AK354" s="15" t="s">
        <v>9</v>
      </c>
      <c r="AL354" s="25" t="s">
        <v>9</v>
      </c>
      <c r="AM354" s="31">
        <v>3</v>
      </c>
      <c r="AN354" s="26" t="s">
        <v>9</v>
      </c>
      <c r="AO354" s="26" t="s">
        <v>9</v>
      </c>
      <c r="AP354" s="26" t="s">
        <v>9</v>
      </c>
      <c r="AQ354" s="26" t="s">
        <v>9</v>
      </c>
      <c r="AR354" s="26" t="s">
        <v>9</v>
      </c>
      <c r="AS354" s="26" t="s">
        <v>9</v>
      </c>
      <c r="AT354" s="26" t="s">
        <v>9</v>
      </c>
      <c r="AU354" s="26" t="s">
        <v>9</v>
      </c>
      <c r="AV354" s="26" t="s">
        <v>9</v>
      </c>
      <c r="AW354" s="26" t="s">
        <v>9</v>
      </c>
      <c r="AX354" s="26" t="s">
        <v>9</v>
      </c>
      <c r="AY354" s="26" t="s">
        <v>9</v>
      </c>
      <c r="AZ354" s="26" t="s">
        <v>9</v>
      </c>
      <c r="BA354" s="23">
        <v>3</v>
      </c>
      <c r="BB354" s="24" t="s">
        <v>9</v>
      </c>
    </row>
    <row r="355" spans="1:54" x14ac:dyDescent="0.2">
      <c r="A355" s="5">
        <v>580</v>
      </c>
      <c r="B355" s="20" t="s">
        <v>9</v>
      </c>
      <c r="C355" s="27" t="s">
        <v>9</v>
      </c>
      <c r="D355" s="27" t="s">
        <v>9</v>
      </c>
      <c r="E355" s="27" t="s">
        <v>9</v>
      </c>
      <c r="F355" s="18" t="s">
        <v>9</v>
      </c>
      <c r="G355" s="27" t="s">
        <v>9</v>
      </c>
      <c r="H355" s="22" t="s">
        <v>8</v>
      </c>
      <c r="I355" s="22" t="s">
        <v>8</v>
      </c>
      <c r="J355" s="22" t="s">
        <v>8</v>
      </c>
      <c r="K355" s="22" t="s">
        <v>8</v>
      </c>
      <c r="L355" s="22" t="s">
        <v>8</v>
      </c>
      <c r="M355" s="22" t="s">
        <v>8</v>
      </c>
      <c r="N355" s="22" t="s">
        <v>8</v>
      </c>
      <c r="O355" s="22" t="s">
        <v>8</v>
      </c>
      <c r="P355" s="22" t="s">
        <v>8</v>
      </c>
      <c r="Q355" s="22" t="s">
        <v>8</v>
      </c>
      <c r="R355" s="22" t="s">
        <v>8</v>
      </c>
      <c r="S355" s="22" t="s">
        <v>8</v>
      </c>
      <c r="T355" s="20" t="s">
        <v>9</v>
      </c>
      <c r="U355" s="20" t="s">
        <v>9</v>
      </c>
      <c r="V355" s="20" t="s">
        <v>1</v>
      </c>
      <c r="W355" s="20">
        <v>5</v>
      </c>
      <c r="X355" s="20">
        <v>2</v>
      </c>
      <c r="Y355" s="20">
        <v>2</v>
      </c>
      <c r="Z355" s="24">
        <v>4</v>
      </c>
      <c r="AA355" s="20">
        <v>3</v>
      </c>
      <c r="AB355" s="15" t="s">
        <v>9</v>
      </c>
      <c r="AC355" s="15" t="s">
        <v>9</v>
      </c>
      <c r="AD355" s="15" t="s">
        <v>9</v>
      </c>
      <c r="AE355" s="15" t="s">
        <v>9</v>
      </c>
      <c r="AF355" s="20" t="s">
        <v>9</v>
      </c>
      <c r="AG355" s="20" t="s">
        <v>9</v>
      </c>
      <c r="AH355" s="20" t="s">
        <v>9</v>
      </c>
      <c r="AI355" s="23">
        <v>3</v>
      </c>
      <c r="AJ355" s="15" t="s">
        <v>9</v>
      </c>
      <c r="AK355" s="15" t="s">
        <v>9</v>
      </c>
      <c r="AL355" s="25" t="s">
        <v>9</v>
      </c>
      <c r="AM355" s="31">
        <v>3</v>
      </c>
      <c r="AN355" s="26" t="s">
        <v>9</v>
      </c>
      <c r="AO355" s="26" t="s">
        <v>9</v>
      </c>
      <c r="AP355" s="26" t="s">
        <v>9</v>
      </c>
      <c r="AQ355" s="26" t="s">
        <v>9</v>
      </c>
      <c r="AR355" s="26" t="s">
        <v>9</v>
      </c>
      <c r="AS355" s="26" t="s">
        <v>9</v>
      </c>
      <c r="AT355" s="26" t="s">
        <v>9</v>
      </c>
      <c r="AU355" s="26" t="s">
        <v>9</v>
      </c>
      <c r="AV355" s="26" t="s">
        <v>9</v>
      </c>
      <c r="AW355" s="26" t="s">
        <v>9</v>
      </c>
      <c r="AX355" s="26" t="s">
        <v>9</v>
      </c>
      <c r="AY355" s="26" t="s">
        <v>9</v>
      </c>
      <c r="AZ355" s="26" t="s">
        <v>9</v>
      </c>
      <c r="BA355" s="23">
        <v>3</v>
      </c>
      <c r="BB355" s="24" t="s">
        <v>9</v>
      </c>
    </row>
    <row r="356" spans="1:54" x14ac:dyDescent="0.2">
      <c r="A356" s="5">
        <v>584</v>
      </c>
      <c r="B356" s="20" t="s">
        <v>9</v>
      </c>
      <c r="C356" s="27" t="s">
        <v>9</v>
      </c>
      <c r="D356" s="27" t="s">
        <v>9</v>
      </c>
      <c r="E356" s="27" t="s">
        <v>9</v>
      </c>
      <c r="F356" s="18" t="s">
        <v>9</v>
      </c>
      <c r="G356" s="27" t="s">
        <v>9</v>
      </c>
      <c r="H356" s="22" t="s">
        <v>8</v>
      </c>
      <c r="I356" s="22" t="s">
        <v>8</v>
      </c>
      <c r="J356" s="22" t="s">
        <v>8</v>
      </c>
      <c r="K356" s="22" t="s">
        <v>8</v>
      </c>
      <c r="L356" s="22" t="s">
        <v>8</v>
      </c>
      <c r="M356" s="22" t="s">
        <v>8</v>
      </c>
      <c r="N356" s="22" t="s">
        <v>8</v>
      </c>
      <c r="O356" s="22" t="s">
        <v>8</v>
      </c>
      <c r="P356" s="22" t="s">
        <v>8</v>
      </c>
      <c r="Q356" s="22" t="s">
        <v>8</v>
      </c>
      <c r="R356" s="22" t="s">
        <v>8</v>
      </c>
      <c r="S356" s="22" t="s">
        <v>8</v>
      </c>
      <c r="T356" s="20" t="s">
        <v>9</v>
      </c>
      <c r="U356" s="20" t="s">
        <v>9</v>
      </c>
      <c r="V356" s="20" t="s">
        <v>1</v>
      </c>
      <c r="W356" s="20">
        <v>5</v>
      </c>
      <c r="X356" s="20">
        <v>2</v>
      </c>
      <c r="Y356" s="20">
        <v>2</v>
      </c>
      <c r="Z356" s="24">
        <v>4</v>
      </c>
      <c r="AA356" s="20">
        <v>3</v>
      </c>
      <c r="AB356" s="15" t="s">
        <v>9</v>
      </c>
      <c r="AC356" s="15" t="s">
        <v>9</v>
      </c>
      <c r="AD356" s="15" t="s">
        <v>9</v>
      </c>
      <c r="AE356" s="15" t="s">
        <v>9</v>
      </c>
      <c r="AF356" s="20" t="s">
        <v>9</v>
      </c>
      <c r="AG356" s="20" t="s">
        <v>9</v>
      </c>
      <c r="AH356" s="20" t="s">
        <v>9</v>
      </c>
      <c r="AI356" s="23">
        <v>3</v>
      </c>
      <c r="AJ356" s="15" t="s">
        <v>9</v>
      </c>
      <c r="AK356" s="15" t="s">
        <v>9</v>
      </c>
      <c r="AL356" s="25" t="s">
        <v>9</v>
      </c>
      <c r="AM356" s="31">
        <v>3</v>
      </c>
      <c r="AN356" s="26" t="s">
        <v>9</v>
      </c>
      <c r="AO356" s="26" t="s">
        <v>9</v>
      </c>
      <c r="AP356" s="26" t="s">
        <v>9</v>
      </c>
      <c r="AQ356" s="26" t="s">
        <v>9</v>
      </c>
      <c r="AR356" s="26" t="s">
        <v>9</v>
      </c>
      <c r="AS356" s="26" t="s">
        <v>9</v>
      </c>
      <c r="AT356" s="26" t="s">
        <v>9</v>
      </c>
      <c r="AU356" s="26" t="s">
        <v>9</v>
      </c>
      <c r="AV356" s="26" t="s">
        <v>9</v>
      </c>
      <c r="AW356" s="26" t="s">
        <v>9</v>
      </c>
      <c r="AX356" s="26" t="s">
        <v>9</v>
      </c>
      <c r="AY356" s="26" t="s">
        <v>9</v>
      </c>
      <c r="AZ356" s="26" t="s">
        <v>9</v>
      </c>
      <c r="BA356" s="23">
        <v>3</v>
      </c>
      <c r="BB356" s="24" t="s">
        <v>9</v>
      </c>
    </row>
    <row r="357" spans="1:54" x14ac:dyDescent="0.2">
      <c r="A357" s="5">
        <v>599</v>
      </c>
      <c r="B357" s="20" t="s">
        <v>9</v>
      </c>
      <c r="C357" s="27" t="s">
        <v>9</v>
      </c>
      <c r="D357" s="27" t="s">
        <v>9</v>
      </c>
      <c r="E357" s="27" t="s">
        <v>9</v>
      </c>
      <c r="F357" s="18" t="s">
        <v>9</v>
      </c>
      <c r="G357" s="27" t="s">
        <v>9</v>
      </c>
      <c r="H357" s="22" t="s">
        <v>8</v>
      </c>
      <c r="I357" s="22" t="s">
        <v>8</v>
      </c>
      <c r="J357" s="22" t="s">
        <v>8</v>
      </c>
      <c r="K357" s="22" t="s">
        <v>8</v>
      </c>
      <c r="L357" s="22" t="s">
        <v>8</v>
      </c>
      <c r="M357" s="22" t="s">
        <v>8</v>
      </c>
      <c r="N357" s="22" t="s">
        <v>8</v>
      </c>
      <c r="O357" s="22" t="s">
        <v>8</v>
      </c>
      <c r="P357" s="22" t="s">
        <v>8</v>
      </c>
      <c r="Q357" s="22" t="s">
        <v>8</v>
      </c>
      <c r="R357" s="22" t="s">
        <v>8</v>
      </c>
      <c r="S357" s="22" t="s">
        <v>8</v>
      </c>
      <c r="T357" s="20" t="s">
        <v>9</v>
      </c>
      <c r="U357" s="20" t="s">
        <v>9</v>
      </c>
      <c r="V357" s="20" t="s">
        <v>1</v>
      </c>
      <c r="W357" s="20">
        <v>5</v>
      </c>
      <c r="X357" s="20">
        <v>2</v>
      </c>
      <c r="Y357" s="20">
        <v>2</v>
      </c>
      <c r="Z357" s="24">
        <v>4</v>
      </c>
      <c r="AA357" s="20">
        <v>3</v>
      </c>
      <c r="AB357" s="15" t="s">
        <v>9</v>
      </c>
      <c r="AC357" s="15" t="s">
        <v>9</v>
      </c>
      <c r="AD357" s="15" t="s">
        <v>9</v>
      </c>
      <c r="AE357" s="15" t="s">
        <v>9</v>
      </c>
      <c r="AF357" s="20" t="s">
        <v>9</v>
      </c>
      <c r="AG357" s="20" t="s">
        <v>9</v>
      </c>
      <c r="AH357" s="20" t="s">
        <v>9</v>
      </c>
      <c r="AI357" s="23">
        <v>3</v>
      </c>
      <c r="AJ357" s="15" t="s">
        <v>9</v>
      </c>
      <c r="AK357" s="15" t="s">
        <v>9</v>
      </c>
      <c r="AL357" s="25" t="s">
        <v>9</v>
      </c>
      <c r="AM357" s="31">
        <v>3</v>
      </c>
      <c r="AN357" s="26" t="s">
        <v>9</v>
      </c>
      <c r="AO357" s="26" t="s">
        <v>9</v>
      </c>
      <c r="AP357" s="26" t="s">
        <v>9</v>
      </c>
      <c r="AQ357" s="26" t="s">
        <v>9</v>
      </c>
      <c r="AR357" s="26" t="s">
        <v>9</v>
      </c>
      <c r="AS357" s="26" t="s">
        <v>9</v>
      </c>
      <c r="AT357" s="26" t="s">
        <v>9</v>
      </c>
      <c r="AU357" s="26" t="s">
        <v>9</v>
      </c>
      <c r="AV357" s="26" t="s">
        <v>9</v>
      </c>
      <c r="AW357" s="26" t="s">
        <v>9</v>
      </c>
      <c r="AX357" s="26" t="s">
        <v>9</v>
      </c>
      <c r="AY357" s="26" t="s">
        <v>9</v>
      </c>
      <c r="AZ357" s="26" t="s">
        <v>9</v>
      </c>
      <c r="BA357" s="23">
        <v>3</v>
      </c>
      <c r="BB357" s="24" t="s">
        <v>9</v>
      </c>
    </row>
    <row r="358" spans="1:54" x14ac:dyDescent="0.2">
      <c r="A358" s="5">
        <v>609</v>
      </c>
      <c r="B358" s="20" t="s">
        <v>9</v>
      </c>
      <c r="C358" s="27" t="s">
        <v>9</v>
      </c>
      <c r="D358" s="27" t="s">
        <v>9</v>
      </c>
      <c r="E358" s="27" t="s">
        <v>9</v>
      </c>
      <c r="F358" s="18" t="s">
        <v>9</v>
      </c>
      <c r="G358" s="27" t="s">
        <v>9</v>
      </c>
      <c r="H358" s="22" t="s">
        <v>8</v>
      </c>
      <c r="I358" s="22" t="s">
        <v>8</v>
      </c>
      <c r="J358" s="22" t="s">
        <v>8</v>
      </c>
      <c r="K358" s="22" t="s">
        <v>8</v>
      </c>
      <c r="L358" s="22" t="s">
        <v>8</v>
      </c>
      <c r="M358" s="22" t="s">
        <v>8</v>
      </c>
      <c r="N358" s="22" t="s">
        <v>8</v>
      </c>
      <c r="O358" s="22" t="s">
        <v>8</v>
      </c>
      <c r="P358" s="22" t="s">
        <v>8</v>
      </c>
      <c r="Q358" s="22" t="s">
        <v>8</v>
      </c>
      <c r="R358" s="22" t="s">
        <v>8</v>
      </c>
      <c r="S358" s="22" t="s">
        <v>8</v>
      </c>
      <c r="T358" s="20" t="s">
        <v>9</v>
      </c>
      <c r="U358" s="20" t="s">
        <v>9</v>
      </c>
      <c r="V358" s="20" t="s">
        <v>1</v>
      </c>
      <c r="W358" s="20">
        <v>5</v>
      </c>
      <c r="X358" s="20">
        <v>2</v>
      </c>
      <c r="Y358" s="20">
        <v>2</v>
      </c>
      <c r="Z358" s="24">
        <v>4</v>
      </c>
      <c r="AA358" s="20">
        <v>3</v>
      </c>
      <c r="AB358" s="15" t="s">
        <v>9</v>
      </c>
      <c r="AC358" s="15" t="s">
        <v>9</v>
      </c>
      <c r="AD358" s="15" t="s">
        <v>9</v>
      </c>
      <c r="AE358" s="15" t="s">
        <v>9</v>
      </c>
      <c r="AF358" s="20" t="s">
        <v>9</v>
      </c>
      <c r="AG358" s="20" t="s">
        <v>9</v>
      </c>
      <c r="AH358" s="20" t="s">
        <v>9</v>
      </c>
      <c r="AI358" s="23">
        <v>3</v>
      </c>
      <c r="AJ358" s="15" t="s">
        <v>9</v>
      </c>
      <c r="AK358" s="15" t="s">
        <v>9</v>
      </c>
      <c r="AL358" s="25" t="s">
        <v>9</v>
      </c>
      <c r="AM358" s="31">
        <v>3</v>
      </c>
      <c r="AN358" s="26" t="s">
        <v>9</v>
      </c>
      <c r="AO358" s="26" t="s">
        <v>9</v>
      </c>
      <c r="AP358" s="26" t="s">
        <v>9</v>
      </c>
      <c r="AQ358" s="26" t="s">
        <v>9</v>
      </c>
      <c r="AR358" s="26" t="s">
        <v>9</v>
      </c>
      <c r="AS358" s="26" t="s">
        <v>9</v>
      </c>
      <c r="AT358" s="26" t="s">
        <v>9</v>
      </c>
      <c r="AU358" s="26" t="s">
        <v>9</v>
      </c>
      <c r="AV358" s="26" t="s">
        <v>9</v>
      </c>
      <c r="AW358" s="26" t="s">
        <v>9</v>
      </c>
      <c r="AX358" s="26" t="s">
        <v>9</v>
      </c>
      <c r="AY358" s="26" t="s">
        <v>9</v>
      </c>
      <c r="AZ358" s="26" t="s">
        <v>9</v>
      </c>
      <c r="BA358" s="23">
        <v>3</v>
      </c>
      <c r="BB358" s="24" t="s">
        <v>9</v>
      </c>
    </row>
    <row r="359" spans="1:54" x14ac:dyDescent="0.2">
      <c r="A359" s="5">
        <v>615</v>
      </c>
      <c r="B359" s="20" t="s">
        <v>9</v>
      </c>
      <c r="C359" s="27" t="s">
        <v>9</v>
      </c>
      <c r="D359" s="27" t="s">
        <v>9</v>
      </c>
      <c r="E359" s="27" t="s">
        <v>9</v>
      </c>
      <c r="F359" s="18" t="s">
        <v>9</v>
      </c>
      <c r="G359" s="27" t="s">
        <v>9</v>
      </c>
      <c r="H359" s="22" t="s">
        <v>8</v>
      </c>
      <c r="I359" s="22" t="s">
        <v>8</v>
      </c>
      <c r="J359" s="22" t="s">
        <v>8</v>
      </c>
      <c r="K359" s="22" t="s">
        <v>8</v>
      </c>
      <c r="L359" s="22" t="s">
        <v>8</v>
      </c>
      <c r="M359" s="22" t="s">
        <v>8</v>
      </c>
      <c r="N359" s="22" t="s">
        <v>8</v>
      </c>
      <c r="O359" s="22" t="s">
        <v>8</v>
      </c>
      <c r="P359" s="22" t="s">
        <v>8</v>
      </c>
      <c r="Q359" s="22" t="s">
        <v>8</v>
      </c>
      <c r="R359" s="22" t="s">
        <v>8</v>
      </c>
      <c r="S359" s="22" t="s">
        <v>8</v>
      </c>
      <c r="T359" s="20" t="s">
        <v>9</v>
      </c>
      <c r="U359" s="20" t="s">
        <v>9</v>
      </c>
      <c r="V359" s="20" t="s">
        <v>1</v>
      </c>
      <c r="W359" s="20">
        <v>5</v>
      </c>
      <c r="X359" s="20">
        <v>2</v>
      </c>
      <c r="Y359" s="20">
        <v>2</v>
      </c>
      <c r="Z359" s="24">
        <v>4</v>
      </c>
      <c r="AA359" s="20">
        <v>3</v>
      </c>
      <c r="AB359" s="15" t="s">
        <v>9</v>
      </c>
      <c r="AC359" s="15" t="s">
        <v>9</v>
      </c>
      <c r="AD359" s="15" t="s">
        <v>9</v>
      </c>
      <c r="AE359" s="15" t="s">
        <v>9</v>
      </c>
      <c r="AF359" s="20" t="s">
        <v>9</v>
      </c>
      <c r="AG359" s="20" t="s">
        <v>9</v>
      </c>
      <c r="AH359" s="20" t="s">
        <v>9</v>
      </c>
      <c r="AI359" s="23">
        <v>3</v>
      </c>
      <c r="AJ359" s="15" t="s">
        <v>9</v>
      </c>
      <c r="AK359" s="15" t="s">
        <v>9</v>
      </c>
      <c r="AL359" s="25" t="s">
        <v>9</v>
      </c>
      <c r="AM359" s="31">
        <v>3</v>
      </c>
      <c r="AN359" s="26" t="s">
        <v>9</v>
      </c>
      <c r="AO359" s="26" t="s">
        <v>9</v>
      </c>
      <c r="AP359" s="26" t="s">
        <v>9</v>
      </c>
      <c r="AQ359" s="26" t="s">
        <v>9</v>
      </c>
      <c r="AR359" s="26" t="s">
        <v>9</v>
      </c>
      <c r="AS359" s="26" t="s">
        <v>9</v>
      </c>
      <c r="AT359" s="26" t="s">
        <v>9</v>
      </c>
      <c r="AU359" s="26" t="s">
        <v>9</v>
      </c>
      <c r="AV359" s="26" t="s">
        <v>9</v>
      </c>
      <c r="AW359" s="26" t="s">
        <v>9</v>
      </c>
      <c r="AX359" s="26" t="s">
        <v>9</v>
      </c>
      <c r="AY359" s="26" t="s">
        <v>9</v>
      </c>
      <c r="AZ359" s="26" t="s">
        <v>9</v>
      </c>
      <c r="BA359" s="23">
        <v>3</v>
      </c>
      <c r="BB359" s="24" t="s">
        <v>9</v>
      </c>
    </row>
    <row r="360" spans="1:54" x14ac:dyDescent="0.2">
      <c r="A360" s="5">
        <v>616</v>
      </c>
      <c r="B360" s="20" t="s">
        <v>9</v>
      </c>
      <c r="C360" s="27" t="s">
        <v>9</v>
      </c>
      <c r="D360" s="27" t="s">
        <v>9</v>
      </c>
      <c r="E360" s="27" t="s">
        <v>9</v>
      </c>
      <c r="F360" s="18" t="s">
        <v>9</v>
      </c>
      <c r="G360" s="27" t="s">
        <v>9</v>
      </c>
      <c r="H360" s="22" t="s">
        <v>8</v>
      </c>
      <c r="I360" s="22" t="s">
        <v>8</v>
      </c>
      <c r="J360" s="22" t="s">
        <v>8</v>
      </c>
      <c r="K360" s="22" t="s">
        <v>8</v>
      </c>
      <c r="L360" s="22" t="s">
        <v>8</v>
      </c>
      <c r="M360" s="22" t="s">
        <v>8</v>
      </c>
      <c r="N360" s="22" t="s">
        <v>8</v>
      </c>
      <c r="O360" s="22" t="s">
        <v>8</v>
      </c>
      <c r="P360" s="22" t="s">
        <v>8</v>
      </c>
      <c r="Q360" s="22" t="s">
        <v>8</v>
      </c>
      <c r="R360" s="22" t="s">
        <v>8</v>
      </c>
      <c r="S360" s="22" t="s">
        <v>8</v>
      </c>
      <c r="T360" s="20" t="s">
        <v>9</v>
      </c>
      <c r="U360" s="20" t="s">
        <v>9</v>
      </c>
      <c r="V360" s="20" t="s">
        <v>1</v>
      </c>
      <c r="W360" s="20">
        <v>5</v>
      </c>
      <c r="X360" s="20">
        <v>2</v>
      </c>
      <c r="Y360" s="20">
        <v>2</v>
      </c>
      <c r="Z360" s="24">
        <v>4</v>
      </c>
      <c r="AA360" s="20">
        <v>3</v>
      </c>
      <c r="AB360" s="15" t="s">
        <v>9</v>
      </c>
      <c r="AC360" s="15" t="s">
        <v>9</v>
      </c>
      <c r="AD360" s="15" t="s">
        <v>9</v>
      </c>
      <c r="AE360" s="15" t="s">
        <v>9</v>
      </c>
      <c r="AF360" s="20" t="s">
        <v>9</v>
      </c>
      <c r="AG360" s="20" t="s">
        <v>9</v>
      </c>
      <c r="AH360" s="20" t="s">
        <v>9</v>
      </c>
      <c r="AI360" s="23">
        <v>3</v>
      </c>
      <c r="AJ360" s="15" t="s">
        <v>9</v>
      </c>
      <c r="AK360" s="15" t="s">
        <v>9</v>
      </c>
      <c r="AL360" s="25" t="s">
        <v>9</v>
      </c>
      <c r="AM360" s="31">
        <v>3</v>
      </c>
      <c r="AN360" s="26" t="s">
        <v>9</v>
      </c>
      <c r="AO360" s="26" t="s">
        <v>9</v>
      </c>
      <c r="AP360" s="26" t="s">
        <v>9</v>
      </c>
      <c r="AQ360" s="26" t="s">
        <v>9</v>
      </c>
      <c r="AR360" s="26" t="s">
        <v>9</v>
      </c>
      <c r="AS360" s="26" t="s">
        <v>9</v>
      </c>
      <c r="AT360" s="26" t="s">
        <v>9</v>
      </c>
      <c r="AU360" s="26" t="s">
        <v>9</v>
      </c>
      <c r="AV360" s="26" t="s">
        <v>9</v>
      </c>
      <c r="AW360" s="26" t="s">
        <v>9</v>
      </c>
      <c r="AX360" s="26" t="s">
        <v>9</v>
      </c>
      <c r="AY360" s="26" t="s">
        <v>9</v>
      </c>
      <c r="AZ360" s="26" t="s">
        <v>9</v>
      </c>
      <c r="BA360" s="23">
        <v>3</v>
      </c>
      <c r="BB360" s="24" t="s">
        <v>9</v>
      </c>
    </row>
    <row r="361" spans="1:54" x14ac:dyDescent="0.2">
      <c r="A361" s="5">
        <v>665</v>
      </c>
      <c r="B361" s="20" t="s">
        <v>9</v>
      </c>
      <c r="C361" s="27" t="s">
        <v>9</v>
      </c>
      <c r="D361" s="27" t="s">
        <v>9</v>
      </c>
      <c r="E361" s="27" t="s">
        <v>9</v>
      </c>
      <c r="F361" s="18" t="s">
        <v>9</v>
      </c>
      <c r="G361" s="27" t="s">
        <v>9</v>
      </c>
      <c r="H361" s="22" t="s">
        <v>8</v>
      </c>
      <c r="I361" s="22" t="s">
        <v>8</v>
      </c>
      <c r="J361" s="22" t="s">
        <v>8</v>
      </c>
      <c r="K361" s="22" t="s">
        <v>8</v>
      </c>
      <c r="L361" s="22" t="s">
        <v>8</v>
      </c>
      <c r="M361" s="22" t="s">
        <v>8</v>
      </c>
      <c r="N361" s="22" t="s">
        <v>8</v>
      </c>
      <c r="O361" s="22" t="s">
        <v>8</v>
      </c>
      <c r="P361" s="22" t="s">
        <v>8</v>
      </c>
      <c r="Q361" s="22" t="s">
        <v>8</v>
      </c>
      <c r="R361" s="22" t="s">
        <v>8</v>
      </c>
      <c r="S361" s="22" t="s">
        <v>8</v>
      </c>
      <c r="T361" s="20" t="s">
        <v>9</v>
      </c>
      <c r="U361" s="20" t="s">
        <v>9</v>
      </c>
      <c r="V361" s="20" t="s">
        <v>1</v>
      </c>
      <c r="W361" s="20">
        <v>5</v>
      </c>
      <c r="X361" s="20">
        <v>2</v>
      </c>
      <c r="Y361" s="20">
        <v>2</v>
      </c>
      <c r="Z361" s="24">
        <v>4</v>
      </c>
      <c r="AA361" s="20">
        <v>3</v>
      </c>
      <c r="AB361" s="15" t="s">
        <v>9</v>
      </c>
      <c r="AC361" s="15" t="s">
        <v>9</v>
      </c>
      <c r="AD361" s="15" t="s">
        <v>9</v>
      </c>
      <c r="AE361" s="15" t="s">
        <v>9</v>
      </c>
      <c r="AF361" s="20" t="s">
        <v>9</v>
      </c>
      <c r="AG361" s="20" t="s">
        <v>9</v>
      </c>
      <c r="AH361" s="20" t="s">
        <v>9</v>
      </c>
      <c r="AI361" s="23">
        <v>3</v>
      </c>
      <c r="AJ361" s="15" t="s">
        <v>9</v>
      </c>
      <c r="AK361" s="15" t="s">
        <v>9</v>
      </c>
      <c r="AL361" s="25" t="s">
        <v>9</v>
      </c>
      <c r="AM361" s="31">
        <v>3</v>
      </c>
      <c r="AN361" s="26" t="s">
        <v>9</v>
      </c>
      <c r="AO361" s="26" t="s">
        <v>9</v>
      </c>
      <c r="AP361" s="26" t="s">
        <v>9</v>
      </c>
      <c r="AQ361" s="26" t="s">
        <v>9</v>
      </c>
      <c r="AR361" s="26" t="s">
        <v>9</v>
      </c>
      <c r="AS361" s="26" t="s">
        <v>9</v>
      </c>
      <c r="AT361" s="26" t="s">
        <v>9</v>
      </c>
      <c r="AU361" s="26" t="s">
        <v>9</v>
      </c>
      <c r="AV361" s="26" t="s">
        <v>9</v>
      </c>
      <c r="AW361" s="26" t="s">
        <v>9</v>
      </c>
      <c r="AX361" s="26" t="s">
        <v>9</v>
      </c>
      <c r="AY361" s="26" t="s">
        <v>9</v>
      </c>
      <c r="AZ361" s="26" t="s">
        <v>9</v>
      </c>
      <c r="BA361" s="23">
        <v>3</v>
      </c>
      <c r="BB361" s="24" t="s">
        <v>9</v>
      </c>
    </row>
    <row r="362" spans="1:54" x14ac:dyDescent="0.2">
      <c r="A362" s="5">
        <v>746</v>
      </c>
      <c r="B362" s="20" t="s">
        <v>9</v>
      </c>
      <c r="C362" s="27" t="s">
        <v>9</v>
      </c>
      <c r="D362" s="27" t="s">
        <v>9</v>
      </c>
      <c r="E362" s="27" t="s">
        <v>9</v>
      </c>
      <c r="F362" s="18" t="s">
        <v>9</v>
      </c>
      <c r="G362" s="27" t="s">
        <v>9</v>
      </c>
      <c r="H362" s="22" t="s">
        <v>8</v>
      </c>
      <c r="I362" s="22" t="s">
        <v>8</v>
      </c>
      <c r="J362" s="22">
        <v>9.7056810403832987</v>
      </c>
      <c r="K362" s="22" t="s">
        <v>8</v>
      </c>
      <c r="L362" s="22" t="s">
        <v>8</v>
      </c>
      <c r="M362" s="22">
        <v>9.7056810403832987</v>
      </c>
      <c r="N362" s="22" t="s">
        <v>8</v>
      </c>
      <c r="O362" s="22" t="s">
        <v>8</v>
      </c>
      <c r="P362" s="22">
        <v>9.4401095140314855</v>
      </c>
      <c r="Q362" s="22" t="s">
        <v>8</v>
      </c>
      <c r="R362" s="22" t="s">
        <v>8</v>
      </c>
      <c r="S362" s="22" t="s">
        <v>8</v>
      </c>
      <c r="T362" s="20" t="s">
        <v>9</v>
      </c>
      <c r="U362" s="20" t="s">
        <v>9</v>
      </c>
      <c r="V362" s="20" t="s">
        <v>1</v>
      </c>
      <c r="W362" s="20">
        <v>5</v>
      </c>
      <c r="X362" s="20">
        <v>2</v>
      </c>
      <c r="Y362" s="20">
        <v>2</v>
      </c>
      <c r="Z362" s="24">
        <v>4</v>
      </c>
      <c r="AA362" s="20">
        <v>3</v>
      </c>
      <c r="AB362" s="15" t="s">
        <v>9</v>
      </c>
      <c r="AC362" s="15" t="s">
        <v>9</v>
      </c>
      <c r="AD362" s="15" t="s">
        <v>9</v>
      </c>
      <c r="AE362" s="15" t="s">
        <v>9</v>
      </c>
      <c r="AF362" s="20" t="s">
        <v>9</v>
      </c>
      <c r="AG362" s="20" t="s">
        <v>9</v>
      </c>
      <c r="AH362" s="20" t="s">
        <v>9</v>
      </c>
      <c r="AI362" s="23">
        <v>3</v>
      </c>
      <c r="AJ362" s="15" t="s">
        <v>9</v>
      </c>
      <c r="AK362" s="15" t="s">
        <v>9</v>
      </c>
      <c r="AL362" s="25" t="s">
        <v>9</v>
      </c>
      <c r="AM362" s="31">
        <v>3</v>
      </c>
      <c r="AN362" s="26" t="s">
        <v>9</v>
      </c>
      <c r="AO362" s="26" t="s">
        <v>9</v>
      </c>
      <c r="AP362" s="26" t="s">
        <v>9</v>
      </c>
      <c r="AQ362" s="26" t="s">
        <v>9</v>
      </c>
      <c r="AR362" s="26" t="s">
        <v>9</v>
      </c>
      <c r="AS362" s="26" t="s">
        <v>9</v>
      </c>
      <c r="AT362" s="26" t="s">
        <v>9</v>
      </c>
      <c r="AU362" s="26" t="s">
        <v>9</v>
      </c>
      <c r="AV362" s="26" t="s">
        <v>9</v>
      </c>
      <c r="AW362" s="26" t="s">
        <v>9</v>
      </c>
      <c r="AX362" s="26" t="s">
        <v>9</v>
      </c>
      <c r="AY362" s="26" t="s">
        <v>9</v>
      </c>
      <c r="AZ362" s="26" t="s">
        <v>9</v>
      </c>
      <c r="BA362" s="23">
        <v>3</v>
      </c>
      <c r="BB362" s="24" t="s">
        <v>9</v>
      </c>
    </row>
    <row r="363" spans="1:54" x14ac:dyDescent="0.2">
      <c r="A363" s="5">
        <v>760</v>
      </c>
      <c r="B363" s="20" t="s">
        <v>9</v>
      </c>
      <c r="C363" s="27" t="s">
        <v>9</v>
      </c>
      <c r="D363" s="27" t="s">
        <v>9</v>
      </c>
      <c r="E363" s="27" t="s">
        <v>9</v>
      </c>
      <c r="F363" s="18" t="s">
        <v>9</v>
      </c>
      <c r="G363" s="27" t="s">
        <v>9</v>
      </c>
      <c r="H363" s="22" t="s">
        <v>8</v>
      </c>
      <c r="I363" s="22" t="s">
        <v>8</v>
      </c>
      <c r="J363" s="22" t="s">
        <v>8</v>
      </c>
      <c r="K363" s="22" t="s">
        <v>8</v>
      </c>
      <c r="L363" s="22" t="s">
        <v>8</v>
      </c>
      <c r="M363" s="22" t="s">
        <v>8</v>
      </c>
      <c r="N363" s="22" t="s">
        <v>8</v>
      </c>
      <c r="O363" s="22" t="s">
        <v>8</v>
      </c>
      <c r="P363" s="22" t="s">
        <v>8</v>
      </c>
      <c r="Q363" s="22" t="s">
        <v>8</v>
      </c>
      <c r="R363" s="22" t="s">
        <v>8</v>
      </c>
      <c r="S363" s="22" t="s">
        <v>8</v>
      </c>
      <c r="T363" s="20" t="s">
        <v>9</v>
      </c>
      <c r="U363" s="20" t="s">
        <v>9</v>
      </c>
      <c r="V363" s="20" t="s">
        <v>1</v>
      </c>
      <c r="W363" s="20">
        <v>5</v>
      </c>
      <c r="X363" s="20">
        <v>2</v>
      </c>
      <c r="Y363" s="20">
        <v>2</v>
      </c>
      <c r="Z363" s="24">
        <v>4</v>
      </c>
      <c r="AA363" s="20">
        <v>3</v>
      </c>
      <c r="AB363" s="15" t="s">
        <v>9</v>
      </c>
      <c r="AC363" s="15" t="s">
        <v>9</v>
      </c>
      <c r="AD363" s="15" t="s">
        <v>9</v>
      </c>
      <c r="AE363" s="15" t="s">
        <v>9</v>
      </c>
      <c r="AF363" s="20" t="s">
        <v>9</v>
      </c>
      <c r="AG363" s="20" t="s">
        <v>9</v>
      </c>
      <c r="AH363" s="20" t="s">
        <v>9</v>
      </c>
      <c r="AI363" s="23">
        <v>3</v>
      </c>
      <c r="AJ363" s="15" t="s">
        <v>9</v>
      </c>
      <c r="AK363" s="15" t="s">
        <v>9</v>
      </c>
      <c r="AL363" s="25" t="s">
        <v>9</v>
      </c>
      <c r="AM363" s="31">
        <v>3</v>
      </c>
      <c r="AN363" s="26" t="s">
        <v>9</v>
      </c>
      <c r="AO363" s="26" t="s">
        <v>9</v>
      </c>
      <c r="AP363" s="26" t="s">
        <v>9</v>
      </c>
      <c r="AQ363" s="26" t="s">
        <v>9</v>
      </c>
      <c r="AR363" s="26" t="s">
        <v>9</v>
      </c>
      <c r="AS363" s="26" t="s">
        <v>9</v>
      </c>
      <c r="AT363" s="26" t="s">
        <v>9</v>
      </c>
      <c r="AU363" s="26" t="s">
        <v>9</v>
      </c>
      <c r="AV363" s="26" t="s">
        <v>9</v>
      </c>
      <c r="AW363" s="26" t="s">
        <v>9</v>
      </c>
      <c r="AX363" s="26" t="s">
        <v>9</v>
      </c>
      <c r="AY363" s="26" t="s">
        <v>9</v>
      </c>
      <c r="AZ363" s="26" t="s">
        <v>9</v>
      </c>
      <c r="BA363" s="23">
        <v>3</v>
      </c>
      <c r="BB363" s="24" t="s">
        <v>9</v>
      </c>
    </row>
    <row r="364" spans="1:54" x14ac:dyDescent="0.2">
      <c r="A364" s="5">
        <v>801</v>
      </c>
      <c r="B364" s="20" t="s">
        <v>9</v>
      </c>
      <c r="C364" s="27" t="s">
        <v>9</v>
      </c>
      <c r="D364" s="27" t="s">
        <v>9</v>
      </c>
      <c r="E364" s="27" t="s">
        <v>9</v>
      </c>
      <c r="F364" s="18" t="s">
        <v>9</v>
      </c>
      <c r="G364" s="27" t="s">
        <v>9</v>
      </c>
      <c r="H364" s="22" t="s">
        <v>8</v>
      </c>
      <c r="I364" s="22" t="s">
        <v>8</v>
      </c>
      <c r="J364" s="22" t="s">
        <v>8</v>
      </c>
      <c r="K364" s="22" t="s">
        <v>8</v>
      </c>
      <c r="L364" s="22" t="s">
        <v>8</v>
      </c>
      <c r="M364" s="22" t="s">
        <v>8</v>
      </c>
      <c r="N364" s="22" t="s">
        <v>8</v>
      </c>
      <c r="O364" s="22" t="s">
        <v>8</v>
      </c>
      <c r="P364" s="22">
        <v>9.1690622861054081</v>
      </c>
      <c r="Q364" s="22" t="s">
        <v>8</v>
      </c>
      <c r="R364" s="22" t="s">
        <v>8</v>
      </c>
      <c r="S364" s="22" t="s">
        <v>8</v>
      </c>
      <c r="T364" s="20" t="s">
        <v>9</v>
      </c>
      <c r="U364" s="20" t="s">
        <v>9</v>
      </c>
      <c r="V364" s="20" t="s">
        <v>1</v>
      </c>
      <c r="W364" s="20">
        <v>5</v>
      </c>
      <c r="X364" s="20">
        <v>2</v>
      </c>
      <c r="Y364" s="20">
        <v>2</v>
      </c>
      <c r="Z364" s="24">
        <v>4</v>
      </c>
      <c r="AA364" s="20">
        <v>3</v>
      </c>
      <c r="AB364" s="15" t="s">
        <v>9</v>
      </c>
      <c r="AC364" s="15" t="s">
        <v>9</v>
      </c>
      <c r="AD364" s="15" t="s">
        <v>9</v>
      </c>
      <c r="AE364" s="15" t="s">
        <v>9</v>
      </c>
      <c r="AF364" s="20" t="s">
        <v>9</v>
      </c>
      <c r="AG364" s="20" t="s">
        <v>9</v>
      </c>
      <c r="AH364" s="20" t="s">
        <v>9</v>
      </c>
      <c r="AI364" s="23">
        <v>3</v>
      </c>
      <c r="AJ364" s="15" t="s">
        <v>9</v>
      </c>
      <c r="AK364" s="15" t="s">
        <v>9</v>
      </c>
      <c r="AL364" s="25" t="s">
        <v>9</v>
      </c>
      <c r="AM364" s="31">
        <v>3</v>
      </c>
      <c r="AN364" s="26" t="s">
        <v>9</v>
      </c>
      <c r="AO364" s="26" t="s">
        <v>9</v>
      </c>
      <c r="AP364" s="26" t="s">
        <v>9</v>
      </c>
      <c r="AQ364" s="26" t="s">
        <v>9</v>
      </c>
      <c r="AR364" s="26" t="s">
        <v>9</v>
      </c>
      <c r="AS364" s="26" t="s">
        <v>9</v>
      </c>
      <c r="AT364" s="26" t="s">
        <v>9</v>
      </c>
      <c r="AU364" s="26" t="s">
        <v>9</v>
      </c>
      <c r="AV364" s="26" t="s">
        <v>9</v>
      </c>
      <c r="AW364" s="26" t="s">
        <v>9</v>
      </c>
      <c r="AX364" s="26" t="s">
        <v>9</v>
      </c>
      <c r="AY364" s="26" t="s">
        <v>9</v>
      </c>
      <c r="AZ364" s="26" t="s">
        <v>9</v>
      </c>
      <c r="BA364" s="23">
        <v>3</v>
      </c>
      <c r="BB364" s="24" t="s">
        <v>9</v>
      </c>
    </row>
    <row r="365" spans="1:54" x14ac:dyDescent="0.2">
      <c r="A365" s="5">
        <v>832</v>
      </c>
      <c r="B365" s="20" t="s">
        <v>9</v>
      </c>
      <c r="C365" s="27" t="s">
        <v>9</v>
      </c>
      <c r="D365" s="27" t="s">
        <v>9</v>
      </c>
      <c r="E365" s="27" t="s">
        <v>9</v>
      </c>
      <c r="F365" s="18" t="s">
        <v>9</v>
      </c>
      <c r="G365" s="27" t="s">
        <v>9</v>
      </c>
      <c r="H365" s="22" t="s">
        <v>8</v>
      </c>
      <c r="I365" s="22" t="s">
        <v>8</v>
      </c>
      <c r="J365" s="22" t="s">
        <v>8</v>
      </c>
      <c r="K365" s="22" t="s">
        <v>8</v>
      </c>
      <c r="L365" s="22" t="s">
        <v>8</v>
      </c>
      <c r="M365" s="22" t="s">
        <v>8</v>
      </c>
      <c r="N365" s="22" t="s">
        <v>8</v>
      </c>
      <c r="O365" s="22" t="s">
        <v>8</v>
      </c>
      <c r="P365" s="22" t="s">
        <v>8</v>
      </c>
      <c r="Q365" s="22" t="s">
        <v>8</v>
      </c>
      <c r="R365" s="22" t="s">
        <v>8</v>
      </c>
      <c r="S365" s="22" t="s">
        <v>8</v>
      </c>
      <c r="T365" s="20" t="s">
        <v>9</v>
      </c>
      <c r="U365" s="20" t="s">
        <v>9</v>
      </c>
      <c r="V365" s="20" t="s">
        <v>1</v>
      </c>
      <c r="W365" s="20">
        <v>5</v>
      </c>
      <c r="X365" s="20">
        <v>2</v>
      </c>
      <c r="Y365" s="20">
        <v>2</v>
      </c>
      <c r="Z365" s="24">
        <v>4</v>
      </c>
      <c r="AA365" s="20">
        <v>3</v>
      </c>
      <c r="AB365" s="15" t="s">
        <v>9</v>
      </c>
      <c r="AC365" s="15" t="s">
        <v>9</v>
      </c>
      <c r="AD365" s="15" t="s">
        <v>9</v>
      </c>
      <c r="AE365" s="15" t="s">
        <v>9</v>
      </c>
      <c r="AF365" s="20" t="s">
        <v>9</v>
      </c>
      <c r="AG365" s="20" t="s">
        <v>9</v>
      </c>
      <c r="AH365" s="20" t="s">
        <v>9</v>
      </c>
      <c r="AI365" s="23">
        <v>3</v>
      </c>
      <c r="AJ365" s="15" t="s">
        <v>9</v>
      </c>
      <c r="AK365" s="15" t="s">
        <v>9</v>
      </c>
      <c r="AL365" s="25" t="s">
        <v>9</v>
      </c>
      <c r="AM365" s="31">
        <v>3</v>
      </c>
      <c r="AN365" s="26" t="s">
        <v>9</v>
      </c>
      <c r="AO365" s="26" t="s">
        <v>9</v>
      </c>
      <c r="AP365" s="26" t="s">
        <v>9</v>
      </c>
      <c r="AQ365" s="26" t="s">
        <v>9</v>
      </c>
      <c r="AR365" s="26" t="s">
        <v>9</v>
      </c>
      <c r="AS365" s="26" t="s">
        <v>9</v>
      </c>
      <c r="AT365" s="26" t="s">
        <v>9</v>
      </c>
      <c r="AU365" s="26" t="s">
        <v>9</v>
      </c>
      <c r="AV365" s="26" t="s">
        <v>9</v>
      </c>
      <c r="AW365" s="26" t="s">
        <v>9</v>
      </c>
      <c r="AX365" s="26" t="s">
        <v>9</v>
      </c>
      <c r="AY365" s="26" t="s">
        <v>9</v>
      </c>
      <c r="AZ365" s="26" t="s">
        <v>9</v>
      </c>
      <c r="BA365" s="23">
        <v>3</v>
      </c>
      <c r="BB365" s="24" t="s">
        <v>9</v>
      </c>
    </row>
    <row r="366" spans="1:54" x14ac:dyDescent="0.2">
      <c r="A366" s="5">
        <v>836</v>
      </c>
      <c r="B366" s="20" t="s">
        <v>9</v>
      </c>
      <c r="C366" s="27" t="s">
        <v>9</v>
      </c>
      <c r="D366" s="27" t="s">
        <v>9</v>
      </c>
      <c r="E366" s="27" t="s">
        <v>9</v>
      </c>
      <c r="F366" s="18" t="s">
        <v>9</v>
      </c>
      <c r="G366" s="27" t="s">
        <v>9</v>
      </c>
      <c r="H366" s="22" t="s">
        <v>8</v>
      </c>
      <c r="I366" s="22" t="s">
        <v>8</v>
      </c>
      <c r="J366" s="22" t="s">
        <v>8</v>
      </c>
      <c r="K366" s="22" t="s">
        <v>8</v>
      </c>
      <c r="L366" s="22" t="s">
        <v>8</v>
      </c>
      <c r="M366" s="22" t="s">
        <v>8</v>
      </c>
      <c r="N366" s="22" t="s">
        <v>8</v>
      </c>
      <c r="O366" s="22" t="s">
        <v>8</v>
      </c>
      <c r="P366" s="22" t="s">
        <v>8</v>
      </c>
      <c r="Q366" s="22" t="s">
        <v>8</v>
      </c>
      <c r="R366" s="22" t="s">
        <v>8</v>
      </c>
      <c r="S366" s="22" t="s">
        <v>8</v>
      </c>
      <c r="T366" s="20" t="s">
        <v>9</v>
      </c>
      <c r="U366" s="20" t="s">
        <v>9</v>
      </c>
      <c r="V366" s="20" t="s">
        <v>1</v>
      </c>
      <c r="W366" s="20">
        <v>5</v>
      </c>
      <c r="X366" s="20">
        <v>2</v>
      </c>
      <c r="Y366" s="20">
        <v>2</v>
      </c>
      <c r="Z366" s="24">
        <v>4</v>
      </c>
      <c r="AA366" s="20">
        <v>3</v>
      </c>
      <c r="AB366" s="15" t="s">
        <v>9</v>
      </c>
      <c r="AC366" s="15" t="s">
        <v>9</v>
      </c>
      <c r="AD366" s="15" t="s">
        <v>9</v>
      </c>
      <c r="AE366" s="15" t="s">
        <v>9</v>
      </c>
      <c r="AF366" s="20" t="s">
        <v>9</v>
      </c>
      <c r="AG366" s="20" t="s">
        <v>9</v>
      </c>
      <c r="AH366" s="20" t="s">
        <v>9</v>
      </c>
      <c r="AI366" s="23">
        <v>3</v>
      </c>
      <c r="AJ366" s="15" t="s">
        <v>9</v>
      </c>
      <c r="AK366" s="15" t="s">
        <v>9</v>
      </c>
      <c r="AL366" s="25" t="s">
        <v>9</v>
      </c>
      <c r="AM366" s="31">
        <v>3</v>
      </c>
      <c r="AN366" s="26" t="s">
        <v>9</v>
      </c>
      <c r="AO366" s="26" t="s">
        <v>9</v>
      </c>
      <c r="AP366" s="26" t="s">
        <v>9</v>
      </c>
      <c r="AQ366" s="26" t="s">
        <v>9</v>
      </c>
      <c r="AR366" s="26" t="s">
        <v>9</v>
      </c>
      <c r="AS366" s="26" t="s">
        <v>9</v>
      </c>
      <c r="AT366" s="26" t="s">
        <v>9</v>
      </c>
      <c r="AU366" s="26" t="s">
        <v>9</v>
      </c>
      <c r="AV366" s="26" t="s">
        <v>9</v>
      </c>
      <c r="AW366" s="26" t="s">
        <v>9</v>
      </c>
      <c r="AX366" s="26" t="s">
        <v>9</v>
      </c>
      <c r="AY366" s="26" t="s">
        <v>9</v>
      </c>
      <c r="AZ366" s="26" t="s">
        <v>9</v>
      </c>
      <c r="BA366" s="23">
        <v>3</v>
      </c>
      <c r="BB366" s="24" t="s">
        <v>9</v>
      </c>
    </row>
    <row r="367" spans="1:54" x14ac:dyDescent="0.2">
      <c r="A367" s="5">
        <v>843</v>
      </c>
      <c r="B367" s="20" t="s">
        <v>9</v>
      </c>
      <c r="C367" s="27" t="s">
        <v>9</v>
      </c>
      <c r="D367" s="27" t="s">
        <v>9</v>
      </c>
      <c r="E367" s="27" t="s">
        <v>9</v>
      </c>
      <c r="F367" s="18" t="s">
        <v>9</v>
      </c>
      <c r="G367" s="27" t="s">
        <v>9</v>
      </c>
      <c r="H367" s="22" t="s">
        <v>8</v>
      </c>
      <c r="I367" s="22" t="s">
        <v>8</v>
      </c>
      <c r="J367" s="22" t="s">
        <v>8</v>
      </c>
      <c r="K367" s="22" t="s">
        <v>8</v>
      </c>
      <c r="L367" s="22" t="s">
        <v>8</v>
      </c>
      <c r="M367" s="22" t="s">
        <v>8</v>
      </c>
      <c r="N367" s="22" t="s">
        <v>8</v>
      </c>
      <c r="O367" s="22" t="s">
        <v>8</v>
      </c>
      <c r="P367" s="22" t="s">
        <v>8</v>
      </c>
      <c r="Q367" s="22" t="s">
        <v>8</v>
      </c>
      <c r="R367" s="22" t="s">
        <v>8</v>
      </c>
      <c r="S367" s="22" t="s">
        <v>8</v>
      </c>
      <c r="T367" s="20" t="s">
        <v>9</v>
      </c>
      <c r="U367" s="20" t="s">
        <v>9</v>
      </c>
      <c r="V367" s="20" t="s">
        <v>1</v>
      </c>
      <c r="W367" s="20">
        <v>5</v>
      </c>
      <c r="X367" s="20">
        <v>2</v>
      </c>
      <c r="Y367" s="20">
        <v>2</v>
      </c>
      <c r="Z367" s="24">
        <v>4</v>
      </c>
      <c r="AA367" s="20">
        <v>3</v>
      </c>
      <c r="AB367" s="15" t="s">
        <v>9</v>
      </c>
      <c r="AC367" s="15" t="s">
        <v>9</v>
      </c>
      <c r="AD367" s="15" t="s">
        <v>9</v>
      </c>
      <c r="AE367" s="15" t="s">
        <v>9</v>
      </c>
      <c r="AF367" s="20" t="s">
        <v>9</v>
      </c>
      <c r="AG367" s="20" t="s">
        <v>9</v>
      </c>
      <c r="AH367" s="20" t="s">
        <v>9</v>
      </c>
      <c r="AI367" s="23">
        <v>3</v>
      </c>
      <c r="AJ367" s="15" t="s">
        <v>9</v>
      </c>
      <c r="AK367" s="15" t="s">
        <v>9</v>
      </c>
      <c r="AL367" s="25" t="s">
        <v>9</v>
      </c>
      <c r="AM367" s="31">
        <v>3</v>
      </c>
      <c r="AN367" s="26" t="s">
        <v>9</v>
      </c>
      <c r="AO367" s="26" t="s">
        <v>9</v>
      </c>
      <c r="AP367" s="26" t="s">
        <v>9</v>
      </c>
      <c r="AQ367" s="26" t="s">
        <v>9</v>
      </c>
      <c r="AR367" s="26" t="s">
        <v>9</v>
      </c>
      <c r="AS367" s="26" t="s">
        <v>9</v>
      </c>
      <c r="AT367" s="26" t="s">
        <v>9</v>
      </c>
      <c r="AU367" s="26" t="s">
        <v>9</v>
      </c>
      <c r="AV367" s="26" t="s">
        <v>9</v>
      </c>
      <c r="AW367" s="26" t="s">
        <v>9</v>
      </c>
      <c r="AX367" s="26" t="s">
        <v>9</v>
      </c>
      <c r="AY367" s="26" t="s">
        <v>9</v>
      </c>
      <c r="AZ367" s="26" t="s">
        <v>9</v>
      </c>
      <c r="BA367" s="23">
        <v>3</v>
      </c>
      <c r="BB367" s="24" t="s">
        <v>9</v>
      </c>
    </row>
    <row r="368" spans="1:54" x14ac:dyDescent="0.2">
      <c r="A368" s="5">
        <v>865</v>
      </c>
      <c r="B368" s="20" t="s">
        <v>9</v>
      </c>
      <c r="C368" s="27" t="s">
        <v>9</v>
      </c>
      <c r="D368" s="27" t="s">
        <v>9</v>
      </c>
      <c r="E368" s="27" t="s">
        <v>9</v>
      </c>
      <c r="F368" s="18" t="s">
        <v>9</v>
      </c>
      <c r="G368" s="27" t="s">
        <v>9</v>
      </c>
      <c r="H368" s="22" t="s">
        <v>8</v>
      </c>
      <c r="I368" s="22" t="s">
        <v>8</v>
      </c>
      <c r="J368" s="22" t="s">
        <v>8</v>
      </c>
      <c r="K368" s="22" t="s">
        <v>8</v>
      </c>
      <c r="L368" s="22" t="s">
        <v>8</v>
      </c>
      <c r="M368" s="22" t="s">
        <v>8</v>
      </c>
      <c r="N368" s="22" t="s">
        <v>8</v>
      </c>
      <c r="O368" s="22" t="s">
        <v>8</v>
      </c>
      <c r="P368" s="22" t="s">
        <v>8</v>
      </c>
      <c r="Q368" s="22" t="s">
        <v>8</v>
      </c>
      <c r="R368" s="22" t="s">
        <v>8</v>
      </c>
      <c r="S368" s="22" t="s">
        <v>8</v>
      </c>
      <c r="T368" s="20" t="s">
        <v>9</v>
      </c>
      <c r="U368" s="20" t="s">
        <v>9</v>
      </c>
      <c r="V368" s="20" t="s">
        <v>1</v>
      </c>
      <c r="W368" s="20">
        <v>5</v>
      </c>
      <c r="X368" s="20">
        <v>2</v>
      </c>
      <c r="Y368" s="20">
        <v>2</v>
      </c>
      <c r="Z368" s="24">
        <v>4</v>
      </c>
      <c r="AA368" s="20">
        <v>3</v>
      </c>
      <c r="AB368" s="15" t="s">
        <v>9</v>
      </c>
      <c r="AC368" s="15" t="s">
        <v>9</v>
      </c>
      <c r="AD368" s="15" t="s">
        <v>9</v>
      </c>
      <c r="AE368" s="15" t="s">
        <v>9</v>
      </c>
      <c r="AF368" s="20" t="s">
        <v>9</v>
      </c>
      <c r="AG368" s="20" t="s">
        <v>9</v>
      </c>
      <c r="AH368" s="20" t="s">
        <v>9</v>
      </c>
      <c r="AI368" s="23">
        <v>3</v>
      </c>
      <c r="AJ368" s="15" t="s">
        <v>9</v>
      </c>
      <c r="AK368" s="15" t="s">
        <v>9</v>
      </c>
      <c r="AL368" s="25" t="s">
        <v>9</v>
      </c>
      <c r="AM368" s="31">
        <v>3</v>
      </c>
      <c r="AN368" s="26" t="s">
        <v>9</v>
      </c>
      <c r="AO368" s="26" t="s">
        <v>9</v>
      </c>
      <c r="AP368" s="26" t="s">
        <v>9</v>
      </c>
      <c r="AQ368" s="26" t="s">
        <v>9</v>
      </c>
      <c r="AR368" s="26" t="s">
        <v>9</v>
      </c>
      <c r="AS368" s="26" t="s">
        <v>9</v>
      </c>
      <c r="AT368" s="26" t="s">
        <v>9</v>
      </c>
      <c r="AU368" s="26" t="s">
        <v>9</v>
      </c>
      <c r="AV368" s="26" t="s">
        <v>9</v>
      </c>
      <c r="AW368" s="26" t="s">
        <v>9</v>
      </c>
      <c r="AX368" s="26" t="s">
        <v>9</v>
      </c>
      <c r="AY368" s="26" t="s">
        <v>9</v>
      </c>
      <c r="AZ368" s="26" t="s">
        <v>9</v>
      </c>
      <c r="BA368" s="23">
        <v>3</v>
      </c>
      <c r="BB368" s="24" t="s">
        <v>9</v>
      </c>
    </row>
    <row r="369" spans="1:54" x14ac:dyDescent="0.2">
      <c r="A369" s="5">
        <v>941</v>
      </c>
      <c r="B369" s="20" t="s">
        <v>9</v>
      </c>
      <c r="C369" s="27" t="s">
        <v>9</v>
      </c>
      <c r="D369" s="27" t="s">
        <v>9</v>
      </c>
      <c r="E369" s="27" t="s">
        <v>9</v>
      </c>
      <c r="F369" s="18" t="s">
        <v>9</v>
      </c>
      <c r="G369" s="27" t="s">
        <v>9</v>
      </c>
      <c r="H369" s="22" t="s">
        <v>8</v>
      </c>
      <c r="I369" s="22" t="s">
        <v>8</v>
      </c>
      <c r="J369" s="22">
        <v>9.8945927446954141</v>
      </c>
      <c r="K369" s="22" t="s">
        <v>8</v>
      </c>
      <c r="L369" s="22" t="s">
        <v>8</v>
      </c>
      <c r="M369" s="22">
        <v>9.9657768651608496</v>
      </c>
      <c r="N369" s="22" t="s">
        <v>8</v>
      </c>
      <c r="O369" s="22" t="s">
        <v>8</v>
      </c>
      <c r="P369" s="22">
        <v>9.7549623545516777</v>
      </c>
      <c r="Q369" s="22" t="s">
        <v>8</v>
      </c>
      <c r="R369" s="22" t="s">
        <v>8</v>
      </c>
      <c r="S369" s="22" t="s">
        <v>8</v>
      </c>
      <c r="T369" s="20" t="s">
        <v>9</v>
      </c>
      <c r="U369" s="20" t="s">
        <v>9</v>
      </c>
      <c r="V369" s="20" t="s">
        <v>1</v>
      </c>
      <c r="W369" s="20">
        <v>5</v>
      </c>
      <c r="X369" s="20">
        <v>2</v>
      </c>
      <c r="Y369" s="20">
        <v>2</v>
      </c>
      <c r="Z369" s="24">
        <v>4</v>
      </c>
      <c r="AA369" s="20">
        <v>3</v>
      </c>
      <c r="AB369" s="15" t="s">
        <v>9</v>
      </c>
      <c r="AC369" s="15" t="s">
        <v>9</v>
      </c>
      <c r="AD369" s="15" t="s">
        <v>9</v>
      </c>
      <c r="AE369" s="15" t="s">
        <v>9</v>
      </c>
      <c r="AF369" s="20" t="s">
        <v>9</v>
      </c>
      <c r="AG369" s="20" t="s">
        <v>9</v>
      </c>
      <c r="AH369" s="20" t="s">
        <v>9</v>
      </c>
      <c r="AI369" s="23">
        <v>3</v>
      </c>
      <c r="AJ369" s="15" t="s">
        <v>9</v>
      </c>
      <c r="AK369" s="15" t="s">
        <v>9</v>
      </c>
      <c r="AL369" s="25" t="s">
        <v>9</v>
      </c>
      <c r="AM369" s="31">
        <v>3</v>
      </c>
      <c r="AN369" s="26" t="s">
        <v>9</v>
      </c>
      <c r="AO369" s="26" t="s">
        <v>9</v>
      </c>
      <c r="AP369" s="26" t="s">
        <v>9</v>
      </c>
      <c r="AQ369" s="26" t="s">
        <v>9</v>
      </c>
      <c r="AR369" s="26" t="s">
        <v>9</v>
      </c>
      <c r="AS369" s="26" t="s">
        <v>9</v>
      </c>
      <c r="AT369" s="26" t="s">
        <v>9</v>
      </c>
      <c r="AU369" s="26" t="s">
        <v>9</v>
      </c>
      <c r="AV369" s="26" t="s">
        <v>9</v>
      </c>
      <c r="AW369" s="26" t="s">
        <v>9</v>
      </c>
      <c r="AX369" s="26" t="s">
        <v>9</v>
      </c>
      <c r="AY369" s="26" t="s">
        <v>9</v>
      </c>
      <c r="AZ369" s="26" t="s">
        <v>9</v>
      </c>
      <c r="BA369" s="23">
        <v>3</v>
      </c>
      <c r="BB369" s="24" t="s">
        <v>9</v>
      </c>
    </row>
    <row r="370" spans="1:54" x14ac:dyDescent="0.2">
      <c r="A370" s="5">
        <v>975</v>
      </c>
      <c r="B370" s="20" t="s">
        <v>9</v>
      </c>
      <c r="C370" s="27" t="s">
        <v>9</v>
      </c>
      <c r="D370" s="27" t="s">
        <v>9</v>
      </c>
      <c r="E370" s="27" t="s">
        <v>9</v>
      </c>
      <c r="F370" s="18" t="s">
        <v>9</v>
      </c>
      <c r="G370" s="27" t="s">
        <v>9</v>
      </c>
      <c r="H370" s="22" t="s">
        <v>8</v>
      </c>
      <c r="I370" s="22" t="s">
        <v>8</v>
      </c>
      <c r="J370" s="22">
        <v>9.6865160848733751</v>
      </c>
      <c r="K370" s="22" t="s">
        <v>8</v>
      </c>
      <c r="L370" s="22" t="s">
        <v>8</v>
      </c>
      <c r="M370" s="22" t="s">
        <v>8</v>
      </c>
      <c r="N370" s="22" t="s">
        <v>8</v>
      </c>
      <c r="O370" s="22" t="s">
        <v>8</v>
      </c>
      <c r="P370" s="22">
        <v>9.5989048596851472</v>
      </c>
      <c r="Q370" s="22" t="s">
        <v>8</v>
      </c>
      <c r="R370" s="22" t="s">
        <v>8</v>
      </c>
      <c r="S370" s="22" t="s">
        <v>8</v>
      </c>
      <c r="T370" s="20" t="s">
        <v>9</v>
      </c>
      <c r="U370" s="20" t="s">
        <v>9</v>
      </c>
      <c r="V370" s="20" t="s">
        <v>1</v>
      </c>
      <c r="W370" s="20">
        <v>5</v>
      </c>
      <c r="X370" s="20">
        <v>2</v>
      </c>
      <c r="Y370" s="20">
        <v>2</v>
      </c>
      <c r="Z370" s="24">
        <v>4</v>
      </c>
      <c r="AA370" s="20">
        <v>3</v>
      </c>
      <c r="AB370" s="15" t="s">
        <v>9</v>
      </c>
      <c r="AC370" s="15" t="s">
        <v>9</v>
      </c>
      <c r="AD370" s="15" t="s">
        <v>9</v>
      </c>
      <c r="AE370" s="15" t="s">
        <v>9</v>
      </c>
      <c r="AF370" s="20" t="s">
        <v>9</v>
      </c>
      <c r="AG370" s="20" t="s">
        <v>9</v>
      </c>
      <c r="AH370" s="20" t="s">
        <v>9</v>
      </c>
      <c r="AI370" s="23">
        <v>3</v>
      </c>
      <c r="AJ370" s="15" t="s">
        <v>9</v>
      </c>
      <c r="AK370" s="15" t="s">
        <v>9</v>
      </c>
      <c r="AL370" s="25" t="s">
        <v>9</v>
      </c>
      <c r="AM370" s="31">
        <v>3</v>
      </c>
      <c r="AN370" s="26" t="s">
        <v>9</v>
      </c>
      <c r="AO370" s="26" t="s">
        <v>9</v>
      </c>
      <c r="AP370" s="26" t="s">
        <v>9</v>
      </c>
      <c r="AQ370" s="26" t="s">
        <v>9</v>
      </c>
      <c r="AR370" s="26" t="s">
        <v>9</v>
      </c>
      <c r="AS370" s="26" t="s">
        <v>9</v>
      </c>
      <c r="AT370" s="26" t="s">
        <v>9</v>
      </c>
      <c r="AU370" s="26" t="s">
        <v>9</v>
      </c>
      <c r="AV370" s="26" t="s">
        <v>9</v>
      </c>
      <c r="AW370" s="26" t="s">
        <v>9</v>
      </c>
      <c r="AX370" s="26" t="s">
        <v>9</v>
      </c>
      <c r="AY370" s="26" t="s">
        <v>9</v>
      </c>
      <c r="AZ370" s="26" t="s">
        <v>9</v>
      </c>
      <c r="BA370" s="23">
        <v>3</v>
      </c>
      <c r="BB370" s="24" t="s">
        <v>9</v>
      </c>
    </row>
    <row r="371" spans="1:54" x14ac:dyDescent="0.2">
      <c r="A371" s="5">
        <v>978</v>
      </c>
      <c r="B371" s="20" t="s">
        <v>9</v>
      </c>
      <c r="C371" s="27" t="s">
        <v>9</v>
      </c>
      <c r="D371" s="27" t="s">
        <v>9</v>
      </c>
      <c r="E371" s="27" t="s">
        <v>9</v>
      </c>
      <c r="F371" s="18" t="s">
        <v>9</v>
      </c>
      <c r="G371" s="27" t="s">
        <v>9</v>
      </c>
      <c r="H371" s="22" t="s">
        <v>8</v>
      </c>
      <c r="I371" s="22" t="s">
        <v>8</v>
      </c>
      <c r="J371" s="22" t="s">
        <v>8</v>
      </c>
      <c r="K371" s="22" t="s">
        <v>8</v>
      </c>
      <c r="L371" s="22" t="s">
        <v>8</v>
      </c>
      <c r="M371" s="22" t="s">
        <v>8</v>
      </c>
      <c r="N371" s="22" t="s">
        <v>8</v>
      </c>
      <c r="O371" s="22" t="s">
        <v>8</v>
      </c>
      <c r="P371" s="22" t="s">
        <v>8</v>
      </c>
      <c r="Q371" s="22" t="s">
        <v>8</v>
      </c>
      <c r="R371" s="22" t="s">
        <v>8</v>
      </c>
      <c r="S371" s="22" t="s">
        <v>8</v>
      </c>
      <c r="T371" s="20" t="s">
        <v>9</v>
      </c>
      <c r="U371" s="20" t="s">
        <v>9</v>
      </c>
      <c r="V371" s="20" t="s">
        <v>1</v>
      </c>
      <c r="W371" s="20">
        <v>5</v>
      </c>
      <c r="X371" s="20">
        <v>2</v>
      </c>
      <c r="Y371" s="20">
        <v>2</v>
      </c>
      <c r="Z371" s="24">
        <v>4</v>
      </c>
      <c r="AA371" s="20">
        <v>3</v>
      </c>
      <c r="AB371" s="15" t="s">
        <v>9</v>
      </c>
      <c r="AC371" s="15" t="s">
        <v>9</v>
      </c>
      <c r="AD371" s="15" t="s">
        <v>9</v>
      </c>
      <c r="AE371" s="15" t="s">
        <v>9</v>
      </c>
      <c r="AF371" s="20" t="s">
        <v>9</v>
      </c>
      <c r="AG371" s="20" t="s">
        <v>9</v>
      </c>
      <c r="AH371" s="20" t="s">
        <v>9</v>
      </c>
      <c r="AI371" s="23">
        <v>3</v>
      </c>
      <c r="AJ371" s="15" t="s">
        <v>9</v>
      </c>
      <c r="AK371" s="15" t="s">
        <v>9</v>
      </c>
      <c r="AL371" s="25" t="s">
        <v>9</v>
      </c>
      <c r="AM371" s="31">
        <v>3</v>
      </c>
      <c r="AN371" s="26" t="s">
        <v>9</v>
      </c>
      <c r="AO371" s="26" t="s">
        <v>9</v>
      </c>
      <c r="AP371" s="26" t="s">
        <v>9</v>
      </c>
      <c r="AQ371" s="26" t="s">
        <v>9</v>
      </c>
      <c r="AR371" s="26" t="s">
        <v>9</v>
      </c>
      <c r="AS371" s="26" t="s">
        <v>9</v>
      </c>
      <c r="AT371" s="26" t="s">
        <v>9</v>
      </c>
      <c r="AU371" s="26" t="s">
        <v>9</v>
      </c>
      <c r="AV371" s="26" t="s">
        <v>9</v>
      </c>
      <c r="AW371" s="26" t="s">
        <v>9</v>
      </c>
      <c r="AX371" s="26" t="s">
        <v>9</v>
      </c>
      <c r="AY371" s="26" t="s">
        <v>9</v>
      </c>
      <c r="AZ371" s="26" t="s">
        <v>9</v>
      </c>
      <c r="BA371" s="23">
        <v>3</v>
      </c>
      <c r="BB371" s="24" t="s">
        <v>9</v>
      </c>
    </row>
    <row r="372" spans="1:54" x14ac:dyDescent="0.2">
      <c r="A372" s="5">
        <v>980</v>
      </c>
      <c r="B372" s="20" t="s">
        <v>9</v>
      </c>
      <c r="C372" s="27" t="s">
        <v>9</v>
      </c>
      <c r="D372" s="27" t="s">
        <v>9</v>
      </c>
      <c r="E372" s="27" t="s">
        <v>9</v>
      </c>
      <c r="F372" s="18" t="s">
        <v>9</v>
      </c>
      <c r="G372" s="27" t="s">
        <v>9</v>
      </c>
      <c r="H372" s="22" t="s">
        <v>8</v>
      </c>
      <c r="I372" s="22" t="s">
        <v>8</v>
      </c>
      <c r="J372" s="22" t="s">
        <v>8</v>
      </c>
      <c r="K372" s="22" t="s">
        <v>8</v>
      </c>
      <c r="L372" s="22" t="s">
        <v>8</v>
      </c>
      <c r="M372" s="22" t="s">
        <v>8</v>
      </c>
      <c r="N372" s="22" t="s">
        <v>8</v>
      </c>
      <c r="O372" s="22" t="s">
        <v>8</v>
      </c>
      <c r="P372" s="22" t="s">
        <v>8</v>
      </c>
      <c r="Q372" s="22" t="s">
        <v>8</v>
      </c>
      <c r="R372" s="22" t="s">
        <v>8</v>
      </c>
      <c r="S372" s="22" t="s">
        <v>8</v>
      </c>
      <c r="T372" s="20" t="s">
        <v>9</v>
      </c>
      <c r="U372" s="20" t="s">
        <v>9</v>
      </c>
      <c r="V372" s="20" t="s">
        <v>1</v>
      </c>
      <c r="W372" s="20">
        <v>5</v>
      </c>
      <c r="X372" s="20">
        <v>2</v>
      </c>
      <c r="Y372" s="20">
        <v>2</v>
      </c>
      <c r="Z372" s="24">
        <v>4</v>
      </c>
      <c r="AA372" s="20">
        <v>3</v>
      </c>
      <c r="AB372" s="15" t="s">
        <v>9</v>
      </c>
      <c r="AC372" s="15" t="s">
        <v>9</v>
      </c>
      <c r="AD372" s="15" t="s">
        <v>9</v>
      </c>
      <c r="AE372" s="15" t="s">
        <v>9</v>
      </c>
      <c r="AF372" s="20" t="s">
        <v>9</v>
      </c>
      <c r="AG372" s="20" t="s">
        <v>9</v>
      </c>
      <c r="AH372" s="20" t="s">
        <v>9</v>
      </c>
      <c r="AI372" s="23">
        <v>3</v>
      </c>
      <c r="AJ372" s="15" t="s">
        <v>9</v>
      </c>
      <c r="AK372" s="15" t="s">
        <v>9</v>
      </c>
      <c r="AL372" s="25" t="s">
        <v>9</v>
      </c>
      <c r="AM372" s="31">
        <v>3</v>
      </c>
      <c r="AN372" s="26" t="s">
        <v>9</v>
      </c>
      <c r="AO372" s="26" t="s">
        <v>9</v>
      </c>
      <c r="AP372" s="26" t="s">
        <v>9</v>
      </c>
      <c r="AQ372" s="26" t="s">
        <v>9</v>
      </c>
      <c r="AR372" s="26" t="s">
        <v>9</v>
      </c>
      <c r="AS372" s="26" t="s">
        <v>9</v>
      </c>
      <c r="AT372" s="26" t="s">
        <v>9</v>
      </c>
      <c r="AU372" s="26" t="s">
        <v>9</v>
      </c>
      <c r="AV372" s="26" t="s">
        <v>9</v>
      </c>
      <c r="AW372" s="26" t="s">
        <v>9</v>
      </c>
      <c r="AX372" s="26" t="s">
        <v>9</v>
      </c>
      <c r="AY372" s="26" t="s">
        <v>9</v>
      </c>
      <c r="AZ372" s="26" t="s">
        <v>9</v>
      </c>
      <c r="BA372" s="23">
        <v>3</v>
      </c>
      <c r="BB372" s="24" t="s">
        <v>9</v>
      </c>
    </row>
    <row r="373" spans="1:54" x14ac:dyDescent="0.2">
      <c r="A373" s="5">
        <v>1011</v>
      </c>
      <c r="B373" s="20" t="s">
        <v>9</v>
      </c>
      <c r="C373" s="27" t="s">
        <v>9</v>
      </c>
      <c r="D373" s="27" t="s">
        <v>9</v>
      </c>
      <c r="E373" s="27" t="s">
        <v>9</v>
      </c>
      <c r="F373" s="18" t="s">
        <v>9</v>
      </c>
      <c r="G373" s="27" t="s">
        <v>9</v>
      </c>
      <c r="H373" s="22" t="s">
        <v>8</v>
      </c>
      <c r="I373" s="22" t="s">
        <v>8</v>
      </c>
      <c r="J373" s="22" t="s">
        <v>8</v>
      </c>
      <c r="K373" s="22" t="s">
        <v>8</v>
      </c>
      <c r="L373" s="22" t="s">
        <v>8</v>
      </c>
      <c r="M373" s="22" t="s">
        <v>8</v>
      </c>
      <c r="N373" s="22" t="s">
        <v>8</v>
      </c>
      <c r="O373" s="22" t="s">
        <v>8</v>
      </c>
      <c r="P373" s="22" t="s">
        <v>8</v>
      </c>
      <c r="Q373" s="22" t="s">
        <v>8</v>
      </c>
      <c r="R373" s="22" t="s">
        <v>8</v>
      </c>
      <c r="S373" s="22" t="s">
        <v>8</v>
      </c>
      <c r="T373" s="20" t="s">
        <v>9</v>
      </c>
      <c r="U373" s="20" t="s">
        <v>9</v>
      </c>
      <c r="V373" s="20" t="s">
        <v>1</v>
      </c>
      <c r="W373" s="20">
        <v>5</v>
      </c>
      <c r="X373" s="20">
        <v>2</v>
      </c>
      <c r="Y373" s="20">
        <v>2</v>
      </c>
      <c r="Z373" s="24">
        <v>4</v>
      </c>
      <c r="AA373" s="20">
        <v>3</v>
      </c>
      <c r="AB373" s="15" t="s">
        <v>9</v>
      </c>
      <c r="AC373" s="15" t="s">
        <v>9</v>
      </c>
      <c r="AD373" s="15" t="s">
        <v>9</v>
      </c>
      <c r="AE373" s="15" t="s">
        <v>9</v>
      </c>
      <c r="AF373" s="20" t="s">
        <v>9</v>
      </c>
      <c r="AG373" s="20" t="s">
        <v>9</v>
      </c>
      <c r="AH373" s="20" t="s">
        <v>9</v>
      </c>
      <c r="AI373" s="23">
        <v>3</v>
      </c>
      <c r="AJ373" s="15" t="s">
        <v>9</v>
      </c>
      <c r="AK373" s="15" t="s">
        <v>9</v>
      </c>
      <c r="AL373" s="25" t="s">
        <v>9</v>
      </c>
      <c r="AM373" s="31">
        <v>3</v>
      </c>
      <c r="AN373" s="26" t="s">
        <v>9</v>
      </c>
      <c r="AO373" s="26" t="s">
        <v>9</v>
      </c>
      <c r="AP373" s="26" t="s">
        <v>9</v>
      </c>
      <c r="AQ373" s="26" t="s">
        <v>9</v>
      </c>
      <c r="AR373" s="26" t="s">
        <v>9</v>
      </c>
      <c r="AS373" s="26" t="s">
        <v>9</v>
      </c>
      <c r="AT373" s="26" t="s">
        <v>9</v>
      </c>
      <c r="AU373" s="26" t="s">
        <v>9</v>
      </c>
      <c r="AV373" s="26" t="s">
        <v>9</v>
      </c>
      <c r="AW373" s="26" t="s">
        <v>9</v>
      </c>
      <c r="AX373" s="26" t="s">
        <v>9</v>
      </c>
      <c r="AY373" s="26" t="s">
        <v>9</v>
      </c>
      <c r="AZ373" s="26" t="s">
        <v>9</v>
      </c>
      <c r="BA373" s="23">
        <v>3</v>
      </c>
      <c r="BB373" s="24" t="s">
        <v>9</v>
      </c>
    </row>
    <row r="374" spans="1:54" x14ac:dyDescent="0.2">
      <c r="A374" s="5">
        <v>1041</v>
      </c>
      <c r="B374" s="20" t="s">
        <v>9</v>
      </c>
      <c r="C374" s="27" t="s">
        <v>9</v>
      </c>
      <c r="D374" s="27" t="s">
        <v>9</v>
      </c>
      <c r="E374" s="27" t="s">
        <v>9</v>
      </c>
      <c r="F374" s="18" t="s">
        <v>9</v>
      </c>
      <c r="G374" s="27" t="s">
        <v>9</v>
      </c>
      <c r="H374" s="22" t="s">
        <v>8</v>
      </c>
      <c r="I374" s="22" t="s">
        <v>8</v>
      </c>
      <c r="J374" s="22" t="s">
        <v>8</v>
      </c>
      <c r="K374" s="22" t="s">
        <v>8</v>
      </c>
      <c r="L374" s="22" t="s">
        <v>8</v>
      </c>
      <c r="M374" s="22" t="s">
        <v>8</v>
      </c>
      <c r="N374" s="22" t="s">
        <v>8</v>
      </c>
      <c r="O374" s="22" t="s">
        <v>8</v>
      </c>
      <c r="P374" s="22" t="s">
        <v>8</v>
      </c>
      <c r="Q374" s="22" t="s">
        <v>8</v>
      </c>
      <c r="R374" s="22" t="s">
        <v>8</v>
      </c>
      <c r="S374" s="22" t="s">
        <v>8</v>
      </c>
      <c r="T374" s="20" t="s">
        <v>9</v>
      </c>
      <c r="U374" s="20" t="s">
        <v>9</v>
      </c>
      <c r="V374" s="20" t="s">
        <v>1</v>
      </c>
      <c r="W374" s="20">
        <v>5</v>
      </c>
      <c r="X374" s="20">
        <v>2</v>
      </c>
      <c r="Y374" s="20">
        <v>2</v>
      </c>
      <c r="Z374" s="24">
        <v>4</v>
      </c>
      <c r="AA374" s="20">
        <v>3</v>
      </c>
      <c r="AB374" s="15" t="s">
        <v>9</v>
      </c>
      <c r="AC374" s="15" t="s">
        <v>9</v>
      </c>
      <c r="AD374" s="15" t="s">
        <v>9</v>
      </c>
      <c r="AE374" s="15" t="s">
        <v>9</v>
      </c>
      <c r="AF374" s="20" t="s">
        <v>9</v>
      </c>
      <c r="AG374" s="20" t="s">
        <v>9</v>
      </c>
      <c r="AH374" s="20" t="s">
        <v>9</v>
      </c>
      <c r="AI374" s="23">
        <v>3</v>
      </c>
      <c r="AJ374" s="15" t="s">
        <v>9</v>
      </c>
      <c r="AK374" s="15" t="s">
        <v>9</v>
      </c>
      <c r="AL374" s="25" t="s">
        <v>9</v>
      </c>
      <c r="AM374" s="31">
        <v>3</v>
      </c>
      <c r="AN374" s="26" t="s">
        <v>9</v>
      </c>
      <c r="AO374" s="26" t="s">
        <v>9</v>
      </c>
      <c r="AP374" s="26" t="s">
        <v>9</v>
      </c>
      <c r="AQ374" s="26" t="s">
        <v>9</v>
      </c>
      <c r="AR374" s="26" t="s">
        <v>9</v>
      </c>
      <c r="AS374" s="26" t="s">
        <v>9</v>
      </c>
      <c r="AT374" s="26" t="s">
        <v>9</v>
      </c>
      <c r="AU374" s="26" t="s">
        <v>9</v>
      </c>
      <c r="AV374" s="26" t="s">
        <v>9</v>
      </c>
      <c r="AW374" s="26" t="s">
        <v>9</v>
      </c>
      <c r="AX374" s="26" t="s">
        <v>9</v>
      </c>
      <c r="AY374" s="26" t="s">
        <v>9</v>
      </c>
      <c r="AZ374" s="26" t="s">
        <v>9</v>
      </c>
      <c r="BA374" s="23">
        <v>3</v>
      </c>
      <c r="BB374" s="24" t="s">
        <v>9</v>
      </c>
    </row>
    <row r="375" spans="1:54" x14ac:dyDescent="0.2">
      <c r="A375" s="5">
        <v>1043</v>
      </c>
      <c r="B375" s="20" t="s">
        <v>9</v>
      </c>
      <c r="C375" s="27" t="s">
        <v>9</v>
      </c>
      <c r="D375" s="27" t="s">
        <v>9</v>
      </c>
      <c r="E375" s="27" t="s">
        <v>9</v>
      </c>
      <c r="F375" s="18" t="s">
        <v>9</v>
      </c>
      <c r="G375" s="27" t="s">
        <v>9</v>
      </c>
      <c r="H375" s="22" t="s">
        <v>8</v>
      </c>
      <c r="I375" s="22" t="s">
        <v>8</v>
      </c>
      <c r="J375" s="22" t="s">
        <v>8</v>
      </c>
      <c r="K375" s="22" t="s">
        <v>8</v>
      </c>
      <c r="L375" s="22" t="s">
        <v>8</v>
      </c>
      <c r="M375" s="22" t="s">
        <v>8</v>
      </c>
      <c r="N375" s="22" t="s">
        <v>8</v>
      </c>
      <c r="O375" s="22" t="s">
        <v>8</v>
      </c>
      <c r="P375" s="22" t="s">
        <v>8</v>
      </c>
      <c r="Q375" s="22" t="s">
        <v>8</v>
      </c>
      <c r="R375" s="22" t="s">
        <v>8</v>
      </c>
      <c r="S375" s="22" t="s">
        <v>8</v>
      </c>
      <c r="T375" s="20" t="s">
        <v>9</v>
      </c>
      <c r="U375" s="20" t="s">
        <v>9</v>
      </c>
      <c r="V375" s="20" t="s">
        <v>1</v>
      </c>
      <c r="W375" s="20">
        <v>5</v>
      </c>
      <c r="X375" s="20">
        <v>2</v>
      </c>
      <c r="Y375" s="20">
        <v>2</v>
      </c>
      <c r="Z375" s="24">
        <v>4</v>
      </c>
      <c r="AA375" s="20">
        <v>3</v>
      </c>
      <c r="AB375" s="15" t="s">
        <v>9</v>
      </c>
      <c r="AC375" s="15" t="s">
        <v>9</v>
      </c>
      <c r="AD375" s="15" t="s">
        <v>9</v>
      </c>
      <c r="AE375" s="15" t="s">
        <v>9</v>
      </c>
      <c r="AF375" s="20" t="s">
        <v>9</v>
      </c>
      <c r="AG375" s="20" t="s">
        <v>9</v>
      </c>
      <c r="AH375" s="20" t="s">
        <v>9</v>
      </c>
      <c r="AI375" s="23">
        <v>3</v>
      </c>
      <c r="AJ375" s="15" t="s">
        <v>9</v>
      </c>
      <c r="AK375" s="15" t="s">
        <v>9</v>
      </c>
      <c r="AL375" s="25" t="s">
        <v>9</v>
      </c>
      <c r="AM375" s="31">
        <v>3</v>
      </c>
      <c r="AN375" s="26" t="s">
        <v>9</v>
      </c>
      <c r="AO375" s="26" t="s">
        <v>9</v>
      </c>
      <c r="AP375" s="26" t="s">
        <v>9</v>
      </c>
      <c r="AQ375" s="26" t="s">
        <v>9</v>
      </c>
      <c r="AR375" s="26" t="s">
        <v>9</v>
      </c>
      <c r="AS375" s="26" t="s">
        <v>9</v>
      </c>
      <c r="AT375" s="26" t="s">
        <v>9</v>
      </c>
      <c r="AU375" s="26" t="s">
        <v>9</v>
      </c>
      <c r="AV375" s="26" t="s">
        <v>9</v>
      </c>
      <c r="AW375" s="26" t="s">
        <v>9</v>
      </c>
      <c r="AX375" s="26" t="s">
        <v>9</v>
      </c>
      <c r="AY375" s="26" t="s">
        <v>9</v>
      </c>
      <c r="AZ375" s="26" t="s">
        <v>9</v>
      </c>
      <c r="BA375" s="23">
        <v>3</v>
      </c>
      <c r="BB375" s="24" t="s">
        <v>9</v>
      </c>
    </row>
    <row r="376" spans="1:54" x14ac:dyDescent="0.2">
      <c r="A376" s="5">
        <v>1108</v>
      </c>
      <c r="B376" s="20" t="s">
        <v>9</v>
      </c>
      <c r="C376" s="27" t="s">
        <v>9</v>
      </c>
      <c r="D376" s="27" t="s">
        <v>9</v>
      </c>
      <c r="E376" s="27" t="s">
        <v>9</v>
      </c>
      <c r="F376" s="18" t="s">
        <v>9</v>
      </c>
      <c r="G376" s="27" t="s">
        <v>9</v>
      </c>
      <c r="H376" s="22" t="s">
        <v>8</v>
      </c>
      <c r="I376" s="22" t="s">
        <v>8</v>
      </c>
      <c r="J376" s="22" t="s">
        <v>8</v>
      </c>
      <c r="K376" s="22" t="s">
        <v>8</v>
      </c>
      <c r="L376" s="22" t="s">
        <v>8</v>
      </c>
      <c r="M376" s="22" t="s">
        <v>8</v>
      </c>
      <c r="N376" s="22" t="s">
        <v>8</v>
      </c>
      <c r="O376" s="22" t="s">
        <v>8</v>
      </c>
      <c r="P376" s="22" t="s">
        <v>8</v>
      </c>
      <c r="Q376" s="22" t="s">
        <v>8</v>
      </c>
      <c r="R376" s="22" t="s">
        <v>8</v>
      </c>
      <c r="S376" s="22" t="s">
        <v>8</v>
      </c>
      <c r="T376" s="20" t="s">
        <v>9</v>
      </c>
      <c r="U376" s="20" t="s">
        <v>9</v>
      </c>
      <c r="V376" s="20" t="s">
        <v>1</v>
      </c>
      <c r="W376" s="20">
        <v>5</v>
      </c>
      <c r="X376" s="20">
        <v>2</v>
      </c>
      <c r="Y376" s="20">
        <v>2</v>
      </c>
      <c r="Z376" s="24">
        <v>4</v>
      </c>
      <c r="AA376" s="20">
        <v>3</v>
      </c>
      <c r="AB376" s="15" t="s">
        <v>9</v>
      </c>
      <c r="AC376" s="15" t="s">
        <v>9</v>
      </c>
      <c r="AD376" s="15" t="s">
        <v>9</v>
      </c>
      <c r="AE376" s="15" t="s">
        <v>9</v>
      </c>
      <c r="AF376" s="20" t="s">
        <v>9</v>
      </c>
      <c r="AG376" s="20" t="s">
        <v>9</v>
      </c>
      <c r="AH376" s="20" t="s">
        <v>9</v>
      </c>
      <c r="AI376" s="23">
        <v>3</v>
      </c>
      <c r="AJ376" s="15" t="s">
        <v>9</v>
      </c>
      <c r="AK376" s="15" t="s">
        <v>9</v>
      </c>
      <c r="AL376" s="25" t="s">
        <v>9</v>
      </c>
      <c r="AM376" s="31">
        <v>3</v>
      </c>
      <c r="AN376" s="26" t="s">
        <v>9</v>
      </c>
      <c r="AO376" s="26" t="s">
        <v>9</v>
      </c>
      <c r="AP376" s="26" t="s">
        <v>9</v>
      </c>
      <c r="AQ376" s="26" t="s">
        <v>9</v>
      </c>
      <c r="AR376" s="26" t="s">
        <v>9</v>
      </c>
      <c r="AS376" s="26" t="s">
        <v>9</v>
      </c>
      <c r="AT376" s="26" t="s">
        <v>9</v>
      </c>
      <c r="AU376" s="26" t="s">
        <v>9</v>
      </c>
      <c r="AV376" s="26" t="s">
        <v>9</v>
      </c>
      <c r="AW376" s="26" t="s">
        <v>9</v>
      </c>
      <c r="AX376" s="26" t="s">
        <v>9</v>
      </c>
      <c r="AY376" s="26" t="s">
        <v>9</v>
      </c>
      <c r="AZ376" s="26" t="s">
        <v>9</v>
      </c>
      <c r="BA376" s="23">
        <v>3</v>
      </c>
      <c r="BB376" s="24" t="s">
        <v>9</v>
      </c>
    </row>
    <row r="377" spans="1:54" x14ac:dyDescent="0.2">
      <c r="A377" s="5">
        <v>1119</v>
      </c>
      <c r="B377" s="20" t="s">
        <v>9</v>
      </c>
      <c r="C377" s="27" t="s">
        <v>9</v>
      </c>
      <c r="D377" s="27" t="s">
        <v>9</v>
      </c>
      <c r="E377" s="27" t="s">
        <v>9</v>
      </c>
      <c r="F377" s="18" t="s">
        <v>9</v>
      </c>
      <c r="G377" s="27" t="s">
        <v>9</v>
      </c>
      <c r="H377" s="22" t="s">
        <v>8</v>
      </c>
      <c r="I377" s="22" t="s">
        <v>8</v>
      </c>
      <c r="J377" s="22">
        <v>9.6755646817248468</v>
      </c>
      <c r="K377" s="22" t="s">
        <v>8</v>
      </c>
      <c r="L377" s="22" t="s">
        <v>8</v>
      </c>
      <c r="M377" s="22">
        <v>9.6755646817248468</v>
      </c>
      <c r="N377" s="22" t="s">
        <v>8</v>
      </c>
      <c r="O377" s="22" t="s">
        <v>8</v>
      </c>
      <c r="P377" s="22">
        <v>9.6016427104722801</v>
      </c>
      <c r="Q377" s="22" t="s">
        <v>8</v>
      </c>
      <c r="R377" s="22" t="s">
        <v>8</v>
      </c>
      <c r="S377" s="22" t="s">
        <v>8</v>
      </c>
      <c r="T377" s="20" t="s">
        <v>9</v>
      </c>
      <c r="U377" s="20" t="s">
        <v>9</v>
      </c>
      <c r="V377" s="20" t="s">
        <v>1</v>
      </c>
      <c r="W377" s="20">
        <v>5</v>
      </c>
      <c r="X377" s="20">
        <v>2</v>
      </c>
      <c r="Y377" s="20">
        <v>2</v>
      </c>
      <c r="Z377" s="24">
        <v>4</v>
      </c>
      <c r="AA377" s="20">
        <v>3</v>
      </c>
      <c r="AB377" s="15" t="s">
        <v>9</v>
      </c>
      <c r="AC377" s="15" t="s">
        <v>9</v>
      </c>
      <c r="AD377" s="15" t="s">
        <v>9</v>
      </c>
      <c r="AE377" s="15" t="s">
        <v>9</v>
      </c>
      <c r="AF377" s="20" t="s">
        <v>9</v>
      </c>
      <c r="AG377" s="20" t="s">
        <v>9</v>
      </c>
      <c r="AH377" s="20" t="s">
        <v>9</v>
      </c>
      <c r="AI377" s="23">
        <v>3</v>
      </c>
      <c r="AJ377" s="15" t="s">
        <v>9</v>
      </c>
      <c r="AK377" s="15" t="s">
        <v>9</v>
      </c>
      <c r="AL377" s="25" t="s">
        <v>9</v>
      </c>
      <c r="AM377" s="31">
        <v>3</v>
      </c>
      <c r="AN377" s="26" t="s">
        <v>9</v>
      </c>
      <c r="AO377" s="26" t="s">
        <v>9</v>
      </c>
      <c r="AP377" s="26" t="s">
        <v>9</v>
      </c>
      <c r="AQ377" s="26" t="s">
        <v>9</v>
      </c>
      <c r="AR377" s="26" t="s">
        <v>9</v>
      </c>
      <c r="AS377" s="26" t="s">
        <v>9</v>
      </c>
      <c r="AT377" s="26" t="s">
        <v>9</v>
      </c>
      <c r="AU377" s="26" t="s">
        <v>9</v>
      </c>
      <c r="AV377" s="26" t="s">
        <v>9</v>
      </c>
      <c r="AW377" s="26" t="s">
        <v>9</v>
      </c>
      <c r="AX377" s="26" t="s">
        <v>9</v>
      </c>
      <c r="AY377" s="26" t="s">
        <v>9</v>
      </c>
      <c r="AZ377" s="26" t="s">
        <v>9</v>
      </c>
      <c r="BA377" s="23">
        <v>3</v>
      </c>
      <c r="BB377" s="24" t="s">
        <v>9</v>
      </c>
    </row>
    <row r="378" spans="1:54" x14ac:dyDescent="0.2">
      <c r="A378" s="5">
        <v>1123</v>
      </c>
      <c r="B378" s="20" t="s">
        <v>9</v>
      </c>
      <c r="C378" s="27" t="s">
        <v>9</v>
      </c>
      <c r="D378" s="27" t="s">
        <v>9</v>
      </c>
      <c r="E378" s="27" t="s">
        <v>9</v>
      </c>
      <c r="F378" s="18" t="s">
        <v>9</v>
      </c>
      <c r="G378" s="27" t="s">
        <v>9</v>
      </c>
      <c r="H378" s="22" t="s">
        <v>8</v>
      </c>
      <c r="I378" s="22" t="s">
        <v>8</v>
      </c>
      <c r="J378" s="22" t="s">
        <v>8</v>
      </c>
      <c r="K378" s="22" t="s">
        <v>8</v>
      </c>
      <c r="L378" s="22" t="s">
        <v>8</v>
      </c>
      <c r="M378" s="22" t="s">
        <v>8</v>
      </c>
      <c r="N378" s="22" t="s">
        <v>8</v>
      </c>
      <c r="O378" s="22" t="s">
        <v>8</v>
      </c>
      <c r="P378" s="22" t="s">
        <v>8</v>
      </c>
      <c r="Q378" s="22" t="s">
        <v>8</v>
      </c>
      <c r="R378" s="22" t="s">
        <v>8</v>
      </c>
      <c r="S378" s="22" t="s">
        <v>8</v>
      </c>
      <c r="T378" s="20" t="s">
        <v>9</v>
      </c>
      <c r="U378" s="20" t="s">
        <v>9</v>
      </c>
      <c r="V378" s="20" t="s">
        <v>1</v>
      </c>
      <c r="W378" s="20">
        <v>5</v>
      </c>
      <c r="X378" s="20">
        <v>2</v>
      </c>
      <c r="Y378" s="20">
        <v>2</v>
      </c>
      <c r="Z378" s="24">
        <v>4</v>
      </c>
      <c r="AA378" s="20">
        <v>3</v>
      </c>
      <c r="AB378" s="15" t="s">
        <v>9</v>
      </c>
      <c r="AC378" s="15" t="s">
        <v>9</v>
      </c>
      <c r="AD378" s="15" t="s">
        <v>9</v>
      </c>
      <c r="AE378" s="15" t="s">
        <v>9</v>
      </c>
      <c r="AF378" s="20" t="s">
        <v>9</v>
      </c>
      <c r="AG378" s="20" t="s">
        <v>9</v>
      </c>
      <c r="AH378" s="20" t="s">
        <v>9</v>
      </c>
      <c r="AI378" s="23">
        <v>3</v>
      </c>
      <c r="AJ378" s="15" t="s">
        <v>9</v>
      </c>
      <c r="AK378" s="15" t="s">
        <v>9</v>
      </c>
      <c r="AL378" s="25" t="s">
        <v>9</v>
      </c>
      <c r="AM378" s="31">
        <v>3</v>
      </c>
      <c r="AN378" s="26" t="s">
        <v>9</v>
      </c>
      <c r="AO378" s="26" t="s">
        <v>9</v>
      </c>
      <c r="AP378" s="26" t="s">
        <v>9</v>
      </c>
      <c r="AQ378" s="26" t="s">
        <v>9</v>
      </c>
      <c r="AR378" s="26" t="s">
        <v>9</v>
      </c>
      <c r="AS378" s="26" t="s">
        <v>9</v>
      </c>
      <c r="AT378" s="26" t="s">
        <v>9</v>
      </c>
      <c r="AU378" s="26" t="s">
        <v>9</v>
      </c>
      <c r="AV378" s="26" t="s">
        <v>9</v>
      </c>
      <c r="AW378" s="26" t="s">
        <v>9</v>
      </c>
      <c r="AX378" s="26" t="s">
        <v>9</v>
      </c>
      <c r="AY378" s="26" t="s">
        <v>9</v>
      </c>
      <c r="AZ378" s="26" t="s">
        <v>9</v>
      </c>
      <c r="BA378" s="23">
        <v>3</v>
      </c>
      <c r="BB378" s="24" t="s">
        <v>9</v>
      </c>
    </row>
    <row r="379" spans="1:54" x14ac:dyDescent="0.2">
      <c r="A379" s="5">
        <v>1158</v>
      </c>
      <c r="B379" s="20" t="s">
        <v>9</v>
      </c>
      <c r="C379" s="27" t="s">
        <v>9</v>
      </c>
      <c r="D379" s="27" t="s">
        <v>9</v>
      </c>
      <c r="E379" s="27" t="s">
        <v>9</v>
      </c>
      <c r="F379" s="18" t="s">
        <v>9</v>
      </c>
      <c r="G379" s="27" t="s">
        <v>9</v>
      </c>
      <c r="H379" s="22" t="s">
        <v>8</v>
      </c>
      <c r="I379" s="22" t="s">
        <v>8</v>
      </c>
      <c r="J379" s="22" t="s">
        <v>8</v>
      </c>
      <c r="K379" s="22" t="s">
        <v>8</v>
      </c>
      <c r="L379" s="22" t="s">
        <v>8</v>
      </c>
      <c r="M379" s="22" t="s">
        <v>8</v>
      </c>
      <c r="N379" s="22" t="s">
        <v>8</v>
      </c>
      <c r="O379" s="22" t="s">
        <v>8</v>
      </c>
      <c r="P379" s="22" t="s">
        <v>8</v>
      </c>
      <c r="Q379" s="22" t="s">
        <v>8</v>
      </c>
      <c r="R379" s="22" t="s">
        <v>8</v>
      </c>
      <c r="S379" s="22" t="s">
        <v>8</v>
      </c>
      <c r="T379" s="20" t="s">
        <v>9</v>
      </c>
      <c r="U379" s="20" t="s">
        <v>9</v>
      </c>
      <c r="V379" s="20" t="s">
        <v>1</v>
      </c>
      <c r="W379" s="20">
        <v>5</v>
      </c>
      <c r="X379" s="20">
        <v>2</v>
      </c>
      <c r="Y379" s="20">
        <v>2</v>
      </c>
      <c r="Z379" s="24">
        <v>4</v>
      </c>
      <c r="AA379" s="20">
        <v>3</v>
      </c>
      <c r="AB379" s="15" t="s">
        <v>9</v>
      </c>
      <c r="AC379" s="15" t="s">
        <v>9</v>
      </c>
      <c r="AD379" s="15" t="s">
        <v>9</v>
      </c>
      <c r="AE379" s="15" t="s">
        <v>9</v>
      </c>
      <c r="AF379" s="20" t="s">
        <v>9</v>
      </c>
      <c r="AG379" s="20" t="s">
        <v>9</v>
      </c>
      <c r="AH379" s="20" t="s">
        <v>9</v>
      </c>
      <c r="AI379" s="23">
        <v>3</v>
      </c>
      <c r="AJ379" s="15" t="s">
        <v>9</v>
      </c>
      <c r="AK379" s="15" t="s">
        <v>9</v>
      </c>
      <c r="AL379" s="25" t="s">
        <v>9</v>
      </c>
      <c r="AM379" s="31">
        <v>3</v>
      </c>
      <c r="AN379" s="26" t="s">
        <v>9</v>
      </c>
      <c r="AO379" s="26" t="s">
        <v>9</v>
      </c>
      <c r="AP379" s="26" t="s">
        <v>9</v>
      </c>
      <c r="AQ379" s="26" t="s">
        <v>9</v>
      </c>
      <c r="AR379" s="26" t="s">
        <v>9</v>
      </c>
      <c r="AS379" s="26" t="s">
        <v>9</v>
      </c>
      <c r="AT379" s="26" t="s">
        <v>9</v>
      </c>
      <c r="AU379" s="26" t="s">
        <v>9</v>
      </c>
      <c r="AV379" s="26" t="s">
        <v>9</v>
      </c>
      <c r="AW379" s="26" t="s">
        <v>9</v>
      </c>
      <c r="AX379" s="26" t="s">
        <v>9</v>
      </c>
      <c r="AY379" s="26" t="s">
        <v>9</v>
      </c>
      <c r="AZ379" s="26" t="s">
        <v>9</v>
      </c>
      <c r="BA379" s="23">
        <v>3</v>
      </c>
      <c r="BB379" s="24" t="s">
        <v>9</v>
      </c>
    </row>
    <row r="380" spans="1:54" x14ac:dyDescent="0.2">
      <c r="A380" s="5">
        <v>1159</v>
      </c>
      <c r="B380" s="20" t="s">
        <v>9</v>
      </c>
      <c r="C380" s="27" t="s">
        <v>9</v>
      </c>
      <c r="D380" s="27" t="s">
        <v>9</v>
      </c>
      <c r="E380" s="27" t="s">
        <v>9</v>
      </c>
      <c r="F380" s="18" t="s">
        <v>9</v>
      </c>
      <c r="G380" s="27" t="s">
        <v>9</v>
      </c>
      <c r="H380" s="22" t="s">
        <v>8</v>
      </c>
      <c r="I380" s="22" t="s">
        <v>8</v>
      </c>
      <c r="J380" s="22" t="s">
        <v>8</v>
      </c>
      <c r="K380" s="22" t="s">
        <v>8</v>
      </c>
      <c r="L380" s="22" t="s">
        <v>8</v>
      </c>
      <c r="M380" s="22" t="s">
        <v>8</v>
      </c>
      <c r="N380" s="22" t="s">
        <v>8</v>
      </c>
      <c r="O380" s="22" t="s">
        <v>8</v>
      </c>
      <c r="P380" s="22" t="s">
        <v>8</v>
      </c>
      <c r="Q380" s="22" t="s">
        <v>8</v>
      </c>
      <c r="R380" s="22" t="s">
        <v>8</v>
      </c>
      <c r="S380" s="22" t="s">
        <v>8</v>
      </c>
      <c r="T380" s="20" t="s">
        <v>9</v>
      </c>
      <c r="U380" s="20" t="s">
        <v>9</v>
      </c>
      <c r="V380" s="20" t="s">
        <v>1</v>
      </c>
      <c r="W380" s="20">
        <v>5</v>
      </c>
      <c r="X380" s="20">
        <v>2</v>
      </c>
      <c r="Y380" s="20">
        <v>2</v>
      </c>
      <c r="Z380" s="24">
        <v>4</v>
      </c>
      <c r="AA380" s="20">
        <v>3</v>
      </c>
      <c r="AB380" s="15" t="s">
        <v>9</v>
      </c>
      <c r="AC380" s="15" t="s">
        <v>9</v>
      </c>
      <c r="AD380" s="15" t="s">
        <v>9</v>
      </c>
      <c r="AE380" s="15" t="s">
        <v>9</v>
      </c>
      <c r="AF380" s="20" t="s">
        <v>9</v>
      </c>
      <c r="AG380" s="20" t="s">
        <v>9</v>
      </c>
      <c r="AH380" s="20" t="s">
        <v>9</v>
      </c>
      <c r="AI380" s="23">
        <v>3</v>
      </c>
      <c r="AJ380" s="15" t="s">
        <v>9</v>
      </c>
      <c r="AK380" s="15" t="s">
        <v>9</v>
      </c>
      <c r="AL380" s="25" t="s">
        <v>9</v>
      </c>
      <c r="AM380" s="31">
        <v>3</v>
      </c>
      <c r="AN380" s="26" t="s">
        <v>9</v>
      </c>
      <c r="AO380" s="26" t="s">
        <v>9</v>
      </c>
      <c r="AP380" s="26" t="s">
        <v>9</v>
      </c>
      <c r="AQ380" s="26" t="s">
        <v>9</v>
      </c>
      <c r="AR380" s="26" t="s">
        <v>9</v>
      </c>
      <c r="AS380" s="26" t="s">
        <v>9</v>
      </c>
      <c r="AT380" s="26" t="s">
        <v>9</v>
      </c>
      <c r="AU380" s="26" t="s">
        <v>9</v>
      </c>
      <c r="AV380" s="26" t="s">
        <v>9</v>
      </c>
      <c r="AW380" s="26" t="s">
        <v>9</v>
      </c>
      <c r="AX380" s="26" t="s">
        <v>9</v>
      </c>
      <c r="AY380" s="26" t="s">
        <v>9</v>
      </c>
      <c r="AZ380" s="26" t="s">
        <v>9</v>
      </c>
      <c r="BA380" s="23">
        <v>3</v>
      </c>
      <c r="BB380" s="24" t="s">
        <v>9</v>
      </c>
    </row>
    <row r="381" spans="1:54" x14ac:dyDescent="0.2">
      <c r="A381" s="5">
        <v>1165</v>
      </c>
      <c r="B381" s="20" t="s">
        <v>9</v>
      </c>
      <c r="C381" s="27" t="s">
        <v>9</v>
      </c>
      <c r="D381" s="27" t="s">
        <v>9</v>
      </c>
      <c r="E381" s="27" t="s">
        <v>9</v>
      </c>
      <c r="F381" s="18" t="s">
        <v>9</v>
      </c>
      <c r="G381" s="27" t="s">
        <v>9</v>
      </c>
      <c r="H381" s="22" t="s">
        <v>8</v>
      </c>
      <c r="I381" s="22" t="s">
        <v>8</v>
      </c>
      <c r="J381" s="22" t="s">
        <v>8</v>
      </c>
      <c r="K381" s="22" t="s">
        <v>8</v>
      </c>
      <c r="L381" s="22" t="s">
        <v>8</v>
      </c>
      <c r="M381" s="22" t="s">
        <v>8</v>
      </c>
      <c r="N381" s="22" t="s">
        <v>8</v>
      </c>
      <c r="O381" s="22" t="s">
        <v>8</v>
      </c>
      <c r="P381" s="22" t="s">
        <v>8</v>
      </c>
      <c r="Q381" s="22" t="s">
        <v>8</v>
      </c>
      <c r="R381" s="22" t="s">
        <v>8</v>
      </c>
      <c r="S381" s="22" t="s">
        <v>8</v>
      </c>
      <c r="T381" s="20" t="s">
        <v>9</v>
      </c>
      <c r="U381" s="20" t="s">
        <v>9</v>
      </c>
      <c r="V381" s="20" t="s">
        <v>1</v>
      </c>
      <c r="W381" s="20">
        <v>5</v>
      </c>
      <c r="X381" s="20">
        <v>2</v>
      </c>
      <c r="Y381" s="20">
        <v>2</v>
      </c>
      <c r="Z381" s="24">
        <v>4</v>
      </c>
      <c r="AA381" s="20">
        <v>3</v>
      </c>
      <c r="AB381" s="15" t="s">
        <v>9</v>
      </c>
      <c r="AC381" s="15" t="s">
        <v>9</v>
      </c>
      <c r="AD381" s="15" t="s">
        <v>9</v>
      </c>
      <c r="AE381" s="15" t="s">
        <v>9</v>
      </c>
      <c r="AF381" s="20" t="s">
        <v>9</v>
      </c>
      <c r="AG381" s="20" t="s">
        <v>9</v>
      </c>
      <c r="AH381" s="20" t="s">
        <v>9</v>
      </c>
      <c r="AI381" s="23">
        <v>3</v>
      </c>
      <c r="AJ381" s="15" t="s">
        <v>9</v>
      </c>
      <c r="AK381" s="15" t="s">
        <v>9</v>
      </c>
      <c r="AL381" s="25" t="s">
        <v>9</v>
      </c>
      <c r="AM381" s="31">
        <v>3</v>
      </c>
      <c r="AN381" s="26" t="s">
        <v>9</v>
      </c>
      <c r="AO381" s="26" t="s">
        <v>9</v>
      </c>
      <c r="AP381" s="26" t="s">
        <v>9</v>
      </c>
      <c r="AQ381" s="26" t="s">
        <v>9</v>
      </c>
      <c r="AR381" s="26" t="s">
        <v>9</v>
      </c>
      <c r="AS381" s="26" t="s">
        <v>9</v>
      </c>
      <c r="AT381" s="26" t="s">
        <v>9</v>
      </c>
      <c r="AU381" s="26" t="s">
        <v>9</v>
      </c>
      <c r="AV381" s="26" t="s">
        <v>9</v>
      </c>
      <c r="AW381" s="26" t="s">
        <v>9</v>
      </c>
      <c r="AX381" s="26" t="s">
        <v>9</v>
      </c>
      <c r="AY381" s="26" t="s">
        <v>9</v>
      </c>
      <c r="AZ381" s="26" t="s">
        <v>9</v>
      </c>
      <c r="BA381" s="23">
        <v>3</v>
      </c>
      <c r="BB381" s="24" t="s">
        <v>9</v>
      </c>
    </row>
    <row r="382" spans="1:54" x14ac:dyDescent="0.2">
      <c r="A382" s="5">
        <v>1168</v>
      </c>
      <c r="B382" s="20" t="s">
        <v>9</v>
      </c>
      <c r="C382" s="27" t="s">
        <v>9</v>
      </c>
      <c r="D382" s="27" t="s">
        <v>9</v>
      </c>
      <c r="E382" s="27" t="s">
        <v>9</v>
      </c>
      <c r="F382" s="18" t="s">
        <v>9</v>
      </c>
      <c r="G382" s="27" t="s">
        <v>9</v>
      </c>
      <c r="H382" s="22" t="s">
        <v>8</v>
      </c>
      <c r="I382" s="22" t="s">
        <v>8</v>
      </c>
      <c r="J382" s="22" t="s">
        <v>8</v>
      </c>
      <c r="K382" s="22" t="s">
        <v>8</v>
      </c>
      <c r="L382" s="22" t="s">
        <v>8</v>
      </c>
      <c r="M382" s="22" t="s">
        <v>8</v>
      </c>
      <c r="N382" s="22" t="s">
        <v>8</v>
      </c>
      <c r="O382" s="22" t="s">
        <v>8</v>
      </c>
      <c r="P382" s="22" t="s">
        <v>8</v>
      </c>
      <c r="Q382" s="22" t="s">
        <v>8</v>
      </c>
      <c r="R382" s="22" t="s">
        <v>8</v>
      </c>
      <c r="S382" s="22" t="s">
        <v>8</v>
      </c>
      <c r="T382" s="20" t="s">
        <v>9</v>
      </c>
      <c r="U382" s="20" t="s">
        <v>9</v>
      </c>
      <c r="V382" s="20" t="s">
        <v>1</v>
      </c>
      <c r="W382" s="20">
        <v>5</v>
      </c>
      <c r="X382" s="20">
        <v>2</v>
      </c>
      <c r="Y382" s="20">
        <v>2</v>
      </c>
      <c r="Z382" s="24">
        <v>4</v>
      </c>
      <c r="AA382" s="20">
        <v>3</v>
      </c>
      <c r="AB382" s="15" t="s">
        <v>9</v>
      </c>
      <c r="AC382" s="15" t="s">
        <v>9</v>
      </c>
      <c r="AD382" s="15" t="s">
        <v>9</v>
      </c>
      <c r="AE382" s="15" t="s">
        <v>9</v>
      </c>
      <c r="AF382" s="20" t="s">
        <v>9</v>
      </c>
      <c r="AG382" s="20" t="s">
        <v>9</v>
      </c>
      <c r="AH382" s="20" t="s">
        <v>9</v>
      </c>
      <c r="AI382" s="23">
        <v>3</v>
      </c>
      <c r="AJ382" s="15" t="s">
        <v>9</v>
      </c>
      <c r="AK382" s="15" t="s">
        <v>9</v>
      </c>
      <c r="AL382" s="25" t="s">
        <v>9</v>
      </c>
      <c r="AM382" s="31">
        <v>3</v>
      </c>
      <c r="AN382" s="26" t="s">
        <v>9</v>
      </c>
      <c r="AO382" s="26" t="s">
        <v>9</v>
      </c>
      <c r="AP382" s="26" t="s">
        <v>9</v>
      </c>
      <c r="AQ382" s="26" t="s">
        <v>9</v>
      </c>
      <c r="AR382" s="26" t="s">
        <v>9</v>
      </c>
      <c r="AS382" s="26" t="s">
        <v>9</v>
      </c>
      <c r="AT382" s="26" t="s">
        <v>9</v>
      </c>
      <c r="AU382" s="26" t="s">
        <v>9</v>
      </c>
      <c r="AV382" s="26" t="s">
        <v>9</v>
      </c>
      <c r="AW382" s="26" t="s">
        <v>9</v>
      </c>
      <c r="AX382" s="26" t="s">
        <v>9</v>
      </c>
      <c r="AY382" s="26" t="s">
        <v>9</v>
      </c>
      <c r="AZ382" s="26" t="s">
        <v>9</v>
      </c>
      <c r="BA382" s="23">
        <v>3</v>
      </c>
      <c r="BB382" s="24" t="s">
        <v>9</v>
      </c>
    </row>
    <row r="383" spans="1:54" x14ac:dyDescent="0.2">
      <c r="A383" s="5">
        <v>1178</v>
      </c>
      <c r="B383" s="20" t="s">
        <v>9</v>
      </c>
      <c r="C383" s="27" t="s">
        <v>9</v>
      </c>
      <c r="D383" s="27" t="s">
        <v>9</v>
      </c>
      <c r="E383" s="27" t="s">
        <v>9</v>
      </c>
      <c r="F383" s="18" t="s">
        <v>9</v>
      </c>
      <c r="G383" s="27" t="s">
        <v>9</v>
      </c>
      <c r="H383" s="22" t="s">
        <v>8</v>
      </c>
      <c r="I383" s="22" t="s">
        <v>8</v>
      </c>
      <c r="J383" s="22" t="s">
        <v>8</v>
      </c>
      <c r="K383" s="22" t="s">
        <v>8</v>
      </c>
      <c r="L383" s="22" t="s">
        <v>8</v>
      </c>
      <c r="M383" s="22" t="s">
        <v>8</v>
      </c>
      <c r="N383" s="22" t="s">
        <v>8</v>
      </c>
      <c r="O383" s="22" t="s">
        <v>8</v>
      </c>
      <c r="P383" s="22" t="s">
        <v>8</v>
      </c>
      <c r="Q383" s="22" t="s">
        <v>8</v>
      </c>
      <c r="R383" s="22" t="s">
        <v>8</v>
      </c>
      <c r="S383" s="22" t="s">
        <v>8</v>
      </c>
      <c r="T383" s="20" t="s">
        <v>9</v>
      </c>
      <c r="U383" s="20" t="s">
        <v>9</v>
      </c>
      <c r="V383" s="20" t="s">
        <v>1</v>
      </c>
      <c r="W383" s="20">
        <v>5</v>
      </c>
      <c r="X383" s="20">
        <v>2</v>
      </c>
      <c r="Y383" s="20">
        <v>2</v>
      </c>
      <c r="Z383" s="24">
        <v>4</v>
      </c>
      <c r="AA383" s="20">
        <v>3</v>
      </c>
      <c r="AB383" s="15" t="s">
        <v>9</v>
      </c>
      <c r="AC383" s="15" t="s">
        <v>9</v>
      </c>
      <c r="AD383" s="15" t="s">
        <v>9</v>
      </c>
      <c r="AE383" s="15" t="s">
        <v>9</v>
      </c>
      <c r="AF383" s="20" t="s">
        <v>9</v>
      </c>
      <c r="AG383" s="20" t="s">
        <v>9</v>
      </c>
      <c r="AH383" s="20" t="s">
        <v>9</v>
      </c>
      <c r="AI383" s="23">
        <v>3</v>
      </c>
      <c r="AJ383" s="15" t="s">
        <v>9</v>
      </c>
      <c r="AK383" s="15" t="s">
        <v>9</v>
      </c>
      <c r="AL383" s="25" t="s">
        <v>9</v>
      </c>
      <c r="AM383" s="31">
        <v>3</v>
      </c>
      <c r="AN383" s="26" t="s">
        <v>9</v>
      </c>
      <c r="AO383" s="26" t="s">
        <v>9</v>
      </c>
      <c r="AP383" s="26" t="s">
        <v>9</v>
      </c>
      <c r="AQ383" s="26" t="s">
        <v>9</v>
      </c>
      <c r="AR383" s="26" t="s">
        <v>9</v>
      </c>
      <c r="AS383" s="26" t="s">
        <v>9</v>
      </c>
      <c r="AT383" s="26" t="s">
        <v>9</v>
      </c>
      <c r="AU383" s="26" t="s">
        <v>9</v>
      </c>
      <c r="AV383" s="26" t="s">
        <v>9</v>
      </c>
      <c r="AW383" s="26" t="s">
        <v>9</v>
      </c>
      <c r="AX383" s="26" t="s">
        <v>9</v>
      </c>
      <c r="AY383" s="26" t="s">
        <v>9</v>
      </c>
      <c r="AZ383" s="26" t="s">
        <v>9</v>
      </c>
      <c r="BA383" s="23">
        <v>3</v>
      </c>
      <c r="BB383" s="24" t="s">
        <v>9</v>
      </c>
    </row>
    <row r="384" spans="1:54" x14ac:dyDescent="0.2">
      <c r="A384" s="5">
        <v>1195</v>
      </c>
      <c r="B384" s="20" t="s">
        <v>9</v>
      </c>
      <c r="C384" s="27" t="s">
        <v>9</v>
      </c>
      <c r="D384" s="27" t="s">
        <v>9</v>
      </c>
      <c r="E384" s="27" t="s">
        <v>9</v>
      </c>
      <c r="F384" s="18" t="s">
        <v>9</v>
      </c>
      <c r="G384" s="27" t="s">
        <v>9</v>
      </c>
      <c r="H384" s="22" t="s">
        <v>8</v>
      </c>
      <c r="I384" s="22" t="s">
        <v>8</v>
      </c>
      <c r="J384" s="22" t="s">
        <v>8</v>
      </c>
      <c r="K384" s="22" t="s">
        <v>8</v>
      </c>
      <c r="L384" s="22" t="s">
        <v>8</v>
      </c>
      <c r="M384" s="22" t="s">
        <v>8</v>
      </c>
      <c r="N384" s="22" t="s">
        <v>8</v>
      </c>
      <c r="O384" s="22" t="s">
        <v>8</v>
      </c>
      <c r="P384" s="22" t="s">
        <v>8</v>
      </c>
      <c r="Q384" s="22" t="s">
        <v>8</v>
      </c>
      <c r="R384" s="22" t="s">
        <v>8</v>
      </c>
      <c r="S384" s="22" t="s">
        <v>8</v>
      </c>
      <c r="T384" s="20" t="s">
        <v>9</v>
      </c>
      <c r="U384" s="20" t="s">
        <v>9</v>
      </c>
      <c r="V384" s="20" t="s">
        <v>1</v>
      </c>
      <c r="W384" s="20">
        <v>5</v>
      </c>
      <c r="X384" s="20">
        <v>2</v>
      </c>
      <c r="Y384" s="20">
        <v>2</v>
      </c>
      <c r="Z384" s="24">
        <v>4</v>
      </c>
      <c r="AA384" s="20">
        <v>3</v>
      </c>
      <c r="AB384" s="15" t="s">
        <v>9</v>
      </c>
      <c r="AC384" s="15" t="s">
        <v>9</v>
      </c>
      <c r="AD384" s="15" t="s">
        <v>9</v>
      </c>
      <c r="AE384" s="15" t="s">
        <v>9</v>
      </c>
      <c r="AF384" s="20" t="s">
        <v>9</v>
      </c>
      <c r="AG384" s="20" t="s">
        <v>9</v>
      </c>
      <c r="AH384" s="20" t="s">
        <v>9</v>
      </c>
      <c r="AI384" s="23">
        <v>3</v>
      </c>
      <c r="AJ384" s="15" t="s">
        <v>9</v>
      </c>
      <c r="AK384" s="15" t="s">
        <v>9</v>
      </c>
      <c r="AL384" s="25" t="s">
        <v>9</v>
      </c>
      <c r="AM384" s="31">
        <v>3</v>
      </c>
      <c r="AN384" s="26" t="s">
        <v>9</v>
      </c>
      <c r="AO384" s="26" t="s">
        <v>9</v>
      </c>
      <c r="AP384" s="26" t="s">
        <v>9</v>
      </c>
      <c r="AQ384" s="26" t="s">
        <v>9</v>
      </c>
      <c r="AR384" s="26" t="s">
        <v>9</v>
      </c>
      <c r="AS384" s="26" t="s">
        <v>9</v>
      </c>
      <c r="AT384" s="26" t="s">
        <v>9</v>
      </c>
      <c r="AU384" s="26" t="s">
        <v>9</v>
      </c>
      <c r="AV384" s="26" t="s">
        <v>9</v>
      </c>
      <c r="AW384" s="26" t="s">
        <v>9</v>
      </c>
      <c r="AX384" s="26" t="s">
        <v>9</v>
      </c>
      <c r="AY384" s="26" t="s">
        <v>9</v>
      </c>
      <c r="AZ384" s="26" t="s">
        <v>9</v>
      </c>
      <c r="BA384" s="23">
        <v>3</v>
      </c>
      <c r="BB384" s="24" t="s">
        <v>9</v>
      </c>
    </row>
    <row r="385" spans="1:54" x14ac:dyDescent="0.2">
      <c r="A385" s="5">
        <v>1196</v>
      </c>
      <c r="B385" s="20" t="s">
        <v>9</v>
      </c>
      <c r="C385" s="27" t="s">
        <v>9</v>
      </c>
      <c r="D385" s="27" t="s">
        <v>9</v>
      </c>
      <c r="E385" s="27" t="s">
        <v>9</v>
      </c>
      <c r="F385" s="18" t="s">
        <v>9</v>
      </c>
      <c r="G385" s="27" t="s">
        <v>9</v>
      </c>
      <c r="H385" s="22" t="s">
        <v>8</v>
      </c>
      <c r="I385" s="22" t="s">
        <v>8</v>
      </c>
      <c r="J385" s="22" t="s">
        <v>8</v>
      </c>
      <c r="K385" s="22" t="s">
        <v>8</v>
      </c>
      <c r="L385" s="22" t="s">
        <v>8</v>
      </c>
      <c r="M385" s="22" t="s">
        <v>8</v>
      </c>
      <c r="N385" s="22" t="s">
        <v>8</v>
      </c>
      <c r="O385" s="22" t="s">
        <v>8</v>
      </c>
      <c r="P385" s="22" t="s">
        <v>8</v>
      </c>
      <c r="Q385" s="22" t="s">
        <v>8</v>
      </c>
      <c r="R385" s="22" t="s">
        <v>8</v>
      </c>
      <c r="S385" s="22" t="s">
        <v>8</v>
      </c>
      <c r="T385" s="20" t="s">
        <v>9</v>
      </c>
      <c r="U385" s="20" t="s">
        <v>9</v>
      </c>
      <c r="V385" s="20" t="s">
        <v>1</v>
      </c>
      <c r="W385" s="20">
        <v>5</v>
      </c>
      <c r="X385" s="20">
        <v>2</v>
      </c>
      <c r="Y385" s="20">
        <v>2</v>
      </c>
      <c r="Z385" s="24">
        <v>4</v>
      </c>
      <c r="AA385" s="20">
        <v>3</v>
      </c>
      <c r="AB385" s="15" t="s">
        <v>9</v>
      </c>
      <c r="AC385" s="15" t="s">
        <v>9</v>
      </c>
      <c r="AD385" s="15" t="s">
        <v>9</v>
      </c>
      <c r="AE385" s="15" t="s">
        <v>9</v>
      </c>
      <c r="AF385" s="20" t="s">
        <v>9</v>
      </c>
      <c r="AG385" s="20" t="s">
        <v>9</v>
      </c>
      <c r="AH385" s="20" t="s">
        <v>9</v>
      </c>
      <c r="AI385" s="23">
        <v>3</v>
      </c>
      <c r="AJ385" s="15" t="s">
        <v>9</v>
      </c>
      <c r="AK385" s="15" t="s">
        <v>9</v>
      </c>
      <c r="AL385" s="25" t="s">
        <v>9</v>
      </c>
      <c r="AM385" s="31">
        <v>3</v>
      </c>
      <c r="AN385" s="26" t="s">
        <v>9</v>
      </c>
      <c r="AO385" s="26" t="s">
        <v>9</v>
      </c>
      <c r="AP385" s="26" t="s">
        <v>9</v>
      </c>
      <c r="AQ385" s="26" t="s">
        <v>9</v>
      </c>
      <c r="AR385" s="26" t="s">
        <v>9</v>
      </c>
      <c r="AS385" s="26" t="s">
        <v>9</v>
      </c>
      <c r="AT385" s="26" t="s">
        <v>9</v>
      </c>
      <c r="AU385" s="26" t="s">
        <v>9</v>
      </c>
      <c r="AV385" s="26" t="s">
        <v>9</v>
      </c>
      <c r="AW385" s="26" t="s">
        <v>9</v>
      </c>
      <c r="AX385" s="26" t="s">
        <v>9</v>
      </c>
      <c r="AY385" s="26" t="s">
        <v>9</v>
      </c>
      <c r="AZ385" s="26" t="s">
        <v>9</v>
      </c>
      <c r="BA385" s="23">
        <v>3</v>
      </c>
      <c r="BB385" s="24" t="s">
        <v>9</v>
      </c>
    </row>
    <row r="386" spans="1:54" x14ac:dyDescent="0.2">
      <c r="A386" s="5">
        <v>1199</v>
      </c>
      <c r="B386" s="20" t="s">
        <v>9</v>
      </c>
      <c r="C386" s="27" t="s">
        <v>9</v>
      </c>
      <c r="D386" s="27" t="s">
        <v>9</v>
      </c>
      <c r="E386" s="27" t="s">
        <v>9</v>
      </c>
      <c r="F386" s="18" t="s">
        <v>9</v>
      </c>
      <c r="G386" s="27" t="s">
        <v>9</v>
      </c>
      <c r="H386" s="22" t="s">
        <v>8</v>
      </c>
      <c r="I386" s="22" t="s">
        <v>8</v>
      </c>
      <c r="J386" s="22" t="s">
        <v>8</v>
      </c>
      <c r="K386" s="22" t="s">
        <v>8</v>
      </c>
      <c r="L386" s="22" t="s">
        <v>8</v>
      </c>
      <c r="M386" s="22" t="s">
        <v>8</v>
      </c>
      <c r="N386" s="22" t="s">
        <v>8</v>
      </c>
      <c r="O386" s="22" t="s">
        <v>8</v>
      </c>
      <c r="P386" s="22" t="s">
        <v>8</v>
      </c>
      <c r="Q386" s="22" t="s">
        <v>8</v>
      </c>
      <c r="R386" s="22" t="s">
        <v>8</v>
      </c>
      <c r="S386" s="22" t="s">
        <v>8</v>
      </c>
      <c r="T386" s="20" t="s">
        <v>9</v>
      </c>
      <c r="U386" s="20" t="s">
        <v>9</v>
      </c>
      <c r="V386" s="20" t="s">
        <v>1</v>
      </c>
      <c r="W386" s="20">
        <v>5</v>
      </c>
      <c r="X386" s="20">
        <v>2</v>
      </c>
      <c r="Y386" s="20">
        <v>2</v>
      </c>
      <c r="Z386" s="24">
        <v>4</v>
      </c>
      <c r="AA386" s="20">
        <v>3</v>
      </c>
      <c r="AB386" s="15" t="s">
        <v>9</v>
      </c>
      <c r="AC386" s="15" t="s">
        <v>9</v>
      </c>
      <c r="AD386" s="15" t="s">
        <v>9</v>
      </c>
      <c r="AE386" s="15" t="s">
        <v>9</v>
      </c>
      <c r="AF386" s="20" t="s">
        <v>9</v>
      </c>
      <c r="AG386" s="20" t="s">
        <v>9</v>
      </c>
      <c r="AH386" s="20" t="s">
        <v>9</v>
      </c>
      <c r="AI386" s="23">
        <v>3</v>
      </c>
      <c r="AJ386" s="15" t="s">
        <v>9</v>
      </c>
      <c r="AK386" s="15" t="s">
        <v>9</v>
      </c>
      <c r="AL386" s="25" t="s">
        <v>9</v>
      </c>
      <c r="AM386" s="31">
        <v>3</v>
      </c>
      <c r="AN386" s="26" t="s">
        <v>9</v>
      </c>
      <c r="AO386" s="26" t="s">
        <v>9</v>
      </c>
      <c r="AP386" s="26" t="s">
        <v>9</v>
      </c>
      <c r="AQ386" s="26" t="s">
        <v>9</v>
      </c>
      <c r="AR386" s="26" t="s">
        <v>9</v>
      </c>
      <c r="AS386" s="26" t="s">
        <v>9</v>
      </c>
      <c r="AT386" s="26" t="s">
        <v>9</v>
      </c>
      <c r="AU386" s="26" t="s">
        <v>9</v>
      </c>
      <c r="AV386" s="26" t="s">
        <v>9</v>
      </c>
      <c r="AW386" s="26" t="s">
        <v>9</v>
      </c>
      <c r="AX386" s="26" t="s">
        <v>9</v>
      </c>
      <c r="AY386" s="26" t="s">
        <v>9</v>
      </c>
      <c r="AZ386" s="26" t="s">
        <v>9</v>
      </c>
      <c r="BA386" s="23">
        <v>3</v>
      </c>
      <c r="BB386" s="24" t="s">
        <v>9</v>
      </c>
    </row>
    <row r="387" spans="1:54" x14ac:dyDescent="0.2">
      <c r="A387" s="5">
        <v>1247</v>
      </c>
      <c r="B387" s="20" t="s">
        <v>9</v>
      </c>
      <c r="C387" s="27" t="s">
        <v>9</v>
      </c>
      <c r="D387" s="27" t="s">
        <v>9</v>
      </c>
      <c r="E387" s="27" t="s">
        <v>9</v>
      </c>
      <c r="F387" s="18" t="s">
        <v>9</v>
      </c>
      <c r="G387" s="27" t="s">
        <v>9</v>
      </c>
      <c r="H387" s="22" t="s">
        <v>8</v>
      </c>
      <c r="I387" s="22" t="s">
        <v>8</v>
      </c>
      <c r="J387" s="22" t="s">
        <v>8</v>
      </c>
      <c r="K387" s="22" t="s">
        <v>8</v>
      </c>
      <c r="L387" s="22" t="s">
        <v>8</v>
      </c>
      <c r="M387" s="22" t="s">
        <v>8</v>
      </c>
      <c r="N387" s="22" t="s">
        <v>8</v>
      </c>
      <c r="O387" s="22" t="s">
        <v>8</v>
      </c>
      <c r="P387" s="22" t="s">
        <v>8</v>
      </c>
      <c r="Q387" s="22" t="s">
        <v>8</v>
      </c>
      <c r="R387" s="22" t="s">
        <v>8</v>
      </c>
      <c r="S387" s="22" t="s">
        <v>8</v>
      </c>
      <c r="T387" s="20" t="s">
        <v>9</v>
      </c>
      <c r="U387" s="20" t="s">
        <v>9</v>
      </c>
      <c r="V387" s="20" t="s">
        <v>1</v>
      </c>
      <c r="W387" s="20">
        <v>5</v>
      </c>
      <c r="X387" s="20">
        <v>2</v>
      </c>
      <c r="Y387" s="20">
        <v>2</v>
      </c>
      <c r="Z387" s="24">
        <v>4</v>
      </c>
      <c r="AA387" s="20">
        <v>3</v>
      </c>
      <c r="AB387" s="15" t="s">
        <v>9</v>
      </c>
      <c r="AC387" s="15" t="s">
        <v>9</v>
      </c>
      <c r="AD387" s="15" t="s">
        <v>9</v>
      </c>
      <c r="AE387" s="15" t="s">
        <v>9</v>
      </c>
      <c r="AF387" s="20" t="s">
        <v>9</v>
      </c>
      <c r="AG387" s="20" t="s">
        <v>9</v>
      </c>
      <c r="AH387" s="20" t="s">
        <v>9</v>
      </c>
      <c r="AI387" s="23">
        <v>3</v>
      </c>
      <c r="AJ387" s="15" t="s">
        <v>9</v>
      </c>
      <c r="AK387" s="15" t="s">
        <v>9</v>
      </c>
      <c r="AL387" s="25" t="s">
        <v>9</v>
      </c>
      <c r="AM387" s="31">
        <v>3</v>
      </c>
      <c r="AN387" s="26" t="s">
        <v>9</v>
      </c>
      <c r="AO387" s="26" t="s">
        <v>9</v>
      </c>
      <c r="AP387" s="26" t="s">
        <v>9</v>
      </c>
      <c r="AQ387" s="26" t="s">
        <v>9</v>
      </c>
      <c r="AR387" s="26" t="s">
        <v>9</v>
      </c>
      <c r="AS387" s="26" t="s">
        <v>9</v>
      </c>
      <c r="AT387" s="26" t="s">
        <v>9</v>
      </c>
      <c r="AU387" s="26" t="s">
        <v>9</v>
      </c>
      <c r="AV387" s="26" t="s">
        <v>9</v>
      </c>
      <c r="AW387" s="26" t="s">
        <v>9</v>
      </c>
      <c r="AX387" s="26" t="s">
        <v>9</v>
      </c>
      <c r="AY387" s="26" t="s">
        <v>9</v>
      </c>
      <c r="AZ387" s="26" t="s">
        <v>9</v>
      </c>
      <c r="BA387" s="23">
        <v>3</v>
      </c>
      <c r="BB387" s="24" t="s">
        <v>9</v>
      </c>
    </row>
    <row r="388" spans="1:54" x14ac:dyDescent="0.2">
      <c r="A388" s="5">
        <v>1251</v>
      </c>
      <c r="B388" s="20" t="s">
        <v>9</v>
      </c>
      <c r="C388" s="27" t="s">
        <v>9</v>
      </c>
      <c r="D388" s="27" t="s">
        <v>9</v>
      </c>
      <c r="E388" s="27" t="s">
        <v>9</v>
      </c>
      <c r="F388" s="18" t="s">
        <v>9</v>
      </c>
      <c r="G388" s="27" t="s">
        <v>9</v>
      </c>
      <c r="H388" s="22" t="s">
        <v>8</v>
      </c>
      <c r="I388" s="22" t="s">
        <v>8</v>
      </c>
      <c r="J388" s="22" t="s">
        <v>8</v>
      </c>
      <c r="K388" s="22" t="s">
        <v>8</v>
      </c>
      <c r="L388" s="22" t="s">
        <v>8</v>
      </c>
      <c r="M388" s="22" t="s">
        <v>8</v>
      </c>
      <c r="N388" s="22" t="s">
        <v>8</v>
      </c>
      <c r="O388" s="22" t="s">
        <v>8</v>
      </c>
      <c r="P388" s="22" t="s">
        <v>8</v>
      </c>
      <c r="Q388" s="22" t="s">
        <v>8</v>
      </c>
      <c r="R388" s="22" t="s">
        <v>8</v>
      </c>
      <c r="S388" s="22" t="s">
        <v>8</v>
      </c>
      <c r="T388" s="20" t="s">
        <v>9</v>
      </c>
      <c r="U388" s="20" t="s">
        <v>9</v>
      </c>
      <c r="V388" s="20" t="s">
        <v>1</v>
      </c>
      <c r="W388" s="20">
        <v>5</v>
      </c>
      <c r="X388" s="20">
        <v>2</v>
      </c>
      <c r="Y388" s="20">
        <v>2</v>
      </c>
      <c r="Z388" s="24">
        <v>4</v>
      </c>
      <c r="AA388" s="20">
        <v>3</v>
      </c>
      <c r="AB388" s="15" t="s">
        <v>9</v>
      </c>
      <c r="AC388" s="15" t="s">
        <v>9</v>
      </c>
      <c r="AD388" s="15" t="s">
        <v>9</v>
      </c>
      <c r="AE388" s="15" t="s">
        <v>9</v>
      </c>
      <c r="AF388" s="20" t="s">
        <v>9</v>
      </c>
      <c r="AG388" s="20" t="s">
        <v>9</v>
      </c>
      <c r="AH388" s="20" t="s">
        <v>9</v>
      </c>
      <c r="AI388" s="23">
        <v>3</v>
      </c>
      <c r="AJ388" s="15" t="s">
        <v>9</v>
      </c>
      <c r="AK388" s="15" t="s">
        <v>9</v>
      </c>
      <c r="AL388" s="25" t="s">
        <v>9</v>
      </c>
      <c r="AM388" s="31">
        <v>3</v>
      </c>
      <c r="AN388" s="26" t="s">
        <v>9</v>
      </c>
      <c r="AO388" s="26" t="s">
        <v>9</v>
      </c>
      <c r="AP388" s="26" t="s">
        <v>9</v>
      </c>
      <c r="AQ388" s="26" t="s">
        <v>9</v>
      </c>
      <c r="AR388" s="26" t="s">
        <v>9</v>
      </c>
      <c r="AS388" s="26" t="s">
        <v>9</v>
      </c>
      <c r="AT388" s="26" t="s">
        <v>9</v>
      </c>
      <c r="AU388" s="26" t="s">
        <v>9</v>
      </c>
      <c r="AV388" s="26" t="s">
        <v>9</v>
      </c>
      <c r="AW388" s="26" t="s">
        <v>9</v>
      </c>
      <c r="AX388" s="26" t="s">
        <v>9</v>
      </c>
      <c r="AY388" s="26" t="s">
        <v>9</v>
      </c>
      <c r="AZ388" s="26" t="s">
        <v>9</v>
      </c>
      <c r="BA388" s="23">
        <v>3</v>
      </c>
      <c r="BB388" s="24" t="s">
        <v>9</v>
      </c>
    </row>
    <row r="389" spans="1:54" x14ac:dyDescent="0.2">
      <c r="A389" s="5">
        <v>1309</v>
      </c>
      <c r="B389" s="20" t="s">
        <v>9</v>
      </c>
      <c r="C389" s="27" t="s">
        <v>9</v>
      </c>
      <c r="D389" s="27" t="s">
        <v>9</v>
      </c>
      <c r="E389" s="27" t="s">
        <v>9</v>
      </c>
      <c r="F389" s="18" t="s">
        <v>9</v>
      </c>
      <c r="G389" s="27" t="s">
        <v>9</v>
      </c>
      <c r="H389" s="22" t="s">
        <v>8</v>
      </c>
      <c r="I389" s="22" t="s">
        <v>8</v>
      </c>
      <c r="J389" s="22" t="s">
        <v>8</v>
      </c>
      <c r="K389" s="22" t="s">
        <v>8</v>
      </c>
      <c r="L389" s="22" t="s">
        <v>8</v>
      </c>
      <c r="M389" s="22" t="s">
        <v>8</v>
      </c>
      <c r="N389" s="22" t="s">
        <v>8</v>
      </c>
      <c r="O389" s="22" t="s">
        <v>8</v>
      </c>
      <c r="P389" s="22" t="s">
        <v>8</v>
      </c>
      <c r="Q389" s="22" t="s">
        <v>8</v>
      </c>
      <c r="R389" s="22" t="s">
        <v>8</v>
      </c>
      <c r="S389" s="22" t="s">
        <v>8</v>
      </c>
      <c r="T389" s="20" t="s">
        <v>9</v>
      </c>
      <c r="U389" s="20" t="s">
        <v>9</v>
      </c>
      <c r="V389" s="20" t="s">
        <v>1</v>
      </c>
      <c r="W389" s="20">
        <v>5</v>
      </c>
      <c r="X389" s="20">
        <v>2</v>
      </c>
      <c r="Y389" s="20">
        <v>2</v>
      </c>
      <c r="Z389" s="24">
        <v>4</v>
      </c>
      <c r="AA389" s="20">
        <v>3</v>
      </c>
      <c r="AB389" s="15" t="s">
        <v>9</v>
      </c>
      <c r="AC389" s="15" t="s">
        <v>9</v>
      </c>
      <c r="AD389" s="15" t="s">
        <v>9</v>
      </c>
      <c r="AE389" s="15" t="s">
        <v>9</v>
      </c>
      <c r="AF389" s="20" t="s">
        <v>9</v>
      </c>
      <c r="AG389" s="20" t="s">
        <v>9</v>
      </c>
      <c r="AH389" s="20" t="s">
        <v>9</v>
      </c>
      <c r="AI389" s="23">
        <v>3</v>
      </c>
      <c r="AJ389" s="15" t="s">
        <v>9</v>
      </c>
      <c r="AK389" s="15" t="s">
        <v>9</v>
      </c>
      <c r="AL389" s="25" t="s">
        <v>9</v>
      </c>
      <c r="AM389" s="31">
        <v>3</v>
      </c>
      <c r="AN389" s="26" t="s">
        <v>9</v>
      </c>
      <c r="AO389" s="26" t="s">
        <v>9</v>
      </c>
      <c r="AP389" s="26" t="s">
        <v>9</v>
      </c>
      <c r="AQ389" s="26" t="s">
        <v>9</v>
      </c>
      <c r="AR389" s="26" t="s">
        <v>9</v>
      </c>
      <c r="AS389" s="26" t="s">
        <v>9</v>
      </c>
      <c r="AT389" s="26" t="s">
        <v>9</v>
      </c>
      <c r="AU389" s="26" t="s">
        <v>9</v>
      </c>
      <c r="AV389" s="26" t="s">
        <v>9</v>
      </c>
      <c r="AW389" s="26" t="s">
        <v>9</v>
      </c>
      <c r="AX389" s="26" t="s">
        <v>9</v>
      </c>
      <c r="AY389" s="26" t="s">
        <v>9</v>
      </c>
      <c r="AZ389" s="26" t="s">
        <v>9</v>
      </c>
      <c r="BA389" s="23">
        <v>3</v>
      </c>
      <c r="BB389" s="24" t="s">
        <v>9</v>
      </c>
    </row>
    <row r="390" spans="1:54" x14ac:dyDescent="0.2">
      <c r="A390" s="5">
        <v>1372</v>
      </c>
      <c r="B390" s="20" t="s">
        <v>9</v>
      </c>
      <c r="C390" s="27" t="s">
        <v>9</v>
      </c>
      <c r="D390" s="27" t="s">
        <v>9</v>
      </c>
      <c r="E390" s="27" t="s">
        <v>9</v>
      </c>
      <c r="F390" s="18" t="s">
        <v>9</v>
      </c>
      <c r="G390" s="27" t="s">
        <v>9</v>
      </c>
      <c r="H390" s="22" t="s">
        <v>8</v>
      </c>
      <c r="I390" s="22" t="s">
        <v>8</v>
      </c>
      <c r="J390" s="22" t="s">
        <v>8</v>
      </c>
      <c r="K390" s="22" t="s">
        <v>8</v>
      </c>
      <c r="L390" s="22" t="s">
        <v>8</v>
      </c>
      <c r="M390" s="22" t="s">
        <v>8</v>
      </c>
      <c r="N390" s="22" t="s">
        <v>8</v>
      </c>
      <c r="O390" s="22" t="s">
        <v>8</v>
      </c>
      <c r="P390" s="22" t="s">
        <v>8</v>
      </c>
      <c r="Q390" s="22" t="s">
        <v>8</v>
      </c>
      <c r="R390" s="22" t="s">
        <v>8</v>
      </c>
      <c r="S390" s="22" t="s">
        <v>8</v>
      </c>
      <c r="T390" s="20" t="s">
        <v>9</v>
      </c>
      <c r="U390" s="20" t="s">
        <v>9</v>
      </c>
      <c r="V390" s="20" t="s">
        <v>1</v>
      </c>
      <c r="W390" s="20">
        <v>5</v>
      </c>
      <c r="X390" s="20">
        <v>2</v>
      </c>
      <c r="Y390" s="20">
        <v>2</v>
      </c>
      <c r="Z390" s="24">
        <v>4</v>
      </c>
      <c r="AA390" s="20">
        <v>3</v>
      </c>
      <c r="AB390" s="15" t="s">
        <v>9</v>
      </c>
      <c r="AC390" s="15" t="s">
        <v>9</v>
      </c>
      <c r="AD390" s="15" t="s">
        <v>9</v>
      </c>
      <c r="AE390" s="15" t="s">
        <v>9</v>
      </c>
      <c r="AF390" s="20" t="s">
        <v>9</v>
      </c>
      <c r="AG390" s="20" t="s">
        <v>9</v>
      </c>
      <c r="AH390" s="20" t="s">
        <v>9</v>
      </c>
      <c r="AI390" s="23">
        <v>3</v>
      </c>
      <c r="AJ390" s="15" t="s">
        <v>9</v>
      </c>
      <c r="AK390" s="15" t="s">
        <v>9</v>
      </c>
      <c r="AL390" s="25" t="s">
        <v>9</v>
      </c>
      <c r="AM390" s="31">
        <v>3</v>
      </c>
      <c r="AN390" s="26" t="s">
        <v>9</v>
      </c>
      <c r="AO390" s="26" t="s">
        <v>9</v>
      </c>
      <c r="AP390" s="26" t="s">
        <v>9</v>
      </c>
      <c r="AQ390" s="26" t="s">
        <v>9</v>
      </c>
      <c r="AR390" s="26" t="s">
        <v>9</v>
      </c>
      <c r="AS390" s="26" t="s">
        <v>9</v>
      </c>
      <c r="AT390" s="26" t="s">
        <v>9</v>
      </c>
      <c r="AU390" s="26" t="s">
        <v>9</v>
      </c>
      <c r="AV390" s="26" t="s">
        <v>9</v>
      </c>
      <c r="AW390" s="26" t="s">
        <v>9</v>
      </c>
      <c r="AX390" s="26" t="s">
        <v>9</v>
      </c>
      <c r="AY390" s="26" t="s">
        <v>9</v>
      </c>
      <c r="AZ390" s="26" t="s">
        <v>9</v>
      </c>
      <c r="BA390" s="23">
        <v>3</v>
      </c>
      <c r="BB390" s="24" t="s">
        <v>9</v>
      </c>
    </row>
    <row r="391" spans="1:54" x14ac:dyDescent="0.2">
      <c r="A391" s="5">
        <v>1432</v>
      </c>
      <c r="B391" s="20" t="s">
        <v>9</v>
      </c>
      <c r="C391" s="27" t="s">
        <v>9</v>
      </c>
      <c r="D391" s="27" t="s">
        <v>9</v>
      </c>
      <c r="E391" s="27" t="s">
        <v>9</v>
      </c>
      <c r="F391" s="18" t="s">
        <v>9</v>
      </c>
      <c r="G391" s="27" t="s">
        <v>9</v>
      </c>
      <c r="H391" s="22" t="s">
        <v>8</v>
      </c>
      <c r="I391" s="22" t="s">
        <v>8</v>
      </c>
      <c r="J391" s="22" t="s">
        <v>8</v>
      </c>
      <c r="K391" s="22" t="s">
        <v>8</v>
      </c>
      <c r="L391" s="22" t="s">
        <v>8</v>
      </c>
      <c r="M391" s="22" t="s">
        <v>8</v>
      </c>
      <c r="N391" s="22" t="s">
        <v>8</v>
      </c>
      <c r="O391" s="22" t="s">
        <v>8</v>
      </c>
      <c r="P391" s="22" t="s">
        <v>8</v>
      </c>
      <c r="Q391" s="22" t="s">
        <v>8</v>
      </c>
      <c r="R391" s="22" t="s">
        <v>8</v>
      </c>
      <c r="S391" s="22" t="s">
        <v>8</v>
      </c>
      <c r="T391" s="20" t="s">
        <v>9</v>
      </c>
      <c r="U391" s="20" t="s">
        <v>9</v>
      </c>
      <c r="V391" s="20" t="s">
        <v>1</v>
      </c>
      <c r="W391" s="20">
        <v>5</v>
      </c>
      <c r="X391" s="20">
        <v>2</v>
      </c>
      <c r="Y391" s="20">
        <v>2</v>
      </c>
      <c r="Z391" s="24">
        <v>4</v>
      </c>
      <c r="AA391" s="20">
        <v>3</v>
      </c>
      <c r="AB391" s="15" t="s">
        <v>9</v>
      </c>
      <c r="AC391" s="15" t="s">
        <v>9</v>
      </c>
      <c r="AD391" s="15" t="s">
        <v>9</v>
      </c>
      <c r="AE391" s="15" t="s">
        <v>9</v>
      </c>
      <c r="AF391" s="20" t="s">
        <v>9</v>
      </c>
      <c r="AG391" s="20" t="s">
        <v>9</v>
      </c>
      <c r="AH391" s="20" t="s">
        <v>9</v>
      </c>
      <c r="AI391" s="23">
        <v>3</v>
      </c>
      <c r="AJ391" s="15" t="s">
        <v>9</v>
      </c>
      <c r="AK391" s="15" t="s">
        <v>9</v>
      </c>
      <c r="AL391" s="25" t="s">
        <v>9</v>
      </c>
      <c r="AM391" s="31">
        <v>3</v>
      </c>
      <c r="AN391" s="26" t="s">
        <v>9</v>
      </c>
      <c r="AO391" s="26" t="s">
        <v>9</v>
      </c>
      <c r="AP391" s="26" t="s">
        <v>9</v>
      </c>
      <c r="AQ391" s="26" t="s">
        <v>9</v>
      </c>
      <c r="AR391" s="26" t="s">
        <v>9</v>
      </c>
      <c r="AS391" s="26" t="s">
        <v>9</v>
      </c>
      <c r="AT391" s="26" t="s">
        <v>9</v>
      </c>
      <c r="AU391" s="26" t="s">
        <v>9</v>
      </c>
      <c r="AV391" s="26" t="s">
        <v>9</v>
      </c>
      <c r="AW391" s="26" t="s">
        <v>9</v>
      </c>
      <c r="AX391" s="26" t="s">
        <v>9</v>
      </c>
      <c r="AY391" s="26" t="s">
        <v>9</v>
      </c>
      <c r="AZ391" s="26" t="s">
        <v>9</v>
      </c>
      <c r="BA391" s="23">
        <v>3</v>
      </c>
      <c r="BB391" s="24" t="s">
        <v>9</v>
      </c>
    </row>
    <row r="392" spans="1:54" x14ac:dyDescent="0.2">
      <c r="A392" s="5">
        <v>1457</v>
      </c>
      <c r="B392" s="20" t="s">
        <v>9</v>
      </c>
      <c r="C392" s="27" t="s">
        <v>9</v>
      </c>
      <c r="D392" s="27" t="s">
        <v>9</v>
      </c>
      <c r="E392" s="27" t="s">
        <v>9</v>
      </c>
      <c r="F392" s="18" t="s">
        <v>9</v>
      </c>
      <c r="G392" s="27" t="s">
        <v>9</v>
      </c>
      <c r="H392" s="22" t="s">
        <v>8</v>
      </c>
      <c r="I392" s="22" t="s">
        <v>8</v>
      </c>
      <c r="J392" s="22" t="s">
        <v>8</v>
      </c>
      <c r="K392" s="22" t="s">
        <v>8</v>
      </c>
      <c r="L392" s="22" t="s">
        <v>8</v>
      </c>
      <c r="M392" s="22" t="s">
        <v>8</v>
      </c>
      <c r="N392" s="22" t="s">
        <v>8</v>
      </c>
      <c r="O392" s="22" t="s">
        <v>8</v>
      </c>
      <c r="P392" s="22" t="s">
        <v>8</v>
      </c>
      <c r="Q392" s="22" t="s">
        <v>8</v>
      </c>
      <c r="R392" s="22" t="s">
        <v>8</v>
      </c>
      <c r="S392" s="22" t="s">
        <v>8</v>
      </c>
      <c r="T392" s="20" t="s">
        <v>9</v>
      </c>
      <c r="U392" s="20" t="s">
        <v>9</v>
      </c>
      <c r="V392" s="20" t="s">
        <v>1</v>
      </c>
      <c r="W392" s="20">
        <v>5</v>
      </c>
      <c r="X392" s="20">
        <v>2</v>
      </c>
      <c r="Y392" s="20">
        <v>2</v>
      </c>
      <c r="Z392" s="24">
        <v>4</v>
      </c>
      <c r="AA392" s="20">
        <v>3</v>
      </c>
      <c r="AB392" s="15" t="s">
        <v>9</v>
      </c>
      <c r="AC392" s="15" t="s">
        <v>9</v>
      </c>
      <c r="AD392" s="15" t="s">
        <v>9</v>
      </c>
      <c r="AE392" s="15" t="s">
        <v>9</v>
      </c>
      <c r="AF392" s="20" t="s">
        <v>9</v>
      </c>
      <c r="AG392" s="20" t="s">
        <v>9</v>
      </c>
      <c r="AH392" s="20" t="s">
        <v>9</v>
      </c>
      <c r="AI392" s="23">
        <v>3</v>
      </c>
      <c r="AJ392" s="15" t="s">
        <v>9</v>
      </c>
      <c r="AK392" s="15" t="s">
        <v>9</v>
      </c>
      <c r="AL392" s="25" t="s">
        <v>9</v>
      </c>
      <c r="AM392" s="31">
        <v>3</v>
      </c>
      <c r="AN392" s="26" t="s">
        <v>9</v>
      </c>
      <c r="AO392" s="26" t="s">
        <v>9</v>
      </c>
      <c r="AP392" s="26" t="s">
        <v>9</v>
      </c>
      <c r="AQ392" s="26" t="s">
        <v>9</v>
      </c>
      <c r="AR392" s="26" t="s">
        <v>9</v>
      </c>
      <c r="AS392" s="26" t="s">
        <v>9</v>
      </c>
      <c r="AT392" s="26" t="s">
        <v>9</v>
      </c>
      <c r="AU392" s="26" t="s">
        <v>9</v>
      </c>
      <c r="AV392" s="26" t="s">
        <v>9</v>
      </c>
      <c r="AW392" s="26" t="s">
        <v>9</v>
      </c>
      <c r="AX392" s="26" t="s">
        <v>9</v>
      </c>
      <c r="AY392" s="26" t="s">
        <v>9</v>
      </c>
      <c r="AZ392" s="26" t="s">
        <v>9</v>
      </c>
      <c r="BA392" s="23">
        <v>3</v>
      </c>
      <c r="BB392" s="24" t="s">
        <v>9</v>
      </c>
    </row>
    <row r="393" spans="1:54" x14ac:dyDescent="0.2">
      <c r="A393" s="5">
        <v>1468</v>
      </c>
      <c r="B393" s="20" t="s">
        <v>9</v>
      </c>
      <c r="C393" s="27" t="s">
        <v>9</v>
      </c>
      <c r="D393" s="27" t="s">
        <v>9</v>
      </c>
      <c r="E393" s="27" t="s">
        <v>9</v>
      </c>
      <c r="F393" s="18" t="s">
        <v>9</v>
      </c>
      <c r="G393" s="27" t="s">
        <v>9</v>
      </c>
      <c r="H393" s="22" t="s">
        <v>8</v>
      </c>
      <c r="I393" s="22" t="s">
        <v>8</v>
      </c>
      <c r="J393" s="22">
        <v>8.944558521560575</v>
      </c>
      <c r="K393" s="22" t="s">
        <v>8</v>
      </c>
      <c r="L393" s="22" t="s">
        <v>8</v>
      </c>
      <c r="M393" s="22">
        <v>9.2347707049965777</v>
      </c>
      <c r="N393" s="22" t="s">
        <v>8</v>
      </c>
      <c r="O393" s="22" t="s">
        <v>8</v>
      </c>
      <c r="P393" s="22" t="s">
        <v>8</v>
      </c>
      <c r="Q393" s="22" t="s">
        <v>8</v>
      </c>
      <c r="R393" s="22" t="s">
        <v>8</v>
      </c>
      <c r="S393" s="22" t="s">
        <v>8</v>
      </c>
      <c r="T393" s="20" t="s">
        <v>9</v>
      </c>
      <c r="U393" s="20" t="s">
        <v>9</v>
      </c>
      <c r="V393" s="20" t="s">
        <v>1</v>
      </c>
      <c r="W393" s="20">
        <v>5</v>
      </c>
      <c r="X393" s="20">
        <v>2</v>
      </c>
      <c r="Y393" s="20">
        <v>2</v>
      </c>
      <c r="Z393" s="24">
        <v>4</v>
      </c>
      <c r="AA393" s="20">
        <v>3</v>
      </c>
      <c r="AB393" s="15" t="s">
        <v>9</v>
      </c>
      <c r="AC393" s="15" t="s">
        <v>9</v>
      </c>
      <c r="AD393" s="15" t="s">
        <v>9</v>
      </c>
      <c r="AE393" s="15" t="s">
        <v>9</v>
      </c>
      <c r="AF393" s="20" t="s">
        <v>9</v>
      </c>
      <c r="AG393" s="20" t="s">
        <v>9</v>
      </c>
      <c r="AH393" s="20" t="s">
        <v>9</v>
      </c>
      <c r="AI393" s="23">
        <v>3</v>
      </c>
      <c r="AJ393" s="15" t="s">
        <v>9</v>
      </c>
      <c r="AK393" s="15" t="s">
        <v>9</v>
      </c>
      <c r="AL393" s="25" t="s">
        <v>9</v>
      </c>
      <c r="AM393" s="31">
        <v>3</v>
      </c>
      <c r="AN393" s="26" t="s">
        <v>9</v>
      </c>
      <c r="AO393" s="26" t="s">
        <v>9</v>
      </c>
      <c r="AP393" s="26" t="s">
        <v>9</v>
      </c>
      <c r="AQ393" s="26" t="s">
        <v>9</v>
      </c>
      <c r="AR393" s="26" t="s">
        <v>9</v>
      </c>
      <c r="AS393" s="26" t="s">
        <v>9</v>
      </c>
      <c r="AT393" s="26" t="s">
        <v>9</v>
      </c>
      <c r="AU393" s="26" t="s">
        <v>9</v>
      </c>
      <c r="AV393" s="26" t="s">
        <v>9</v>
      </c>
      <c r="AW393" s="26" t="s">
        <v>9</v>
      </c>
      <c r="AX393" s="26" t="s">
        <v>9</v>
      </c>
      <c r="AY393" s="26" t="s">
        <v>9</v>
      </c>
      <c r="AZ393" s="26" t="s">
        <v>9</v>
      </c>
      <c r="BA393" s="23">
        <v>3</v>
      </c>
      <c r="BB393" s="24" t="s">
        <v>9</v>
      </c>
    </row>
    <row r="394" spans="1:54" x14ac:dyDescent="0.2">
      <c r="A394" s="5">
        <v>1531</v>
      </c>
      <c r="B394" s="20" t="s">
        <v>9</v>
      </c>
      <c r="C394" s="27" t="s">
        <v>9</v>
      </c>
      <c r="D394" s="27" t="s">
        <v>9</v>
      </c>
      <c r="E394" s="27" t="s">
        <v>9</v>
      </c>
      <c r="F394" s="18" t="s">
        <v>9</v>
      </c>
      <c r="G394" s="27" t="s">
        <v>9</v>
      </c>
      <c r="H394" s="22" t="s">
        <v>8</v>
      </c>
      <c r="I394" s="22" t="s">
        <v>8</v>
      </c>
      <c r="J394" s="22" t="s">
        <v>8</v>
      </c>
      <c r="K394" s="22" t="s">
        <v>8</v>
      </c>
      <c r="L394" s="22" t="s">
        <v>8</v>
      </c>
      <c r="M394" s="22" t="s">
        <v>8</v>
      </c>
      <c r="N394" s="22" t="s">
        <v>8</v>
      </c>
      <c r="O394" s="22" t="s">
        <v>8</v>
      </c>
      <c r="P394" s="22" t="s">
        <v>8</v>
      </c>
      <c r="Q394" s="22" t="s">
        <v>8</v>
      </c>
      <c r="R394" s="22" t="s">
        <v>8</v>
      </c>
      <c r="S394" s="22" t="s">
        <v>8</v>
      </c>
      <c r="T394" s="20" t="s">
        <v>9</v>
      </c>
      <c r="U394" s="20" t="s">
        <v>9</v>
      </c>
      <c r="V394" s="20" t="s">
        <v>1</v>
      </c>
      <c r="W394" s="20">
        <v>5</v>
      </c>
      <c r="X394" s="20">
        <v>2</v>
      </c>
      <c r="Y394" s="20">
        <v>2</v>
      </c>
      <c r="Z394" s="24">
        <v>4</v>
      </c>
      <c r="AA394" s="20">
        <v>3</v>
      </c>
      <c r="AB394" s="15" t="s">
        <v>9</v>
      </c>
      <c r="AC394" s="15" t="s">
        <v>9</v>
      </c>
      <c r="AD394" s="15" t="s">
        <v>9</v>
      </c>
      <c r="AE394" s="15" t="s">
        <v>9</v>
      </c>
      <c r="AF394" s="20" t="s">
        <v>9</v>
      </c>
      <c r="AG394" s="20" t="s">
        <v>9</v>
      </c>
      <c r="AH394" s="20" t="s">
        <v>9</v>
      </c>
      <c r="AI394" s="23">
        <v>3</v>
      </c>
      <c r="AJ394" s="15" t="s">
        <v>9</v>
      </c>
      <c r="AK394" s="15" t="s">
        <v>9</v>
      </c>
      <c r="AL394" s="25" t="s">
        <v>9</v>
      </c>
      <c r="AM394" s="31">
        <v>3</v>
      </c>
      <c r="AN394" s="26" t="s">
        <v>9</v>
      </c>
      <c r="AO394" s="26" t="s">
        <v>9</v>
      </c>
      <c r="AP394" s="26" t="s">
        <v>9</v>
      </c>
      <c r="AQ394" s="26" t="s">
        <v>9</v>
      </c>
      <c r="AR394" s="26" t="s">
        <v>9</v>
      </c>
      <c r="AS394" s="26" t="s">
        <v>9</v>
      </c>
      <c r="AT394" s="26" t="s">
        <v>9</v>
      </c>
      <c r="AU394" s="26" t="s">
        <v>9</v>
      </c>
      <c r="AV394" s="26" t="s">
        <v>9</v>
      </c>
      <c r="AW394" s="26" t="s">
        <v>9</v>
      </c>
      <c r="AX394" s="26" t="s">
        <v>9</v>
      </c>
      <c r="AY394" s="26" t="s">
        <v>9</v>
      </c>
      <c r="AZ394" s="26" t="s">
        <v>9</v>
      </c>
      <c r="BA394" s="23">
        <v>3</v>
      </c>
      <c r="BB394" s="24" t="s">
        <v>9</v>
      </c>
    </row>
    <row r="395" spans="1:54" x14ac:dyDescent="0.2">
      <c r="A395" s="5">
        <v>1665</v>
      </c>
      <c r="B395" s="20" t="s">
        <v>9</v>
      </c>
      <c r="C395" s="27" t="s">
        <v>9</v>
      </c>
      <c r="D395" s="27" t="s">
        <v>9</v>
      </c>
      <c r="E395" s="27" t="s">
        <v>9</v>
      </c>
      <c r="F395" s="18" t="s">
        <v>9</v>
      </c>
      <c r="G395" s="27" t="s">
        <v>9</v>
      </c>
      <c r="H395" s="22" t="s">
        <v>8</v>
      </c>
      <c r="I395" s="22" t="s">
        <v>8</v>
      </c>
      <c r="J395" s="22" t="s">
        <v>8</v>
      </c>
      <c r="K395" s="22" t="s">
        <v>8</v>
      </c>
      <c r="L395" s="22" t="s">
        <v>8</v>
      </c>
      <c r="M395" s="22" t="s">
        <v>8</v>
      </c>
      <c r="N395" s="22" t="s">
        <v>8</v>
      </c>
      <c r="O395" s="22" t="s">
        <v>8</v>
      </c>
      <c r="P395" s="22" t="s">
        <v>8</v>
      </c>
      <c r="Q395" s="22" t="s">
        <v>8</v>
      </c>
      <c r="R395" s="22" t="s">
        <v>8</v>
      </c>
      <c r="S395" s="22" t="s">
        <v>8</v>
      </c>
      <c r="T395" s="20" t="s">
        <v>9</v>
      </c>
      <c r="U395" s="20" t="s">
        <v>9</v>
      </c>
      <c r="V395" s="20" t="s">
        <v>1</v>
      </c>
      <c r="W395" s="20">
        <v>5</v>
      </c>
      <c r="X395" s="20">
        <v>2</v>
      </c>
      <c r="Y395" s="20">
        <v>2</v>
      </c>
      <c r="Z395" s="24">
        <v>4</v>
      </c>
      <c r="AA395" s="20">
        <v>3</v>
      </c>
      <c r="AB395" s="15" t="s">
        <v>9</v>
      </c>
      <c r="AC395" s="15" t="s">
        <v>9</v>
      </c>
      <c r="AD395" s="15" t="s">
        <v>9</v>
      </c>
      <c r="AE395" s="15" t="s">
        <v>9</v>
      </c>
      <c r="AF395" s="20" t="s">
        <v>9</v>
      </c>
      <c r="AG395" s="20" t="s">
        <v>9</v>
      </c>
      <c r="AH395" s="20" t="s">
        <v>9</v>
      </c>
      <c r="AI395" s="23">
        <v>3</v>
      </c>
      <c r="AJ395" s="15" t="s">
        <v>9</v>
      </c>
      <c r="AK395" s="15" t="s">
        <v>9</v>
      </c>
      <c r="AL395" s="25" t="s">
        <v>9</v>
      </c>
      <c r="AM395" s="31">
        <v>3</v>
      </c>
      <c r="AN395" s="26" t="s">
        <v>9</v>
      </c>
      <c r="AO395" s="26" t="s">
        <v>9</v>
      </c>
      <c r="AP395" s="26" t="s">
        <v>9</v>
      </c>
      <c r="AQ395" s="26" t="s">
        <v>9</v>
      </c>
      <c r="AR395" s="26" t="s">
        <v>9</v>
      </c>
      <c r="AS395" s="26" t="s">
        <v>9</v>
      </c>
      <c r="AT395" s="26" t="s">
        <v>9</v>
      </c>
      <c r="AU395" s="26" t="s">
        <v>9</v>
      </c>
      <c r="AV395" s="26" t="s">
        <v>9</v>
      </c>
      <c r="AW395" s="26" t="s">
        <v>9</v>
      </c>
      <c r="AX395" s="26" t="s">
        <v>9</v>
      </c>
      <c r="AY395" s="26" t="s">
        <v>9</v>
      </c>
      <c r="AZ395" s="26" t="s">
        <v>9</v>
      </c>
      <c r="BA395" s="23">
        <v>3</v>
      </c>
      <c r="BB395" s="24" t="s">
        <v>9</v>
      </c>
    </row>
    <row r="396" spans="1:54" x14ac:dyDescent="0.2">
      <c r="A396" s="5">
        <v>1784</v>
      </c>
      <c r="B396" s="20" t="s">
        <v>9</v>
      </c>
      <c r="C396" s="27" t="s">
        <v>9</v>
      </c>
      <c r="D396" s="27" t="s">
        <v>9</v>
      </c>
      <c r="E396" s="27" t="s">
        <v>9</v>
      </c>
      <c r="F396" s="18" t="s">
        <v>9</v>
      </c>
      <c r="G396" s="27" t="s">
        <v>9</v>
      </c>
      <c r="H396" s="22" t="s">
        <v>8</v>
      </c>
      <c r="I396" s="22" t="s">
        <v>8</v>
      </c>
      <c r="J396" s="22" t="s">
        <v>8</v>
      </c>
      <c r="K396" s="22" t="s">
        <v>8</v>
      </c>
      <c r="L396" s="22" t="s">
        <v>8</v>
      </c>
      <c r="M396" s="22" t="s">
        <v>8</v>
      </c>
      <c r="N396" s="22" t="s">
        <v>8</v>
      </c>
      <c r="O396" s="22" t="s">
        <v>8</v>
      </c>
      <c r="P396" s="22" t="s">
        <v>8</v>
      </c>
      <c r="Q396" s="22" t="s">
        <v>8</v>
      </c>
      <c r="R396" s="22" t="s">
        <v>8</v>
      </c>
      <c r="S396" s="22" t="s">
        <v>8</v>
      </c>
      <c r="T396" s="20" t="s">
        <v>9</v>
      </c>
      <c r="U396" s="20" t="s">
        <v>9</v>
      </c>
      <c r="V396" s="20" t="s">
        <v>1</v>
      </c>
      <c r="W396" s="20">
        <v>5</v>
      </c>
      <c r="X396" s="20">
        <v>2</v>
      </c>
      <c r="Y396" s="20">
        <v>2</v>
      </c>
      <c r="Z396" s="24">
        <v>4</v>
      </c>
      <c r="AA396" s="20">
        <v>3</v>
      </c>
      <c r="AB396" s="15" t="s">
        <v>9</v>
      </c>
      <c r="AC396" s="15" t="s">
        <v>9</v>
      </c>
      <c r="AD396" s="15" t="s">
        <v>9</v>
      </c>
      <c r="AE396" s="15" t="s">
        <v>9</v>
      </c>
      <c r="AF396" s="20" t="s">
        <v>9</v>
      </c>
      <c r="AG396" s="20" t="s">
        <v>9</v>
      </c>
      <c r="AH396" s="20" t="s">
        <v>9</v>
      </c>
      <c r="AI396" s="23">
        <v>3</v>
      </c>
      <c r="AJ396" s="15" t="s">
        <v>9</v>
      </c>
      <c r="AK396" s="15" t="s">
        <v>9</v>
      </c>
      <c r="AL396" s="25" t="s">
        <v>9</v>
      </c>
      <c r="AM396" s="31">
        <v>3</v>
      </c>
      <c r="AN396" s="26" t="s">
        <v>9</v>
      </c>
      <c r="AO396" s="26" t="s">
        <v>9</v>
      </c>
      <c r="AP396" s="26" t="s">
        <v>9</v>
      </c>
      <c r="AQ396" s="26" t="s">
        <v>9</v>
      </c>
      <c r="AR396" s="26" t="s">
        <v>9</v>
      </c>
      <c r="AS396" s="26" t="s">
        <v>9</v>
      </c>
      <c r="AT396" s="26" t="s">
        <v>9</v>
      </c>
      <c r="AU396" s="26" t="s">
        <v>9</v>
      </c>
      <c r="AV396" s="26" t="s">
        <v>9</v>
      </c>
      <c r="AW396" s="26" t="s">
        <v>9</v>
      </c>
      <c r="AX396" s="26" t="s">
        <v>9</v>
      </c>
      <c r="AY396" s="26" t="s">
        <v>9</v>
      </c>
      <c r="AZ396" s="26" t="s">
        <v>9</v>
      </c>
      <c r="BA396" s="23">
        <v>3</v>
      </c>
      <c r="BB396" s="24" t="s">
        <v>9</v>
      </c>
    </row>
    <row r="397" spans="1:54" x14ac:dyDescent="0.2">
      <c r="A397" s="5">
        <v>1854</v>
      </c>
      <c r="B397" s="20" t="s">
        <v>9</v>
      </c>
      <c r="C397" s="27" t="s">
        <v>9</v>
      </c>
      <c r="D397" s="27" t="s">
        <v>9</v>
      </c>
      <c r="E397" s="27" t="s">
        <v>9</v>
      </c>
      <c r="F397" s="18" t="s">
        <v>9</v>
      </c>
      <c r="G397" s="27" t="s">
        <v>9</v>
      </c>
      <c r="H397" s="22" t="s">
        <v>8</v>
      </c>
      <c r="I397" s="22" t="s">
        <v>8</v>
      </c>
      <c r="J397" s="22" t="s">
        <v>8</v>
      </c>
      <c r="K397" s="22" t="s">
        <v>8</v>
      </c>
      <c r="L397" s="22" t="s">
        <v>8</v>
      </c>
      <c r="M397" s="22" t="s">
        <v>8</v>
      </c>
      <c r="N397" s="22" t="s">
        <v>8</v>
      </c>
      <c r="O397" s="22" t="s">
        <v>8</v>
      </c>
      <c r="P397" s="22" t="s">
        <v>8</v>
      </c>
      <c r="Q397" s="22" t="s">
        <v>8</v>
      </c>
      <c r="R397" s="22" t="s">
        <v>8</v>
      </c>
      <c r="S397" s="22" t="s">
        <v>8</v>
      </c>
      <c r="T397" s="20" t="s">
        <v>9</v>
      </c>
      <c r="U397" s="20" t="s">
        <v>9</v>
      </c>
      <c r="V397" s="20" t="s">
        <v>1</v>
      </c>
      <c r="W397" s="20">
        <v>5</v>
      </c>
      <c r="X397" s="20">
        <v>2</v>
      </c>
      <c r="Y397" s="20">
        <v>2</v>
      </c>
      <c r="Z397" s="24">
        <v>4</v>
      </c>
      <c r="AA397" s="20">
        <v>3</v>
      </c>
      <c r="AB397" s="15" t="s">
        <v>9</v>
      </c>
      <c r="AC397" s="15" t="s">
        <v>9</v>
      </c>
      <c r="AD397" s="15" t="s">
        <v>9</v>
      </c>
      <c r="AE397" s="15" t="s">
        <v>9</v>
      </c>
      <c r="AF397" s="20" t="s">
        <v>9</v>
      </c>
      <c r="AG397" s="20" t="s">
        <v>9</v>
      </c>
      <c r="AH397" s="20" t="s">
        <v>9</v>
      </c>
      <c r="AI397" s="23">
        <v>3</v>
      </c>
      <c r="AJ397" s="15" t="s">
        <v>9</v>
      </c>
      <c r="AK397" s="15" t="s">
        <v>9</v>
      </c>
      <c r="AL397" s="25" t="s">
        <v>9</v>
      </c>
      <c r="AM397" s="31">
        <v>3</v>
      </c>
      <c r="AN397" s="26" t="s">
        <v>9</v>
      </c>
      <c r="AO397" s="26" t="s">
        <v>9</v>
      </c>
      <c r="AP397" s="26" t="s">
        <v>9</v>
      </c>
      <c r="AQ397" s="26" t="s">
        <v>9</v>
      </c>
      <c r="AR397" s="26" t="s">
        <v>9</v>
      </c>
      <c r="AS397" s="26" t="s">
        <v>9</v>
      </c>
      <c r="AT397" s="26" t="s">
        <v>9</v>
      </c>
      <c r="AU397" s="26" t="s">
        <v>9</v>
      </c>
      <c r="AV397" s="26" t="s">
        <v>9</v>
      </c>
      <c r="AW397" s="26" t="s">
        <v>9</v>
      </c>
      <c r="AX397" s="26" t="s">
        <v>9</v>
      </c>
      <c r="AY397" s="26" t="s">
        <v>9</v>
      </c>
      <c r="AZ397" s="26" t="s">
        <v>9</v>
      </c>
      <c r="BA397" s="23">
        <v>3</v>
      </c>
      <c r="BB397" s="24" t="s">
        <v>9</v>
      </c>
    </row>
    <row r="398" spans="1:54" x14ac:dyDescent="0.2">
      <c r="A398" s="5">
        <v>1860</v>
      </c>
      <c r="B398" s="20" t="s">
        <v>9</v>
      </c>
      <c r="C398" s="27" t="s">
        <v>9</v>
      </c>
      <c r="D398" s="27" t="s">
        <v>9</v>
      </c>
      <c r="E398" s="27" t="s">
        <v>9</v>
      </c>
      <c r="F398" s="18" t="s">
        <v>9</v>
      </c>
      <c r="G398" s="27" t="s">
        <v>9</v>
      </c>
      <c r="H398" s="22" t="s">
        <v>8</v>
      </c>
      <c r="I398" s="22" t="s">
        <v>8</v>
      </c>
      <c r="J398" s="22" t="s">
        <v>8</v>
      </c>
      <c r="K398" s="22" t="s">
        <v>8</v>
      </c>
      <c r="L398" s="22" t="s">
        <v>8</v>
      </c>
      <c r="M398" s="22" t="s">
        <v>8</v>
      </c>
      <c r="N398" s="22" t="s">
        <v>8</v>
      </c>
      <c r="O398" s="22" t="s">
        <v>8</v>
      </c>
      <c r="P398" s="22" t="s">
        <v>8</v>
      </c>
      <c r="Q398" s="22" t="s">
        <v>8</v>
      </c>
      <c r="R398" s="22" t="s">
        <v>8</v>
      </c>
      <c r="S398" s="22" t="s">
        <v>8</v>
      </c>
      <c r="T398" s="20" t="s">
        <v>9</v>
      </c>
      <c r="U398" s="20" t="s">
        <v>9</v>
      </c>
      <c r="V398" s="20" t="s">
        <v>1</v>
      </c>
      <c r="W398" s="20">
        <v>5</v>
      </c>
      <c r="X398" s="20">
        <v>2</v>
      </c>
      <c r="Y398" s="20">
        <v>2</v>
      </c>
      <c r="Z398" s="24">
        <v>4</v>
      </c>
      <c r="AA398" s="20">
        <v>3</v>
      </c>
      <c r="AB398" s="15" t="s">
        <v>9</v>
      </c>
      <c r="AC398" s="15" t="s">
        <v>9</v>
      </c>
      <c r="AD398" s="15" t="s">
        <v>9</v>
      </c>
      <c r="AE398" s="15" t="s">
        <v>9</v>
      </c>
      <c r="AF398" s="20" t="s">
        <v>9</v>
      </c>
      <c r="AG398" s="20" t="s">
        <v>9</v>
      </c>
      <c r="AH398" s="20" t="s">
        <v>9</v>
      </c>
      <c r="AI398" s="23">
        <v>3</v>
      </c>
      <c r="AJ398" s="15" t="s">
        <v>9</v>
      </c>
      <c r="AK398" s="15" t="s">
        <v>9</v>
      </c>
      <c r="AL398" s="25" t="s">
        <v>9</v>
      </c>
      <c r="AM398" s="31">
        <v>3</v>
      </c>
      <c r="AN398" s="26" t="s">
        <v>9</v>
      </c>
      <c r="AO398" s="26" t="s">
        <v>9</v>
      </c>
      <c r="AP398" s="26" t="s">
        <v>9</v>
      </c>
      <c r="AQ398" s="26" t="s">
        <v>9</v>
      </c>
      <c r="AR398" s="26" t="s">
        <v>9</v>
      </c>
      <c r="AS398" s="26" t="s">
        <v>9</v>
      </c>
      <c r="AT398" s="26" t="s">
        <v>9</v>
      </c>
      <c r="AU398" s="26" t="s">
        <v>9</v>
      </c>
      <c r="AV398" s="26" t="s">
        <v>9</v>
      </c>
      <c r="AW398" s="26" t="s">
        <v>9</v>
      </c>
      <c r="AX398" s="26" t="s">
        <v>9</v>
      </c>
      <c r="AY398" s="26" t="s">
        <v>9</v>
      </c>
      <c r="AZ398" s="26" t="s">
        <v>9</v>
      </c>
      <c r="BA398" s="23">
        <v>3</v>
      </c>
      <c r="BB398" s="24" t="s">
        <v>9</v>
      </c>
    </row>
    <row r="399" spans="1:54" x14ac:dyDescent="0.2">
      <c r="A399" s="5">
        <v>1866</v>
      </c>
      <c r="B399" s="20" t="s">
        <v>9</v>
      </c>
      <c r="C399" s="27" t="s">
        <v>9</v>
      </c>
      <c r="D399" s="27" t="s">
        <v>9</v>
      </c>
      <c r="E399" s="27" t="s">
        <v>9</v>
      </c>
      <c r="F399" s="18" t="s">
        <v>9</v>
      </c>
      <c r="G399" s="27" t="s">
        <v>9</v>
      </c>
      <c r="H399" s="22" t="s">
        <v>8</v>
      </c>
      <c r="I399" s="22" t="s">
        <v>8</v>
      </c>
      <c r="J399" s="22" t="s">
        <v>8</v>
      </c>
      <c r="K399" s="22" t="s">
        <v>8</v>
      </c>
      <c r="L399" s="22" t="s">
        <v>8</v>
      </c>
      <c r="M399" s="22" t="s">
        <v>8</v>
      </c>
      <c r="N399" s="22" t="s">
        <v>8</v>
      </c>
      <c r="O399" s="22" t="s">
        <v>8</v>
      </c>
      <c r="P399" s="22" t="s">
        <v>8</v>
      </c>
      <c r="Q399" s="22" t="s">
        <v>8</v>
      </c>
      <c r="R399" s="22" t="s">
        <v>8</v>
      </c>
      <c r="S399" s="22" t="s">
        <v>8</v>
      </c>
      <c r="T399" s="20" t="s">
        <v>9</v>
      </c>
      <c r="U399" s="20" t="s">
        <v>9</v>
      </c>
      <c r="V399" s="20" t="s">
        <v>1</v>
      </c>
      <c r="W399" s="20">
        <v>5</v>
      </c>
      <c r="X399" s="20">
        <v>2</v>
      </c>
      <c r="Y399" s="20">
        <v>2</v>
      </c>
      <c r="Z399" s="24">
        <v>4</v>
      </c>
      <c r="AA399" s="20">
        <v>3</v>
      </c>
      <c r="AB399" s="15" t="s">
        <v>9</v>
      </c>
      <c r="AC399" s="15" t="s">
        <v>9</v>
      </c>
      <c r="AD399" s="15" t="s">
        <v>9</v>
      </c>
      <c r="AE399" s="15" t="s">
        <v>9</v>
      </c>
      <c r="AF399" s="20" t="s">
        <v>9</v>
      </c>
      <c r="AG399" s="20" t="s">
        <v>9</v>
      </c>
      <c r="AH399" s="20" t="s">
        <v>9</v>
      </c>
      <c r="AI399" s="23">
        <v>3</v>
      </c>
      <c r="AJ399" s="15" t="s">
        <v>9</v>
      </c>
      <c r="AK399" s="15" t="s">
        <v>9</v>
      </c>
      <c r="AL399" s="25" t="s">
        <v>9</v>
      </c>
      <c r="AM399" s="31">
        <v>3</v>
      </c>
      <c r="AN399" s="26" t="s">
        <v>9</v>
      </c>
      <c r="AO399" s="26" t="s">
        <v>9</v>
      </c>
      <c r="AP399" s="26" t="s">
        <v>9</v>
      </c>
      <c r="AQ399" s="26" t="s">
        <v>9</v>
      </c>
      <c r="AR399" s="26" t="s">
        <v>9</v>
      </c>
      <c r="AS399" s="26" t="s">
        <v>9</v>
      </c>
      <c r="AT399" s="26" t="s">
        <v>9</v>
      </c>
      <c r="AU399" s="26" t="s">
        <v>9</v>
      </c>
      <c r="AV399" s="26" t="s">
        <v>9</v>
      </c>
      <c r="AW399" s="26" t="s">
        <v>9</v>
      </c>
      <c r="AX399" s="26" t="s">
        <v>9</v>
      </c>
      <c r="AY399" s="26" t="s">
        <v>9</v>
      </c>
      <c r="AZ399" s="26" t="s">
        <v>9</v>
      </c>
      <c r="BA399" s="23">
        <v>3</v>
      </c>
      <c r="BB399" s="24" t="s">
        <v>9</v>
      </c>
    </row>
    <row r="400" spans="1:54" x14ac:dyDescent="0.2">
      <c r="A400" s="5">
        <v>1869</v>
      </c>
      <c r="B400" s="20" t="s">
        <v>9</v>
      </c>
      <c r="C400" s="27" t="s">
        <v>9</v>
      </c>
      <c r="D400" s="27" t="s">
        <v>9</v>
      </c>
      <c r="E400" s="27" t="s">
        <v>9</v>
      </c>
      <c r="F400" s="18" t="s">
        <v>9</v>
      </c>
      <c r="G400" s="27" t="s">
        <v>9</v>
      </c>
      <c r="H400" s="22" t="s">
        <v>8</v>
      </c>
      <c r="I400" s="22" t="s">
        <v>8</v>
      </c>
      <c r="J400" s="22" t="s">
        <v>8</v>
      </c>
      <c r="K400" s="22" t="s">
        <v>8</v>
      </c>
      <c r="L400" s="22" t="s">
        <v>8</v>
      </c>
      <c r="M400" s="22" t="s">
        <v>8</v>
      </c>
      <c r="N400" s="22" t="s">
        <v>8</v>
      </c>
      <c r="O400" s="22" t="s">
        <v>8</v>
      </c>
      <c r="P400" s="22" t="s">
        <v>8</v>
      </c>
      <c r="Q400" s="22" t="s">
        <v>8</v>
      </c>
      <c r="R400" s="22" t="s">
        <v>8</v>
      </c>
      <c r="S400" s="22" t="s">
        <v>8</v>
      </c>
      <c r="T400" s="20" t="s">
        <v>9</v>
      </c>
      <c r="U400" s="20" t="s">
        <v>9</v>
      </c>
      <c r="V400" s="20" t="s">
        <v>1</v>
      </c>
      <c r="W400" s="20">
        <v>5</v>
      </c>
      <c r="X400" s="20">
        <v>2</v>
      </c>
      <c r="Y400" s="20">
        <v>2</v>
      </c>
      <c r="Z400" s="24">
        <v>4</v>
      </c>
      <c r="AA400" s="20">
        <v>3</v>
      </c>
      <c r="AB400" s="15" t="s">
        <v>9</v>
      </c>
      <c r="AC400" s="15" t="s">
        <v>9</v>
      </c>
      <c r="AD400" s="15" t="s">
        <v>9</v>
      </c>
      <c r="AE400" s="15" t="s">
        <v>9</v>
      </c>
      <c r="AF400" s="20" t="s">
        <v>9</v>
      </c>
      <c r="AG400" s="20" t="s">
        <v>9</v>
      </c>
      <c r="AH400" s="20" t="s">
        <v>9</v>
      </c>
      <c r="AI400" s="23">
        <v>3</v>
      </c>
      <c r="AJ400" s="15" t="s">
        <v>9</v>
      </c>
      <c r="AK400" s="15" t="s">
        <v>9</v>
      </c>
      <c r="AL400" s="25" t="s">
        <v>9</v>
      </c>
      <c r="AM400" s="31">
        <v>3</v>
      </c>
      <c r="AN400" s="26" t="s">
        <v>9</v>
      </c>
      <c r="AO400" s="26" t="s">
        <v>9</v>
      </c>
      <c r="AP400" s="26" t="s">
        <v>9</v>
      </c>
      <c r="AQ400" s="26" t="s">
        <v>9</v>
      </c>
      <c r="AR400" s="26" t="s">
        <v>9</v>
      </c>
      <c r="AS400" s="26" t="s">
        <v>9</v>
      </c>
      <c r="AT400" s="26" t="s">
        <v>9</v>
      </c>
      <c r="AU400" s="26" t="s">
        <v>9</v>
      </c>
      <c r="AV400" s="26" t="s">
        <v>9</v>
      </c>
      <c r="AW400" s="26" t="s">
        <v>9</v>
      </c>
      <c r="AX400" s="26" t="s">
        <v>9</v>
      </c>
      <c r="AY400" s="26" t="s">
        <v>9</v>
      </c>
      <c r="AZ400" s="26" t="s">
        <v>9</v>
      </c>
      <c r="BA400" s="23">
        <v>3</v>
      </c>
      <c r="BB400" s="24" t="s">
        <v>9</v>
      </c>
    </row>
    <row r="401" spans="1:54" x14ac:dyDescent="0.2">
      <c r="A401" s="5">
        <v>1874</v>
      </c>
      <c r="B401" s="20" t="s">
        <v>9</v>
      </c>
      <c r="C401" s="27" t="s">
        <v>9</v>
      </c>
      <c r="D401" s="27" t="s">
        <v>9</v>
      </c>
      <c r="E401" s="27" t="s">
        <v>9</v>
      </c>
      <c r="F401" s="18" t="s">
        <v>9</v>
      </c>
      <c r="G401" s="27" t="s">
        <v>9</v>
      </c>
      <c r="H401" s="22" t="s">
        <v>8</v>
      </c>
      <c r="I401" s="22" t="s">
        <v>8</v>
      </c>
      <c r="J401" s="22" t="s">
        <v>8</v>
      </c>
      <c r="K401" s="22" t="s">
        <v>8</v>
      </c>
      <c r="L401" s="22" t="s">
        <v>8</v>
      </c>
      <c r="M401" s="22" t="s">
        <v>8</v>
      </c>
      <c r="N401" s="22" t="s">
        <v>8</v>
      </c>
      <c r="O401" s="22" t="s">
        <v>8</v>
      </c>
      <c r="P401" s="22" t="s">
        <v>8</v>
      </c>
      <c r="Q401" s="22" t="s">
        <v>8</v>
      </c>
      <c r="R401" s="22" t="s">
        <v>8</v>
      </c>
      <c r="S401" s="22" t="s">
        <v>8</v>
      </c>
      <c r="T401" s="20" t="s">
        <v>9</v>
      </c>
      <c r="U401" s="20" t="s">
        <v>9</v>
      </c>
      <c r="V401" s="20" t="s">
        <v>1</v>
      </c>
      <c r="W401" s="20">
        <v>5</v>
      </c>
      <c r="X401" s="20">
        <v>2</v>
      </c>
      <c r="Y401" s="20">
        <v>2</v>
      </c>
      <c r="Z401" s="24">
        <v>4</v>
      </c>
      <c r="AA401" s="20">
        <v>3</v>
      </c>
      <c r="AB401" s="15" t="s">
        <v>9</v>
      </c>
      <c r="AC401" s="15" t="s">
        <v>9</v>
      </c>
      <c r="AD401" s="15" t="s">
        <v>9</v>
      </c>
      <c r="AE401" s="15" t="s">
        <v>9</v>
      </c>
      <c r="AF401" s="20" t="s">
        <v>9</v>
      </c>
      <c r="AG401" s="20" t="s">
        <v>9</v>
      </c>
      <c r="AH401" s="20" t="s">
        <v>9</v>
      </c>
      <c r="AI401" s="23">
        <v>3</v>
      </c>
      <c r="AJ401" s="15" t="s">
        <v>9</v>
      </c>
      <c r="AK401" s="15" t="s">
        <v>9</v>
      </c>
      <c r="AL401" s="25" t="s">
        <v>9</v>
      </c>
      <c r="AM401" s="31">
        <v>3</v>
      </c>
      <c r="AN401" s="26" t="s">
        <v>9</v>
      </c>
      <c r="AO401" s="26" t="s">
        <v>9</v>
      </c>
      <c r="AP401" s="26" t="s">
        <v>9</v>
      </c>
      <c r="AQ401" s="26" t="s">
        <v>9</v>
      </c>
      <c r="AR401" s="26" t="s">
        <v>9</v>
      </c>
      <c r="AS401" s="26" t="s">
        <v>9</v>
      </c>
      <c r="AT401" s="26" t="s">
        <v>9</v>
      </c>
      <c r="AU401" s="26" t="s">
        <v>9</v>
      </c>
      <c r="AV401" s="26" t="s">
        <v>9</v>
      </c>
      <c r="AW401" s="26" t="s">
        <v>9</v>
      </c>
      <c r="AX401" s="26" t="s">
        <v>9</v>
      </c>
      <c r="AY401" s="26" t="s">
        <v>9</v>
      </c>
      <c r="AZ401" s="26" t="s">
        <v>9</v>
      </c>
      <c r="BA401" s="23">
        <v>3</v>
      </c>
      <c r="BB401" s="24" t="s">
        <v>9</v>
      </c>
    </row>
    <row r="402" spans="1:54" x14ac:dyDescent="0.2">
      <c r="A402" s="5">
        <v>1882</v>
      </c>
      <c r="B402" s="20" t="s">
        <v>9</v>
      </c>
      <c r="C402" s="27" t="s">
        <v>9</v>
      </c>
      <c r="D402" s="27" t="s">
        <v>9</v>
      </c>
      <c r="E402" s="27" t="s">
        <v>9</v>
      </c>
      <c r="F402" s="18" t="s">
        <v>9</v>
      </c>
      <c r="G402" s="27" t="s">
        <v>9</v>
      </c>
      <c r="H402" s="22" t="s">
        <v>8</v>
      </c>
      <c r="I402" s="22" t="s">
        <v>8</v>
      </c>
      <c r="J402" s="22" t="s">
        <v>8</v>
      </c>
      <c r="K402" s="22" t="s">
        <v>8</v>
      </c>
      <c r="L402" s="22" t="s">
        <v>8</v>
      </c>
      <c r="M402" s="22" t="s">
        <v>8</v>
      </c>
      <c r="N402" s="22" t="s">
        <v>8</v>
      </c>
      <c r="O402" s="22" t="s">
        <v>8</v>
      </c>
      <c r="P402" s="22" t="s">
        <v>8</v>
      </c>
      <c r="Q402" s="22" t="s">
        <v>8</v>
      </c>
      <c r="R402" s="22" t="s">
        <v>8</v>
      </c>
      <c r="S402" s="22" t="s">
        <v>8</v>
      </c>
      <c r="T402" s="20" t="s">
        <v>9</v>
      </c>
      <c r="U402" s="20" t="s">
        <v>9</v>
      </c>
      <c r="V402" s="20" t="s">
        <v>1</v>
      </c>
      <c r="W402" s="20">
        <v>5</v>
      </c>
      <c r="X402" s="20">
        <v>2</v>
      </c>
      <c r="Y402" s="20">
        <v>2</v>
      </c>
      <c r="Z402" s="24">
        <v>4</v>
      </c>
      <c r="AA402" s="20">
        <v>3</v>
      </c>
      <c r="AB402" s="15" t="s">
        <v>9</v>
      </c>
      <c r="AC402" s="15" t="s">
        <v>9</v>
      </c>
      <c r="AD402" s="15" t="s">
        <v>9</v>
      </c>
      <c r="AE402" s="15" t="s">
        <v>9</v>
      </c>
      <c r="AF402" s="20" t="s">
        <v>9</v>
      </c>
      <c r="AG402" s="20" t="s">
        <v>9</v>
      </c>
      <c r="AH402" s="20" t="s">
        <v>9</v>
      </c>
      <c r="AI402" s="23">
        <v>3</v>
      </c>
      <c r="AJ402" s="15" t="s">
        <v>9</v>
      </c>
      <c r="AK402" s="15" t="s">
        <v>9</v>
      </c>
      <c r="AL402" s="25" t="s">
        <v>9</v>
      </c>
      <c r="AM402" s="31">
        <v>3</v>
      </c>
      <c r="AN402" s="26" t="s">
        <v>9</v>
      </c>
      <c r="AO402" s="26" t="s">
        <v>9</v>
      </c>
      <c r="AP402" s="26" t="s">
        <v>9</v>
      </c>
      <c r="AQ402" s="26" t="s">
        <v>9</v>
      </c>
      <c r="AR402" s="26" t="s">
        <v>9</v>
      </c>
      <c r="AS402" s="26" t="s">
        <v>9</v>
      </c>
      <c r="AT402" s="26" t="s">
        <v>9</v>
      </c>
      <c r="AU402" s="26" t="s">
        <v>9</v>
      </c>
      <c r="AV402" s="26" t="s">
        <v>9</v>
      </c>
      <c r="AW402" s="26" t="s">
        <v>9</v>
      </c>
      <c r="AX402" s="26" t="s">
        <v>9</v>
      </c>
      <c r="AY402" s="26" t="s">
        <v>9</v>
      </c>
      <c r="AZ402" s="26" t="s">
        <v>9</v>
      </c>
      <c r="BA402" s="23">
        <v>3</v>
      </c>
      <c r="BB402" s="24" t="s">
        <v>9</v>
      </c>
    </row>
    <row r="403" spans="1:54" x14ac:dyDescent="0.2">
      <c r="A403" s="5">
        <v>1886</v>
      </c>
      <c r="B403" s="20" t="s">
        <v>9</v>
      </c>
      <c r="C403" s="27" t="s">
        <v>9</v>
      </c>
      <c r="D403" s="27" t="s">
        <v>9</v>
      </c>
      <c r="E403" s="27" t="s">
        <v>9</v>
      </c>
      <c r="F403" s="18" t="s">
        <v>9</v>
      </c>
      <c r="G403" s="27" t="s">
        <v>9</v>
      </c>
      <c r="H403" s="22" t="s">
        <v>8</v>
      </c>
      <c r="I403" s="22" t="s">
        <v>8</v>
      </c>
      <c r="J403" s="22" t="s">
        <v>8</v>
      </c>
      <c r="K403" s="22" t="s">
        <v>8</v>
      </c>
      <c r="L403" s="22" t="s">
        <v>8</v>
      </c>
      <c r="M403" s="22" t="s">
        <v>8</v>
      </c>
      <c r="N403" s="22" t="s">
        <v>8</v>
      </c>
      <c r="O403" s="22" t="s">
        <v>8</v>
      </c>
      <c r="P403" s="22" t="s">
        <v>8</v>
      </c>
      <c r="Q403" s="22" t="s">
        <v>8</v>
      </c>
      <c r="R403" s="22" t="s">
        <v>8</v>
      </c>
      <c r="S403" s="22" t="s">
        <v>8</v>
      </c>
      <c r="T403" s="20" t="s">
        <v>9</v>
      </c>
      <c r="U403" s="20" t="s">
        <v>9</v>
      </c>
      <c r="V403" s="20" t="s">
        <v>1</v>
      </c>
      <c r="W403" s="20">
        <v>5</v>
      </c>
      <c r="X403" s="20">
        <v>2</v>
      </c>
      <c r="Y403" s="20">
        <v>2</v>
      </c>
      <c r="Z403" s="24">
        <v>4</v>
      </c>
      <c r="AA403" s="20">
        <v>3</v>
      </c>
      <c r="AB403" s="15" t="s">
        <v>9</v>
      </c>
      <c r="AC403" s="15" t="s">
        <v>9</v>
      </c>
      <c r="AD403" s="15" t="s">
        <v>9</v>
      </c>
      <c r="AE403" s="15" t="s">
        <v>9</v>
      </c>
      <c r="AF403" s="20" t="s">
        <v>9</v>
      </c>
      <c r="AG403" s="20" t="s">
        <v>9</v>
      </c>
      <c r="AH403" s="20" t="s">
        <v>9</v>
      </c>
      <c r="AI403" s="23">
        <v>3</v>
      </c>
      <c r="AJ403" s="15" t="s">
        <v>9</v>
      </c>
      <c r="AK403" s="15" t="s">
        <v>9</v>
      </c>
      <c r="AL403" s="25" t="s">
        <v>9</v>
      </c>
      <c r="AM403" s="31">
        <v>3</v>
      </c>
      <c r="AN403" s="26" t="s">
        <v>9</v>
      </c>
      <c r="AO403" s="26" t="s">
        <v>9</v>
      </c>
      <c r="AP403" s="26" t="s">
        <v>9</v>
      </c>
      <c r="AQ403" s="26" t="s">
        <v>9</v>
      </c>
      <c r="AR403" s="26" t="s">
        <v>9</v>
      </c>
      <c r="AS403" s="26" t="s">
        <v>9</v>
      </c>
      <c r="AT403" s="26" t="s">
        <v>9</v>
      </c>
      <c r="AU403" s="26" t="s">
        <v>9</v>
      </c>
      <c r="AV403" s="26" t="s">
        <v>9</v>
      </c>
      <c r="AW403" s="26" t="s">
        <v>9</v>
      </c>
      <c r="AX403" s="26" t="s">
        <v>9</v>
      </c>
      <c r="AY403" s="26" t="s">
        <v>9</v>
      </c>
      <c r="AZ403" s="26" t="s">
        <v>9</v>
      </c>
      <c r="BA403" s="23">
        <v>3</v>
      </c>
      <c r="BB403" s="24" t="s">
        <v>9</v>
      </c>
    </row>
    <row r="404" spans="1:54" x14ac:dyDescent="0.2">
      <c r="A404" s="5">
        <v>1915</v>
      </c>
      <c r="B404" s="20" t="s">
        <v>9</v>
      </c>
      <c r="C404" s="27" t="s">
        <v>9</v>
      </c>
      <c r="D404" s="27" t="s">
        <v>9</v>
      </c>
      <c r="E404" s="27" t="s">
        <v>9</v>
      </c>
      <c r="F404" s="18" t="s">
        <v>9</v>
      </c>
      <c r="G404" s="27" t="s">
        <v>9</v>
      </c>
      <c r="H404" s="22" t="s">
        <v>8</v>
      </c>
      <c r="I404" s="22" t="s">
        <v>8</v>
      </c>
      <c r="J404" s="22" t="s">
        <v>8</v>
      </c>
      <c r="K404" s="22" t="s">
        <v>8</v>
      </c>
      <c r="L404" s="22" t="s">
        <v>8</v>
      </c>
      <c r="M404" s="22" t="s">
        <v>8</v>
      </c>
      <c r="N404" s="22" t="s">
        <v>8</v>
      </c>
      <c r="O404" s="22" t="s">
        <v>8</v>
      </c>
      <c r="P404" s="22" t="s">
        <v>8</v>
      </c>
      <c r="Q404" s="22" t="s">
        <v>8</v>
      </c>
      <c r="R404" s="22" t="s">
        <v>8</v>
      </c>
      <c r="S404" s="22" t="s">
        <v>8</v>
      </c>
      <c r="T404" s="20" t="s">
        <v>9</v>
      </c>
      <c r="U404" s="20" t="s">
        <v>9</v>
      </c>
      <c r="V404" s="20" t="s">
        <v>1</v>
      </c>
      <c r="W404" s="20">
        <v>5</v>
      </c>
      <c r="X404" s="20">
        <v>2</v>
      </c>
      <c r="Y404" s="20">
        <v>2</v>
      </c>
      <c r="Z404" s="24">
        <v>4</v>
      </c>
      <c r="AA404" s="20">
        <v>3</v>
      </c>
      <c r="AB404" s="15" t="s">
        <v>9</v>
      </c>
      <c r="AC404" s="15" t="s">
        <v>9</v>
      </c>
      <c r="AD404" s="15" t="s">
        <v>9</v>
      </c>
      <c r="AE404" s="15" t="s">
        <v>9</v>
      </c>
      <c r="AF404" s="20" t="s">
        <v>9</v>
      </c>
      <c r="AG404" s="20" t="s">
        <v>9</v>
      </c>
      <c r="AH404" s="20" t="s">
        <v>9</v>
      </c>
      <c r="AI404" s="23">
        <v>3</v>
      </c>
      <c r="AJ404" s="15" t="s">
        <v>9</v>
      </c>
      <c r="AK404" s="15" t="s">
        <v>9</v>
      </c>
      <c r="AL404" s="25" t="s">
        <v>9</v>
      </c>
      <c r="AM404" s="31">
        <v>3</v>
      </c>
      <c r="AN404" s="26" t="s">
        <v>9</v>
      </c>
      <c r="AO404" s="26" t="s">
        <v>9</v>
      </c>
      <c r="AP404" s="26" t="s">
        <v>9</v>
      </c>
      <c r="AQ404" s="26" t="s">
        <v>9</v>
      </c>
      <c r="AR404" s="26" t="s">
        <v>9</v>
      </c>
      <c r="AS404" s="26" t="s">
        <v>9</v>
      </c>
      <c r="AT404" s="26" t="s">
        <v>9</v>
      </c>
      <c r="AU404" s="26" t="s">
        <v>9</v>
      </c>
      <c r="AV404" s="26" t="s">
        <v>9</v>
      </c>
      <c r="AW404" s="26" t="s">
        <v>9</v>
      </c>
      <c r="AX404" s="26" t="s">
        <v>9</v>
      </c>
      <c r="AY404" s="26" t="s">
        <v>9</v>
      </c>
      <c r="AZ404" s="26" t="s">
        <v>9</v>
      </c>
      <c r="BA404" s="23">
        <v>3</v>
      </c>
      <c r="BB404" s="24" t="s">
        <v>9</v>
      </c>
    </row>
    <row r="405" spans="1:54" x14ac:dyDescent="0.2">
      <c r="A405" s="5">
        <v>1919</v>
      </c>
      <c r="B405" s="20" t="s">
        <v>9</v>
      </c>
      <c r="C405" s="27" t="s">
        <v>9</v>
      </c>
      <c r="D405" s="27" t="s">
        <v>9</v>
      </c>
      <c r="E405" s="27" t="s">
        <v>9</v>
      </c>
      <c r="F405" s="18" t="s">
        <v>9</v>
      </c>
      <c r="G405" s="27" t="s">
        <v>9</v>
      </c>
      <c r="H405" s="22" t="s">
        <v>8</v>
      </c>
      <c r="I405" s="22" t="s">
        <v>8</v>
      </c>
      <c r="J405" s="22" t="s">
        <v>8</v>
      </c>
      <c r="K405" s="22" t="s">
        <v>8</v>
      </c>
      <c r="L405" s="22" t="s">
        <v>8</v>
      </c>
      <c r="M405" s="22" t="s">
        <v>8</v>
      </c>
      <c r="N405" s="22" t="s">
        <v>8</v>
      </c>
      <c r="O405" s="22" t="s">
        <v>8</v>
      </c>
      <c r="P405" s="22" t="s">
        <v>8</v>
      </c>
      <c r="Q405" s="22" t="s">
        <v>8</v>
      </c>
      <c r="R405" s="22" t="s">
        <v>8</v>
      </c>
      <c r="S405" s="22" t="s">
        <v>8</v>
      </c>
      <c r="T405" s="20" t="s">
        <v>9</v>
      </c>
      <c r="U405" s="20" t="s">
        <v>9</v>
      </c>
      <c r="V405" s="20" t="s">
        <v>1</v>
      </c>
      <c r="W405" s="20">
        <v>5</v>
      </c>
      <c r="X405" s="20">
        <v>2</v>
      </c>
      <c r="Y405" s="20">
        <v>2</v>
      </c>
      <c r="Z405" s="24">
        <v>4</v>
      </c>
      <c r="AA405" s="20">
        <v>3</v>
      </c>
      <c r="AB405" s="15" t="s">
        <v>9</v>
      </c>
      <c r="AC405" s="15" t="s">
        <v>9</v>
      </c>
      <c r="AD405" s="15" t="s">
        <v>9</v>
      </c>
      <c r="AE405" s="15" t="s">
        <v>9</v>
      </c>
      <c r="AF405" s="20" t="s">
        <v>9</v>
      </c>
      <c r="AG405" s="20" t="s">
        <v>9</v>
      </c>
      <c r="AH405" s="20" t="s">
        <v>9</v>
      </c>
      <c r="AI405" s="23">
        <v>3</v>
      </c>
      <c r="AJ405" s="15" t="s">
        <v>9</v>
      </c>
      <c r="AK405" s="15" t="s">
        <v>9</v>
      </c>
      <c r="AL405" s="25" t="s">
        <v>9</v>
      </c>
      <c r="AM405" s="31">
        <v>3</v>
      </c>
      <c r="AN405" s="26" t="s">
        <v>9</v>
      </c>
      <c r="AO405" s="26" t="s">
        <v>9</v>
      </c>
      <c r="AP405" s="26" t="s">
        <v>9</v>
      </c>
      <c r="AQ405" s="26" t="s">
        <v>9</v>
      </c>
      <c r="AR405" s="26" t="s">
        <v>9</v>
      </c>
      <c r="AS405" s="26" t="s">
        <v>9</v>
      </c>
      <c r="AT405" s="26" t="s">
        <v>9</v>
      </c>
      <c r="AU405" s="26" t="s">
        <v>9</v>
      </c>
      <c r="AV405" s="26" t="s">
        <v>9</v>
      </c>
      <c r="AW405" s="26" t="s">
        <v>9</v>
      </c>
      <c r="AX405" s="26" t="s">
        <v>9</v>
      </c>
      <c r="AY405" s="26" t="s">
        <v>9</v>
      </c>
      <c r="AZ405" s="26" t="s">
        <v>9</v>
      </c>
      <c r="BA405" s="23">
        <v>3</v>
      </c>
      <c r="BB405" s="24" t="s">
        <v>9</v>
      </c>
    </row>
    <row r="406" spans="1:54" x14ac:dyDescent="0.2">
      <c r="A406" s="5">
        <v>1922</v>
      </c>
      <c r="B406" s="20" t="s">
        <v>9</v>
      </c>
      <c r="C406" s="27" t="s">
        <v>9</v>
      </c>
      <c r="D406" s="27" t="s">
        <v>9</v>
      </c>
      <c r="E406" s="27" t="s">
        <v>9</v>
      </c>
      <c r="F406" s="18" t="s">
        <v>9</v>
      </c>
      <c r="G406" s="27" t="s">
        <v>9</v>
      </c>
      <c r="H406" s="22" t="s">
        <v>8</v>
      </c>
      <c r="I406" s="22" t="s">
        <v>8</v>
      </c>
      <c r="J406" s="22">
        <v>8.7994524298425727</v>
      </c>
      <c r="K406" s="22" t="s">
        <v>8</v>
      </c>
      <c r="L406" s="22" t="s">
        <v>8</v>
      </c>
      <c r="M406" s="22">
        <v>8.7994524298425727</v>
      </c>
      <c r="N406" s="22" t="s">
        <v>8</v>
      </c>
      <c r="O406" s="22" t="s">
        <v>8</v>
      </c>
      <c r="P406" s="22">
        <v>8.8514715947980829</v>
      </c>
      <c r="Q406" s="22" t="s">
        <v>8</v>
      </c>
      <c r="R406" s="22" t="s">
        <v>8</v>
      </c>
      <c r="S406" s="22" t="s">
        <v>8</v>
      </c>
      <c r="T406" s="20" t="s">
        <v>9</v>
      </c>
      <c r="U406" s="20" t="s">
        <v>9</v>
      </c>
      <c r="V406" s="20" t="s">
        <v>1</v>
      </c>
      <c r="W406" s="20">
        <v>5</v>
      </c>
      <c r="X406" s="20">
        <v>2</v>
      </c>
      <c r="Y406" s="20">
        <v>2</v>
      </c>
      <c r="Z406" s="24">
        <v>4</v>
      </c>
      <c r="AA406" s="20">
        <v>3</v>
      </c>
      <c r="AB406" s="15" t="s">
        <v>9</v>
      </c>
      <c r="AC406" s="15" t="s">
        <v>9</v>
      </c>
      <c r="AD406" s="15" t="s">
        <v>9</v>
      </c>
      <c r="AE406" s="15" t="s">
        <v>9</v>
      </c>
      <c r="AF406" s="20" t="s">
        <v>9</v>
      </c>
      <c r="AG406" s="20" t="s">
        <v>9</v>
      </c>
      <c r="AH406" s="20" t="s">
        <v>9</v>
      </c>
      <c r="AI406" s="23">
        <v>3</v>
      </c>
      <c r="AJ406" s="15" t="s">
        <v>9</v>
      </c>
      <c r="AK406" s="15" t="s">
        <v>9</v>
      </c>
      <c r="AL406" s="25" t="s">
        <v>9</v>
      </c>
      <c r="AM406" s="31">
        <v>3</v>
      </c>
      <c r="AN406" s="26" t="s">
        <v>9</v>
      </c>
      <c r="AO406" s="26" t="s">
        <v>9</v>
      </c>
      <c r="AP406" s="26" t="s">
        <v>9</v>
      </c>
      <c r="AQ406" s="26" t="s">
        <v>9</v>
      </c>
      <c r="AR406" s="26" t="s">
        <v>9</v>
      </c>
      <c r="AS406" s="26" t="s">
        <v>9</v>
      </c>
      <c r="AT406" s="26" t="s">
        <v>9</v>
      </c>
      <c r="AU406" s="26" t="s">
        <v>9</v>
      </c>
      <c r="AV406" s="26" t="s">
        <v>9</v>
      </c>
      <c r="AW406" s="26" t="s">
        <v>9</v>
      </c>
      <c r="AX406" s="26" t="s">
        <v>9</v>
      </c>
      <c r="AY406" s="26" t="s">
        <v>9</v>
      </c>
      <c r="AZ406" s="26" t="s">
        <v>9</v>
      </c>
      <c r="BA406" s="23">
        <v>3</v>
      </c>
      <c r="BB406" s="24" t="s">
        <v>9</v>
      </c>
    </row>
    <row r="407" spans="1:54" x14ac:dyDescent="0.2">
      <c r="A407" s="5">
        <v>1926</v>
      </c>
      <c r="B407" s="20" t="s">
        <v>9</v>
      </c>
      <c r="C407" s="27" t="s">
        <v>9</v>
      </c>
      <c r="D407" s="27" t="s">
        <v>9</v>
      </c>
      <c r="E407" s="27" t="s">
        <v>9</v>
      </c>
      <c r="F407" s="18" t="s">
        <v>9</v>
      </c>
      <c r="G407" s="27" t="s">
        <v>9</v>
      </c>
      <c r="H407" s="22" t="s">
        <v>8</v>
      </c>
      <c r="I407" s="22" t="s">
        <v>8</v>
      </c>
      <c r="J407" s="22" t="s">
        <v>8</v>
      </c>
      <c r="K407" s="22" t="s">
        <v>8</v>
      </c>
      <c r="L407" s="22" t="s">
        <v>8</v>
      </c>
      <c r="M407" s="22" t="s">
        <v>8</v>
      </c>
      <c r="N407" s="22" t="s">
        <v>8</v>
      </c>
      <c r="O407" s="22" t="s">
        <v>8</v>
      </c>
      <c r="P407" s="22" t="s">
        <v>8</v>
      </c>
      <c r="Q407" s="22" t="s">
        <v>8</v>
      </c>
      <c r="R407" s="22" t="s">
        <v>8</v>
      </c>
      <c r="S407" s="22" t="s">
        <v>8</v>
      </c>
      <c r="T407" s="20" t="s">
        <v>9</v>
      </c>
      <c r="U407" s="20" t="s">
        <v>9</v>
      </c>
      <c r="V407" s="20" t="s">
        <v>1</v>
      </c>
      <c r="W407" s="20">
        <v>5</v>
      </c>
      <c r="X407" s="20">
        <v>2</v>
      </c>
      <c r="Y407" s="20">
        <v>2</v>
      </c>
      <c r="Z407" s="24">
        <v>4</v>
      </c>
      <c r="AA407" s="20">
        <v>3</v>
      </c>
      <c r="AB407" s="15" t="s">
        <v>9</v>
      </c>
      <c r="AC407" s="15" t="s">
        <v>9</v>
      </c>
      <c r="AD407" s="15" t="s">
        <v>9</v>
      </c>
      <c r="AE407" s="15" t="s">
        <v>9</v>
      </c>
      <c r="AF407" s="20" t="s">
        <v>9</v>
      </c>
      <c r="AG407" s="20" t="s">
        <v>9</v>
      </c>
      <c r="AH407" s="20" t="s">
        <v>9</v>
      </c>
      <c r="AI407" s="23">
        <v>3</v>
      </c>
      <c r="AJ407" s="15" t="s">
        <v>9</v>
      </c>
      <c r="AK407" s="15" t="s">
        <v>9</v>
      </c>
      <c r="AL407" s="25" t="s">
        <v>9</v>
      </c>
      <c r="AM407" s="31">
        <v>3</v>
      </c>
      <c r="AN407" s="26" t="s">
        <v>9</v>
      </c>
      <c r="AO407" s="26" t="s">
        <v>9</v>
      </c>
      <c r="AP407" s="26" t="s">
        <v>9</v>
      </c>
      <c r="AQ407" s="26" t="s">
        <v>9</v>
      </c>
      <c r="AR407" s="26" t="s">
        <v>9</v>
      </c>
      <c r="AS407" s="26" t="s">
        <v>9</v>
      </c>
      <c r="AT407" s="26" t="s">
        <v>9</v>
      </c>
      <c r="AU407" s="26" t="s">
        <v>9</v>
      </c>
      <c r="AV407" s="26" t="s">
        <v>9</v>
      </c>
      <c r="AW407" s="26" t="s">
        <v>9</v>
      </c>
      <c r="AX407" s="26" t="s">
        <v>9</v>
      </c>
      <c r="AY407" s="26" t="s">
        <v>9</v>
      </c>
      <c r="AZ407" s="26" t="s">
        <v>9</v>
      </c>
      <c r="BA407" s="23">
        <v>3</v>
      </c>
      <c r="BB407" s="24" t="s">
        <v>9</v>
      </c>
    </row>
    <row r="408" spans="1:54" x14ac:dyDescent="0.2">
      <c r="A408" s="5">
        <v>1928</v>
      </c>
      <c r="B408" s="20" t="s">
        <v>9</v>
      </c>
      <c r="C408" s="27" t="s">
        <v>9</v>
      </c>
      <c r="D408" s="27" t="s">
        <v>9</v>
      </c>
      <c r="E408" s="27" t="s">
        <v>9</v>
      </c>
      <c r="F408" s="18" t="s">
        <v>9</v>
      </c>
      <c r="G408" s="27" t="s">
        <v>9</v>
      </c>
      <c r="H408" s="22" t="s">
        <v>8</v>
      </c>
      <c r="I408" s="22" t="s">
        <v>8</v>
      </c>
      <c r="J408" s="22" t="s">
        <v>8</v>
      </c>
      <c r="K408" s="22" t="s">
        <v>8</v>
      </c>
      <c r="L408" s="22" t="s">
        <v>8</v>
      </c>
      <c r="M408" s="22" t="s">
        <v>8</v>
      </c>
      <c r="N408" s="22" t="s">
        <v>8</v>
      </c>
      <c r="O408" s="22" t="s">
        <v>8</v>
      </c>
      <c r="P408" s="22" t="s">
        <v>8</v>
      </c>
      <c r="Q408" s="22" t="s">
        <v>8</v>
      </c>
      <c r="R408" s="22" t="s">
        <v>8</v>
      </c>
      <c r="S408" s="22" t="s">
        <v>8</v>
      </c>
      <c r="T408" s="20" t="s">
        <v>9</v>
      </c>
      <c r="U408" s="20" t="s">
        <v>9</v>
      </c>
      <c r="V408" s="20" t="s">
        <v>1</v>
      </c>
      <c r="W408" s="20">
        <v>5</v>
      </c>
      <c r="X408" s="20">
        <v>2</v>
      </c>
      <c r="Y408" s="20">
        <v>2</v>
      </c>
      <c r="Z408" s="24">
        <v>4</v>
      </c>
      <c r="AA408" s="20">
        <v>3</v>
      </c>
      <c r="AB408" s="15" t="s">
        <v>9</v>
      </c>
      <c r="AC408" s="15" t="s">
        <v>9</v>
      </c>
      <c r="AD408" s="15" t="s">
        <v>9</v>
      </c>
      <c r="AE408" s="15" t="s">
        <v>9</v>
      </c>
      <c r="AF408" s="20" t="s">
        <v>9</v>
      </c>
      <c r="AG408" s="20" t="s">
        <v>9</v>
      </c>
      <c r="AH408" s="20" t="s">
        <v>9</v>
      </c>
      <c r="AI408" s="23">
        <v>3</v>
      </c>
      <c r="AJ408" s="15" t="s">
        <v>9</v>
      </c>
      <c r="AK408" s="15" t="s">
        <v>9</v>
      </c>
      <c r="AL408" s="25" t="s">
        <v>9</v>
      </c>
      <c r="AM408" s="31">
        <v>3</v>
      </c>
      <c r="AN408" s="26" t="s">
        <v>9</v>
      </c>
      <c r="AO408" s="26" t="s">
        <v>9</v>
      </c>
      <c r="AP408" s="26" t="s">
        <v>9</v>
      </c>
      <c r="AQ408" s="26" t="s">
        <v>9</v>
      </c>
      <c r="AR408" s="26" t="s">
        <v>9</v>
      </c>
      <c r="AS408" s="26" t="s">
        <v>9</v>
      </c>
      <c r="AT408" s="26" t="s">
        <v>9</v>
      </c>
      <c r="AU408" s="26" t="s">
        <v>9</v>
      </c>
      <c r="AV408" s="26" t="s">
        <v>9</v>
      </c>
      <c r="AW408" s="26" t="s">
        <v>9</v>
      </c>
      <c r="AX408" s="26" t="s">
        <v>9</v>
      </c>
      <c r="AY408" s="26" t="s">
        <v>9</v>
      </c>
      <c r="AZ408" s="26" t="s">
        <v>9</v>
      </c>
      <c r="BA408" s="23">
        <v>3</v>
      </c>
      <c r="BB408" s="24" t="s">
        <v>9</v>
      </c>
    </row>
    <row r="409" spans="1:54" x14ac:dyDescent="0.2">
      <c r="A409" s="5">
        <v>2034</v>
      </c>
      <c r="B409" s="20" t="s">
        <v>9</v>
      </c>
      <c r="C409" s="27" t="s">
        <v>9</v>
      </c>
      <c r="D409" s="27" t="s">
        <v>9</v>
      </c>
      <c r="E409" s="27" t="s">
        <v>9</v>
      </c>
      <c r="F409" s="18" t="s">
        <v>9</v>
      </c>
      <c r="G409" s="27" t="s">
        <v>9</v>
      </c>
      <c r="H409" s="22" t="s">
        <v>8</v>
      </c>
      <c r="I409" s="22" t="s">
        <v>8</v>
      </c>
      <c r="J409" s="22" t="s">
        <v>8</v>
      </c>
      <c r="K409" s="22" t="s">
        <v>8</v>
      </c>
      <c r="L409" s="22" t="s">
        <v>8</v>
      </c>
      <c r="M409" s="22" t="s">
        <v>8</v>
      </c>
      <c r="N409" s="22" t="s">
        <v>8</v>
      </c>
      <c r="O409" s="22" t="s">
        <v>8</v>
      </c>
      <c r="P409" s="22" t="s">
        <v>8</v>
      </c>
      <c r="Q409" s="22" t="s">
        <v>8</v>
      </c>
      <c r="R409" s="22" t="s">
        <v>8</v>
      </c>
      <c r="S409" s="22" t="s">
        <v>8</v>
      </c>
      <c r="T409" s="20" t="s">
        <v>9</v>
      </c>
      <c r="U409" s="20" t="s">
        <v>9</v>
      </c>
      <c r="V409" s="20" t="s">
        <v>1</v>
      </c>
      <c r="W409" s="20">
        <v>5</v>
      </c>
      <c r="X409" s="20">
        <v>2</v>
      </c>
      <c r="Y409" s="20">
        <v>2</v>
      </c>
      <c r="Z409" s="24">
        <v>4</v>
      </c>
      <c r="AA409" s="20">
        <v>3</v>
      </c>
      <c r="AB409" s="15" t="s">
        <v>9</v>
      </c>
      <c r="AC409" s="15" t="s">
        <v>9</v>
      </c>
      <c r="AD409" s="15" t="s">
        <v>9</v>
      </c>
      <c r="AE409" s="15" t="s">
        <v>9</v>
      </c>
      <c r="AF409" s="20" t="s">
        <v>9</v>
      </c>
      <c r="AG409" s="20" t="s">
        <v>9</v>
      </c>
      <c r="AH409" s="20" t="s">
        <v>9</v>
      </c>
      <c r="AI409" s="23">
        <v>3</v>
      </c>
      <c r="AJ409" s="15" t="s">
        <v>9</v>
      </c>
      <c r="AK409" s="15" t="s">
        <v>9</v>
      </c>
      <c r="AL409" s="25" t="s">
        <v>9</v>
      </c>
      <c r="AM409" s="31">
        <v>3</v>
      </c>
      <c r="AN409" s="26" t="s">
        <v>9</v>
      </c>
      <c r="AO409" s="26" t="s">
        <v>9</v>
      </c>
      <c r="AP409" s="26" t="s">
        <v>9</v>
      </c>
      <c r="AQ409" s="26" t="s">
        <v>9</v>
      </c>
      <c r="AR409" s="26" t="s">
        <v>9</v>
      </c>
      <c r="AS409" s="26" t="s">
        <v>9</v>
      </c>
      <c r="AT409" s="26" t="s">
        <v>9</v>
      </c>
      <c r="AU409" s="26" t="s">
        <v>9</v>
      </c>
      <c r="AV409" s="26" t="s">
        <v>9</v>
      </c>
      <c r="AW409" s="26" t="s">
        <v>9</v>
      </c>
      <c r="AX409" s="26" t="s">
        <v>9</v>
      </c>
      <c r="AY409" s="26" t="s">
        <v>9</v>
      </c>
      <c r="AZ409" s="26" t="s">
        <v>9</v>
      </c>
      <c r="BA409" s="23">
        <v>3</v>
      </c>
      <c r="BB409" s="24" t="s">
        <v>9</v>
      </c>
    </row>
    <row r="410" spans="1:54" x14ac:dyDescent="0.2">
      <c r="A410" s="5">
        <v>2044</v>
      </c>
      <c r="B410" s="20" t="s">
        <v>9</v>
      </c>
      <c r="C410" s="27" t="s">
        <v>9</v>
      </c>
      <c r="D410" s="27" t="s">
        <v>9</v>
      </c>
      <c r="E410" s="27" t="s">
        <v>9</v>
      </c>
      <c r="F410" s="18" t="s">
        <v>9</v>
      </c>
      <c r="G410" s="27" t="s">
        <v>9</v>
      </c>
      <c r="H410" s="22" t="s">
        <v>8</v>
      </c>
      <c r="I410" s="22" t="s">
        <v>8</v>
      </c>
      <c r="J410" s="22" t="s">
        <v>8</v>
      </c>
      <c r="K410" s="22" t="s">
        <v>8</v>
      </c>
      <c r="L410" s="22" t="s">
        <v>8</v>
      </c>
      <c r="M410" s="22" t="s">
        <v>8</v>
      </c>
      <c r="N410" s="22" t="s">
        <v>8</v>
      </c>
      <c r="O410" s="22" t="s">
        <v>8</v>
      </c>
      <c r="P410" s="22" t="s">
        <v>8</v>
      </c>
      <c r="Q410" s="22" t="s">
        <v>8</v>
      </c>
      <c r="R410" s="22" t="s">
        <v>8</v>
      </c>
      <c r="S410" s="22" t="s">
        <v>8</v>
      </c>
      <c r="T410" s="20" t="s">
        <v>9</v>
      </c>
      <c r="U410" s="20" t="s">
        <v>9</v>
      </c>
      <c r="V410" s="20" t="s">
        <v>1</v>
      </c>
      <c r="W410" s="20">
        <v>5</v>
      </c>
      <c r="X410" s="20">
        <v>2</v>
      </c>
      <c r="Y410" s="20">
        <v>2</v>
      </c>
      <c r="Z410" s="24">
        <v>4</v>
      </c>
      <c r="AA410" s="20">
        <v>3</v>
      </c>
      <c r="AB410" s="15" t="s">
        <v>9</v>
      </c>
      <c r="AC410" s="15" t="s">
        <v>9</v>
      </c>
      <c r="AD410" s="15" t="s">
        <v>9</v>
      </c>
      <c r="AE410" s="15" t="s">
        <v>9</v>
      </c>
      <c r="AF410" s="20" t="s">
        <v>9</v>
      </c>
      <c r="AG410" s="20" t="s">
        <v>9</v>
      </c>
      <c r="AH410" s="20" t="s">
        <v>9</v>
      </c>
      <c r="AI410" s="23">
        <v>3</v>
      </c>
      <c r="AJ410" s="15" t="s">
        <v>9</v>
      </c>
      <c r="AK410" s="15" t="s">
        <v>9</v>
      </c>
      <c r="AL410" s="25" t="s">
        <v>9</v>
      </c>
      <c r="AM410" s="31">
        <v>3</v>
      </c>
      <c r="AN410" s="26" t="s">
        <v>9</v>
      </c>
      <c r="AO410" s="26" t="s">
        <v>9</v>
      </c>
      <c r="AP410" s="26" t="s">
        <v>9</v>
      </c>
      <c r="AQ410" s="26" t="s">
        <v>9</v>
      </c>
      <c r="AR410" s="26" t="s">
        <v>9</v>
      </c>
      <c r="AS410" s="26" t="s">
        <v>9</v>
      </c>
      <c r="AT410" s="26" t="s">
        <v>9</v>
      </c>
      <c r="AU410" s="26" t="s">
        <v>9</v>
      </c>
      <c r="AV410" s="26" t="s">
        <v>9</v>
      </c>
      <c r="AW410" s="26" t="s">
        <v>9</v>
      </c>
      <c r="AX410" s="26" t="s">
        <v>9</v>
      </c>
      <c r="AY410" s="26" t="s">
        <v>9</v>
      </c>
      <c r="AZ410" s="26" t="s">
        <v>9</v>
      </c>
      <c r="BA410" s="23">
        <v>3</v>
      </c>
      <c r="BB410" s="24" t="s">
        <v>9</v>
      </c>
    </row>
    <row r="411" spans="1:54" x14ac:dyDescent="0.2">
      <c r="A411" s="5">
        <v>2054</v>
      </c>
      <c r="B411" s="20" t="s">
        <v>9</v>
      </c>
      <c r="C411" s="27" t="s">
        <v>9</v>
      </c>
      <c r="D411" s="27" t="s">
        <v>9</v>
      </c>
      <c r="E411" s="27" t="s">
        <v>9</v>
      </c>
      <c r="F411" s="18" t="s">
        <v>9</v>
      </c>
      <c r="G411" s="27" t="s">
        <v>9</v>
      </c>
      <c r="H411" s="22" t="s">
        <v>8</v>
      </c>
      <c r="I411" s="22" t="s">
        <v>8</v>
      </c>
      <c r="J411" s="22" t="s">
        <v>8</v>
      </c>
      <c r="K411" s="22" t="s">
        <v>8</v>
      </c>
      <c r="L411" s="22" t="s">
        <v>8</v>
      </c>
      <c r="M411" s="22" t="s">
        <v>8</v>
      </c>
      <c r="N411" s="22" t="s">
        <v>8</v>
      </c>
      <c r="O411" s="22" t="s">
        <v>8</v>
      </c>
      <c r="P411" s="22" t="s">
        <v>8</v>
      </c>
      <c r="Q411" s="22" t="s">
        <v>8</v>
      </c>
      <c r="R411" s="22" t="s">
        <v>8</v>
      </c>
      <c r="S411" s="22" t="s">
        <v>8</v>
      </c>
      <c r="T411" s="20" t="s">
        <v>9</v>
      </c>
      <c r="U411" s="20" t="s">
        <v>9</v>
      </c>
      <c r="V411" s="20" t="s">
        <v>1</v>
      </c>
      <c r="W411" s="20">
        <v>5</v>
      </c>
      <c r="X411" s="20">
        <v>2</v>
      </c>
      <c r="Y411" s="20">
        <v>2</v>
      </c>
      <c r="Z411" s="24">
        <v>4</v>
      </c>
      <c r="AA411" s="20">
        <v>3</v>
      </c>
      <c r="AB411" s="15" t="s">
        <v>9</v>
      </c>
      <c r="AC411" s="15" t="s">
        <v>9</v>
      </c>
      <c r="AD411" s="15" t="s">
        <v>9</v>
      </c>
      <c r="AE411" s="15" t="s">
        <v>9</v>
      </c>
      <c r="AF411" s="20" t="s">
        <v>9</v>
      </c>
      <c r="AG411" s="20" t="s">
        <v>9</v>
      </c>
      <c r="AH411" s="20" t="s">
        <v>9</v>
      </c>
      <c r="AI411" s="23">
        <v>3</v>
      </c>
      <c r="AJ411" s="15" t="s">
        <v>9</v>
      </c>
      <c r="AK411" s="15" t="s">
        <v>9</v>
      </c>
      <c r="AL411" s="25" t="s">
        <v>9</v>
      </c>
      <c r="AM411" s="31">
        <v>3</v>
      </c>
      <c r="AN411" s="26" t="s">
        <v>9</v>
      </c>
      <c r="AO411" s="26" t="s">
        <v>9</v>
      </c>
      <c r="AP411" s="26" t="s">
        <v>9</v>
      </c>
      <c r="AQ411" s="26" t="s">
        <v>9</v>
      </c>
      <c r="AR411" s="26" t="s">
        <v>9</v>
      </c>
      <c r="AS411" s="26" t="s">
        <v>9</v>
      </c>
      <c r="AT411" s="26" t="s">
        <v>9</v>
      </c>
      <c r="AU411" s="26" t="s">
        <v>9</v>
      </c>
      <c r="AV411" s="26" t="s">
        <v>9</v>
      </c>
      <c r="AW411" s="26" t="s">
        <v>9</v>
      </c>
      <c r="AX411" s="26" t="s">
        <v>9</v>
      </c>
      <c r="AY411" s="26" t="s">
        <v>9</v>
      </c>
      <c r="AZ411" s="26" t="s">
        <v>9</v>
      </c>
      <c r="BA411" s="23">
        <v>3</v>
      </c>
      <c r="BB411" s="24" t="s">
        <v>9</v>
      </c>
    </row>
    <row r="412" spans="1:54" x14ac:dyDescent="0.2">
      <c r="A412" s="5">
        <v>2058</v>
      </c>
      <c r="B412" s="20" t="s">
        <v>9</v>
      </c>
      <c r="C412" s="27" t="s">
        <v>9</v>
      </c>
      <c r="D412" s="27" t="s">
        <v>9</v>
      </c>
      <c r="E412" s="27" t="s">
        <v>9</v>
      </c>
      <c r="F412" s="18" t="s">
        <v>9</v>
      </c>
      <c r="G412" s="27" t="s">
        <v>9</v>
      </c>
      <c r="H412" s="22" t="s">
        <v>8</v>
      </c>
      <c r="I412" s="22" t="s">
        <v>8</v>
      </c>
      <c r="J412" s="22" t="s">
        <v>8</v>
      </c>
      <c r="K412" s="22" t="s">
        <v>8</v>
      </c>
      <c r="L412" s="22" t="s">
        <v>8</v>
      </c>
      <c r="M412" s="22" t="s">
        <v>8</v>
      </c>
      <c r="N412" s="22" t="s">
        <v>8</v>
      </c>
      <c r="O412" s="22" t="s">
        <v>8</v>
      </c>
      <c r="P412" s="22" t="s">
        <v>8</v>
      </c>
      <c r="Q412" s="22" t="s">
        <v>8</v>
      </c>
      <c r="R412" s="22" t="s">
        <v>8</v>
      </c>
      <c r="S412" s="22" t="s">
        <v>8</v>
      </c>
      <c r="T412" s="20" t="s">
        <v>9</v>
      </c>
      <c r="U412" s="20" t="s">
        <v>9</v>
      </c>
      <c r="V412" s="20" t="s">
        <v>1</v>
      </c>
      <c r="W412" s="20">
        <v>5</v>
      </c>
      <c r="X412" s="20">
        <v>2</v>
      </c>
      <c r="Y412" s="20">
        <v>2</v>
      </c>
      <c r="Z412" s="24">
        <v>4</v>
      </c>
      <c r="AA412" s="20">
        <v>3</v>
      </c>
      <c r="AB412" s="15" t="s">
        <v>9</v>
      </c>
      <c r="AC412" s="15" t="s">
        <v>9</v>
      </c>
      <c r="AD412" s="15" t="s">
        <v>9</v>
      </c>
      <c r="AE412" s="15" t="s">
        <v>9</v>
      </c>
      <c r="AF412" s="20" t="s">
        <v>9</v>
      </c>
      <c r="AG412" s="20" t="s">
        <v>9</v>
      </c>
      <c r="AH412" s="20" t="s">
        <v>9</v>
      </c>
      <c r="AI412" s="23">
        <v>3</v>
      </c>
      <c r="AJ412" s="15" t="s">
        <v>9</v>
      </c>
      <c r="AK412" s="15" t="s">
        <v>9</v>
      </c>
      <c r="AL412" s="25" t="s">
        <v>9</v>
      </c>
      <c r="AM412" s="31">
        <v>3</v>
      </c>
      <c r="AN412" s="26" t="s">
        <v>9</v>
      </c>
      <c r="AO412" s="26" t="s">
        <v>9</v>
      </c>
      <c r="AP412" s="26" t="s">
        <v>9</v>
      </c>
      <c r="AQ412" s="26" t="s">
        <v>9</v>
      </c>
      <c r="AR412" s="26" t="s">
        <v>9</v>
      </c>
      <c r="AS412" s="26" t="s">
        <v>9</v>
      </c>
      <c r="AT412" s="26" t="s">
        <v>9</v>
      </c>
      <c r="AU412" s="26" t="s">
        <v>9</v>
      </c>
      <c r="AV412" s="26" t="s">
        <v>9</v>
      </c>
      <c r="AW412" s="26" t="s">
        <v>9</v>
      </c>
      <c r="AX412" s="26" t="s">
        <v>9</v>
      </c>
      <c r="AY412" s="26" t="s">
        <v>9</v>
      </c>
      <c r="AZ412" s="26" t="s">
        <v>9</v>
      </c>
      <c r="BA412" s="23">
        <v>3</v>
      </c>
      <c r="BB412" s="24" t="s">
        <v>9</v>
      </c>
    </row>
    <row r="413" spans="1:54" x14ac:dyDescent="0.2">
      <c r="A413" s="5">
        <v>2062</v>
      </c>
      <c r="B413" s="20" t="s">
        <v>9</v>
      </c>
      <c r="C413" s="27" t="s">
        <v>9</v>
      </c>
      <c r="D413" s="27" t="s">
        <v>9</v>
      </c>
      <c r="E413" s="27" t="s">
        <v>9</v>
      </c>
      <c r="F413" s="18" t="s">
        <v>9</v>
      </c>
      <c r="G413" s="27" t="s">
        <v>9</v>
      </c>
      <c r="H413" s="22" t="s">
        <v>8</v>
      </c>
      <c r="I413" s="22" t="s">
        <v>8</v>
      </c>
      <c r="J413" s="22" t="s">
        <v>8</v>
      </c>
      <c r="K413" s="22" t="s">
        <v>8</v>
      </c>
      <c r="L413" s="22" t="s">
        <v>8</v>
      </c>
      <c r="M413" s="22" t="s">
        <v>8</v>
      </c>
      <c r="N413" s="22" t="s">
        <v>8</v>
      </c>
      <c r="O413" s="22" t="s">
        <v>8</v>
      </c>
      <c r="P413" s="22" t="s">
        <v>8</v>
      </c>
      <c r="Q413" s="22" t="s">
        <v>8</v>
      </c>
      <c r="R413" s="22" t="s">
        <v>8</v>
      </c>
      <c r="S413" s="22" t="s">
        <v>8</v>
      </c>
      <c r="T413" s="20" t="s">
        <v>9</v>
      </c>
      <c r="U413" s="20" t="s">
        <v>9</v>
      </c>
      <c r="V413" s="20" t="s">
        <v>1</v>
      </c>
      <c r="W413" s="20">
        <v>5</v>
      </c>
      <c r="X413" s="20">
        <v>2</v>
      </c>
      <c r="Y413" s="20">
        <v>2</v>
      </c>
      <c r="Z413" s="24">
        <v>4</v>
      </c>
      <c r="AA413" s="20">
        <v>3</v>
      </c>
      <c r="AB413" s="15" t="s">
        <v>9</v>
      </c>
      <c r="AC413" s="15" t="s">
        <v>9</v>
      </c>
      <c r="AD413" s="15" t="s">
        <v>9</v>
      </c>
      <c r="AE413" s="15" t="s">
        <v>9</v>
      </c>
      <c r="AF413" s="20" t="s">
        <v>9</v>
      </c>
      <c r="AG413" s="20" t="s">
        <v>9</v>
      </c>
      <c r="AH413" s="20" t="s">
        <v>9</v>
      </c>
      <c r="AI413" s="23">
        <v>3</v>
      </c>
      <c r="AJ413" s="15" t="s">
        <v>9</v>
      </c>
      <c r="AK413" s="15" t="s">
        <v>9</v>
      </c>
      <c r="AL413" s="25" t="s">
        <v>9</v>
      </c>
      <c r="AM413" s="31">
        <v>3</v>
      </c>
      <c r="AN413" s="26" t="s">
        <v>9</v>
      </c>
      <c r="AO413" s="26" t="s">
        <v>9</v>
      </c>
      <c r="AP413" s="26" t="s">
        <v>9</v>
      </c>
      <c r="AQ413" s="26" t="s">
        <v>9</v>
      </c>
      <c r="AR413" s="26" t="s">
        <v>9</v>
      </c>
      <c r="AS413" s="26" t="s">
        <v>9</v>
      </c>
      <c r="AT413" s="26" t="s">
        <v>9</v>
      </c>
      <c r="AU413" s="26" t="s">
        <v>9</v>
      </c>
      <c r="AV413" s="26" t="s">
        <v>9</v>
      </c>
      <c r="AW413" s="26" t="s">
        <v>9</v>
      </c>
      <c r="AX413" s="26" t="s">
        <v>9</v>
      </c>
      <c r="AY413" s="26" t="s">
        <v>9</v>
      </c>
      <c r="AZ413" s="26" t="s">
        <v>9</v>
      </c>
      <c r="BA413" s="23">
        <v>3</v>
      </c>
      <c r="BB413" s="24" t="s">
        <v>9</v>
      </c>
    </row>
    <row r="414" spans="1:54" x14ac:dyDescent="0.2">
      <c r="A414" s="5">
        <v>2067</v>
      </c>
      <c r="B414" s="20" t="s">
        <v>9</v>
      </c>
      <c r="C414" s="27" t="s">
        <v>9</v>
      </c>
      <c r="D414" s="27" t="s">
        <v>9</v>
      </c>
      <c r="E414" s="27" t="s">
        <v>9</v>
      </c>
      <c r="F414" s="18" t="s">
        <v>9</v>
      </c>
      <c r="G414" s="27" t="s">
        <v>9</v>
      </c>
      <c r="H414" s="22" t="s">
        <v>8</v>
      </c>
      <c r="I414" s="22" t="s">
        <v>8</v>
      </c>
      <c r="J414" s="22" t="s">
        <v>8</v>
      </c>
      <c r="K414" s="22" t="s">
        <v>8</v>
      </c>
      <c r="L414" s="22" t="s">
        <v>8</v>
      </c>
      <c r="M414" s="22" t="s">
        <v>8</v>
      </c>
      <c r="N414" s="22" t="s">
        <v>8</v>
      </c>
      <c r="O414" s="22" t="s">
        <v>8</v>
      </c>
      <c r="P414" s="22" t="s">
        <v>8</v>
      </c>
      <c r="Q414" s="22" t="s">
        <v>8</v>
      </c>
      <c r="R414" s="22" t="s">
        <v>8</v>
      </c>
      <c r="S414" s="22" t="s">
        <v>8</v>
      </c>
      <c r="T414" s="20" t="s">
        <v>9</v>
      </c>
      <c r="U414" s="20" t="s">
        <v>9</v>
      </c>
      <c r="V414" s="20" t="s">
        <v>1</v>
      </c>
      <c r="W414" s="20">
        <v>5</v>
      </c>
      <c r="X414" s="20">
        <v>2</v>
      </c>
      <c r="Y414" s="20">
        <v>2</v>
      </c>
      <c r="Z414" s="24">
        <v>4</v>
      </c>
      <c r="AA414" s="20">
        <v>3</v>
      </c>
      <c r="AB414" s="15" t="s">
        <v>9</v>
      </c>
      <c r="AC414" s="15" t="s">
        <v>9</v>
      </c>
      <c r="AD414" s="15" t="s">
        <v>9</v>
      </c>
      <c r="AE414" s="15" t="s">
        <v>9</v>
      </c>
      <c r="AF414" s="20" t="s">
        <v>9</v>
      </c>
      <c r="AG414" s="20" t="s">
        <v>9</v>
      </c>
      <c r="AH414" s="20" t="s">
        <v>9</v>
      </c>
      <c r="AI414" s="23">
        <v>3</v>
      </c>
      <c r="AJ414" s="15" t="s">
        <v>9</v>
      </c>
      <c r="AK414" s="15" t="s">
        <v>9</v>
      </c>
      <c r="AL414" s="25" t="s">
        <v>9</v>
      </c>
      <c r="AM414" s="31">
        <v>3</v>
      </c>
      <c r="AN414" s="26" t="s">
        <v>9</v>
      </c>
      <c r="AO414" s="26" t="s">
        <v>9</v>
      </c>
      <c r="AP414" s="26" t="s">
        <v>9</v>
      </c>
      <c r="AQ414" s="26" t="s">
        <v>9</v>
      </c>
      <c r="AR414" s="26" t="s">
        <v>9</v>
      </c>
      <c r="AS414" s="26" t="s">
        <v>9</v>
      </c>
      <c r="AT414" s="26" t="s">
        <v>9</v>
      </c>
      <c r="AU414" s="26" t="s">
        <v>9</v>
      </c>
      <c r="AV414" s="26" t="s">
        <v>9</v>
      </c>
      <c r="AW414" s="26" t="s">
        <v>9</v>
      </c>
      <c r="AX414" s="26" t="s">
        <v>9</v>
      </c>
      <c r="AY414" s="26" t="s">
        <v>9</v>
      </c>
      <c r="AZ414" s="26" t="s">
        <v>9</v>
      </c>
      <c r="BA414" s="23">
        <v>3</v>
      </c>
      <c r="BB414" s="24" t="s">
        <v>9</v>
      </c>
    </row>
    <row r="415" spans="1:54" x14ac:dyDescent="0.2">
      <c r="A415" s="5">
        <v>2126</v>
      </c>
      <c r="B415" s="20" t="s">
        <v>9</v>
      </c>
      <c r="C415" s="27" t="s">
        <v>9</v>
      </c>
      <c r="D415" s="27" t="s">
        <v>9</v>
      </c>
      <c r="E415" s="27" t="s">
        <v>9</v>
      </c>
      <c r="F415" s="18" t="s">
        <v>9</v>
      </c>
      <c r="G415" s="27" t="s">
        <v>9</v>
      </c>
      <c r="H415" s="22" t="s">
        <v>8</v>
      </c>
      <c r="I415" s="22" t="s">
        <v>8</v>
      </c>
      <c r="J415" s="22" t="s">
        <v>8</v>
      </c>
      <c r="K415" s="22" t="s">
        <v>8</v>
      </c>
      <c r="L415" s="22" t="s">
        <v>8</v>
      </c>
      <c r="M415" s="22" t="s">
        <v>8</v>
      </c>
      <c r="N415" s="22" t="s">
        <v>8</v>
      </c>
      <c r="O415" s="22" t="s">
        <v>8</v>
      </c>
      <c r="P415" s="22" t="s">
        <v>8</v>
      </c>
      <c r="Q415" s="22" t="s">
        <v>8</v>
      </c>
      <c r="R415" s="22" t="s">
        <v>8</v>
      </c>
      <c r="S415" s="22" t="s">
        <v>8</v>
      </c>
      <c r="T415" s="20" t="s">
        <v>9</v>
      </c>
      <c r="U415" s="20" t="s">
        <v>9</v>
      </c>
      <c r="V415" s="20" t="s">
        <v>1</v>
      </c>
      <c r="W415" s="20">
        <v>5</v>
      </c>
      <c r="X415" s="20">
        <v>2</v>
      </c>
      <c r="Y415" s="20">
        <v>2</v>
      </c>
      <c r="Z415" s="24">
        <v>4</v>
      </c>
      <c r="AA415" s="20">
        <v>3</v>
      </c>
      <c r="AB415" s="15" t="s">
        <v>9</v>
      </c>
      <c r="AC415" s="15" t="s">
        <v>9</v>
      </c>
      <c r="AD415" s="15" t="s">
        <v>9</v>
      </c>
      <c r="AE415" s="15" t="s">
        <v>9</v>
      </c>
      <c r="AF415" s="20" t="s">
        <v>9</v>
      </c>
      <c r="AG415" s="20" t="s">
        <v>9</v>
      </c>
      <c r="AH415" s="20" t="s">
        <v>9</v>
      </c>
      <c r="AI415" s="23">
        <v>3</v>
      </c>
      <c r="AJ415" s="15" t="s">
        <v>9</v>
      </c>
      <c r="AK415" s="15" t="s">
        <v>9</v>
      </c>
      <c r="AL415" s="25" t="s">
        <v>9</v>
      </c>
      <c r="AM415" s="31">
        <v>3</v>
      </c>
      <c r="AN415" s="26" t="s">
        <v>9</v>
      </c>
      <c r="AO415" s="26" t="s">
        <v>9</v>
      </c>
      <c r="AP415" s="26" t="s">
        <v>9</v>
      </c>
      <c r="AQ415" s="26" t="s">
        <v>9</v>
      </c>
      <c r="AR415" s="26" t="s">
        <v>9</v>
      </c>
      <c r="AS415" s="26" t="s">
        <v>9</v>
      </c>
      <c r="AT415" s="26" t="s">
        <v>9</v>
      </c>
      <c r="AU415" s="26" t="s">
        <v>9</v>
      </c>
      <c r="AV415" s="26" t="s">
        <v>9</v>
      </c>
      <c r="AW415" s="26" t="s">
        <v>9</v>
      </c>
      <c r="AX415" s="26" t="s">
        <v>9</v>
      </c>
      <c r="AY415" s="26" t="s">
        <v>9</v>
      </c>
      <c r="AZ415" s="26" t="s">
        <v>9</v>
      </c>
      <c r="BA415" s="23">
        <v>3</v>
      </c>
      <c r="BB415" s="24" t="s">
        <v>9</v>
      </c>
    </row>
    <row r="416" spans="1:54" x14ac:dyDescent="0.2">
      <c r="A416" s="5">
        <v>2152</v>
      </c>
      <c r="B416" s="20" t="s">
        <v>9</v>
      </c>
      <c r="C416" s="27" t="s">
        <v>9</v>
      </c>
      <c r="D416" s="27" t="s">
        <v>9</v>
      </c>
      <c r="E416" s="27" t="s">
        <v>9</v>
      </c>
      <c r="F416" s="18" t="s">
        <v>9</v>
      </c>
      <c r="G416" s="27" t="s">
        <v>9</v>
      </c>
      <c r="H416" s="22" t="s">
        <v>8</v>
      </c>
      <c r="I416" s="22" t="s">
        <v>8</v>
      </c>
      <c r="J416" s="22" t="s">
        <v>8</v>
      </c>
      <c r="K416" s="22" t="s">
        <v>8</v>
      </c>
      <c r="L416" s="22" t="s">
        <v>8</v>
      </c>
      <c r="M416" s="22" t="s">
        <v>8</v>
      </c>
      <c r="N416" s="22" t="s">
        <v>8</v>
      </c>
      <c r="O416" s="22" t="s">
        <v>8</v>
      </c>
      <c r="P416" s="22" t="s">
        <v>8</v>
      </c>
      <c r="Q416" s="22" t="s">
        <v>8</v>
      </c>
      <c r="R416" s="22" t="s">
        <v>8</v>
      </c>
      <c r="S416" s="22" t="s">
        <v>8</v>
      </c>
      <c r="T416" s="20" t="s">
        <v>9</v>
      </c>
      <c r="U416" s="20" t="s">
        <v>9</v>
      </c>
      <c r="V416" s="20" t="s">
        <v>1</v>
      </c>
      <c r="W416" s="20">
        <v>5</v>
      </c>
      <c r="X416" s="20">
        <v>2</v>
      </c>
      <c r="Y416" s="20">
        <v>2</v>
      </c>
      <c r="Z416" s="24">
        <v>4</v>
      </c>
      <c r="AA416" s="20">
        <v>3</v>
      </c>
      <c r="AB416" s="15" t="s">
        <v>9</v>
      </c>
      <c r="AC416" s="15" t="s">
        <v>9</v>
      </c>
      <c r="AD416" s="15" t="s">
        <v>9</v>
      </c>
      <c r="AE416" s="15" t="s">
        <v>9</v>
      </c>
      <c r="AF416" s="20" t="s">
        <v>9</v>
      </c>
      <c r="AG416" s="20" t="s">
        <v>9</v>
      </c>
      <c r="AH416" s="20" t="s">
        <v>9</v>
      </c>
      <c r="AI416" s="23">
        <v>3</v>
      </c>
      <c r="AJ416" s="15" t="s">
        <v>9</v>
      </c>
      <c r="AK416" s="15" t="s">
        <v>9</v>
      </c>
      <c r="AL416" s="25" t="s">
        <v>9</v>
      </c>
      <c r="AM416" s="31">
        <v>3</v>
      </c>
      <c r="AN416" s="26" t="s">
        <v>9</v>
      </c>
      <c r="AO416" s="26" t="s">
        <v>9</v>
      </c>
      <c r="AP416" s="26" t="s">
        <v>9</v>
      </c>
      <c r="AQ416" s="26" t="s">
        <v>9</v>
      </c>
      <c r="AR416" s="26" t="s">
        <v>9</v>
      </c>
      <c r="AS416" s="26" t="s">
        <v>9</v>
      </c>
      <c r="AT416" s="26" t="s">
        <v>9</v>
      </c>
      <c r="AU416" s="26" t="s">
        <v>9</v>
      </c>
      <c r="AV416" s="26" t="s">
        <v>9</v>
      </c>
      <c r="AW416" s="26" t="s">
        <v>9</v>
      </c>
      <c r="AX416" s="26" t="s">
        <v>9</v>
      </c>
      <c r="AY416" s="26" t="s">
        <v>9</v>
      </c>
      <c r="AZ416" s="26" t="s">
        <v>9</v>
      </c>
      <c r="BA416" s="23">
        <v>3</v>
      </c>
      <c r="BB416" s="24" t="s">
        <v>9</v>
      </c>
    </row>
    <row r="417" spans="1:54" x14ac:dyDescent="0.2">
      <c r="A417" s="5">
        <v>2205</v>
      </c>
      <c r="B417" s="20" t="s">
        <v>9</v>
      </c>
      <c r="C417" s="27" t="s">
        <v>9</v>
      </c>
      <c r="D417" s="27" t="s">
        <v>9</v>
      </c>
      <c r="E417" s="27" t="s">
        <v>9</v>
      </c>
      <c r="F417" s="18" t="s">
        <v>9</v>
      </c>
      <c r="G417" s="27" t="s">
        <v>9</v>
      </c>
      <c r="H417" s="22" t="s">
        <v>8</v>
      </c>
      <c r="I417" s="22" t="s">
        <v>8</v>
      </c>
      <c r="J417" s="22" t="s">
        <v>8</v>
      </c>
      <c r="K417" s="22" t="s">
        <v>8</v>
      </c>
      <c r="L417" s="22" t="s">
        <v>8</v>
      </c>
      <c r="M417" s="22" t="s">
        <v>8</v>
      </c>
      <c r="N417" s="22" t="s">
        <v>8</v>
      </c>
      <c r="O417" s="22" t="s">
        <v>8</v>
      </c>
      <c r="P417" s="22" t="s">
        <v>8</v>
      </c>
      <c r="Q417" s="22" t="s">
        <v>8</v>
      </c>
      <c r="R417" s="22" t="s">
        <v>8</v>
      </c>
      <c r="S417" s="22" t="s">
        <v>8</v>
      </c>
      <c r="T417" s="20" t="s">
        <v>9</v>
      </c>
      <c r="U417" s="20" t="s">
        <v>9</v>
      </c>
      <c r="V417" s="20" t="s">
        <v>1</v>
      </c>
      <c r="W417" s="20">
        <v>5</v>
      </c>
      <c r="X417" s="20">
        <v>2</v>
      </c>
      <c r="Y417" s="20">
        <v>2</v>
      </c>
      <c r="Z417" s="24">
        <v>4</v>
      </c>
      <c r="AA417" s="20">
        <v>3</v>
      </c>
      <c r="AB417" s="15" t="s">
        <v>9</v>
      </c>
      <c r="AC417" s="15" t="s">
        <v>9</v>
      </c>
      <c r="AD417" s="15" t="s">
        <v>9</v>
      </c>
      <c r="AE417" s="15" t="s">
        <v>9</v>
      </c>
      <c r="AF417" s="20" t="s">
        <v>9</v>
      </c>
      <c r="AG417" s="20" t="s">
        <v>9</v>
      </c>
      <c r="AH417" s="20" t="s">
        <v>9</v>
      </c>
      <c r="AI417" s="23">
        <v>3</v>
      </c>
      <c r="AJ417" s="15" t="s">
        <v>9</v>
      </c>
      <c r="AK417" s="15" t="s">
        <v>9</v>
      </c>
      <c r="AL417" s="25" t="s">
        <v>9</v>
      </c>
      <c r="AM417" s="31">
        <v>3</v>
      </c>
      <c r="AN417" s="26" t="s">
        <v>9</v>
      </c>
      <c r="AO417" s="26" t="s">
        <v>9</v>
      </c>
      <c r="AP417" s="26" t="s">
        <v>9</v>
      </c>
      <c r="AQ417" s="26" t="s">
        <v>9</v>
      </c>
      <c r="AR417" s="26" t="s">
        <v>9</v>
      </c>
      <c r="AS417" s="26" t="s">
        <v>9</v>
      </c>
      <c r="AT417" s="26" t="s">
        <v>9</v>
      </c>
      <c r="AU417" s="26" t="s">
        <v>9</v>
      </c>
      <c r="AV417" s="26" t="s">
        <v>9</v>
      </c>
      <c r="AW417" s="26" t="s">
        <v>9</v>
      </c>
      <c r="AX417" s="26" t="s">
        <v>9</v>
      </c>
      <c r="AY417" s="26" t="s">
        <v>9</v>
      </c>
      <c r="AZ417" s="26" t="s">
        <v>9</v>
      </c>
      <c r="BA417" s="23">
        <v>3</v>
      </c>
      <c r="BB417" s="24" t="s">
        <v>9</v>
      </c>
    </row>
    <row r="418" spans="1:54" x14ac:dyDescent="0.2">
      <c r="A418" s="5">
        <v>2210</v>
      </c>
      <c r="B418" s="20" t="s">
        <v>9</v>
      </c>
      <c r="C418" s="27" t="s">
        <v>9</v>
      </c>
      <c r="D418" s="27" t="s">
        <v>9</v>
      </c>
      <c r="E418" s="27" t="s">
        <v>9</v>
      </c>
      <c r="F418" s="18" t="s">
        <v>9</v>
      </c>
      <c r="G418" s="27" t="s">
        <v>9</v>
      </c>
      <c r="H418" s="22" t="s">
        <v>8</v>
      </c>
      <c r="I418" s="22" t="s">
        <v>8</v>
      </c>
      <c r="J418" s="22" t="s">
        <v>8</v>
      </c>
      <c r="K418" s="22" t="s">
        <v>8</v>
      </c>
      <c r="L418" s="22" t="s">
        <v>8</v>
      </c>
      <c r="M418" s="22" t="s">
        <v>8</v>
      </c>
      <c r="N418" s="22" t="s">
        <v>8</v>
      </c>
      <c r="O418" s="22" t="s">
        <v>8</v>
      </c>
      <c r="P418" s="22" t="s">
        <v>8</v>
      </c>
      <c r="Q418" s="22" t="s">
        <v>8</v>
      </c>
      <c r="R418" s="22" t="s">
        <v>8</v>
      </c>
      <c r="S418" s="22" t="s">
        <v>8</v>
      </c>
      <c r="T418" s="20" t="s">
        <v>9</v>
      </c>
      <c r="U418" s="20" t="s">
        <v>9</v>
      </c>
      <c r="V418" s="20" t="s">
        <v>1</v>
      </c>
      <c r="W418" s="20">
        <v>5</v>
      </c>
      <c r="X418" s="20">
        <v>2</v>
      </c>
      <c r="Y418" s="20">
        <v>2</v>
      </c>
      <c r="Z418" s="24">
        <v>4</v>
      </c>
      <c r="AA418" s="20">
        <v>3</v>
      </c>
      <c r="AB418" s="15" t="s">
        <v>9</v>
      </c>
      <c r="AC418" s="15" t="s">
        <v>9</v>
      </c>
      <c r="AD418" s="15" t="s">
        <v>9</v>
      </c>
      <c r="AE418" s="15" t="s">
        <v>9</v>
      </c>
      <c r="AF418" s="20" t="s">
        <v>9</v>
      </c>
      <c r="AG418" s="20" t="s">
        <v>9</v>
      </c>
      <c r="AH418" s="20" t="s">
        <v>9</v>
      </c>
      <c r="AI418" s="23">
        <v>3</v>
      </c>
      <c r="AJ418" s="15" t="s">
        <v>9</v>
      </c>
      <c r="AK418" s="15" t="s">
        <v>9</v>
      </c>
      <c r="AL418" s="25" t="s">
        <v>9</v>
      </c>
      <c r="AM418" s="31">
        <v>3</v>
      </c>
      <c r="AN418" s="26" t="s">
        <v>9</v>
      </c>
      <c r="AO418" s="26" t="s">
        <v>9</v>
      </c>
      <c r="AP418" s="26" t="s">
        <v>9</v>
      </c>
      <c r="AQ418" s="26" t="s">
        <v>9</v>
      </c>
      <c r="AR418" s="26" t="s">
        <v>9</v>
      </c>
      <c r="AS418" s="26" t="s">
        <v>9</v>
      </c>
      <c r="AT418" s="26" t="s">
        <v>9</v>
      </c>
      <c r="AU418" s="26" t="s">
        <v>9</v>
      </c>
      <c r="AV418" s="26" t="s">
        <v>9</v>
      </c>
      <c r="AW418" s="26" t="s">
        <v>9</v>
      </c>
      <c r="AX418" s="26" t="s">
        <v>9</v>
      </c>
      <c r="AY418" s="26" t="s">
        <v>9</v>
      </c>
      <c r="AZ418" s="26" t="s">
        <v>9</v>
      </c>
      <c r="BA418" s="23">
        <v>3</v>
      </c>
      <c r="BB418" s="24" t="s">
        <v>9</v>
      </c>
    </row>
    <row r="419" spans="1:54" x14ac:dyDescent="0.2">
      <c r="A419" s="5">
        <v>2213</v>
      </c>
      <c r="B419" s="20" t="s">
        <v>9</v>
      </c>
      <c r="C419" s="27" t="s">
        <v>9</v>
      </c>
      <c r="D419" s="27" t="s">
        <v>9</v>
      </c>
      <c r="E419" s="27" t="s">
        <v>9</v>
      </c>
      <c r="F419" s="18" t="s">
        <v>9</v>
      </c>
      <c r="G419" s="27" t="s">
        <v>9</v>
      </c>
      <c r="H419" s="22" t="s">
        <v>8</v>
      </c>
      <c r="I419" s="22" t="s">
        <v>8</v>
      </c>
      <c r="J419" s="22">
        <v>8.5667351129363443</v>
      </c>
      <c r="K419" s="22" t="s">
        <v>8</v>
      </c>
      <c r="L419" s="22" t="s">
        <v>8</v>
      </c>
      <c r="M419" s="22">
        <v>8.5667351129363443</v>
      </c>
      <c r="N419" s="22" t="s">
        <v>8</v>
      </c>
      <c r="O419" s="22" t="s">
        <v>8</v>
      </c>
      <c r="P419" s="22" t="s">
        <v>8</v>
      </c>
      <c r="Q419" s="22" t="s">
        <v>8</v>
      </c>
      <c r="R419" s="22" t="s">
        <v>8</v>
      </c>
      <c r="S419" s="22" t="s">
        <v>8</v>
      </c>
      <c r="T419" s="20" t="s">
        <v>9</v>
      </c>
      <c r="U419" s="20" t="s">
        <v>9</v>
      </c>
      <c r="V419" s="20" t="s">
        <v>1</v>
      </c>
      <c r="W419" s="20">
        <v>5</v>
      </c>
      <c r="X419" s="20">
        <v>2</v>
      </c>
      <c r="Y419" s="20">
        <v>2</v>
      </c>
      <c r="Z419" s="24">
        <v>4</v>
      </c>
      <c r="AA419" s="20">
        <v>3</v>
      </c>
      <c r="AB419" s="15" t="s">
        <v>9</v>
      </c>
      <c r="AC419" s="15" t="s">
        <v>9</v>
      </c>
      <c r="AD419" s="15" t="s">
        <v>9</v>
      </c>
      <c r="AE419" s="15" t="s">
        <v>9</v>
      </c>
      <c r="AF419" s="20" t="s">
        <v>9</v>
      </c>
      <c r="AG419" s="20" t="s">
        <v>9</v>
      </c>
      <c r="AH419" s="20" t="s">
        <v>9</v>
      </c>
      <c r="AI419" s="23">
        <v>3</v>
      </c>
      <c r="AJ419" s="15" t="s">
        <v>9</v>
      </c>
      <c r="AK419" s="15" t="s">
        <v>9</v>
      </c>
      <c r="AL419" s="25" t="s">
        <v>9</v>
      </c>
      <c r="AM419" s="31">
        <v>3</v>
      </c>
      <c r="AN419" s="26" t="s">
        <v>9</v>
      </c>
      <c r="AO419" s="26" t="s">
        <v>9</v>
      </c>
      <c r="AP419" s="26" t="s">
        <v>9</v>
      </c>
      <c r="AQ419" s="26" t="s">
        <v>9</v>
      </c>
      <c r="AR419" s="26" t="s">
        <v>9</v>
      </c>
      <c r="AS419" s="26" t="s">
        <v>9</v>
      </c>
      <c r="AT419" s="26" t="s">
        <v>9</v>
      </c>
      <c r="AU419" s="26" t="s">
        <v>9</v>
      </c>
      <c r="AV419" s="26" t="s">
        <v>9</v>
      </c>
      <c r="AW419" s="26" t="s">
        <v>9</v>
      </c>
      <c r="AX419" s="26" t="s">
        <v>9</v>
      </c>
      <c r="AY419" s="26" t="s">
        <v>9</v>
      </c>
      <c r="AZ419" s="26" t="s">
        <v>9</v>
      </c>
      <c r="BA419" s="23">
        <v>3</v>
      </c>
      <c r="BB419" s="24" t="s">
        <v>9</v>
      </c>
    </row>
    <row r="420" spans="1:54" x14ac:dyDescent="0.2">
      <c r="A420" s="5">
        <v>2231</v>
      </c>
      <c r="B420" s="20" t="s">
        <v>9</v>
      </c>
      <c r="C420" s="27" t="s">
        <v>9</v>
      </c>
      <c r="D420" s="27" t="s">
        <v>9</v>
      </c>
      <c r="E420" s="27" t="s">
        <v>9</v>
      </c>
      <c r="F420" s="18" t="s">
        <v>9</v>
      </c>
      <c r="G420" s="27" t="s">
        <v>9</v>
      </c>
      <c r="H420" s="22" t="s">
        <v>8</v>
      </c>
      <c r="I420" s="22" t="s">
        <v>8</v>
      </c>
      <c r="J420" s="22" t="s">
        <v>8</v>
      </c>
      <c r="K420" s="22" t="s">
        <v>8</v>
      </c>
      <c r="L420" s="22" t="s">
        <v>8</v>
      </c>
      <c r="M420" s="22" t="s">
        <v>8</v>
      </c>
      <c r="N420" s="22" t="s">
        <v>8</v>
      </c>
      <c r="O420" s="22" t="s">
        <v>8</v>
      </c>
      <c r="P420" s="22" t="s">
        <v>8</v>
      </c>
      <c r="Q420" s="22" t="s">
        <v>8</v>
      </c>
      <c r="R420" s="22" t="s">
        <v>8</v>
      </c>
      <c r="S420" s="22" t="s">
        <v>8</v>
      </c>
      <c r="T420" s="20" t="s">
        <v>9</v>
      </c>
      <c r="U420" s="20" t="s">
        <v>9</v>
      </c>
      <c r="V420" s="20" t="s">
        <v>1</v>
      </c>
      <c r="W420" s="20">
        <v>5</v>
      </c>
      <c r="X420" s="20">
        <v>2</v>
      </c>
      <c r="Y420" s="20">
        <v>2</v>
      </c>
      <c r="Z420" s="24">
        <v>4</v>
      </c>
      <c r="AA420" s="20">
        <v>3</v>
      </c>
      <c r="AB420" s="15" t="s">
        <v>9</v>
      </c>
      <c r="AC420" s="15" t="s">
        <v>9</v>
      </c>
      <c r="AD420" s="15" t="s">
        <v>9</v>
      </c>
      <c r="AE420" s="15" t="s">
        <v>9</v>
      </c>
      <c r="AF420" s="20" t="s">
        <v>9</v>
      </c>
      <c r="AG420" s="20" t="s">
        <v>9</v>
      </c>
      <c r="AH420" s="20" t="s">
        <v>9</v>
      </c>
      <c r="AI420" s="23">
        <v>3</v>
      </c>
      <c r="AJ420" s="15" t="s">
        <v>9</v>
      </c>
      <c r="AK420" s="15" t="s">
        <v>9</v>
      </c>
      <c r="AL420" s="25" t="s">
        <v>9</v>
      </c>
      <c r="AM420" s="31">
        <v>3</v>
      </c>
      <c r="AN420" s="26" t="s">
        <v>9</v>
      </c>
      <c r="AO420" s="26" t="s">
        <v>9</v>
      </c>
      <c r="AP420" s="26" t="s">
        <v>9</v>
      </c>
      <c r="AQ420" s="26" t="s">
        <v>9</v>
      </c>
      <c r="AR420" s="26" t="s">
        <v>9</v>
      </c>
      <c r="AS420" s="26" t="s">
        <v>9</v>
      </c>
      <c r="AT420" s="26" t="s">
        <v>9</v>
      </c>
      <c r="AU420" s="26" t="s">
        <v>9</v>
      </c>
      <c r="AV420" s="26" t="s">
        <v>9</v>
      </c>
      <c r="AW420" s="26" t="s">
        <v>9</v>
      </c>
      <c r="AX420" s="26" t="s">
        <v>9</v>
      </c>
      <c r="AY420" s="26" t="s">
        <v>9</v>
      </c>
      <c r="AZ420" s="26" t="s">
        <v>9</v>
      </c>
      <c r="BA420" s="23">
        <v>3</v>
      </c>
      <c r="BB420" s="24" t="s">
        <v>9</v>
      </c>
    </row>
    <row r="421" spans="1:54" x14ac:dyDescent="0.2">
      <c r="A421" s="5">
        <v>2327</v>
      </c>
      <c r="B421" s="20" t="s">
        <v>9</v>
      </c>
      <c r="C421" s="27" t="s">
        <v>9</v>
      </c>
      <c r="D421" s="27" t="s">
        <v>9</v>
      </c>
      <c r="E421" s="27" t="s">
        <v>9</v>
      </c>
      <c r="F421" s="18" t="s">
        <v>9</v>
      </c>
      <c r="G421" s="27" t="s">
        <v>9</v>
      </c>
      <c r="H421" s="22" t="s">
        <v>8</v>
      </c>
      <c r="I421" s="22" t="s">
        <v>8</v>
      </c>
      <c r="J421" s="22" t="s">
        <v>8</v>
      </c>
      <c r="K421" s="22" t="s">
        <v>8</v>
      </c>
      <c r="L421" s="22" t="s">
        <v>8</v>
      </c>
      <c r="M421" s="22" t="s">
        <v>8</v>
      </c>
      <c r="N421" s="22" t="s">
        <v>8</v>
      </c>
      <c r="O421" s="22" t="s">
        <v>8</v>
      </c>
      <c r="P421" s="22" t="s">
        <v>8</v>
      </c>
      <c r="Q421" s="22" t="s">
        <v>8</v>
      </c>
      <c r="R421" s="22" t="s">
        <v>8</v>
      </c>
      <c r="S421" s="22" t="s">
        <v>8</v>
      </c>
      <c r="T421" s="20" t="s">
        <v>9</v>
      </c>
      <c r="U421" s="20" t="s">
        <v>9</v>
      </c>
      <c r="V421" s="20" t="s">
        <v>1</v>
      </c>
      <c r="W421" s="20">
        <v>5</v>
      </c>
      <c r="X421" s="20">
        <v>2</v>
      </c>
      <c r="Y421" s="20">
        <v>2</v>
      </c>
      <c r="Z421" s="24">
        <v>4</v>
      </c>
      <c r="AA421" s="20">
        <v>3</v>
      </c>
      <c r="AB421" s="15" t="s">
        <v>9</v>
      </c>
      <c r="AC421" s="15" t="s">
        <v>9</v>
      </c>
      <c r="AD421" s="15" t="s">
        <v>9</v>
      </c>
      <c r="AE421" s="15" t="s">
        <v>9</v>
      </c>
      <c r="AF421" s="20" t="s">
        <v>9</v>
      </c>
      <c r="AG421" s="20" t="s">
        <v>9</v>
      </c>
      <c r="AH421" s="20" t="s">
        <v>9</v>
      </c>
      <c r="AI421" s="23">
        <v>3</v>
      </c>
      <c r="AJ421" s="15" t="s">
        <v>9</v>
      </c>
      <c r="AK421" s="15" t="s">
        <v>9</v>
      </c>
      <c r="AL421" s="25" t="s">
        <v>9</v>
      </c>
      <c r="AM421" s="31">
        <v>3</v>
      </c>
      <c r="AN421" s="26" t="s">
        <v>9</v>
      </c>
      <c r="AO421" s="26" t="s">
        <v>9</v>
      </c>
      <c r="AP421" s="26" t="s">
        <v>9</v>
      </c>
      <c r="AQ421" s="26" t="s">
        <v>9</v>
      </c>
      <c r="AR421" s="26" t="s">
        <v>9</v>
      </c>
      <c r="AS421" s="26" t="s">
        <v>9</v>
      </c>
      <c r="AT421" s="26" t="s">
        <v>9</v>
      </c>
      <c r="AU421" s="26" t="s">
        <v>9</v>
      </c>
      <c r="AV421" s="26" t="s">
        <v>9</v>
      </c>
      <c r="AW421" s="26" t="s">
        <v>9</v>
      </c>
      <c r="AX421" s="26" t="s">
        <v>9</v>
      </c>
      <c r="AY421" s="26" t="s">
        <v>9</v>
      </c>
      <c r="AZ421" s="26" t="s">
        <v>9</v>
      </c>
      <c r="BA421" s="23">
        <v>3</v>
      </c>
      <c r="BB421" s="24" t="s">
        <v>9</v>
      </c>
    </row>
    <row r="422" spans="1:54" x14ac:dyDescent="0.2">
      <c r="A422" s="5">
        <v>2740</v>
      </c>
      <c r="B422" s="20" t="s">
        <v>9</v>
      </c>
      <c r="C422" s="27" t="s">
        <v>9</v>
      </c>
      <c r="D422" s="27" t="s">
        <v>9</v>
      </c>
      <c r="E422" s="27" t="s">
        <v>9</v>
      </c>
      <c r="F422" s="18" t="s">
        <v>9</v>
      </c>
      <c r="G422" s="27" t="s">
        <v>9</v>
      </c>
      <c r="H422" s="22" t="s">
        <v>8</v>
      </c>
      <c r="I422" s="22" t="s">
        <v>8</v>
      </c>
      <c r="J422" s="22" t="s">
        <v>8</v>
      </c>
      <c r="K422" s="22" t="s">
        <v>8</v>
      </c>
      <c r="L422" s="22" t="s">
        <v>8</v>
      </c>
      <c r="M422" s="22" t="s">
        <v>8</v>
      </c>
      <c r="N422" s="22" t="s">
        <v>8</v>
      </c>
      <c r="O422" s="22" t="s">
        <v>8</v>
      </c>
      <c r="P422" s="22" t="s">
        <v>8</v>
      </c>
      <c r="Q422" s="22" t="s">
        <v>8</v>
      </c>
      <c r="R422" s="22" t="s">
        <v>8</v>
      </c>
      <c r="S422" s="22" t="s">
        <v>8</v>
      </c>
      <c r="T422" s="20" t="s">
        <v>9</v>
      </c>
      <c r="U422" s="20" t="s">
        <v>9</v>
      </c>
      <c r="V422" s="20" t="s">
        <v>1</v>
      </c>
      <c r="W422" s="20">
        <v>5</v>
      </c>
      <c r="X422" s="20">
        <v>2</v>
      </c>
      <c r="Y422" s="20">
        <v>2</v>
      </c>
      <c r="Z422" s="24">
        <v>4</v>
      </c>
      <c r="AA422" s="20">
        <v>3</v>
      </c>
      <c r="AB422" s="15" t="s">
        <v>9</v>
      </c>
      <c r="AC422" s="15" t="s">
        <v>9</v>
      </c>
      <c r="AD422" s="15" t="s">
        <v>9</v>
      </c>
      <c r="AE422" s="15" t="s">
        <v>9</v>
      </c>
      <c r="AF422" s="20" t="s">
        <v>9</v>
      </c>
      <c r="AG422" s="20" t="s">
        <v>9</v>
      </c>
      <c r="AH422" s="20" t="s">
        <v>9</v>
      </c>
      <c r="AI422" s="23">
        <v>3</v>
      </c>
      <c r="AJ422" s="15" t="s">
        <v>9</v>
      </c>
      <c r="AK422" s="15" t="s">
        <v>9</v>
      </c>
      <c r="AL422" s="25" t="s">
        <v>9</v>
      </c>
      <c r="AM422" s="31">
        <v>3</v>
      </c>
      <c r="AN422" s="26" t="s">
        <v>9</v>
      </c>
      <c r="AO422" s="26" t="s">
        <v>9</v>
      </c>
      <c r="AP422" s="26" t="s">
        <v>9</v>
      </c>
      <c r="AQ422" s="26" t="s">
        <v>9</v>
      </c>
      <c r="AR422" s="26" t="s">
        <v>9</v>
      </c>
      <c r="AS422" s="26" t="s">
        <v>9</v>
      </c>
      <c r="AT422" s="26" t="s">
        <v>9</v>
      </c>
      <c r="AU422" s="26" t="s">
        <v>9</v>
      </c>
      <c r="AV422" s="26" t="s">
        <v>9</v>
      </c>
      <c r="AW422" s="26" t="s">
        <v>9</v>
      </c>
      <c r="AX422" s="26" t="s">
        <v>9</v>
      </c>
      <c r="AY422" s="26" t="s">
        <v>9</v>
      </c>
      <c r="AZ422" s="26" t="s">
        <v>9</v>
      </c>
      <c r="BA422" s="23">
        <v>3</v>
      </c>
      <c r="BB422" s="24" t="s">
        <v>9</v>
      </c>
    </row>
    <row r="423" spans="1:54" x14ac:dyDescent="0.2">
      <c r="A423" s="5">
        <v>2852</v>
      </c>
      <c r="B423" s="20" t="s">
        <v>9</v>
      </c>
      <c r="C423" s="27" t="s">
        <v>9</v>
      </c>
      <c r="D423" s="27" t="s">
        <v>9</v>
      </c>
      <c r="E423" s="27" t="s">
        <v>9</v>
      </c>
      <c r="F423" s="18" t="s">
        <v>9</v>
      </c>
      <c r="G423" s="27" t="s">
        <v>9</v>
      </c>
      <c r="H423" s="22" t="s">
        <v>8</v>
      </c>
      <c r="I423" s="22" t="s">
        <v>8</v>
      </c>
      <c r="J423" s="22" t="s">
        <v>8</v>
      </c>
      <c r="K423" s="22" t="s">
        <v>8</v>
      </c>
      <c r="L423" s="22" t="s">
        <v>8</v>
      </c>
      <c r="M423" s="22" t="s">
        <v>8</v>
      </c>
      <c r="N423" s="22" t="s">
        <v>8</v>
      </c>
      <c r="O423" s="22" t="s">
        <v>8</v>
      </c>
      <c r="P423" s="22" t="s">
        <v>8</v>
      </c>
      <c r="Q423" s="22" t="s">
        <v>8</v>
      </c>
      <c r="R423" s="22" t="s">
        <v>8</v>
      </c>
      <c r="S423" s="22" t="s">
        <v>8</v>
      </c>
      <c r="T423" s="20" t="s">
        <v>9</v>
      </c>
      <c r="U423" s="20" t="s">
        <v>9</v>
      </c>
      <c r="V423" s="20" t="s">
        <v>1</v>
      </c>
      <c r="W423" s="20">
        <v>5</v>
      </c>
      <c r="X423" s="20">
        <v>2</v>
      </c>
      <c r="Y423" s="20">
        <v>2</v>
      </c>
      <c r="Z423" s="24">
        <v>4</v>
      </c>
      <c r="AA423" s="20">
        <v>3</v>
      </c>
      <c r="AB423" s="15" t="s">
        <v>9</v>
      </c>
      <c r="AC423" s="15" t="s">
        <v>9</v>
      </c>
      <c r="AD423" s="15" t="s">
        <v>9</v>
      </c>
      <c r="AE423" s="15" t="s">
        <v>9</v>
      </c>
      <c r="AF423" s="20" t="s">
        <v>9</v>
      </c>
      <c r="AG423" s="20" t="s">
        <v>9</v>
      </c>
      <c r="AH423" s="20" t="s">
        <v>9</v>
      </c>
      <c r="AI423" s="23">
        <v>3</v>
      </c>
      <c r="AJ423" s="15" t="s">
        <v>9</v>
      </c>
      <c r="AK423" s="15" t="s">
        <v>9</v>
      </c>
      <c r="AL423" s="25" t="s">
        <v>9</v>
      </c>
      <c r="AM423" s="31">
        <v>3</v>
      </c>
      <c r="AN423" s="26" t="s">
        <v>9</v>
      </c>
      <c r="AO423" s="26" t="s">
        <v>9</v>
      </c>
      <c r="AP423" s="26" t="s">
        <v>9</v>
      </c>
      <c r="AQ423" s="26" t="s">
        <v>9</v>
      </c>
      <c r="AR423" s="26" t="s">
        <v>9</v>
      </c>
      <c r="AS423" s="26" t="s">
        <v>9</v>
      </c>
      <c r="AT423" s="26" t="s">
        <v>9</v>
      </c>
      <c r="AU423" s="26" t="s">
        <v>9</v>
      </c>
      <c r="AV423" s="26" t="s">
        <v>9</v>
      </c>
      <c r="AW423" s="26" t="s">
        <v>9</v>
      </c>
      <c r="AX423" s="26" t="s">
        <v>9</v>
      </c>
      <c r="AY423" s="26" t="s">
        <v>9</v>
      </c>
      <c r="AZ423" s="26" t="s">
        <v>9</v>
      </c>
      <c r="BA423" s="23">
        <v>3</v>
      </c>
      <c r="BB423" s="24" t="s">
        <v>9</v>
      </c>
    </row>
    <row r="424" spans="1:54" x14ac:dyDescent="0.2">
      <c r="A424" s="5">
        <v>2889</v>
      </c>
      <c r="B424" s="20" t="s">
        <v>9</v>
      </c>
      <c r="C424" s="27" t="s">
        <v>9</v>
      </c>
      <c r="D424" s="27" t="s">
        <v>9</v>
      </c>
      <c r="E424" s="27" t="s">
        <v>9</v>
      </c>
      <c r="F424" s="18" t="s">
        <v>9</v>
      </c>
      <c r="G424" s="27" t="s">
        <v>9</v>
      </c>
      <c r="H424" s="22" t="s">
        <v>8</v>
      </c>
      <c r="I424" s="22" t="s">
        <v>8</v>
      </c>
      <c r="J424" s="22" t="s">
        <v>8</v>
      </c>
      <c r="K424" s="22" t="s">
        <v>8</v>
      </c>
      <c r="L424" s="22" t="s">
        <v>8</v>
      </c>
      <c r="M424" s="22" t="s">
        <v>8</v>
      </c>
      <c r="N424" s="22" t="s">
        <v>8</v>
      </c>
      <c r="O424" s="22" t="s">
        <v>8</v>
      </c>
      <c r="P424" s="22" t="s">
        <v>8</v>
      </c>
      <c r="Q424" s="22" t="s">
        <v>8</v>
      </c>
      <c r="R424" s="22" t="s">
        <v>8</v>
      </c>
      <c r="S424" s="22" t="s">
        <v>8</v>
      </c>
      <c r="T424" s="20" t="s">
        <v>9</v>
      </c>
      <c r="U424" s="20" t="s">
        <v>9</v>
      </c>
      <c r="V424" s="20" t="s">
        <v>1</v>
      </c>
      <c r="W424" s="20">
        <v>5</v>
      </c>
      <c r="X424" s="20">
        <v>2</v>
      </c>
      <c r="Y424" s="20">
        <v>2</v>
      </c>
      <c r="Z424" s="24">
        <v>4</v>
      </c>
      <c r="AA424" s="20">
        <v>3</v>
      </c>
      <c r="AB424" s="15" t="s">
        <v>9</v>
      </c>
      <c r="AC424" s="15" t="s">
        <v>9</v>
      </c>
      <c r="AD424" s="15" t="s">
        <v>9</v>
      </c>
      <c r="AE424" s="15" t="s">
        <v>9</v>
      </c>
      <c r="AF424" s="20" t="s">
        <v>9</v>
      </c>
      <c r="AG424" s="20" t="s">
        <v>9</v>
      </c>
      <c r="AH424" s="20" t="s">
        <v>9</v>
      </c>
      <c r="AI424" s="23">
        <v>3</v>
      </c>
      <c r="AJ424" s="15" t="s">
        <v>9</v>
      </c>
      <c r="AK424" s="15" t="s">
        <v>9</v>
      </c>
      <c r="AL424" s="25" t="s">
        <v>9</v>
      </c>
      <c r="AM424" s="31">
        <v>3</v>
      </c>
      <c r="AN424" s="26" t="s">
        <v>9</v>
      </c>
      <c r="AO424" s="26" t="s">
        <v>9</v>
      </c>
      <c r="AP424" s="26" t="s">
        <v>9</v>
      </c>
      <c r="AQ424" s="26" t="s">
        <v>9</v>
      </c>
      <c r="AR424" s="26" t="s">
        <v>9</v>
      </c>
      <c r="AS424" s="26" t="s">
        <v>9</v>
      </c>
      <c r="AT424" s="26" t="s">
        <v>9</v>
      </c>
      <c r="AU424" s="26" t="s">
        <v>9</v>
      </c>
      <c r="AV424" s="26" t="s">
        <v>9</v>
      </c>
      <c r="AW424" s="26" t="s">
        <v>9</v>
      </c>
      <c r="AX424" s="26" t="s">
        <v>9</v>
      </c>
      <c r="AY424" s="26" t="s">
        <v>9</v>
      </c>
      <c r="AZ424" s="26" t="s">
        <v>9</v>
      </c>
      <c r="BA424" s="23">
        <v>3</v>
      </c>
      <c r="BB424" s="24" t="s">
        <v>9</v>
      </c>
    </row>
    <row r="425" spans="1:54" x14ac:dyDescent="0.2">
      <c r="A425" s="5">
        <v>2939</v>
      </c>
      <c r="B425" s="20" t="s">
        <v>9</v>
      </c>
      <c r="C425" s="27" t="s">
        <v>9</v>
      </c>
      <c r="D425" s="27" t="s">
        <v>9</v>
      </c>
      <c r="E425" s="27" t="s">
        <v>9</v>
      </c>
      <c r="F425" s="18" t="s">
        <v>9</v>
      </c>
      <c r="G425" s="27" t="s">
        <v>9</v>
      </c>
      <c r="H425" s="22" t="s">
        <v>8</v>
      </c>
      <c r="I425" s="22" t="s">
        <v>8</v>
      </c>
      <c r="J425" s="22" t="s">
        <v>8</v>
      </c>
      <c r="K425" s="22" t="s">
        <v>8</v>
      </c>
      <c r="L425" s="22" t="s">
        <v>8</v>
      </c>
      <c r="M425" s="22" t="s">
        <v>8</v>
      </c>
      <c r="N425" s="22" t="s">
        <v>8</v>
      </c>
      <c r="O425" s="22" t="s">
        <v>8</v>
      </c>
      <c r="P425" s="22" t="s">
        <v>8</v>
      </c>
      <c r="Q425" s="22" t="s">
        <v>8</v>
      </c>
      <c r="R425" s="22" t="s">
        <v>8</v>
      </c>
      <c r="S425" s="22" t="s">
        <v>8</v>
      </c>
      <c r="T425" s="20" t="s">
        <v>9</v>
      </c>
      <c r="U425" s="20" t="s">
        <v>9</v>
      </c>
      <c r="V425" s="20" t="s">
        <v>1</v>
      </c>
      <c r="W425" s="20">
        <v>5</v>
      </c>
      <c r="X425" s="20">
        <v>2</v>
      </c>
      <c r="Y425" s="20">
        <v>2</v>
      </c>
      <c r="Z425" s="24">
        <v>4</v>
      </c>
      <c r="AA425" s="20">
        <v>3</v>
      </c>
      <c r="AB425" s="15" t="s">
        <v>9</v>
      </c>
      <c r="AC425" s="15" t="s">
        <v>9</v>
      </c>
      <c r="AD425" s="15" t="s">
        <v>9</v>
      </c>
      <c r="AE425" s="15" t="s">
        <v>9</v>
      </c>
      <c r="AF425" s="20" t="s">
        <v>9</v>
      </c>
      <c r="AG425" s="20" t="s">
        <v>9</v>
      </c>
      <c r="AH425" s="20" t="s">
        <v>9</v>
      </c>
      <c r="AI425" s="23">
        <v>3</v>
      </c>
      <c r="AJ425" s="15" t="s">
        <v>9</v>
      </c>
      <c r="AK425" s="15" t="s">
        <v>9</v>
      </c>
      <c r="AL425" s="25" t="s">
        <v>9</v>
      </c>
      <c r="AM425" s="31">
        <v>3</v>
      </c>
      <c r="AN425" s="26" t="s">
        <v>9</v>
      </c>
      <c r="AO425" s="26" t="s">
        <v>9</v>
      </c>
      <c r="AP425" s="26" t="s">
        <v>9</v>
      </c>
      <c r="AQ425" s="26" t="s">
        <v>9</v>
      </c>
      <c r="AR425" s="26" t="s">
        <v>9</v>
      </c>
      <c r="AS425" s="26" t="s">
        <v>9</v>
      </c>
      <c r="AT425" s="26" t="s">
        <v>9</v>
      </c>
      <c r="AU425" s="26" t="s">
        <v>9</v>
      </c>
      <c r="AV425" s="26" t="s">
        <v>9</v>
      </c>
      <c r="AW425" s="26" t="s">
        <v>9</v>
      </c>
      <c r="AX425" s="26" t="s">
        <v>9</v>
      </c>
      <c r="AY425" s="26" t="s">
        <v>9</v>
      </c>
      <c r="AZ425" s="26" t="s">
        <v>9</v>
      </c>
      <c r="BA425" s="23">
        <v>3</v>
      </c>
      <c r="BB425" s="24" t="s">
        <v>9</v>
      </c>
    </row>
    <row r="426" spans="1:54" x14ac:dyDescent="0.2">
      <c r="A426" s="5">
        <v>2974</v>
      </c>
      <c r="B426" s="20" t="s">
        <v>9</v>
      </c>
      <c r="C426" s="27" t="s">
        <v>9</v>
      </c>
      <c r="D426" s="27" t="s">
        <v>9</v>
      </c>
      <c r="E426" s="27" t="s">
        <v>9</v>
      </c>
      <c r="F426" s="18" t="s">
        <v>9</v>
      </c>
      <c r="G426" s="27" t="s">
        <v>9</v>
      </c>
      <c r="H426" s="22" t="s">
        <v>8</v>
      </c>
      <c r="I426" s="22" t="s">
        <v>8</v>
      </c>
      <c r="J426" s="22" t="s">
        <v>8</v>
      </c>
      <c r="K426" s="22" t="s">
        <v>8</v>
      </c>
      <c r="L426" s="22" t="s">
        <v>8</v>
      </c>
      <c r="M426" s="22" t="s">
        <v>8</v>
      </c>
      <c r="N426" s="22" t="s">
        <v>8</v>
      </c>
      <c r="O426" s="22" t="s">
        <v>8</v>
      </c>
      <c r="P426" s="22" t="s">
        <v>8</v>
      </c>
      <c r="Q426" s="22" t="s">
        <v>8</v>
      </c>
      <c r="R426" s="22" t="s">
        <v>8</v>
      </c>
      <c r="S426" s="22" t="s">
        <v>8</v>
      </c>
      <c r="T426" s="20" t="s">
        <v>9</v>
      </c>
      <c r="U426" s="20" t="s">
        <v>9</v>
      </c>
      <c r="V426" s="20" t="s">
        <v>1</v>
      </c>
      <c r="W426" s="20">
        <v>5</v>
      </c>
      <c r="X426" s="20">
        <v>2</v>
      </c>
      <c r="Y426" s="20">
        <v>2</v>
      </c>
      <c r="Z426" s="24">
        <v>4</v>
      </c>
      <c r="AA426" s="20">
        <v>3</v>
      </c>
      <c r="AB426" s="15" t="s">
        <v>9</v>
      </c>
      <c r="AC426" s="15" t="s">
        <v>9</v>
      </c>
      <c r="AD426" s="15" t="s">
        <v>9</v>
      </c>
      <c r="AE426" s="15" t="s">
        <v>9</v>
      </c>
      <c r="AF426" s="20" t="s">
        <v>9</v>
      </c>
      <c r="AG426" s="20" t="s">
        <v>9</v>
      </c>
      <c r="AH426" s="20" t="s">
        <v>9</v>
      </c>
      <c r="AI426" s="23">
        <v>3</v>
      </c>
      <c r="AJ426" s="15" t="s">
        <v>9</v>
      </c>
      <c r="AK426" s="15" t="s">
        <v>9</v>
      </c>
      <c r="AL426" s="25" t="s">
        <v>9</v>
      </c>
      <c r="AM426" s="31">
        <v>3</v>
      </c>
      <c r="AN426" s="26" t="s">
        <v>9</v>
      </c>
      <c r="AO426" s="26" t="s">
        <v>9</v>
      </c>
      <c r="AP426" s="26" t="s">
        <v>9</v>
      </c>
      <c r="AQ426" s="26" t="s">
        <v>9</v>
      </c>
      <c r="AR426" s="26" t="s">
        <v>9</v>
      </c>
      <c r="AS426" s="26" t="s">
        <v>9</v>
      </c>
      <c r="AT426" s="26" t="s">
        <v>9</v>
      </c>
      <c r="AU426" s="26" t="s">
        <v>9</v>
      </c>
      <c r="AV426" s="26" t="s">
        <v>9</v>
      </c>
      <c r="AW426" s="26" t="s">
        <v>9</v>
      </c>
      <c r="AX426" s="26" t="s">
        <v>9</v>
      </c>
      <c r="AY426" s="26" t="s">
        <v>9</v>
      </c>
      <c r="AZ426" s="26" t="s">
        <v>9</v>
      </c>
      <c r="BA426" s="23">
        <v>3</v>
      </c>
      <c r="BB426" s="24" t="s">
        <v>9</v>
      </c>
    </row>
    <row r="427" spans="1:54" x14ac:dyDescent="0.2">
      <c r="A427" s="5">
        <v>3003</v>
      </c>
      <c r="B427" s="20" t="s">
        <v>9</v>
      </c>
      <c r="C427" s="27" t="s">
        <v>9</v>
      </c>
      <c r="D427" s="27" t="s">
        <v>9</v>
      </c>
      <c r="E427" s="27" t="s">
        <v>9</v>
      </c>
      <c r="F427" s="18" t="s">
        <v>9</v>
      </c>
      <c r="G427" s="27" t="s">
        <v>9</v>
      </c>
      <c r="H427" s="22" t="s">
        <v>8</v>
      </c>
      <c r="I427" s="22" t="s">
        <v>8</v>
      </c>
      <c r="J427" s="22" t="s">
        <v>8</v>
      </c>
      <c r="K427" s="22" t="s">
        <v>8</v>
      </c>
      <c r="L427" s="22" t="s">
        <v>8</v>
      </c>
      <c r="M427" s="22" t="s">
        <v>8</v>
      </c>
      <c r="N427" s="22" t="s">
        <v>8</v>
      </c>
      <c r="O427" s="22" t="s">
        <v>8</v>
      </c>
      <c r="P427" s="22" t="s">
        <v>8</v>
      </c>
      <c r="Q427" s="22" t="s">
        <v>8</v>
      </c>
      <c r="R427" s="22" t="s">
        <v>8</v>
      </c>
      <c r="S427" s="22" t="s">
        <v>8</v>
      </c>
      <c r="T427" s="20" t="s">
        <v>9</v>
      </c>
      <c r="U427" s="20" t="s">
        <v>9</v>
      </c>
      <c r="V427" s="20" t="s">
        <v>1</v>
      </c>
      <c r="W427" s="20">
        <v>5</v>
      </c>
      <c r="X427" s="20">
        <v>2</v>
      </c>
      <c r="Y427" s="20">
        <v>2</v>
      </c>
      <c r="Z427" s="24">
        <v>4</v>
      </c>
      <c r="AA427" s="20">
        <v>3</v>
      </c>
      <c r="AB427" s="15" t="s">
        <v>9</v>
      </c>
      <c r="AC427" s="15" t="s">
        <v>9</v>
      </c>
      <c r="AD427" s="15" t="s">
        <v>9</v>
      </c>
      <c r="AE427" s="15" t="s">
        <v>9</v>
      </c>
      <c r="AF427" s="20" t="s">
        <v>9</v>
      </c>
      <c r="AG427" s="20" t="s">
        <v>9</v>
      </c>
      <c r="AH427" s="20" t="s">
        <v>9</v>
      </c>
      <c r="AI427" s="23">
        <v>3</v>
      </c>
      <c r="AJ427" s="15" t="s">
        <v>9</v>
      </c>
      <c r="AK427" s="15" t="s">
        <v>9</v>
      </c>
      <c r="AL427" s="25" t="s">
        <v>9</v>
      </c>
      <c r="AM427" s="31">
        <v>3</v>
      </c>
      <c r="AN427" s="26" t="s">
        <v>9</v>
      </c>
      <c r="AO427" s="26" t="s">
        <v>9</v>
      </c>
      <c r="AP427" s="26" t="s">
        <v>9</v>
      </c>
      <c r="AQ427" s="26" t="s">
        <v>9</v>
      </c>
      <c r="AR427" s="26" t="s">
        <v>9</v>
      </c>
      <c r="AS427" s="26" t="s">
        <v>9</v>
      </c>
      <c r="AT427" s="26" t="s">
        <v>9</v>
      </c>
      <c r="AU427" s="26" t="s">
        <v>9</v>
      </c>
      <c r="AV427" s="26" t="s">
        <v>9</v>
      </c>
      <c r="AW427" s="26" t="s">
        <v>9</v>
      </c>
      <c r="AX427" s="26" t="s">
        <v>9</v>
      </c>
      <c r="AY427" s="26" t="s">
        <v>9</v>
      </c>
      <c r="AZ427" s="26" t="s">
        <v>9</v>
      </c>
      <c r="BA427" s="23">
        <v>3</v>
      </c>
      <c r="BB427" s="24" t="s">
        <v>9</v>
      </c>
    </row>
    <row r="428" spans="1:54" x14ac:dyDescent="0.2">
      <c r="A428" s="5">
        <v>3006</v>
      </c>
      <c r="B428" s="20" t="s">
        <v>9</v>
      </c>
      <c r="C428" s="27" t="s">
        <v>9</v>
      </c>
      <c r="D428" s="27" t="s">
        <v>9</v>
      </c>
      <c r="E428" s="27" t="s">
        <v>9</v>
      </c>
      <c r="F428" s="18" t="s">
        <v>9</v>
      </c>
      <c r="G428" s="27" t="s">
        <v>9</v>
      </c>
      <c r="H428" s="22" t="s">
        <v>8</v>
      </c>
      <c r="I428" s="22" t="s">
        <v>8</v>
      </c>
      <c r="J428" s="22" t="s">
        <v>8</v>
      </c>
      <c r="K428" s="22" t="s">
        <v>8</v>
      </c>
      <c r="L428" s="22" t="s">
        <v>8</v>
      </c>
      <c r="M428" s="22" t="s">
        <v>8</v>
      </c>
      <c r="N428" s="22" t="s">
        <v>8</v>
      </c>
      <c r="O428" s="22" t="s">
        <v>8</v>
      </c>
      <c r="P428" s="22" t="s">
        <v>8</v>
      </c>
      <c r="Q428" s="22" t="s">
        <v>8</v>
      </c>
      <c r="R428" s="22" t="s">
        <v>8</v>
      </c>
      <c r="S428" s="22" t="s">
        <v>8</v>
      </c>
      <c r="T428" s="20" t="s">
        <v>9</v>
      </c>
      <c r="U428" s="20" t="s">
        <v>9</v>
      </c>
      <c r="V428" s="20" t="s">
        <v>1</v>
      </c>
      <c r="W428" s="20">
        <v>5</v>
      </c>
      <c r="X428" s="20">
        <v>2</v>
      </c>
      <c r="Y428" s="20">
        <v>2</v>
      </c>
      <c r="Z428" s="24">
        <v>4</v>
      </c>
      <c r="AA428" s="20">
        <v>3</v>
      </c>
      <c r="AB428" s="15" t="s">
        <v>9</v>
      </c>
      <c r="AC428" s="15" t="s">
        <v>9</v>
      </c>
      <c r="AD428" s="15" t="s">
        <v>9</v>
      </c>
      <c r="AE428" s="15" t="s">
        <v>9</v>
      </c>
      <c r="AF428" s="20" t="s">
        <v>9</v>
      </c>
      <c r="AG428" s="20" t="s">
        <v>9</v>
      </c>
      <c r="AH428" s="20" t="s">
        <v>9</v>
      </c>
      <c r="AI428" s="23">
        <v>3</v>
      </c>
      <c r="AJ428" s="15" t="s">
        <v>9</v>
      </c>
      <c r="AK428" s="15" t="s">
        <v>9</v>
      </c>
      <c r="AL428" s="25" t="s">
        <v>9</v>
      </c>
      <c r="AM428" s="31">
        <v>3</v>
      </c>
      <c r="AN428" s="26" t="s">
        <v>9</v>
      </c>
      <c r="AO428" s="26" t="s">
        <v>9</v>
      </c>
      <c r="AP428" s="26" t="s">
        <v>9</v>
      </c>
      <c r="AQ428" s="26" t="s">
        <v>9</v>
      </c>
      <c r="AR428" s="26" t="s">
        <v>9</v>
      </c>
      <c r="AS428" s="26" t="s">
        <v>9</v>
      </c>
      <c r="AT428" s="26" t="s">
        <v>9</v>
      </c>
      <c r="AU428" s="26" t="s">
        <v>9</v>
      </c>
      <c r="AV428" s="26" t="s">
        <v>9</v>
      </c>
      <c r="AW428" s="26" t="s">
        <v>9</v>
      </c>
      <c r="AX428" s="26" t="s">
        <v>9</v>
      </c>
      <c r="AY428" s="26" t="s">
        <v>9</v>
      </c>
      <c r="AZ428" s="26" t="s">
        <v>9</v>
      </c>
      <c r="BA428" s="23">
        <v>3</v>
      </c>
      <c r="BB428" s="24" t="s">
        <v>9</v>
      </c>
    </row>
    <row r="429" spans="1:54" x14ac:dyDescent="0.2">
      <c r="A429" s="5">
        <v>3010</v>
      </c>
      <c r="B429" s="20" t="s">
        <v>9</v>
      </c>
      <c r="C429" s="27" t="s">
        <v>9</v>
      </c>
      <c r="D429" s="27" t="s">
        <v>9</v>
      </c>
      <c r="E429" s="27" t="s">
        <v>9</v>
      </c>
      <c r="F429" s="18" t="s">
        <v>9</v>
      </c>
      <c r="G429" s="27" t="s">
        <v>9</v>
      </c>
      <c r="H429" s="22" t="s">
        <v>8</v>
      </c>
      <c r="I429" s="22" t="s">
        <v>8</v>
      </c>
      <c r="J429" s="22" t="s">
        <v>8</v>
      </c>
      <c r="K429" s="22" t="s">
        <v>8</v>
      </c>
      <c r="L429" s="22" t="s">
        <v>8</v>
      </c>
      <c r="M429" s="22" t="s">
        <v>8</v>
      </c>
      <c r="N429" s="22" t="s">
        <v>8</v>
      </c>
      <c r="O429" s="22" t="s">
        <v>8</v>
      </c>
      <c r="P429" s="22" t="s">
        <v>8</v>
      </c>
      <c r="Q429" s="22" t="s">
        <v>8</v>
      </c>
      <c r="R429" s="22" t="s">
        <v>8</v>
      </c>
      <c r="S429" s="22" t="s">
        <v>8</v>
      </c>
      <c r="T429" s="20" t="s">
        <v>9</v>
      </c>
      <c r="U429" s="20" t="s">
        <v>9</v>
      </c>
      <c r="V429" s="20" t="s">
        <v>1</v>
      </c>
      <c r="W429" s="20">
        <v>5</v>
      </c>
      <c r="X429" s="20">
        <v>2</v>
      </c>
      <c r="Y429" s="20">
        <v>2</v>
      </c>
      <c r="Z429" s="24">
        <v>4</v>
      </c>
      <c r="AA429" s="20">
        <v>3</v>
      </c>
      <c r="AB429" s="15" t="s">
        <v>9</v>
      </c>
      <c r="AC429" s="15" t="s">
        <v>9</v>
      </c>
      <c r="AD429" s="15" t="s">
        <v>9</v>
      </c>
      <c r="AE429" s="15" t="s">
        <v>9</v>
      </c>
      <c r="AF429" s="20" t="s">
        <v>9</v>
      </c>
      <c r="AG429" s="20" t="s">
        <v>9</v>
      </c>
      <c r="AH429" s="20" t="s">
        <v>9</v>
      </c>
      <c r="AI429" s="23">
        <v>3</v>
      </c>
      <c r="AJ429" s="15" t="s">
        <v>9</v>
      </c>
      <c r="AK429" s="15" t="s">
        <v>9</v>
      </c>
      <c r="AL429" s="25" t="s">
        <v>9</v>
      </c>
      <c r="AM429" s="31">
        <v>3</v>
      </c>
      <c r="AN429" s="26" t="s">
        <v>9</v>
      </c>
      <c r="AO429" s="26" t="s">
        <v>9</v>
      </c>
      <c r="AP429" s="26" t="s">
        <v>9</v>
      </c>
      <c r="AQ429" s="26" t="s">
        <v>9</v>
      </c>
      <c r="AR429" s="26" t="s">
        <v>9</v>
      </c>
      <c r="AS429" s="26" t="s">
        <v>9</v>
      </c>
      <c r="AT429" s="26" t="s">
        <v>9</v>
      </c>
      <c r="AU429" s="26" t="s">
        <v>9</v>
      </c>
      <c r="AV429" s="26" t="s">
        <v>9</v>
      </c>
      <c r="AW429" s="26" t="s">
        <v>9</v>
      </c>
      <c r="AX429" s="26" t="s">
        <v>9</v>
      </c>
      <c r="AY429" s="26" t="s">
        <v>9</v>
      </c>
      <c r="AZ429" s="26" t="s">
        <v>9</v>
      </c>
      <c r="BA429" s="23">
        <v>3</v>
      </c>
      <c r="BB429" s="24" t="s">
        <v>9</v>
      </c>
    </row>
    <row r="430" spans="1:54" x14ac:dyDescent="0.2">
      <c r="A430" s="5">
        <v>3086</v>
      </c>
      <c r="B430" s="20" t="s">
        <v>9</v>
      </c>
      <c r="C430" s="27" t="s">
        <v>9</v>
      </c>
      <c r="D430" s="27" t="s">
        <v>9</v>
      </c>
      <c r="E430" s="27" t="s">
        <v>9</v>
      </c>
      <c r="F430" s="18" t="s">
        <v>9</v>
      </c>
      <c r="G430" s="27" t="s">
        <v>9</v>
      </c>
      <c r="H430" s="22" t="s">
        <v>8</v>
      </c>
      <c r="I430" s="22" t="s">
        <v>8</v>
      </c>
      <c r="J430" s="22" t="s">
        <v>8</v>
      </c>
      <c r="K430" s="22" t="s">
        <v>8</v>
      </c>
      <c r="L430" s="22" t="s">
        <v>8</v>
      </c>
      <c r="M430" s="22" t="s">
        <v>8</v>
      </c>
      <c r="N430" s="22" t="s">
        <v>8</v>
      </c>
      <c r="O430" s="22" t="s">
        <v>8</v>
      </c>
      <c r="P430" s="22" t="s">
        <v>8</v>
      </c>
      <c r="Q430" s="22" t="s">
        <v>8</v>
      </c>
      <c r="R430" s="22" t="s">
        <v>8</v>
      </c>
      <c r="S430" s="22" t="s">
        <v>8</v>
      </c>
      <c r="T430" s="20" t="s">
        <v>9</v>
      </c>
      <c r="U430" s="20" t="s">
        <v>9</v>
      </c>
      <c r="V430" s="20" t="s">
        <v>1</v>
      </c>
      <c r="W430" s="20">
        <v>5</v>
      </c>
      <c r="X430" s="20">
        <v>2</v>
      </c>
      <c r="Y430" s="20">
        <v>2</v>
      </c>
      <c r="Z430" s="24">
        <v>4</v>
      </c>
      <c r="AA430" s="20">
        <v>3</v>
      </c>
      <c r="AB430" s="15" t="s">
        <v>9</v>
      </c>
      <c r="AC430" s="15" t="s">
        <v>9</v>
      </c>
      <c r="AD430" s="15" t="s">
        <v>9</v>
      </c>
      <c r="AE430" s="15" t="s">
        <v>9</v>
      </c>
      <c r="AF430" s="20" t="s">
        <v>9</v>
      </c>
      <c r="AG430" s="20" t="s">
        <v>9</v>
      </c>
      <c r="AH430" s="20" t="s">
        <v>9</v>
      </c>
      <c r="AI430" s="23">
        <v>3</v>
      </c>
      <c r="AJ430" s="15" t="s">
        <v>9</v>
      </c>
      <c r="AK430" s="15" t="s">
        <v>9</v>
      </c>
      <c r="AL430" s="25" t="s">
        <v>9</v>
      </c>
      <c r="AM430" s="31">
        <v>3</v>
      </c>
      <c r="AN430" s="26" t="s">
        <v>9</v>
      </c>
      <c r="AO430" s="26" t="s">
        <v>9</v>
      </c>
      <c r="AP430" s="26" t="s">
        <v>9</v>
      </c>
      <c r="AQ430" s="26" t="s">
        <v>9</v>
      </c>
      <c r="AR430" s="26" t="s">
        <v>9</v>
      </c>
      <c r="AS430" s="26" t="s">
        <v>9</v>
      </c>
      <c r="AT430" s="26" t="s">
        <v>9</v>
      </c>
      <c r="AU430" s="26" t="s">
        <v>9</v>
      </c>
      <c r="AV430" s="26" t="s">
        <v>9</v>
      </c>
      <c r="AW430" s="26" t="s">
        <v>9</v>
      </c>
      <c r="AX430" s="26" t="s">
        <v>9</v>
      </c>
      <c r="AY430" s="26" t="s">
        <v>9</v>
      </c>
      <c r="AZ430" s="26" t="s">
        <v>9</v>
      </c>
      <c r="BA430" s="23">
        <v>3</v>
      </c>
      <c r="BB430" s="24" t="s">
        <v>9</v>
      </c>
    </row>
    <row r="431" spans="1:54" x14ac:dyDescent="0.2">
      <c r="A431" s="5">
        <v>3108</v>
      </c>
      <c r="B431" s="20" t="s">
        <v>9</v>
      </c>
      <c r="C431" s="27" t="s">
        <v>9</v>
      </c>
      <c r="D431" s="27" t="s">
        <v>9</v>
      </c>
      <c r="E431" s="27" t="s">
        <v>9</v>
      </c>
      <c r="F431" s="18" t="s">
        <v>9</v>
      </c>
      <c r="G431" s="27" t="s">
        <v>9</v>
      </c>
      <c r="H431" s="22" t="s">
        <v>8</v>
      </c>
      <c r="I431" s="22" t="s">
        <v>8</v>
      </c>
      <c r="J431" s="22" t="s">
        <v>8</v>
      </c>
      <c r="K431" s="22" t="s">
        <v>8</v>
      </c>
      <c r="L431" s="22" t="s">
        <v>8</v>
      </c>
      <c r="M431" s="22" t="s">
        <v>8</v>
      </c>
      <c r="N431" s="22" t="s">
        <v>8</v>
      </c>
      <c r="O431" s="22" t="s">
        <v>8</v>
      </c>
      <c r="P431" s="22" t="s">
        <v>8</v>
      </c>
      <c r="Q431" s="22" t="s">
        <v>8</v>
      </c>
      <c r="R431" s="22" t="s">
        <v>8</v>
      </c>
      <c r="S431" s="22" t="s">
        <v>8</v>
      </c>
      <c r="T431" s="20" t="s">
        <v>9</v>
      </c>
      <c r="U431" s="20" t="s">
        <v>9</v>
      </c>
      <c r="V431" s="20" t="s">
        <v>1</v>
      </c>
      <c r="W431" s="20">
        <v>5</v>
      </c>
      <c r="X431" s="20">
        <v>2</v>
      </c>
      <c r="Y431" s="20">
        <v>2</v>
      </c>
      <c r="Z431" s="24">
        <v>4</v>
      </c>
      <c r="AA431" s="20">
        <v>3</v>
      </c>
      <c r="AB431" s="15" t="s">
        <v>9</v>
      </c>
      <c r="AC431" s="15" t="s">
        <v>9</v>
      </c>
      <c r="AD431" s="15" t="s">
        <v>9</v>
      </c>
      <c r="AE431" s="15" t="s">
        <v>9</v>
      </c>
      <c r="AF431" s="20" t="s">
        <v>9</v>
      </c>
      <c r="AG431" s="20" t="s">
        <v>9</v>
      </c>
      <c r="AH431" s="20" t="s">
        <v>9</v>
      </c>
      <c r="AI431" s="23">
        <v>3</v>
      </c>
      <c r="AJ431" s="15" t="s">
        <v>9</v>
      </c>
      <c r="AK431" s="15" t="s">
        <v>9</v>
      </c>
      <c r="AL431" s="25" t="s">
        <v>9</v>
      </c>
      <c r="AM431" s="31">
        <v>3</v>
      </c>
      <c r="AN431" s="26" t="s">
        <v>9</v>
      </c>
      <c r="AO431" s="26" t="s">
        <v>9</v>
      </c>
      <c r="AP431" s="26" t="s">
        <v>9</v>
      </c>
      <c r="AQ431" s="26" t="s">
        <v>9</v>
      </c>
      <c r="AR431" s="26" t="s">
        <v>9</v>
      </c>
      <c r="AS431" s="26" t="s">
        <v>9</v>
      </c>
      <c r="AT431" s="26" t="s">
        <v>9</v>
      </c>
      <c r="AU431" s="26" t="s">
        <v>9</v>
      </c>
      <c r="AV431" s="26" t="s">
        <v>9</v>
      </c>
      <c r="AW431" s="26" t="s">
        <v>9</v>
      </c>
      <c r="AX431" s="26" t="s">
        <v>9</v>
      </c>
      <c r="AY431" s="26" t="s">
        <v>9</v>
      </c>
      <c r="AZ431" s="26" t="s">
        <v>9</v>
      </c>
      <c r="BA431" s="23">
        <v>3</v>
      </c>
      <c r="BB431" s="24" t="s">
        <v>9</v>
      </c>
    </row>
    <row r="432" spans="1:54" x14ac:dyDescent="0.2">
      <c r="A432" s="5">
        <v>3137</v>
      </c>
      <c r="B432" s="20" t="s">
        <v>9</v>
      </c>
      <c r="C432" s="27" t="s">
        <v>9</v>
      </c>
      <c r="D432" s="27" t="s">
        <v>9</v>
      </c>
      <c r="E432" s="27" t="s">
        <v>9</v>
      </c>
      <c r="F432" s="18" t="s">
        <v>9</v>
      </c>
      <c r="G432" s="27" t="s">
        <v>9</v>
      </c>
      <c r="H432" s="22" t="s">
        <v>8</v>
      </c>
      <c r="I432" s="22" t="s">
        <v>8</v>
      </c>
      <c r="J432" s="22" t="s">
        <v>8</v>
      </c>
      <c r="K432" s="22" t="s">
        <v>8</v>
      </c>
      <c r="L432" s="22" t="s">
        <v>8</v>
      </c>
      <c r="M432" s="22" t="s">
        <v>8</v>
      </c>
      <c r="N432" s="22" t="s">
        <v>8</v>
      </c>
      <c r="O432" s="22" t="s">
        <v>8</v>
      </c>
      <c r="P432" s="22" t="s">
        <v>8</v>
      </c>
      <c r="Q432" s="22" t="s">
        <v>8</v>
      </c>
      <c r="R432" s="22" t="s">
        <v>8</v>
      </c>
      <c r="S432" s="22" t="s">
        <v>8</v>
      </c>
      <c r="T432" s="20" t="s">
        <v>9</v>
      </c>
      <c r="U432" s="20" t="s">
        <v>9</v>
      </c>
      <c r="V432" s="20" t="s">
        <v>1</v>
      </c>
      <c r="W432" s="20">
        <v>5</v>
      </c>
      <c r="X432" s="20">
        <v>2</v>
      </c>
      <c r="Y432" s="20">
        <v>2</v>
      </c>
      <c r="Z432" s="24">
        <v>4</v>
      </c>
      <c r="AA432" s="20">
        <v>3</v>
      </c>
      <c r="AB432" s="15" t="s">
        <v>9</v>
      </c>
      <c r="AC432" s="15" t="s">
        <v>9</v>
      </c>
      <c r="AD432" s="15" t="s">
        <v>9</v>
      </c>
      <c r="AE432" s="15" t="s">
        <v>9</v>
      </c>
      <c r="AF432" s="20" t="s">
        <v>9</v>
      </c>
      <c r="AG432" s="20" t="s">
        <v>9</v>
      </c>
      <c r="AH432" s="20" t="s">
        <v>9</v>
      </c>
      <c r="AI432" s="23">
        <v>3</v>
      </c>
      <c r="AJ432" s="15" t="s">
        <v>9</v>
      </c>
      <c r="AK432" s="15" t="s">
        <v>9</v>
      </c>
      <c r="AL432" s="25" t="s">
        <v>9</v>
      </c>
      <c r="AM432" s="31">
        <v>3</v>
      </c>
      <c r="AN432" s="26" t="s">
        <v>9</v>
      </c>
      <c r="AO432" s="26" t="s">
        <v>9</v>
      </c>
      <c r="AP432" s="26" t="s">
        <v>9</v>
      </c>
      <c r="AQ432" s="26" t="s">
        <v>9</v>
      </c>
      <c r="AR432" s="26" t="s">
        <v>9</v>
      </c>
      <c r="AS432" s="26" t="s">
        <v>9</v>
      </c>
      <c r="AT432" s="26" t="s">
        <v>9</v>
      </c>
      <c r="AU432" s="26" t="s">
        <v>9</v>
      </c>
      <c r="AV432" s="26" t="s">
        <v>9</v>
      </c>
      <c r="AW432" s="26" t="s">
        <v>9</v>
      </c>
      <c r="AX432" s="26" t="s">
        <v>9</v>
      </c>
      <c r="AY432" s="26" t="s">
        <v>9</v>
      </c>
      <c r="AZ432" s="26" t="s">
        <v>9</v>
      </c>
      <c r="BA432" s="23">
        <v>3</v>
      </c>
      <c r="BB432" s="24" t="s">
        <v>9</v>
      </c>
    </row>
    <row r="433" spans="1:54" x14ac:dyDescent="0.2">
      <c r="A433" s="5">
        <v>3212</v>
      </c>
      <c r="B433" s="20" t="s">
        <v>9</v>
      </c>
      <c r="C433" s="27" t="s">
        <v>9</v>
      </c>
      <c r="D433" s="27" t="s">
        <v>9</v>
      </c>
      <c r="E433" s="27" t="s">
        <v>9</v>
      </c>
      <c r="F433" s="18" t="s">
        <v>9</v>
      </c>
      <c r="G433" s="27" t="s">
        <v>9</v>
      </c>
      <c r="H433" s="22" t="s">
        <v>8</v>
      </c>
      <c r="I433" s="22" t="s">
        <v>8</v>
      </c>
      <c r="J433" s="22" t="s">
        <v>8</v>
      </c>
      <c r="K433" s="22" t="s">
        <v>8</v>
      </c>
      <c r="L433" s="22" t="s">
        <v>8</v>
      </c>
      <c r="M433" s="22" t="s">
        <v>8</v>
      </c>
      <c r="N433" s="22" t="s">
        <v>8</v>
      </c>
      <c r="O433" s="22" t="s">
        <v>8</v>
      </c>
      <c r="P433" s="22" t="s">
        <v>8</v>
      </c>
      <c r="Q433" s="22" t="s">
        <v>8</v>
      </c>
      <c r="R433" s="22" t="s">
        <v>8</v>
      </c>
      <c r="S433" s="22" t="s">
        <v>8</v>
      </c>
      <c r="T433" s="20" t="s">
        <v>9</v>
      </c>
      <c r="U433" s="20" t="s">
        <v>9</v>
      </c>
      <c r="V433" s="20" t="s">
        <v>1</v>
      </c>
      <c r="W433" s="20">
        <v>5</v>
      </c>
      <c r="X433" s="20">
        <v>2</v>
      </c>
      <c r="Y433" s="20">
        <v>2</v>
      </c>
      <c r="Z433" s="24">
        <v>4</v>
      </c>
      <c r="AA433" s="20">
        <v>3</v>
      </c>
      <c r="AB433" s="15" t="s">
        <v>9</v>
      </c>
      <c r="AC433" s="15" t="s">
        <v>9</v>
      </c>
      <c r="AD433" s="15" t="s">
        <v>9</v>
      </c>
      <c r="AE433" s="15" t="s">
        <v>9</v>
      </c>
      <c r="AF433" s="20" t="s">
        <v>9</v>
      </c>
      <c r="AG433" s="20" t="s">
        <v>9</v>
      </c>
      <c r="AH433" s="20" t="s">
        <v>9</v>
      </c>
      <c r="AI433" s="23">
        <v>3</v>
      </c>
      <c r="AJ433" s="15" t="s">
        <v>9</v>
      </c>
      <c r="AK433" s="15" t="s">
        <v>9</v>
      </c>
      <c r="AL433" s="25" t="s">
        <v>9</v>
      </c>
      <c r="AM433" s="31">
        <v>3</v>
      </c>
      <c r="AN433" s="26" t="s">
        <v>9</v>
      </c>
      <c r="AO433" s="26" t="s">
        <v>9</v>
      </c>
      <c r="AP433" s="26" t="s">
        <v>9</v>
      </c>
      <c r="AQ433" s="26" t="s">
        <v>9</v>
      </c>
      <c r="AR433" s="26" t="s">
        <v>9</v>
      </c>
      <c r="AS433" s="26" t="s">
        <v>9</v>
      </c>
      <c r="AT433" s="26" t="s">
        <v>9</v>
      </c>
      <c r="AU433" s="26" t="s">
        <v>9</v>
      </c>
      <c r="AV433" s="26" t="s">
        <v>9</v>
      </c>
      <c r="AW433" s="26" t="s">
        <v>9</v>
      </c>
      <c r="AX433" s="26" t="s">
        <v>9</v>
      </c>
      <c r="AY433" s="26" t="s">
        <v>9</v>
      </c>
      <c r="AZ433" s="26" t="s">
        <v>9</v>
      </c>
      <c r="BA433" s="23">
        <v>3</v>
      </c>
      <c r="BB433" s="24" t="s">
        <v>9</v>
      </c>
    </row>
    <row r="434" spans="1:54" x14ac:dyDescent="0.2">
      <c r="A434" s="5">
        <v>3331</v>
      </c>
      <c r="B434" s="20" t="s">
        <v>9</v>
      </c>
      <c r="C434" s="27" t="s">
        <v>9</v>
      </c>
      <c r="D434" s="27" t="s">
        <v>9</v>
      </c>
      <c r="E434" s="27" t="s">
        <v>9</v>
      </c>
      <c r="F434" s="18" t="s">
        <v>9</v>
      </c>
      <c r="G434" s="27" t="s">
        <v>9</v>
      </c>
      <c r="H434" s="22" t="s">
        <v>8</v>
      </c>
      <c r="I434" s="22" t="s">
        <v>8</v>
      </c>
      <c r="J434" s="22" t="s">
        <v>8</v>
      </c>
      <c r="K434" s="22" t="s">
        <v>8</v>
      </c>
      <c r="L434" s="22" t="s">
        <v>8</v>
      </c>
      <c r="M434" s="22" t="s">
        <v>8</v>
      </c>
      <c r="N434" s="22" t="s">
        <v>8</v>
      </c>
      <c r="O434" s="22" t="s">
        <v>8</v>
      </c>
      <c r="P434" s="22" t="s">
        <v>8</v>
      </c>
      <c r="Q434" s="22" t="s">
        <v>8</v>
      </c>
      <c r="R434" s="22" t="s">
        <v>8</v>
      </c>
      <c r="S434" s="22" t="s">
        <v>8</v>
      </c>
      <c r="T434" s="20" t="s">
        <v>9</v>
      </c>
      <c r="U434" s="20" t="s">
        <v>9</v>
      </c>
      <c r="V434" s="20" t="s">
        <v>1</v>
      </c>
      <c r="W434" s="20">
        <v>5</v>
      </c>
      <c r="X434" s="20">
        <v>2</v>
      </c>
      <c r="Y434" s="20">
        <v>2</v>
      </c>
      <c r="Z434" s="24">
        <v>4</v>
      </c>
      <c r="AA434" s="20">
        <v>3</v>
      </c>
      <c r="AB434" s="15" t="s">
        <v>9</v>
      </c>
      <c r="AC434" s="15" t="s">
        <v>9</v>
      </c>
      <c r="AD434" s="15" t="s">
        <v>9</v>
      </c>
      <c r="AE434" s="15" t="s">
        <v>9</v>
      </c>
      <c r="AF434" s="20" t="s">
        <v>9</v>
      </c>
      <c r="AG434" s="20" t="s">
        <v>9</v>
      </c>
      <c r="AH434" s="20" t="s">
        <v>9</v>
      </c>
      <c r="AI434" s="23">
        <v>3</v>
      </c>
      <c r="AJ434" s="15" t="s">
        <v>9</v>
      </c>
      <c r="AK434" s="15" t="s">
        <v>9</v>
      </c>
      <c r="AL434" s="25" t="s">
        <v>9</v>
      </c>
      <c r="AM434" s="31">
        <v>3</v>
      </c>
      <c r="AN434" s="26" t="s">
        <v>9</v>
      </c>
      <c r="AO434" s="26" t="s">
        <v>9</v>
      </c>
      <c r="AP434" s="26" t="s">
        <v>9</v>
      </c>
      <c r="AQ434" s="26" t="s">
        <v>9</v>
      </c>
      <c r="AR434" s="26" t="s">
        <v>9</v>
      </c>
      <c r="AS434" s="26" t="s">
        <v>9</v>
      </c>
      <c r="AT434" s="26" t="s">
        <v>9</v>
      </c>
      <c r="AU434" s="26" t="s">
        <v>9</v>
      </c>
      <c r="AV434" s="26" t="s">
        <v>9</v>
      </c>
      <c r="AW434" s="26" t="s">
        <v>9</v>
      </c>
      <c r="AX434" s="26" t="s">
        <v>9</v>
      </c>
      <c r="AY434" s="26" t="s">
        <v>9</v>
      </c>
      <c r="AZ434" s="26" t="s">
        <v>9</v>
      </c>
      <c r="BA434" s="23">
        <v>3</v>
      </c>
      <c r="BB434" s="24" t="s">
        <v>9</v>
      </c>
    </row>
    <row r="435" spans="1:54" x14ac:dyDescent="0.2">
      <c r="A435" s="5">
        <v>3344</v>
      </c>
      <c r="B435" s="20" t="s">
        <v>9</v>
      </c>
      <c r="C435" s="27" t="s">
        <v>9</v>
      </c>
      <c r="D435" s="27" t="s">
        <v>9</v>
      </c>
      <c r="E435" s="27" t="s">
        <v>9</v>
      </c>
      <c r="F435" s="18" t="s">
        <v>9</v>
      </c>
      <c r="G435" s="27" t="s">
        <v>9</v>
      </c>
      <c r="H435" s="22" t="s">
        <v>8</v>
      </c>
      <c r="I435" s="22" t="s">
        <v>8</v>
      </c>
      <c r="J435" s="22" t="s">
        <v>8</v>
      </c>
      <c r="K435" s="22" t="s">
        <v>8</v>
      </c>
      <c r="L435" s="22" t="s">
        <v>8</v>
      </c>
      <c r="M435" s="22" t="s">
        <v>8</v>
      </c>
      <c r="N435" s="22" t="s">
        <v>8</v>
      </c>
      <c r="O435" s="22" t="s">
        <v>8</v>
      </c>
      <c r="P435" s="22" t="s">
        <v>8</v>
      </c>
      <c r="Q435" s="22" t="s">
        <v>8</v>
      </c>
      <c r="R435" s="22" t="s">
        <v>8</v>
      </c>
      <c r="S435" s="22" t="s">
        <v>8</v>
      </c>
      <c r="T435" s="20" t="s">
        <v>9</v>
      </c>
      <c r="U435" s="20" t="s">
        <v>9</v>
      </c>
      <c r="V435" s="20" t="s">
        <v>1</v>
      </c>
      <c r="W435" s="20">
        <v>5</v>
      </c>
      <c r="X435" s="20">
        <v>2</v>
      </c>
      <c r="Y435" s="20">
        <v>2</v>
      </c>
      <c r="Z435" s="24">
        <v>4</v>
      </c>
      <c r="AA435" s="20">
        <v>3</v>
      </c>
      <c r="AB435" s="15" t="s">
        <v>9</v>
      </c>
      <c r="AC435" s="15" t="s">
        <v>9</v>
      </c>
      <c r="AD435" s="15" t="s">
        <v>9</v>
      </c>
      <c r="AE435" s="15" t="s">
        <v>9</v>
      </c>
      <c r="AF435" s="20" t="s">
        <v>9</v>
      </c>
      <c r="AG435" s="20" t="s">
        <v>9</v>
      </c>
      <c r="AH435" s="20" t="s">
        <v>9</v>
      </c>
      <c r="AI435" s="23">
        <v>3</v>
      </c>
      <c r="AJ435" s="15" t="s">
        <v>9</v>
      </c>
      <c r="AK435" s="15" t="s">
        <v>9</v>
      </c>
      <c r="AL435" s="25" t="s">
        <v>9</v>
      </c>
      <c r="AM435" s="31">
        <v>3</v>
      </c>
      <c r="AN435" s="26" t="s">
        <v>9</v>
      </c>
      <c r="AO435" s="26" t="s">
        <v>9</v>
      </c>
      <c r="AP435" s="26" t="s">
        <v>9</v>
      </c>
      <c r="AQ435" s="26" t="s">
        <v>9</v>
      </c>
      <c r="AR435" s="26" t="s">
        <v>9</v>
      </c>
      <c r="AS435" s="26" t="s">
        <v>9</v>
      </c>
      <c r="AT435" s="26" t="s">
        <v>9</v>
      </c>
      <c r="AU435" s="26" t="s">
        <v>9</v>
      </c>
      <c r="AV435" s="26" t="s">
        <v>9</v>
      </c>
      <c r="AW435" s="26" t="s">
        <v>9</v>
      </c>
      <c r="AX435" s="26" t="s">
        <v>9</v>
      </c>
      <c r="AY435" s="26" t="s">
        <v>9</v>
      </c>
      <c r="AZ435" s="26" t="s">
        <v>9</v>
      </c>
      <c r="BA435" s="23">
        <v>3</v>
      </c>
      <c r="BB435" s="24" t="s">
        <v>9</v>
      </c>
    </row>
    <row r="436" spans="1:54" x14ac:dyDescent="0.2">
      <c r="A436" s="5">
        <v>3350</v>
      </c>
      <c r="B436" s="20" t="s">
        <v>9</v>
      </c>
      <c r="C436" s="27" t="s">
        <v>9</v>
      </c>
      <c r="D436" s="27" t="s">
        <v>9</v>
      </c>
      <c r="E436" s="27" t="s">
        <v>9</v>
      </c>
      <c r="F436" s="18" t="s">
        <v>9</v>
      </c>
      <c r="G436" s="27" t="s">
        <v>9</v>
      </c>
      <c r="H436" s="22" t="s">
        <v>8</v>
      </c>
      <c r="I436" s="22" t="s">
        <v>8</v>
      </c>
      <c r="J436" s="22" t="s">
        <v>8</v>
      </c>
      <c r="K436" s="22" t="s">
        <v>8</v>
      </c>
      <c r="L436" s="22" t="s">
        <v>8</v>
      </c>
      <c r="M436" s="22" t="s">
        <v>8</v>
      </c>
      <c r="N436" s="22" t="s">
        <v>8</v>
      </c>
      <c r="O436" s="22" t="s">
        <v>8</v>
      </c>
      <c r="P436" s="22" t="s">
        <v>8</v>
      </c>
      <c r="Q436" s="22" t="s">
        <v>8</v>
      </c>
      <c r="R436" s="22" t="s">
        <v>8</v>
      </c>
      <c r="S436" s="22" t="s">
        <v>8</v>
      </c>
      <c r="T436" s="20" t="s">
        <v>9</v>
      </c>
      <c r="U436" s="20" t="s">
        <v>9</v>
      </c>
      <c r="V436" s="20" t="s">
        <v>1</v>
      </c>
      <c r="W436" s="20">
        <v>5</v>
      </c>
      <c r="X436" s="20">
        <v>2</v>
      </c>
      <c r="Y436" s="20">
        <v>2</v>
      </c>
      <c r="Z436" s="24">
        <v>4</v>
      </c>
      <c r="AA436" s="20">
        <v>3</v>
      </c>
      <c r="AB436" s="15" t="s">
        <v>9</v>
      </c>
      <c r="AC436" s="15" t="s">
        <v>9</v>
      </c>
      <c r="AD436" s="15" t="s">
        <v>9</v>
      </c>
      <c r="AE436" s="15" t="s">
        <v>9</v>
      </c>
      <c r="AF436" s="20" t="s">
        <v>9</v>
      </c>
      <c r="AG436" s="20" t="s">
        <v>9</v>
      </c>
      <c r="AH436" s="20" t="s">
        <v>9</v>
      </c>
      <c r="AI436" s="23">
        <v>3</v>
      </c>
      <c r="AJ436" s="15" t="s">
        <v>9</v>
      </c>
      <c r="AK436" s="15" t="s">
        <v>9</v>
      </c>
      <c r="AL436" s="25" t="s">
        <v>9</v>
      </c>
      <c r="AM436" s="31">
        <v>3</v>
      </c>
      <c r="AN436" s="26" t="s">
        <v>9</v>
      </c>
      <c r="AO436" s="26" t="s">
        <v>9</v>
      </c>
      <c r="AP436" s="26" t="s">
        <v>9</v>
      </c>
      <c r="AQ436" s="26" t="s">
        <v>9</v>
      </c>
      <c r="AR436" s="26" t="s">
        <v>9</v>
      </c>
      <c r="AS436" s="26" t="s">
        <v>9</v>
      </c>
      <c r="AT436" s="26" t="s">
        <v>9</v>
      </c>
      <c r="AU436" s="26" t="s">
        <v>9</v>
      </c>
      <c r="AV436" s="26" t="s">
        <v>9</v>
      </c>
      <c r="AW436" s="26" t="s">
        <v>9</v>
      </c>
      <c r="AX436" s="26" t="s">
        <v>9</v>
      </c>
      <c r="AY436" s="26" t="s">
        <v>9</v>
      </c>
      <c r="AZ436" s="26" t="s">
        <v>9</v>
      </c>
      <c r="BA436" s="23">
        <v>3</v>
      </c>
      <c r="BB436" s="24" t="s">
        <v>9</v>
      </c>
    </row>
    <row r="437" spans="1:54" x14ac:dyDescent="0.2">
      <c r="A437" s="5">
        <v>3377</v>
      </c>
      <c r="B437" s="20" t="s">
        <v>9</v>
      </c>
      <c r="C437" s="27" t="s">
        <v>9</v>
      </c>
      <c r="D437" s="27" t="s">
        <v>9</v>
      </c>
      <c r="E437" s="27" t="s">
        <v>9</v>
      </c>
      <c r="F437" s="18" t="s">
        <v>9</v>
      </c>
      <c r="G437" s="27" t="s">
        <v>9</v>
      </c>
      <c r="H437" s="22" t="s">
        <v>8</v>
      </c>
      <c r="I437" s="22" t="s">
        <v>8</v>
      </c>
      <c r="J437" s="22" t="s">
        <v>8</v>
      </c>
      <c r="K437" s="22" t="s">
        <v>8</v>
      </c>
      <c r="L437" s="22" t="s">
        <v>8</v>
      </c>
      <c r="M437" s="22" t="s">
        <v>8</v>
      </c>
      <c r="N437" s="22" t="s">
        <v>8</v>
      </c>
      <c r="O437" s="22" t="s">
        <v>8</v>
      </c>
      <c r="P437" s="22" t="s">
        <v>8</v>
      </c>
      <c r="Q437" s="22" t="s">
        <v>8</v>
      </c>
      <c r="R437" s="22" t="s">
        <v>8</v>
      </c>
      <c r="S437" s="22" t="s">
        <v>8</v>
      </c>
      <c r="T437" s="20" t="s">
        <v>9</v>
      </c>
      <c r="U437" s="20" t="s">
        <v>9</v>
      </c>
      <c r="V437" s="20" t="s">
        <v>1</v>
      </c>
      <c r="W437" s="20">
        <v>5</v>
      </c>
      <c r="X437" s="20">
        <v>2</v>
      </c>
      <c r="Y437" s="20">
        <v>2</v>
      </c>
      <c r="Z437" s="24">
        <v>4</v>
      </c>
      <c r="AA437" s="20">
        <v>3</v>
      </c>
      <c r="AB437" s="15" t="s">
        <v>9</v>
      </c>
      <c r="AC437" s="15" t="s">
        <v>9</v>
      </c>
      <c r="AD437" s="15" t="s">
        <v>9</v>
      </c>
      <c r="AE437" s="15" t="s">
        <v>9</v>
      </c>
      <c r="AF437" s="20" t="s">
        <v>9</v>
      </c>
      <c r="AG437" s="20" t="s">
        <v>9</v>
      </c>
      <c r="AH437" s="20" t="s">
        <v>9</v>
      </c>
      <c r="AI437" s="23">
        <v>3</v>
      </c>
      <c r="AJ437" s="15" t="s">
        <v>9</v>
      </c>
      <c r="AK437" s="15" t="s">
        <v>9</v>
      </c>
      <c r="AL437" s="25" t="s">
        <v>9</v>
      </c>
      <c r="AM437" s="31">
        <v>3</v>
      </c>
      <c r="AN437" s="26" t="s">
        <v>9</v>
      </c>
      <c r="AO437" s="26" t="s">
        <v>9</v>
      </c>
      <c r="AP437" s="26" t="s">
        <v>9</v>
      </c>
      <c r="AQ437" s="26" t="s">
        <v>9</v>
      </c>
      <c r="AR437" s="26" t="s">
        <v>9</v>
      </c>
      <c r="AS437" s="26" t="s">
        <v>9</v>
      </c>
      <c r="AT437" s="26" t="s">
        <v>9</v>
      </c>
      <c r="AU437" s="26" t="s">
        <v>9</v>
      </c>
      <c r="AV437" s="26" t="s">
        <v>9</v>
      </c>
      <c r="AW437" s="26" t="s">
        <v>9</v>
      </c>
      <c r="AX437" s="26" t="s">
        <v>9</v>
      </c>
      <c r="AY437" s="26" t="s">
        <v>9</v>
      </c>
      <c r="AZ437" s="26" t="s">
        <v>9</v>
      </c>
      <c r="BA437" s="23">
        <v>3</v>
      </c>
      <c r="BB437" s="24" t="s">
        <v>9</v>
      </c>
    </row>
    <row r="438" spans="1:54" x14ac:dyDescent="0.2">
      <c r="A438" s="5">
        <v>3392</v>
      </c>
      <c r="B438" s="20" t="s">
        <v>9</v>
      </c>
      <c r="C438" s="27" t="s">
        <v>9</v>
      </c>
      <c r="D438" s="27" t="s">
        <v>9</v>
      </c>
      <c r="E438" s="27" t="s">
        <v>9</v>
      </c>
      <c r="F438" s="18" t="s">
        <v>9</v>
      </c>
      <c r="G438" s="27" t="s">
        <v>9</v>
      </c>
      <c r="H438" s="22" t="s">
        <v>8</v>
      </c>
      <c r="I438" s="22" t="s">
        <v>8</v>
      </c>
      <c r="J438" s="22" t="s">
        <v>8</v>
      </c>
      <c r="K438" s="22" t="s">
        <v>8</v>
      </c>
      <c r="L438" s="22" t="s">
        <v>8</v>
      </c>
      <c r="M438" s="22" t="s">
        <v>8</v>
      </c>
      <c r="N438" s="22" t="s">
        <v>8</v>
      </c>
      <c r="O438" s="22" t="s">
        <v>8</v>
      </c>
      <c r="P438" s="22" t="s">
        <v>8</v>
      </c>
      <c r="Q438" s="22" t="s">
        <v>8</v>
      </c>
      <c r="R438" s="22" t="s">
        <v>8</v>
      </c>
      <c r="S438" s="22" t="s">
        <v>8</v>
      </c>
      <c r="T438" s="20" t="s">
        <v>9</v>
      </c>
      <c r="U438" s="20" t="s">
        <v>9</v>
      </c>
      <c r="V438" s="20" t="s">
        <v>1</v>
      </c>
      <c r="W438" s="20">
        <v>5</v>
      </c>
      <c r="X438" s="20">
        <v>2</v>
      </c>
      <c r="Y438" s="20">
        <v>2</v>
      </c>
      <c r="Z438" s="24">
        <v>4</v>
      </c>
      <c r="AA438" s="20">
        <v>3</v>
      </c>
      <c r="AB438" s="15" t="s">
        <v>9</v>
      </c>
      <c r="AC438" s="15" t="s">
        <v>9</v>
      </c>
      <c r="AD438" s="15" t="s">
        <v>9</v>
      </c>
      <c r="AE438" s="15" t="s">
        <v>9</v>
      </c>
      <c r="AF438" s="20" t="s">
        <v>9</v>
      </c>
      <c r="AG438" s="20" t="s">
        <v>9</v>
      </c>
      <c r="AH438" s="20" t="s">
        <v>9</v>
      </c>
      <c r="AI438" s="23">
        <v>3</v>
      </c>
      <c r="AJ438" s="15" t="s">
        <v>9</v>
      </c>
      <c r="AK438" s="15" t="s">
        <v>9</v>
      </c>
      <c r="AL438" s="25" t="s">
        <v>9</v>
      </c>
      <c r="AM438" s="31">
        <v>3</v>
      </c>
      <c r="AN438" s="26" t="s">
        <v>9</v>
      </c>
      <c r="AO438" s="26" t="s">
        <v>9</v>
      </c>
      <c r="AP438" s="26" t="s">
        <v>9</v>
      </c>
      <c r="AQ438" s="26" t="s">
        <v>9</v>
      </c>
      <c r="AR438" s="26" t="s">
        <v>9</v>
      </c>
      <c r="AS438" s="26" t="s">
        <v>9</v>
      </c>
      <c r="AT438" s="26" t="s">
        <v>9</v>
      </c>
      <c r="AU438" s="26" t="s">
        <v>9</v>
      </c>
      <c r="AV438" s="26" t="s">
        <v>9</v>
      </c>
      <c r="AW438" s="26" t="s">
        <v>9</v>
      </c>
      <c r="AX438" s="26" t="s">
        <v>9</v>
      </c>
      <c r="AY438" s="26" t="s">
        <v>9</v>
      </c>
      <c r="AZ438" s="26" t="s">
        <v>9</v>
      </c>
      <c r="BA438" s="23">
        <v>3</v>
      </c>
      <c r="BB438" s="24" t="s">
        <v>9</v>
      </c>
    </row>
    <row r="439" spans="1:54" x14ac:dyDescent="0.2">
      <c r="A439" s="5">
        <v>3406</v>
      </c>
      <c r="B439" s="20" t="s">
        <v>9</v>
      </c>
      <c r="C439" s="27" t="s">
        <v>9</v>
      </c>
      <c r="D439" s="27" t="s">
        <v>9</v>
      </c>
      <c r="E439" s="27" t="s">
        <v>9</v>
      </c>
      <c r="F439" s="18" t="s">
        <v>9</v>
      </c>
      <c r="G439" s="27" t="s">
        <v>9</v>
      </c>
      <c r="H439" s="22" t="s">
        <v>8</v>
      </c>
      <c r="I439" s="22" t="s">
        <v>8</v>
      </c>
      <c r="J439" s="22" t="s">
        <v>8</v>
      </c>
      <c r="K439" s="22" t="s">
        <v>8</v>
      </c>
      <c r="L439" s="22" t="s">
        <v>8</v>
      </c>
      <c r="M439" s="22" t="s">
        <v>8</v>
      </c>
      <c r="N439" s="22" t="s">
        <v>8</v>
      </c>
      <c r="O439" s="22" t="s">
        <v>8</v>
      </c>
      <c r="P439" s="22" t="s">
        <v>8</v>
      </c>
      <c r="Q439" s="22" t="s">
        <v>8</v>
      </c>
      <c r="R439" s="22" t="s">
        <v>8</v>
      </c>
      <c r="S439" s="22" t="s">
        <v>8</v>
      </c>
      <c r="T439" s="20" t="s">
        <v>9</v>
      </c>
      <c r="U439" s="20" t="s">
        <v>9</v>
      </c>
      <c r="V439" s="20" t="s">
        <v>1</v>
      </c>
      <c r="W439" s="20">
        <v>5</v>
      </c>
      <c r="X439" s="20">
        <v>2</v>
      </c>
      <c r="Y439" s="20">
        <v>2</v>
      </c>
      <c r="Z439" s="24">
        <v>4</v>
      </c>
      <c r="AA439" s="20">
        <v>3</v>
      </c>
      <c r="AB439" s="15" t="s">
        <v>9</v>
      </c>
      <c r="AC439" s="15" t="s">
        <v>9</v>
      </c>
      <c r="AD439" s="15" t="s">
        <v>9</v>
      </c>
      <c r="AE439" s="15" t="s">
        <v>9</v>
      </c>
      <c r="AF439" s="20" t="s">
        <v>9</v>
      </c>
      <c r="AG439" s="20" t="s">
        <v>9</v>
      </c>
      <c r="AH439" s="20" t="s">
        <v>9</v>
      </c>
      <c r="AI439" s="23">
        <v>3</v>
      </c>
      <c r="AJ439" s="15" t="s">
        <v>9</v>
      </c>
      <c r="AK439" s="15" t="s">
        <v>9</v>
      </c>
      <c r="AL439" s="25" t="s">
        <v>9</v>
      </c>
      <c r="AM439" s="31">
        <v>3</v>
      </c>
      <c r="AN439" s="26" t="s">
        <v>9</v>
      </c>
      <c r="AO439" s="26" t="s">
        <v>9</v>
      </c>
      <c r="AP439" s="26" t="s">
        <v>9</v>
      </c>
      <c r="AQ439" s="26" t="s">
        <v>9</v>
      </c>
      <c r="AR439" s="26" t="s">
        <v>9</v>
      </c>
      <c r="AS439" s="26" t="s">
        <v>9</v>
      </c>
      <c r="AT439" s="26" t="s">
        <v>9</v>
      </c>
      <c r="AU439" s="26" t="s">
        <v>9</v>
      </c>
      <c r="AV439" s="26" t="s">
        <v>9</v>
      </c>
      <c r="AW439" s="26" t="s">
        <v>9</v>
      </c>
      <c r="AX439" s="26" t="s">
        <v>9</v>
      </c>
      <c r="AY439" s="26" t="s">
        <v>9</v>
      </c>
      <c r="AZ439" s="26" t="s">
        <v>9</v>
      </c>
      <c r="BA439" s="23">
        <v>3</v>
      </c>
      <c r="BB439" s="24" t="s">
        <v>9</v>
      </c>
    </row>
    <row r="440" spans="1:54" x14ac:dyDescent="0.2">
      <c r="A440" s="5">
        <v>3446</v>
      </c>
      <c r="B440" s="20" t="s">
        <v>9</v>
      </c>
      <c r="C440" s="27" t="s">
        <v>9</v>
      </c>
      <c r="D440" s="27" t="s">
        <v>9</v>
      </c>
      <c r="E440" s="27" t="s">
        <v>9</v>
      </c>
      <c r="F440" s="18" t="s">
        <v>9</v>
      </c>
      <c r="G440" s="27" t="s">
        <v>9</v>
      </c>
      <c r="H440" s="22" t="s">
        <v>8</v>
      </c>
      <c r="I440" s="22" t="s">
        <v>8</v>
      </c>
      <c r="J440" s="22" t="s">
        <v>8</v>
      </c>
      <c r="K440" s="22" t="s">
        <v>8</v>
      </c>
      <c r="L440" s="22" t="s">
        <v>8</v>
      </c>
      <c r="M440" s="22" t="s">
        <v>8</v>
      </c>
      <c r="N440" s="22" t="s">
        <v>8</v>
      </c>
      <c r="O440" s="22" t="s">
        <v>8</v>
      </c>
      <c r="P440" s="22" t="s">
        <v>8</v>
      </c>
      <c r="Q440" s="22" t="s">
        <v>8</v>
      </c>
      <c r="R440" s="22" t="s">
        <v>8</v>
      </c>
      <c r="S440" s="22" t="s">
        <v>8</v>
      </c>
      <c r="T440" s="20" t="s">
        <v>9</v>
      </c>
      <c r="U440" s="20" t="s">
        <v>9</v>
      </c>
      <c r="V440" s="20" t="s">
        <v>1</v>
      </c>
      <c r="W440" s="20">
        <v>5</v>
      </c>
      <c r="X440" s="20">
        <v>2</v>
      </c>
      <c r="Y440" s="20">
        <v>2</v>
      </c>
      <c r="Z440" s="24">
        <v>4</v>
      </c>
      <c r="AA440" s="20">
        <v>3</v>
      </c>
      <c r="AB440" s="15" t="s">
        <v>9</v>
      </c>
      <c r="AC440" s="15" t="s">
        <v>9</v>
      </c>
      <c r="AD440" s="15" t="s">
        <v>9</v>
      </c>
      <c r="AE440" s="15" t="s">
        <v>9</v>
      </c>
      <c r="AF440" s="20" t="s">
        <v>9</v>
      </c>
      <c r="AG440" s="20" t="s">
        <v>9</v>
      </c>
      <c r="AH440" s="20" t="s">
        <v>9</v>
      </c>
      <c r="AI440" s="23">
        <v>3</v>
      </c>
      <c r="AJ440" s="15" t="s">
        <v>9</v>
      </c>
      <c r="AK440" s="15" t="s">
        <v>9</v>
      </c>
      <c r="AL440" s="25" t="s">
        <v>9</v>
      </c>
      <c r="AM440" s="31">
        <v>3</v>
      </c>
      <c r="AN440" s="26" t="s">
        <v>9</v>
      </c>
      <c r="AO440" s="26" t="s">
        <v>9</v>
      </c>
      <c r="AP440" s="26" t="s">
        <v>9</v>
      </c>
      <c r="AQ440" s="26" t="s">
        <v>9</v>
      </c>
      <c r="AR440" s="26" t="s">
        <v>9</v>
      </c>
      <c r="AS440" s="26" t="s">
        <v>9</v>
      </c>
      <c r="AT440" s="26" t="s">
        <v>9</v>
      </c>
      <c r="AU440" s="26" t="s">
        <v>9</v>
      </c>
      <c r="AV440" s="26" t="s">
        <v>9</v>
      </c>
      <c r="AW440" s="26" t="s">
        <v>9</v>
      </c>
      <c r="AX440" s="26" t="s">
        <v>9</v>
      </c>
      <c r="AY440" s="26" t="s">
        <v>9</v>
      </c>
      <c r="AZ440" s="26" t="s">
        <v>9</v>
      </c>
      <c r="BA440" s="23">
        <v>3</v>
      </c>
      <c r="BB440" s="24" t="s">
        <v>9</v>
      </c>
    </row>
    <row r="441" spans="1:54" x14ac:dyDescent="0.2">
      <c r="A441" s="5">
        <v>3462</v>
      </c>
      <c r="B441" s="20" t="s">
        <v>9</v>
      </c>
      <c r="C441" s="27" t="s">
        <v>9</v>
      </c>
      <c r="D441" s="27" t="s">
        <v>9</v>
      </c>
      <c r="E441" s="27" t="s">
        <v>9</v>
      </c>
      <c r="F441" s="18" t="s">
        <v>9</v>
      </c>
      <c r="G441" s="27" t="s">
        <v>9</v>
      </c>
      <c r="H441" s="22" t="s">
        <v>8</v>
      </c>
      <c r="I441" s="22" t="s">
        <v>8</v>
      </c>
      <c r="J441" s="22" t="s">
        <v>8</v>
      </c>
      <c r="K441" s="22" t="s">
        <v>8</v>
      </c>
      <c r="L441" s="22" t="s">
        <v>8</v>
      </c>
      <c r="M441" s="22" t="s">
        <v>8</v>
      </c>
      <c r="N441" s="22" t="s">
        <v>8</v>
      </c>
      <c r="O441" s="22" t="s">
        <v>8</v>
      </c>
      <c r="P441" s="22" t="s">
        <v>8</v>
      </c>
      <c r="Q441" s="22" t="s">
        <v>8</v>
      </c>
      <c r="R441" s="22" t="s">
        <v>8</v>
      </c>
      <c r="S441" s="22" t="s">
        <v>8</v>
      </c>
      <c r="T441" s="20" t="s">
        <v>9</v>
      </c>
      <c r="U441" s="20" t="s">
        <v>9</v>
      </c>
      <c r="V441" s="20" t="s">
        <v>1</v>
      </c>
      <c r="W441" s="20">
        <v>5</v>
      </c>
      <c r="X441" s="20">
        <v>2</v>
      </c>
      <c r="Y441" s="20">
        <v>2</v>
      </c>
      <c r="Z441" s="24">
        <v>4</v>
      </c>
      <c r="AA441" s="20">
        <v>3</v>
      </c>
      <c r="AB441" s="15" t="s">
        <v>9</v>
      </c>
      <c r="AC441" s="15" t="s">
        <v>9</v>
      </c>
      <c r="AD441" s="15" t="s">
        <v>9</v>
      </c>
      <c r="AE441" s="15" t="s">
        <v>9</v>
      </c>
      <c r="AF441" s="20" t="s">
        <v>9</v>
      </c>
      <c r="AG441" s="20" t="s">
        <v>9</v>
      </c>
      <c r="AH441" s="20" t="s">
        <v>9</v>
      </c>
      <c r="AI441" s="23">
        <v>3</v>
      </c>
      <c r="AJ441" s="15" t="s">
        <v>9</v>
      </c>
      <c r="AK441" s="15" t="s">
        <v>9</v>
      </c>
      <c r="AL441" s="25" t="s">
        <v>9</v>
      </c>
      <c r="AM441" s="31">
        <v>3</v>
      </c>
      <c r="AN441" s="26" t="s">
        <v>9</v>
      </c>
      <c r="AO441" s="26" t="s">
        <v>9</v>
      </c>
      <c r="AP441" s="26" t="s">
        <v>9</v>
      </c>
      <c r="AQ441" s="26" t="s">
        <v>9</v>
      </c>
      <c r="AR441" s="26" t="s">
        <v>9</v>
      </c>
      <c r="AS441" s="26" t="s">
        <v>9</v>
      </c>
      <c r="AT441" s="26" t="s">
        <v>9</v>
      </c>
      <c r="AU441" s="26" t="s">
        <v>9</v>
      </c>
      <c r="AV441" s="26" t="s">
        <v>9</v>
      </c>
      <c r="AW441" s="26" t="s">
        <v>9</v>
      </c>
      <c r="AX441" s="26" t="s">
        <v>9</v>
      </c>
      <c r="AY441" s="26" t="s">
        <v>9</v>
      </c>
      <c r="AZ441" s="26" t="s">
        <v>9</v>
      </c>
      <c r="BA441" s="23">
        <v>3</v>
      </c>
      <c r="BB441" s="24" t="s">
        <v>9</v>
      </c>
    </row>
    <row r="442" spans="1:54" x14ac:dyDescent="0.2">
      <c r="A442" s="5">
        <v>3737</v>
      </c>
      <c r="B442" s="20" t="s">
        <v>9</v>
      </c>
      <c r="C442" s="27" t="s">
        <v>9</v>
      </c>
      <c r="D442" s="27" t="s">
        <v>9</v>
      </c>
      <c r="E442" s="27" t="s">
        <v>9</v>
      </c>
      <c r="F442" s="18" t="s">
        <v>9</v>
      </c>
      <c r="G442" s="27" t="s">
        <v>9</v>
      </c>
      <c r="H442" s="22" t="s">
        <v>8</v>
      </c>
      <c r="I442" s="22" t="s">
        <v>8</v>
      </c>
      <c r="J442" s="22" t="s">
        <v>8</v>
      </c>
      <c r="K442" s="22" t="s">
        <v>8</v>
      </c>
      <c r="L442" s="22" t="s">
        <v>8</v>
      </c>
      <c r="M442" s="22" t="s">
        <v>8</v>
      </c>
      <c r="N442" s="22" t="s">
        <v>8</v>
      </c>
      <c r="O442" s="22" t="s">
        <v>8</v>
      </c>
      <c r="P442" s="22" t="s">
        <v>8</v>
      </c>
      <c r="Q442" s="22" t="s">
        <v>8</v>
      </c>
      <c r="R442" s="22" t="s">
        <v>8</v>
      </c>
      <c r="S442" s="22" t="s">
        <v>8</v>
      </c>
      <c r="T442" s="20" t="s">
        <v>9</v>
      </c>
      <c r="U442" s="20" t="s">
        <v>9</v>
      </c>
      <c r="V442" s="20" t="s">
        <v>1</v>
      </c>
      <c r="W442" s="20">
        <v>5</v>
      </c>
      <c r="X442" s="20">
        <v>2</v>
      </c>
      <c r="Y442" s="20">
        <v>2</v>
      </c>
      <c r="Z442" s="24">
        <v>4</v>
      </c>
      <c r="AA442" s="20">
        <v>3</v>
      </c>
      <c r="AB442" s="15" t="s">
        <v>9</v>
      </c>
      <c r="AC442" s="15" t="s">
        <v>9</v>
      </c>
      <c r="AD442" s="15" t="s">
        <v>9</v>
      </c>
      <c r="AE442" s="15" t="s">
        <v>9</v>
      </c>
      <c r="AF442" s="20" t="s">
        <v>9</v>
      </c>
      <c r="AG442" s="20" t="s">
        <v>9</v>
      </c>
      <c r="AH442" s="20" t="s">
        <v>9</v>
      </c>
      <c r="AI442" s="23">
        <v>3</v>
      </c>
      <c r="AJ442" s="15" t="s">
        <v>9</v>
      </c>
      <c r="AK442" s="15" t="s">
        <v>9</v>
      </c>
      <c r="AL442" s="25" t="s">
        <v>9</v>
      </c>
      <c r="AM442" s="31">
        <v>3</v>
      </c>
      <c r="AN442" s="26" t="s">
        <v>9</v>
      </c>
      <c r="AO442" s="26" t="s">
        <v>9</v>
      </c>
      <c r="AP442" s="26" t="s">
        <v>9</v>
      </c>
      <c r="AQ442" s="26" t="s">
        <v>9</v>
      </c>
      <c r="AR442" s="26" t="s">
        <v>9</v>
      </c>
      <c r="AS442" s="26" t="s">
        <v>9</v>
      </c>
      <c r="AT442" s="26" t="s">
        <v>9</v>
      </c>
      <c r="AU442" s="26" t="s">
        <v>9</v>
      </c>
      <c r="AV442" s="26" t="s">
        <v>9</v>
      </c>
      <c r="AW442" s="26" t="s">
        <v>9</v>
      </c>
      <c r="AX442" s="26" t="s">
        <v>9</v>
      </c>
      <c r="AY442" s="26" t="s">
        <v>9</v>
      </c>
      <c r="AZ442" s="26" t="s">
        <v>9</v>
      </c>
      <c r="BA442" s="23">
        <v>3</v>
      </c>
      <c r="BB442" s="24" t="s">
        <v>9</v>
      </c>
    </row>
    <row r="443" spans="1:54" x14ac:dyDescent="0.2">
      <c r="A443" s="5">
        <v>3799</v>
      </c>
      <c r="B443" s="20" t="s">
        <v>9</v>
      </c>
      <c r="C443" s="27" t="s">
        <v>9</v>
      </c>
      <c r="D443" s="27" t="s">
        <v>9</v>
      </c>
      <c r="E443" s="27" t="s">
        <v>9</v>
      </c>
      <c r="F443" s="18" t="s">
        <v>9</v>
      </c>
      <c r="G443" s="27" t="s">
        <v>9</v>
      </c>
      <c r="H443" s="22" t="s">
        <v>8</v>
      </c>
      <c r="I443" s="22" t="s">
        <v>8</v>
      </c>
      <c r="J443" s="22" t="s">
        <v>8</v>
      </c>
      <c r="K443" s="22" t="s">
        <v>8</v>
      </c>
      <c r="L443" s="22" t="s">
        <v>8</v>
      </c>
      <c r="M443" s="22" t="s">
        <v>8</v>
      </c>
      <c r="N443" s="22" t="s">
        <v>8</v>
      </c>
      <c r="O443" s="22" t="s">
        <v>8</v>
      </c>
      <c r="P443" s="22" t="s">
        <v>8</v>
      </c>
      <c r="Q443" s="22" t="s">
        <v>8</v>
      </c>
      <c r="R443" s="22" t="s">
        <v>8</v>
      </c>
      <c r="S443" s="22" t="s">
        <v>8</v>
      </c>
      <c r="T443" s="20" t="s">
        <v>9</v>
      </c>
      <c r="U443" s="20" t="s">
        <v>9</v>
      </c>
      <c r="V443" s="20" t="s">
        <v>1</v>
      </c>
      <c r="W443" s="20">
        <v>5</v>
      </c>
      <c r="X443" s="20">
        <v>2</v>
      </c>
      <c r="Y443" s="20">
        <v>2</v>
      </c>
      <c r="Z443" s="24">
        <v>4</v>
      </c>
      <c r="AA443" s="20">
        <v>3</v>
      </c>
      <c r="AB443" s="15" t="s">
        <v>9</v>
      </c>
      <c r="AC443" s="15" t="s">
        <v>9</v>
      </c>
      <c r="AD443" s="15" t="s">
        <v>9</v>
      </c>
      <c r="AE443" s="15" t="s">
        <v>9</v>
      </c>
      <c r="AF443" s="20" t="s">
        <v>9</v>
      </c>
      <c r="AG443" s="20" t="s">
        <v>9</v>
      </c>
      <c r="AH443" s="20" t="s">
        <v>9</v>
      </c>
      <c r="AI443" s="23">
        <v>3</v>
      </c>
      <c r="AJ443" s="15" t="s">
        <v>9</v>
      </c>
      <c r="AK443" s="15" t="s">
        <v>9</v>
      </c>
      <c r="AL443" s="25" t="s">
        <v>9</v>
      </c>
      <c r="AM443" s="31">
        <v>3</v>
      </c>
      <c r="AN443" s="26" t="s">
        <v>9</v>
      </c>
      <c r="AO443" s="26" t="s">
        <v>9</v>
      </c>
      <c r="AP443" s="26" t="s">
        <v>9</v>
      </c>
      <c r="AQ443" s="26" t="s">
        <v>9</v>
      </c>
      <c r="AR443" s="26" t="s">
        <v>9</v>
      </c>
      <c r="AS443" s="26" t="s">
        <v>9</v>
      </c>
      <c r="AT443" s="26" t="s">
        <v>9</v>
      </c>
      <c r="AU443" s="26" t="s">
        <v>9</v>
      </c>
      <c r="AV443" s="26" t="s">
        <v>9</v>
      </c>
      <c r="AW443" s="26" t="s">
        <v>9</v>
      </c>
      <c r="AX443" s="26" t="s">
        <v>9</v>
      </c>
      <c r="AY443" s="26" t="s">
        <v>9</v>
      </c>
      <c r="AZ443" s="26" t="s">
        <v>9</v>
      </c>
      <c r="BA443" s="23">
        <v>3</v>
      </c>
      <c r="BB443" s="24" t="s">
        <v>9</v>
      </c>
    </row>
    <row r="444" spans="1:54" x14ac:dyDescent="0.2">
      <c r="A444" s="5">
        <v>3841</v>
      </c>
      <c r="B444" s="20" t="s">
        <v>9</v>
      </c>
      <c r="C444" s="27" t="s">
        <v>9</v>
      </c>
      <c r="D444" s="27" t="s">
        <v>9</v>
      </c>
      <c r="E444" s="27" t="s">
        <v>9</v>
      </c>
      <c r="F444" s="18" t="s">
        <v>9</v>
      </c>
      <c r="G444" s="27" t="s">
        <v>9</v>
      </c>
      <c r="H444" s="22" t="s">
        <v>8</v>
      </c>
      <c r="I444" s="22" t="s">
        <v>8</v>
      </c>
      <c r="J444" s="22" t="s">
        <v>8</v>
      </c>
      <c r="K444" s="22" t="s">
        <v>8</v>
      </c>
      <c r="L444" s="22" t="s">
        <v>8</v>
      </c>
      <c r="M444" s="22" t="s">
        <v>8</v>
      </c>
      <c r="N444" s="22" t="s">
        <v>8</v>
      </c>
      <c r="O444" s="22" t="s">
        <v>8</v>
      </c>
      <c r="P444" s="22" t="s">
        <v>8</v>
      </c>
      <c r="Q444" s="22" t="s">
        <v>8</v>
      </c>
      <c r="R444" s="22" t="s">
        <v>8</v>
      </c>
      <c r="S444" s="22" t="s">
        <v>8</v>
      </c>
      <c r="T444" s="20" t="s">
        <v>9</v>
      </c>
      <c r="U444" s="20" t="s">
        <v>9</v>
      </c>
      <c r="V444" s="20" t="s">
        <v>1</v>
      </c>
      <c r="W444" s="20">
        <v>5</v>
      </c>
      <c r="X444" s="20">
        <v>2</v>
      </c>
      <c r="Y444" s="20">
        <v>2</v>
      </c>
      <c r="Z444" s="24">
        <v>4</v>
      </c>
      <c r="AA444" s="20">
        <v>3</v>
      </c>
      <c r="AB444" s="15" t="s">
        <v>9</v>
      </c>
      <c r="AC444" s="15" t="s">
        <v>9</v>
      </c>
      <c r="AD444" s="15" t="s">
        <v>9</v>
      </c>
      <c r="AE444" s="15" t="s">
        <v>9</v>
      </c>
      <c r="AF444" s="20" t="s">
        <v>9</v>
      </c>
      <c r="AG444" s="20" t="s">
        <v>9</v>
      </c>
      <c r="AH444" s="20" t="s">
        <v>9</v>
      </c>
      <c r="AI444" s="23">
        <v>3</v>
      </c>
      <c r="AJ444" s="15" t="s">
        <v>9</v>
      </c>
      <c r="AK444" s="15" t="s">
        <v>9</v>
      </c>
      <c r="AL444" s="25" t="s">
        <v>9</v>
      </c>
      <c r="AM444" s="31">
        <v>3</v>
      </c>
      <c r="AN444" s="26" t="s">
        <v>9</v>
      </c>
      <c r="AO444" s="26" t="s">
        <v>9</v>
      </c>
      <c r="AP444" s="26" t="s">
        <v>9</v>
      </c>
      <c r="AQ444" s="26" t="s">
        <v>9</v>
      </c>
      <c r="AR444" s="26" t="s">
        <v>9</v>
      </c>
      <c r="AS444" s="26" t="s">
        <v>9</v>
      </c>
      <c r="AT444" s="26" t="s">
        <v>9</v>
      </c>
      <c r="AU444" s="26" t="s">
        <v>9</v>
      </c>
      <c r="AV444" s="26" t="s">
        <v>9</v>
      </c>
      <c r="AW444" s="26" t="s">
        <v>9</v>
      </c>
      <c r="AX444" s="26" t="s">
        <v>9</v>
      </c>
      <c r="AY444" s="26" t="s">
        <v>9</v>
      </c>
      <c r="AZ444" s="26" t="s">
        <v>9</v>
      </c>
      <c r="BA444" s="23">
        <v>3</v>
      </c>
      <c r="BB444" s="24" t="s">
        <v>9</v>
      </c>
    </row>
    <row r="445" spans="1:54" x14ac:dyDescent="0.2">
      <c r="A445" s="5">
        <v>3907</v>
      </c>
      <c r="B445" s="20" t="s">
        <v>9</v>
      </c>
      <c r="C445" s="27" t="s">
        <v>9</v>
      </c>
      <c r="D445" s="27" t="s">
        <v>9</v>
      </c>
      <c r="E445" s="27" t="s">
        <v>9</v>
      </c>
      <c r="F445" s="18" t="s">
        <v>9</v>
      </c>
      <c r="G445" s="27" t="s">
        <v>9</v>
      </c>
      <c r="H445" s="22" t="s">
        <v>8</v>
      </c>
      <c r="I445" s="22" t="s">
        <v>8</v>
      </c>
      <c r="J445" s="22" t="s">
        <v>8</v>
      </c>
      <c r="K445" s="22" t="s">
        <v>8</v>
      </c>
      <c r="L445" s="22" t="s">
        <v>8</v>
      </c>
      <c r="M445" s="22" t="s">
        <v>8</v>
      </c>
      <c r="N445" s="22" t="s">
        <v>8</v>
      </c>
      <c r="O445" s="22" t="s">
        <v>8</v>
      </c>
      <c r="P445" s="22" t="s">
        <v>8</v>
      </c>
      <c r="Q445" s="22" t="s">
        <v>8</v>
      </c>
      <c r="R445" s="22" t="s">
        <v>8</v>
      </c>
      <c r="S445" s="22" t="s">
        <v>8</v>
      </c>
      <c r="T445" s="20" t="s">
        <v>9</v>
      </c>
      <c r="U445" s="20" t="s">
        <v>9</v>
      </c>
      <c r="V445" s="20" t="s">
        <v>1</v>
      </c>
      <c r="W445" s="20">
        <v>5</v>
      </c>
      <c r="X445" s="20">
        <v>2</v>
      </c>
      <c r="Y445" s="20">
        <v>2</v>
      </c>
      <c r="Z445" s="24">
        <v>4</v>
      </c>
      <c r="AA445" s="20">
        <v>3</v>
      </c>
      <c r="AB445" s="15" t="s">
        <v>9</v>
      </c>
      <c r="AC445" s="15" t="s">
        <v>9</v>
      </c>
      <c r="AD445" s="15" t="s">
        <v>9</v>
      </c>
      <c r="AE445" s="15" t="s">
        <v>9</v>
      </c>
      <c r="AF445" s="20" t="s">
        <v>9</v>
      </c>
      <c r="AG445" s="20" t="s">
        <v>9</v>
      </c>
      <c r="AH445" s="20" t="s">
        <v>9</v>
      </c>
      <c r="AI445" s="23">
        <v>3</v>
      </c>
      <c r="AJ445" s="15" t="s">
        <v>9</v>
      </c>
      <c r="AK445" s="15" t="s">
        <v>9</v>
      </c>
      <c r="AL445" s="25" t="s">
        <v>9</v>
      </c>
      <c r="AM445" s="31">
        <v>3</v>
      </c>
      <c r="AN445" s="26" t="s">
        <v>9</v>
      </c>
      <c r="AO445" s="26" t="s">
        <v>9</v>
      </c>
      <c r="AP445" s="26" t="s">
        <v>9</v>
      </c>
      <c r="AQ445" s="26" t="s">
        <v>9</v>
      </c>
      <c r="AR445" s="26" t="s">
        <v>9</v>
      </c>
      <c r="AS445" s="26" t="s">
        <v>9</v>
      </c>
      <c r="AT445" s="26" t="s">
        <v>9</v>
      </c>
      <c r="AU445" s="26" t="s">
        <v>9</v>
      </c>
      <c r="AV445" s="26" t="s">
        <v>9</v>
      </c>
      <c r="AW445" s="26" t="s">
        <v>9</v>
      </c>
      <c r="AX445" s="26" t="s">
        <v>9</v>
      </c>
      <c r="AY445" s="26" t="s">
        <v>9</v>
      </c>
      <c r="AZ445" s="26" t="s">
        <v>9</v>
      </c>
      <c r="BA445" s="23">
        <v>3</v>
      </c>
      <c r="BB445" s="24" t="s">
        <v>9</v>
      </c>
    </row>
    <row r="446" spans="1:54" x14ac:dyDescent="0.2">
      <c r="A446" s="5">
        <v>3983</v>
      </c>
      <c r="B446" s="20" t="s">
        <v>9</v>
      </c>
      <c r="C446" s="27" t="s">
        <v>9</v>
      </c>
      <c r="D446" s="27" t="s">
        <v>9</v>
      </c>
      <c r="E446" s="27" t="s">
        <v>9</v>
      </c>
      <c r="F446" s="18" t="s">
        <v>9</v>
      </c>
      <c r="G446" s="27" t="s">
        <v>9</v>
      </c>
      <c r="H446" s="22" t="s">
        <v>8</v>
      </c>
      <c r="I446" s="22" t="s">
        <v>8</v>
      </c>
      <c r="J446" s="22" t="s">
        <v>8</v>
      </c>
      <c r="K446" s="22" t="s">
        <v>8</v>
      </c>
      <c r="L446" s="22" t="s">
        <v>8</v>
      </c>
      <c r="M446" s="22" t="s">
        <v>8</v>
      </c>
      <c r="N446" s="22" t="s">
        <v>8</v>
      </c>
      <c r="O446" s="22" t="s">
        <v>8</v>
      </c>
      <c r="P446" s="22" t="s">
        <v>8</v>
      </c>
      <c r="Q446" s="22" t="s">
        <v>8</v>
      </c>
      <c r="R446" s="22" t="s">
        <v>8</v>
      </c>
      <c r="S446" s="22" t="s">
        <v>8</v>
      </c>
      <c r="T446" s="20" t="s">
        <v>9</v>
      </c>
      <c r="U446" s="20" t="s">
        <v>9</v>
      </c>
      <c r="V446" s="20" t="s">
        <v>1</v>
      </c>
      <c r="W446" s="20">
        <v>5</v>
      </c>
      <c r="X446" s="20">
        <v>2</v>
      </c>
      <c r="Y446" s="20">
        <v>2</v>
      </c>
      <c r="Z446" s="24">
        <v>4</v>
      </c>
      <c r="AA446" s="20">
        <v>3</v>
      </c>
      <c r="AB446" s="15" t="s">
        <v>9</v>
      </c>
      <c r="AC446" s="15" t="s">
        <v>9</v>
      </c>
      <c r="AD446" s="15" t="s">
        <v>9</v>
      </c>
      <c r="AE446" s="15" t="s">
        <v>9</v>
      </c>
      <c r="AF446" s="20" t="s">
        <v>9</v>
      </c>
      <c r="AG446" s="20" t="s">
        <v>9</v>
      </c>
      <c r="AH446" s="20" t="s">
        <v>9</v>
      </c>
      <c r="AI446" s="23">
        <v>3</v>
      </c>
      <c r="AJ446" s="15" t="s">
        <v>9</v>
      </c>
      <c r="AK446" s="15" t="s">
        <v>9</v>
      </c>
      <c r="AL446" s="25" t="s">
        <v>9</v>
      </c>
      <c r="AM446" s="31">
        <v>3</v>
      </c>
      <c r="AN446" s="26" t="s">
        <v>9</v>
      </c>
      <c r="AO446" s="26" t="s">
        <v>9</v>
      </c>
      <c r="AP446" s="26" t="s">
        <v>9</v>
      </c>
      <c r="AQ446" s="26" t="s">
        <v>9</v>
      </c>
      <c r="AR446" s="26" t="s">
        <v>9</v>
      </c>
      <c r="AS446" s="26" t="s">
        <v>9</v>
      </c>
      <c r="AT446" s="26" t="s">
        <v>9</v>
      </c>
      <c r="AU446" s="26" t="s">
        <v>9</v>
      </c>
      <c r="AV446" s="26" t="s">
        <v>9</v>
      </c>
      <c r="AW446" s="26" t="s">
        <v>9</v>
      </c>
      <c r="AX446" s="26" t="s">
        <v>9</v>
      </c>
      <c r="AY446" s="26" t="s">
        <v>9</v>
      </c>
      <c r="AZ446" s="26" t="s">
        <v>9</v>
      </c>
      <c r="BA446" s="23">
        <v>3</v>
      </c>
      <c r="BB446" s="24" t="s">
        <v>9</v>
      </c>
    </row>
    <row r="447" spans="1:54" x14ac:dyDescent="0.2">
      <c r="A447" s="5">
        <v>3999</v>
      </c>
      <c r="B447" s="20" t="s">
        <v>9</v>
      </c>
      <c r="C447" s="27" t="s">
        <v>9</v>
      </c>
      <c r="D447" s="27" t="s">
        <v>9</v>
      </c>
      <c r="E447" s="27" t="s">
        <v>9</v>
      </c>
      <c r="F447" s="18" t="s">
        <v>9</v>
      </c>
      <c r="G447" s="27" t="s">
        <v>9</v>
      </c>
      <c r="H447" s="22" t="s">
        <v>8</v>
      </c>
      <c r="I447" s="22" t="s">
        <v>8</v>
      </c>
      <c r="J447" s="22" t="s">
        <v>8</v>
      </c>
      <c r="K447" s="22" t="s">
        <v>8</v>
      </c>
      <c r="L447" s="22" t="s">
        <v>8</v>
      </c>
      <c r="M447" s="22" t="s">
        <v>8</v>
      </c>
      <c r="N447" s="22" t="s">
        <v>8</v>
      </c>
      <c r="O447" s="22" t="s">
        <v>8</v>
      </c>
      <c r="P447" s="22" t="s">
        <v>8</v>
      </c>
      <c r="Q447" s="22" t="s">
        <v>8</v>
      </c>
      <c r="R447" s="22" t="s">
        <v>8</v>
      </c>
      <c r="S447" s="22" t="s">
        <v>8</v>
      </c>
      <c r="T447" s="20" t="s">
        <v>9</v>
      </c>
      <c r="U447" s="20" t="s">
        <v>9</v>
      </c>
      <c r="V447" s="20" t="s">
        <v>1</v>
      </c>
      <c r="W447" s="20">
        <v>5</v>
      </c>
      <c r="X447" s="20">
        <v>2</v>
      </c>
      <c r="Y447" s="20">
        <v>2</v>
      </c>
      <c r="Z447" s="24">
        <v>4</v>
      </c>
      <c r="AA447" s="20">
        <v>3</v>
      </c>
      <c r="AB447" s="15" t="s">
        <v>9</v>
      </c>
      <c r="AC447" s="15" t="s">
        <v>9</v>
      </c>
      <c r="AD447" s="15" t="s">
        <v>9</v>
      </c>
      <c r="AE447" s="15" t="s">
        <v>9</v>
      </c>
      <c r="AF447" s="20" t="s">
        <v>9</v>
      </c>
      <c r="AG447" s="20" t="s">
        <v>9</v>
      </c>
      <c r="AH447" s="20" t="s">
        <v>9</v>
      </c>
      <c r="AI447" s="23">
        <v>3</v>
      </c>
      <c r="AJ447" s="15" t="s">
        <v>9</v>
      </c>
      <c r="AK447" s="15" t="s">
        <v>9</v>
      </c>
      <c r="AL447" s="25" t="s">
        <v>9</v>
      </c>
      <c r="AM447" s="31">
        <v>3</v>
      </c>
      <c r="AN447" s="26" t="s">
        <v>9</v>
      </c>
      <c r="AO447" s="26" t="s">
        <v>9</v>
      </c>
      <c r="AP447" s="26" t="s">
        <v>9</v>
      </c>
      <c r="AQ447" s="26" t="s">
        <v>9</v>
      </c>
      <c r="AR447" s="26" t="s">
        <v>9</v>
      </c>
      <c r="AS447" s="26" t="s">
        <v>9</v>
      </c>
      <c r="AT447" s="26" t="s">
        <v>9</v>
      </c>
      <c r="AU447" s="26" t="s">
        <v>9</v>
      </c>
      <c r="AV447" s="26" t="s">
        <v>9</v>
      </c>
      <c r="AW447" s="26" t="s">
        <v>9</v>
      </c>
      <c r="AX447" s="26" t="s">
        <v>9</v>
      </c>
      <c r="AY447" s="26" t="s">
        <v>9</v>
      </c>
      <c r="AZ447" s="26" t="s">
        <v>9</v>
      </c>
      <c r="BA447" s="23">
        <v>3</v>
      </c>
      <c r="BB447" s="24" t="s">
        <v>9</v>
      </c>
    </row>
    <row r="448" spans="1:54" x14ac:dyDescent="0.2">
      <c r="A448" s="5">
        <v>4030</v>
      </c>
      <c r="B448" s="20" t="s">
        <v>9</v>
      </c>
      <c r="C448" s="27" t="s">
        <v>9</v>
      </c>
      <c r="D448" s="27" t="s">
        <v>9</v>
      </c>
      <c r="E448" s="27" t="s">
        <v>9</v>
      </c>
      <c r="F448" s="18" t="s">
        <v>9</v>
      </c>
      <c r="G448" s="27" t="s">
        <v>9</v>
      </c>
      <c r="H448" s="22" t="s">
        <v>8</v>
      </c>
      <c r="I448" s="22" t="s">
        <v>8</v>
      </c>
      <c r="J448" s="22" t="s">
        <v>8</v>
      </c>
      <c r="K448" s="22" t="s">
        <v>8</v>
      </c>
      <c r="L448" s="22" t="s">
        <v>8</v>
      </c>
      <c r="M448" s="22" t="s">
        <v>8</v>
      </c>
      <c r="N448" s="22" t="s">
        <v>8</v>
      </c>
      <c r="O448" s="22" t="s">
        <v>8</v>
      </c>
      <c r="P448" s="22" t="s">
        <v>8</v>
      </c>
      <c r="Q448" s="22" t="s">
        <v>8</v>
      </c>
      <c r="R448" s="22" t="s">
        <v>8</v>
      </c>
      <c r="S448" s="22" t="s">
        <v>8</v>
      </c>
      <c r="T448" s="20" t="s">
        <v>9</v>
      </c>
      <c r="U448" s="20" t="s">
        <v>9</v>
      </c>
      <c r="V448" s="20" t="s">
        <v>1</v>
      </c>
      <c r="W448" s="20">
        <v>5</v>
      </c>
      <c r="X448" s="20">
        <v>2</v>
      </c>
      <c r="Y448" s="20">
        <v>2</v>
      </c>
      <c r="Z448" s="24">
        <v>4</v>
      </c>
      <c r="AA448" s="20">
        <v>3</v>
      </c>
      <c r="AB448" s="15" t="s">
        <v>9</v>
      </c>
      <c r="AC448" s="15" t="s">
        <v>9</v>
      </c>
      <c r="AD448" s="15" t="s">
        <v>9</v>
      </c>
      <c r="AE448" s="15" t="s">
        <v>9</v>
      </c>
      <c r="AF448" s="20" t="s">
        <v>9</v>
      </c>
      <c r="AG448" s="20" t="s">
        <v>9</v>
      </c>
      <c r="AH448" s="20" t="s">
        <v>9</v>
      </c>
      <c r="AI448" s="23">
        <v>3</v>
      </c>
      <c r="AJ448" s="15" t="s">
        <v>9</v>
      </c>
      <c r="AK448" s="15" t="s">
        <v>9</v>
      </c>
      <c r="AL448" s="25" t="s">
        <v>9</v>
      </c>
      <c r="AM448" s="31">
        <v>3</v>
      </c>
      <c r="AN448" s="26" t="s">
        <v>9</v>
      </c>
      <c r="AO448" s="26" t="s">
        <v>9</v>
      </c>
      <c r="AP448" s="26" t="s">
        <v>9</v>
      </c>
      <c r="AQ448" s="26" t="s">
        <v>9</v>
      </c>
      <c r="AR448" s="26" t="s">
        <v>9</v>
      </c>
      <c r="AS448" s="26" t="s">
        <v>9</v>
      </c>
      <c r="AT448" s="26" t="s">
        <v>9</v>
      </c>
      <c r="AU448" s="26" t="s">
        <v>9</v>
      </c>
      <c r="AV448" s="26" t="s">
        <v>9</v>
      </c>
      <c r="AW448" s="26" t="s">
        <v>9</v>
      </c>
      <c r="AX448" s="26" t="s">
        <v>9</v>
      </c>
      <c r="AY448" s="26" t="s">
        <v>9</v>
      </c>
      <c r="AZ448" s="26" t="s">
        <v>9</v>
      </c>
      <c r="BA448" s="23">
        <v>3</v>
      </c>
      <c r="BB448" s="24" t="s">
        <v>9</v>
      </c>
    </row>
    <row r="449" spans="1:54" x14ac:dyDescent="0.2">
      <c r="A449" s="5">
        <v>4165</v>
      </c>
      <c r="B449" s="20" t="s">
        <v>9</v>
      </c>
      <c r="C449" s="27" t="s">
        <v>9</v>
      </c>
      <c r="D449" s="27" t="s">
        <v>9</v>
      </c>
      <c r="E449" s="27" t="s">
        <v>9</v>
      </c>
      <c r="F449" s="18" t="s">
        <v>9</v>
      </c>
      <c r="G449" s="27" t="s">
        <v>9</v>
      </c>
      <c r="H449" s="22" t="s">
        <v>8</v>
      </c>
      <c r="I449" s="22" t="s">
        <v>8</v>
      </c>
      <c r="J449" s="22" t="s">
        <v>8</v>
      </c>
      <c r="K449" s="22" t="s">
        <v>8</v>
      </c>
      <c r="L449" s="22" t="s">
        <v>8</v>
      </c>
      <c r="M449" s="22" t="s">
        <v>8</v>
      </c>
      <c r="N449" s="22" t="s">
        <v>8</v>
      </c>
      <c r="O449" s="22" t="s">
        <v>8</v>
      </c>
      <c r="P449" s="22" t="s">
        <v>8</v>
      </c>
      <c r="Q449" s="22" t="s">
        <v>8</v>
      </c>
      <c r="R449" s="22" t="s">
        <v>8</v>
      </c>
      <c r="S449" s="22" t="s">
        <v>8</v>
      </c>
      <c r="T449" s="20" t="s">
        <v>9</v>
      </c>
      <c r="U449" s="20" t="s">
        <v>9</v>
      </c>
      <c r="V449" s="20" t="s">
        <v>1</v>
      </c>
      <c r="W449" s="20">
        <v>5</v>
      </c>
      <c r="X449" s="20">
        <v>2</v>
      </c>
      <c r="Y449" s="20">
        <v>2</v>
      </c>
      <c r="Z449" s="24">
        <v>4</v>
      </c>
      <c r="AA449" s="20">
        <v>3</v>
      </c>
      <c r="AB449" s="15" t="s">
        <v>9</v>
      </c>
      <c r="AC449" s="15" t="s">
        <v>9</v>
      </c>
      <c r="AD449" s="15" t="s">
        <v>9</v>
      </c>
      <c r="AE449" s="15" t="s">
        <v>9</v>
      </c>
      <c r="AF449" s="20" t="s">
        <v>9</v>
      </c>
      <c r="AG449" s="20" t="s">
        <v>9</v>
      </c>
      <c r="AH449" s="20" t="s">
        <v>9</v>
      </c>
      <c r="AI449" s="23">
        <v>3</v>
      </c>
      <c r="AJ449" s="15" t="s">
        <v>9</v>
      </c>
      <c r="AK449" s="15" t="s">
        <v>9</v>
      </c>
      <c r="AL449" s="25" t="s">
        <v>9</v>
      </c>
      <c r="AM449" s="31">
        <v>3</v>
      </c>
      <c r="AN449" s="26" t="s">
        <v>9</v>
      </c>
      <c r="AO449" s="26" t="s">
        <v>9</v>
      </c>
      <c r="AP449" s="26" t="s">
        <v>9</v>
      </c>
      <c r="AQ449" s="26" t="s">
        <v>9</v>
      </c>
      <c r="AR449" s="26" t="s">
        <v>9</v>
      </c>
      <c r="AS449" s="26" t="s">
        <v>9</v>
      </c>
      <c r="AT449" s="26" t="s">
        <v>9</v>
      </c>
      <c r="AU449" s="26" t="s">
        <v>9</v>
      </c>
      <c r="AV449" s="26" t="s">
        <v>9</v>
      </c>
      <c r="AW449" s="26" t="s">
        <v>9</v>
      </c>
      <c r="AX449" s="26" t="s">
        <v>9</v>
      </c>
      <c r="AY449" s="26" t="s">
        <v>9</v>
      </c>
      <c r="AZ449" s="26" t="s">
        <v>9</v>
      </c>
      <c r="BA449" s="23">
        <v>3</v>
      </c>
      <c r="BB449" s="24" t="s">
        <v>9</v>
      </c>
    </row>
    <row r="450" spans="1:54" x14ac:dyDescent="0.2">
      <c r="A450" s="5">
        <v>4195</v>
      </c>
      <c r="B450" s="20" t="s">
        <v>9</v>
      </c>
      <c r="C450" s="27" t="s">
        <v>9</v>
      </c>
      <c r="D450" s="27" t="s">
        <v>9</v>
      </c>
      <c r="E450" s="27" t="s">
        <v>9</v>
      </c>
      <c r="F450" s="18" t="s">
        <v>9</v>
      </c>
      <c r="G450" s="27" t="s">
        <v>9</v>
      </c>
      <c r="H450" s="22" t="s">
        <v>8</v>
      </c>
      <c r="I450" s="22" t="s">
        <v>8</v>
      </c>
      <c r="J450" s="22" t="s">
        <v>8</v>
      </c>
      <c r="K450" s="22" t="s">
        <v>8</v>
      </c>
      <c r="L450" s="22" t="s">
        <v>8</v>
      </c>
      <c r="M450" s="22" t="s">
        <v>8</v>
      </c>
      <c r="N450" s="22" t="s">
        <v>8</v>
      </c>
      <c r="O450" s="22" t="s">
        <v>8</v>
      </c>
      <c r="P450" s="22" t="s">
        <v>8</v>
      </c>
      <c r="Q450" s="22" t="s">
        <v>8</v>
      </c>
      <c r="R450" s="22" t="s">
        <v>8</v>
      </c>
      <c r="S450" s="22" t="s">
        <v>8</v>
      </c>
      <c r="T450" s="20" t="s">
        <v>9</v>
      </c>
      <c r="U450" s="20" t="s">
        <v>9</v>
      </c>
      <c r="V450" s="20" t="s">
        <v>1</v>
      </c>
      <c r="W450" s="20">
        <v>5</v>
      </c>
      <c r="X450" s="20">
        <v>2</v>
      </c>
      <c r="Y450" s="20">
        <v>2</v>
      </c>
      <c r="Z450" s="24">
        <v>4</v>
      </c>
      <c r="AA450" s="20">
        <v>3</v>
      </c>
      <c r="AB450" s="15" t="s">
        <v>9</v>
      </c>
      <c r="AC450" s="15" t="s">
        <v>9</v>
      </c>
      <c r="AD450" s="15" t="s">
        <v>9</v>
      </c>
      <c r="AE450" s="15" t="s">
        <v>9</v>
      </c>
      <c r="AF450" s="20" t="s">
        <v>9</v>
      </c>
      <c r="AG450" s="20" t="s">
        <v>9</v>
      </c>
      <c r="AH450" s="20" t="s">
        <v>9</v>
      </c>
      <c r="AI450" s="23">
        <v>3</v>
      </c>
      <c r="AJ450" s="15" t="s">
        <v>9</v>
      </c>
      <c r="AK450" s="15" t="s">
        <v>9</v>
      </c>
      <c r="AL450" s="25" t="s">
        <v>9</v>
      </c>
      <c r="AM450" s="31">
        <v>3</v>
      </c>
      <c r="AN450" s="26" t="s">
        <v>9</v>
      </c>
      <c r="AO450" s="26" t="s">
        <v>9</v>
      </c>
      <c r="AP450" s="26" t="s">
        <v>9</v>
      </c>
      <c r="AQ450" s="26" t="s">
        <v>9</v>
      </c>
      <c r="AR450" s="26" t="s">
        <v>9</v>
      </c>
      <c r="AS450" s="26" t="s">
        <v>9</v>
      </c>
      <c r="AT450" s="26" t="s">
        <v>9</v>
      </c>
      <c r="AU450" s="26" t="s">
        <v>9</v>
      </c>
      <c r="AV450" s="26" t="s">
        <v>9</v>
      </c>
      <c r="AW450" s="26" t="s">
        <v>9</v>
      </c>
      <c r="AX450" s="26" t="s">
        <v>9</v>
      </c>
      <c r="AY450" s="26" t="s">
        <v>9</v>
      </c>
      <c r="AZ450" s="26" t="s">
        <v>9</v>
      </c>
      <c r="BA450" s="23">
        <v>3</v>
      </c>
      <c r="BB450" s="24" t="s">
        <v>9</v>
      </c>
    </row>
    <row r="451" spans="1:54" x14ac:dyDescent="0.2">
      <c r="A451" s="5">
        <v>4245</v>
      </c>
      <c r="B451" s="20" t="s">
        <v>9</v>
      </c>
      <c r="C451" s="27" t="s">
        <v>9</v>
      </c>
      <c r="D451" s="27" t="s">
        <v>9</v>
      </c>
      <c r="E451" s="27" t="s">
        <v>9</v>
      </c>
      <c r="F451" s="18" t="s">
        <v>9</v>
      </c>
      <c r="G451" s="27" t="s">
        <v>9</v>
      </c>
      <c r="H451" s="22" t="s">
        <v>8</v>
      </c>
      <c r="I451" s="22" t="s">
        <v>8</v>
      </c>
      <c r="J451" s="22" t="s">
        <v>8</v>
      </c>
      <c r="K451" s="22" t="s">
        <v>8</v>
      </c>
      <c r="L451" s="22" t="s">
        <v>8</v>
      </c>
      <c r="M451" s="22" t="s">
        <v>8</v>
      </c>
      <c r="N451" s="22" t="s">
        <v>8</v>
      </c>
      <c r="O451" s="22" t="s">
        <v>8</v>
      </c>
      <c r="P451" s="22" t="s">
        <v>8</v>
      </c>
      <c r="Q451" s="22" t="s">
        <v>8</v>
      </c>
      <c r="R451" s="22" t="s">
        <v>8</v>
      </c>
      <c r="S451" s="22" t="s">
        <v>8</v>
      </c>
      <c r="T451" s="20" t="s">
        <v>9</v>
      </c>
      <c r="U451" s="20" t="s">
        <v>9</v>
      </c>
      <c r="V451" s="20" t="s">
        <v>1</v>
      </c>
      <c r="W451" s="20">
        <v>5</v>
      </c>
      <c r="X451" s="20">
        <v>2</v>
      </c>
      <c r="Y451" s="20">
        <v>2</v>
      </c>
      <c r="Z451" s="24">
        <v>4</v>
      </c>
      <c r="AA451" s="20">
        <v>3</v>
      </c>
      <c r="AB451" s="15" t="s">
        <v>9</v>
      </c>
      <c r="AC451" s="15" t="s">
        <v>9</v>
      </c>
      <c r="AD451" s="15" t="s">
        <v>9</v>
      </c>
      <c r="AE451" s="15" t="s">
        <v>9</v>
      </c>
      <c r="AF451" s="20" t="s">
        <v>9</v>
      </c>
      <c r="AG451" s="20" t="s">
        <v>9</v>
      </c>
      <c r="AH451" s="20" t="s">
        <v>9</v>
      </c>
      <c r="AI451" s="23">
        <v>3</v>
      </c>
      <c r="AJ451" s="15" t="s">
        <v>9</v>
      </c>
      <c r="AK451" s="15" t="s">
        <v>9</v>
      </c>
      <c r="AL451" s="25" t="s">
        <v>9</v>
      </c>
      <c r="AM451" s="31">
        <v>3</v>
      </c>
      <c r="AN451" s="26" t="s">
        <v>9</v>
      </c>
      <c r="AO451" s="26" t="s">
        <v>9</v>
      </c>
      <c r="AP451" s="26" t="s">
        <v>9</v>
      </c>
      <c r="AQ451" s="26" t="s">
        <v>9</v>
      </c>
      <c r="AR451" s="26" t="s">
        <v>9</v>
      </c>
      <c r="AS451" s="26" t="s">
        <v>9</v>
      </c>
      <c r="AT451" s="26" t="s">
        <v>9</v>
      </c>
      <c r="AU451" s="26" t="s">
        <v>9</v>
      </c>
      <c r="AV451" s="26" t="s">
        <v>9</v>
      </c>
      <c r="AW451" s="26" t="s">
        <v>9</v>
      </c>
      <c r="AX451" s="26" t="s">
        <v>9</v>
      </c>
      <c r="AY451" s="26" t="s">
        <v>9</v>
      </c>
      <c r="AZ451" s="26" t="s">
        <v>9</v>
      </c>
      <c r="BA451" s="23">
        <v>3</v>
      </c>
      <c r="BB451" s="24" t="s">
        <v>9</v>
      </c>
    </row>
    <row r="452" spans="1:54" x14ac:dyDescent="0.2">
      <c r="A452" s="5">
        <v>4329</v>
      </c>
      <c r="B452" s="20" t="s">
        <v>9</v>
      </c>
      <c r="C452" s="27" t="s">
        <v>9</v>
      </c>
      <c r="D452" s="27" t="s">
        <v>9</v>
      </c>
      <c r="E452" s="27" t="s">
        <v>9</v>
      </c>
      <c r="F452" s="18" t="s">
        <v>9</v>
      </c>
      <c r="G452" s="27" t="s">
        <v>9</v>
      </c>
      <c r="H452" s="22" t="s">
        <v>8</v>
      </c>
      <c r="I452" s="22" t="s">
        <v>8</v>
      </c>
      <c r="J452" s="22" t="s">
        <v>8</v>
      </c>
      <c r="K452" s="22" t="s">
        <v>8</v>
      </c>
      <c r="L452" s="22" t="s">
        <v>8</v>
      </c>
      <c r="M452" s="22" t="s">
        <v>8</v>
      </c>
      <c r="N452" s="22" t="s">
        <v>8</v>
      </c>
      <c r="O452" s="22" t="s">
        <v>8</v>
      </c>
      <c r="P452" s="22" t="s">
        <v>8</v>
      </c>
      <c r="Q452" s="22" t="s">
        <v>8</v>
      </c>
      <c r="R452" s="22" t="s">
        <v>8</v>
      </c>
      <c r="S452" s="22" t="s">
        <v>8</v>
      </c>
      <c r="T452" s="20" t="s">
        <v>9</v>
      </c>
      <c r="U452" s="20" t="s">
        <v>9</v>
      </c>
      <c r="V452" s="20" t="s">
        <v>1</v>
      </c>
      <c r="W452" s="20">
        <v>5</v>
      </c>
      <c r="X452" s="20">
        <v>2</v>
      </c>
      <c r="Y452" s="20">
        <v>2</v>
      </c>
      <c r="Z452" s="24">
        <v>4</v>
      </c>
      <c r="AA452" s="20">
        <v>3</v>
      </c>
      <c r="AB452" s="15" t="s">
        <v>9</v>
      </c>
      <c r="AC452" s="15" t="s">
        <v>9</v>
      </c>
      <c r="AD452" s="15" t="s">
        <v>9</v>
      </c>
      <c r="AE452" s="15" t="s">
        <v>9</v>
      </c>
      <c r="AF452" s="20" t="s">
        <v>9</v>
      </c>
      <c r="AG452" s="20" t="s">
        <v>9</v>
      </c>
      <c r="AH452" s="20" t="s">
        <v>9</v>
      </c>
      <c r="AI452" s="23">
        <v>3</v>
      </c>
      <c r="AJ452" s="15" t="s">
        <v>9</v>
      </c>
      <c r="AK452" s="15" t="s">
        <v>9</v>
      </c>
      <c r="AL452" s="25" t="s">
        <v>9</v>
      </c>
      <c r="AM452" s="31">
        <v>3</v>
      </c>
      <c r="AN452" s="26" t="s">
        <v>9</v>
      </c>
      <c r="AO452" s="26" t="s">
        <v>9</v>
      </c>
      <c r="AP452" s="26" t="s">
        <v>9</v>
      </c>
      <c r="AQ452" s="26" t="s">
        <v>9</v>
      </c>
      <c r="AR452" s="26" t="s">
        <v>9</v>
      </c>
      <c r="AS452" s="26" t="s">
        <v>9</v>
      </c>
      <c r="AT452" s="26" t="s">
        <v>9</v>
      </c>
      <c r="AU452" s="26" t="s">
        <v>9</v>
      </c>
      <c r="AV452" s="26" t="s">
        <v>9</v>
      </c>
      <c r="AW452" s="26" t="s">
        <v>9</v>
      </c>
      <c r="AX452" s="26" t="s">
        <v>9</v>
      </c>
      <c r="AY452" s="26" t="s">
        <v>9</v>
      </c>
      <c r="AZ452" s="26" t="s">
        <v>9</v>
      </c>
      <c r="BA452" s="23">
        <v>3</v>
      </c>
      <c r="BB452" s="24" t="s">
        <v>9</v>
      </c>
    </row>
    <row r="453" spans="1:54" x14ac:dyDescent="0.2">
      <c r="A453" s="5">
        <v>4362</v>
      </c>
      <c r="B453" s="20" t="s">
        <v>9</v>
      </c>
      <c r="C453" s="27" t="s">
        <v>9</v>
      </c>
      <c r="D453" s="27" t="s">
        <v>9</v>
      </c>
      <c r="E453" s="27" t="s">
        <v>9</v>
      </c>
      <c r="F453" s="18" t="s">
        <v>9</v>
      </c>
      <c r="G453" s="27" t="s">
        <v>9</v>
      </c>
      <c r="H453" s="22" t="s">
        <v>8</v>
      </c>
      <c r="I453" s="22" t="s">
        <v>8</v>
      </c>
      <c r="J453" s="22" t="s">
        <v>8</v>
      </c>
      <c r="K453" s="22" t="s">
        <v>8</v>
      </c>
      <c r="L453" s="22" t="s">
        <v>8</v>
      </c>
      <c r="M453" s="22" t="s">
        <v>8</v>
      </c>
      <c r="N453" s="22" t="s">
        <v>8</v>
      </c>
      <c r="O453" s="22" t="s">
        <v>8</v>
      </c>
      <c r="P453" s="22" t="s">
        <v>8</v>
      </c>
      <c r="Q453" s="22" t="s">
        <v>8</v>
      </c>
      <c r="R453" s="22" t="s">
        <v>8</v>
      </c>
      <c r="S453" s="22" t="s">
        <v>8</v>
      </c>
      <c r="T453" s="20" t="s">
        <v>9</v>
      </c>
      <c r="U453" s="20" t="s">
        <v>9</v>
      </c>
      <c r="V453" s="20" t="s">
        <v>1</v>
      </c>
      <c r="W453" s="20">
        <v>5</v>
      </c>
      <c r="X453" s="20">
        <v>2</v>
      </c>
      <c r="Y453" s="20">
        <v>2</v>
      </c>
      <c r="Z453" s="24">
        <v>4</v>
      </c>
      <c r="AA453" s="20">
        <v>3</v>
      </c>
      <c r="AB453" s="15" t="s">
        <v>9</v>
      </c>
      <c r="AC453" s="15" t="s">
        <v>9</v>
      </c>
      <c r="AD453" s="15" t="s">
        <v>9</v>
      </c>
      <c r="AE453" s="15" t="s">
        <v>9</v>
      </c>
      <c r="AF453" s="20" t="s">
        <v>9</v>
      </c>
      <c r="AG453" s="20" t="s">
        <v>9</v>
      </c>
      <c r="AH453" s="20" t="s">
        <v>9</v>
      </c>
      <c r="AI453" s="23">
        <v>3</v>
      </c>
      <c r="AJ453" s="15" t="s">
        <v>9</v>
      </c>
      <c r="AK453" s="15" t="s">
        <v>9</v>
      </c>
      <c r="AL453" s="25" t="s">
        <v>9</v>
      </c>
      <c r="AM453" s="31">
        <v>3</v>
      </c>
      <c r="AN453" s="26" t="s">
        <v>9</v>
      </c>
      <c r="AO453" s="26" t="s">
        <v>9</v>
      </c>
      <c r="AP453" s="26" t="s">
        <v>9</v>
      </c>
      <c r="AQ453" s="26" t="s">
        <v>9</v>
      </c>
      <c r="AR453" s="26" t="s">
        <v>9</v>
      </c>
      <c r="AS453" s="26" t="s">
        <v>9</v>
      </c>
      <c r="AT453" s="26" t="s">
        <v>9</v>
      </c>
      <c r="AU453" s="26" t="s">
        <v>9</v>
      </c>
      <c r="AV453" s="26" t="s">
        <v>9</v>
      </c>
      <c r="AW453" s="26" t="s">
        <v>9</v>
      </c>
      <c r="AX453" s="26" t="s">
        <v>9</v>
      </c>
      <c r="AY453" s="26" t="s">
        <v>9</v>
      </c>
      <c r="AZ453" s="26" t="s">
        <v>9</v>
      </c>
      <c r="BA453" s="23">
        <v>3</v>
      </c>
      <c r="BB453" s="24" t="s">
        <v>9</v>
      </c>
    </row>
    <row r="454" spans="1:54" x14ac:dyDescent="0.2">
      <c r="A454" s="5">
        <v>4467</v>
      </c>
      <c r="B454" s="20" t="s">
        <v>9</v>
      </c>
      <c r="C454" s="27" t="s">
        <v>9</v>
      </c>
      <c r="D454" s="27" t="s">
        <v>9</v>
      </c>
      <c r="E454" s="27" t="s">
        <v>9</v>
      </c>
      <c r="F454" s="18" t="s">
        <v>9</v>
      </c>
      <c r="G454" s="27" t="s">
        <v>9</v>
      </c>
      <c r="H454" s="22" t="s">
        <v>8</v>
      </c>
      <c r="I454" s="22" t="s">
        <v>8</v>
      </c>
      <c r="J454" s="22" t="s">
        <v>8</v>
      </c>
      <c r="K454" s="22" t="s">
        <v>8</v>
      </c>
      <c r="L454" s="22" t="s">
        <v>8</v>
      </c>
      <c r="M454" s="22" t="s">
        <v>8</v>
      </c>
      <c r="N454" s="22" t="s">
        <v>8</v>
      </c>
      <c r="O454" s="22" t="s">
        <v>8</v>
      </c>
      <c r="P454" s="22" t="s">
        <v>8</v>
      </c>
      <c r="Q454" s="22" t="s">
        <v>8</v>
      </c>
      <c r="R454" s="22" t="s">
        <v>8</v>
      </c>
      <c r="S454" s="22" t="s">
        <v>8</v>
      </c>
      <c r="T454" s="20" t="s">
        <v>9</v>
      </c>
      <c r="U454" s="20" t="s">
        <v>9</v>
      </c>
      <c r="V454" s="20" t="s">
        <v>1</v>
      </c>
      <c r="W454" s="20">
        <v>5</v>
      </c>
      <c r="X454" s="20">
        <v>2</v>
      </c>
      <c r="Y454" s="20">
        <v>2</v>
      </c>
      <c r="Z454" s="24">
        <v>4</v>
      </c>
      <c r="AA454" s="20">
        <v>3</v>
      </c>
      <c r="AB454" s="15" t="s">
        <v>9</v>
      </c>
      <c r="AC454" s="15" t="s">
        <v>9</v>
      </c>
      <c r="AD454" s="15" t="s">
        <v>9</v>
      </c>
      <c r="AE454" s="15" t="s">
        <v>9</v>
      </c>
      <c r="AF454" s="20" t="s">
        <v>9</v>
      </c>
      <c r="AG454" s="20" t="s">
        <v>9</v>
      </c>
      <c r="AH454" s="20" t="s">
        <v>9</v>
      </c>
      <c r="AI454" s="23">
        <v>3</v>
      </c>
      <c r="AJ454" s="15" t="s">
        <v>9</v>
      </c>
      <c r="AK454" s="15" t="s">
        <v>9</v>
      </c>
      <c r="AL454" s="25" t="s">
        <v>9</v>
      </c>
      <c r="AM454" s="31">
        <v>3</v>
      </c>
      <c r="AN454" s="26" t="s">
        <v>9</v>
      </c>
      <c r="AO454" s="26" t="s">
        <v>9</v>
      </c>
      <c r="AP454" s="26" t="s">
        <v>9</v>
      </c>
      <c r="AQ454" s="26" t="s">
        <v>9</v>
      </c>
      <c r="AR454" s="26" t="s">
        <v>9</v>
      </c>
      <c r="AS454" s="26" t="s">
        <v>9</v>
      </c>
      <c r="AT454" s="26" t="s">
        <v>9</v>
      </c>
      <c r="AU454" s="26" t="s">
        <v>9</v>
      </c>
      <c r="AV454" s="26" t="s">
        <v>9</v>
      </c>
      <c r="AW454" s="26" t="s">
        <v>9</v>
      </c>
      <c r="AX454" s="26" t="s">
        <v>9</v>
      </c>
      <c r="AY454" s="26" t="s">
        <v>9</v>
      </c>
      <c r="AZ454" s="26" t="s">
        <v>9</v>
      </c>
      <c r="BA454" s="23">
        <v>3</v>
      </c>
      <c r="BB454" s="24" t="s">
        <v>9</v>
      </c>
    </row>
    <row r="455" spans="1:54" x14ac:dyDescent="0.2">
      <c r="A455" s="5">
        <v>4539</v>
      </c>
      <c r="B455" s="20" t="s">
        <v>9</v>
      </c>
      <c r="C455" s="27" t="s">
        <v>9</v>
      </c>
      <c r="D455" s="27" t="s">
        <v>9</v>
      </c>
      <c r="E455" s="27" t="s">
        <v>9</v>
      </c>
      <c r="F455" s="18" t="s">
        <v>9</v>
      </c>
      <c r="G455" s="27" t="s">
        <v>9</v>
      </c>
      <c r="H455" s="22" t="s">
        <v>8</v>
      </c>
      <c r="I455" s="22" t="s">
        <v>8</v>
      </c>
      <c r="J455" s="22" t="s">
        <v>8</v>
      </c>
      <c r="K455" s="22" t="s">
        <v>8</v>
      </c>
      <c r="L455" s="22" t="s">
        <v>8</v>
      </c>
      <c r="M455" s="22" t="s">
        <v>8</v>
      </c>
      <c r="N455" s="22" t="s">
        <v>8</v>
      </c>
      <c r="O455" s="22" t="s">
        <v>8</v>
      </c>
      <c r="P455" s="22" t="s">
        <v>8</v>
      </c>
      <c r="Q455" s="22" t="s">
        <v>8</v>
      </c>
      <c r="R455" s="22" t="s">
        <v>8</v>
      </c>
      <c r="S455" s="22" t="s">
        <v>8</v>
      </c>
      <c r="T455" s="20" t="s">
        <v>9</v>
      </c>
      <c r="U455" s="20" t="s">
        <v>9</v>
      </c>
      <c r="V455" s="20" t="s">
        <v>1</v>
      </c>
      <c r="W455" s="20">
        <v>5</v>
      </c>
      <c r="X455" s="20">
        <v>2</v>
      </c>
      <c r="Y455" s="20">
        <v>2</v>
      </c>
      <c r="Z455" s="24">
        <v>4</v>
      </c>
      <c r="AA455" s="20">
        <v>3</v>
      </c>
      <c r="AB455" s="15" t="s">
        <v>9</v>
      </c>
      <c r="AC455" s="15" t="s">
        <v>9</v>
      </c>
      <c r="AD455" s="15" t="s">
        <v>9</v>
      </c>
      <c r="AE455" s="15" t="s">
        <v>9</v>
      </c>
      <c r="AF455" s="20" t="s">
        <v>9</v>
      </c>
      <c r="AG455" s="20" t="s">
        <v>9</v>
      </c>
      <c r="AH455" s="20" t="s">
        <v>9</v>
      </c>
      <c r="AI455" s="23">
        <v>3</v>
      </c>
      <c r="AJ455" s="15" t="s">
        <v>9</v>
      </c>
      <c r="AK455" s="15" t="s">
        <v>9</v>
      </c>
      <c r="AL455" s="25" t="s">
        <v>9</v>
      </c>
      <c r="AM455" s="31">
        <v>3</v>
      </c>
      <c r="AN455" s="26" t="s">
        <v>9</v>
      </c>
      <c r="AO455" s="26" t="s">
        <v>9</v>
      </c>
      <c r="AP455" s="26" t="s">
        <v>9</v>
      </c>
      <c r="AQ455" s="26" t="s">
        <v>9</v>
      </c>
      <c r="AR455" s="26" t="s">
        <v>9</v>
      </c>
      <c r="AS455" s="26" t="s">
        <v>9</v>
      </c>
      <c r="AT455" s="26" t="s">
        <v>9</v>
      </c>
      <c r="AU455" s="26" t="s">
        <v>9</v>
      </c>
      <c r="AV455" s="26" t="s">
        <v>9</v>
      </c>
      <c r="AW455" s="26" t="s">
        <v>9</v>
      </c>
      <c r="AX455" s="26" t="s">
        <v>9</v>
      </c>
      <c r="AY455" s="26" t="s">
        <v>9</v>
      </c>
      <c r="AZ455" s="26" t="s">
        <v>9</v>
      </c>
      <c r="BA455" s="23">
        <v>3</v>
      </c>
      <c r="BB455" s="24" t="s">
        <v>9</v>
      </c>
    </row>
    <row r="456" spans="1:54" x14ac:dyDescent="0.2">
      <c r="A456" s="5">
        <v>4556</v>
      </c>
      <c r="B456" s="20" t="s">
        <v>9</v>
      </c>
      <c r="C456" s="27" t="s">
        <v>9</v>
      </c>
      <c r="D456" s="27" t="s">
        <v>9</v>
      </c>
      <c r="E456" s="27" t="s">
        <v>9</v>
      </c>
      <c r="F456" s="18" t="s">
        <v>9</v>
      </c>
      <c r="G456" s="27" t="s">
        <v>9</v>
      </c>
      <c r="H456" s="22" t="s">
        <v>8</v>
      </c>
      <c r="I456" s="22" t="s">
        <v>8</v>
      </c>
      <c r="J456" s="22" t="s">
        <v>8</v>
      </c>
      <c r="K456" s="22" t="s">
        <v>8</v>
      </c>
      <c r="L456" s="22" t="s">
        <v>8</v>
      </c>
      <c r="M456" s="22" t="s">
        <v>8</v>
      </c>
      <c r="N456" s="22" t="s">
        <v>8</v>
      </c>
      <c r="O456" s="22" t="s">
        <v>8</v>
      </c>
      <c r="P456" s="22" t="s">
        <v>8</v>
      </c>
      <c r="Q456" s="22" t="s">
        <v>8</v>
      </c>
      <c r="R456" s="22" t="s">
        <v>8</v>
      </c>
      <c r="S456" s="22" t="s">
        <v>8</v>
      </c>
      <c r="T456" s="20" t="s">
        <v>9</v>
      </c>
      <c r="U456" s="20" t="s">
        <v>9</v>
      </c>
      <c r="V456" s="20" t="s">
        <v>1</v>
      </c>
      <c r="W456" s="20">
        <v>5</v>
      </c>
      <c r="X456" s="20">
        <v>2</v>
      </c>
      <c r="Y456" s="20">
        <v>2</v>
      </c>
      <c r="Z456" s="24">
        <v>4</v>
      </c>
      <c r="AA456" s="20">
        <v>3</v>
      </c>
      <c r="AB456" s="15" t="s">
        <v>9</v>
      </c>
      <c r="AC456" s="15" t="s">
        <v>9</v>
      </c>
      <c r="AD456" s="15" t="s">
        <v>9</v>
      </c>
      <c r="AE456" s="15" t="s">
        <v>9</v>
      </c>
      <c r="AF456" s="20" t="s">
        <v>9</v>
      </c>
      <c r="AG456" s="20" t="s">
        <v>9</v>
      </c>
      <c r="AH456" s="20" t="s">
        <v>9</v>
      </c>
      <c r="AI456" s="23">
        <v>3</v>
      </c>
      <c r="AJ456" s="15" t="s">
        <v>9</v>
      </c>
      <c r="AK456" s="15" t="s">
        <v>9</v>
      </c>
      <c r="AL456" s="25" t="s">
        <v>9</v>
      </c>
      <c r="AM456" s="31">
        <v>3</v>
      </c>
      <c r="AN456" s="26" t="s">
        <v>9</v>
      </c>
      <c r="AO456" s="26" t="s">
        <v>9</v>
      </c>
      <c r="AP456" s="26" t="s">
        <v>9</v>
      </c>
      <c r="AQ456" s="26" t="s">
        <v>9</v>
      </c>
      <c r="AR456" s="26" t="s">
        <v>9</v>
      </c>
      <c r="AS456" s="26" t="s">
        <v>9</v>
      </c>
      <c r="AT456" s="26" t="s">
        <v>9</v>
      </c>
      <c r="AU456" s="26" t="s">
        <v>9</v>
      </c>
      <c r="AV456" s="26" t="s">
        <v>9</v>
      </c>
      <c r="AW456" s="26" t="s">
        <v>9</v>
      </c>
      <c r="AX456" s="26" t="s">
        <v>9</v>
      </c>
      <c r="AY456" s="26" t="s">
        <v>9</v>
      </c>
      <c r="AZ456" s="26" t="s">
        <v>9</v>
      </c>
      <c r="BA456" s="23">
        <v>3</v>
      </c>
      <c r="BB456" s="24" t="s">
        <v>9</v>
      </c>
    </row>
    <row r="457" spans="1:54" x14ac:dyDescent="0.2">
      <c r="A457" s="5">
        <v>4575</v>
      </c>
      <c r="B457" s="20" t="s">
        <v>9</v>
      </c>
      <c r="C457" s="27" t="s">
        <v>9</v>
      </c>
      <c r="D457" s="27" t="s">
        <v>9</v>
      </c>
      <c r="E457" s="27" t="s">
        <v>9</v>
      </c>
      <c r="F457" s="18" t="s">
        <v>9</v>
      </c>
      <c r="G457" s="27" t="s">
        <v>9</v>
      </c>
      <c r="H457" s="22" t="s">
        <v>8</v>
      </c>
      <c r="I457" s="22" t="s">
        <v>8</v>
      </c>
      <c r="J457" s="22" t="s">
        <v>8</v>
      </c>
      <c r="K457" s="22" t="s">
        <v>8</v>
      </c>
      <c r="L457" s="22" t="s">
        <v>8</v>
      </c>
      <c r="M457" s="22" t="s">
        <v>8</v>
      </c>
      <c r="N457" s="22" t="s">
        <v>8</v>
      </c>
      <c r="O457" s="22" t="s">
        <v>8</v>
      </c>
      <c r="P457" s="22" t="s">
        <v>8</v>
      </c>
      <c r="Q457" s="22" t="s">
        <v>8</v>
      </c>
      <c r="R457" s="22" t="s">
        <v>8</v>
      </c>
      <c r="S457" s="22" t="s">
        <v>8</v>
      </c>
      <c r="T457" s="20" t="s">
        <v>9</v>
      </c>
      <c r="U457" s="20" t="s">
        <v>9</v>
      </c>
      <c r="V457" s="20" t="s">
        <v>1</v>
      </c>
      <c r="W457" s="20">
        <v>5</v>
      </c>
      <c r="X457" s="20">
        <v>2</v>
      </c>
      <c r="Y457" s="20">
        <v>2</v>
      </c>
      <c r="Z457" s="24">
        <v>4</v>
      </c>
      <c r="AA457" s="20">
        <v>3</v>
      </c>
      <c r="AB457" s="15" t="s">
        <v>9</v>
      </c>
      <c r="AC457" s="15" t="s">
        <v>9</v>
      </c>
      <c r="AD457" s="15" t="s">
        <v>9</v>
      </c>
      <c r="AE457" s="15" t="s">
        <v>9</v>
      </c>
      <c r="AF457" s="20" t="s">
        <v>9</v>
      </c>
      <c r="AG457" s="20" t="s">
        <v>9</v>
      </c>
      <c r="AH457" s="20" t="s">
        <v>9</v>
      </c>
      <c r="AI457" s="23">
        <v>3</v>
      </c>
      <c r="AJ457" s="15" t="s">
        <v>9</v>
      </c>
      <c r="AK457" s="15" t="s">
        <v>9</v>
      </c>
      <c r="AL457" s="25" t="s">
        <v>9</v>
      </c>
      <c r="AM457" s="31">
        <v>3</v>
      </c>
      <c r="AN457" s="26" t="s">
        <v>9</v>
      </c>
      <c r="AO457" s="26" t="s">
        <v>9</v>
      </c>
      <c r="AP457" s="26" t="s">
        <v>9</v>
      </c>
      <c r="AQ457" s="26" t="s">
        <v>9</v>
      </c>
      <c r="AR457" s="26" t="s">
        <v>9</v>
      </c>
      <c r="AS457" s="26" t="s">
        <v>9</v>
      </c>
      <c r="AT457" s="26" t="s">
        <v>9</v>
      </c>
      <c r="AU457" s="26" t="s">
        <v>9</v>
      </c>
      <c r="AV457" s="26" t="s">
        <v>9</v>
      </c>
      <c r="AW457" s="26" t="s">
        <v>9</v>
      </c>
      <c r="AX457" s="26" t="s">
        <v>9</v>
      </c>
      <c r="AY457" s="26" t="s">
        <v>9</v>
      </c>
      <c r="AZ457" s="26" t="s">
        <v>9</v>
      </c>
      <c r="BA457" s="23">
        <v>3</v>
      </c>
      <c r="BB457" s="24" t="s">
        <v>9</v>
      </c>
    </row>
    <row r="458" spans="1:54" x14ac:dyDescent="0.2">
      <c r="A458" s="5">
        <v>4659</v>
      </c>
      <c r="B458" s="20" t="s">
        <v>9</v>
      </c>
      <c r="C458" s="27" t="s">
        <v>9</v>
      </c>
      <c r="D458" s="27" t="s">
        <v>9</v>
      </c>
      <c r="E458" s="27" t="s">
        <v>9</v>
      </c>
      <c r="F458" s="18" t="s">
        <v>9</v>
      </c>
      <c r="G458" s="27" t="s">
        <v>9</v>
      </c>
      <c r="H458" s="22" t="s">
        <v>8</v>
      </c>
      <c r="I458" s="22" t="s">
        <v>8</v>
      </c>
      <c r="J458" s="22" t="s">
        <v>8</v>
      </c>
      <c r="K458" s="22" t="s">
        <v>8</v>
      </c>
      <c r="L458" s="22" t="s">
        <v>8</v>
      </c>
      <c r="M458" s="22" t="s">
        <v>8</v>
      </c>
      <c r="N458" s="22" t="s">
        <v>8</v>
      </c>
      <c r="O458" s="22" t="s">
        <v>8</v>
      </c>
      <c r="P458" s="22" t="s">
        <v>8</v>
      </c>
      <c r="Q458" s="22" t="s">
        <v>8</v>
      </c>
      <c r="R458" s="22" t="s">
        <v>8</v>
      </c>
      <c r="S458" s="22" t="s">
        <v>8</v>
      </c>
      <c r="T458" s="20" t="s">
        <v>9</v>
      </c>
      <c r="U458" s="20" t="s">
        <v>9</v>
      </c>
      <c r="V458" s="20" t="s">
        <v>1</v>
      </c>
      <c r="W458" s="20">
        <v>5</v>
      </c>
      <c r="X458" s="20">
        <v>2</v>
      </c>
      <c r="Y458" s="20">
        <v>2</v>
      </c>
      <c r="Z458" s="24">
        <v>4</v>
      </c>
      <c r="AA458" s="20">
        <v>3</v>
      </c>
      <c r="AB458" s="15" t="s">
        <v>9</v>
      </c>
      <c r="AC458" s="15" t="s">
        <v>9</v>
      </c>
      <c r="AD458" s="15" t="s">
        <v>9</v>
      </c>
      <c r="AE458" s="15" t="s">
        <v>9</v>
      </c>
      <c r="AF458" s="20" t="s">
        <v>9</v>
      </c>
      <c r="AG458" s="20" t="s">
        <v>9</v>
      </c>
      <c r="AH458" s="20" t="s">
        <v>9</v>
      </c>
      <c r="AI458" s="23">
        <v>3</v>
      </c>
      <c r="AJ458" s="15" t="s">
        <v>9</v>
      </c>
      <c r="AK458" s="15" t="s">
        <v>9</v>
      </c>
      <c r="AL458" s="25" t="s">
        <v>9</v>
      </c>
      <c r="AM458" s="31">
        <v>3</v>
      </c>
      <c r="AN458" s="26" t="s">
        <v>9</v>
      </c>
      <c r="AO458" s="26" t="s">
        <v>9</v>
      </c>
      <c r="AP458" s="26" t="s">
        <v>9</v>
      </c>
      <c r="AQ458" s="26" t="s">
        <v>9</v>
      </c>
      <c r="AR458" s="26" t="s">
        <v>9</v>
      </c>
      <c r="AS458" s="26" t="s">
        <v>9</v>
      </c>
      <c r="AT458" s="26" t="s">
        <v>9</v>
      </c>
      <c r="AU458" s="26" t="s">
        <v>9</v>
      </c>
      <c r="AV458" s="26" t="s">
        <v>9</v>
      </c>
      <c r="AW458" s="26" t="s">
        <v>9</v>
      </c>
      <c r="AX458" s="26" t="s">
        <v>9</v>
      </c>
      <c r="AY458" s="26" t="s">
        <v>9</v>
      </c>
      <c r="AZ458" s="26" t="s">
        <v>9</v>
      </c>
      <c r="BA458" s="23">
        <v>3</v>
      </c>
      <c r="BB458" s="24" t="s">
        <v>9</v>
      </c>
    </row>
    <row r="459" spans="1:54" x14ac:dyDescent="0.2">
      <c r="A459" s="5">
        <v>4660</v>
      </c>
      <c r="B459" s="20" t="s">
        <v>9</v>
      </c>
      <c r="C459" s="27" t="s">
        <v>9</v>
      </c>
      <c r="D459" s="27" t="s">
        <v>9</v>
      </c>
      <c r="E459" s="27" t="s">
        <v>9</v>
      </c>
      <c r="F459" s="18" t="s">
        <v>9</v>
      </c>
      <c r="G459" s="27" t="s">
        <v>9</v>
      </c>
      <c r="H459" s="22" t="s">
        <v>8</v>
      </c>
      <c r="I459" s="22" t="s">
        <v>8</v>
      </c>
      <c r="J459" s="22" t="s">
        <v>8</v>
      </c>
      <c r="K459" s="22" t="s">
        <v>8</v>
      </c>
      <c r="L459" s="22" t="s">
        <v>8</v>
      </c>
      <c r="M459" s="22" t="s">
        <v>8</v>
      </c>
      <c r="N459" s="22" t="s">
        <v>8</v>
      </c>
      <c r="O459" s="22" t="s">
        <v>8</v>
      </c>
      <c r="P459" s="22" t="s">
        <v>8</v>
      </c>
      <c r="Q459" s="22" t="s">
        <v>8</v>
      </c>
      <c r="R459" s="22" t="s">
        <v>8</v>
      </c>
      <c r="S459" s="22" t="s">
        <v>8</v>
      </c>
      <c r="T459" s="20" t="s">
        <v>9</v>
      </c>
      <c r="U459" s="20" t="s">
        <v>9</v>
      </c>
      <c r="V459" s="20" t="s">
        <v>1</v>
      </c>
      <c r="W459" s="20">
        <v>5</v>
      </c>
      <c r="X459" s="20">
        <v>2</v>
      </c>
      <c r="Y459" s="20">
        <v>2</v>
      </c>
      <c r="Z459" s="24">
        <v>4</v>
      </c>
      <c r="AA459" s="20">
        <v>3</v>
      </c>
      <c r="AB459" s="15" t="s">
        <v>9</v>
      </c>
      <c r="AC459" s="15" t="s">
        <v>9</v>
      </c>
      <c r="AD459" s="15" t="s">
        <v>9</v>
      </c>
      <c r="AE459" s="15" t="s">
        <v>9</v>
      </c>
      <c r="AF459" s="20" t="s">
        <v>9</v>
      </c>
      <c r="AG459" s="20" t="s">
        <v>9</v>
      </c>
      <c r="AH459" s="20" t="s">
        <v>9</v>
      </c>
      <c r="AI459" s="23">
        <v>3</v>
      </c>
      <c r="AJ459" s="15" t="s">
        <v>9</v>
      </c>
      <c r="AK459" s="15" t="s">
        <v>9</v>
      </c>
      <c r="AL459" s="25" t="s">
        <v>9</v>
      </c>
      <c r="AM459" s="31">
        <v>3</v>
      </c>
      <c r="AN459" s="26" t="s">
        <v>9</v>
      </c>
      <c r="AO459" s="26" t="s">
        <v>9</v>
      </c>
      <c r="AP459" s="26" t="s">
        <v>9</v>
      </c>
      <c r="AQ459" s="26" t="s">
        <v>9</v>
      </c>
      <c r="AR459" s="26" t="s">
        <v>9</v>
      </c>
      <c r="AS459" s="26" t="s">
        <v>9</v>
      </c>
      <c r="AT459" s="26" t="s">
        <v>9</v>
      </c>
      <c r="AU459" s="26" t="s">
        <v>9</v>
      </c>
      <c r="AV459" s="26" t="s">
        <v>9</v>
      </c>
      <c r="AW459" s="26" t="s">
        <v>9</v>
      </c>
      <c r="AX459" s="26" t="s">
        <v>9</v>
      </c>
      <c r="AY459" s="26" t="s">
        <v>9</v>
      </c>
      <c r="AZ459" s="26" t="s">
        <v>9</v>
      </c>
      <c r="BA459" s="23">
        <v>3</v>
      </c>
      <c r="BB459" s="24" t="s">
        <v>9</v>
      </c>
    </row>
    <row r="460" spans="1:54" x14ac:dyDescent="0.2">
      <c r="A460" s="5">
        <v>4722</v>
      </c>
      <c r="B460" s="20" t="s">
        <v>9</v>
      </c>
      <c r="C460" s="27" t="s">
        <v>9</v>
      </c>
      <c r="D460" s="27" t="s">
        <v>9</v>
      </c>
      <c r="E460" s="27" t="s">
        <v>9</v>
      </c>
      <c r="F460" s="18" t="s">
        <v>9</v>
      </c>
      <c r="G460" s="27" t="s">
        <v>9</v>
      </c>
      <c r="H460" s="22" t="s">
        <v>8</v>
      </c>
      <c r="I460" s="22" t="s">
        <v>8</v>
      </c>
      <c r="J460" s="22" t="s">
        <v>8</v>
      </c>
      <c r="K460" s="22" t="s">
        <v>8</v>
      </c>
      <c r="L460" s="22" t="s">
        <v>8</v>
      </c>
      <c r="M460" s="22" t="s">
        <v>8</v>
      </c>
      <c r="N460" s="22" t="s">
        <v>8</v>
      </c>
      <c r="O460" s="22" t="s">
        <v>8</v>
      </c>
      <c r="P460" s="22" t="s">
        <v>8</v>
      </c>
      <c r="Q460" s="22" t="s">
        <v>8</v>
      </c>
      <c r="R460" s="22" t="s">
        <v>8</v>
      </c>
      <c r="S460" s="22" t="s">
        <v>8</v>
      </c>
      <c r="T460" s="20" t="s">
        <v>9</v>
      </c>
      <c r="U460" s="20" t="s">
        <v>9</v>
      </c>
      <c r="V460" s="20" t="s">
        <v>1</v>
      </c>
      <c r="W460" s="20">
        <v>5</v>
      </c>
      <c r="X460" s="20">
        <v>2</v>
      </c>
      <c r="Y460" s="20">
        <v>2</v>
      </c>
      <c r="Z460" s="24">
        <v>4</v>
      </c>
      <c r="AA460" s="20">
        <v>3</v>
      </c>
      <c r="AB460" s="15" t="s">
        <v>9</v>
      </c>
      <c r="AC460" s="15" t="s">
        <v>9</v>
      </c>
      <c r="AD460" s="15" t="s">
        <v>9</v>
      </c>
      <c r="AE460" s="15" t="s">
        <v>9</v>
      </c>
      <c r="AF460" s="20" t="s">
        <v>9</v>
      </c>
      <c r="AG460" s="20" t="s">
        <v>9</v>
      </c>
      <c r="AH460" s="20" t="s">
        <v>9</v>
      </c>
      <c r="AI460" s="23">
        <v>3</v>
      </c>
      <c r="AJ460" s="15" t="s">
        <v>9</v>
      </c>
      <c r="AK460" s="15" t="s">
        <v>9</v>
      </c>
      <c r="AL460" s="25" t="s">
        <v>9</v>
      </c>
      <c r="AM460" s="31">
        <v>3</v>
      </c>
      <c r="AN460" s="26" t="s">
        <v>9</v>
      </c>
      <c r="AO460" s="26" t="s">
        <v>9</v>
      </c>
      <c r="AP460" s="26" t="s">
        <v>9</v>
      </c>
      <c r="AQ460" s="26" t="s">
        <v>9</v>
      </c>
      <c r="AR460" s="26" t="s">
        <v>9</v>
      </c>
      <c r="AS460" s="26" t="s">
        <v>9</v>
      </c>
      <c r="AT460" s="26" t="s">
        <v>9</v>
      </c>
      <c r="AU460" s="26" t="s">
        <v>9</v>
      </c>
      <c r="AV460" s="26" t="s">
        <v>9</v>
      </c>
      <c r="AW460" s="26" t="s">
        <v>9</v>
      </c>
      <c r="AX460" s="26" t="s">
        <v>9</v>
      </c>
      <c r="AY460" s="26" t="s">
        <v>9</v>
      </c>
      <c r="AZ460" s="26" t="s">
        <v>9</v>
      </c>
      <c r="BA460" s="23">
        <v>3</v>
      </c>
      <c r="BB460" s="24" t="s">
        <v>9</v>
      </c>
    </row>
    <row r="461" spans="1:54" x14ac:dyDescent="0.2">
      <c r="A461" s="5">
        <v>4754</v>
      </c>
      <c r="B461" s="20" t="s">
        <v>9</v>
      </c>
      <c r="C461" s="27" t="s">
        <v>9</v>
      </c>
      <c r="D461" s="27" t="s">
        <v>9</v>
      </c>
      <c r="E461" s="27" t="s">
        <v>9</v>
      </c>
      <c r="F461" s="18" t="s">
        <v>9</v>
      </c>
      <c r="G461" s="27" t="s">
        <v>9</v>
      </c>
      <c r="H461" s="22" t="s">
        <v>8</v>
      </c>
      <c r="I461" s="22" t="s">
        <v>8</v>
      </c>
      <c r="J461" s="22" t="s">
        <v>8</v>
      </c>
      <c r="K461" s="22" t="s">
        <v>8</v>
      </c>
      <c r="L461" s="22" t="s">
        <v>8</v>
      </c>
      <c r="M461" s="22" t="s">
        <v>8</v>
      </c>
      <c r="N461" s="22" t="s">
        <v>8</v>
      </c>
      <c r="O461" s="22" t="s">
        <v>8</v>
      </c>
      <c r="P461" s="22" t="s">
        <v>8</v>
      </c>
      <c r="Q461" s="22" t="s">
        <v>8</v>
      </c>
      <c r="R461" s="22" t="s">
        <v>8</v>
      </c>
      <c r="S461" s="22" t="s">
        <v>8</v>
      </c>
      <c r="T461" s="20" t="s">
        <v>9</v>
      </c>
      <c r="U461" s="20" t="s">
        <v>9</v>
      </c>
      <c r="V461" s="20" t="s">
        <v>1</v>
      </c>
      <c r="W461" s="20">
        <v>5</v>
      </c>
      <c r="X461" s="20">
        <v>2</v>
      </c>
      <c r="Y461" s="20">
        <v>2</v>
      </c>
      <c r="Z461" s="24">
        <v>4</v>
      </c>
      <c r="AA461" s="20">
        <v>3</v>
      </c>
      <c r="AB461" s="15" t="s">
        <v>9</v>
      </c>
      <c r="AC461" s="15" t="s">
        <v>9</v>
      </c>
      <c r="AD461" s="15" t="s">
        <v>9</v>
      </c>
      <c r="AE461" s="15" t="s">
        <v>9</v>
      </c>
      <c r="AF461" s="20" t="s">
        <v>9</v>
      </c>
      <c r="AG461" s="20" t="s">
        <v>9</v>
      </c>
      <c r="AH461" s="20" t="s">
        <v>9</v>
      </c>
      <c r="AI461" s="23">
        <v>3</v>
      </c>
      <c r="AJ461" s="15" t="s">
        <v>9</v>
      </c>
      <c r="AK461" s="15" t="s">
        <v>9</v>
      </c>
      <c r="AL461" s="25" t="s">
        <v>9</v>
      </c>
      <c r="AM461" s="31">
        <v>3</v>
      </c>
      <c r="AN461" s="26" t="s">
        <v>9</v>
      </c>
      <c r="AO461" s="26" t="s">
        <v>9</v>
      </c>
      <c r="AP461" s="26" t="s">
        <v>9</v>
      </c>
      <c r="AQ461" s="26" t="s">
        <v>9</v>
      </c>
      <c r="AR461" s="26" t="s">
        <v>9</v>
      </c>
      <c r="AS461" s="26" t="s">
        <v>9</v>
      </c>
      <c r="AT461" s="26" t="s">
        <v>9</v>
      </c>
      <c r="AU461" s="26" t="s">
        <v>9</v>
      </c>
      <c r="AV461" s="26" t="s">
        <v>9</v>
      </c>
      <c r="AW461" s="26" t="s">
        <v>9</v>
      </c>
      <c r="AX461" s="26" t="s">
        <v>9</v>
      </c>
      <c r="AY461" s="26" t="s">
        <v>9</v>
      </c>
      <c r="AZ461" s="26" t="s">
        <v>9</v>
      </c>
      <c r="BA461" s="23">
        <v>3</v>
      </c>
      <c r="BB461" s="24" t="s">
        <v>9</v>
      </c>
    </row>
    <row r="462" spans="1:54" x14ac:dyDescent="0.2">
      <c r="A462" s="5">
        <v>4791</v>
      </c>
      <c r="B462" s="20" t="s">
        <v>9</v>
      </c>
      <c r="C462" s="27" t="s">
        <v>9</v>
      </c>
      <c r="D462" s="27" t="s">
        <v>9</v>
      </c>
      <c r="E462" s="27" t="s">
        <v>9</v>
      </c>
      <c r="F462" s="18" t="s">
        <v>9</v>
      </c>
      <c r="G462" s="27" t="s">
        <v>9</v>
      </c>
      <c r="H462" s="22" t="s">
        <v>8</v>
      </c>
      <c r="I462" s="22" t="s">
        <v>8</v>
      </c>
      <c r="J462" s="22" t="s">
        <v>8</v>
      </c>
      <c r="K462" s="22" t="s">
        <v>8</v>
      </c>
      <c r="L462" s="22" t="s">
        <v>8</v>
      </c>
      <c r="M462" s="22" t="s">
        <v>8</v>
      </c>
      <c r="N462" s="22" t="s">
        <v>8</v>
      </c>
      <c r="O462" s="22" t="s">
        <v>8</v>
      </c>
      <c r="P462" s="22" t="s">
        <v>8</v>
      </c>
      <c r="Q462" s="22" t="s">
        <v>8</v>
      </c>
      <c r="R462" s="22" t="s">
        <v>8</v>
      </c>
      <c r="S462" s="22" t="s">
        <v>8</v>
      </c>
      <c r="T462" s="20" t="s">
        <v>9</v>
      </c>
      <c r="U462" s="20" t="s">
        <v>9</v>
      </c>
      <c r="V462" s="20" t="s">
        <v>1</v>
      </c>
      <c r="W462" s="20">
        <v>5</v>
      </c>
      <c r="X462" s="20">
        <v>2</v>
      </c>
      <c r="Y462" s="20">
        <v>2</v>
      </c>
      <c r="Z462" s="24">
        <v>4</v>
      </c>
      <c r="AA462" s="20">
        <v>3</v>
      </c>
      <c r="AB462" s="15" t="s">
        <v>9</v>
      </c>
      <c r="AC462" s="15" t="s">
        <v>9</v>
      </c>
      <c r="AD462" s="15" t="s">
        <v>9</v>
      </c>
      <c r="AE462" s="15" t="s">
        <v>9</v>
      </c>
      <c r="AF462" s="20" t="s">
        <v>9</v>
      </c>
      <c r="AG462" s="20" t="s">
        <v>9</v>
      </c>
      <c r="AH462" s="20" t="s">
        <v>9</v>
      </c>
      <c r="AI462" s="23">
        <v>3</v>
      </c>
      <c r="AJ462" s="15" t="s">
        <v>9</v>
      </c>
      <c r="AK462" s="15" t="s">
        <v>9</v>
      </c>
      <c r="AL462" s="25" t="s">
        <v>9</v>
      </c>
      <c r="AM462" s="31">
        <v>3</v>
      </c>
      <c r="AN462" s="26" t="s">
        <v>9</v>
      </c>
      <c r="AO462" s="26" t="s">
        <v>9</v>
      </c>
      <c r="AP462" s="26" t="s">
        <v>9</v>
      </c>
      <c r="AQ462" s="26" t="s">
        <v>9</v>
      </c>
      <c r="AR462" s="26" t="s">
        <v>9</v>
      </c>
      <c r="AS462" s="26" t="s">
        <v>9</v>
      </c>
      <c r="AT462" s="26" t="s">
        <v>9</v>
      </c>
      <c r="AU462" s="26" t="s">
        <v>9</v>
      </c>
      <c r="AV462" s="26" t="s">
        <v>9</v>
      </c>
      <c r="AW462" s="26" t="s">
        <v>9</v>
      </c>
      <c r="AX462" s="26" t="s">
        <v>9</v>
      </c>
      <c r="AY462" s="26" t="s">
        <v>9</v>
      </c>
      <c r="AZ462" s="26" t="s">
        <v>9</v>
      </c>
      <c r="BA462" s="23">
        <v>3</v>
      </c>
      <c r="BB462" s="24" t="s">
        <v>9</v>
      </c>
    </row>
    <row r="463" spans="1:54" x14ac:dyDescent="0.2">
      <c r="A463" s="5">
        <v>4794</v>
      </c>
      <c r="B463" s="20" t="s">
        <v>9</v>
      </c>
      <c r="C463" s="27" t="s">
        <v>9</v>
      </c>
      <c r="D463" s="27" t="s">
        <v>9</v>
      </c>
      <c r="E463" s="27" t="s">
        <v>9</v>
      </c>
      <c r="F463" s="18" t="s">
        <v>9</v>
      </c>
      <c r="G463" s="27" t="s">
        <v>9</v>
      </c>
      <c r="H463" s="22" t="s">
        <v>8</v>
      </c>
      <c r="I463" s="22" t="s">
        <v>8</v>
      </c>
      <c r="J463" s="22" t="s">
        <v>8</v>
      </c>
      <c r="K463" s="22" t="s">
        <v>8</v>
      </c>
      <c r="L463" s="22" t="s">
        <v>8</v>
      </c>
      <c r="M463" s="22" t="s">
        <v>8</v>
      </c>
      <c r="N463" s="22" t="s">
        <v>8</v>
      </c>
      <c r="O463" s="22" t="s">
        <v>8</v>
      </c>
      <c r="P463" s="22" t="s">
        <v>8</v>
      </c>
      <c r="Q463" s="22" t="s">
        <v>8</v>
      </c>
      <c r="R463" s="22" t="s">
        <v>8</v>
      </c>
      <c r="S463" s="22" t="s">
        <v>8</v>
      </c>
      <c r="T463" s="20" t="s">
        <v>9</v>
      </c>
      <c r="U463" s="20" t="s">
        <v>9</v>
      </c>
      <c r="V463" s="20" t="s">
        <v>1</v>
      </c>
      <c r="W463" s="20">
        <v>5</v>
      </c>
      <c r="X463" s="20">
        <v>2</v>
      </c>
      <c r="Y463" s="20">
        <v>2</v>
      </c>
      <c r="Z463" s="24">
        <v>4</v>
      </c>
      <c r="AA463" s="20">
        <v>3</v>
      </c>
      <c r="AB463" s="15" t="s">
        <v>9</v>
      </c>
      <c r="AC463" s="15" t="s">
        <v>9</v>
      </c>
      <c r="AD463" s="15" t="s">
        <v>9</v>
      </c>
      <c r="AE463" s="15" t="s">
        <v>9</v>
      </c>
      <c r="AF463" s="20" t="s">
        <v>9</v>
      </c>
      <c r="AG463" s="20" t="s">
        <v>9</v>
      </c>
      <c r="AH463" s="20" t="s">
        <v>9</v>
      </c>
      <c r="AI463" s="23">
        <v>3</v>
      </c>
      <c r="AJ463" s="15" t="s">
        <v>9</v>
      </c>
      <c r="AK463" s="15" t="s">
        <v>9</v>
      </c>
      <c r="AL463" s="25" t="s">
        <v>9</v>
      </c>
      <c r="AM463" s="31">
        <v>3</v>
      </c>
      <c r="AN463" s="26" t="s">
        <v>9</v>
      </c>
      <c r="AO463" s="26" t="s">
        <v>9</v>
      </c>
      <c r="AP463" s="26" t="s">
        <v>9</v>
      </c>
      <c r="AQ463" s="26" t="s">
        <v>9</v>
      </c>
      <c r="AR463" s="26" t="s">
        <v>9</v>
      </c>
      <c r="AS463" s="26" t="s">
        <v>9</v>
      </c>
      <c r="AT463" s="26" t="s">
        <v>9</v>
      </c>
      <c r="AU463" s="26" t="s">
        <v>9</v>
      </c>
      <c r="AV463" s="26" t="s">
        <v>9</v>
      </c>
      <c r="AW463" s="26" t="s">
        <v>9</v>
      </c>
      <c r="AX463" s="26" t="s">
        <v>9</v>
      </c>
      <c r="AY463" s="26" t="s">
        <v>9</v>
      </c>
      <c r="AZ463" s="26" t="s">
        <v>9</v>
      </c>
      <c r="BA463" s="23">
        <v>3</v>
      </c>
      <c r="BB463" s="24" t="s">
        <v>9</v>
      </c>
    </row>
    <row r="464" spans="1:54" x14ac:dyDescent="0.2">
      <c r="A464" s="5">
        <v>4799</v>
      </c>
      <c r="B464" s="20" t="s">
        <v>9</v>
      </c>
      <c r="C464" s="27" t="s">
        <v>9</v>
      </c>
      <c r="D464" s="27" t="s">
        <v>9</v>
      </c>
      <c r="E464" s="27" t="s">
        <v>9</v>
      </c>
      <c r="F464" s="18" t="s">
        <v>9</v>
      </c>
      <c r="G464" s="27" t="s">
        <v>9</v>
      </c>
      <c r="H464" s="22" t="s">
        <v>8</v>
      </c>
      <c r="I464" s="22" t="s">
        <v>8</v>
      </c>
      <c r="J464" s="22" t="s">
        <v>8</v>
      </c>
      <c r="K464" s="22" t="s">
        <v>8</v>
      </c>
      <c r="L464" s="22" t="s">
        <v>8</v>
      </c>
      <c r="M464" s="22" t="s">
        <v>8</v>
      </c>
      <c r="N464" s="22" t="s">
        <v>8</v>
      </c>
      <c r="O464" s="22" t="s">
        <v>8</v>
      </c>
      <c r="P464" s="22" t="s">
        <v>8</v>
      </c>
      <c r="Q464" s="22" t="s">
        <v>8</v>
      </c>
      <c r="R464" s="22" t="s">
        <v>8</v>
      </c>
      <c r="S464" s="22" t="s">
        <v>8</v>
      </c>
      <c r="T464" s="20" t="s">
        <v>9</v>
      </c>
      <c r="U464" s="20" t="s">
        <v>9</v>
      </c>
      <c r="V464" s="20" t="s">
        <v>1</v>
      </c>
      <c r="W464" s="20">
        <v>5</v>
      </c>
      <c r="X464" s="20">
        <v>2</v>
      </c>
      <c r="Y464" s="20">
        <v>2</v>
      </c>
      <c r="Z464" s="24">
        <v>4</v>
      </c>
      <c r="AA464" s="20">
        <v>3</v>
      </c>
      <c r="AB464" s="15" t="s">
        <v>9</v>
      </c>
      <c r="AC464" s="15" t="s">
        <v>9</v>
      </c>
      <c r="AD464" s="15" t="s">
        <v>9</v>
      </c>
      <c r="AE464" s="15" t="s">
        <v>9</v>
      </c>
      <c r="AF464" s="20" t="s">
        <v>9</v>
      </c>
      <c r="AG464" s="20" t="s">
        <v>9</v>
      </c>
      <c r="AH464" s="20" t="s">
        <v>9</v>
      </c>
      <c r="AI464" s="23">
        <v>3</v>
      </c>
      <c r="AJ464" s="15" t="s">
        <v>9</v>
      </c>
      <c r="AK464" s="15" t="s">
        <v>9</v>
      </c>
      <c r="AL464" s="25" t="s">
        <v>9</v>
      </c>
      <c r="AM464" s="31">
        <v>3</v>
      </c>
      <c r="AN464" s="26" t="s">
        <v>9</v>
      </c>
      <c r="AO464" s="26" t="s">
        <v>9</v>
      </c>
      <c r="AP464" s="26" t="s">
        <v>9</v>
      </c>
      <c r="AQ464" s="26" t="s">
        <v>9</v>
      </c>
      <c r="AR464" s="26" t="s">
        <v>9</v>
      </c>
      <c r="AS464" s="26" t="s">
        <v>9</v>
      </c>
      <c r="AT464" s="26" t="s">
        <v>9</v>
      </c>
      <c r="AU464" s="26" t="s">
        <v>9</v>
      </c>
      <c r="AV464" s="26" t="s">
        <v>9</v>
      </c>
      <c r="AW464" s="26" t="s">
        <v>9</v>
      </c>
      <c r="AX464" s="26" t="s">
        <v>9</v>
      </c>
      <c r="AY464" s="26" t="s">
        <v>9</v>
      </c>
      <c r="AZ464" s="26" t="s">
        <v>9</v>
      </c>
      <c r="BA464" s="23">
        <v>3</v>
      </c>
      <c r="BB464" s="24" t="s">
        <v>9</v>
      </c>
    </row>
    <row r="465" spans="1:54" s="37" customFormat="1" ht="17" thickBot="1" x14ac:dyDescent="0.25">
      <c r="A465" s="42">
        <v>4828</v>
      </c>
      <c r="B465" s="37" t="s">
        <v>9</v>
      </c>
      <c r="C465" s="35" t="s">
        <v>9</v>
      </c>
      <c r="D465" s="35" t="s">
        <v>9</v>
      </c>
      <c r="E465" s="35" t="s">
        <v>9</v>
      </c>
      <c r="F465" s="45" t="s">
        <v>9</v>
      </c>
      <c r="G465" s="35" t="s">
        <v>9</v>
      </c>
      <c r="H465" s="36" t="s">
        <v>8</v>
      </c>
      <c r="I465" s="36" t="s">
        <v>8</v>
      </c>
      <c r="J465" s="36" t="s">
        <v>8</v>
      </c>
      <c r="K465" s="36" t="s">
        <v>8</v>
      </c>
      <c r="L465" s="36" t="s">
        <v>8</v>
      </c>
      <c r="M465" s="36" t="s">
        <v>8</v>
      </c>
      <c r="N465" s="36" t="s">
        <v>8</v>
      </c>
      <c r="O465" s="36" t="s">
        <v>8</v>
      </c>
      <c r="P465" s="36" t="s">
        <v>8</v>
      </c>
      <c r="Q465" s="36" t="s">
        <v>8</v>
      </c>
      <c r="R465" s="36" t="s">
        <v>8</v>
      </c>
      <c r="S465" s="36" t="s">
        <v>8</v>
      </c>
      <c r="T465" s="37" t="s">
        <v>9</v>
      </c>
      <c r="U465" s="37" t="s">
        <v>9</v>
      </c>
      <c r="V465" s="37" t="s">
        <v>1</v>
      </c>
      <c r="W465" s="37">
        <v>5</v>
      </c>
      <c r="X465" s="37">
        <v>2</v>
      </c>
      <c r="Y465" s="37">
        <v>2</v>
      </c>
      <c r="Z465" s="41">
        <v>4</v>
      </c>
      <c r="AA465" s="37">
        <v>3</v>
      </c>
      <c r="AB465" s="39" t="s">
        <v>9</v>
      </c>
      <c r="AC465" s="39" t="s">
        <v>9</v>
      </c>
      <c r="AD465" s="39" t="s">
        <v>9</v>
      </c>
      <c r="AE465" s="39" t="s">
        <v>9</v>
      </c>
      <c r="AF465" s="37" t="s">
        <v>9</v>
      </c>
      <c r="AG465" s="37" t="s">
        <v>9</v>
      </c>
      <c r="AH465" s="37" t="s">
        <v>9</v>
      </c>
      <c r="AI465" s="38">
        <v>3</v>
      </c>
      <c r="AJ465" s="39" t="s">
        <v>9</v>
      </c>
      <c r="AK465" s="39" t="s">
        <v>9</v>
      </c>
      <c r="AL465" s="43" t="s">
        <v>9</v>
      </c>
      <c r="AM465" s="44">
        <v>3</v>
      </c>
      <c r="AN465" s="40" t="s">
        <v>9</v>
      </c>
      <c r="AO465" s="40" t="s">
        <v>9</v>
      </c>
      <c r="AP465" s="40" t="s">
        <v>9</v>
      </c>
      <c r="AQ465" s="40" t="s">
        <v>9</v>
      </c>
      <c r="AR465" s="40" t="s">
        <v>9</v>
      </c>
      <c r="AS465" s="40" t="s">
        <v>9</v>
      </c>
      <c r="AT465" s="40" t="s">
        <v>9</v>
      </c>
      <c r="AU465" s="40" t="s">
        <v>9</v>
      </c>
      <c r="AV465" s="40" t="s">
        <v>9</v>
      </c>
      <c r="AW465" s="40" t="s">
        <v>9</v>
      </c>
      <c r="AX465" s="40" t="s">
        <v>9</v>
      </c>
      <c r="AY465" s="40" t="s">
        <v>9</v>
      </c>
      <c r="AZ465" s="40" t="s">
        <v>9</v>
      </c>
      <c r="BA465" s="38">
        <v>3</v>
      </c>
      <c r="BB465" s="41" t="s">
        <v>9</v>
      </c>
    </row>
    <row r="466" spans="1:54" x14ac:dyDescent="0.2">
      <c r="A466" s="5"/>
      <c r="B466" s="5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AO466" s="20"/>
    </row>
    <row r="467" spans="1:54" x14ac:dyDescent="0.2">
      <c r="A467" s="5"/>
      <c r="B467" s="5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AO467" s="20"/>
    </row>
    <row r="468" spans="1:54" x14ac:dyDescent="0.2">
      <c r="A468" s="5"/>
      <c r="B468" s="5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AO468" s="20"/>
    </row>
    <row r="469" spans="1:54" x14ac:dyDescent="0.2">
      <c r="A469" s="5"/>
      <c r="B469" s="5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</row>
    <row r="470" spans="1:54" x14ac:dyDescent="0.2">
      <c r="A470" s="5"/>
      <c r="B470" s="5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</row>
    <row r="471" spans="1:54" x14ac:dyDescent="0.2">
      <c r="A471" s="5"/>
      <c r="B471" s="5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</row>
    <row r="472" spans="1:54" x14ac:dyDescent="0.2">
      <c r="A472" s="5"/>
      <c r="B472" s="5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</row>
    <row r="473" spans="1:54" x14ac:dyDescent="0.2">
      <c r="A473" s="5"/>
      <c r="B473" s="5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</row>
    <row r="474" spans="1:54" x14ac:dyDescent="0.2">
      <c r="A474" s="5"/>
      <c r="B474" s="5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</row>
    <row r="475" spans="1:54" x14ac:dyDescent="0.2">
      <c r="A475" s="5"/>
      <c r="B475" s="5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</row>
    <row r="476" spans="1:54" x14ac:dyDescent="0.2">
      <c r="A476" s="5"/>
      <c r="B476" s="5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</row>
    <row r="477" spans="1:54" x14ac:dyDescent="0.2">
      <c r="A477" s="5"/>
      <c r="B477" s="5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</row>
    <row r="478" spans="1:54" x14ac:dyDescent="0.2">
      <c r="A478" s="5"/>
      <c r="B478" s="5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</row>
    <row r="479" spans="1:54" x14ac:dyDescent="0.2">
      <c r="A479" s="5"/>
      <c r="B479" s="5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</row>
    <row r="480" spans="1:54" x14ac:dyDescent="0.2">
      <c r="A480" s="5"/>
      <c r="B480" s="5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</row>
    <row r="481" spans="1:19" x14ac:dyDescent="0.2">
      <c r="A481" s="5"/>
      <c r="B481" s="5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</row>
    <row r="482" spans="1:19" x14ac:dyDescent="0.2">
      <c r="A482" s="5"/>
      <c r="B482" s="5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</row>
    <row r="483" spans="1:19" x14ac:dyDescent="0.2">
      <c r="A483" s="5"/>
      <c r="B483" s="5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</row>
    <row r="484" spans="1:19" x14ac:dyDescent="0.2">
      <c r="A484" s="5"/>
      <c r="B484" s="5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</row>
    <row r="485" spans="1:19" x14ac:dyDescent="0.2">
      <c r="A485" s="5"/>
      <c r="B485" s="5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</row>
    <row r="486" spans="1:19" x14ac:dyDescent="0.2">
      <c r="A486" s="5"/>
      <c r="B486" s="5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</row>
    <row r="487" spans="1:19" x14ac:dyDescent="0.2">
      <c r="A487" s="5"/>
      <c r="B487" s="5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</row>
    <row r="488" spans="1:19" x14ac:dyDescent="0.2">
      <c r="A488" s="5"/>
      <c r="B488" s="5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</row>
    <row r="489" spans="1:19" x14ac:dyDescent="0.2">
      <c r="A489" s="5"/>
      <c r="B489" s="5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</row>
    <row r="490" spans="1:19" x14ac:dyDescent="0.2">
      <c r="A490" s="5"/>
      <c r="B490" s="5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</row>
    <row r="491" spans="1:19" x14ac:dyDescent="0.2">
      <c r="A491" s="5"/>
      <c r="B491" s="5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</row>
    <row r="492" spans="1:19" x14ac:dyDescent="0.2">
      <c r="A492" s="5"/>
      <c r="B492" s="5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</row>
    <row r="493" spans="1:19" x14ac:dyDescent="0.2">
      <c r="A493" s="5"/>
      <c r="B493" s="5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</row>
    <row r="494" spans="1:19" x14ac:dyDescent="0.2">
      <c r="A494" s="5"/>
      <c r="B494" s="5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</row>
    <row r="495" spans="1:19" x14ac:dyDescent="0.2">
      <c r="A495" s="5"/>
      <c r="B495" s="5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</row>
    <row r="496" spans="1:19" x14ac:dyDescent="0.2">
      <c r="A496" s="5"/>
      <c r="B496" s="5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</row>
    <row r="497" spans="1:19" x14ac:dyDescent="0.2">
      <c r="A497" s="5"/>
      <c r="B497" s="5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</row>
    <row r="498" spans="1:19" x14ac:dyDescent="0.2">
      <c r="A498" s="5"/>
      <c r="B498" s="5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</row>
    <row r="499" spans="1:19" x14ac:dyDescent="0.2">
      <c r="A499" s="5"/>
      <c r="B499" s="5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</row>
    <row r="500" spans="1:19" x14ac:dyDescent="0.2">
      <c r="A500" s="5"/>
      <c r="B500" s="5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</row>
    <row r="501" spans="1:19" x14ac:dyDescent="0.2">
      <c r="A501" s="5"/>
      <c r="B501" s="5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</row>
    <row r="502" spans="1:19" x14ac:dyDescent="0.2">
      <c r="A502" s="5"/>
      <c r="B502" s="5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</row>
    <row r="503" spans="1:19" x14ac:dyDescent="0.2">
      <c r="A503" s="5"/>
      <c r="B503" s="5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</row>
    <row r="504" spans="1:19" x14ac:dyDescent="0.2">
      <c r="A504" s="5"/>
      <c r="B504" s="5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</row>
    <row r="505" spans="1:19" x14ac:dyDescent="0.2">
      <c r="A505" s="5"/>
      <c r="B505" s="5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</row>
    <row r="506" spans="1:19" x14ac:dyDescent="0.2">
      <c r="A506" s="5"/>
      <c r="B506" s="5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</row>
    <row r="507" spans="1:19" x14ac:dyDescent="0.2">
      <c r="A507" s="5"/>
      <c r="B507" s="5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</row>
    <row r="508" spans="1:19" x14ac:dyDescent="0.2">
      <c r="A508" s="5"/>
      <c r="B508" s="5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</row>
    <row r="509" spans="1:19" x14ac:dyDescent="0.2">
      <c r="A509" s="5"/>
      <c r="B509" s="5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</row>
    <row r="510" spans="1:19" x14ac:dyDescent="0.2">
      <c r="A510" s="5"/>
      <c r="B510" s="5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</row>
    <row r="511" spans="1:19" x14ac:dyDescent="0.2">
      <c r="A511" s="5"/>
      <c r="B511" s="5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</row>
    <row r="512" spans="1:19" x14ac:dyDescent="0.2">
      <c r="A512" s="5"/>
      <c r="B512" s="5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</row>
    <row r="513" spans="1:19" x14ac:dyDescent="0.2">
      <c r="A513" s="5"/>
      <c r="B513" s="5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</row>
    <row r="514" spans="1:19" x14ac:dyDescent="0.2">
      <c r="A514" s="5"/>
      <c r="B514" s="5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</row>
    <row r="515" spans="1:19" x14ac:dyDescent="0.2">
      <c r="A515" s="5"/>
      <c r="B515" s="5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</row>
    <row r="516" spans="1:19" x14ac:dyDescent="0.2">
      <c r="A516" s="5"/>
      <c r="B516" s="5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</row>
    <row r="517" spans="1:19" x14ac:dyDescent="0.2">
      <c r="A517" s="5"/>
      <c r="B517" s="5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</row>
    <row r="518" spans="1:19" x14ac:dyDescent="0.2">
      <c r="A518" s="5"/>
      <c r="B518" s="5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</row>
    <row r="519" spans="1:19" x14ac:dyDescent="0.2">
      <c r="A519" s="5"/>
      <c r="B519" s="5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</row>
    <row r="520" spans="1:19" x14ac:dyDescent="0.2">
      <c r="A520" s="5"/>
      <c r="B520" s="5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</row>
    <row r="521" spans="1:19" x14ac:dyDescent="0.2">
      <c r="A521" s="5"/>
      <c r="B521" s="5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</row>
    <row r="522" spans="1:19" x14ac:dyDescent="0.2">
      <c r="A522" s="5"/>
      <c r="B522" s="5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</row>
    <row r="523" spans="1:19" x14ac:dyDescent="0.2">
      <c r="A523" s="5"/>
      <c r="B523" s="5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</row>
    <row r="524" spans="1:19" x14ac:dyDescent="0.2">
      <c r="A524" s="5"/>
      <c r="B524" s="5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</row>
    <row r="525" spans="1:19" x14ac:dyDescent="0.2">
      <c r="A525" s="5"/>
      <c r="B525" s="5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</row>
    <row r="526" spans="1:19" x14ac:dyDescent="0.2">
      <c r="A526" s="5"/>
      <c r="B526" s="5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</row>
    <row r="527" spans="1:19" x14ac:dyDescent="0.2">
      <c r="A527" s="5"/>
      <c r="B527" s="5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</row>
    <row r="528" spans="1:19" x14ac:dyDescent="0.2">
      <c r="A528" s="5"/>
      <c r="B528" s="5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</row>
    <row r="529" spans="1:19" x14ac:dyDescent="0.2">
      <c r="A529" s="5"/>
      <c r="B529" s="5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</row>
    <row r="530" spans="1:19" x14ac:dyDescent="0.2">
      <c r="A530" s="5"/>
      <c r="B530" s="5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</row>
    <row r="531" spans="1:19" x14ac:dyDescent="0.2">
      <c r="A531" s="5"/>
      <c r="B531" s="5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</row>
    <row r="532" spans="1:19" x14ac:dyDescent="0.2">
      <c r="A532" s="5"/>
      <c r="B532" s="5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</row>
    <row r="533" spans="1:19" x14ac:dyDescent="0.2">
      <c r="A533" s="5"/>
      <c r="B533" s="5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</row>
    <row r="534" spans="1:19" x14ac:dyDescent="0.2">
      <c r="A534" s="5"/>
      <c r="B534" s="5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</row>
    <row r="535" spans="1:19" x14ac:dyDescent="0.2">
      <c r="A535" s="5"/>
      <c r="B535" s="5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</row>
    <row r="536" spans="1:19" x14ac:dyDescent="0.2">
      <c r="A536" s="5"/>
      <c r="B536" s="5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</row>
    <row r="537" spans="1:19" x14ac:dyDescent="0.2">
      <c r="A537" s="5"/>
      <c r="B537" s="5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</row>
    <row r="538" spans="1:19" x14ac:dyDescent="0.2">
      <c r="A538" s="5"/>
      <c r="B538" s="5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</row>
    <row r="539" spans="1:19" x14ac:dyDescent="0.2">
      <c r="A539" s="5"/>
      <c r="B539" s="5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</row>
    <row r="540" spans="1:19" x14ac:dyDescent="0.2">
      <c r="A540" s="5"/>
      <c r="B540" s="5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</row>
    <row r="541" spans="1:19" x14ac:dyDescent="0.2">
      <c r="A541" s="5"/>
      <c r="B541" s="5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</row>
    <row r="542" spans="1:19" x14ac:dyDescent="0.2">
      <c r="A542" s="5"/>
      <c r="B542" s="5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</row>
    <row r="543" spans="1:19" x14ac:dyDescent="0.2">
      <c r="A543" s="5"/>
      <c r="B543" s="5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</row>
    <row r="544" spans="1:19" x14ac:dyDescent="0.2">
      <c r="A544" s="5"/>
      <c r="B544" s="5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</row>
    <row r="545" spans="1:19" x14ac:dyDescent="0.2">
      <c r="A545" s="5"/>
      <c r="B545" s="5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</row>
    <row r="546" spans="1:19" x14ac:dyDescent="0.2">
      <c r="A546" s="5"/>
      <c r="B546" s="5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</row>
    <row r="547" spans="1:19" x14ac:dyDescent="0.2">
      <c r="A547" s="5"/>
      <c r="B547" s="5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</row>
    <row r="548" spans="1:19" x14ac:dyDescent="0.2">
      <c r="A548" s="5"/>
      <c r="B548" s="5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</row>
    <row r="549" spans="1:19" x14ac:dyDescent="0.2">
      <c r="A549" s="5"/>
      <c r="B549" s="5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</row>
    <row r="550" spans="1:19" x14ac:dyDescent="0.2">
      <c r="A550" s="5"/>
      <c r="B550" s="5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</row>
    <row r="551" spans="1:19" x14ac:dyDescent="0.2">
      <c r="A551" s="5"/>
      <c r="B551" s="5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</row>
    <row r="552" spans="1:19" x14ac:dyDescent="0.2">
      <c r="A552" s="5"/>
      <c r="B552" s="5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</row>
    <row r="553" spans="1:19" x14ac:dyDescent="0.2">
      <c r="A553" s="5"/>
      <c r="B553" s="5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</row>
    <row r="554" spans="1:19" x14ac:dyDescent="0.2">
      <c r="A554" s="5"/>
      <c r="B554" s="5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</row>
    <row r="555" spans="1:19" x14ac:dyDescent="0.2">
      <c r="A555" s="5"/>
      <c r="B555" s="5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</row>
    <row r="556" spans="1:19" x14ac:dyDescent="0.2">
      <c r="A556" s="5"/>
      <c r="B556" s="5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</row>
    <row r="557" spans="1:19" x14ac:dyDescent="0.2">
      <c r="A557" s="5"/>
      <c r="B557" s="5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</row>
    <row r="558" spans="1:19" x14ac:dyDescent="0.2">
      <c r="A558" s="5"/>
      <c r="B558" s="5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</row>
    <row r="559" spans="1:19" x14ac:dyDescent="0.2">
      <c r="A559" s="5"/>
      <c r="B559" s="5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</row>
    <row r="560" spans="1:19" x14ac:dyDescent="0.2">
      <c r="A560" s="5"/>
      <c r="B560" s="5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</row>
    <row r="561" spans="1:19" x14ac:dyDescent="0.2">
      <c r="A561" s="5"/>
      <c r="B561" s="5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</row>
    <row r="562" spans="1:19" x14ac:dyDescent="0.2">
      <c r="A562" s="5"/>
      <c r="B562" s="5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</row>
    <row r="563" spans="1:19" x14ac:dyDescent="0.2">
      <c r="A563" s="5"/>
      <c r="B563" s="5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</row>
    <row r="564" spans="1:19" x14ac:dyDescent="0.2">
      <c r="A564" s="5"/>
      <c r="B564" s="5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</row>
    <row r="565" spans="1:19" x14ac:dyDescent="0.2">
      <c r="A565" s="5"/>
      <c r="B565" s="5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</row>
    <row r="566" spans="1:19" x14ac:dyDescent="0.2">
      <c r="A566" s="5"/>
      <c r="B566" s="5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</row>
    <row r="567" spans="1:19" x14ac:dyDescent="0.2">
      <c r="A567" s="5"/>
      <c r="B567" s="5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</row>
    <row r="568" spans="1:19" x14ac:dyDescent="0.2">
      <c r="A568" s="5"/>
      <c r="B568" s="5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</row>
    <row r="569" spans="1:19" x14ac:dyDescent="0.2">
      <c r="A569" s="5"/>
      <c r="B569" s="5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</row>
    <row r="570" spans="1:19" x14ac:dyDescent="0.2">
      <c r="A570" s="5"/>
      <c r="B570" s="5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</row>
    <row r="571" spans="1:19" x14ac:dyDescent="0.2">
      <c r="A571" s="5"/>
      <c r="B571" s="5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</row>
    <row r="572" spans="1:19" x14ac:dyDescent="0.2">
      <c r="A572" s="5"/>
      <c r="B572" s="5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</row>
    <row r="573" spans="1:19" x14ac:dyDescent="0.2">
      <c r="A573" s="5"/>
      <c r="B573" s="5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</row>
    <row r="574" spans="1:19" x14ac:dyDescent="0.2">
      <c r="A574" s="5"/>
      <c r="B574" s="5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</row>
    <row r="575" spans="1:19" x14ac:dyDescent="0.2">
      <c r="A575" s="5"/>
      <c r="B575" s="5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</row>
    <row r="576" spans="1:19" x14ac:dyDescent="0.2">
      <c r="A576" s="5"/>
      <c r="B576" s="5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</row>
    <row r="577" spans="1:19" x14ac:dyDescent="0.2">
      <c r="A577" s="5"/>
      <c r="B577" s="5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</row>
    <row r="578" spans="1:19" x14ac:dyDescent="0.2">
      <c r="A578" s="5"/>
      <c r="B578" s="5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</row>
    <row r="579" spans="1:19" x14ac:dyDescent="0.2">
      <c r="A579" s="5"/>
      <c r="B579" s="5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</row>
    <row r="580" spans="1:19" x14ac:dyDescent="0.2">
      <c r="A580" s="5"/>
      <c r="B580" s="5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</row>
    <row r="581" spans="1:19" x14ac:dyDescent="0.2">
      <c r="A581" s="5"/>
      <c r="B581" s="5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</row>
    <row r="582" spans="1:19" x14ac:dyDescent="0.2">
      <c r="A582" s="5"/>
      <c r="B582" s="5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</row>
    <row r="583" spans="1:19" x14ac:dyDescent="0.2">
      <c r="A583" s="5"/>
      <c r="B583" s="5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</row>
    <row r="584" spans="1:19" x14ac:dyDescent="0.2">
      <c r="A584" s="5"/>
      <c r="B584" s="5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</row>
    <row r="585" spans="1:19" x14ac:dyDescent="0.2">
      <c r="A585" s="5"/>
      <c r="B585" s="5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</row>
    <row r="586" spans="1:19" x14ac:dyDescent="0.2">
      <c r="A586" s="5"/>
      <c r="B586" s="5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</row>
    <row r="587" spans="1:19" x14ac:dyDescent="0.2">
      <c r="A587" s="5"/>
      <c r="B587" s="5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</row>
    <row r="588" spans="1:19" x14ac:dyDescent="0.2">
      <c r="A588" s="5"/>
      <c r="B588" s="5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</row>
    <row r="589" spans="1:19" x14ac:dyDescent="0.2">
      <c r="A589" s="5"/>
      <c r="B589" s="5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</row>
    <row r="590" spans="1:19" x14ac:dyDescent="0.2">
      <c r="A590" s="5"/>
      <c r="B590" s="5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</row>
    <row r="591" spans="1:19" x14ac:dyDescent="0.2">
      <c r="A591" s="5"/>
      <c r="B591" s="5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</row>
    <row r="592" spans="1:19" x14ac:dyDescent="0.2">
      <c r="A592" s="5"/>
      <c r="B592" s="5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</row>
    <row r="593" spans="1:19" x14ac:dyDescent="0.2">
      <c r="A593" s="5"/>
      <c r="B593" s="5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</row>
    <row r="594" spans="1:19" x14ac:dyDescent="0.2">
      <c r="A594" s="5"/>
      <c r="B594" s="5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</row>
    <row r="595" spans="1:19" x14ac:dyDescent="0.2">
      <c r="A595" s="5"/>
      <c r="B595" s="5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</row>
    <row r="596" spans="1:19" x14ac:dyDescent="0.2">
      <c r="A596" s="5"/>
      <c r="B596" s="5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</row>
    <row r="597" spans="1:19" x14ac:dyDescent="0.2">
      <c r="A597" s="5"/>
      <c r="B597" s="5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</row>
    <row r="598" spans="1:19" x14ac:dyDescent="0.2">
      <c r="A598" s="5"/>
      <c r="B598" s="5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</row>
    <row r="599" spans="1:19" x14ac:dyDescent="0.2">
      <c r="A599" s="5"/>
      <c r="B599" s="5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</row>
    <row r="600" spans="1:19" x14ac:dyDescent="0.2">
      <c r="A600" s="5"/>
      <c r="B600" s="5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</row>
    <row r="601" spans="1:19" x14ac:dyDescent="0.2">
      <c r="A601" s="5"/>
      <c r="B601" s="5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</row>
    <row r="602" spans="1:19" x14ac:dyDescent="0.2">
      <c r="A602" s="5"/>
      <c r="B602" s="5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</row>
    <row r="603" spans="1:19" x14ac:dyDescent="0.2">
      <c r="A603" s="5"/>
      <c r="B603" s="5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</row>
    <row r="604" spans="1:19" x14ac:dyDescent="0.2">
      <c r="A604" s="5"/>
      <c r="B604" s="5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</row>
    <row r="605" spans="1:19" x14ac:dyDescent="0.2">
      <c r="A605" s="5"/>
      <c r="B605" s="5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</row>
    <row r="606" spans="1:19" x14ac:dyDescent="0.2">
      <c r="A606" s="5"/>
      <c r="B606" s="5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</row>
    <row r="607" spans="1:19" x14ac:dyDescent="0.2">
      <c r="A607" s="5"/>
      <c r="B607" s="5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</row>
    <row r="608" spans="1:19" x14ac:dyDescent="0.2">
      <c r="A608" s="5"/>
      <c r="B608" s="5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</row>
    <row r="609" spans="1:19" x14ac:dyDescent="0.2">
      <c r="A609" s="5"/>
      <c r="B609" s="5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</row>
    <row r="610" spans="1:19" x14ac:dyDescent="0.2">
      <c r="A610" s="5"/>
      <c r="B610" s="5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</row>
    <row r="611" spans="1:19" x14ac:dyDescent="0.2">
      <c r="A611" s="5"/>
      <c r="B611" s="5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</row>
    <row r="612" spans="1:19" x14ac:dyDescent="0.2">
      <c r="A612" s="5"/>
      <c r="B612" s="5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</row>
    <row r="613" spans="1:19" x14ac:dyDescent="0.2">
      <c r="A613" s="5"/>
      <c r="B613" s="5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</row>
    <row r="614" spans="1:19" x14ac:dyDescent="0.2">
      <c r="A614" s="5"/>
      <c r="B614" s="5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</row>
    <row r="615" spans="1:19" x14ac:dyDescent="0.2">
      <c r="A615" s="5"/>
      <c r="B615" s="5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</row>
    <row r="616" spans="1:19" x14ac:dyDescent="0.2">
      <c r="A616" s="5"/>
      <c r="B616" s="5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</row>
    <row r="617" spans="1:19" x14ac:dyDescent="0.2">
      <c r="A617" s="5"/>
      <c r="B617" s="5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</row>
    <row r="618" spans="1:19" x14ac:dyDescent="0.2">
      <c r="A618" s="5"/>
      <c r="B618" s="5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</row>
    <row r="619" spans="1:19" x14ac:dyDescent="0.2">
      <c r="A619" s="5"/>
      <c r="B619" s="5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</row>
    <row r="620" spans="1:19" x14ac:dyDescent="0.2">
      <c r="A620" s="5"/>
      <c r="B620" s="5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</row>
    <row r="621" spans="1:19" x14ac:dyDescent="0.2">
      <c r="A621" s="5"/>
      <c r="B621" s="5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</row>
    <row r="622" spans="1:19" x14ac:dyDescent="0.2">
      <c r="A622" s="5"/>
      <c r="B622" s="5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</row>
    <row r="623" spans="1:19" x14ac:dyDescent="0.2">
      <c r="A623" s="5"/>
      <c r="B623" s="5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</row>
    <row r="624" spans="1:19" x14ac:dyDescent="0.2">
      <c r="A624" s="5"/>
      <c r="B624" s="5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</row>
    <row r="625" spans="1:19" x14ac:dyDescent="0.2">
      <c r="A625" s="5"/>
      <c r="B625" s="5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</row>
    <row r="626" spans="1:19" x14ac:dyDescent="0.2">
      <c r="A626" s="5"/>
      <c r="B626" s="5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</row>
    <row r="627" spans="1:19" x14ac:dyDescent="0.2">
      <c r="A627" s="5"/>
      <c r="B627" s="5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</row>
    <row r="628" spans="1:19" x14ac:dyDescent="0.2">
      <c r="A628" s="5"/>
      <c r="B628" s="5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</row>
    <row r="629" spans="1:19" x14ac:dyDescent="0.2">
      <c r="A629" s="5"/>
      <c r="B629" s="5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</row>
    <row r="630" spans="1:19" x14ac:dyDescent="0.2">
      <c r="A630" s="5"/>
      <c r="B630" s="5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</row>
    <row r="631" spans="1:19" x14ac:dyDescent="0.2">
      <c r="A631" s="5"/>
      <c r="B631" s="5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</row>
    <row r="632" spans="1:19" x14ac:dyDescent="0.2">
      <c r="A632" s="5"/>
      <c r="B632" s="5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</row>
    <row r="633" spans="1:19" x14ac:dyDescent="0.2">
      <c r="A633" s="5"/>
      <c r="B633" s="5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</row>
    <row r="634" spans="1:19" x14ac:dyDescent="0.2">
      <c r="A634" s="5"/>
      <c r="B634" s="5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</row>
    <row r="635" spans="1:19" x14ac:dyDescent="0.2">
      <c r="A635" s="5"/>
      <c r="B635" s="5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</row>
    <row r="636" spans="1:19" x14ac:dyDescent="0.2">
      <c r="A636" s="5"/>
      <c r="B636" s="5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</row>
    <row r="637" spans="1:19" x14ac:dyDescent="0.2">
      <c r="A637" s="5"/>
      <c r="B637" s="5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</row>
    <row r="638" spans="1:19" x14ac:dyDescent="0.2">
      <c r="A638" s="5"/>
      <c r="B638" s="5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</row>
    <row r="639" spans="1:19" x14ac:dyDescent="0.2">
      <c r="A639" s="5"/>
      <c r="B639" s="5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</row>
    <row r="640" spans="1:19" x14ac:dyDescent="0.2">
      <c r="A640" s="5"/>
      <c r="B640" s="5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</row>
    <row r="641" spans="1:19" x14ac:dyDescent="0.2">
      <c r="A641" s="5"/>
      <c r="B641" s="5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</row>
    <row r="642" spans="1:19" x14ac:dyDescent="0.2">
      <c r="A642" s="5"/>
      <c r="B642" s="5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</row>
    <row r="643" spans="1:19" x14ac:dyDescent="0.2">
      <c r="A643" s="5"/>
      <c r="B643" s="5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</row>
    <row r="644" spans="1:19" x14ac:dyDescent="0.2">
      <c r="A644" s="5"/>
      <c r="B644" s="5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</row>
    <row r="645" spans="1:19" x14ac:dyDescent="0.2">
      <c r="A645" s="5"/>
      <c r="B645" s="5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</row>
    <row r="646" spans="1:19" x14ac:dyDescent="0.2">
      <c r="A646" s="5"/>
      <c r="B646" s="5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</row>
    <row r="647" spans="1:19" x14ac:dyDescent="0.2">
      <c r="A647" s="5"/>
      <c r="B647" s="5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</row>
    <row r="648" spans="1:19" x14ac:dyDescent="0.2">
      <c r="A648" s="5"/>
      <c r="B648" s="5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</row>
    <row r="649" spans="1:19" x14ac:dyDescent="0.2">
      <c r="A649" s="5"/>
      <c r="B649" s="5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</row>
    <row r="650" spans="1:19" x14ac:dyDescent="0.2">
      <c r="A650" s="5"/>
      <c r="B650" s="5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</row>
    <row r="651" spans="1:19" x14ac:dyDescent="0.2">
      <c r="A651" s="5"/>
      <c r="B651" s="5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</row>
    <row r="652" spans="1:19" x14ac:dyDescent="0.2">
      <c r="A652" s="5"/>
      <c r="B652" s="5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</row>
    <row r="653" spans="1:19" x14ac:dyDescent="0.2">
      <c r="A653" s="5"/>
      <c r="B653" s="5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</row>
    <row r="654" spans="1:19" x14ac:dyDescent="0.2">
      <c r="A654" s="5"/>
      <c r="B654" s="5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</row>
    <row r="655" spans="1:19" x14ac:dyDescent="0.2">
      <c r="A655" s="5"/>
      <c r="B655" s="5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</row>
    <row r="656" spans="1:19" x14ac:dyDescent="0.2">
      <c r="A656" s="5"/>
      <c r="B656" s="5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</row>
    <row r="657" spans="1:19" x14ac:dyDescent="0.2">
      <c r="A657" s="5"/>
      <c r="B657" s="5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</row>
    <row r="658" spans="1:19" x14ac:dyDescent="0.2">
      <c r="A658" s="5"/>
      <c r="B658" s="5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</row>
    <row r="659" spans="1:19" x14ac:dyDescent="0.2">
      <c r="A659" s="5"/>
      <c r="B659" s="5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</row>
    <row r="660" spans="1:19" x14ac:dyDescent="0.2">
      <c r="A660" s="5"/>
      <c r="B660" s="5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</row>
    <row r="661" spans="1:19" x14ac:dyDescent="0.2">
      <c r="A661" s="5"/>
      <c r="B661" s="5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</row>
    <row r="662" spans="1:19" x14ac:dyDescent="0.2">
      <c r="A662" s="5"/>
      <c r="B662" s="5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</row>
    <row r="663" spans="1:19" x14ac:dyDescent="0.2">
      <c r="A663" s="5"/>
      <c r="B663" s="5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</row>
    <row r="664" spans="1:19" x14ac:dyDescent="0.2">
      <c r="A664" s="5"/>
      <c r="B664" s="5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</row>
    <row r="665" spans="1:19" x14ac:dyDescent="0.2">
      <c r="A665" s="5"/>
      <c r="B665" s="5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</row>
    <row r="666" spans="1:19" x14ac:dyDescent="0.2">
      <c r="A666" s="5"/>
      <c r="B666" s="5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</row>
    <row r="667" spans="1:19" x14ac:dyDescent="0.2">
      <c r="A667" s="5"/>
      <c r="B667" s="5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</row>
    <row r="668" spans="1:19" x14ac:dyDescent="0.2">
      <c r="A668" s="5"/>
      <c r="B668" s="5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</row>
    <row r="669" spans="1:19" x14ac:dyDescent="0.2">
      <c r="A669" s="5"/>
      <c r="B669" s="5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</row>
    <row r="670" spans="1:19" x14ac:dyDescent="0.2">
      <c r="A670" s="5"/>
      <c r="B670" s="5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</row>
    <row r="671" spans="1:19" x14ac:dyDescent="0.2">
      <c r="A671" s="5"/>
      <c r="B671" s="5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</row>
    <row r="672" spans="1:19" x14ac:dyDescent="0.2">
      <c r="A672" s="5"/>
      <c r="B672" s="5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</row>
    <row r="673" spans="1:19" x14ac:dyDescent="0.2">
      <c r="A673" s="5"/>
      <c r="B673" s="5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</row>
    <row r="674" spans="1:19" x14ac:dyDescent="0.2">
      <c r="A674" s="5"/>
      <c r="B674" s="5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</row>
    <row r="675" spans="1:19" x14ac:dyDescent="0.2">
      <c r="A675" s="5"/>
      <c r="B675" s="5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</row>
    <row r="676" spans="1:19" x14ac:dyDescent="0.2">
      <c r="A676" s="5"/>
      <c r="B676" s="5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</row>
    <row r="677" spans="1:19" x14ac:dyDescent="0.2">
      <c r="A677" s="5"/>
      <c r="B677" s="5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</row>
    <row r="678" spans="1:19" x14ac:dyDescent="0.2">
      <c r="A678" s="5"/>
      <c r="B678" s="5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</row>
    <row r="679" spans="1:19" x14ac:dyDescent="0.2">
      <c r="A679" s="5"/>
      <c r="B679" s="5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</row>
    <row r="680" spans="1:19" x14ac:dyDescent="0.2">
      <c r="A680" s="5"/>
      <c r="B680" s="5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</row>
    <row r="681" spans="1:19" x14ac:dyDescent="0.2">
      <c r="A681" s="5"/>
      <c r="B681" s="5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</row>
    <row r="682" spans="1:19" x14ac:dyDescent="0.2">
      <c r="A682" s="5"/>
      <c r="B682" s="5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</row>
    <row r="683" spans="1:19" x14ac:dyDescent="0.2">
      <c r="A683" s="5"/>
      <c r="B683" s="5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</row>
    <row r="684" spans="1:19" x14ac:dyDescent="0.2">
      <c r="A684" s="5"/>
      <c r="B684" s="5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</row>
    <row r="685" spans="1:19" x14ac:dyDescent="0.2">
      <c r="A685" s="5"/>
      <c r="B685" s="5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</row>
    <row r="686" spans="1:19" x14ac:dyDescent="0.2">
      <c r="A686" s="5"/>
      <c r="B686" s="5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</row>
    <row r="687" spans="1:19" x14ac:dyDescent="0.2">
      <c r="A687" s="5"/>
      <c r="B687" s="5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</row>
    <row r="688" spans="1:19" x14ac:dyDescent="0.2">
      <c r="A688" s="5"/>
      <c r="B688" s="5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</row>
    <row r="689" spans="1:19" x14ac:dyDescent="0.2">
      <c r="A689" s="5"/>
      <c r="B689" s="5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</row>
    <row r="690" spans="1:19" x14ac:dyDescent="0.2">
      <c r="A690" s="5"/>
      <c r="B690" s="5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</row>
    <row r="691" spans="1:19" x14ac:dyDescent="0.2">
      <c r="A691" s="5"/>
      <c r="B691" s="5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</row>
    <row r="692" spans="1:19" x14ac:dyDescent="0.2">
      <c r="A692" s="5"/>
      <c r="B692" s="5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</row>
    <row r="693" spans="1:19" x14ac:dyDescent="0.2">
      <c r="A693" s="5"/>
      <c r="B693" s="5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</row>
    <row r="694" spans="1:19" x14ac:dyDescent="0.2">
      <c r="A694" s="5"/>
      <c r="B694" s="5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</row>
    <row r="695" spans="1:19" x14ac:dyDescent="0.2">
      <c r="A695" s="5"/>
      <c r="B695" s="5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</row>
    <row r="696" spans="1:19" x14ac:dyDescent="0.2">
      <c r="A696" s="5"/>
      <c r="B696" s="5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</row>
    <row r="697" spans="1:19" x14ac:dyDescent="0.2">
      <c r="A697" s="5"/>
      <c r="B697" s="5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</row>
    <row r="698" spans="1:19" x14ac:dyDescent="0.2">
      <c r="A698" s="5"/>
      <c r="B698" s="5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</row>
    <row r="699" spans="1:19" x14ac:dyDescent="0.2">
      <c r="A699" s="5"/>
      <c r="B699" s="5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</row>
    <row r="700" spans="1:19" x14ac:dyDescent="0.2">
      <c r="A700" s="5"/>
      <c r="B700" s="5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</row>
    <row r="701" spans="1:19" x14ac:dyDescent="0.2">
      <c r="A701" s="5"/>
      <c r="B701" s="5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</row>
    <row r="702" spans="1:19" x14ac:dyDescent="0.2">
      <c r="A702" s="5"/>
      <c r="B702" s="5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</row>
    <row r="703" spans="1:19" x14ac:dyDescent="0.2">
      <c r="A703" s="5"/>
      <c r="B703" s="5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</row>
    <row r="704" spans="1:19" x14ac:dyDescent="0.2">
      <c r="A704" s="5"/>
      <c r="B704" s="5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</row>
    <row r="705" spans="1:19" x14ac:dyDescent="0.2">
      <c r="A705" s="5"/>
      <c r="B705" s="5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</row>
    <row r="706" spans="1:19" x14ac:dyDescent="0.2">
      <c r="A706" s="5"/>
      <c r="B706" s="5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</row>
    <row r="707" spans="1:19" x14ac:dyDescent="0.2">
      <c r="A707" s="5"/>
      <c r="B707" s="5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</row>
    <row r="708" spans="1:19" x14ac:dyDescent="0.2">
      <c r="A708" s="5"/>
      <c r="B708" s="5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</row>
    <row r="709" spans="1:19" x14ac:dyDescent="0.2">
      <c r="A709" s="5"/>
      <c r="B709" s="5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</row>
    <row r="710" spans="1:19" x14ac:dyDescent="0.2">
      <c r="A710" s="5"/>
      <c r="B710" s="5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</row>
    <row r="711" spans="1:19" x14ac:dyDescent="0.2">
      <c r="A711" s="5"/>
      <c r="B711" s="5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</row>
    <row r="712" spans="1:19" x14ac:dyDescent="0.2">
      <c r="A712" s="5"/>
      <c r="B712" s="5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</row>
    <row r="713" spans="1:19" x14ac:dyDescent="0.2">
      <c r="A713" s="5"/>
      <c r="B713" s="5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</row>
    <row r="714" spans="1:19" x14ac:dyDescent="0.2">
      <c r="A714" s="5"/>
      <c r="B714" s="5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</row>
    <row r="715" spans="1:19" x14ac:dyDescent="0.2">
      <c r="A715" s="5"/>
      <c r="B715" s="5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</row>
    <row r="716" spans="1:19" x14ac:dyDescent="0.2">
      <c r="A716" s="5"/>
      <c r="B716" s="5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</row>
    <row r="717" spans="1:19" x14ac:dyDescent="0.2">
      <c r="A717" s="5"/>
      <c r="B717" s="5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</row>
    <row r="718" spans="1:19" x14ac:dyDescent="0.2">
      <c r="A718" s="5"/>
      <c r="B718" s="5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</row>
    <row r="719" spans="1:19" x14ac:dyDescent="0.2">
      <c r="A719" s="5"/>
      <c r="B719" s="5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</row>
    <row r="720" spans="1:19" x14ac:dyDescent="0.2">
      <c r="A720" s="5"/>
      <c r="B720" s="5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</row>
    <row r="721" spans="1:19" x14ac:dyDescent="0.2">
      <c r="A721" s="5"/>
      <c r="B721" s="5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</row>
    <row r="722" spans="1:19" x14ac:dyDescent="0.2">
      <c r="A722" s="5"/>
      <c r="B722" s="5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</row>
    <row r="723" spans="1:19" x14ac:dyDescent="0.2">
      <c r="A723" s="5"/>
      <c r="B723" s="5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</row>
    <row r="724" spans="1:19" x14ac:dyDescent="0.2">
      <c r="A724" s="5"/>
      <c r="B724" s="5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</row>
    <row r="725" spans="1:19" x14ac:dyDescent="0.2">
      <c r="A725" s="5"/>
      <c r="B725" s="5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</row>
    <row r="726" spans="1:19" x14ac:dyDescent="0.2">
      <c r="A726" s="5"/>
      <c r="B726" s="5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</row>
    <row r="727" spans="1:19" x14ac:dyDescent="0.2">
      <c r="A727" s="5"/>
      <c r="B727" s="5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</row>
    <row r="728" spans="1:19" x14ac:dyDescent="0.2">
      <c r="A728" s="5"/>
      <c r="B728" s="5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</row>
    <row r="729" spans="1:19" x14ac:dyDescent="0.2">
      <c r="A729" s="5"/>
      <c r="B729" s="5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</row>
    <row r="730" spans="1:19" x14ac:dyDescent="0.2">
      <c r="A730" s="5"/>
      <c r="B730" s="5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</row>
    <row r="731" spans="1:19" x14ac:dyDescent="0.2">
      <c r="A731" s="5"/>
      <c r="B731" s="5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</row>
    <row r="732" spans="1:19" x14ac:dyDescent="0.2">
      <c r="A732" s="5"/>
      <c r="B732" s="5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</row>
    <row r="733" spans="1:19" x14ac:dyDescent="0.2">
      <c r="A733" s="5"/>
      <c r="B733" s="5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</row>
    <row r="734" spans="1:19" x14ac:dyDescent="0.2">
      <c r="A734" s="5"/>
      <c r="B734" s="5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</row>
    <row r="735" spans="1:19" x14ac:dyDescent="0.2">
      <c r="A735" s="5"/>
      <c r="B735" s="5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</row>
    <row r="736" spans="1:19" x14ac:dyDescent="0.2">
      <c r="A736" s="5"/>
      <c r="B736" s="5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</row>
    <row r="737" spans="1:19" x14ac:dyDescent="0.2">
      <c r="A737" s="5"/>
      <c r="B737" s="5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</row>
    <row r="738" spans="1:19" x14ac:dyDescent="0.2">
      <c r="A738" s="5"/>
      <c r="B738" s="5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</row>
    <row r="739" spans="1:19" x14ac:dyDescent="0.2">
      <c r="A739" s="5"/>
      <c r="B739" s="5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</row>
    <row r="740" spans="1:19" x14ac:dyDescent="0.2">
      <c r="A740" s="5"/>
      <c r="B740" s="5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</row>
    <row r="741" spans="1:19" x14ac:dyDescent="0.2">
      <c r="A741" s="5"/>
      <c r="B741" s="5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</row>
    <row r="742" spans="1:19" x14ac:dyDescent="0.2">
      <c r="A742" s="5"/>
      <c r="B742" s="5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</row>
    <row r="743" spans="1:19" x14ac:dyDescent="0.2">
      <c r="A743" s="5"/>
      <c r="B743" s="5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</row>
    <row r="744" spans="1:19" x14ac:dyDescent="0.2">
      <c r="A744" s="5"/>
      <c r="B744" s="5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</row>
    <row r="745" spans="1:19" x14ac:dyDescent="0.2">
      <c r="A745" s="5"/>
      <c r="B745" s="5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</row>
    <row r="746" spans="1:19" x14ac:dyDescent="0.2">
      <c r="A746" s="5"/>
      <c r="B746" s="5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</row>
    <row r="747" spans="1:19" x14ac:dyDescent="0.2">
      <c r="A747" s="5"/>
      <c r="B747" s="5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</row>
    <row r="748" spans="1:19" x14ac:dyDescent="0.2">
      <c r="A748" s="5"/>
      <c r="B748" s="5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</row>
    <row r="749" spans="1:19" x14ac:dyDescent="0.2">
      <c r="A749" s="5"/>
      <c r="B749" s="5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</row>
    <row r="750" spans="1:19" x14ac:dyDescent="0.2">
      <c r="A750" s="5"/>
      <c r="B750" s="5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</row>
    <row r="751" spans="1:19" x14ac:dyDescent="0.2">
      <c r="A751" s="5"/>
      <c r="B751" s="5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</row>
    <row r="752" spans="1:19" x14ac:dyDescent="0.2">
      <c r="A752" s="5"/>
      <c r="B752" s="5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</row>
    <row r="753" spans="1:19" x14ac:dyDescent="0.2">
      <c r="A753" s="5"/>
      <c r="B753" s="5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</row>
    <row r="754" spans="1:19" x14ac:dyDescent="0.2">
      <c r="A754" s="5"/>
      <c r="B754" s="5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</row>
    <row r="755" spans="1:19" x14ac:dyDescent="0.2">
      <c r="A755" s="5"/>
      <c r="B755" s="5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</row>
    <row r="756" spans="1:19" x14ac:dyDescent="0.2">
      <c r="A756" s="5"/>
      <c r="B756" s="5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</row>
    <row r="757" spans="1:19" x14ac:dyDescent="0.2">
      <c r="A757" s="5"/>
      <c r="B757" s="5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</row>
    <row r="758" spans="1:19" x14ac:dyDescent="0.2">
      <c r="A758" s="5"/>
      <c r="B758" s="5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</row>
    <row r="759" spans="1:19" x14ac:dyDescent="0.2">
      <c r="A759" s="5"/>
      <c r="B759" s="5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</row>
    <row r="760" spans="1:19" x14ac:dyDescent="0.2">
      <c r="A760" s="5"/>
      <c r="B760" s="5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</row>
    <row r="761" spans="1:19" x14ac:dyDescent="0.2">
      <c r="A761" s="5"/>
      <c r="B761" s="5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</row>
    <row r="762" spans="1:19" x14ac:dyDescent="0.2">
      <c r="A762" s="5"/>
      <c r="B762" s="5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</row>
    <row r="763" spans="1:19" x14ac:dyDescent="0.2">
      <c r="A763" s="5"/>
      <c r="B763" s="5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</row>
    <row r="764" spans="1:19" x14ac:dyDescent="0.2">
      <c r="A764" s="5"/>
      <c r="B764" s="5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</row>
    <row r="765" spans="1:19" x14ac:dyDescent="0.2">
      <c r="A765" s="5"/>
      <c r="B765" s="5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</row>
    <row r="766" spans="1:19" x14ac:dyDescent="0.2">
      <c r="A766" s="5"/>
      <c r="B766" s="5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</row>
    <row r="767" spans="1:19" x14ac:dyDescent="0.2">
      <c r="A767" s="5"/>
      <c r="B767" s="5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</row>
    <row r="768" spans="1:19" x14ac:dyDescent="0.2">
      <c r="A768" s="5"/>
      <c r="B768" s="5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</row>
    <row r="769" spans="1:19" x14ac:dyDescent="0.2">
      <c r="A769" s="5"/>
      <c r="B769" s="5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</row>
    <row r="770" spans="1:19" x14ac:dyDescent="0.2">
      <c r="A770" s="5"/>
      <c r="B770" s="5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</row>
    <row r="771" spans="1:19" x14ac:dyDescent="0.2">
      <c r="A771" s="5"/>
      <c r="B771" s="5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</row>
    <row r="772" spans="1:19" x14ac:dyDescent="0.2">
      <c r="A772" s="5"/>
      <c r="B772" s="5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</row>
    <row r="773" spans="1:19" x14ac:dyDescent="0.2">
      <c r="A773" s="5"/>
      <c r="B773" s="5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</row>
    <row r="774" spans="1:19" x14ac:dyDescent="0.2">
      <c r="A774" s="5"/>
      <c r="B774" s="5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</row>
    <row r="775" spans="1:19" x14ac:dyDescent="0.2">
      <c r="A775" s="5"/>
      <c r="B775" s="5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</row>
    <row r="776" spans="1:19" x14ac:dyDescent="0.2">
      <c r="A776" s="5"/>
      <c r="B776" s="5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</row>
    <row r="777" spans="1:19" x14ac:dyDescent="0.2">
      <c r="A777" s="5"/>
      <c r="B777" s="5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</row>
    <row r="778" spans="1:19" x14ac:dyDescent="0.2">
      <c r="A778" s="5"/>
      <c r="B778" s="5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</row>
    <row r="779" spans="1:19" x14ac:dyDescent="0.2">
      <c r="A779" s="5"/>
      <c r="B779" s="5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</row>
    <row r="780" spans="1:19" x14ac:dyDescent="0.2">
      <c r="A780" s="5"/>
      <c r="B780" s="5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</row>
    <row r="781" spans="1:19" x14ac:dyDescent="0.2">
      <c r="A781" s="5"/>
      <c r="B781" s="5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</row>
    <row r="782" spans="1:19" x14ac:dyDescent="0.2">
      <c r="A782" s="5"/>
      <c r="B782" s="5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</row>
    <row r="783" spans="1:19" x14ac:dyDescent="0.2">
      <c r="A783" s="5"/>
      <c r="B783" s="5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</row>
    <row r="784" spans="1:19" x14ac:dyDescent="0.2">
      <c r="A784" s="5"/>
      <c r="B784" s="5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</row>
    <row r="785" spans="1:19" x14ac:dyDescent="0.2">
      <c r="A785" s="5"/>
      <c r="B785" s="5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</row>
    <row r="786" spans="1:19" x14ac:dyDescent="0.2">
      <c r="A786" s="5"/>
      <c r="B786" s="5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</row>
    <row r="787" spans="1:19" x14ac:dyDescent="0.2">
      <c r="A787" s="5"/>
      <c r="B787" s="5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</row>
    <row r="788" spans="1:19" x14ac:dyDescent="0.2">
      <c r="A788" s="5"/>
      <c r="B788" s="5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</row>
    <row r="789" spans="1:19" x14ac:dyDescent="0.2">
      <c r="A789" s="5"/>
      <c r="B789" s="5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</row>
    <row r="790" spans="1:19" x14ac:dyDescent="0.2">
      <c r="A790" s="5"/>
      <c r="B790" s="5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</row>
    <row r="791" spans="1:19" x14ac:dyDescent="0.2">
      <c r="A791" s="5"/>
      <c r="B791" s="5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</row>
    <row r="792" spans="1:19" x14ac:dyDescent="0.2">
      <c r="A792" s="5"/>
      <c r="B792" s="5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</row>
    <row r="793" spans="1:19" x14ac:dyDescent="0.2">
      <c r="A793" s="5"/>
      <c r="B793" s="5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</row>
    <row r="794" spans="1:19" x14ac:dyDescent="0.2">
      <c r="A794" s="5"/>
      <c r="B794" s="5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</row>
    <row r="795" spans="1:19" x14ac:dyDescent="0.2">
      <c r="A795" s="5"/>
      <c r="B795" s="5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</row>
    <row r="796" spans="1:19" x14ac:dyDescent="0.2">
      <c r="A796" s="5"/>
      <c r="B796" s="5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</row>
    <row r="797" spans="1:19" x14ac:dyDescent="0.2">
      <c r="A797" s="5"/>
      <c r="B797" s="5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</row>
    <row r="798" spans="1:19" x14ac:dyDescent="0.2">
      <c r="A798" s="5"/>
      <c r="B798" s="5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</row>
    <row r="799" spans="1:19" x14ac:dyDescent="0.2">
      <c r="A799" s="5"/>
      <c r="B799" s="5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</row>
    <row r="800" spans="1:19" x14ac:dyDescent="0.2">
      <c r="A800" s="5"/>
      <c r="B800" s="5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</row>
    <row r="801" spans="1:19" x14ac:dyDescent="0.2">
      <c r="A801" s="5"/>
      <c r="B801" s="5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</row>
    <row r="802" spans="1:19" x14ac:dyDescent="0.2">
      <c r="A802" s="5"/>
      <c r="B802" s="5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</row>
    <row r="803" spans="1:19" x14ac:dyDescent="0.2">
      <c r="A803" s="5"/>
      <c r="B803" s="5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</row>
    <row r="804" spans="1:19" x14ac:dyDescent="0.2">
      <c r="A804" s="5"/>
      <c r="B804" s="5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</row>
    <row r="805" spans="1:19" x14ac:dyDescent="0.2">
      <c r="A805" s="5"/>
      <c r="B805" s="5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</row>
    <row r="806" spans="1:19" x14ac:dyDescent="0.2">
      <c r="A806" s="5"/>
      <c r="B806" s="5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</row>
    <row r="807" spans="1:19" x14ac:dyDescent="0.2">
      <c r="A807" s="5"/>
      <c r="B807" s="5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</row>
    <row r="808" spans="1:19" x14ac:dyDescent="0.2">
      <c r="A808" s="5"/>
      <c r="B808" s="5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</row>
    <row r="809" spans="1:19" x14ac:dyDescent="0.2">
      <c r="A809" s="5"/>
      <c r="B809" s="5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</row>
    <row r="810" spans="1:19" x14ac:dyDescent="0.2">
      <c r="A810" s="5"/>
      <c r="B810" s="5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</row>
    <row r="811" spans="1:19" x14ac:dyDescent="0.2">
      <c r="A811" s="5"/>
      <c r="B811" s="5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</row>
    <row r="812" spans="1:19" x14ac:dyDescent="0.2">
      <c r="A812" s="5"/>
      <c r="B812" s="5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</row>
    <row r="813" spans="1:19" x14ac:dyDescent="0.2">
      <c r="A813" s="5"/>
      <c r="B813" s="5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</row>
    <row r="814" spans="1:19" x14ac:dyDescent="0.2">
      <c r="A814" s="5"/>
      <c r="B814" s="5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</row>
    <row r="815" spans="1:19" x14ac:dyDescent="0.2">
      <c r="A815" s="5"/>
      <c r="B815" s="5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</row>
    <row r="816" spans="1:19" x14ac:dyDescent="0.2">
      <c r="A816" s="5"/>
      <c r="B816" s="5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</row>
    <row r="817" spans="1:19" x14ac:dyDescent="0.2">
      <c r="A817" s="5"/>
      <c r="B817" s="5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</row>
    <row r="818" spans="1:19" x14ac:dyDescent="0.2">
      <c r="A818" s="5"/>
      <c r="B818" s="5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</row>
    <row r="819" spans="1:19" x14ac:dyDescent="0.2">
      <c r="A819" s="5"/>
      <c r="B819" s="5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</row>
    <row r="820" spans="1:19" x14ac:dyDescent="0.2">
      <c r="A820" s="5"/>
      <c r="B820" s="5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</row>
    <row r="821" spans="1:19" x14ac:dyDescent="0.2">
      <c r="A821" s="5"/>
      <c r="B821" s="5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</row>
    <row r="822" spans="1:19" x14ac:dyDescent="0.2">
      <c r="A822" s="5"/>
      <c r="B822" s="5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</row>
    <row r="823" spans="1:19" x14ac:dyDescent="0.2">
      <c r="A823" s="5"/>
      <c r="B823" s="5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</row>
    <row r="824" spans="1:19" x14ac:dyDescent="0.2">
      <c r="A824" s="5"/>
      <c r="B824" s="5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</row>
    <row r="825" spans="1:19" x14ac:dyDescent="0.2">
      <c r="A825" s="5"/>
      <c r="B825" s="5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</row>
    <row r="826" spans="1:19" x14ac:dyDescent="0.2">
      <c r="A826" s="5"/>
      <c r="B826" s="5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</row>
    <row r="827" spans="1:19" x14ac:dyDescent="0.2">
      <c r="A827" s="5"/>
      <c r="B827" s="5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</row>
    <row r="828" spans="1:19" x14ac:dyDescent="0.2">
      <c r="A828" s="5"/>
      <c r="B828" s="5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</row>
    <row r="829" spans="1:19" x14ac:dyDescent="0.2">
      <c r="A829" s="5"/>
      <c r="B829" s="5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</row>
    <row r="830" spans="1:19" x14ac:dyDescent="0.2">
      <c r="A830" s="5"/>
      <c r="B830" s="5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</row>
    <row r="831" spans="1:19" x14ac:dyDescent="0.2">
      <c r="A831" s="5"/>
      <c r="B831" s="5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</row>
    <row r="832" spans="1:19" x14ac:dyDescent="0.2">
      <c r="A832" s="5"/>
      <c r="B832" s="5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</row>
    <row r="833" spans="1:19" x14ac:dyDescent="0.2">
      <c r="A833" s="5"/>
      <c r="B833" s="5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</row>
    <row r="834" spans="1:19" x14ac:dyDescent="0.2">
      <c r="A834" s="5"/>
      <c r="B834" s="5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</row>
    <row r="835" spans="1:19" x14ac:dyDescent="0.2">
      <c r="A835" s="5"/>
      <c r="B835" s="5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</row>
    <row r="836" spans="1:19" x14ac:dyDescent="0.2">
      <c r="A836" s="5"/>
      <c r="B836" s="5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</row>
    <row r="837" spans="1:19" x14ac:dyDescent="0.2">
      <c r="A837" s="5"/>
      <c r="B837" s="5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</row>
    <row r="838" spans="1:19" x14ac:dyDescent="0.2">
      <c r="A838" s="5"/>
      <c r="B838" s="5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</row>
    <row r="839" spans="1:19" x14ac:dyDescent="0.2">
      <c r="A839" s="5"/>
      <c r="B839" s="5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</row>
    <row r="840" spans="1:19" x14ac:dyDescent="0.2">
      <c r="A840" s="5"/>
      <c r="B840" s="5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</row>
    <row r="841" spans="1:19" x14ac:dyDescent="0.2">
      <c r="A841" s="5"/>
      <c r="B841" s="5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</row>
    <row r="842" spans="1:19" x14ac:dyDescent="0.2">
      <c r="A842" s="5"/>
      <c r="B842" s="5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</row>
    <row r="843" spans="1:19" x14ac:dyDescent="0.2">
      <c r="A843" s="5"/>
      <c r="B843" s="5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</row>
    <row r="844" spans="1:19" x14ac:dyDescent="0.2">
      <c r="A844" s="5"/>
      <c r="B844" s="5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</row>
    <row r="845" spans="1:19" x14ac:dyDescent="0.2">
      <c r="A845" s="5"/>
      <c r="B845" s="5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</row>
    <row r="846" spans="1:19" x14ac:dyDescent="0.2">
      <c r="A846" s="5"/>
      <c r="B846" s="5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</row>
    <row r="847" spans="1:19" x14ac:dyDescent="0.2">
      <c r="A847" s="5"/>
      <c r="B847" s="5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</row>
    <row r="848" spans="1:19" x14ac:dyDescent="0.2">
      <c r="A848" s="5"/>
      <c r="B848" s="5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</row>
    <row r="849" spans="1:19" x14ac:dyDescent="0.2">
      <c r="A849" s="5"/>
      <c r="B849" s="5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</row>
    <row r="850" spans="1:19" x14ac:dyDescent="0.2">
      <c r="A850" s="5"/>
      <c r="B850" s="5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</row>
    <row r="851" spans="1:19" x14ac:dyDescent="0.2">
      <c r="A851" s="5"/>
      <c r="B851" s="5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</row>
    <row r="852" spans="1:19" x14ac:dyDescent="0.2">
      <c r="A852" s="5"/>
      <c r="B852" s="5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</row>
    <row r="853" spans="1:19" x14ac:dyDescent="0.2">
      <c r="A853" s="5"/>
      <c r="B853" s="5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</row>
    <row r="854" spans="1:19" x14ac:dyDescent="0.2">
      <c r="A854" s="5"/>
      <c r="B854" s="5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</row>
    <row r="855" spans="1:19" x14ac:dyDescent="0.2">
      <c r="A855" s="5"/>
      <c r="B855" s="5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</row>
    <row r="856" spans="1:19" x14ac:dyDescent="0.2">
      <c r="A856" s="5"/>
      <c r="B856" s="5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</row>
    <row r="857" spans="1:19" x14ac:dyDescent="0.2">
      <c r="A857" s="5"/>
      <c r="B857" s="5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</row>
    <row r="858" spans="1:19" x14ac:dyDescent="0.2">
      <c r="A858" s="5"/>
      <c r="B858" s="5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</row>
    <row r="859" spans="1:19" x14ac:dyDescent="0.2">
      <c r="A859" s="5"/>
      <c r="B859" s="5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</row>
    <row r="860" spans="1:19" x14ac:dyDescent="0.2">
      <c r="A860" s="5"/>
      <c r="B860" s="5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</row>
    <row r="861" spans="1:19" x14ac:dyDescent="0.2">
      <c r="A861" s="5"/>
      <c r="B861" s="5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</row>
    <row r="862" spans="1:19" x14ac:dyDescent="0.2">
      <c r="A862" s="5"/>
      <c r="B862" s="5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</row>
    <row r="863" spans="1:19" x14ac:dyDescent="0.2">
      <c r="A863" s="5"/>
      <c r="B863" s="5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</row>
    <row r="864" spans="1:19" x14ac:dyDescent="0.2">
      <c r="A864" s="5"/>
      <c r="B864" s="5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</row>
    <row r="865" spans="1:19" x14ac:dyDescent="0.2">
      <c r="A865" s="5"/>
      <c r="B865" s="5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</row>
    <row r="866" spans="1:19" x14ac:dyDescent="0.2">
      <c r="A866" s="5"/>
      <c r="B866" s="5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</row>
    <row r="867" spans="1:19" x14ac:dyDescent="0.2">
      <c r="A867" s="5"/>
      <c r="B867" s="5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</row>
    <row r="868" spans="1:19" x14ac:dyDescent="0.2">
      <c r="A868" s="5"/>
      <c r="B868" s="5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</row>
    <row r="869" spans="1:19" x14ac:dyDescent="0.2">
      <c r="A869" s="5"/>
      <c r="B869" s="5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</row>
    <row r="870" spans="1:19" x14ac:dyDescent="0.2">
      <c r="A870" s="5"/>
      <c r="B870" s="5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</row>
    <row r="871" spans="1:19" x14ac:dyDescent="0.2">
      <c r="A871" s="5"/>
      <c r="B871" s="5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</row>
    <row r="872" spans="1:19" x14ac:dyDescent="0.2">
      <c r="A872" s="5"/>
      <c r="B872" s="5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</row>
    <row r="873" spans="1:19" x14ac:dyDescent="0.2">
      <c r="A873" s="5"/>
      <c r="B873" s="5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</row>
    <row r="874" spans="1:19" x14ac:dyDescent="0.2">
      <c r="A874" s="5"/>
      <c r="B874" s="5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</row>
    <row r="875" spans="1:19" x14ac:dyDescent="0.2">
      <c r="A875" s="5"/>
      <c r="B875" s="5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</row>
    <row r="876" spans="1:19" x14ac:dyDescent="0.2">
      <c r="A876" s="5"/>
      <c r="B876" s="5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</row>
    <row r="877" spans="1:19" x14ac:dyDescent="0.2">
      <c r="A877" s="5"/>
      <c r="B877" s="5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</row>
    <row r="878" spans="1:19" x14ac:dyDescent="0.2">
      <c r="A878" s="5"/>
      <c r="B878" s="5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</row>
    <row r="879" spans="1:19" x14ac:dyDescent="0.2">
      <c r="A879" s="5"/>
      <c r="B879" s="5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</row>
    <row r="880" spans="1:19" x14ac:dyDescent="0.2">
      <c r="A880" s="5"/>
      <c r="B880" s="5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</row>
    <row r="881" spans="1:19" x14ac:dyDescent="0.2">
      <c r="A881" s="5"/>
      <c r="B881" s="5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</row>
    <row r="882" spans="1:19" x14ac:dyDescent="0.2">
      <c r="A882" s="5"/>
      <c r="B882" s="5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</row>
    <row r="883" spans="1:19" x14ac:dyDescent="0.2">
      <c r="A883" s="5"/>
      <c r="B883" s="5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</row>
    <row r="884" spans="1:19" x14ac:dyDescent="0.2">
      <c r="A884" s="5"/>
      <c r="B884" s="5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</row>
    <row r="885" spans="1:19" x14ac:dyDescent="0.2">
      <c r="A885" s="5"/>
      <c r="B885" s="5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</row>
    <row r="886" spans="1:19" x14ac:dyDescent="0.2">
      <c r="A886" s="5"/>
      <c r="B886" s="5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</row>
    <row r="887" spans="1:19" x14ac:dyDescent="0.2">
      <c r="A887" s="5"/>
      <c r="B887" s="5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</row>
    <row r="888" spans="1:19" x14ac:dyDescent="0.2">
      <c r="A888" s="5"/>
      <c r="B888" s="5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</row>
    <row r="889" spans="1:19" x14ac:dyDescent="0.2">
      <c r="A889" s="5"/>
      <c r="B889" s="5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</row>
    <row r="890" spans="1:19" x14ac:dyDescent="0.2">
      <c r="A890" s="5"/>
      <c r="B890" s="5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</row>
    <row r="891" spans="1:19" x14ac:dyDescent="0.2">
      <c r="A891" s="5"/>
      <c r="B891" s="5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</row>
    <row r="892" spans="1:19" x14ac:dyDescent="0.2">
      <c r="A892" s="5"/>
      <c r="B892" s="5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</row>
    <row r="893" spans="1:19" x14ac:dyDescent="0.2">
      <c r="A893" s="5"/>
      <c r="B893" s="5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</row>
    <row r="894" spans="1:19" x14ac:dyDescent="0.2">
      <c r="A894" s="5"/>
      <c r="B894" s="5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</row>
    <row r="895" spans="1:19" x14ac:dyDescent="0.2">
      <c r="A895" s="5"/>
      <c r="B895" s="5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</row>
    <row r="896" spans="1:19" x14ac:dyDescent="0.2">
      <c r="A896" s="5"/>
      <c r="B896" s="5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</row>
    <row r="897" spans="1:19" x14ac:dyDescent="0.2">
      <c r="A897" s="5"/>
      <c r="B897" s="5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</row>
    <row r="898" spans="1:19" x14ac:dyDescent="0.2">
      <c r="A898" s="5"/>
      <c r="B898" s="5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</row>
    <row r="899" spans="1:19" x14ac:dyDescent="0.2">
      <c r="A899" s="5"/>
      <c r="B899" s="5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</row>
    <row r="900" spans="1:19" x14ac:dyDescent="0.2">
      <c r="A900" s="5"/>
      <c r="B900" s="5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</row>
    <row r="901" spans="1:19" x14ac:dyDescent="0.2">
      <c r="A901" s="5"/>
      <c r="B901" s="5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</row>
    <row r="902" spans="1:19" x14ac:dyDescent="0.2">
      <c r="A902" s="5"/>
      <c r="B902" s="5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</row>
    <row r="903" spans="1:19" x14ac:dyDescent="0.2">
      <c r="A903" s="5"/>
      <c r="B903" s="5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</row>
    <row r="904" spans="1:19" x14ac:dyDescent="0.2">
      <c r="A904" s="5"/>
      <c r="B904" s="5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</row>
    <row r="905" spans="1:19" x14ac:dyDescent="0.2">
      <c r="A905" s="5"/>
      <c r="B905" s="5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</row>
    <row r="906" spans="1:19" x14ac:dyDescent="0.2">
      <c r="A906" s="5"/>
      <c r="B906" s="5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</row>
    <row r="907" spans="1:19" x14ac:dyDescent="0.2">
      <c r="A907" s="5"/>
      <c r="B907" s="5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</row>
    <row r="908" spans="1:19" x14ac:dyDescent="0.2">
      <c r="A908" s="5"/>
      <c r="B908" s="5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</row>
    <row r="909" spans="1:19" x14ac:dyDescent="0.2">
      <c r="A909" s="5"/>
      <c r="B909" s="5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</row>
    <row r="910" spans="1:19" x14ac:dyDescent="0.2">
      <c r="A910" s="5"/>
      <c r="B910" s="5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</row>
    <row r="911" spans="1:19" x14ac:dyDescent="0.2">
      <c r="A911" s="5"/>
      <c r="B911" s="5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</row>
    <row r="912" spans="1:19" x14ac:dyDescent="0.2">
      <c r="A912" s="5"/>
      <c r="B912" s="5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</row>
    <row r="913" spans="1:19" x14ac:dyDescent="0.2">
      <c r="A913" s="5"/>
      <c r="B913" s="5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</row>
    <row r="914" spans="1:19" x14ac:dyDescent="0.2">
      <c r="A914" s="5"/>
      <c r="B914" s="5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</row>
    <row r="915" spans="1:19" x14ac:dyDescent="0.2">
      <c r="A915" s="5"/>
      <c r="B915" s="5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</row>
    <row r="916" spans="1:19" x14ac:dyDescent="0.2">
      <c r="A916" s="5"/>
      <c r="B916" s="5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</row>
    <row r="917" spans="1:19" x14ac:dyDescent="0.2">
      <c r="A917" s="5"/>
      <c r="B917" s="5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</row>
    <row r="918" spans="1:19" x14ac:dyDescent="0.2">
      <c r="A918" s="5"/>
      <c r="B918" s="5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</row>
    <row r="919" spans="1:19" x14ac:dyDescent="0.2">
      <c r="A919" s="5"/>
      <c r="B919" s="5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</row>
    <row r="920" spans="1:19" x14ac:dyDescent="0.2">
      <c r="A920" s="5"/>
      <c r="B920" s="5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</row>
    <row r="921" spans="1:19" x14ac:dyDescent="0.2">
      <c r="A921" s="5"/>
      <c r="B921" s="5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</row>
    <row r="922" spans="1:19" x14ac:dyDescent="0.2">
      <c r="A922" s="5"/>
      <c r="B922" s="5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</row>
    <row r="923" spans="1:19" x14ac:dyDescent="0.2">
      <c r="A923" s="5"/>
      <c r="B923" s="5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</row>
    <row r="924" spans="1:19" x14ac:dyDescent="0.2">
      <c r="A924" s="5"/>
      <c r="B924" s="5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</row>
    <row r="925" spans="1:19" x14ac:dyDescent="0.2">
      <c r="A925" s="5"/>
      <c r="B925" s="5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</row>
    <row r="926" spans="1:19" x14ac:dyDescent="0.2">
      <c r="A926" s="5"/>
      <c r="B926" s="5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</row>
    <row r="927" spans="1:19" x14ac:dyDescent="0.2">
      <c r="A927" s="5"/>
      <c r="B927" s="5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</row>
    <row r="928" spans="1:19" x14ac:dyDescent="0.2">
      <c r="A928" s="5"/>
      <c r="B928" s="5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</row>
    <row r="929" spans="1:19" x14ac:dyDescent="0.2">
      <c r="A929" s="5"/>
      <c r="B929" s="5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</row>
    <row r="930" spans="1:19" x14ac:dyDescent="0.2">
      <c r="A930" s="5"/>
      <c r="B930" s="5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</row>
    <row r="931" spans="1:19" x14ac:dyDescent="0.2">
      <c r="A931" s="5"/>
      <c r="B931" s="5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</row>
    <row r="932" spans="1:19" x14ac:dyDescent="0.2">
      <c r="A932" s="5"/>
      <c r="B932" s="5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</row>
    <row r="933" spans="1:19" x14ac:dyDescent="0.2">
      <c r="A933" s="5"/>
      <c r="B933" s="5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</row>
    <row r="934" spans="1:19" x14ac:dyDescent="0.2">
      <c r="A934" s="5"/>
      <c r="B934" s="5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</row>
    <row r="935" spans="1:19" x14ac:dyDescent="0.2">
      <c r="A935" s="5"/>
      <c r="B935" s="5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</row>
    <row r="936" spans="1:19" x14ac:dyDescent="0.2">
      <c r="A936" s="5"/>
      <c r="B936" s="5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</row>
    <row r="937" spans="1:19" x14ac:dyDescent="0.2">
      <c r="A937" s="5"/>
      <c r="B937" s="5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</row>
    <row r="938" spans="1:19" x14ac:dyDescent="0.2">
      <c r="A938" s="5"/>
      <c r="B938" s="5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</row>
    <row r="939" spans="1:19" x14ac:dyDescent="0.2">
      <c r="A939" s="5"/>
      <c r="B939" s="5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</row>
    <row r="940" spans="1:19" x14ac:dyDescent="0.2">
      <c r="A940" s="5"/>
      <c r="B940" s="5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</row>
    <row r="941" spans="1:19" x14ac:dyDescent="0.2">
      <c r="A941" s="5"/>
      <c r="B941" s="5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</row>
    <row r="942" spans="1:19" x14ac:dyDescent="0.2">
      <c r="A942" s="5"/>
      <c r="B942" s="5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</row>
    <row r="943" spans="1:19" x14ac:dyDescent="0.2">
      <c r="A943" s="5"/>
      <c r="B943" s="5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</row>
    <row r="944" spans="1:19" x14ac:dyDescent="0.2">
      <c r="A944" s="5"/>
      <c r="B944" s="5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</row>
    <row r="945" spans="1:19" x14ac:dyDescent="0.2">
      <c r="A945" s="5"/>
      <c r="B945" s="5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</row>
    <row r="946" spans="1:19" x14ac:dyDescent="0.2">
      <c r="A946" s="5"/>
      <c r="B946" s="5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</row>
    <row r="947" spans="1:19" x14ac:dyDescent="0.2">
      <c r="A947" s="5"/>
      <c r="B947" s="5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</row>
    <row r="948" spans="1:19" x14ac:dyDescent="0.2">
      <c r="A948" s="5"/>
      <c r="B948" s="5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</row>
    <row r="949" spans="1:19" x14ac:dyDescent="0.2">
      <c r="A949" s="5"/>
      <c r="B949" s="5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</row>
    <row r="950" spans="1:19" x14ac:dyDescent="0.2">
      <c r="A950" s="5"/>
      <c r="B950" s="5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</row>
    <row r="951" spans="1:19" x14ac:dyDescent="0.2">
      <c r="A951" s="5"/>
      <c r="B951" s="5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</row>
    <row r="952" spans="1:19" x14ac:dyDescent="0.2">
      <c r="A952" s="5"/>
      <c r="B952" s="5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</row>
    <row r="953" spans="1:19" x14ac:dyDescent="0.2">
      <c r="A953" s="5"/>
      <c r="B953" s="5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</row>
    <row r="954" spans="1:19" x14ac:dyDescent="0.2">
      <c r="A954" s="5"/>
      <c r="B954" s="5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</row>
    <row r="955" spans="1:19" x14ac:dyDescent="0.2">
      <c r="A955" s="5"/>
      <c r="B955" s="5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</row>
    <row r="956" spans="1:19" x14ac:dyDescent="0.2">
      <c r="A956" s="5"/>
      <c r="B956" s="5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</row>
    <row r="957" spans="1:19" x14ac:dyDescent="0.2">
      <c r="A957" s="5"/>
      <c r="B957" s="5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</row>
    <row r="958" spans="1:19" x14ac:dyDescent="0.2">
      <c r="A958" s="5"/>
      <c r="B958" s="5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</row>
    <row r="959" spans="1:19" x14ac:dyDescent="0.2">
      <c r="A959" s="5"/>
      <c r="B959" s="5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</row>
    <row r="960" spans="1:19" x14ac:dyDescent="0.2">
      <c r="A960" s="5"/>
      <c r="B960" s="5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</row>
    <row r="961" spans="1:19" x14ac:dyDescent="0.2">
      <c r="A961" s="5"/>
      <c r="B961" s="5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</row>
    <row r="962" spans="1:19" x14ac:dyDescent="0.2">
      <c r="A962" s="5"/>
      <c r="B962" s="5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</row>
    <row r="963" spans="1:19" x14ac:dyDescent="0.2">
      <c r="A963" s="5"/>
      <c r="B963" s="5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</row>
    <row r="964" spans="1:19" x14ac:dyDescent="0.2">
      <c r="A964" s="5"/>
      <c r="B964" s="5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</row>
    <row r="965" spans="1:19" x14ac:dyDescent="0.2">
      <c r="A965" s="5"/>
      <c r="B965" s="5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</row>
    <row r="966" spans="1:19" x14ac:dyDescent="0.2">
      <c r="A966" s="5"/>
      <c r="B966" s="5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</row>
    <row r="967" spans="1:19" x14ac:dyDescent="0.2">
      <c r="A967" s="5"/>
      <c r="B967" s="5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</row>
    <row r="968" spans="1:19" x14ac:dyDescent="0.2">
      <c r="A968" s="5"/>
      <c r="B968" s="5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</row>
    <row r="969" spans="1:19" x14ac:dyDescent="0.2">
      <c r="A969" s="5"/>
      <c r="B969" s="5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</row>
    <row r="970" spans="1:19" x14ac:dyDescent="0.2">
      <c r="A970" s="5"/>
      <c r="B970" s="5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</row>
    <row r="971" spans="1:19" x14ac:dyDescent="0.2">
      <c r="A971" s="5"/>
      <c r="B971" s="5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</row>
    <row r="972" spans="1:19" x14ac:dyDescent="0.2">
      <c r="A972" s="5"/>
      <c r="B972" s="5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</row>
    <row r="973" spans="1:19" x14ac:dyDescent="0.2">
      <c r="A973" s="5"/>
      <c r="B973" s="5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</row>
    <row r="974" spans="1:19" x14ac:dyDescent="0.2">
      <c r="A974" s="5"/>
      <c r="B974" s="5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</row>
    <row r="975" spans="1:19" x14ac:dyDescent="0.2">
      <c r="A975" s="5"/>
      <c r="B975" s="5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</row>
    <row r="976" spans="1:19" x14ac:dyDescent="0.2">
      <c r="A976" s="5"/>
      <c r="B976" s="5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</row>
    <row r="977" spans="1:19" x14ac:dyDescent="0.2">
      <c r="A977" s="5"/>
      <c r="B977" s="5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</row>
    <row r="978" spans="1:19" x14ac:dyDescent="0.2">
      <c r="A978" s="5"/>
      <c r="B978" s="5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</row>
    <row r="979" spans="1:19" x14ac:dyDescent="0.2">
      <c r="A979" s="5"/>
      <c r="B979" s="5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</row>
    <row r="980" spans="1:19" x14ac:dyDescent="0.2">
      <c r="A980" s="5"/>
      <c r="B980" s="5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</row>
    <row r="981" spans="1:19" x14ac:dyDescent="0.2">
      <c r="A981" s="5"/>
      <c r="B981" s="5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</row>
    <row r="982" spans="1:19" x14ac:dyDescent="0.2">
      <c r="A982" s="5"/>
      <c r="B982" s="5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</row>
    <row r="983" spans="1:19" x14ac:dyDescent="0.2">
      <c r="A983" s="5"/>
      <c r="B983" s="5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</row>
    <row r="984" spans="1:19" x14ac:dyDescent="0.2">
      <c r="A984" s="5"/>
      <c r="B984" s="5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</row>
    <row r="985" spans="1:19" x14ac:dyDescent="0.2">
      <c r="A985" s="5"/>
      <c r="B985" s="5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</row>
    <row r="986" spans="1:19" x14ac:dyDescent="0.2">
      <c r="A986" s="5"/>
      <c r="B986" s="5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</row>
    <row r="987" spans="1:19" x14ac:dyDescent="0.2">
      <c r="A987" s="5"/>
      <c r="B987" s="5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</row>
    <row r="988" spans="1:19" x14ac:dyDescent="0.2">
      <c r="A988" s="5"/>
      <c r="B988" s="5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</row>
    <row r="989" spans="1:19" x14ac:dyDescent="0.2">
      <c r="A989" s="5"/>
      <c r="B989" s="5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</row>
    <row r="990" spans="1:19" x14ac:dyDescent="0.2">
      <c r="A990" s="5"/>
      <c r="B990" s="5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</row>
    <row r="991" spans="1:19" x14ac:dyDescent="0.2">
      <c r="A991" s="5"/>
      <c r="B991" s="5"/>
      <c r="F991" s="27"/>
    </row>
    <row r="992" spans="1:19" x14ac:dyDescent="0.2">
      <c r="A992" s="5"/>
      <c r="B992" s="5"/>
    </row>
    <row r="993" spans="1:2" x14ac:dyDescent="0.2">
      <c r="A993" s="5"/>
      <c r="B993" s="5"/>
    </row>
    <row r="994" spans="1:2" x14ac:dyDescent="0.2">
      <c r="A994" s="5"/>
      <c r="B994" s="5"/>
    </row>
    <row r="995" spans="1:2" x14ac:dyDescent="0.2">
      <c r="A995" s="5"/>
      <c r="B995" s="5"/>
    </row>
    <row r="996" spans="1:2" x14ac:dyDescent="0.2">
      <c r="A996" s="5"/>
      <c r="B996" s="5"/>
    </row>
    <row r="997" spans="1:2" x14ac:dyDescent="0.2">
      <c r="A997" s="5"/>
      <c r="B997" s="5"/>
    </row>
    <row r="998" spans="1:2" x14ac:dyDescent="0.2">
      <c r="A998" s="5"/>
      <c r="B998" s="5"/>
    </row>
    <row r="999" spans="1:2" x14ac:dyDescent="0.2">
      <c r="A999" s="5"/>
      <c r="B999" s="5"/>
    </row>
    <row r="1000" spans="1:2" x14ac:dyDescent="0.2">
      <c r="A1000" s="5"/>
      <c r="B1000" s="5"/>
    </row>
    <row r="1001" spans="1:2" x14ac:dyDescent="0.2">
      <c r="A1001" s="5"/>
      <c r="B1001" s="5"/>
    </row>
  </sheetData>
  <sortState xmlns:xlrd2="http://schemas.microsoft.com/office/spreadsheetml/2017/richdata2" ref="A2:BB1001">
    <sortCondition ref="Y1:Y1001"/>
  </sortState>
  <pageMargins left="0.7" right="0.7" top="0.75" bottom="0.75" header="0.3" footer="0.3"/>
  <pageSetup scale="34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3B69F-BDC7-F740-B314-5044AB085025}">
  <sheetPr>
    <pageSetUpPr fitToPage="1"/>
  </sheetPr>
  <dimension ref="A1:BE993"/>
  <sheetViews>
    <sheetView zoomScale="110" zoomScaleNormal="110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0.83203125" style="23"/>
    <col min="2" max="2" width="10.83203125" style="20"/>
    <col min="3" max="3" width="11" style="20"/>
    <col min="4" max="4" width="11.5" style="20" customWidth="1"/>
    <col min="5" max="5" width="12.1640625" style="20" customWidth="1"/>
    <col min="6" max="6" width="15.6640625" style="29" bestFit="1" customWidth="1"/>
    <col min="7" max="7" width="12.83203125" style="20" customWidth="1"/>
    <col min="8" max="10" width="15" style="20" bestFit="1" customWidth="1"/>
    <col min="11" max="13" width="21.1640625" style="20" bestFit="1" customWidth="1"/>
    <col min="14" max="16" width="15.33203125" style="20" bestFit="1" customWidth="1"/>
    <col min="17" max="19" width="19.1640625" style="20" bestFit="1" customWidth="1"/>
    <col min="20" max="20" width="11" style="20"/>
    <col min="21" max="21" width="14.1640625" style="20" bestFit="1" customWidth="1"/>
    <col min="22" max="22" width="17.6640625" style="20" bestFit="1" customWidth="1"/>
    <col min="23" max="23" width="16.6640625" style="20" bestFit="1" customWidth="1"/>
    <col min="24" max="24" width="10.83203125" style="20"/>
    <col min="25" max="25" width="10.33203125" style="20" bestFit="1" customWidth="1"/>
    <col min="26" max="27" width="10.83203125" style="20"/>
    <col min="28" max="28" width="27.1640625" style="15" bestFit="1" customWidth="1"/>
    <col min="29" max="29" width="32.83203125" style="15" bestFit="1" customWidth="1"/>
    <col min="30" max="30" width="20.6640625" style="15" bestFit="1" customWidth="1"/>
    <col min="31" max="31" width="25.6640625" style="15" bestFit="1" customWidth="1"/>
    <col min="32" max="32" width="29.5" style="20" bestFit="1" customWidth="1"/>
    <col min="33" max="33" width="16.5" style="20" customWidth="1"/>
    <col min="34" max="34" width="31.83203125" style="20" bestFit="1" customWidth="1"/>
    <col min="35" max="35" width="10.83203125" style="20"/>
    <col min="36" max="36" width="14.6640625" style="15" bestFit="1" customWidth="1"/>
    <col min="37" max="37" width="16.5" style="15" bestFit="1" customWidth="1"/>
    <col min="38" max="38" width="17.5" style="15" bestFit="1" customWidth="1"/>
    <col min="39" max="39" width="17.5" style="20" customWidth="1"/>
    <col min="40" max="40" width="20" style="20" customWidth="1"/>
    <col min="41" max="41" width="28.83203125" style="20" customWidth="1"/>
    <col min="42" max="42" width="26.1640625" style="15" customWidth="1"/>
    <col min="43" max="43" width="24.5" style="15" customWidth="1"/>
    <col min="44" max="44" width="26" style="15" customWidth="1"/>
    <col min="45" max="45" width="24.83203125" style="26" customWidth="1"/>
    <col min="46" max="46" width="27.5" style="26" customWidth="1"/>
    <col min="47" max="47" width="24.1640625" style="26" customWidth="1"/>
    <col min="48" max="48" width="23" style="26" customWidth="1"/>
    <col min="49" max="49" width="28.6640625" style="26" customWidth="1"/>
    <col min="50" max="51" width="30.33203125" style="26" customWidth="1"/>
    <col min="52" max="52" width="30.6640625" style="26" customWidth="1"/>
    <col min="53" max="53" width="18.1640625" style="20" customWidth="1"/>
    <col min="54" max="54" width="10.83203125" style="20"/>
    <col min="55" max="57" width="12.6640625" style="20" customWidth="1"/>
    <col min="58" max="16384" width="10.83203125" style="20"/>
  </cols>
  <sheetData>
    <row r="1" spans="1:57" ht="17" thickBot="1" x14ac:dyDescent="0.25">
      <c r="A1" s="2" t="s">
        <v>2</v>
      </c>
      <c r="B1" s="6" t="s">
        <v>61</v>
      </c>
      <c r="C1" s="16" t="s">
        <v>35</v>
      </c>
      <c r="D1" s="16" t="s">
        <v>36</v>
      </c>
      <c r="E1" s="16" t="s">
        <v>56</v>
      </c>
      <c r="F1" s="50" t="s">
        <v>38</v>
      </c>
      <c r="G1" s="50" t="s">
        <v>39</v>
      </c>
      <c r="H1" s="6" t="s">
        <v>40</v>
      </c>
      <c r="I1" s="6" t="s">
        <v>41</v>
      </c>
      <c r="J1" s="6" t="s">
        <v>42</v>
      </c>
      <c r="K1" s="6" t="s">
        <v>43</v>
      </c>
      <c r="L1" s="6" t="s">
        <v>44</v>
      </c>
      <c r="M1" s="6" t="s">
        <v>45</v>
      </c>
      <c r="N1" s="6" t="s">
        <v>46</v>
      </c>
      <c r="O1" s="6" t="s">
        <v>47</v>
      </c>
      <c r="P1" s="6" t="s">
        <v>48</v>
      </c>
      <c r="Q1" s="6" t="s">
        <v>49</v>
      </c>
      <c r="R1" s="6" t="s">
        <v>50</v>
      </c>
      <c r="S1" s="6" t="s">
        <v>51</v>
      </c>
      <c r="T1" s="6" t="s">
        <v>52</v>
      </c>
      <c r="U1" s="6" t="s">
        <v>53</v>
      </c>
      <c r="V1" s="1" t="s">
        <v>3</v>
      </c>
      <c r="W1" s="1" t="s">
        <v>4</v>
      </c>
      <c r="X1" s="1" t="s">
        <v>0</v>
      </c>
      <c r="Y1" s="1" t="s">
        <v>7</v>
      </c>
      <c r="Z1" s="1" t="s">
        <v>6</v>
      </c>
      <c r="AA1" s="2" t="s">
        <v>57</v>
      </c>
      <c r="AB1" s="12" t="s">
        <v>27</v>
      </c>
      <c r="AC1" s="12" t="s">
        <v>28</v>
      </c>
      <c r="AD1" s="12" t="s">
        <v>29</v>
      </c>
      <c r="AE1" s="12" t="s">
        <v>33</v>
      </c>
      <c r="AF1" s="1" t="s">
        <v>30</v>
      </c>
      <c r="AG1" s="1" t="s">
        <v>31</v>
      </c>
      <c r="AH1" s="3" t="s">
        <v>32</v>
      </c>
      <c r="AI1" s="2" t="s">
        <v>58</v>
      </c>
      <c r="AJ1" s="12" t="s">
        <v>26</v>
      </c>
      <c r="AK1" s="12" t="s">
        <v>25</v>
      </c>
      <c r="AL1" s="13" t="s">
        <v>24</v>
      </c>
      <c r="AM1" s="2" t="s">
        <v>59</v>
      </c>
      <c r="AN1" s="1" t="s">
        <v>10</v>
      </c>
      <c r="AO1" s="8" t="s">
        <v>11</v>
      </c>
      <c r="AP1" s="7" t="s">
        <v>12</v>
      </c>
      <c r="AQ1" s="7" t="s">
        <v>13</v>
      </c>
      <c r="AR1" s="7" t="s">
        <v>14</v>
      </c>
      <c r="AS1" s="8" t="s">
        <v>15</v>
      </c>
      <c r="AT1" s="8" t="s">
        <v>16</v>
      </c>
      <c r="AU1" s="8" t="s">
        <v>17</v>
      </c>
      <c r="AV1" s="8" t="s">
        <v>18</v>
      </c>
      <c r="AW1" s="8" t="s">
        <v>19</v>
      </c>
      <c r="AX1" s="8" t="s">
        <v>20</v>
      </c>
      <c r="AY1" s="8" t="s">
        <v>21</v>
      </c>
      <c r="AZ1" s="9" t="s">
        <v>22</v>
      </c>
      <c r="BA1" s="2" t="s">
        <v>60</v>
      </c>
      <c r="BB1" s="3" t="s">
        <v>23</v>
      </c>
      <c r="BC1" s="4"/>
      <c r="BD1" s="4"/>
      <c r="BE1" s="4"/>
    </row>
    <row r="2" spans="1:57" x14ac:dyDescent="0.2">
      <c r="A2" s="21">
        <v>12</v>
      </c>
      <c r="B2" s="20" t="s">
        <v>74</v>
      </c>
      <c r="C2" s="18" t="s">
        <v>54</v>
      </c>
      <c r="D2" s="18">
        <v>5</v>
      </c>
      <c r="E2" s="18">
        <v>0</v>
      </c>
      <c r="F2" s="51" t="s">
        <v>9</v>
      </c>
      <c r="G2" s="18">
        <v>30</v>
      </c>
      <c r="H2" s="22">
        <v>4.3750855578370977</v>
      </c>
      <c r="I2" s="22">
        <v>6.2724161533196439</v>
      </c>
      <c r="J2" s="22">
        <v>10.647501711156742</v>
      </c>
      <c r="K2" s="22">
        <v>4.4134154688569476</v>
      </c>
      <c r="L2" s="22">
        <v>6.2340862422997949</v>
      </c>
      <c r="M2" s="22">
        <v>10.647501711156742</v>
      </c>
      <c r="N2" s="22">
        <v>4.3203285420944555</v>
      </c>
      <c r="O2" s="22">
        <v>6.2669404517453797</v>
      </c>
      <c r="P2" s="22">
        <v>10.587268993839835</v>
      </c>
      <c r="Q2" s="22" t="s">
        <v>8</v>
      </c>
      <c r="R2" s="22" t="s">
        <v>8</v>
      </c>
      <c r="S2" s="22" t="s">
        <v>8</v>
      </c>
      <c r="T2" s="20" t="s">
        <v>8</v>
      </c>
      <c r="U2" s="20" t="s">
        <v>8</v>
      </c>
      <c r="V2" s="20" t="s">
        <v>1</v>
      </c>
      <c r="W2" s="20">
        <v>5</v>
      </c>
      <c r="X2" s="20">
        <v>3</v>
      </c>
      <c r="Y2" s="5">
        <v>1</v>
      </c>
      <c r="Z2" s="20">
        <v>4</v>
      </c>
      <c r="AA2" s="23">
        <f t="shared" ref="AA2:AA65" si="0">IF(AND(ISNUMBER(AB2), ISNUMBER(AC2),ISNUMBER(AD2), ISNUMBER(AE2), ISNUMBER(AF2),ISNUMBER(AG2), ISNUMBER(AH2)), 1, IF(AND(AB2="NA", AC2="NA", AD2="na", AE2="na", AF2="na", AG2="na", AH2="na"), 3, 2))</f>
        <v>1</v>
      </c>
      <c r="AB2" s="15">
        <v>0.83299999999999996</v>
      </c>
      <c r="AC2" s="15">
        <v>0.83299999999999996</v>
      </c>
      <c r="AD2" s="15">
        <v>0.66700000000000004</v>
      </c>
      <c r="AE2" s="15">
        <v>0.75</v>
      </c>
      <c r="AF2" s="20">
        <v>18</v>
      </c>
      <c r="AG2" s="20">
        <v>4.32</v>
      </c>
      <c r="AH2" s="24">
        <v>24</v>
      </c>
      <c r="AI2" s="23">
        <f t="shared" ref="AI2:AI65" si="1">IF(AND(ISNUMBER(AJ2), ISNUMBER(AK2),ISNUMBER(AL2)), 1, IF(AND(AJ2="NA", AK2="NA", AL2="na"), 3, 2))</f>
        <v>1</v>
      </c>
      <c r="AJ2" s="15">
        <v>8</v>
      </c>
      <c r="AK2" s="15">
        <v>9</v>
      </c>
      <c r="AL2" s="25">
        <v>17</v>
      </c>
      <c r="AM2" s="23" cm="1">
        <f t="array" ref="AM2">IF(OR(AN2:AZ2=""),"BLANK",IF(AND(AN2:AZ2&lt;9999999),1,IF(AND(AN2:AZ2="NA"),3,2)))</f>
        <v>1</v>
      </c>
      <c r="AN2" s="20">
        <v>7</v>
      </c>
      <c r="AO2" s="20">
        <v>2</v>
      </c>
      <c r="AP2" s="15">
        <v>3</v>
      </c>
      <c r="AQ2" s="15">
        <v>5.75</v>
      </c>
      <c r="AR2" s="15">
        <v>7</v>
      </c>
      <c r="AS2" s="26">
        <v>2149.5</v>
      </c>
      <c r="AT2" s="26">
        <v>4038.5</v>
      </c>
      <c r="AU2" s="26">
        <v>8876.25</v>
      </c>
      <c r="AV2" s="26">
        <v>9001.75</v>
      </c>
      <c r="AW2" s="26">
        <v>0</v>
      </c>
      <c r="AX2" s="26">
        <v>0</v>
      </c>
      <c r="AY2" s="26">
        <v>1269.2180555555999</v>
      </c>
      <c r="AZ2" s="26">
        <v>1193.9708333333001</v>
      </c>
      <c r="BA2" s="23">
        <v>3</v>
      </c>
      <c r="BB2" s="24" t="s">
        <v>8</v>
      </c>
    </row>
    <row r="3" spans="1:57" x14ac:dyDescent="0.2">
      <c r="A3" s="21">
        <v>49</v>
      </c>
      <c r="B3" s="20" t="s">
        <v>68</v>
      </c>
      <c r="C3" s="18" t="s">
        <v>54</v>
      </c>
      <c r="D3" s="18">
        <v>5</v>
      </c>
      <c r="E3" s="18">
        <v>0</v>
      </c>
      <c r="F3" s="51" t="s">
        <v>9</v>
      </c>
      <c r="G3" s="18">
        <v>30</v>
      </c>
      <c r="H3" s="22">
        <v>4.5667351129363452</v>
      </c>
      <c r="I3" s="22">
        <v>5.6153319644079396</v>
      </c>
      <c r="J3" s="22">
        <v>10.182067077344286</v>
      </c>
      <c r="K3" s="22">
        <v>4.8651608487337441</v>
      </c>
      <c r="L3" s="22">
        <v>5.3086926762491444</v>
      </c>
      <c r="M3" s="22">
        <v>10.173853524982889</v>
      </c>
      <c r="N3" s="22">
        <v>4.1779603011635862</v>
      </c>
      <c r="O3" s="22" t="s">
        <v>8</v>
      </c>
      <c r="P3" s="22" t="s">
        <v>8</v>
      </c>
      <c r="Q3" s="22" t="s">
        <v>8</v>
      </c>
      <c r="R3" s="22" t="s">
        <v>8</v>
      </c>
      <c r="S3" s="22" t="s">
        <v>8</v>
      </c>
      <c r="T3" s="20">
        <v>3</v>
      </c>
      <c r="U3" s="20">
        <v>14</v>
      </c>
      <c r="V3" s="20" t="s">
        <v>1</v>
      </c>
      <c r="W3" s="20">
        <v>5</v>
      </c>
      <c r="X3" s="20">
        <v>3</v>
      </c>
      <c r="Y3" s="5">
        <v>1</v>
      </c>
      <c r="Z3" s="20">
        <v>4</v>
      </c>
      <c r="AA3" s="23">
        <f t="shared" si="0"/>
        <v>1</v>
      </c>
      <c r="AB3" s="15">
        <v>0.83299999999999996</v>
      </c>
      <c r="AC3" s="15">
        <v>0.66700000000000004</v>
      </c>
      <c r="AD3" s="15">
        <v>0.66700000000000004</v>
      </c>
      <c r="AE3" s="15">
        <v>0.66700000000000004</v>
      </c>
      <c r="AF3" s="20">
        <v>16</v>
      </c>
      <c r="AG3" s="20">
        <v>5</v>
      </c>
      <c r="AH3" s="24">
        <v>24</v>
      </c>
      <c r="AI3" s="23">
        <f t="shared" si="1"/>
        <v>1</v>
      </c>
      <c r="AJ3" s="15">
        <v>7</v>
      </c>
      <c r="AK3" s="15">
        <v>5</v>
      </c>
      <c r="AL3" s="25">
        <v>12</v>
      </c>
      <c r="AM3" s="23" cm="1">
        <f t="array" ref="AM3">IF(OR(AN3:AZ3=""),"BLANK",IF(AND(AN3:AZ3&lt;9999999),1,IF(AND(AN3:AZ3="NA"),3,2)))</f>
        <v>1</v>
      </c>
      <c r="AN3" s="20">
        <v>8</v>
      </c>
      <c r="AO3" s="20">
        <v>2</v>
      </c>
      <c r="AP3" s="15">
        <v>3</v>
      </c>
      <c r="AQ3" s="15">
        <v>5.25</v>
      </c>
      <c r="AR3" s="15">
        <v>7.5</v>
      </c>
      <c r="AS3" s="26">
        <v>8445</v>
      </c>
      <c r="AT3" s="26">
        <v>8412.5</v>
      </c>
      <c r="AU3" s="26">
        <v>6389.5</v>
      </c>
      <c r="AV3" s="26">
        <v>9829.25</v>
      </c>
      <c r="AW3" s="26">
        <v>2736.25</v>
      </c>
      <c r="AX3" s="26">
        <v>0</v>
      </c>
      <c r="AY3" s="26">
        <v>11958.958333333299</v>
      </c>
      <c r="AZ3" s="26">
        <v>6913.2202380952003</v>
      </c>
      <c r="BA3" s="23">
        <v>3</v>
      </c>
      <c r="BB3" s="24" t="s">
        <v>8</v>
      </c>
    </row>
    <row r="4" spans="1:57" x14ac:dyDescent="0.2">
      <c r="A4" s="21">
        <v>92</v>
      </c>
      <c r="B4" s="20" t="s">
        <v>75</v>
      </c>
      <c r="C4" s="18" t="s">
        <v>55</v>
      </c>
      <c r="D4" s="18">
        <v>5</v>
      </c>
      <c r="E4" s="18">
        <v>0</v>
      </c>
      <c r="F4" s="51" t="s">
        <v>9</v>
      </c>
      <c r="G4" s="18">
        <v>30</v>
      </c>
      <c r="H4" s="22">
        <v>4.3531827515400412</v>
      </c>
      <c r="I4" s="22">
        <v>5.7850787132101305</v>
      </c>
      <c r="J4" s="22">
        <v>10.138261464750171</v>
      </c>
      <c r="K4" s="22">
        <v>4.3778234086242298</v>
      </c>
      <c r="L4" s="22">
        <v>5.7549623545516768</v>
      </c>
      <c r="M4" s="22">
        <v>10.132785763175907</v>
      </c>
      <c r="N4" s="22">
        <v>4.3367556468172488</v>
      </c>
      <c r="O4" s="22">
        <v>5.4866529774127306</v>
      </c>
      <c r="P4" s="22">
        <v>9.8234086242299803</v>
      </c>
      <c r="Q4" s="22" t="s">
        <v>8</v>
      </c>
      <c r="R4" s="22" t="s">
        <v>8</v>
      </c>
      <c r="S4" s="22" t="s">
        <v>8</v>
      </c>
      <c r="T4" s="20" t="s">
        <v>8</v>
      </c>
      <c r="U4" s="20" t="s">
        <v>8</v>
      </c>
      <c r="V4" s="20" t="s">
        <v>1</v>
      </c>
      <c r="W4" s="20">
        <v>5</v>
      </c>
      <c r="X4" s="20">
        <v>3</v>
      </c>
      <c r="Y4" s="5">
        <v>1</v>
      </c>
      <c r="Z4" s="20">
        <v>4</v>
      </c>
      <c r="AA4" s="23">
        <f t="shared" si="0"/>
        <v>1</v>
      </c>
      <c r="AB4" s="15">
        <v>1</v>
      </c>
      <c r="AC4" s="15">
        <v>1</v>
      </c>
      <c r="AD4" s="15">
        <v>1</v>
      </c>
      <c r="AE4" s="15">
        <v>1</v>
      </c>
      <c r="AF4" s="20">
        <v>24</v>
      </c>
      <c r="AG4" s="20">
        <v>10.83</v>
      </c>
      <c r="AH4" s="24">
        <v>24</v>
      </c>
      <c r="AI4" s="23">
        <f t="shared" si="1"/>
        <v>1</v>
      </c>
      <c r="AJ4" s="15">
        <v>14</v>
      </c>
      <c r="AK4" s="15">
        <v>15</v>
      </c>
      <c r="AL4" s="25">
        <v>29</v>
      </c>
      <c r="AM4" s="23" cm="1">
        <f t="array" ref="AM4">IF(OR(AN4:AZ4=""),"BLANK",IF(AND(AN4:AZ4&lt;9999999),1,IF(AND(AN4:AZ4="NA"),3,2)))</f>
        <v>1</v>
      </c>
      <c r="AN4" s="20">
        <v>11</v>
      </c>
      <c r="AO4" s="20">
        <v>3</v>
      </c>
      <c r="AP4" s="15">
        <v>3</v>
      </c>
      <c r="AQ4" s="15">
        <v>4</v>
      </c>
      <c r="AR4" s="15">
        <v>5</v>
      </c>
      <c r="AS4" s="26">
        <v>2779.5</v>
      </c>
      <c r="AT4" s="26">
        <v>9002</v>
      </c>
      <c r="AU4" s="26">
        <v>13029.25</v>
      </c>
      <c r="AV4" s="26">
        <v>25578.5</v>
      </c>
      <c r="AW4" s="26">
        <v>85</v>
      </c>
      <c r="AX4" s="26">
        <v>0</v>
      </c>
      <c r="AY4" s="26">
        <v>0</v>
      </c>
      <c r="AZ4" s="26">
        <v>543.45000000000005</v>
      </c>
      <c r="BA4" s="23">
        <v>3</v>
      </c>
      <c r="BB4" s="24" t="s">
        <v>8</v>
      </c>
    </row>
    <row r="5" spans="1:57" x14ac:dyDescent="0.2">
      <c r="A5" s="21">
        <v>103</v>
      </c>
      <c r="B5" s="20" t="s">
        <v>66</v>
      </c>
      <c r="C5" s="18" t="s">
        <v>54</v>
      </c>
      <c r="D5" s="18">
        <v>5</v>
      </c>
      <c r="E5" s="18">
        <v>0</v>
      </c>
      <c r="F5" s="51" t="s">
        <v>9</v>
      </c>
      <c r="G5" s="18">
        <v>30</v>
      </c>
      <c r="H5" s="22">
        <v>4.3942505133470222</v>
      </c>
      <c r="I5" s="22">
        <v>5.8617385352498292</v>
      </c>
      <c r="J5" s="22">
        <v>10.255989048596852</v>
      </c>
      <c r="K5" s="22">
        <v>4.4079397672826834</v>
      </c>
      <c r="L5" s="22">
        <v>5.848049281314168</v>
      </c>
      <c r="M5" s="22">
        <v>10.255989048596852</v>
      </c>
      <c r="N5" s="22">
        <v>4.2381930184804926</v>
      </c>
      <c r="O5" s="22">
        <v>5.5989048596851472</v>
      </c>
      <c r="P5" s="22">
        <v>9.8370978781656397</v>
      </c>
      <c r="Q5" s="22" t="s">
        <v>8</v>
      </c>
      <c r="R5" s="22" t="s">
        <v>8</v>
      </c>
      <c r="S5" s="22" t="s">
        <v>8</v>
      </c>
      <c r="T5" s="20">
        <v>6</v>
      </c>
      <c r="U5" s="20">
        <v>18</v>
      </c>
      <c r="V5" s="20" t="s">
        <v>1</v>
      </c>
      <c r="W5" s="20">
        <v>5</v>
      </c>
      <c r="X5" s="20">
        <v>3</v>
      </c>
      <c r="Y5" s="5">
        <v>1</v>
      </c>
      <c r="Z5" s="20">
        <v>4</v>
      </c>
      <c r="AA5" s="23">
        <f t="shared" si="0"/>
        <v>1</v>
      </c>
      <c r="AB5" s="15">
        <v>1</v>
      </c>
      <c r="AC5" s="15">
        <v>1</v>
      </c>
      <c r="AD5" s="15">
        <v>1</v>
      </c>
      <c r="AE5" s="15">
        <v>1</v>
      </c>
      <c r="AF5" s="20">
        <v>24</v>
      </c>
      <c r="AG5" s="20">
        <v>9.83</v>
      </c>
      <c r="AH5" s="24">
        <v>24</v>
      </c>
      <c r="AI5" s="23">
        <f t="shared" si="1"/>
        <v>1</v>
      </c>
      <c r="AJ5" s="15">
        <v>11.75</v>
      </c>
      <c r="AK5" s="15">
        <v>10</v>
      </c>
      <c r="AL5" s="25">
        <v>21.75</v>
      </c>
      <c r="AM5" s="23" cm="1">
        <f t="array" ref="AM5">IF(OR(AN5:AZ5=""),"BLANK",IF(AND(AN5:AZ5&lt;9999999),1,IF(AND(AN5:AZ5="NA"),3,2)))</f>
        <v>1</v>
      </c>
      <c r="AN5" s="20">
        <v>9</v>
      </c>
      <c r="AO5" s="20">
        <v>2</v>
      </c>
      <c r="AP5" s="15">
        <v>3</v>
      </c>
      <c r="AQ5" s="15">
        <v>5</v>
      </c>
      <c r="AR5" s="15">
        <v>6</v>
      </c>
      <c r="AS5" s="26">
        <v>876.5</v>
      </c>
      <c r="AT5" s="26">
        <v>1443</v>
      </c>
      <c r="AU5" s="26">
        <v>2739.75</v>
      </c>
      <c r="AV5" s="26">
        <v>7584.5</v>
      </c>
      <c r="AW5" s="26">
        <v>0</v>
      </c>
      <c r="AX5" s="26">
        <v>0</v>
      </c>
      <c r="AY5" s="26">
        <v>0</v>
      </c>
      <c r="AZ5" s="26">
        <v>491.37857142860003</v>
      </c>
      <c r="BA5" s="23">
        <v>3</v>
      </c>
      <c r="BB5" s="24" t="s">
        <v>8</v>
      </c>
    </row>
    <row r="6" spans="1:57" x14ac:dyDescent="0.2">
      <c r="A6" s="21">
        <v>138</v>
      </c>
      <c r="B6" s="20" t="s">
        <v>65</v>
      </c>
      <c r="C6" s="18" t="s">
        <v>54</v>
      </c>
      <c r="D6" s="18">
        <v>6</v>
      </c>
      <c r="E6" s="18">
        <v>1</v>
      </c>
      <c r="F6" s="51" t="s">
        <v>9</v>
      </c>
      <c r="G6" s="18">
        <v>30</v>
      </c>
      <c r="H6" s="22">
        <v>4.2080766598220398</v>
      </c>
      <c r="I6" s="22">
        <v>6.1546885694729641</v>
      </c>
      <c r="J6" s="22">
        <v>10.362765229295004</v>
      </c>
      <c r="K6" s="22">
        <v>4.2710472279260783</v>
      </c>
      <c r="L6" s="22">
        <v>6.0725530458590002</v>
      </c>
      <c r="M6" s="22">
        <v>10.343600273785079</v>
      </c>
      <c r="N6" s="22">
        <v>4.128678986995209</v>
      </c>
      <c r="O6" s="22">
        <v>5.8370978781656397</v>
      </c>
      <c r="P6" s="22">
        <v>9.9657768651608496</v>
      </c>
      <c r="Q6" s="22" t="s">
        <v>8</v>
      </c>
      <c r="R6" s="22" t="s">
        <v>8</v>
      </c>
      <c r="S6" s="22" t="s">
        <v>8</v>
      </c>
      <c r="T6" s="20">
        <v>7</v>
      </c>
      <c r="U6" s="20">
        <v>21</v>
      </c>
      <c r="V6" s="20" t="s">
        <v>1</v>
      </c>
      <c r="W6" s="20">
        <v>5</v>
      </c>
      <c r="X6" s="20">
        <v>3</v>
      </c>
      <c r="Y6" s="5">
        <v>1</v>
      </c>
      <c r="Z6" s="20">
        <v>4</v>
      </c>
      <c r="AA6" s="23">
        <f t="shared" si="0"/>
        <v>1</v>
      </c>
      <c r="AB6" s="15">
        <v>1</v>
      </c>
      <c r="AC6" s="15">
        <v>0.83299999999999996</v>
      </c>
      <c r="AD6" s="15">
        <v>0.66700000000000004</v>
      </c>
      <c r="AE6" s="15">
        <v>0.875</v>
      </c>
      <c r="AF6" s="20">
        <v>21</v>
      </c>
      <c r="AG6" s="20">
        <v>10.33</v>
      </c>
      <c r="AH6" s="24">
        <v>24</v>
      </c>
      <c r="AI6" s="23">
        <f t="shared" si="1"/>
        <v>1</v>
      </c>
      <c r="AJ6" s="15">
        <v>12.5</v>
      </c>
      <c r="AK6" s="15">
        <v>9.75</v>
      </c>
      <c r="AL6" s="25">
        <v>22.25</v>
      </c>
      <c r="AM6" s="23" cm="1">
        <f t="array" ref="AM6">IF(OR(AN6:AZ6=""),"BLANK",IF(AND(AN6:AZ6&lt;9999999),1,IF(AND(AN6:AZ6="NA"),3,2)))</f>
        <v>1</v>
      </c>
      <c r="AN6" s="20">
        <v>10</v>
      </c>
      <c r="AO6" s="20">
        <v>2</v>
      </c>
      <c r="AP6" s="15">
        <v>3</v>
      </c>
      <c r="AQ6" s="15">
        <v>5.5</v>
      </c>
      <c r="AR6" s="15">
        <v>5</v>
      </c>
      <c r="AS6" s="26">
        <v>2821</v>
      </c>
      <c r="AT6" s="26">
        <v>2511.5</v>
      </c>
      <c r="AU6" s="26">
        <v>11582.25</v>
      </c>
      <c r="AV6" s="26">
        <v>17633.75</v>
      </c>
      <c r="AW6" s="26">
        <v>0</v>
      </c>
      <c r="AX6" s="26">
        <v>0</v>
      </c>
      <c r="AY6" s="26">
        <v>1325.6027777777999</v>
      </c>
      <c r="AZ6" s="26">
        <v>0</v>
      </c>
      <c r="BA6" s="23">
        <v>3</v>
      </c>
      <c r="BB6" s="24" t="s">
        <v>8</v>
      </c>
    </row>
    <row r="7" spans="1:57" x14ac:dyDescent="0.2">
      <c r="A7" s="21">
        <v>139</v>
      </c>
      <c r="B7" s="20" t="s">
        <v>79</v>
      </c>
      <c r="C7" s="18" t="s">
        <v>54</v>
      </c>
      <c r="D7" s="18">
        <v>5</v>
      </c>
      <c r="E7" s="18">
        <v>0</v>
      </c>
      <c r="F7" s="51" t="s">
        <v>9</v>
      </c>
      <c r="G7" s="18">
        <v>30</v>
      </c>
      <c r="H7" s="22">
        <v>4.5092402464065708</v>
      </c>
      <c r="I7" s="22">
        <v>5.6673511293634498</v>
      </c>
      <c r="J7" s="22">
        <v>10.17659137577002</v>
      </c>
      <c r="K7" s="22">
        <v>4.7392197125256672</v>
      </c>
      <c r="L7" s="22">
        <v>5.5605749486652973</v>
      </c>
      <c r="M7" s="22">
        <v>10.299794661190965</v>
      </c>
      <c r="N7" s="22">
        <v>4.3175906913073234</v>
      </c>
      <c r="O7" s="22">
        <v>5.6673511293634498</v>
      </c>
      <c r="P7" s="22">
        <v>9.9849418206707732</v>
      </c>
      <c r="Q7" s="22" t="s">
        <v>8</v>
      </c>
      <c r="R7" s="22" t="s">
        <v>8</v>
      </c>
      <c r="S7" s="22" t="s">
        <v>8</v>
      </c>
      <c r="T7" s="20" t="s">
        <v>8</v>
      </c>
      <c r="U7" s="20" t="s">
        <v>8</v>
      </c>
      <c r="V7" s="20" t="s">
        <v>1</v>
      </c>
      <c r="W7" s="20">
        <v>5</v>
      </c>
      <c r="X7" s="20">
        <v>3</v>
      </c>
      <c r="Y7" s="5">
        <v>1</v>
      </c>
      <c r="Z7" s="20">
        <v>4</v>
      </c>
      <c r="AA7" s="23">
        <f t="shared" si="0"/>
        <v>1</v>
      </c>
      <c r="AB7" s="15">
        <v>1</v>
      </c>
      <c r="AC7" s="15">
        <v>1</v>
      </c>
      <c r="AD7" s="15">
        <v>0.83299999999999996</v>
      </c>
      <c r="AE7" s="15">
        <v>0.91700000000000004</v>
      </c>
      <c r="AF7" s="20">
        <v>22</v>
      </c>
      <c r="AG7" s="20">
        <v>10.02</v>
      </c>
      <c r="AH7" s="24">
        <v>24</v>
      </c>
      <c r="AI7" s="23">
        <f t="shared" si="1"/>
        <v>1</v>
      </c>
      <c r="AJ7" s="15">
        <v>14</v>
      </c>
      <c r="AK7" s="15">
        <v>11.5</v>
      </c>
      <c r="AL7" s="25">
        <v>25.5</v>
      </c>
      <c r="AM7" s="23" cm="1">
        <f t="array" ref="AM7">IF(OR(AN7:AZ7=""),"BLANK",IF(AND(AN7:AZ7&lt;9999999),1,IF(AND(AN7:AZ7="NA"),3,2)))</f>
        <v>1</v>
      </c>
      <c r="AN7" s="20">
        <v>12</v>
      </c>
      <c r="AO7" s="20">
        <v>2</v>
      </c>
      <c r="AP7" s="15">
        <v>3</v>
      </c>
      <c r="AQ7" s="15">
        <v>4</v>
      </c>
      <c r="AR7" s="15">
        <v>5</v>
      </c>
      <c r="AS7" s="26">
        <v>2059</v>
      </c>
      <c r="AT7" s="26">
        <v>3401.5</v>
      </c>
      <c r="AU7" s="26">
        <v>7331.25</v>
      </c>
      <c r="AV7" s="26">
        <v>8322.25</v>
      </c>
      <c r="AW7" s="26">
        <v>0</v>
      </c>
      <c r="AX7" s="26">
        <v>0</v>
      </c>
      <c r="AY7" s="26">
        <v>0</v>
      </c>
      <c r="AZ7" s="26">
        <v>0</v>
      </c>
      <c r="BA7" s="23">
        <v>3</v>
      </c>
      <c r="BB7" s="24" t="s">
        <v>8</v>
      </c>
    </row>
    <row r="8" spans="1:57" x14ac:dyDescent="0.2">
      <c r="A8" s="21">
        <v>146</v>
      </c>
      <c r="B8" s="20" t="s">
        <v>71</v>
      </c>
      <c r="C8" s="18" t="s">
        <v>54</v>
      </c>
      <c r="D8" s="18">
        <v>5</v>
      </c>
      <c r="E8" s="18">
        <v>0</v>
      </c>
      <c r="F8" s="51" t="s">
        <v>9</v>
      </c>
      <c r="G8" s="18">
        <v>30</v>
      </c>
      <c r="H8" s="22">
        <v>4.4435318275154003</v>
      </c>
      <c r="I8" s="22">
        <v>5.5687885010266944</v>
      </c>
      <c r="J8" s="22">
        <v>10.012320328542094</v>
      </c>
      <c r="K8" s="22">
        <v>4.4380561259411362</v>
      </c>
      <c r="L8" s="22">
        <v>5.6153319644079396</v>
      </c>
      <c r="M8" s="22">
        <v>10.053388090349076</v>
      </c>
      <c r="N8" s="22">
        <v>4.7008898015058183</v>
      </c>
      <c r="O8" s="22">
        <v>5.28952772073922</v>
      </c>
      <c r="P8" s="22">
        <v>9.9904175222450373</v>
      </c>
      <c r="Q8" s="22" t="s">
        <v>8</v>
      </c>
      <c r="R8" s="22" t="s">
        <v>8</v>
      </c>
      <c r="S8" s="22" t="s">
        <v>8</v>
      </c>
      <c r="T8" s="20" t="s">
        <v>8</v>
      </c>
      <c r="U8" s="20" t="s">
        <v>8</v>
      </c>
      <c r="V8" s="20" t="s">
        <v>1</v>
      </c>
      <c r="W8" s="20">
        <v>5</v>
      </c>
      <c r="X8" s="20">
        <v>3</v>
      </c>
      <c r="Y8" s="5">
        <v>1</v>
      </c>
      <c r="Z8" s="20">
        <v>4</v>
      </c>
      <c r="AA8" s="23">
        <f t="shared" si="0"/>
        <v>1</v>
      </c>
      <c r="AB8" s="15">
        <v>1</v>
      </c>
      <c r="AC8" s="15">
        <v>1</v>
      </c>
      <c r="AD8" s="15">
        <v>1</v>
      </c>
      <c r="AE8" s="15">
        <v>1</v>
      </c>
      <c r="AF8" s="20">
        <v>24</v>
      </c>
      <c r="AG8" s="20">
        <v>9.8699999999999992</v>
      </c>
      <c r="AH8" s="24">
        <v>24</v>
      </c>
      <c r="AI8" s="23">
        <f t="shared" si="1"/>
        <v>1</v>
      </c>
      <c r="AJ8" s="15">
        <v>13</v>
      </c>
      <c r="AK8" s="15">
        <v>10.75</v>
      </c>
      <c r="AL8" s="25">
        <v>23.75</v>
      </c>
      <c r="AM8" s="23" cm="1">
        <f t="array" ref="AM8">IF(OR(AN8:AZ8=""),"BLANK",IF(AND(AN8:AZ8&lt;9999999),1,IF(AND(AN8:AZ8="NA"),3,2)))</f>
        <v>1</v>
      </c>
      <c r="AN8" s="20">
        <v>11</v>
      </c>
      <c r="AO8" s="20">
        <v>3</v>
      </c>
      <c r="AP8" s="15">
        <v>3</v>
      </c>
      <c r="AQ8" s="15">
        <v>4</v>
      </c>
      <c r="AR8" s="15">
        <v>5</v>
      </c>
      <c r="AS8" s="26">
        <v>1143</v>
      </c>
      <c r="AT8" s="26">
        <v>4784</v>
      </c>
      <c r="AU8" s="26">
        <v>12525.75</v>
      </c>
      <c r="AV8" s="26">
        <v>19615.75</v>
      </c>
      <c r="AW8" s="26">
        <v>155.625</v>
      </c>
      <c r="AX8" s="26">
        <v>561.16666666670005</v>
      </c>
      <c r="AY8" s="26">
        <v>319.25</v>
      </c>
      <c r="AZ8" s="26">
        <v>273.55</v>
      </c>
      <c r="BA8" s="23">
        <v>3</v>
      </c>
      <c r="BB8" s="24" t="s">
        <v>8</v>
      </c>
    </row>
    <row r="9" spans="1:57" x14ac:dyDescent="0.2">
      <c r="A9" s="21">
        <v>147</v>
      </c>
      <c r="B9" s="20" t="s">
        <v>70</v>
      </c>
      <c r="C9" s="18" t="s">
        <v>54</v>
      </c>
      <c r="D9" s="18">
        <v>5</v>
      </c>
      <c r="E9" s="18">
        <v>0</v>
      </c>
      <c r="F9" s="51" t="s">
        <v>9</v>
      </c>
      <c r="G9" s="18">
        <v>30</v>
      </c>
      <c r="H9" s="22">
        <v>4.5804243668720055</v>
      </c>
      <c r="I9" s="22">
        <v>5.8453114305270359</v>
      </c>
      <c r="J9" s="22">
        <v>10.425735797399042</v>
      </c>
      <c r="K9" s="22">
        <v>4.5804243668720055</v>
      </c>
      <c r="L9" s="22">
        <v>5.8453114305270359</v>
      </c>
      <c r="M9" s="22">
        <v>10.425735797399042</v>
      </c>
      <c r="N9" s="22">
        <v>4.0821355236139629</v>
      </c>
      <c r="O9" s="22">
        <v>5.6837782340862422</v>
      </c>
      <c r="P9" s="22">
        <v>9.765913757700206</v>
      </c>
      <c r="Q9" s="22" t="s">
        <v>8</v>
      </c>
      <c r="R9" s="22" t="s">
        <v>8</v>
      </c>
      <c r="S9" s="22" t="s">
        <v>8</v>
      </c>
      <c r="T9" s="20" t="s">
        <v>8</v>
      </c>
      <c r="U9" s="20" t="s">
        <v>8</v>
      </c>
      <c r="V9" s="20" t="s">
        <v>1</v>
      </c>
      <c r="W9" s="20">
        <v>5</v>
      </c>
      <c r="X9" s="20">
        <v>3</v>
      </c>
      <c r="Y9" s="5">
        <v>1</v>
      </c>
      <c r="Z9" s="20">
        <v>4</v>
      </c>
      <c r="AA9" s="23">
        <f t="shared" si="0"/>
        <v>1</v>
      </c>
      <c r="AB9" s="15">
        <v>0.83299999999999996</v>
      </c>
      <c r="AC9" s="15">
        <v>0.83299999999999996</v>
      </c>
      <c r="AD9" s="15">
        <v>0.83299999999999996</v>
      </c>
      <c r="AE9" s="15">
        <v>0.875</v>
      </c>
      <c r="AF9" s="20">
        <v>21</v>
      </c>
      <c r="AG9" s="20">
        <v>4.5199999999999996</v>
      </c>
      <c r="AH9" s="24">
        <v>24</v>
      </c>
      <c r="AI9" s="23">
        <f t="shared" si="1"/>
        <v>1</v>
      </c>
      <c r="AJ9" s="15">
        <v>12</v>
      </c>
      <c r="AK9" s="15">
        <v>12</v>
      </c>
      <c r="AL9" s="25">
        <v>24</v>
      </c>
      <c r="AM9" s="23" cm="1">
        <f t="array" ref="AM9">IF(OR(AN9:AZ9=""),"BLANK",IF(AND(AN9:AZ9&lt;9999999),1,IF(AND(AN9:AZ9="NA"),3,2)))</f>
        <v>1</v>
      </c>
      <c r="AN9" s="20">
        <v>7</v>
      </c>
      <c r="AO9" s="20">
        <v>2</v>
      </c>
      <c r="AP9" s="15">
        <v>3</v>
      </c>
      <c r="AQ9" s="15">
        <v>4.5</v>
      </c>
      <c r="AR9" s="15">
        <v>8.5</v>
      </c>
      <c r="AS9" s="26">
        <v>2866.5</v>
      </c>
      <c r="AT9" s="26">
        <v>4182.5</v>
      </c>
      <c r="AU9" s="26">
        <v>11363.25</v>
      </c>
      <c r="AV9" s="26">
        <v>15179</v>
      </c>
      <c r="AW9" s="26">
        <v>0</v>
      </c>
      <c r="AX9" s="26">
        <v>0</v>
      </c>
      <c r="AY9" s="26">
        <v>1104.8333333333001</v>
      </c>
      <c r="AZ9" s="26">
        <v>1379.3222222222</v>
      </c>
      <c r="BA9" s="23">
        <v>3</v>
      </c>
      <c r="BB9" s="24" t="s">
        <v>8</v>
      </c>
    </row>
    <row r="10" spans="1:57" x14ac:dyDescent="0.2">
      <c r="A10" s="21">
        <v>149</v>
      </c>
      <c r="B10" s="20" t="s">
        <v>68</v>
      </c>
      <c r="C10" s="18" t="s">
        <v>54</v>
      </c>
      <c r="D10" s="18">
        <v>5</v>
      </c>
      <c r="E10" s="18">
        <v>0</v>
      </c>
      <c r="F10" s="51" t="s">
        <v>9</v>
      </c>
      <c r="G10" s="18">
        <v>30</v>
      </c>
      <c r="H10" s="22">
        <v>4.3394934976043809</v>
      </c>
      <c r="I10" s="22">
        <v>5.9000684462696782</v>
      </c>
      <c r="J10" s="22">
        <v>10.239561943874058</v>
      </c>
      <c r="K10" s="22">
        <v>4.4161533196440796</v>
      </c>
      <c r="L10" s="22">
        <v>5.8836413415468858</v>
      </c>
      <c r="M10" s="22">
        <v>10.299794661190965</v>
      </c>
      <c r="N10" s="22">
        <v>4.2190280629705681</v>
      </c>
      <c r="O10" s="22">
        <v>5.5660506502395624</v>
      </c>
      <c r="P10" s="22">
        <v>9.7850787132101296</v>
      </c>
      <c r="Q10" s="22" t="s">
        <v>8</v>
      </c>
      <c r="R10" s="22" t="s">
        <v>8</v>
      </c>
      <c r="S10" s="22" t="s">
        <v>8</v>
      </c>
      <c r="T10" s="20" t="s">
        <v>8</v>
      </c>
      <c r="U10" s="20" t="s">
        <v>8</v>
      </c>
      <c r="V10" s="20" t="s">
        <v>1</v>
      </c>
      <c r="W10" s="20">
        <v>5</v>
      </c>
      <c r="X10" s="20">
        <v>3</v>
      </c>
      <c r="Y10" s="5">
        <v>1</v>
      </c>
      <c r="Z10" s="20">
        <v>4</v>
      </c>
      <c r="AA10" s="23">
        <f t="shared" si="0"/>
        <v>1</v>
      </c>
      <c r="AB10" s="15">
        <v>1</v>
      </c>
      <c r="AC10" s="15">
        <v>0.83299999999999996</v>
      </c>
      <c r="AD10" s="15">
        <v>0.5</v>
      </c>
      <c r="AE10" s="15">
        <v>0.83299999999999996</v>
      </c>
      <c r="AF10" s="20">
        <v>20</v>
      </c>
      <c r="AG10" s="20">
        <v>5.77</v>
      </c>
      <c r="AH10" s="24">
        <v>24</v>
      </c>
      <c r="AI10" s="23">
        <f t="shared" si="1"/>
        <v>1</v>
      </c>
      <c r="AJ10" s="15">
        <v>9.25</v>
      </c>
      <c r="AK10" s="15">
        <v>5.5</v>
      </c>
      <c r="AL10" s="25">
        <v>14.75</v>
      </c>
      <c r="AM10" s="23" cm="1">
        <f t="array" ref="AM10">IF(OR(AN10:AZ10=""),"BLANK",IF(AND(AN10:AZ10&lt;9999999),1,IF(AND(AN10:AZ10="NA"),3,2)))</f>
        <v>1</v>
      </c>
      <c r="AN10" s="20">
        <v>7</v>
      </c>
      <c r="AO10" s="20">
        <v>2</v>
      </c>
      <c r="AP10" s="15">
        <v>3</v>
      </c>
      <c r="AQ10" s="15">
        <v>5.75</v>
      </c>
      <c r="AR10" s="15">
        <v>9</v>
      </c>
      <c r="AS10" s="26">
        <v>2731.5</v>
      </c>
      <c r="AT10" s="26">
        <v>1329</v>
      </c>
      <c r="AU10" s="26">
        <v>15103.25</v>
      </c>
      <c r="AV10" s="26">
        <v>4927</v>
      </c>
      <c r="AW10" s="26">
        <v>0</v>
      </c>
      <c r="AX10" s="26">
        <v>0</v>
      </c>
      <c r="AY10" s="26">
        <v>0</v>
      </c>
      <c r="AZ10" s="26">
        <v>1230.6134469696999</v>
      </c>
      <c r="BA10" s="23">
        <v>3</v>
      </c>
      <c r="BB10" s="24" t="s">
        <v>8</v>
      </c>
    </row>
    <row r="11" spans="1:57" x14ac:dyDescent="0.2">
      <c r="A11" s="21">
        <v>169</v>
      </c>
      <c r="B11" s="20" t="s">
        <v>74</v>
      </c>
      <c r="C11" s="18" t="s">
        <v>54</v>
      </c>
      <c r="D11" s="18">
        <v>5</v>
      </c>
      <c r="E11" s="18">
        <v>0</v>
      </c>
      <c r="F11" s="51" t="s">
        <v>9</v>
      </c>
      <c r="G11" s="18">
        <v>30</v>
      </c>
      <c r="H11" s="22">
        <v>4.16974674880219</v>
      </c>
      <c r="I11" s="22">
        <v>5.4921286789869956</v>
      </c>
      <c r="J11" s="22">
        <v>9.6618754277891856</v>
      </c>
      <c r="K11" s="22">
        <v>4.16974674880219</v>
      </c>
      <c r="L11" s="22">
        <v>5.4921286789869956</v>
      </c>
      <c r="M11" s="22">
        <v>9.6618754277891856</v>
      </c>
      <c r="N11" s="22">
        <v>4.043805612594114</v>
      </c>
      <c r="O11" s="22">
        <v>5.2621492128678984</v>
      </c>
      <c r="P11" s="22">
        <v>9.3059548254620115</v>
      </c>
      <c r="Q11" s="22">
        <v>3.353867214236824</v>
      </c>
      <c r="R11" s="22">
        <v>6.2422997946611911</v>
      </c>
      <c r="S11" s="22">
        <v>9.5961670088980142</v>
      </c>
      <c r="T11" s="20">
        <v>4</v>
      </c>
      <c r="U11" s="20">
        <v>16</v>
      </c>
      <c r="V11" s="20" t="s">
        <v>1</v>
      </c>
      <c r="W11" s="20">
        <v>5</v>
      </c>
      <c r="X11" s="20">
        <v>3</v>
      </c>
      <c r="Y11" s="5">
        <v>1</v>
      </c>
      <c r="Z11" s="20">
        <v>4</v>
      </c>
      <c r="AA11" s="23">
        <f t="shared" si="0"/>
        <v>1</v>
      </c>
      <c r="AB11" s="15">
        <v>1</v>
      </c>
      <c r="AC11" s="15">
        <v>0.83299999999999996</v>
      </c>
      <c r="AD11" s="15">
        <v>0.66700000000000004</v>
      </c>
      <c r="AE11" s="15">
        <v>0.75</v>
      </c>
      <c r="AF11" s="20">
        <v>18</v>
      </c>
      <c r="AG11" s="20">
        <v>10.5</v>
      </c>
      <c r="AH11" s="24">
        <v>24</v>
      </c>
      <c r="AI11" s="23">
        <f t="shared" si="1"/>
        <v>1</v>
      </c>
      <c r="AJ11" s="15">
        <v>14</v>
      </c>
      <c r="AK11" s="15">
        <v>10.75</v>
      </c>
      <c r="AL11" s="25">
        <v>24.75</v>
      </c>
      <c r="AM11" s="23" cm="1">
        <f t="array" ref="AM11">IF(OR(AN11:AZ11=""),"BLANK",IF(AND(AN11:AZ11&lt;9999999),1,IF(AND(AN11:AZ11="NA"),3,2)))</f>
        <v>1</v>
      </c>
      <c r="AN11" s="20">
        <v>11</v>
      </c>
      <c r="AO11" s="20">
        <v>2</v>
      </c>
      <c r="AP11" s="15">
        <v>3</v>
      </c>
      <c r="AQ11" s="15">
        <v>4</v>
      </c>
      <c r="AR11" s="15">
        <v>6</v>
      </c>
      <c r="AS11" s="26">
        <v>1467</v>
      </c>
      <c r="AT11" s="26">
        <v>3008</v>
      </c>
      <c r="AU11" s="26">
        <v>5979.75</v>
      </c>
      <c r="AV11" s="26">
        <v>8854.75</v>
      </c>
      <c r="AW11" s="26">
        <v>0</v>
      </c>
      <c r="AX11" s="26">
        <v>0</v>
      </c>
      <c r="AY11" s="26">
        <v>0</v>
      </c>
      <c r="AZ11" s="26">
        <v>37.655555555600003</v>
      </c>
      <c r="BA11" s="23">
        <v>3</v>
      </c>
      <c r="BB11" s="24" t="s">
        <v>8</v>
      </c>
    </row>
    <row r="12" spans="1:57" x14ac:dyDescent="0.2">
      <c r="A12" s="21">
        <v>174</v>
      </c>
      <c r="B12" s="20" t="s">
        <v>70</v>
      </c>
      <c r="C12" s="18" t="s">
        <v>55</v>
      </c>
      <c r="D12" s="18">
        <v>5</v>
      </c>
      <c r="E12" s="18">
        <v>0</v>
      </c>
      <c r="F12" s="51" t="s">
        <v>9</v>
      </c>
      <c r="G12" s="18">
        <v>29</v>
      </c>
      <c r="H12" s="22">
        <v>4.216290212183436</v>
      </c>
      <c r="I12" s="22">
        <v>5.9575633127994525</v>
      </c>
      <c r="J12" s="22">
        <v>10.173853524982889</v>
      </c>
      <c r="K12" s="22">
        <v>4.2737850787132103</v>
      </c>
      <c r="L12" s="22">
        <v>5.8973305954825461</v>
      </c>
      <c r="M12" s="22">
        <v>10.171115674195756</v>
      </c>
      <c r="N12" s="22">
        <v>4.2245037645448322</v>
      </c>
      <c r="O12" s="22">
        <v>5.6399726214921291</v>
      </c>
      <c r="P12" s="22">
        <v>9.8644763860369604</v>
      </c>
      <c r="Q12" s="22" t="s">
        <v>8</v>
      </c>
      <c r="R12" s="22" t="s">
        <v>8</v>
      </c>
      <c r="S12" s="22" t="s">
        <v>8</v>
      </c>
      <c r="T12" s="20">
        <v>4</v>
      </c>
      <c r="U12" s="20">
        <v>16</v>
      </c>
      <c r="V12" s="20" t="s">
        <v>1</v>
      </c>
      <c r="W12" s="20">
        <v>5</v>
      </c>
      <c r="X12" s="20">
        <v>3</v>
      </c>
      <c r="Y12" s="5">
        <v>1</v>
      </c>
      <c r="Z12" s="20">
        <v>4</v>
      </c>
      <c r="AA12" s="23">
        <f t="shared" si="0"/>
        <v>1</v>
      </c>
      <c r="AB12" s="15">
        <v>1</v>
      </c>
      <c r="AC12" s="15">
        <v>0.83299999999999996</v>
      </c>
      <c r="AD12" s="15">
        <v>1</v>
      </c>
      <c r="AE12" s="15">
        <v>0.95799999999999996</v>
      </c>
      <c r="AF12" s="20">
        <v>23</v>
      </c>
      <c r="AG12" s="20">
        <v>3.5</v>
      </c>
      <c r="AH12" s="24">
        <v>24</v>
      </c>
      <c r="AI12" s="23">
        <f t="shared" si="1"/>
        <v>1</v>
      </c>
      <c r="AJ12" s="15">
        <v>11.75</v>
      </c>
      <c r="AK12" s="15">
        <v>9.75</v>
      </c>
      <c r="AL12" s="25">
        <v>21.5</v>
      </c>
      <c r="AM12" s="23" cm="1">
        <f t="array" ref="AM12">IF(OR(AN12:AZ12=""),"BLANK",IF(AND(AN12:AZ12&lt;9999999),1,IF(AND(AN12:AZ12="NA"),3,2)))</f>
        <v>1</v>
      </c>
      <c r="AN12" s="20">
        <v>5</v>
      </c>
      <c r="AO12" s="20">
        <v>2</v>
      </c>
      <c r="AP12" s="15">
        <v>3.5</v>
      </c>
      <c r="AQ12" s="15">
        <v>6.5</v>
      </c>
      <c r="AR12" s="15">
        <v>9</v>
      </c>
      <c r="AS12" s="26">
        <v>0</v>
      </c>
      <c r="AT12" s="26">
        <v>2267.5</v>
      </c>
      <c r="AU12" s="26">
        <v>3945.25</v>
      </c>
      <c r="AV12" s="26">
        <v>9812.25</v>
      </c>
      <c r="AW12" s="26">
        <v>0</v>
      </c>
      <c r="AX12" s="26">
        <v>0</v>
      </c>
      <c r="AY12" s="26">
        <v>306.92857142859998</v>
      </c>
      <c r="AZ12" s="26">
        <v>1060.3839285714</v>
      </c>
      <c r="BA12" s="23">
        <v>3</v>
      </c>
      <c r="BB12" s="24" t="s">
        <v>8</v>
      </c>
    </row>
    <row r="13" spans="1:57" x14ac:dyDescent="0.2">
      <c r="A13" s="21">
        <v>178</v>
      </c>
      <c r="B13" s="20" t="s">
        <v>70</v>
      </c>
      <c r="C13" s="18" t="s">
        <v>55</v>
      </c>
      <c r="D13" s="18">
        <v>5</v>
      </c>
      <c r="E13" s="18">
        <v>0</v>
      </c>
      <c r="F13" s="51" t="s">
        <v>9</v>
      </c>
      <c r="G13" s="18">
        <v>28</v>
      </c>
      <c r="H13" s="22">
        <v>3.5509924709103355</v>
      </c>
      <c r="I13" s="22">
        <v>5.0102669404517455</v>
      </c>
      <c r="J13" s="22">
        <v>8.5612594113620801</v>
      </c>
      <c r="K13" s="22">
        <v>3.5509924709103355</v>
      </c>
      <c r="L13" s="22">
        <v>5.1279945242984262</v>
      </c>
      <c r="M13" s="22">
        <v>8.6789869952087617</v>
      </c>
      <c r="N13" s="22">
        <v>3.5208761122518824</v>
      </c>
      <c r="O13" s="22">
        <v>5.0978781656399725</v>
      </c>
      <c r="P13" s="22">
        <v>8.6187542778918544</v>
      </c>
      <c r="Q13" s="22">
        <v>3.871321013004791</v>
      </c>
      <c r="R13" s="22">
        <v>5.1937029431895958</v>
      </c>
      <c r="S13" s="22">
        <v>9.0650239561943877</v>
      </c>
      <c r="T13" s="20" t="s">
        <v>8</v>
      </c>
      <c r="U13" s="20" t="s">
        <v>8</v>
      </c>
      <c r="V13" s="20" t="s">
        <v>1</v>
      </c>
      <c r="W13" s="20">
        <v>5</v>
      </c>
      <c r="X13" s="20">
        <v>3</v>
      </c>
      <c r="Y13" s="5">
        <v>1</v>
      </c>
      <c r="Z13" s="20">
        <v>4</v>
      </c>
      <c r="AA13" s="23">
        <f t="shared" si="0"/>
        <v>1</v>
      </c>
      <c r="AB13" s="15">
        <v>1</v>
      </c>
      <c r="AC13" s="15">
        <v>0.83299999999999996</v>
      </c>
      <c r="AD13" s="15">
        <v>0.33300000000000002</v>
      </c>
      <c r="AE13" s="15">
        <v>0.625</v>
      </c>
      <c r="AF13" s="20">
        <v>15</v>
      </c>
      <c r="AG13" s="20">
        <v>9.48</v>
      </c>
      <c r="AH13" s="24">
        <v>24</v>
      </c>
      <c r="AI13" s="23">
        <f t="shared" si="1"/>
        <v>1</v>
      </c>
      <c r="AJ13" s="15">
        <v>2.25</v>
      </c>
      <c r="AK13" s="15">
        <v>1.5</v>
      </c>
      <c r="AL13" s="25">
        <v>3.75</v>
      </c>
      <c r="AM13" s="23" cm="1">
        <f t="array" ref="AM13">IF(OR(AN13:AZ13=""),"BLANK",IF(AND(AN13:AZ13&lt;9999999),1,IF(AND(AN13:AZ13="NA"),3,2)))</f>
        <v>1</v>
      </c>
      <c r="AN13" s="20">
        <v>5</v>
      </c>
      <c r="AO13" s="20">
        <v>2</v>
      </c>
      <c r="AP13" s="15">
        <v>3.5</v>
      </c>
      <c r="AQ13" s="15">
        <v>5.75</v>
      </c>
      <c r="AR13" s="15">
        <v>7.75</v>
      </c>
      <c r="AS13" s="26">
        <v>1245.5</v>
      </c>
      <c r="AT13" s="26">
        <v>5182</v>
      </c>
      <c r="AU13" s="26">
        <v>9323.25</v>
      </c>
      <c r="AV13" s="26">
        <v>14624.75</v>
      </c>
      <c r="AW13" s="26">
        <v>0</v>
      </c>
      <c r="AX13" s="26">
        <v>0</v>
      </c>
      <c r="AY13" s="26">
        <v>2125.1666666667002</v>
      </c>
      <c r="AZ13" s="26">
        <v>3971.4285714286002</v>
      </c>
      <c r="BA13" s="23">
        <v>3</v>
      </c>
      <c r="BB13" s="24" t="s">
        <v>8</v>
      </c>
    </row>
    <row r="14" spans="1:57" x14ac:dyDescent="0.2">
      <c r="A14" s="21">
        <v>183</v>
      </c>
      <c r="B14" s="20" t="s">
        <v>63</v>
      </c>
      <c r="C14" s="18" t="s">
        <v>54</v>
      </c>
      <c r="D14" s="18">
        <v>5</v>
      </c>
      <c r="E14" s="18">
        <v>0</v>
      </c>
      <c r="F14" s="51" t="s">
        <v>9</v>
      </c>
      <c r="G14" s="18">
        <v>29</v>
      </c>
      <c r="H14" s="22">
        <v>4.2053388090349078</v>
      </c>
      <c r="I14" s="22">
        <v>5.8261464750171115</v>
      </c>
      <c r="J14" s="22">
        <v>10.031485284052019</v>
      </c>
      <c r="K14" s="22">
        <v>4.2765229295003424</v>
      </c>
      <c r="L14" s="22">
        <v>5.7549623545516768</v>
      </c>
      <c r="M14" s="22">
        <v>10.031485284052019</v>
      </c>
      <c r="N14" s="22">
        <v>4.1971252566735116</v>
      </c>
      <c r="O14" s="22">
        <v>5.631759069130732</v>
      </c>
      <c r="P14" s="22">
        <v>9.8288843258042444</v>
      </c>
      <c r="Q14" s="22" t="s">
        <v>8</v>
      </c>
      <c r="R14" s="22" t="s">
        <v>8</v>
      </c>
      <c r="S14" s="22" t="s">
        <v>8</v>
      </c>
      <c r="T14" s="20">
        <v>5</v>
      </c>
      <c r="U14" s="20">
        <v>20</v>
      </c>
      <c r="V14" s="20" t="s">
        <v>1</v>
      </c>
      <c r="W14" s="20">
        <v>5</v>
      </c>
      <c r="X14" s="20">
        <v>3</v>
      </c>
      <c r="Y14" s="5">
        <v>1</v>
      </c>
      <c r="Z14" s="20">
        <v>4</v>
      </c>
      <c r="AA14" s="23">
        <f t="shared" si="0"/>
        <v>1</v>
      </c>
      <c r="AB14" s="15">
        <v>0.83299999999999996</v>
      </c>
      <c r="AC14" s="15">
        <v>0.5</v>
      </c>
      <c r="AD14" s="15">
        <v>0.33300000000000002</v>
      </c>
      <c r="AE14" s="15">
        <v>0.5</v>
      </c>
      <c r="AF14" s="20">
        <v>12</v>
      </c>
      <c r="AG14" s="20">
        <v>5.73</v>
      </c>
      <c r="AH14" s="24">
        <v>24</v>
      </c>
      <c r="AI14" s="23">
        <f t="shared" si="1"/>
        <v>1</v>
      </c>
      <c r="AJ14" s="15">
        <v>3.75</v>
      </c>
      <c r="AK14" s="15">
        <v>6.25</v>
      </c>
      <c r="AL14" s="25">
        <v>10</v>
      </c>
      <c r="AM14" s="23" cm="1">
        <f t="array" ref="AM14">IF(OR(AN14:AZ14=""),"BLANK",IF(AND(AN14:AZ14&lt;9999999),1,IF(AND(AN14:AZ14="NA"),3,2)))</f>
        <v>1</v>
      </c>
      <c r="AN14" s="20">
        <v>6</v>
      </c>
      <c r="AO14" s="20">
        <v>2</v>
      </c>
      <c r="AP14" s="15">
        <v>4.5</v>
      </c>
      <c r="AQ14" s="15">
        <v>6</v>
      </c>
      <c r="AR14" s="15">
        <v>7.5</v>
      </c>
      <c r="AS14" s="26">
        <v>1844</v>
      </c>
      <c r="AT14" s="26">
        <v>3996.5</v>
      </c>
      <c r="AU14" s="26">
        <v>5794</v>
      </c>
      <c r="AV14" s="26">
        <v>5533.25</v>
      </c>
      <c r="AW14" s="26">
        <v>1560.5</v>
      </c>
      <c r="AX14" s="26">
        <v>1289.25</v>
      </c>
      <c r="AY14" s="26">
        <v>4632.9246031745997</v>
      </c>
      <c r="AZ14" s="26">
        <v>2105.5797619047999</v>
      </c>
      <c r="BA14" s="23">
        <v>3</v>
      </c>
      <c r="BB14" s="24" t="s">
        <v>8</v>
      </c>
    </row>
    <row r="15" spans="1:57" x14ac:dyDescent="0.2">
      <c r="A15" s="21">
        <v>189</v>
      </c>
      <c r="B15" s="20" t="s">
        <v>79</v>
      </c>
      <c r="C15" s="18" t="s">
        <v>54</v>
      </c>
      <c r="D15" s="18">
        <v>5</v>
      </c>
      <c r="E15" s="18">
        <v>0</v>
      </c>
      <c r="F15" s="51" t="s">
        <v>9</v>
      </c>
      <c r="G15" s="18">
        <v>29</v>
      </c>
      <c r="H15" s="22">
        <v>4.0164271047227924</v>
      </c>
      <c r="I15" s="22">
        <v>6.2970568104038334</v>
      </c>
      <c r="J15" s="22">
        <v>10.313483915126625</v>
      </c>
      <c r="K15" s="22">
        <v>4.0164271047227924</v>
      </c>
      <c r="L15" s="22">
        <v>6.2970568104038334</v>
      </c>
      <c r="M15" s="22">
        <v>10.313483915126625</v>
      </c>
      <c r="N15" s="22">
        <v>4.3997262149212863</v>
      </c>
      <c r="O15" s="22">
        <v>5.3935660506502394</v>
      </c>
      <c r="P15" s="22">
        <v>9.7932922655715267</v>
      </c>
      <c r="Q15" s="22" t="s">
        <v>8</v>
      </c>
      <c r="R15" s="22" t="s">
        <v>8</v>
      </c>
      <c r="S15" s="22" t="s">
        <v>8</v>
      </c>
      <c r="T15" s="20">
        <v>4</v>
      </c>
      <c r="U15" s="20">
        <v>16</v>
      </c>
      <c r="V15" s="20" t="s">
        <v>1</v>
      </c>
      <c r="W15" s="20">
        <v>5</v>
      </c>
      <c r="X15" s="20">
        <v>3</v>
      </c>
      <c r="Y15" s="5">
        <v>1</v>
      </c>
      <c r="Z15" s="20">
        <v>4</v>
      </c>
      <c r="AA15" s="23">
        <f t="shared" si="0"/>
        <v>1</v>
      </c>
      <c r="AB15" s="15">
        <v>1</v>
      </c>
      <c r="AC15" s="15">
        <v>1</v>
      </c>
      <c r="AD15" s="15">
        <v>1</v>
      </c>
      <c r="AE15" s="15">
        <v>1</v>
      </c>
      <c r="AF15" s="20">
        <v>24</v>
      </c>
      <c r="AG15" s="20">
        <v>5.87</v>
      </c>
      <c r="AH15" s="24">
        <v>24</v>
      </c>
      <c r="AI15" s="23">
        <f t="shared" si="1"/>
        <v>1</v>
      </c>
      <c r="AJ15" s="15">
        <v>9</v>
      </c>
      <c r="AK15" s="15">
        <v>10</v>
      </c>
      <c r="AL15" s="25">
        <v>19</v>
      </c>
      <c r="AM15" s="23" cm="1">
        <f t="array" ref="AM15">IF(OR(AN15:AZ15=""),"BLANK",IF(AND(AN15:AZ15&lt;9999999),1,IF(AND(AN15:AZ15="NA"),3,2)))</f>
        <v>1</v>
      </c>
      <c r="AN15" s="20">
        <v>9</v>
      </c>
      <c r="AO15" s="20">
        <v>2</v>
      </c>
      <c r="AP15" s="15">
        <v>3</v>
      </c>
      <c r="AQ15" s="15">
        <v>5.25</v>
      </c>
      <c r="AR15" s="15">
        <v>6</v>
      </c>
      <c r="AS15" s="26">
        <v>1509.5</v>
      </c>
      <c r="AT15" s="26">
        <v>4234</v>
      </c>
      <c r="AU15" s="26">
        <v>6273.75</v>
      </c>
      <c r="AV15" s="26">
        <v>10117.25</v>
      </c>
      <c r="AW15" s="26">
        <v>0</v>
      </c>
      <c r="AX15" s="26">
        <v>0</v>
      </c>
      <c r="AY15" s="26">
        <v>742.50694444440001</v>
      </c>
      <c r="AZ15" s="26">
        <v>0</v>
      </c>
      <c r="BA15" s="23">
        <v>3</v>
      </c>
      <c r="BB15" s="24" t="s">
        <v>8</v>
      </c>
    </row>
    <row r="16" spans="1:57" x14ac:dyDescent="0.2">
      <c r="A16" s="21">
        <v>192</v>
      </c>
      <c r="B16" s="20" t="s">
        <v>65</v>
      </c>
      <c r="C16" s="18" t="s">
        <v>54</v>
      </c>
      <c r="D16" s="18">
        <v>5</v>
      </c>
      <c r="E16" s="18">
        <v>0</v>
      </c>
      <c r="F16" s="51" t="s">
        <v>9</v>
      </c>
      <c r="G16" s="18">
        <v>30</v>
      </c>
      <c r="H16" s="22">
        <v>4.043805612594114</v>
      </c>
      <c r="I16" s="22">
        <v>5.1909650924024637</v>
      </c>
      <c r="J16" s="22">
        <v>9.2347707049965777</v>
      </c>
      <c r="K16" s="22">
        <v>4.043805612594114</v>
      </c>
      <c r="L16" s="22">
        <v>5.1909650924024637</v>
      </c>
      <c r="M16" s="22">
        <v>9.2347707049965777</v>
      </c>
      <c r="N16" s="22">
        <v>4.046543463381246</v>
      </c>
      <c r="O16" s="22">
        <v>5.1526351813826148</v>
      </c>
      <c r="P16" s="22">
        <v>9.1991786447638599</v>
      </c>
      <c r="Q16" s="22" t="s">
        <v>8</v>
      </c>
      <c r="R16" s="22" t="s">
        <v>8</v>
      </c>
      <c r="S16" s="22" t="s">
        <v>8</v>
      </c>
      <c r="T16" s="20">
        <v>7</v>
      </c>
      <c r="U16" s="20">
        <v>21</v>
      </c>
      <c r="V16" s="20" t="s">
        <v>1</v>
      </c>
      <c r="W16" s="20">
        <v>5</v>
      </c>
      <c r="X16" s="20">
        <v>3</v>
      </c>
      <c r="Y16" s="5">
        <v>1</v>
      </c>
      <c r="Z16" s="20">
        <v>4</v>
      </c>
      <c r="AA16" s="23">
        <f t="shared" si="0"/>
        <v>1</v>
      </c>
      <c r="AB16" s="15">
        <v>1</v>
      </c>
      <c r="AC16" s="15">
        <v>1</v>
      </c>
      <c r="AD16" s="15">
        <v>0.66700000000000004</v>
      </c>
      <c r="AE16" s="15">
        <v>0.91700000000000004</v>
      </c>
      <c r="AF16" s="20">
        <v>22</v>
      </c>
      <c r="AG16" s="20">
        <v>11.85</v>
      </c>
      <c r="AH16" s="24">
        <v>24</v>
      </c>
      <c r="AI16" s="23">
        <f t="shared" si="1"/>
        <v>1</v>
      </c>
      <c r="AJ16" s="15">
        <v>11</v>
      </c>
      <c r="AK16" s="15">
        <v>11</v>
      </c>
      <c r="AL16" s="25">
        <v>22</v>
      </c>
      <c r="AM16" s="23" cm="1">
        <f t="array" ref="AM16">IF(OR(AN16:AZ16=""),"BLANK",IF(AND(AN16:AZ16&lt;9999999),1,IF(AND(AN16:AZ16="NA"),3,2)))</f>
        <v>1</v>
      </c>
      <c r="AN16" s="20">
        <v>12</v>
      </c>
      <c r="AO16" s="20">
        <v>2</v>
      </c>
      <c r="AP16" s="15">
        <v>3</v>
      </c>
      <c r="AQ16" s="15">
        <v>4</v>
      </c>
      <c r="AR16" s="15">
        <v>5</v>
      </c>
      <c r="AS16" s="26">
        <v>1609</v>
      </c>
      <c r="AT16" s="26">
        <v>3824.5</v>
      </c>
      <c r="AU16" s="26">
        <v>8193.25</v>
      </c>
      <c r="AV16" s="26">
        <v>18513.25</v>
      </c>
      <c r="AW16" s="26">
        <v>0</v>
      </c>
      <c r="AX16" s="26">
        <v>0</v>
      </c>
      <c r="AY16" s="26">
        <v>0</v>
      </c>
      <c r="AZ16" s="26">
        <v>0</v>
      </c>
      <c r="BA16" s="23">
        <v>3</v>
      </c>
      <c r="BB16" s="24" t="s">
        <v>8</v>
      </c>
    </row>
    <row r="17" spans="1:54" x14ac:dyDescent="0.2">
      <c r="A17" s="21">
        <v>196</v>
      </c>
      <c r="B17" s="20" t="s">
        <v>82</v>
      </c>
      <c r="C17" s="18" t="s">
        <v>55</v>
      </c>
      <c r="D17" s="18">
        <v>5</v>
      </c>
      <c r="E17" s="18">
        <v>0</v>
      </c>
      <c r="F17" s="51" t="s">
        <v>9</v>
      </c>
      <c r="G17" s="18">
        <v>29</v>
      </c>
      <c r="H17" s="22">
        <v>4.2546201232032859</v>
      </c>
      <c r="I17" s="22">
        <v>5.6919917864476384</v>
      </c>
      <c r="J17" s="22">
        <v>9.9466119096509242</v>
      </c>
      <c r="K17" s="22">
        <v>4.2546201232032859</v>
      </c>
      <c r="L17" s="22">
        <v>5.6919917864476384</v>
      </c>
      <c r="M17" s="22">
        <v>9.9466119096509242</v>
      </c>
      <c r="N17" s="22">
        <v>4.3394934976043809</v>
      </c>
      <c r="O17" s="22">
        <v>5.2676249144421625</v>
      </c>
      <c r="P17" s="22">
        <v>9.6071184120465443</v>
      </c>
      <c r="Q17" s="22" t="s">
        <v>8</v>
      </c>
      <c r="R17" s="22" t="s">
        <v>8</v>
      </c>
      <c r="S17" s="22" t="s">
        <v>8</v>
      </c>
      <c r="T17" s="20">
        <v>4</v>
      </c>
      <c r="U17" s="20">
        <v>16</v>
      </c>
      <c r="V17" s="20" t="s">
        <v>1</v>
      </c>
      <c r="W17" s="20">
        <v>5</v>
      </c>
      <c r="X17" s="20">
        <v>3</v>
      </c>
      <c r="Y17" s="5">
        <v>1</v>
      </c>
      <c r="Z17" s="20">
        <v>4</v>
      </c>
      <c r="AA17" s="23">
        <f t="shared" si="0"/>
        <v>1</v>
      </c>
      <c r="AB17" s="15">
        <v>0.66700000000000004</v>
      </c>
      <c r="AC17" s="15">
        <v>0.83299999999999996</v>
      </c>
      <c r="AD17" s="15">
        <v>0.16700000000000001</v>
      </c>
      <c r="AE17" s="15">
        <v>0.54200000000000004</v>
      </c>
      <c r="AF17" s="20">
        <v>13</v>
      </c>
      <c r="AG17" s="20">
        <v>5.07</v>
      </c>
      <c r="AH17" s="24">
        <v>24</v>
      </c>
      <c r="AI17" s="23">
        <f t="shared" si="1"/>
        <v>1</v>
      </c>
      <c r="AJ17" s="15">
        <v>4</v>
      </c>
      <c r="AK17" s="15">
        <v>3</v>
      </c>
      <c r="AL17" s="25">
        <v>7</v>
      </c>
      <c r="AM17" s="23" cm="1">
        <f t="array" ref="AM17">IF(OR(AN17:AZ17=""),"BLANK",IF(AND(AN17:AZ17&lt;9999999),1,IF(AND(AN17:AZ17="NA"),3,2)))</f>
        <v>1</v>
      </c>
      <c r="AN17" s="20">
        <v>6</v>
      </c>
      <c r="AO17" s="20">
        <v>2</v>
      </c>
      <c r="AP17" s="15">
        <v>3.5</v>
      </c>
      <c r="AQ17" s="15">
        <v>6.5</v>
      </c>
      <c r="AR17" s="15">
        <v>9.25</v>
      </c>
      <c r="AS17" s="26">
        <v>3358.5</v>
      </c>
      <c r="AT17" s="26">
        <v>9367</v>
      </c>
      <c r="AU17" s="26">
        <v>4958.75</v>
      </c>
      <c r="AV17" s="26">
        <v>4414.5</v>
      </c>
      <c r="AW17" s="26">
        <v>0</v>
      </c>
      <c r="AX17" s="26">
        <v>0</v>
      </c>
      <c r="AY17" s="26">
        <v>916.25</v>
      </c>
      <c r="AZ17" s="26">
        <v>1609.3045454544999</v>
      </c>
      <c r="BA17" s="23">
        <v>3</v>
      </c>
      <c r="BB17" s="24" t="s">
        <v>8</v>
      </c>
    </row>
    <row r="18" spans="1:54" x14ac:dyDescent="0.2">
      <c r="A18" s="21">
        <v>200</v>
      </c>
      <c r="B18" s="20" t="s">
        <v>75</v>
      </c>
      <c r="C18" s="18" t="s">
        <v>55</v>
      </c>
      <c r="D18" s="18">
        <v>3</v>
      </c>
      <c r="E18" s="18">
        <v>0</v>
      </c>
      <c r="F18" s="51" t="s">
        <v>9</v>
      </c>
      <c r="G18" s="18">
        <v>30</v>
      </c>
      <c r="H18" s="22">
        <v>4.1396303901437372</v>
      </c>
      <c r="I18" s="22">
        <v>6.2258726899383987</v>
      </c>
      <c r="J18" s="22">
        <v>10.365503080082135</v>
      </c>
      <c r="K18" s="22" t="s">
        <v>8</v>
      </c>
      <c r="L18" s="22" t="s">
        <v>8</v>
      </c>
      <c r="M18" s="22">
        <v>10.370978781656399</v>
      </c>
      <c r="N18" s="22">
        <v>4.0219028062970565</v>
      </c>
      <c r="O18" s="22">
        <v>6.2176591375770016</v>
      </c>
      <c r="P18" s="22">
        <v>10.239561943874058</v>
      </c>
      <c r="Q18" s="22" t="s">
        <v>8</v>
      </c>
      <c r="R18" s="22" t="s">
        <v>8</v>
      </c>
      <c r="S18" s="22" t="s">
        <v>8</v>
      </c>
      <c r="T18" s="20">
        <v>3</v>
      </c>
      <c r="U18" s="20">
        <v>13</v>
      </c>
      <c r="V18" s="20" t="s">
        <v>1</v>
      </c>
      <c r="W18" s="20">
        <v>5</v>
      </c>
      <c r="X18" s="20">
        <v>3</v>
      </c>
      <c r="Y18" s="5">
        <v>1</v>
      </c>
      <c r="Z18" s="20">
        <v>4</v>
      </c>
      <c r="AA18" s="23">
        <f t="shared" si="0"/>
        <v>1</v>
      </c>
      <c r="AB18" s="15">
        <v>1</v>
      </c>
      <c r="AC18" s="15">
        <v>0.5</v>
      </c>
      <c r="AD18" s="15">
        <v>0.5</v>
      </c>
      <c r="AE18" s="15">
        <v>0.70799999999999996</v>
      </c>
      <c r="AF18" s="20">
        <v>17</v>
      </c>
      <c r="AG18" s="20">
        <v>4.22</v>
      </c>
      <c r="AH18" s="24">
        <v>24</v>
      </c>
      <c r="AI18" s="23">
        <f t="shared" si="1"/>
        <v>1</v>
      </c>
      <c r="AJ18" s="15">
        <v>7.5</v>
      </c>
      <c r="AK18" s="15">
        <v>8.5</v>
      </c>
      <c r="AL18" s="25">
        <v>16</v>
      </c>
      <c r="AM18" s="23" cm="1">
        <f t="array" ref="AM18">IF(OR(AN18:AZ18=""),"BLANK",IF(AND(AN18:AZ18&lt;9999999),1,IF(AND(AN18:AZ18="NA"),3,2)))</f>
        <v>1</v>
      </c>
      <c r="AN18" s="20">
        <v>10</v>
      </c>
      <c r="AO18" s="20">
        <v>2</v>
      </c>
      <c r="AP18" s="15">
        <v>3</v>
      </c>
      <c r="AQ18" s="15">
        <v>5.25</v>
      </c>
      <c r="AR18" s="15">
        <v>5.25</v>
      </c>
      <c r="AS18" s="26">
        <v>1451</v>
      </c>
      <c r="AT18" s="26">
        <v>1504.5</v>
      </c>
      <c r="AU18" s="26">
        <v>14415.75</v>
      </c>
      <c r="AV18" s="26">
        <v>16330.5</v>
      </c>
      <c r="AW18" s="26">
        <v>0</v>
      </c>
      <c r="AX18" s="26">
        <v>0</v>
      </c>
      <c r="AY18" s="26">
        <v>6282.3541666666997</v>
      </c>
      <c r="AZ18" s="26">
        <v>682.49166666669998</v>
      </c>
      <c r="BA18" s="23">
        <v>3</v>
      </c>
      <c r="BB18" s="24" t="s">
        <v>8</v>
      </c>
    </row>
    <row r="19" spans="1:54" x14ac:dyDescent="0.2">
      <c r="A19" s="21">
        <v>208</v>
      </c>
      <c r="B19" s="20" t="s">
        <v>75</v>
      </c>
      <c r="C19" s="18" t="s">
        <v>54</v>
      </c>
      <c r="D19" s="18">
        <v>5</v>
      </c>
      <c r="E19" s="18">
        <v>0</v>
      </c>
      <c r="F19" s="51" t="s">
        <v>9</v>
      </c>
      <c r="G19" s="18">
        <v>30</v>
      </c>
      <c r="H19" s="22">
        <v>3.5400410677618068</v>
      </c>
      <c r="I19" s="22">
        <v>4.9609856262833674</v>
      </c>
      <c r="J19" s="22">
        <v>8.5010266940451746</v>
      </c>
      <c r="K19" s="22">
        <v>3.5400410677618068</v>
      </c>
      <c r="L19" s="22">
        <v>4.9609856262833674</v>
      </c>
      <c r="M19" s="22">
        <v>8.5010266940451746</v>
      </c>
      <c r="N19" s="22">
        <v>3.5290896646132786</v>
      </c>
      <c r="O19" s="22">
        <v>4.8870636550308006</v>
      </c>
      <c r="P19" s="22">
        <v>8.4161533196440796</v>
      </c>
      <c r="Q19" s="22">
        <v>3.7180013689253935</v>
      </c>
      <c r="R19" s="22" t="s">
        <v>8</v>
      </c>
      <c r="S19" s="22" t="s">
        <v>8</v>
      </c>
      <c r="T19" s="20">
        <v>6</v>
      </c>
      <c r="U19" s="20">
        <v>18</v>
      </c>
      <c r="V19" s="20" t="s">
        <v>1</v>
      </c>
      <c r="W19" s="20">
        <v>5</v>
      </c>
      <c r="X19" s="20">
        <v>3</v>
      </c>
      <c r="Y19" s="5">
        <v>1</v>
      </c>
      <c r="Z19" s="20">
        <v>4</v>
      </c>
      <c r="AA19" s="23">
        <f t="shared" si="0"/>
        <v>1</v>
      </c>
      <c r="AB19" s="15">
        <v>1</v>
      </c>
      <c r="AC19" s="15">
        <v>0.83299999999999996</v>
      </c>
      <c r="AD19" s="15">
        <v>0.66700000000000004</v>
      </c>
      <c r="AE19" s="15">
        <v>0.75</v>
      </c>
      <c r="AF19" s="20">
        <v>18</v>
      </c>
      <c r="AG19" s="20">
        <v>5.85</v>
      </c>
      <c r="AH19" s="24">
        <v>24</v>
      </c>
      <c r="AI19" s="23">
        <f t="shared" si="1"/>
        <v>1</v>
      </c>
      <c r="AJ19" s="15">
        <v>13</v>
      </c>
      <c r="AK19" s="15">
        <v>11</v>
      </c>
      <c r="AL19" s="25">
        <v>24</v>
      </c>
      <c r="AM19" s="23" cm="1">
        <f t="array" ref="AM19">IF(OR(AN19:AZ19=""),"BLANK",IF(AND(AN19:AZ19&lt;9999999),1,IF(AND(AN19:AZ19="NA"),3,2)))</f>
        <v>1</v>
      </c>
      <c r="AN19" s="20">
        <v>8</v>
      </c>
      <c r="AO19" s="20">
        <v>2</v>
      </c>
      <c r="AP19" s="15">
        <v>3.5</v>
      </c>
      <c r="AQ19" s="15">
        <v>4.25</v>
      </c>
      <c r="AR19" s="15">
        <v>6.5</v>
      </c>
      <c r="AS19" s="26">
        <v>0</v>
      </c>
      <c r="AT19" s="26">
        <v>3248</v>
      </c>
      <c r="AU19" s="26">
        <v>13478.75</v>
      </c>
      <c r="AV19" s="26">
        <v>8637</v>
      </c>
      <c r="AW19" s="26">
        <v>0</v>
      </c>
      <c r="AX19" s="26">
        <v>0</v>
      </c>
      <c r="AY19" s="26">
        <v>1218.0125</v>
      </c>
      <c r="AZ19" s="26">
        <v>801.45</v>
      </c>
      <c r="BA19" s="23">
        <v>3</v>
      </c>
      <c r="BB19" s="24" t="s">
        <v>8</v>
      </c>
    </row>
    <row r="20" spans="1:54" x14ac:dyDescent="0.2">
      <c r="A20" s="21">
        <v>213</v>
      </c>
      <c r="B20" s="20" t="s">
        <v>74</v>
      </c>
      <c r="C20" s="18" t="s">
        <v>54</v>
      </c>
      <c r="D20" s="18">
        <v>5</v>
      </c>
      <c r="E20" s="18">
        <v>0</v>
      </c>
      <c r="F20" s="51" t="s">
        <v>9</v>
      </c>
      <c r="G20" s="18">
        <v>30</v>
      </c>
      <c r="H20" s="22">
        <v>4.1806981519507183</v>
      </c>
      <c r="I20" s="22">
        <v>5.7029431895961666</v>
      </c>
      <c r="J20" s="22">
        <v>9.8836413415468858</v>
      </c>
      <c r="K20" s="22">
        <v>4.1806981519507183</v>
      </c>
      <c r="L20" s="22">
        <v>5.7029431895961666</v>
      </c>
      <c r="M20" s="22">
        <v>9.8836413415468858</v>
      </c>
      <c r="N20" s="22">
        <v>3.9863107460643397</v>
      </c>
      <c r="O20" s="22">
        <v>5.5578370978781653</v>
      </c>
      <c r="P20" s="22">
        <v>9.5441478439425058</v>
      </c>
      <c r="Q20" s="22" t="s">
        <v>8</v>
      </c>
      <c r="R20" s="22" t="s">
        <v>8</v>
      </c>
      <c r="S20" s="22" t="s">
        <v>8</v>
      </c>
      <c r="T20" s="20">
        <v>6</v>
      </c>
      <c r="U20" s="20">
        <v>18</v>
      </c>
      <c r="V20" s="20" t="s">
        <v>1</v>
      </c>
      <c r="W20" s="20">
        <v>5</v>
      </c>
      <c r="X20" s="20">
        <v>3</v>
      </c>
      <c r="Y20" s="5">
        <v>1</v>
      </c>
      <c r="Z20" s="20">
        <v>4</v>
      </c>
      <c r="AA20" s="23">
        <f t="shared" si="0"/>
        <v>1</v>
      </c>
      <c r="AB20" s="15">
        <v>1</v>
      </c>
      <c r="AC20" s="15">
        <v>0.83299999999999996</v>
      </c>
      <c r="AD20" s="15">
        <v>0.83299999999999996</v>
      </c>
      <c r="AE20" s="15">
        <v>0.91700000000000004</v>
      </c>
      <c r="AF20" s="20">
        <v>22</v>
      </c>
      <c r="AG20" s="20">
        <v>0.5</v>
      </c>
      <c r="AH20" s="24">
        <v>24</v>
      </c>
      <c r="AI20" s="23">
        <f t="shared" si="1"/>
        <v>1</v>
      </c>
      <c r="AJ20" s="15">
        <v>9.5</v>
      </c>
      <c r="AK20" s="15">
        <v>9.75</v>
      </c>
      <c r="AL20" s="25">
        <v>19.25</v>
      </c>
      <c r="AM20" s="23" cm="1">
        <f t="array" ref="AM20">IF(OR(AN20:AZ20=""),"BLANK",IF(AND(AN20:AZ20&lt;9999999),1,IF(AND(AN20:AZ20="NA"),3,2)))</f>
        <v>1</v>
      </c>
      <c r="AN20" s="20">
        <v>10</v>
      </c>
      <c r="AO20" s="20">
        <v>2</v>
      </c>
      <c r="AP20" s="15">
        <v>3</v>
      </c>
      <c r="AQ20" s="15">
        <v>5.25</v>
      </c>
      <c r="AR20" s="15">
        <v>5.5</v>
      </c>
      <c r="AS20" s="26">
        <v>1342</v>
      </c>
      <c r="AT20" s="26">
        <v>8189</v>
      </c>
      <c r="AU20" s="26">
        <v>5293.5</v>
      </c>
      <c r="AV20" s="26">
        <v>12231</v>
      </c>
      <c r="AW20" s="26">
        <v>0</v>
      </c>
      <c r="AX20" s="26">
        <v>0</v>
      </c>
      <c r="AY20" s="26">
        <v>708.29166666670005</v>
      </c>
      <c r="AZ20" s="26">
        <v>355.7357142857</v>
      </c>
      <c r="BA20" s="23">
        <v>3</v>
      </c>
      <c r="BB20" s="24" t="s">
        <v>8</v>
      </c>
    </row>
    <row r="21" spans="1:54" x14ac:dyDescent="0.2">
      <c r="A21" s="21">
        <v>220</v>
      </c>
      <c r="B21" s="20" t="s">
        <v>82</v>
      </c>
      <c r="C21" s="18" t="s">
        <v>54</v>
      </c>
      <c r="D21" s="18">
        <v>5</v>
      </c>
      <c r="E21" s="18">
        <v>0</v>
      </c>
      <c r="F21" s="51" t="s">
        <v>9</v>
      </c>
      <c r="G21" s="18">
        <v>30</v>
      </c>
      <c r="H21" s="22">
        <v>4.2327173169062284</v>
      </c>
      <c r="I21" s="22">
        <v>5.9657768651608487</v>
      </c>
      <c r="J21" s="22">
        <v>10.198494182067078</v>
      </c>
      <c r="K21" s="22">
        <v>5.7713894592744692</v>
      </c>
      <c r="L21" s="22">
        <v>4.4271047227926079</v>
      </c>
      <c r="M21" s="22">
        <v>10.198494182067078</v>
      </c>
      <c r="N21" s="22">
        <v>4.0219028062970565</v>
      </c>
      <c r="O21" s="22">
        <v>5.7138945927446958</v>
      </c>
      <c r="P21" s="22">
        <v>9.7357973990417523</v>
      </c>
      <c r="Q21" s="22" t="s">
        <v>8</v>
      </c>
      <c r="R21" s="22" t="s">
        <v>8</v>
      </c>
      <c r="S21" s="22" t="s">
        <v>8</v>
      </c>
      <c r="T21" s="20">
        <v>5</v>
      </c>
      <c r="U21" s="20">
        <v>17</v>
      </c>
      <c r="V21" s="20" t="s">
        <v>1</v>
      </c>
      <c r="W21" s="20">
        <v>5</v>
      </c>
      <c r="X21" s="20">
        <v>3</v>
      </c>
      <c r="Y21" s="5">
        <v>1</v>
      </c>
      <c r="Z21" s="20">
        <v>4</v>
      </c>
      <c r="AA21" s="23">
        <f t="shared" si="0"/>
        <v>1</v>
      </c>
      <c r="AB21" s="15">
        <v>0.83299999999999996</v>
      </c>
      <c r="AC21" s="15">
        <v>1</v>
      </c>
      <c r="AD21" s="15">
        <v>1</v>
      </c>
      <c r="AE21" s="15">
        <v>0.91700000000000004</v>
      </c>
      <c r="AF21" s="20">
        <v>22</v>
      </c>
      <c r="AG21" s="20">
        <v>3.5</v>
      </c>
      <c r="AH21" s="24">
        <v>24</v>
      </c>
      <c r="AI21" s="23">
        <f t="shared" si="1"/>
        <v>1</v>
      </c>
      <c r="AJ21" s="15">
        <v>7.75</v>
      </c>
      <c r="AK21" s="15">
        <v>9</v>
      </c>
      <c r="AL21" s="25">
        <v>16.75</v>
      </c>
      <c r="AM21" s="23" cm="1">
        <f t="array" ref="AM21">IF(OR(AN21:AZ21=""),"BLANK",IF(AND(AN21:AZ21&lt;9999999),1,IF(AND(AN21:AZ21="NA"),3,2)))</f>
        <v>1</v>
      </c>
      <c r="AN21" s="20">
        <v>11</v>
      </c>
      <c r="AO21" s="20">
        <v>2</v>
      </c>
      <c r="AP21" s="15">
        <v>3</v>
      </c>
      <c r="AQ21" s="15">
        <v>5.25</v>
      </c>
      <c r="AR21" s="15">
        <v>5</v>
      </c>
      <c r="AS21" s="26">
        <v>2547.5</v>
      </c>
      <c r="AT21" s="26">
        <v>3988.5</v>
      </c>
      <c r="AU21" s="26">
        <v>6287.75</v>
      </c>
      <c r="AV21" s="26">
        <v>8312.25</v>
      </c>
      <c r="AW21" s="26">
        <v>0</v>
      </c>
      <c r="AX21" s="26">
        <v>0</v>
      </c>
      <c r="AY21" s="26">
        <v>424.50694444440001</v>
      </c>
      <c r="AZ21" s="26">
        <v>0</v>
      </c>
      <c r="BA21" s="23">
        <v>3</v>
      </c>
      <c r="BB21" s="24" t="s">
        <v>8</v>
      </c>
    </row>
    <row r="22" spans="1:54" x14ac:dyDescent="0.2">
      <c r="A22" s="21">
        <v>221</v>
      </c>
      <c r="B22" s="20" t="s">
        <v>75</v>
      </c>
      <c r="C22" s="18" t="s">
        <v>55</v>
      </c>
      <c r="D22" s="18">
        <v>5</v>
      </c>
      <c r="E22" s="18">
        <v>0</v>
      </c>
      <c r="F22" s="51" t="s">
        <v>9</v>
      </c>
      <c r="G22" s="18" t="s">
        <v>8</v>
      </c>
      <c r="H22" s="22">
        <v>4.2190280629705681</v>
      </c>
      <c r="I22" s="22">
        <v>6.2067077344284733</v>
      </c>
      <c r="J22" s="22">
        <v>10.425735797399042</v>
      </c>
      <c r="K22" s="22">
        <v>4.1232032854209448</v>
      </c>
      <c r="L22" s="22">
        <v>6.1793292265571527</v>
      </c>
      <c r="M22" s="22">
        <v>10.302532511978097</v>
      </c>
      <c r="N22" s="22" t="s">
        <v>8</v>
      </c>
      <c r="O22" s="22" t="s">
        <v>8</v>
      </c>
      <c r="P22" s="22" t="s">
        <v>8</v>
      </c>
      <c r="Q22" s="22" t="s">
        <v>8</v>
      </c>
      <c r="R22" s="22" t="s">
        <v>8</v>
      </c>
      <c r="S22" s="22" t="s">
        <v>8</v>
      </c>
      <c r="T22" s="20" t="s">
        <v>8</v>
      </c>
      <c r="U22" s="20" t="s">
        <v>8</v>
      </c>
      <c r="V22" s="20" t="s">
        <v>1</v>
      </c>
      <c r="W22" s="20">
        <v>5</v>
      </c>
      <c r="X22" s="20">
        <v>3</v>
      </c>
      <c r="Y22" s="5">
        <v>1</v>
      </c>
      <c r="Z22" s="20">
        <v>4</v>
      </c>
      <c r="AA22" s="23">
        <f t="shared" si="0"/>
        <v>3</v>
      </c>
      <c r="AB22" s="15" t="s">
        <v>8</v>
      </c>
      <c r="AC22" s="15" t="s">
        <v>8</v>
      </c>
      <c r="AD22" s="15" t="s">
        <v>8</v>
      </c>
      <c r="AE22" s="15" t="s">
        <v>8</v>
      </c>
      <c r="AF22" s="20" t="s">
        <v>8</v>
      </c>
      <c r="AG22" s="20" t="s">
        <v>8</v>
      </c>
      <c r="AH22" s="24" t="s">
        <v>8</v>
      </c>
      <c r="AI22" s="23">
        <f t="shared" si="1"/>
        <v>3</v>
      </c>
      <c r="AJ22" s="15" t="s">
        <v>8</v>
      </c>
      <c r="AK22" s="15" t="s">
        <v>8</v>
      </c>
      <c r="AL22" s="25" t="s">
        <v>8</v>
      </c>
      <c r="AM22" s="23" cm="1">
        <f t="array" ref="AM22">IF(OR(AN22:AZ22=""),"BLANK",IF(AND(AN22:AZ22&lt;9999999),1,IF(AND(AN22:AZ22="NA"),3,2)))</f>
        <v>1</v>
      </c>
      <c r="AN22" s="20">
        <v>7</v>
      </c>
      <c r="AO22" s="20">
        <v>2</v>
      </c>
      <c r="AP22" s="15">
        <v>3.5</v>
      </c>
      <c r="AQ22" s="15">
        <v>5.75</v>
      </c>
      <c r="AR22" s="15">
        <v>6.25</v>
      </c>
      <c r="AS22" s="26">
        <v>1704</v>
      </c>
      <c r="AT22" s="26">
        <v>4208</v>
      </c>
      <c r="AU22" s="26">
        <v>3338</v>
      </c>
      <c r="AV22" s="26">
        <v>2622.25</v>
      </c>
      <c r="AW22" s="26">
        <v>0</v>
      </c>
      <c r="AX22" s="26">
        <v>0</v>
      </c>
      <c r="AY22" s="26">
        <v>763.24305555559999</v>
      </c>
      <c r="AZ22" s="26">
        <v>0</v>
      </c>
      <c r="BA22" s="23">
        <v>3</v>
      </c>
      <c r="BB22" s="24" t="s">
        <v>8</v>
      </c>
    </row>
    <row r="23" spans="1:54" x14ac:dyDescent="0.2">
      <c r="A23" s="21">
        <v>232</v>
      </c>
      <c r="B23" s="20" t="s">
        <v>83</v>
      </c>
      <c r="C23" s="18" t="s">
        <v>54</v>
      </c>
      <c r="D23" s="18">
        <v>5</v>
      </c>
      <c r="E23" s="18">
        <v>0</v>
      </c>
      <c r="F23" s="51" t="s">
        <v>9</v>
      </c>
      <c r="G23" s="18">
        <v>27</v>
      </c>
      <c r="H23" s="22">
        <v>4.128678986995209</v>
      </c>
      <c r="I23" s="22">
        <v>5.6919917864476384</v>
      </c>
      <c r="J23" s="22">
        <v>9.8206707734428473</v>
      </c>
      <c r="K23" s="22">
        <v>4.128678986995209</v>
      </c>
      <c r="L23" s="22">
        <v>5.7029431895961666</v>
      </c>
      <c r="M23" s="22">
        <v>9.8316221765913756</v>
      </c>
      <c r="N23" s="22">
        <v>4.0246406570841886</v>
      </c>
      <c r="O23" s="22">
        <v>5.3442847364818613</v>
      </c>
      <c r="P23" s="22">
        <v>9.3689253935660499</v>
      </c>
      <c r="Q23" s="22" t="s">
        <v>8</v>
      </c>
      <c r="R23" s="22" t="s">
        <v>8</v>
      </c>
      <c r="S23" s="22" t="s">
        <v>8</v>
      </c>
      <c r="T23" s="20" t="s">
        <v>8</v>
      </c>
      <c r="U23" s="20" t="s">
        <v>8</v>
      </c>
      <c r="V23" s="20" t="s">
        <v>1</v>
      </c>
      <c r="W23" s="20">
        <v>5</v>
      </c>
      <c r="X23" s="20">
        <v>3</v>
      </c>
      <c r="Y23" s="5">
        <v>1</v>
      </c>
      <c r="Z23" s="20">
        <v>4</v>
      </c>
      <c r="AA23" s="23">
        <f t="shared" si="0"/>
        <v>1</v>
      </c>
      <c r="AB23" s="15">
        <v>1</v>
      </c>
      <c r="AC23" s="15">
        <v>0.83299999999999996</v>
      </c>
      <c r="AD23" s="15">
        <v>0.5</v>
      </c>
      <c r="AE23" s="15">
        <v>0.75</v>
      </c>
      <c r="AF23" s="20">
        <v>18</v>
      </c>
      <c r="AG23" s="20">
        <v>4.72</v>
      </c>
      <c r="AH23" s="24">
        <v>24</v>
      </c>
      <c r="AI23" s="23">
        <f t="shared" si="1"/>
        <v>1</v>
      </c>
      <c r="AJ23" s="15">
        <v>8.25</v>
      </c>
      <c r="AK23" s="15">
        <v>6</v>
      </c>
      <c r="AL23" s="25">
        <v>14.25</v>
      </c>
      <c r="AM23" s="23" cm="1">
        <f t="array" ref="AM23">IF(OR(AN23:AZ23=""),"BLANK",IF(AND(AN23:AZ23&lt;9999999),1,IF(AND(AN23:AZ23="NA"),3,2)))</f>
        <v>1</v>
      </c>
      <c r="AN23" s="20">
        <v>7</v>
      </c>
      <c r="AO23" s="20">
        <v>2</v>
      </c>
      <c r="AP23" s="15">
        <v>3</v>
      </c>
      <c r="AQ23" s="15">
        <v>4.25</v>
      </c>
      <c r="AR23" s="15">
        <v>9</v>
      </c>
      <c r="AS23" s="26">
        <v>808.5</v>
      </c>
      <c r="AT23" s="26">
        <v>6696</v>
      </c>
      <c r="AU23" s="26">
        <v>5873.25</v>
      </c>
      <c r="AV23" s="26">
        <v>1143.25</v>
      </c>
      <c r="AW23" s="26">
        <v>557.75</v>
      </c>
      <c r="AX23" s="26">
        <v>0</v>
      </c>
      <c r="AY23" s="26">
        <v>0</v>
      </c>
      <c r="AZ23" s="26">
        <v>86.735930735899998</v>
      </c>
      <c r="BA23" s="23">
        <v>3</v>
      </c>
      <c r="BB23" s="24" t="s">
        <v>8</v>
      </c>
    </row>
    <row r="24" spans="1:54" x14ac:dyDescent="0.2">
      <c r="A24" s="21">
        <v>236</v>
      </c>
      <c r="B24" s="20" t="s">
        <v>81</v>
      </c>
      <c r="C24" s="18" t="s">
        <v>55</v>
      </c>
      <c r="D24" s="18">
        <v>5</v>
      </c>
      <c r="E24" s="18">
        <v>0</v>
      </c>
      <c r="F24" s="51" t="s">
        <v>9</v>
      </c>
      <c r="G24" s="18">
        <v>30</v>
      </c>
      <c r="H24" s="22">
        <v>4.0985626283367553</v>
      </c>
      <c r="I24" s="22">
        <v>5.9137577002053385</v>
      </c>
      <c r="J24" s="22">
        <v>10.012320328542094</v>
      </c>
      <c r="K24" s="22">
        <v>4.1451060917180014</v>
      </c>
      <c r="L24" s="22">
        <v>5.8590006844626972</v>
      </c>
      <c r="M24" s="22">
        <v>10.004106776180699</v>
      </c>
      <c r="N24" s="22">
        <v>4.0164271047227924</v>
      </c>
      <c r="O24" s="22">
        <v>5.5961670088980151</v>
      </c>
      <c r="P24" s="22">
        <v>9.6125941136208084</v>
      </c>
      <c r="Q24" s="22" t="s">
        <v>8</v>
      </c>
      <c r="R24" s="22" t="s">
        <v>8</v>
      </c>
      <c r="S24" s="22" t="s">
        <v>8</v>
      </c>
      <c r="T24" s="20">
        <v>7</v>
      </c>
      <c r="U24" s="20">
        <v>21</v>
      </c>
      <c r="V24" s="20" t="s">
        <v>1</v>
      </c>
      <c r="W24" s="20">
        <v>5</v>
      </c>
      <c r="X24" s="20">
        <v>3</v>
      </c>
      <c r="Y24" s="5">
        <v>1</v>
      </c>
      <c r="Z24" s="20">
        <v>4</v>
      </c>
      <c r="AA24" s="23">
        <f t="shared" si="0"/>
        <v>2</v>
      </c>
      <c r="AB24" s="15">
        <v>1</v>
      </c>
      <c r="AC24" s="15">
        <v>1</v>
      </c>
      <c r="AD24" s="15">
        <v>0.66700000000000004</v>
      </c>
      <c r="AE24" s="15">
        <v>0.83299999999999996</v>
      </c>
      <c r="AF24" s="20">
        <v>20</v>
      </c>
      <c r="AG24" s="20" t="s">
        <v>8</v>
      </c>
      <c r="AH24" s="24">
        <v>24</v>
      </c>
      <c r="AI24" s="23">
        <f t="shared" si="1"/>
        <v>1</v>
      </c>
      <c r="AJ24" s="15">
        <v>9</v>
      </c>
      <c r="AK24" s="15">
        <v>9</v>
      </c>
      <c r="AL24" s="25">
        <v>18</v>
      </c>
      <c r="AM24" s="23" cm="1">
        <f t="array" ref="AM24">IF(OR(AN24:AZ24=""),"BLANK",IF(AND(AN24:AZ24&lt;9999999),1,IF(AND(AN24:AZ24="NA"),3,2)))</f>
        <v>1</v>
      </c>
      <c r="AN24" s="20">
        <v>9</v>
      </c>
      <c r="AO24" s="20">
        <v>2</v>
      </c>
      <c r="AP24" s="15">
        <v>3</v>
      </c>
      <c r="AQ24" s="15">
        <v>5.75</v>
      </c>
      <c r="AR24" s="15">
        <v>5.25</v>
      </c>
      <c r="AS24" s="26">
        <v>2914.5</v>
      </c>
      <c r="AT24" s="26">
        <v>5114.5</v>
      </c>
      <c r="AU24" s="26">
        <v>11125.5</v>
      </c>
      <c r="AV24" s="26">
        <v>20765.25</v>
      </c>
      <c r="AW24" s="26">
        <v>356.75</v>
      </c>
      <c r="AX24" s="26">
        <v>0</v>
      </c>
      <c r="AY24" s="26">
        <v>6790.7847222221999</v>
      </c>
      <c r="AZ24" s="26">
        <v>4.2249999999999996</v>
      </c>
      <c r="BA24" s="23">
        <v>3</v>
      </c>
      <c r="BB24" s="24" t="s">
        <v>8</v>
      </c>
    </row>
    <row r="25" spans="1:54" x14ac:dyDescent="0.2">
      <c r="A25" s="21">
        <v>245</v>
      </c>
      <c r="B25" s="20" t="s">
        <v>82</v>
      </c>
      <c r="C25" s="18" t="s">
        <v>54</v>
      </c>
      <c r="D25" s="18">
        <v>2</v>
      </c>
      <c r="E25" s="18">
        <v>0</v>
      </c>
      <c r="F25" s="51" t="s">
        <v>9</v>
      </c>
      <c r="G25" s="18">
        <v>28</v>
      </c>
      <c r="H25" s="22">
        <v>4.0985626283367553</v>
      </c>
      <c r="I25" s="22">
        <v>5.9712525667351128</v>
      </c>
      <c r="J25" s="22">
        <v>10.069815195071868</v>
      </c>
      <c r="K25" s="22">
        <v>4.1204654346338128</v>
      </c>
      <c r="L25" s="22">
        <v>5.9493497604380563</v>
      </c>
      <c r="M25" s="22">
        <v>10.069815195071868</v>
      </c>
      <c r="N25" s="22">
        <v>4.2792607802874745</v>
      </c>
      <c r="O25" s="22">
        <v>5.7084188911704308</v>
      </c>
      <c r="P25" s="22">
        <v>9.9876796714579061</v>
      </c>
      <c r="Q25" s="22">
        <v>3.1156741957563314</v>
      </c>
      <c r="R25" s="22">
        <v>6.3052703627652296</v>
      </c>
      <c r="S25" s="22">
        <v>9.4209445585215601</v>
      </c>
      <c r="T25" s="20">
        <v>3</v>
      </c>
      <c r="U25" s="20">
        <v>14</v>
      </c>
      <c r="V25" s="20" t="s">
        <v>1</v>
      </c>
      <c r="W25" s="20">
        <v>5</v>
      </c>
      <c r="X25" s="20">
        <v>3</v>
      </c>
      <c r="Y25" s="5">
        <v>1</v>
      </c>
      <c r="Z25" s="20">
        <v>4</v>
      </c>
      <c r="AA25" s="23">
        <f t="shared" si="0"/>
        <v>1</v>
      </c>
      <c r="AB25" s="15">
        <v>0.83299999999999996</v>
      </c>
      <c r="AC25" s="15">
        <v>0.33300000000000002</v>
      </c>
      <c r="AD25" s="15">
        <v>0.16700000000000001</v>
      </c>
      <c r="AE25" s="15">
        <v>0.375</v>
      </c>
      <c r="AF25" s="20">
        <v>9</v>
      </c>
      <c r="AG25" s="20">
        <v>6.32</v>
      </c>
      <c r="AH25" s="24">
        <v>24</v>
      </c>
      <c r="AI25" s="23">
        <f t="shared" si="1"/>
        <v>1</v>
      </c>
      <c r="AJ25" s="15">
        <v>2.75</v>
      </c>
      <c r="AK25" s="15">
        <v>8.75</v>
      </c>
      <c r="AL25" s="25">
        <v>11.5</v>
      </c>
      <c r="AM25" s="23" cm="1">
        <f t="array" ref="AM25">IF(OR(AN25:AZ25=""),"BLANK",IF(AND(AN25:AZ25&lt;9999999),1,IF(AND(AN25:AZ25="NA"),3,2)))</f>
        <v>1</v>
      </c>
      <c r="AN25" s="20">
        <v>5</v>
      </c>
      <c r="AO25" s="20">
        <v>2</v>
      </c>
      <c r="AP25" s="15">
        <v>3</v>
      </c>
      <c r="AQ25" s="15">
        <v>7.25</v>
      </c>
      <c r="AR25" s="15">
        <v>12</v>
      </c>
      <c r="AS25" s="26">
        <v>3335</v>
      </c>
      <c r="AT25" s="26">
        <v>5844.5</v>
      </c>
      <c r="AU25" s="26">
        <v>3311.75</v>
      </c>
      <c r="AV25" s="26">
        <v>6216</v>
      </c>
      <c r="AW25" s="26">
        <v>0</v>
      </c>
      <c r="AX25" s="26">
        <v>0</v>
      </c>
      <c r="AY25" s="26">
        <v>1817.3095238095</v>
      </c>
      <c r="AZ25" s="26">
        <v>4437.875</v>
      </c>
      <c r="BA25" s="23">
        <v>3</v>
      </c>
      <c r="BB25" s="24" t="s">
        <v>8</v>
      </c>
    </row>
    <row r="26" spans="1:54" x14ac:dyDescent="0.2">
      <c r="A26" s="21">
        <v>274</v>
      </c>
      <c r="B26" s="20" t="s">
        <v>80</v>
      </c>
      <c r="C26" s="18" t="s">
        <v>55</v>
      </c>
      <c r="D26" s="18">
        <v>5</v>
      </c>
      <c r="E26" s="18">
        <v>0</v>
      </c>
      <c r="F26" s="51" t="s">
        <v>9</v>
      </c>
      <c r="G26" s="18">
        <v>29</v>
      </c>
      <c r="H26" s="22">
        <v>4.043805612594114</v>
      </c>
      <c r="I26" s="22">
        <v>5.415468856947296</v>
      </c>
      <c r="J26" s="22">
        <v>9.4592744695414108</v>
      </c>
      <c r="K26" s="22">
        <v>4.043805612594114</v>
      </c>
      <c r="L26" s="22">
        <v>5.5003422313483918</v>
      </c>
      <c r="M26" s="22">
        <v>9.5441478439425058</v>
      </c>
      <c r="N26" s="22">
        <v>4.0301163586584527</v>
      </c>
      <c r="O26" s="22" t="s">
        <v>8</v>
      </c>
      <c r="P26" s="22" t="s">
        <v>8</v>
      </c>
      <c r="Q26" s="22">
        <v>3.1978097193702943</v>
      </c>
      <c r="R26" s="22" t="s">
        <v>8</v>
      </c>
      <c r="S26" s="22" t="s">
        <v>8</v>
      </c>
      <c r="T26" s="20" t="s">
        <v>8</v>
      </c>
      <c r="U26" s="20" t="s">
        <v>8</v>
      </c>
      <c r="V26" s="20" t="s">
        <v>1</v>
      </c>
      <c r="W26" s="20">
        <v>5</v>
      </c>
      <c r="X26" s="20">
        <v>3</v>
      </c>
      <c r="Y26" s="5">
        <v>1</v>
      </c>
      <c r="Z26" s="20">
        <v>4</v>
      </c>
      <c r="AA26" s="23">
        <f t="shared" si="0"/>
        <v>2</v>
      </c>
      <c r="AB26" s="15">
        <v>0.83299999999999996</v>
      </c>
      <c r="AC26" s="15">
        <v>0.66700000000000004</v>
      </c>
      <c r="AD26" s="15">
        <v>0.33300000000000002</v>
      </c>
      <c r="AE26" s="15">
        <v>0.56499999999999995</v>
      </c>
      <c r="AF26" s="20">
        <v>13</v>
      </c>
      <c r="AG26" s="20" t="s">
        <v>8</v>
      </c>
      <c r="AH26" s="24">
        <v>23</v>
      </c>
      <c r="AI26" s="23">
        <f t="shared" si="1"/>
        <v>1</v>
      </c>
      <c r="AJ26" s="15">
        <v>4</v>
      </c>
      <c r="AK26" s="15">
        <v>2.5</v>
      </c>
      <c r="AL26" s="25">
        <v>6.5</v>
      </c>
      <c r="AM26" s="23" cm="1">
        <f t="array" ref="AM26">IF(OR(AN26:AZ26=""),"BLANK",IF(AND(AN26:AZ26&lt;9999999),1,IF(AND(AN26:AZ26="NA"),3,2)))</f>
        <v>1</v>
      </c>
      <c r="AN26" s="20">
        <v>6</v>
      </c>
      <c r="AO26" s="20">
        <v>2</v>
      </c>
      <c r="AP26" s="15">
        <v>3.5</v>
      </c>
      <c r="AQ26" s="15">
        <v>4.75</v>
      </c>
      <c r="AR26" s="15">
        <v>7</v>
      </c>
      <c r="AS26" s="26">
        <v>0</v>
      </c>
      <c r="AT26" s="26">
        <v>2316</v>
      </c>
      <c r="AU26" s="26">
        <v>0</v>
      </c>
      <c r="AV26" s="26">
        <v>6008.25</v>
      </c>
      <c r="AW26" s="26">
        <v>0</v>
      </c>
      <c r="AX26" s="26">
        <v>0</v>
      </c>
      <c r="AY26" s="26">
        <v>3541.5089285713998</v>
      </c>
      <c r="AZ26" s="26">
        <v>3203.8373015872999</v>
      </c>
      <c r="BA26" s="23">
        <v>3</v>
      </c>
      <c r="BB26" s="24" t="s">
        <v>8</v>
      </c>
    </row>
    <row r="27" spans="1:54" x14ac:dyDescent="0.2">
      <c r="A27" s="21">
        <v>326</v>
      </c>
      <c r="B27" s="20" t="s">
        <v>63</v>
      </c>
      <c r="C27" s="18" t="s">
        <v>54</v>
      </c>
      <c r="D27" s="18">
        <v>5</v>
      </c>
      <c r="E27" s="18">
        <v>0</v>
      </c>
      <c r="F27" s="51" t="s">
        <v>9</v>
      </c>
      <c r="G27" s="18">
        <v>30</v>
      </c>
      <c r="H27" s="22">
        <v>4.4079397672826834</v>
      </c>
      <c r="I27" s="22">
        <v>5.7084188911704308</v>
      </c>
      <c r="J27" s="22">
        <v>10.116358658453114</v>
      </c>
      <c r="K27" s="22">
        <v>4.4079397672826834</v>
      </c>
      <c r="L27" s="22">
        <v>5.7084188911704308</v>
      </c>
      <c r="M27" s="22">
        <v>10.116358658453114</v>
      </c>
      <c r="N27" s="22">
        <v>4.4052019164955514</v>
      </c>
      <c r="O27" s="22">
        <v>5.5003422313483918</v>
      </c>
      <c r="P27" s="22">
        <v>9.9055441478439423</v>
      </c>
      <c r="Q27" s="22">
        <v>3.3483915126625599</v>
      </c>
      <c r="R27" s="22">
        <v>6.3189596167008899</v>
      </c>
      <c r="S27" s="22">
        <v>9.6673511293634498</v>
      </c>
      <c r="T27" s="20" t="s">
        <v>8</v>
      </c>
      <c r="U27" s="20" t="s">
        <v>8</v>
      </c>
      <c r="V27" s="20" t="s">
        <v>1</v>
      </c>
      <c r="W27" s="20">
        <v>5</v>
      </c>
      <c r="X27" s="20">
        <v>3</v>
      </c>
      <c r="Y27" s="5">
        <v>1</v>
      </c>
      <c r="Z27" s="20">
        <v>4</v>
      </c>
      <c r="AA27" s="23">
        <f t="shared" si="0"/>
        <v>1</v>
      </c>
      <c r="AB27" s="15">
        <v>1</v>
      </c>
      <c r="AC27" s="15">
        <v>1</v>
      </c>
      <c r="AD27" s="15">
        <v>0.66700000000000004</v>
      </c>
      <c r="AE27" s="15">
        <v>0.875</v>
      </c>
      <c r="AF27" s="20">
        <v>21</v>
      </c>
      <c r="AG27" s="20">
        <v>6.77</v>
      </c>
      <c r="AH27" s="24">
        <v>24</v>
      </c>
      <c r="AI27" s="23">
        <f t="shared" si="1"/>
        <v>1</v>
      </c>
      <c r="AJ27" s="15">
        <v>7</v>
      </c>
      <c r="AK27" s="15">
        <v>6</v>
      </c>
      <c r="AL27" s="25">
        <v>13</v>
      </c>
      <c r="AM27" s="23" cm="1">
        <f t="array" ref="AM27">IF(OR(AN27:AZ27=""),"BLANK",IF(AND(AN27:AZ27&lt;9999999),1,IF(AND(AN27:AZ27="NA"),3,2)))</f>
        <v>1</v>
      </c>
      <c r="AN27" s="20">
        <v>9</v>
      </c>
      <c r="AO27" s="20">
        <v>2</v>
      </c>
      <c r="AP27" s="15">
        <v>3</v>
      </c>
      <c r="AQ27" s="15">
        <v>5.25</v>
      </c>
      <c r="AR27" s="15">
        <v>5.5</v>
      </c>
      <c r="AS27" s="26">
        <v>2087.5</v>
      </c>
      <c r="AT27" s="26">
        <v>4032.5</v>
      </c>
      <c r="AU27" s="26">
        <v>19644.25</v>
      </c>
      <c r="AV27" s="26">
        <v>4335.5</v>
      </c>
      <c r="AW27" s="26">
        <v>0</v>
      </c>
      <c r="AX27" s="26">
        <v>0</v>
      </c>
      <c r="AY27" s="26">
        <v>2350.5</v>
      </c>
      <c r="AZ27" s="26">
        <v>0</v>
      </c>
      <c r="BA27" s="23">
        <v>3</v>
      </c>
      <c r="BB27" s="24" t="s">
        <v>8</v>
      </c>
    </row>
    <row r="28" spans="1:54" x14ac:dyDescent="0.2">
      <c r="A28" s="21">
        <v>327</v>
      </c>
      <c r="B28" s="20" t="s">
        <v>66</v>
      </c>
      <c r="C28" s="18" t="s">
        <v>54</v>
      </c>
      <c r="D28" s="18">
        <v>5</v>
      </c>
      <c r="E28" s="18">
        <v>0</v>
      </c>
      <c r="F28" s="51" t="s">
        <v>9</v>
      </c>
      <c r="G28" s="18">
        <v>30</v>
      </c>
      <c r="H28" s="22">
        <v>4.1505817932922655</v>
      </c>
      <c r="I28" s="22">
        <v>5.6344969199178641</v>
      </c>
      <c r="J28" s="22">
        <v>9.7850787132101296</v>
      </c>
      <c r="K28" s="22">
        <v>4.1505817932922655</v>
      </c>
      <c r="L28" s="22" t="s">
        <v>8</v>
      </c>
      <c r="M28" s="22" t="s">
        <v>8</v>
      </c>
      <c r="N28" s="22">
        <v>4.1451060917180014</v>
      </c>
      <c r="O28" s="22">
        <v>5.5961670088980151</v>
      </c>
      <c r="P28" s="22">
        <v>9.7412731006160165</v>
      </c>
      <c r="Q28" s="22" t="s">
        <v>8</v>
      </c>
      <c r="R28" s="22" t="s">
        <v>8</v>
      </c>
      <c r="S28" s="22" t="s">
        <v>8</v>
      </c>
      <c r="T28" s="20">
        <v>4</v>
      </c>
      <c r="U28" s="20">
        <v>16</v>
      </c>
      <c r="V28" s="20" t="s">
        <v>1</v>
      </c>
      <c r="W28" s="20">
        <v>5</v>
      </c>
      <c r="X28" s="20">
        <v>3</v>
      </c>
      <c r="Y28" s="5">
        <v>1</v>
      </c>
      <c r="Z28" s="20">
        <v>4</v>
      </c>
      <c r="AA28" s="23">
        <f t="shared" si="0"/>
        <v>1</v>
      </c>
      <c r="AB28" s="15">
        <v>1</v>
      </c>
      <c r="AC28" s="15">
        <v>1</v>
      </c>
      <c r="AD28" s="15">
        <v>1</v>
      </c>
      <c r="AE28" s="15">
        <v>0.95799999999999996</v>
      </c>
      <c r="AF28" s="20">
        <v>23</v>
      </c>
      <c r="AG28" s="20">
        <v>6.63</v>
      </c>
      <c r="AH28" s="24">
        <v>24</v>
      </c>
      <c r="AI28" s="23">
        <f t="shared" si="1"/>
        <v>1</v>
      </c>
      <c r="AJ28" s="15">
        <v>12.75</v>
      </c>
      <c r="AK28" s="15">
        <v>11</v>
      </c>
      <c r="AL28" s="25">
        <v>23.75</v>
      </c>
      <c r="AM28" s="23" cm="1">
        <f t="array" ref="AM28">IF(OR(AN28:AZ28=""),"BLANK",IF(AND(AN28:AZ28&lt;9999999),1,IF(AND(AN28:AZ28="NA"),3,2)))</f>
        <v>1</v>
      </c>
      <c r="AN28" s="20">
        <v>12</v>
      </c>
      <c r="AO28" s="20">
        <v>2</v>
      </c>
      <c r="AP28" s="15">
        <v>3</v>
      </c>
      <c r="AQ28" s="15">
        <v>4</v>
      </c>
      <c r="AR28" s="15">
        <v>5</v>
      </c>
      <c r="AS28" s="26">
        <v>1852.5</v>
      </c>
      <c r="AT28" s="26">
        <v>1868.5</v>
      </c>
      <c r="AU28" s="26">
        <v>8980.75</v>
      </c>
      <c r="AV28" s="26">
        <v>19964.25</v>
      </c>
      <c r="AW28" s="26">
        <v>0</v>
      </c>
      <c r="AX28" s="26">
        <v>0</v>
      </c>
      <c r="AY28" s="26">
        <v>0</v>
      </c>
      <c r="AZ28" s="26">
        <v>0</v>
      </c>
      <c r="BA28" s="23">
        <v>3</v>
      </c>
      <c r="BB28" s="24" t="s">
        <v>8</v>
      </c>
    </row>
    <row r="29" spans="1:54" x14ac:dyDescent="0.2">
      <c r="A29" s="21">
        <v>335</v>
      </c>
      <c r="B29" s="20" t="s">
        <v>63</v>
      </c>
      <c r="C29" s="18" t="s">
        <v>54</v>
      </c>
      <c r="D29" s="18">
        <v>5</v>
      </c>
      <c r="E29" s="18">
        <v>0</v>
      </c>
      <c r="F29" s="51" t="s">
        <v>9</v>
      </c>
      <c r="G29" s="18">
        <v>28</v>
      </c>
      <c r="H29" s="22">
        <v>4.3969883641341543</v>
      </c>
      <c r="I29" s="22">
        <v>5.2950034223134841</v>
      </c>
      <c r="J29" s="22">
        <v>9.6919917864476393</v>
      </c>
      <c r="K29" s="22">
        <v>4.4380561259411362</v>
      </c>
      <c r="L29" s="22">
        <v>5.2539356605065022</v>
      </c>
      <c r="M29" s="22">
        <v>9.6919917864476393</v>
      </c>
      <c r="N29" s="22">
        <v>4.3641341546885695</v>
      </c>
      <c r="O29" s="22">
        <v>5.2867898699520879</v>
      </c>
      <c r="P29" s="22">
        <v>9.6509240246406574</v>
      </c>
      <c r="Q29" s="22">
        <v>3.0198494182067077</v>
      </c>
      <c r="R29" s="22" t="s">
        <v>8</v>
      </c>
      <c r="S29" s="22" t="s">
        <v>8</v>
      </c>
      <c r="T29" s="20">
        <v>4</v>
      </c>
      <c r="U29" s="20">
        <v>16</v>
      </c>
      <c r="V29" s="20" t="s">
        <v>1</v>
      </c>
      <c r="W29" s="20">
        <v>5</v>
      </c>
      <c r="X29" s="20">
        <v>3</v>
      </c>
      <c r="Y29" s="5">
        <v>1</v>
      </c>
      <c r="Z29" s="20">
        <v>4</v>
      </c>
      <c r="AA29" s="23">
        <f t="shared" si="0"/>
        <v>1</v>
      </c>
      <c r="AB29" s="15">
        <v>1</v>
      </c>
      <c r="AC29" s="15">
        <v>0.83299999999999996</v>
      </c>
      <c r="AD29" s="15">
        <v>0.66700000000000004</v>
      </c>
      <c r="AE29" s="15">
        <v>0.83299999999999996</v>
      </c>
      <c r="AF29" s="20">
        <v>20</v>
      </c>
      <c r="AG29" s="20">
        <v>2.95</v>
      </c>
      <c r="AH29" s="24">
        <v>24</v>
      </c>
      <c r="AI29" s="23">
        <f t="shared" si="1"/>
        <v>1</v>
      </c>
      <c r="AJ29" s="15">
        <v>9</v>
      </c>
      <c r="AK29" s="15">
        <v>7.75</v>
      </c>
      <c r="AL29" s="25">
        <v>16.75</v>
      </c>
      <c r="AM29" s="23" cm="1">
        <f t="array" ref="AM29">IF(OR(AN29:AZ29=""),"BLANK",IF(AND(AN29:AZ29&lt;9999999),1,IF(AND(AN29:AZ29="NA"),3,2)))</f>
        <v>1</v>
      </c>
      <c r="AN29" s="20">
        <v>10</v>
      </c>
      <c r="AO29" s="20">
        <v>2</v>
      </c>
      <c r="AP29" s="15">
        <v>3</v>
      </c>
      <c r="AQ29" s="15">
        <v>4</v>
      </c>
      <c r="AR29" s="15">
        <v>7.25</v>
      </c>
      <c r="AS29" s="26">
        <v>1563</v>
      </c>
      <c r="AT29" s="26">
        <v>2928</v>
      </c>
      <c r="AU29" s="26">
        <v>6445</v>
      </c>
      <c r="AV29" s="26">
        <v>9564</v>
      </c>
      <c r="AW29" s="26">
        <v>0</v>
      </c>
      <c r="AX29" s="26">
        <v>0</v>
      </c>
      <c r="AY29" s="26">
        <v>0</v>
      </c>
      <c r="AZ29" s="26">
        <v>1598.9023809524001</v>
      </c>
      <c r="BA29" s="23">
        <v>3</v>
      </c>
      <c r="BB29" s="24" t="s">
        <v>8</v>
      </c>
    </row>
    <row r="30" spans="1:54" x14ac:dyDescent="0.2">
      <c r="A30" s="21">
        <v>341</v>
      </c>
      <c r="B30" s="20" t="s">
        <v>82</v>
      </c>
      <c r="C30" s="18" t="s">
        <v>55</v>
      </c>
      <c r="D30" s="18">
        <v>5</v>
      </c>
      <c r="E30" s="18">
        <v>0</v>
      </c>
      <c r="F30" s="51" t="s">
        <v>9</v>
      </c>
      <c r="G30" s="18">
        <v>29</v>
      </c>
      <c r="H30" s="22">
        <v>4.1642710472279258</v>
      </c>
      <c r="I30" s="22">
        <v>5.5167693360711842</v>
      </c>
      <c r="J30" s="22">
        <v>9.681040383299111</v>
      </c>
      <c r="K30" s="22">
        <v>4.1587953456536617</v>
      </c>
      <c r="L30" s="22">
        <v>5.5167693360711842</v>
      </c>
      <c r="M30" s="22">
        <v>9.6755646817248468</v>
      </c>
      <c r="N30" s="22">
        <v>4.1806981519507183</v>
      </c>
      <c r="O30" s="22">
        <v>5.4592744695414099</v>
      </c>
      <c r="P30" s="22">
        <v>9.6399726214921291</v>
      </c>
      <c r="Q30" s="22">
        <v>3.2169746748802188</v>
      </c>
      <c r="R30" s="22">
        <v>6.3436002737850785</v>
      </c>
      <c r="S30" s="22">
        <v>9.5605749486652982</v>
      </c>
      <c r="T30" s="20">
        <v>3</v>
      </c>
      <c r="U30" s="20">
        <v>13</v>
      </c>
      <c r="V30" s="20" t="s">
        <v>1</v>
      </c>
      <c r="W30" s="20">
        <v>5</v>
      </c>
      <c r="X30" s="20">
        <v>3</v>
      </c>
      <c r="Y30" s="5">
        <v>1</v>
      </c>
      <c r="Z30" s="20">
        <v>4</v>
      </c>
      <c r="AA30" s="23">
        <f t="shared" si="0"/>
        <v>1</v>
      </c>
      <c r="AB30" s="15">
        <v>1</v>
      </c>
      <c r="AC30" s="15">
        <v>1</v>
      </c>
      <c r="AD30" s="15">
        <v>1</v>
      </c>
      <c r="AE30" s="15">
        <v>0.91700000000000004</v>
      </c>
      <c r="AF30" s="20">
        <v>22</v>
      </c>
      <c r="AG30" s="20">
        <v>2.25</v>
      </c>
      <c r="AH30" s="24">
        <v>24</v>
      </c>
      <c r="AI30" s="23">
        <f t="shared" si="1"/>
        <v>1</v>
      </c>
      <c r="AJ30" s="15">
        <v>5.5</v>
      </c>
      <c r="AK30" s="15">
        <v>7.25</v>
      </c>
      <c r="AL30" s="25">
        <v>12.75</v>
      </c>
      <c r="AM30" s="23" cm="1">
        <f t="array" ref="AM30">IF(OR(AN30:AZ30=""),"BLANK",IF(AND(AN30:AZ30&lt;9999999),1,IF(AND(AN30:AZ30="NA"),3,2)))</f>
        <v>1</v>
      </c>
      <c r="AN30" s="20">
        <v>11</v>
      </c>
      <c r="AO30" s="20">
        <v>2</v>
      </c>
      <c r="AP30" s="15">
        <v>3</v>
      </c>
      <c r="AQ30" s="15">
        <v>5</v>
      </c>
      <c r="AR30" s="15">
        <v>5</v>
      </c>
      <c r="AS30" s="26">
        <v>3893.5</v>
      </c>
      <c r="AT30" s="26">
        <v>7153.5</v>
      </c>
      <c r="AU30" s="26">
        <v>14248.5</v>
      </c>
      <c r="AV30" s="26">
        <v>18520.5</v>
      </c>
      <c r="AW30" s="26">
        <v>0</v>
      </c>
      <c r="AX30" s="26">
        <v>0</v>
      </c>
      <c r="AY30" s="26">
        <v>1441.375</v>
      </c>
      <c r="AZ30" s="26">
        <v>1.6</v>
      </c>
      <c r="BA30" s="23">
        <v>3</v>
      </c>
      <c r="BB30" s="24" t="s">
        <v>8</v>
      </c>
    </row>
    <row r="31" spans="1:54" x14ac:dyDescent="0.2">
      <c r="A31" s="21">
        <v>346</v>
      </c>
      <c r="B31" s="20" t="s">
        <v>68</v>
      </c>
      <c r="C31" s="18" t="s">
        <v>54</v>
      </c>
      <c r="D31" s="18">
        <v>5</v>
      </c>
      <c r="E31" s="18">
        <v>0</v>
      </c>
      <c r="F31" s="51" t="s">
        <v>9</v>
      </c>
      <c r="G31" s="18">
        <v>30</v>
      </c>
      <c r="H31" s="22">
        <v>4.2518822724161529</v>
      </c>
      <c r="I31" s="22">
        <v>5.5824777549623548</v>
      </c>
      <c r="J31" s="22">
        <v>9.8343600273785086</v>
      </c>
      <c r="K31" s="22">
        <v>4.26009582477755</v>
      </c>
      <c r="L31" s="22">
        <v>5.5742642026009586</v>
      </c>
      <c r="M31" s="22">
        <v>9.8343600273785086</v>
      </c>
      <c r="N31" s="22">
        <v>4.1861738535249833</v>
      </c>
      <c r="O31" s="22">
        <v>5.2511978097193701</v>
      </c>
      <c r="P31" s="22">
        <v>9.4373716632443525</v>
      </c>
      <c r="Q31" s="22">
        <v>3.2799452429842573</v>
      </c>
      <c r="R31" s="22">
        <v>6.2067077344284733</v>
      </c>
      <c r="S31" s="22">
        <v>9.4866529774127315</v>
      </c>
      <c r="T31" s="20">
        <v>3</v>
      </c>
      <c r="U31" s="20">
        <v>14</v>
      </c>
      <c r="V31" s="20" t="s">
        <v>1</v>
      </c>
      <c r="W31" s="20">
        <v>5</v>
      </c>
      <c r="X31" s="20">
        <v>3</v>
      </c>
      <c r="Y31" s="5">
        <v>1</v>
      </c>
      <c r="Z31" s="20">
        <v>4</v>
      </c>
      <c r="AA31" s="23">
        <f t="shared" si="0"/>
        <v>1</v>
      </c>
      <c r="AB31" s="15">
        <v>1</v>
      </c>
      <c r="AC31" s="15">
        <v>0.83299999999999996</v>
      </c>
      <c r="AD31" s="15">
        <v>0.83299999999999996</v>
      </c>
      <c r="AE31" s="15">
        <v>0.91700000000000004</v>
      </c>
      <c r="AF31" s="20">
        <v>22</v>
      </c>
      <c r="AG31" s="20">
        <v>3.65</v>
      </c>
      <c r="AH31" s="24">
        <v>24</v>
      </c>
      <c r="AI31" s="23">
        <f t="shared" si="1"/>
        <v>1</v>
      </c>
      <c r="AJ31" s="15">
        <v>9.5</v>
      </c>
      <c r="AK31" s="15">
        <v>7.75</v>
      </c>
      <c r="AL31" s="25">
        <v>17.25</v>
      </c>
      <c r="AM31" s="23" cm="1">
        <f t="array" ref="AM31">IF(OR(AN31:AZ31=""),"BLANK",IF(AND(AN31:AZ31&lt;9999999),1,IF(AND(AN31:AZ31="NA"),3,2)))</f>
        <v>1</v>
      </c>
      <c r="AN31" s="20">
        <v>8</v>
      </c>
      <c r="AO31" s="20">
        <v>2</v>
      </c>
      <c r="AP31" s="15">
        <v>3</v>
      </c>
      <c r="AQ31" s="15">
        <v>6.25</v>
      </c>
      <c r="AR31" s="15">
        <v>7.75</v>
      </c>
      <c r="AS31" s="26">
        <v>2109.5</v>
      </c>
      <c r="AT31" s="26">
        <v>2103.5</v>
      </c>
      <c r="AU31" s="26">
        <v>2338</v>
      </c>
      <c r="AV31" s="26">
        <v>4578.5</v>
      </c>
      <c r="AW31" s="26">
        <v>0</v>
      </c>
      <c r="AX31" s="26">
        <v>0</v>
      </c>
      <c r="AY31" s="26">
        <v>1520.3194444444</v>
      </c>
      <c r="AZ31" s="26">
        <v>993.98749999999995</v>
      </c>
      <c r="BA31" s="23">
        <v>3</v>
      </c>
      <c r="BB31" s="24" t="s">
        <v>8</v>
      </c>
    </row>
    <row r="32" spans="1:54" x14ac:dyDescent="0.2">
      <c r="A32" s="21">
        <v>360</v>
      </c>
      <c r="B32" s="20" t="s">
        <v>82</v>
      </c>
      <c r="C32" s="18" t="s">
        <v>55</v>
      </c>
      <c r="D32" s="18">
        <v>5</v>
      </c>
      <c r="E32" s="18">
        <v>0</v>
      </c>
      <c r="F32" s="51" t="s">
        <v>9</v>
      </c>
      <c r="G32" s="18">
        <v>30</v>
      </c>
      <c r="H32" s="22">
        <v>3.808350444900753</v>
      </c>
      <c r="I32" s="22">
        <v>5.4099931553730318</v>
      </c>
      <c r="J32" s="22">
        <v>9.2183436002737853</v>
      </c>
      <c r="K32" s="22">
        <v>3.8329911019849416</v>
      </c>
      <c r="L32" s="22">
        <v>5.4674880219028061</v>
      </c>
      <c r="M32" s="22">
        <v>9.3004791238877473</v>
      </c>
      <c r="N32" s="22">
        <v>3.8439425051334704</v>
      </c>
      <c r="O32" s="22">
        <v>5.160848733744011</v>
      </c>
      <c r="P32" s="22">
        <v>9.0047912388774805</v>
      </c>
      <c r="Q32" s="22">
        <v>3.2936344969199181</v>
      </c>
      <c r="R32" s="22">
        <v>6.1683778234086244</v>
      </c>
      <c r="S32" s="22">
        <v>9.462012320328542</v>
      </c>
      <c r="T32" s="20">
        <v>6</v>
      </c>
      <c r="U32" s="20">
        <v>18</v>
      </c>
      <c r="V32" s="20" t="s">
        <v>1</v>
      </c>
      <c r="W32" s="20">
        <v>5</v>
      </c>
      <c r="X32" s="20">
        <v>3</v>
      </c>
      <c r="Y32" s="5">
        <v>1</v>
      </c>
      <c r="Z32" s="20">
        <v>4</v>
      </c>
      <c r="AA32" s="23">
        <f t="shared" si="0"/>
        <v>1</v>
      </c>
      <c r="AB32" s="15">
        <v>1</v>
      </c>
      <c r="AC32" s="15">
        <v>0.83299999999999996</v>
      </c>
      <c r="AD32" s="15">
        <v>0.5</v>
      </c>
      <c r="AE32" s="15">
        <v>0.70799999999999996</v>
      </c>
      <c r="AF32" s="20">
        <v>17</v>
      </c>
      <c r="AG32" s="20">
        <v>10</v>
      </c>
      <c r="AH32" s="24">
        <v>24</v>
      </c>
      <c r="AI32" s="23">
        <f t="shared" si="1"/>
        <v>1</v>
      </c>
      <c r="AJ32" s="15">
        <v>8.75</v>
      </c>
      <c r="AK32" s="15">
        <v>6.75</v>
      </c>
      <c r="AL32" s="25">
        <v>15.5</v>
      </c>
      <c r="AM32" s="23" cm="1">
        <f t="array" ref="AM32">IF(OR(AN32:AZ32=""),"BLANK",IF(AND(AN32:AZ32&lt;9999999),1,IF(AND(AN32:AZ32="NA"),3,2)))</f>
        <v>1</v>
      </c>
      <c r="AN32" s="20">
        <v>7</v>
      </c>
      <c r="AO32" s="20">
        <v>2</v>
      </c>
      <c r="AP32" s="15">
        <v>3</v>
      </c>
      <c r="AQ32" s="15">
        <v>6.5</v>
      </c>
      <c r="AR32" s="15">
        <v>7.75</v>
      </c>
      <c r="AS32" s="26">
        <v>118.5</v>
      </c>
      <c r="AT32" s="26">
        <v>494.5</v>
      </c>
      <c r="AU32" s="26">
        <v>16469.25</v>
      </c>
      <c r="AV32" s="26">
        <v>24207.75</v>
      </c>
      <c r="AW32" s="26">
        <v>376.75</v>
      </c>
      <c r="AX32" s="26">
        <v>0</v>
      </c>
      <c r="AY32" s="26">
        <v>914.6527777778</v>
      </c>
      <c r="AZ32" s="26">
        <v>317.35952380949999</v>
      </c>
      <c r="BA32" s="23">
        <v>3</v>
      </c>
      <c r="BB32" s="24" t="s">
        <v>8</v>
      </c>
    </row>
    <row r="33" spans="1:54" x14ac:dyDescent="0.2">
      <c r="A33" s="21">
        <v>361</v>
      </c>
      <c r="B33" s="20" t="s">
        <v>63</v>
      </c>
      <c r="C33" s="18" t="s">
        <v>54</v>
      </c>
      <c r="D33" s="18">
        <v>5</v>
      </c>
      <c r="E33" s="18">
        <v>0</v>
      </c>
      <c r="F33" s="51" t="s">
        <v>9</v>
      </c>
      <c r="G33" s="18">
        <v>28</v>
      </c>
      <c r="H33" s="22">
        <v>4.1040383299110195</v>
      </c>
      <c r="I33" s="22">
        <v>5.4948665297741277</v>
      </c>
      <c r="J33" s="22">
        <v>9.5989048596851472</v>
      </c>
      <c r="K33" s="22">
        <v>4.1040383299110195</v>
      </c>
      <c r="L33" s="22">
        <v>5.5030800821355239</v>
      </c>
      <c r="M33" s="22">
        <v>9.6071184120465443</v>
      </c>
      <c r="N33" s="22" t="s">
        <v>8</v>
      </c>
      <c r="O33" s="22" t="s">
        <v>8</v>
      </c>
      <c r="P33" s="22">
        <v>9.3716632443531829</v>
      </c>
      <c r="Q33" s="22" t="s">
        <v>8</v>
      </c>
      <c r="R33" s="22" t="s">
        <v>8</v>
      </c>
      <c r="S33" s="22">
        <v>9.6536618754277885</v>
      </c>
      <c r="T33" s="20">
        <v>3</v>
      </c>
      <c r="U33" s="20">
        <v>13</v>
      </c>
      <c r="V33" s="20" t="s">
        <v>1</v>
      </c>
      <c r="W33" s="20">
        <v>5</v>
      </c>
      <c r="X33" s="20">
        <v>3</v>
      </c>
      <c r="Y33" s="5">
        <v>1</v>
      </c>
      <c r="Z33" s="20">
        <v>4</v>
      </c>
      <c r="AA33" s="23">
        <f t="shared" si="0"/>
        <v>1</v>
      </c>
      <c r="AB33" s="15">
        <v>0.83299999999999996</v>
      </c>
      <c r="AC33" s="15">
        <v>0.66700000000000004</v>
      </c>
      <c r="AD33" s="15">
        <v>0.5</v>
      </c>
      <c r="AE33" s="15">
        <v>0.75</v>
      </c>
      <c r="AF33" s="20">
        <v>18</v>
      </c>
      <c r="AG33" s="20">
        <v>4.87</v>
      </c>
      <c r="AH33" s="24">
        <v>24</v>
      </c>
      <c r="AI33" s="23">
        <f t="shared" si="1"/>
        <v>1</v>
      </c>
      <c r="AJ33" s="15">
        <v>2</v>
      </c>
      <c r="AK33" s="15">
        <v>3.5</v>
      </c>
      <c r="AL33" s="25">
        <v>5.5</v>
      </c>
      <c r="AM33" s="23" cm="1">
        <f t="array" ref="AM33">IF(OR(AN33:AZ33=""),"BLANK",IF(AND(AN33:AZ33&lt;9999999),1,IF(AND(AN33:AZ33="NA"),3,2)))</f>
        <v>1</v>
      </c>
      <c r="AN33" s="20">
        <v>9</v>
      </c>
      <c r="AO33" s="20">
        <v>2</v>
      </c>
      <c r="AP33" s="15">
        <v>3</v>
      </c>
      <c r="AQ33" s="15">
        <v>6.5</v>
      </c>
      <c r="AR33" s="15">
        <v>5.25</v>
      </c>
      <c r="AS33" s="26">
        <v>2289</v>
      </c>
      <c r="AT33" s="26">
        <v>5111.5</v>
      </c>
      <c r="AU33" s="26">
        <v>10150.75</v>
      </c>
      <c r="AV33" s="26">
        <v>9991.5</v>
      </c>
      <c r="AW33" s="26">
        <v>0</v>
      </c>
      <c r="AX33" s="26">
        <v>0</v>
      </c>
      <c r="AY33" s="26">
        <v>3322.4930555556002</v>
      </c>
      <c r="AZ33" s="26">
        <v>0</v>
      </c>
      <c r="BA33" s="23">
        <v>3</v>
      </c>
      <c r="BB33" s="24" t="s">
        <v>8</v>
      </c>
    </row>
    <row r="34" spans="1:54" x14ac:dyDescent="0.2">
      <c r="A34" s="21">
        <v>378</v>
      </c>
      <c r="B34" s="20" t="s">
        <v>81</v>
      </c>
      <c r="C34" s="18" t="s">
        <v>54</v>
      </c>
      <c r="D34" s="18">
        <v>5</v>
      </c>
      <c r="E34" s="18">
        <v>0</v>
      </c>
      <c r="F34" s="51" t="s">
        <v>9</v>
      </c>
      <c r="G34" s="18">
        <v>27</v>
      </c>
      <c r="H34" s="22">
        <v>4.2518822724161529</v>
      </c>
      <c r="I34" s="22">
        <v>5.5824777549623548</v>
      </c>
      <c r="J34" s="22">
        <v>9.8343600273785086</v>
      </c>
      <c r="K34" s="22">
        <v>4.2518822724161529</v>
      </c>
      <c r="L34" s="22">
        <v>5.5824777549623548</v>
      </c>
      <c r="M34" s="22">
        <v>9.8343600273785086</v>
      </c>
      <c r="N34" s="22">
        <v>4.1861738535249833</v>
      </c>
      <c r="O34" s="22" t="s">
        <v>8</v>
      </c>
      <c r="P34" s="22" t="s">
        <v>8</v>
      </c>
      <c r="Q34" s="22" t="s">
        <v>8</v>
      </c>
      <c r="R34" s="22" t="s">
        <v>8</v>
      </c>
      <c r="S34" s="22" t="s">
        <v>8</v>
      </c>
      <c r="T34" s="20" t="s">
        <v>8</v>
      </c>
      <c r="U34" s="20" t="s">
        <v>8</v>
      </c>
      <c r="V34" s="20" t="s">
        <v>1</v>
      </c>
      <c r="W34" s="20">
        <v>5</v>
      </c>
      <c r="X34" s="20">
        <v>3</v>
      </c>
      <c r="Y34" s="5">
        <v>1</v>
      </c>
      <c r="Z34" s="20">
        <v>4</v>
      </c>
      <c r="AA34" s="23">
        <f t="shared" si="0"/>
        <v>2</v>
      </c>
      <c r="AB34" s="15">
        <v>1</v>
      </c>
      <c r="AC34" s="15">
        <v>0.66700000000000004</v>
      </c>
      <c r="AD34" s="15">
        <v>0.75</v>
      </c>
      <c r="AE34" s="15">
        <v>0.85</v>
      </c>
      <c r="AF34" s="20">
        <v>17</v>
      </c>
      <c r="AG34" s="20" t="s">
        <v>8</v>
      </c>
      <c r="AH34" s="24">
        <v>20</v>
      </c>
      <c r="AI34" s="23">
        <f t="shared" si="1"/>
        <v>1</v>
      </c>
      <c r="AJ34" s="15">
        <v>6</v>
      </c>
      <c r="AK34" s="15">
        <v>1.75</v>
      </c>
      <c r="AL34" s="25">
        <v>7.75</v>
      </c>
      <c r="AM34" s="23" cm="1">
        <f t="array" ref="AM34">IF(OR(AN34:AZ34=""),"BLANK",IF(AND(AN34:AZ34&lt;9999999),1,IF(AND(AN34:AZ34="NA"),3,2)))</f>
        <v>1</v>
      </c>
      <c r="AN34" s="20">
        <v>8</v>
      </c>
      <c r="AO34" s="20">
        <v>3</v>
      </c>
      <c r="AP34" s="15">
        <v>3</v>
      </c>
      <c r="AQ34" s="15">
        <v>6.5</v>
      </c>
      <c r="AR34" s="15">
        <v>6.75</v>
      </c>
      <c r="AS34" s="26">
        <v>2901.5</v>
      </c>
      <c r="AT34" s="26">
        <v>4210</v>
      </c>
      <c r="AU34" s="26">
        <v>8334.5</v>
      </c>
      <c r="AV34" s="26">
        <v>8906.75</v>
      </c>
      <c r="AW34" s="26">
        <v>1301.125</v>
      </c>
      <c r="AX34" s="26">
        <v>561.66666666670005</v>
      </c>
      <c r="AY34" s="26">
        <v>4975.5069444443998</v>
      </c>
      <c r="AZ34" s="26">
        <v>813.42083333330004</v>
      </c>
      <c r="BA34" s="23">
        <v>3</v>
      </c>
      <c r="BB34" s="24" t="s">
        <v>8</v>
      </c>
    </row>
    <row r="35" spans="1:54" x14ac:dyDescent="0.2">
      <c r="A35" s="21">
        <v>383</v>
      </c>
      <c r="B35" s="20" t="s">
        <v>81</v>
      </c>
      <c r="C35" s="18" t="s">
        <v>54</v>
      </c>
      <c r="D35" s="18">
        <v>5</v>
      </c>
      <c r="E35" s="18">
        <v>0</v>
      </c>
      <c r="F35" s="51" t="s">
        <v>9</v>
      </c>
      <c r="G35" s="18">
        <v>30</v>
      </c>
      <c r="H35" s="22">
        <v>3.9452429842573578</v>
      </c>
      <c r="I35" s="22">
        <v>5.5003422313483918</v>
      </c>
      <c r="J35" s="22">
        <v>9.4455852156057496</v>
      </c>
      <c r="K35" s="22">
        <v>3.9452429842573578</v>
      </c>
      <c r="L35" s="22">
        <v>5.5605749486652973</v>
      </c>
      <c r="M35" s="22">
        <v>9.5058179329226551</v>
      </c>
      <c r="N35" s="22">
        <v>3.7700205338809036</v>
      </c>
      <c r="O35" s="22">
        <v>5.2429842573579739</v>
      </c>
      <c r="P35" s="22">
        <v>9.0130047912388775</v>
      </c>
      <c r="Q35" s="22">
        <v>3.2553045859000687</v>
      </c>
      <c r="R35" s="22">
        <v>6.1683778234086244</v>
      </c>
      <c r="S35" s="22">
        <v>9.4236824093086931</v>
      </c>
      <c r="T35" s="20">
        <v>3</v>
      </c>
      <c r="U35" s="20">
        <v>13</v>
      </c>
      <c r="V35" s="20" t="s">
        <v>1</v>
      </c>
      <c r="W35" s="20">
        <v>5</v>
      </c>
      <c r="X35" s="20">
        <v>3</v>
      </c>
      <c r="Y35" s="5">
        <v>1</v>
      </c>
      <c r="Z35" s="20">
        <v>4</v>
      </c>
      <c r="AA35" s="23">
        <f t="shared" si="0"/>
        <v>1</v>
      </c>
      <c r="AB35" s="15">
        <v>0.83299999999999996</v>
      </c>
      <c r="AC35" s="15">
        <v>0.66700000000000004</v>
      </c>
      <c r="AD35" s="15">
        <v>0.5</v>
      </c>
      <c r="AE35" s="15">
        <v>0.70799999999999996</v>
      </c>
      <c r="AF35" s="20">
        <v>17</v>
      </c>
      <c r="AG35" s="20">
        <v>8.75</v>
      </c>
      <c r="AH35" s="24">
        <v>24</v>
      </c>
      <c r="AI35" s="23">
        <f t="shared" si="1"/>
        <v>1</v>
      </c>
      <c r="AJ35" s="15">
        <v>7</v>
      </c>
      <c r="AK35" s="15">
        <v>9</v>
      </c>
      <c r="AL35" s="25">
        <v>16</v>
      </c>
      <c r="AM35" s="23" cm="1">
        <f t="array" ref="AM35">IF(OR(AN35:AZ35=""),"BLANK",IF(AND(AN35:AZ35&lt;9999999),1,IF(AND(AN35:AZ35="NA"),3,2)))</f>
        <v>1</v>
      </c>
      <c r="AN35" s="20">
        <v>8</v>
      </c>
      <c r="AO35" s="20">
        <v>2</v>
      </c>
      <c r="AP35" s="15">
        <v>3</v>
      </c>
      <c r="AQ35" s="15">
        <v>5.25</v>
      </c>
      <c r="AR35" s="15">
        <v>9.75</v>
      </c>
      <c r="AS35" s="26">
        <v>5839</v>
      </c>
      <c r="AT35" s="26">
        <v>4579</v>
      </c>
      <c r="AU35" s="26">
        <v>3294.5</v>
      </c>
      <c r="AV35" s="26">
        <v>5591.25</v>
      </c>
      <c r="AW35" s="26">
        <v>0</v>
      </c>
      <c r="AX35" s="26">
        <v>1845.6666666666999</v>
      </c>
      <c r="AY35" s="26">
        <v>0</v>
      </c>
      <c r="AZ35" s="26">
        <v>1305.1708333332999</v>
      </c>
      <c r="BA35" s="23">
        <v>3</v>
      </c>
      <c r="BB35" s="24" t="s">
        <v>8</v>
      </c>
    </row>
    <row r="36" spans="1:54" x14ac:dyDescent="0.2">
      <c r="A36" s="21">
        <v>458</v>
      </c>
      <c r="B36" s="20" t="s">
        <v>79</v>
      </c>
      <c r="C36" s="18" t="s">
        <v>54</v>
      </c>
      <c r="D36" s="18">
        <v>5</v>
      </c>
      <c r="E36" s="18">
        <v>0</v>
      </c>
      <c r="F36" s="51" t="s">
        <v>9</v>
      </c>
      <c r="G36" s="18">
        <v>30</v>
      </c>
      <c r="H36" s="22" t="s">
        <v>8</v>
      </c>
      <c r="I36" s="22" t="s">
        <v>8</v>
      </c>
      <c r="J36" s="22">
        <v>10.190280629705681</v>
      </c>
      <c r="K36" s="22" t="s">
        <v>8</v>
      </c>
      <c r="L36" s="22" t="s">
        <v>8</v>
      </c>
      <c r="M36" s="22">
        <v>10.190280629705681</v>
      </c>
      <c r="N36" s="22" t="s">
        <v>8</v>
      </c>
      <c r="O36" s="22" t="s">
        <v>8</v>
      </c>
      <c r="P36" s="22" t="s">
        <v>8</v>
      </c>
      <c r="Q36" s="22" t="s">
        <v>8</v>
      </c>
      <c r="R36" s="22" t="s">
        <v>8</v>
      </c>
      <c r="S36" s="22" t="s">
        <v>8</v>
      </c>
      <c r="T36" s="20">
        <v>4</v>
      </c>
      <c r="U36" s="20">
        <v>16</v>
      </c>
      <c r="V36" s="20" t="s">
        <v>1</v>
      </c>
      <c r="W36" s="20">
        <v>5</v>
      </c>
      <c r="X36" s="20">
        <v>3</v>
      </c>
      <c r="Y36" s="5">
        <v>1</v>
      </c>
      <c r="Z36" s="20">
        <v>4</v>
      </c>
      <c r="AA36" s="23">
        <f t="shared" si="0"/>
        <v>1</v>
      </c>
      <c r="AB36" s="15">
        <v>1</v>
      </c>
      <c r="AC36" s="15">
        <v>0.83299999999999996</v>
      </c>
      <c r="AD36" s="15">
        <v>1</v>
      </c>
      <c r="AE36" s="15">
        <v>0.95799999999999996</v>
      </c>
      <c r="AF36" s="20">
        <v>23</v>
      </c>
      <c r="AG36" s="20">
        <v>6.43</v>
      </c>
      <c r="AH36" s="24">
        <v>24</v>
      </c>
      <c r="AI36" s="23">
        <f t="shared" si="1"/>
        <v>1</v>
      </c>
      <c r="AJ36" s="15">
        <v>10.5</v>
      </c>
      <c r="AK36" s="15">
        <v>10</v>
      </c>
      <c r="AL36" s="25">
        <v>20.5</v>
      </c>
      <c r="AM36" s="23" cm="1">
        <f t="array" ref="AM36">IF(OR(AN36:AZ36=""),"BLANK",IF(AND(AN36:AZ36&lt;9999999),1,IF(AND(AN36:AZ36="NA"),3,2)))</f>
        <v>1</v>
      </c>
      <c r="AN36" s="20">
        <v>10</v>
      </c>
      <c r="AO36" s="20">
        <v>2</v>
      </c>
      <c r="AP36" s="15">
        <v>3</v>
      </c>
      <c r="AQ36" s="15">
        <v>4</v>
      </c>
      <c r="AR36" s="15">
        <v>6</v>
      </c>
      <c r="AS36" s="26">
        <v>1075.5</v>
      </c>
      <c r="AT36" s="26">
        <v>1489.5</v>
      </c>
      <c r="AU36" s="26">
        <v>11630</v>
      </c>
      <c r="AV36" s="26">
        <v>28819.25</v>
      </c>
      <c r="AW36" s="26">
        <v>0</v>
      </c>
      <c r="AX36" s="26">
        <v>159.1666666667</v>
      </c>
      <c r="AY36" s="26">
        <v>37.375</v>
      </c>
      <c r="AZ36" s="26">
        <v>102.2625</v>
      </c>
      <c r="BA36" s="23">
        <v>3</v>
      </c>
      <c r="BB36" s="24" t="s">
        <v>8</v>
      </c>
    </row>
    <row r="37" spans="1:54" x14ac:dyDescent="0.2">
      <c r="A37" s="21">
        <v>465</v>
      </c>
      <c r="B37" s="20" t="s">
        <v>70</v>
      </c>
      <c r="C37" s="18" t="s">
        <v>54</v>
      </c>
      <c r="D37" s="18">
        <v>5</v>
      </c>
      <c r="E37" s="18">
        <v>0</v>
      </c>
      <c r="F37" s="51" t="s">
        <v>9</v>
      </c>
      <c r="G37" s="18">
        <v>30</v>
      </c>
      <c r="H37" s="22">
        <v>4.1806981519507183</v>
      </c>
      <c r="I37" s="22">
        <v>5.3278576317590689</v>
      </c>
      <c r="J37" s="22">
        <v>9.508555783709788</v>
      </c>
      <c r="K37" s="22">
        <v>4.1806981519507183</v>
      </c>
      <c r="L37" s="22">
        <v>5.3388090349075972</v>
      </c>
      <c r="M37" s="22">
        <v>9.5195071868583163</v>
      </c>
      <c r="N37" s="22">
        <v>4.0246406570841886</v>
      </c>
      <c r="O37" s="22">
        <v>5.0978781656399725</v>
      </c>
      <c r="P37" s="22">
        <v>9.122518822724162</v>
      </c>
      <c r="Q37" s="22">
        <v>3.3264887063655029</v>
      </c>
      <c r="R37" s="22">
        <v>6.3025325119780975</v>
      </c>
      <c r="S37" s="22">
        <v>9.6290212183436008</v>
      </c>
      <c r="T37" s="20">
        <v>6</v>
      </c>
      <c r="U37" s="20">
        <v>18</v>
      </c>
      <c r="V37" s="20" t="s">
        <v>1</v>
      </c>
      <c r="W37" s="20">
        <v>5</v>
      </c>
      <c r="X37" s="20">
        <v>3</v>
      </c>
      <c r="Y37" s="5">
        <v>1</v>
      </c>
      <c r="Z37" s="20">
        <v>4</v>
      </c>
      <c r="AA37" s="23">
        <f t="shared" si="0"/>
        <v>1</v>
      </c>
      <c r="AB37" s="15">
        <v>1</v>
      </c>
      <c r="AC37" s="15">
        <v>0.83299999999999996</v>
      </c>
      <c r="AD37" s="15">
        <v>0.83299999999999996</v>
      </c>
      <c r="AE37" s="15">
        <v>0.875</v>
      </c>
      <c r="AF37" s="20">
        <v>21</v>
      </c>
      <c r="AG37" s="20">
        <v>6.32</v>
      </c>
      <c r="AH37" s="24">
        <v>24</v>
      </c>
      <c r="AI37" s="23">
        <f t="shared" si="1"/>
        <v>1</v>
      </c>
      <c r="AJ37" s="15">
        <v>8.75</v>
      </c>
      <c r="AK37" s="15">
        <v>10</v>
      </c>
      <c r="AL37" s="25">
        <v>18.75</v>
      </c>
      <c r="AM37" s="23" cm="1">
        <f t="array" ref="AM37">IF(OR(AN37:AZ37=""),"BLANK",IF(AND(AN37:AZ37&lt;9999999),1,IF(AND(AN37:AZ37="NA"),3,2)))</f>
        <v>1</v>
      </c>
      <c r="AN37" s="20">
        <v>9</v>
      </c>
      <c r="AO37" s="20">
        <v>2</v>
      </c>
      <c r="AP37" s="15">
        <v>3</v>
      </c>
      <c r="AQ37" s="15">
        <v>5.75</v>
      </c>
      <c r="AR37" s="15">
        <v>6.75</v>
      </c>
      <c r="AS37" s="26">
        <v>5354.5</v>
      </c>
      <c r="AT37" s="26">
        <v>13560</v>
      </c>
      <c r="AU37" s="26">
        <v>19064.75</v>
      </c>
      <c r="AV37" s="26">
        <v>22850</v>
      </c>
      <c r="AW37" s="26">
        <v>141</v>
      </c>
      <c r="AX37" s="26">
        <v>0</v>
      </c>
      <c r="AY37" s="26">
        <v>139.4861111111</v>
      </c>
      <c r="AZ37" s="26">
        <v>0</v>
      </c>
      <c r="BA37" s="23">
        <v>3</v>
      </c>
      <c r="BB37" s="24" t="s">
        <v>8</v>
      </c>
    </row>
    <row r="38" spans="1:54" x14ac:dyDescent="0.2">
      <c r="A38" s="21">
        <v>466</v>
      </c>
      <c r="B38" s="20" t="s">
        <v>79</v>
      </c>
      <c r="C38" s="18" t="s">
        <v>54</v>
      </c>
      <c r="D38" s="18">
        <v>5</v>
      </c>
      <c r="E38" s="18">
        <v>0</v>
      </c>
      <c r="F38" s="51" t="s">
        <v>9</v>
      </c>
      <c r="G38" s="18">
        <v>30</v>
      </c>
      <c r="H38" s="22">
        <v>4.3723477070499657</v>
      </c>
      <c r="I38" s="22">
        <v>5.2703627652292946</v>
      </c>
      <c r="J38" s="22">
        <v>9.6427104722792603</v>
      </c>
      <c r="K38" s="22">
        <v>4.3641341546885695</v>
      </c>
      <c r="L38" s="22">
        <v>5.2703627652292946</v>
      </c>
      <c r="M38" s="22">
        <v>9.6344969199178649</v>
      </c>
      <c r="N38" s="22">
        <v>4.3312799452429847</v>
      </c>
      <c r="O38" s="22">
        <v>5.2676249144421625</v>
      </c>
      <c r="P38" s="22">
        <v>9.5989048596851472</v>
      </c>
      <c r="Q38" s="22" t="s">
        <v>8</v>
      </c>
      <c r="R38" s="22" t="s">
        <v>8</v>
      </c>
      <c r="S38" s="22" t="s">
        <v>8</v>
      </c>
      <c r="T38" s="20">
        <v>7</v>
      </c>
      <c r="U38" s="20">
        <v>21</v>
      </c>
      <c r="V38" s="20" t="s">
        <v>1</v>
      </c>
      <c r="W38" s="20">
        <v>5</v>
      </c>
      <c r="X38" s="20">
        <v>3</v>
      </c>
      <c r="Y38" s="5">
        <v>1</v>
      </c>
      <c r="Z38" s="20">
        <v>4</v>
      </c>
      <c r="AA38" s="23">
        <f t="shared" si="0"/>
        <v>1</v>
      </c>
      <c r="AB38" s="15">
        <v>1</v>
      </c>
      <c r="AC38" s="15">
        <v>1</v>
      </c>
      <c r="AD38" s="15">
        <v>1</v>
      </c>
      <c r="AE38" s="15">
        <v>1</v>
      </c>
      <c r="AF38" s="20">
        <v>24</v>
      </c>
      <c r="AG38" s="20">
        <v>6.13</v>
      </c>
      <c r="AH38" s="24">
        <v>24</v>
      </c>
      <c r="AI38" s="23">
        <f t="shared" si="1"/>
        <v>1</v>
      </c>
      <c r="AJ38" s="15">
        <v>14</v>
      </c>
      <c r="AK38" s="15">
        <v>11.75</v>
      </c>
      <c r="AL38" s="25">
        <v>25.75</v>
      </c>
      <c r="AM38" s="23" cm="1">
        <f t="array" ref="AM38">IF(OR(AN38:AZ38=""),"BLANK",IF(AND(AN38:AZ38&lt;9999999),1,IF(AND(AN38:AZ38="NA"),3,2)))</f>
        <v>1</v>
      </c>
      <c r="AN38" s="20">
        <v>12</v>
      </c>
      <c r="AO38" s="20">
        <v>2</v>
      </c>
      <c r="AP38" s="15">
        <v>3</v>
      </c>
      <c r="AQ38" s="15">
        <v>4</v>
      </c>
      <c r="AR38" s="15">
        <v>5</v>
      </c>
      <c r="AS38" s="26">
        <v>991</v>
      </c>
      <c r="AT38" s="26">
        <v>3716.5</v>
      </c>
      <c r="AU38" s="26">
        <v>5686.75</v>
      </c>
      <c r="AV38" s="26">
        <v>7701.75</v>
      </c>
      <c r="AW38" s="26">
        <v>0</v>
      </c>
      <c r="AX38" s="26">
        <v>0</v>
      </c>
      <c r="AY38" s="26">
        <v>0</v>
      </c>
      <c r="AZ38" s="26">
        <v>1433.8</v>
      </c>
      <c r="BA38" s="23">
        <v>3</v>
      </c>
      <c r="BB38" s="24" t="s">
        <v>8</v>
      </c>
    </row>
    <row r="39" spans="1:54" x14ac:dyDescent="0.2">
      <c r="A39" s="21">
        <v>470</v>
      </c>
      <c r="B39" s="20" t="s">
        <v>79</v>
      </c>
      <c r="C39" s="18" t="s">
        <v>54</v>
      </c>
      <c r="D39" s="18">
        <v>5</v>
      </c>
      <c r="E39" s="18">
        <v>0</v>
      </c>
      <c r="F39" s="51" t="s">
        <v>9</v>
      </c>
      <c r="G39" s="18">
        <v>27</v>
      </c>
      <c r="H39" s="22">
        <v>4.0492813141683781</v>
      </c>
      <c r="I39" s="22">
        <v>6.1273100616016425</v>
      </c>
      <c r="J39" s="22">
        <v>10.17659137577002</v>
      </c>
      <c r="K39" s="22">
        <v>4.1642710472279258</v>
      </c>
      <c r="L39" s="22">
        <v>6.0123203285420947</v>
      </c>
      <c r="M39" s="22">
        <v>10.17659137577002</v>
      </c>
      <c r="N39" s="22" t="s">
        <v>8</v>
      </c>
      <c r="O39" s="22" t="s">
        <v>8</v>
      </c>
      <c r="P39" s="22">
        <v>10.061601642710473</v>
      </c>
      <c r="Q39" s="22" t="s">
        <v>8</v>
      </c>
      <c r="R39" s="22" t="s">
        <v>8</v>
      </c>
      <c r="S39" s="22" t="s">
        <v>8</v>
      </c>
      <c r="T39" s="20">
        <v>6</v>
      </c>
      <c r="U39" s="5">
        <v>18</v>
      </c>
      <c r="V39" s="20" t="s">
        <v>1</v>
      </c>
      <c r="W39" s="20">
        <v>5</v>
      </c>
      <c r="X39" s="20">
        <v>3</v>
      </c>
      <c r="Y39" s="5">
        <v>1</v>
      </c>
      <c r="Z39" s="20">
        <v>4</v>
      </c>
      <c r="AA39" s="23">
        <f t="shared" si="0"/>
        <v>1</v>
      </c>
      <c r="AB39" s="15">
        <v>1</v>
      </c>
      <c r="AC39" s="15">
        <v>1</v>
      </c>
      <c r="AD39" s="15">
        <v>1</v>
      </c>
      <c r="AE39" s="15">
        <v>0.95799999999999996</v>
      </c>
      <c r="AF39" s="20">
        <v>23</v>
      </c>
      <c r="AG39" s="20">
        <v>10.25</v>
      </c>
      <c r="AH39" s="24">
        <v>24</v>
      </c>
      <c r="AI39" s="23">
        <f t="shared" si="1"/>
        <v>1</v>
      </c>
      <c r="AJ39" s="15">
        <v>13</v>
      </c>
      <c r="AK39" s="15">
        <v>11.75</v>
      </c>
      <c r="AL39" s="25">
        <v>24.75</v>
      </c>
      <c r="AM39" s="23" cm="1">
        <f t="array" ref="AM39">IF(OR(AN39:AZ39=""),"BLANK",IF(AND(AN39:AZ39&lt;9999999),1,IF(AND(AN39:AZ39="NA"),3,2)))</f>
        <v>1</v>
      </c>
      <c r="AN39" s="20">
        <v>9</v>
      </c>
      <c r="AO39" s="20">
        <v>2</v>
      </c>
      <c r="AP39" s="15">
        <v>3</v>
      </c>
      <c r="AQ39" s="15">
        <v>4.25</v>
      </c>
      <c r="AR39" s="15">
        <v>7.75</v>
      </c>
      <c r="AS39" s="26">
        <v>871.5</v>
      </c>
      <c r="AT39" s="26">
        <v>7901</v>
      </c>
      <c r="AU39" s="26">
        <v>14291.25</v>
      </c>
      <c r="AV39" s="26">
        <v>33410.75</v>
      </c>
      <c r="AW39" s="26">
        <v>0</v>
      </c>
      <c r="AX39" s="26">
        <v>0</v>
      </c>
      <c r="AY39" s="26">
        <v>258.85000000000002</v>
      </c>
      <c r="AZ39" s="26">
        <v>1147.9513888889001</v>
      </c>
      <c r="BA39" s="23">
        <v>3</v>
      </c>
      <c r="BB39" s="24" t="s">
        <v>8</v>
      </c>
    </row>
    <row r="40" spans="1:54" x14ac:dyDescent="0.2">
      <c r="A40" s="21">
        <v>492</v>
      </c>
      <c r="B40" s="20" t="s">
        <v>81</v>
      </c>
      <c r="C40" s="18" t="s">
        <v>54</v>
      </c>
      <c r="D40" s="18">
        <v>5</v>
      </c>
      <c r="E40" s="18">
        <v>0</v>
      </c>
      <c r="F40" s="51" t="s">
        <v>9</v>
      </c>
      <c r="G40" s="18">
        <v>29</v>
      </c>
      <c r="H40" s="22">
        <v>4.0246406570841886</v>
      </c>
      <c r="I40" s="22">
        <v>6.1765913757700206</v>
      </c>
      <c r="J40" s="22">
        <v>10.201232032854209</v>
      </c>
      <c r="K40" s="22">
        <v>4.0246406570841886</v>
      </c>
      <c r="L40" s="22">
        <v>6.1765913757700206</v>
      </c>
      <c r="M40" s="22">
        <v>10.201232032854209</v>
      </c>
      <c r="N40" s="22">
        <v>4.043805612594114</v>
      </c>
      <c r="O40" s="22" t="s">
        <v>8</v>
      </c>
      <c r="P40" s="22" t="s">
        <v>8</v>
      </c>
      <c r="Q40" s="22" t="s">
        <v>8</v>
      </c>
      <c r="R40" s="22" t="s">
        <v>8</v>
      </c>
      <c r="S40" s="22" t="s">
        <v>8</v>
      </c>
      <c r="T40" s="20" t="s">
        <v>8</v>
      </c>
      <c r="U40" s="20" t="s">
        <v>8</v>
      </c>
      <c r="V40" s="20" t="s">
        <v>1</v>
      </c>
      <c r="W40" s="20">
        <v>5</v>
      </c>
      <c r="X40" s="20">
        <v>3</v>
      </c>
      <c r="Y40" s="5">
        <v>1</v>
      </c>
      <c r="Z40" s="20">
        <v>4</v>
      </c>
      <c r="AA40" s="23">
        <f t="shared" si="0"/>
        <v>3</v>
      </c>
      <c r="AB40" s="15" t="s">
        <v>8</v>
      </c>
      <c r="AC40" s="15" t="s">
        <v>8</v>
      </c>
      <c r="AD40" s="15" t="s">
        <v>8</v>
      </c>
      <c r="AE40" s="15" t="s">
        <v>8</v>
      </c>
      <c r="AF40" s="20" t="s">
        <v>8</v>
      </c>
      <c r="AG40" s="20" t="s">
        <v>8</v>
      </c>
      <c r="AH40" s="24" t="s">
        <v>8</v>
      </c>
      <c r="AI40" s="23">
        <f t="shared" si="1"/>
        <v>3</v>
      </c>
      <c r="AJ40" s="15" t="s">
        <v>8</v>
      </c>
      <c r="AK40" s="15" t="s">
        <v>8</v>
      </c>
      <c r="AL40" s="25" t="s">
        <v>8</v>
      </c>
      <c r="AM40" s="23" cm="1">
        <f t="array" ref="AM40">IF(OR(AN40:AZ40=""),"BLANK",IF(AND(AN40:AZ40&lt;9999999),1,IF(AND(AN40:AZ40="NA"),3,2)))</f>
        <v>1</v>
      </c>
      <c r="AN40" s="20">
        <v>11</v>
      </c>
      <c r="AO40" s="20">
        <v>2</v>
      </c>
      <c r="AP40" s="15">
        <v>3</v>
      </c>
      <c r="AQ40" s="15">
        <v>5.25</v>
      </c>
      <c r="AR40" s="15">
        <v>5</v>
      </c>
      <c r="AS40" s="26">
        <v>4239</v>
      </c>
      <c r="AT40" s="26">
        <v>3517.5</v>
      </c>
      <c r="AU40" s="26">
        <v>5517.75</v>
      </c>
      <c r="AV40" s="26">
        <v>38070.5</v>
      </c>
      <c r="AW40" s="26">
        <v>0</v>
      </c>
      <c r="AX40" s="26">
        <v>0</v>
      </c>
      <c r="AY40" s="26">
        <v>2795.8611111110999</v>
      </c>
      <c r="AZ40" s="26">
        <v>493.05</v>
      </c>
      <c r="BA40" s="23">
        <v>3</v>
      </c>
      <c r="BB40" s="24" t="s">
        <v>8</v>
      </c>
    </row>
    <row r="41" spans="1:54" x14ac:dyDescent="0.2">
      <c r="A41" s="21">
        <v>503</v>
      </c>
      <c r="B41" s="20" t="s">
        <v>68</v>
      </c>
      <c r="C41" s="18" t="s">
        <v>54</v>
      </c>
      <c r="D41" s="18">
        <v>5</v>
      </c>
      <c r="E41" s="18">
        <v>0</v>
      </c>
      <c r="F41" s="51" t="s">
        <v>9</v>
      </c>
      <c r="G41" s="18">
        <v>30</v>
      </c>
      <c r="H41" s="22">
        <v>4.2573579739904179</v>
      </c>
      <c r="I41" s="22">
        <v>6.0670773442847361</v>
      </c>
      <c r="J41" s="22">
        <v>10.324435318275153</v>
      </c>
      <c r="K41" s="22">
        <v>4.2628336755646821</v>
      </c>
      <c r="L41" s="22">
        <v>6.061601642710472</v>
      </c>
      <c r="M41" s="22">
        <v>10.324435318275153</v>
      </c>
      <c r="N41" s="22">
        <v>4.0766598220396988</v>
      </c>
      <c r="O41" s="22">
        <v>6.0479123887748116</v>
      </c>
      <c r="P41" s="22">
        <v>10.124572210814511</v>
      </c>
      <c r="Q41" s="22" t="s">
        <v>8</v>
      </c>
      <c r="R41" s="22" t="s">
        <v>8</v>
      </c>
      <c r="S41" s="22" t="s">
        <v>8</v>
      </c>
      <c r="T41" s="20">
        <v>3</v>
      </c>
      <c r="U41" s="20">
        <v>14</v>
      </c>
      <c r="V41" s="20" t="s">
        <v>1</v>
      </c>
      <c r="W41" s="20">
        <v>5</v>
      </c>
      <c r="X41" s="20">
        <v>3</v>
      </c>
      <c r="Y41" s="5">
        <v>1</v>
      </c>
      <c r="Z41" s="20">
        <v>4</v>
      </c>
      <c r="AA41" s="23">
        <f t="shared" si="0"/>
        <v>1</v>
      </c>
      <c r="AB41" s="15">
        <v>1</v>
      </c>
      <c r="AC41" s="15">
        <v>0.83299999999999996</v>
      </c>
      <c r="AD41" s="15">
        <v>0.5</v>
      </c>
      <c r="AE41" s="15">
        <v>0.79200000000000004</v>
      </c>
      <c r="AF41" s="20">
        <v>19</v>
      </c>
      <c r="AG41" s="20">
        <v>6.42</v>
      </c>
      <c r="AH41" s="24">
        <v>24</v>
      </c>
      <c r="AI41" s="23">
        <f t="shared" si="1"/>
        <v>1</v>
      </c>
      <c r="AJ41" s="15">
        <v>6</v>
      </c>
      <c r="AK41" s="15">
        <v>3.75</v>
      </c>
      <c r="AL41" s="25">
        <v>9.75</v>
      </c>
      <c r="AM41" s="23" cm="1">
        <f t="array" ref="AM41">IF(OR(AN41:AZ41=""),"BLANK",IF(AND(AN41:AZ41&lt;9999999),1,IF(AND(AN41:AZ41="NA"),3,2)))</f>
        <v>1</v>
      </c>
      <c r="AN41" s="20">
        <v>8</v>
      </c>
      <c r="AO41" s="20">
        <v>2</v>
      </c>
      <c r="AP41" s="15">
        <v>3</v>
      </c>
      <c r="AQ41" s="15">
        <v>6</v>
      </c>
      <c r="AR41" s="15">
        <v>5.75</v>
      </c>
      <c r="AS41" s="26">
        <v>1255</v>
      </c>
      <c r="AT41" s="26">
        <v>13492.5</v>
      </c>
      <c r="AU41" s="26">
        <v>3297.75</v>
      </c>
      <c r="AV41" s="26">
        <v>4685</v>
      </c>
      <c r="AW41" s="26">
        <v>0</v>
      </c>
      <c r="AX41" s="26">
        <v>0</v>
      </c>
      <c r="AY41" s="26">
        <v>3478.5472222222002</v>
      </c>
      <c r="AZ41" s="26">
        <v>1478.325</v>
      </c>
      <c r="BA41" s="23">
        <v>3</v>
      </c>
      <c r="BB41" s="24" t="s">
        <v>8</v>
      </c>
    </row>
    <row r="42" spans="1:54" x14ac:dyDescent="0.2">
      <c r="A42" s="21">
        <v>509</v>
      </c>
      <c r="B42" s="20" t="s">
        <v>64</v>
      </c>
      <c r="C42" s="18" t="s">
        <v>54</v>
      </c>
      <c r="D42" s="18">
        <v>5</v>
      </c>
      <c r="E42" s="18">
        <v>1</v>
      </c>
      <c r="F42" s="51" t="s">
        <v>9</v>
      </c>
      <c r="G42" s="18">
        <v>29</v>
      </c>
      <c r="H42" s="22">
        <v>4.0109514031485283</v>
      </c>
      <c r="I42" s="22">
        <v>6.0041067761806985</v>
      </c>
      <c r="J42" s="22">
        <v>10.015058179329227</v>
      </c>
      <c r="K42" s="22">
        <v>4.0109514031485283</v>
      </c>
      <c r="L42" s="22">
        <v>6.0041067761806985</v>
      </c>
      <c r="M42" s="22">
        <v>10.015058179329227</v>
      </c>
      <c r="N42" s="22">
        <v>3.9863107460643397</v>
      </c>
      <c r="O42" s="22">
        <v>5.7275838466803561</v>
      </c>
      <c r="P42" s="22">
        <v>9.7138945927446958</v>
      </c>
      <c r="Q42" s="22" t="s">
        <v>8</v>
      </c>
      <c r="R42" s="22" t="s">
        <v>8</v>
      </c>
      <c r="S42" s="22" t="s">
        <v>8</v>
      </c>
      <c r="T42" s="20">
        <v>4</v>
      </c>
      <c r="U42" s="20">
        <v>16</v>
      </c>
      <c r="V42" s="20" t="s">
        <v>1</v>
      </c>
      <c r="W42" s="20">
        <v>5</v>
      </c>
      <c r="X42" s="20">
        <v>3</v>
      </c>
      <c r="Y42" s="5">
        <v>1</v>
      </c>
      <c r="Z42" s="20">
        <v>4</v>
      </c>
      <c r="AA42" s="23">
        <f t="shared" si="0"/>
        <v>1</v>
      </c>
      <c r="AB42" s="15">
        <v>1</v>
      </c>
      <c r="AC42" s="15">
        <v>1</v>
      </c>
      <c r="AD42" s="15">
        <v>0.83299999999999996</v>
      </c>
      <c r="AE42" s="15">
        <v>0.95799999999999996</v>
      </c>
      <c r="AF42" s="20">
        <v>23</v>
      </c>
      <c r="AG42" s="20">
        <v>1.93</v>
      </c>
      <c r="AH42" s="24">
        <v>24</v>
      </c>
      <c r="AI42" s="23">
        <f t="shared" si="1"/>
        <v>1</v>
      </c>
      <c r="AJ42" s="15">
        <v>10</v>
      </c>
      <c r="AK42" s="15">
        <v>9.75</v>
      </c>
      <c r="AL42" s="25">
        <v>19.75</v>
      </c>
      <c r="AM42" s="23" cm="1">
        <f t="array" ref="AM42">IF(OR(AN42:AZ42=""),"BLANK",IF(AND(AN42:AZ42&lt;9999999),1,IF(AND(AN42:AZ42="NA"),3,2)))</f>
        <v>1</v>
      </c>
      <c r="AN42" s="20">
        <v>10</v>
      </c>
      <c r="AO42" s="20">
        <v>2</v>
      </c>
      <c r="AP42" s="15">
        <v>3</v>
      </c>
      <c r="AQ42" s="15">
        <v>4</v>
      </c>
      <c r="AR42" s="15">
        <v>6.75</v>
      </c>
      <c r="AS42" s="26">
        <v>188</v>
      </c>
      <c r="AT42" s="26">
        <v>275</v>
      </c>
      <c r="AU42" s="26">
        <v>716.75</v>
      </c>
      <c r="AV42" s="26">
        <v>1681.5</v>
      </c>
      <c r="AW42" s="26">
        <v>245</v>
      </c>
      <c r="AX42" s="26">
        <v>0</v>
      </c>
      <c r="AY42" s="26">
        <v>0</v>
      </c>
      <c r="AZ42" s="26">
        <v>869.90303030300004</v>
      </c>
      <c r="BA42" s="23">
        <v>3</v>
      </c>
      <c r="BB42" s="24" t="s">
        <v>8</v>
      </c>
    </row>
    <row r="43" spans="1:54" x14ac:dyDescent="0.2">
      <c r="A43" s="21">
        <v>557</v>
      </c>
      <c r="B43" s="20" t="s">
        <v>64</v>
      </c>
      <c r="C43" s="18" t="s">
        <v>54</v>
      </c>
      <c r="D43" s="18">
        <v>5</v>
      </c>
      <c r="E43" s="18">
        <v>0</v>
      </c>
      <c r="F43" s="51" t="s">
        <v>9</v>
      </c>
      <c r="G43" s="18">
        <v>30</v>
      </c>
      <c r="H43" s="22">
        <v>4.1122518822724166</v>
      </c>
      <c r="I43" s="22">
        <v>5.675564681724846</v>
      </c>
      <c r="J43" s="22">
        <v>9.7878165639972625</v>
      </c>
      <c r="K43" s="22">
        <v>4.2491444216290208</v>
      </c>
      <c r="L43" s="22">
        <v>5.7878165639972625</v>
      </c>
      <c r="M43" s="22">
        <v>10.036960985626283</v>
      </c>
      <c r="N43" s="22">
        <v>4.1451060917180014</v>
      </c>
      <c r="O43" s="22">
        <v>5.5961670088980151</v>
      </c>
      <c r="P43" s="22">
        <v>9.7412731006160165</v>
      </c>
      <c r="Q43" s="22">
        <v>3.2553045859000687</v>
      </c>
      <c r="R43" s="22">
        <v>6.4750171115674195</v>
      </c>
      <c r="S43" s="22">
        <v>9.7303216974674882</v>
      </c>
      <c r="T43" s="20">
        <v>4</v>
      </c>
      <c r="U43" s="20">
        <v>16</v>
      </c>
      <c r="V43" s="20" t="s">
        <v>1</v>
      </c>
      <c r="W43" s="20">
        <v>5</v>
      </c>
      <c r="X43" s="20">
        <v>3</v>
      </c>
      <c r="Y43" s="5">
        <v>1</v>
      </c>
      <c r="Z43" s="20">
        <v>4</v>
      </c>
      <c r="AA43" s="23">
        <f t="shared" si="0"/>
        <v>2</v>
      </c>
      <c r="AB43" s="15">
        <v>1</v>
      </c>
      <c r="AC43" s="15">
        <v>0.83299999999999996</v>
      </c>
      <c r="AD43" s="15">
        <v>0.83299999999999996</v>
      </c>
      <c r="AE43" s="15">
        <v>0.85699999999999998</v>
      </c>
      <c r="AF43" s="20">
        <v>18</v>
      </c>
      <c r="AG43" s="20" t="s">
        <v>8</v>
      </c>
      <c r="AH43" s="24">
        <v>21</v>
      </c>
      <c r="AI43" s="23">
        <f t="shared" si="1"/>
        <v>1</v>
      </c>
      <c r="AJ43" s="15">
        <v>5.75</v>
      </c>
      <c r="AK43" s="15">
        <v>7</v>
      </c>
      <c r="AL43" s="25">
        <v>12.75</v>
      </c>
      <c r="AM43" s="23" cm="1">
        <f t="array" ref="AM43">IF(OR(AN43:AZ43=""),"BLANK",IF(AND(AN43:AZ43&lt;9999999),1,IF(AND(AN43:AZ43="NA"),3,2)))</f>
        <v>2</v>
      </c>
      <c r="AN43" s="20">
        <v>8</v>
      </c>
      <c r="AO43" s="20">
        <v>2</v>
      </c>
      <c r="AP43" s="15">
        <v>3</v>
      </c>
      <c r="AQ43" s="15">
        <v>5.5</v>
      </c>
      <c r="AR43" s="15">
        <v>7</v>
      </c>
      <c r="AS43" s="26">
        <v>793</v>
      </c>
      <c r="AT43" s="26">
        <v>7303</v>
      </c>
      <c r="AU43" s="26">
        <v>4165.75</v>
      </c>
      <c r="AV43" s="26">
        <v>6344</v>
      </c>
      <c r="AW43" s="26">
        <v>0</v>
      </c>
      <c r="AX43" s="26">
        <v>0</v>
      </c>
      <c r="AY43" s="26">
        <v>1934.680556</v>
      </c>
      <c r="AZ43" s="26" t="s">
        <v>8</v>
      </c>
      <c r="BA43" s="23">
        <v>3</v>
      </c>
      <c r="BB43" s="24" t="s">
        <v>8</v>
      </c>
    </row>
    <row r="44" spans="1:54" x14ac:dyDescent="0.2">
      <c r="A44" s="21">
        <v>562</v>
      </c>
      <c r="B44" s="20" t="s">
        <v>80</v>
      </c>
      <c r="C44" s="18" t="s">
        <v>55</v>
      </c>
      <c r="D44" s="18">
        <v>5</v>
      </c>
      <c r="E44" s="18">
        <v>0</v>
      </c>
      <c r="F44" s="51" t="s">
        <v>9</v>
      </c>
      <c r="G44" s="18">
        <v>28</v>
      </c>
      <c r="H44" s="22">
        <v>4.2546201232032859</v>
      </c>
      <c r="I44" s="22">
        <v>5.4839151266255985</v>
      </c>
      <c r="J44" s="22">
        <v>9.7385352498288835</v>
      </c>
      <c r="K44" s="22">
        <v>4.6214921286789874</v>
      </c>
      <c r="L44" s="22">
        <v>5.117043121149897</v>
      </c>
      <c r="M44" s="22">
        <v>9.7385352498288835</v>
      </c>
      <c r="N44" s="22">
        <v>3.9206023271731691</v>
      </c>
      <c r="O44" s="22">
        <v>5.1800136892539355</v>
      </c>
      <c r="P44" s="22">
        <v>9.1006160164271055</v>
      </c>
      <c r="Q44" s="22">
        <v>3.1950718685831623</v>
      </c>
      <c r="R44" s="22">
        <v>6.1108829568788501</v>
      </c>
      <c r="S44" s="22">
        <v>9.3059548254620115</v>
      </c>
      <c r="T44" s="20" t="s">
        <v>8</v>
      </c>
      <c r="U44" s="20" t="s">
        <v>8</v>
      </c>
      <c r="V44" s="20" t="s">
        <v>1</v>
      </c>
      <c r="W44" s="20">
        <v>5</v>
      </c>
      <c r="X44" s="20">
        <v>3</v>
      </c>
      <c r="Y44" s="5">
        <v>1</v>
      </c>
      <c r="Z44" s="20">
        <v>4</v>
      </c>
      <c r="AA44" s="23">
        <f t="shared" si="0"/>
        <v>2</v>
      </c>
      <c r="AB44" s="15">
        <v>0.83299999999999996</v>
      </c>
      <c r="AC44" s="15">
        <v>0.66700000000000004</v>
      </c>
      <c r="AD44" s="15">
        <v>0.16700000000000001</v>
      </c>
      <c r="AE44" s="15">
        <v>0.47799999999999998</v>
      </c>
      <c r="AF44" s="20">
        <v>11</v>
      </c>
      <c r="AG44" s="20" t="s">
        <v>8</v>
      </c>
      <c r="AH44" s="24">
        <v>23</v>
      </c>
      <c r="AI44" s="23">
        <f t="shared" si="1"/>
        <v>1</v>
      </c>
      <c r="AJ44" s="15">
        <v>4.25</v>
      </c>
      <c r="AK44" s="15">
        <v>5.25</v>
      </c>
      <c r="AL44" s="25">
        <v>9.5</v>
      </c>
      <c r="AM44" s="23" cm="1">
        <f t="array" ref="AM44">IF(OR(AN44:AZ44=""),"BLANK",IF(AND(AN44:AZ44&lt;9999999),1,IF(AND(AN44:AZ44="NA"),3,2)))</f>
        <v>1</v>
      </c>
      <c r="AN44" s="20">
        <v>8</v>
      </c>
      <c r="AO44" s="20">
        <v>2</v>
      </c>
      <c r="AP44" s="15">
        <v>3</v>
      </c>
      <c r="AQ44" s="15">
        <v>4.25</v>
      </c>
      <c r="AR44" s="15">
        <v>7.5</v>
      </c>
      <c r="AS44" s="26">
        <v>859.5</v>
      </c>
      <c r="AT44" s="26">
        <v>4243.5</v>
      </c>
      <c r="AU44" s="26">
        <v>7309.25</v>
      </c>
      <c r="AV44" s="26">
        <v>9233.75</v>
      </c>
      <c r="AW44" s="26">
        <v>0</v>
      </c>
      <c r="AX44" s="26">
        <v>0</v>
      </c>
      <c r="AY44" s="26">
        <v>0</v>
      </c>
      <c r="AZ44" s="26">
        <v>12456.030357142899</v>
      </c>
      <c r="BA44" s="23">
        <v>3</v>
      </c>
      <c r="BB44" s="24" t="s">
        <v>8</v>
      </c>
    </row>
    <row r="45" spans="1:54" x14ac:dyDescent="0.2">
      <c r="A45" s="21">
        <v>575</v>
      </c>
      <c r="B45" s="20" t="s">
        <v>75</v>
      </c>
      <c r="C45" s="18" t="s">
        <v>54</v>
      </c>
      <c r="D45" s="18">
        <v>5</v>
      </c>
      <c r="E45" s="18">
        <v>0</v>
      </c>
      <c r="F45" s="51" t="s">
        <v>9</v>
      </c>
      <c r="G45" s="18">
        <v>30</v>
      </c>
      <c r="H45" s="22">
        <v>3.8576317590691307</v>
      </c>
      <c r="I45" s="22">
        <v>5.2703627652292946</v>
      </c>
      <c r="J45" s="22">
        <v>9.1279945242984262</v>
      </c>
      <c r="K45" s="22">
        <v>3.8576317590691307</v>
      </c>
      <c r="L45" s="22">
        <v>5.2703627652292946</v>
      </c>
      <c r="M45" s="22">
        <v>9.1279945242984262</v>
      </c>
      <c r="N45" s="22">
        <v>3.8576317590691307</v>
      </c>
      <c r="O45" s="22">
        <v>5.0239561943874058</v>
      </c>
      <c r="P45" s="22">
        <v>8.8815879534565365</v>
      </c>
      <c r="Q45" s="22" t="s">
        <v>8</v>
      </c>
      <c r="R45" s="22" t="s">
        <v>8</v>
      </c>
      <c r="S45" s="22" t="s">
        <v>8</v>
      </c>
      <c r="T45" s="20" t="s">
        <v>8</v>
      </c>
      <c r="U45" s="20" t="s">
        <v>8</v>
      </c>
      <c r="V45" s="20" t="s">
        <v>1</v>
      </c>
      <c r="W45" s="20">
        <v>5</v>
      </c>
      <c r="X45" s="20">
        <v>3</v>
      </c>
      <c r="Y45" s="5">
        <v>1</v>
      </c>
      <c r="Z45" s="20">
        <v>4</v>
      </c>
      <c r="AA45" s="23">
        <f t="shared" si="0"/>
        <v>1</v>
      </c>
      <c r="AB45" s="15">
        <v>1</v>
      </c>
      <c r="AC45" s="15">
        <v>1</v>
      </c>
      <c r="AD45" s="15">
        <v>0.83299999999999996</v>
      </c>
      <c r="AE45" s="15">
        <v>0.95799999999999996</v>
      </c>
      <c r="AF45" s="20">
        <v>23</v>
      </c>
      <c r="AG45" s="20">
        <v>8.75</v>
      </c>
      <c r="AH45" s="24">
        <v>24</v>
      </c>
      <c r="AI45" s="23">
        <f t="shared" si="1"/>
        <v>1</v>
      </c>
      <c r="AJ45" s="15">
        <v>9.75</v>
      </c>
      <c r="AK45" s="15">
        <v>11</v>
      </c>
      <c r="AL45" s="25">
        <v>20.75</v>
      </c>
      <c r="AM45" s="23" cm="1">
        <f t="array" ref="AM45">IF(OR(AN45:AZ45=""),"BLANK",IF(AND(AN45:AZ45&lt;9999999),1,IF(AND(AN45:AZ45="NA"),3,2)))</f>
        <v>1</v>
      </c>
      <c r="AN45" s="20">
        <v>11</v>
      </c>
      <c r="AO45" s="20">
        <v>2</v>
      </c>
      <c r="AP45" s="15">
        <v>3</v>
      </c>
      <c r="AQ45" s="15">
        <v>4</v>
      </c>
      <c r="AR45" s="15">
        <v>5.25</v>
      </c>
      <c r="AS45" s="26">
        <v>1865</v>
      </c>
      <c r="AT45" s="26">
        <v>1854</v>
      </c>
      <c r="AU45" s="26">
        <v>6095.75</v>
      </c>
      <c r="AV45" s="26">
        <v>3796.25</v>
      </c>
      <c r="AW45" s="26">
        <v>0</v>
      </c>
      <c r="AX45" s="26">
        <v>0</v>
      </c>
      <c r="AY45" s="26">
        <v>0</v>
      </c>
      <c r="AZ45" s="26">
        <v>0</v>
      </c>
      <c r="BA45" s="23">
        <v>3</v>
      </c>
      <c r="BB45" s="24" t="s">
        <v>8</v>
      </c>
    </row>
    <row r="46" spans="1:54" x14ac:dyDescent="0.2">
      <c r="A46" s="21">
        <v>591</v>
      </c>
      <c r="B46" s="20" t="s">
        <v>70</v>
      </c>
      <c r="C46" s="18" t="s">
        <v>54</v>
      </c>
      <c r="D46" s="18">
        <v>5</v>
      </c>
      <c r="E46" s="18">
        <v>0</v>
      </c>
      <c r="F46" s="51" t="s">
        <v>9</v>
      </c>
      <c r="G46" s="18">
        <v>30</v>
      </c>
      <c r="H46" s="22">
        <v>4.5913757700205338</v>
      </c>
      <c r="I46" s="22">
        <v>5.2347707049965777</v>
      </c>
      <c r="J46" s="22">
        <v>9.8261464750171115</v>
      </c>
      <c r="K46" s="22" t="s">
        <v>8</v>
      </c>
      <c r="L46" s="22" t="s">
        <v>8</v>
      </c>
      <c r="M46" s="22">
        <v>9.9520876112251884</v>
      </c>
      <c r="N46" s="22">
        <v>4.3832991101984939</v>
      </c>
      <c r="O46" s="22">
        <v>5.1718001368925393</v>
      </c>
      <c r="P46" s="22">
        <v>9.5550992470910341</v>
      </c>
      <c r="Q46" s="22">
        <v>3.7919233401779602</v>
      </c>
      <c r="R46" s="22">
        <v>5.0814510609171801</v>
      </c>
      <c r="S46" s="22">
        <v>8.8733744010951412</v>
      </c>
      <c r="T46" s="20" t="s">
        <v>8</v>
      </c>
      <c r="U46" s="20" t="s">
        <v>8</v>
      </c>
      <c r="V46" s="20" t="s">
        <v>1</v>
      </c>
      <c r="W46" s="20">
        <v>5</v>
      </c>
      <c r="X46" s="20">
        <v>3</v>
      </c>
      <c r="Y46" s="5">
        <v>1</v>
      </c>
      <c r="Z46" s="20">
        <v>4</v>
      </c>
      <c r="AA46" s="23">
        <f t="shared" si="0"/>
        <v>1</v>
      </c>
      <c r="AB46" s="15">
        <v>1</v>
      </c>
      <c r="AC46" s="15">
        <v>1</v>
      </c>
      <c r="AD46" s="15">
        <v>0.83299999999999996</v>
      </c>
      <c r="AE46" s="15">
        <v>0.91700000000000004</v>
      </c>
      <c r="AF46" s="20">
        <v>22</v>
      </c>
      <c r="AG46" s="20">
        <v>10.6</v>
      </c>
      <c r="AH46" s="24">
        <v>24</v>
      </c>
      <c r="AI46" s="23">
        <f t="shared" si="1"/>
        <v>1</v>
      </c>
      <c r="AJ46" s="15">
        <v>14</v>
      </c>
      <c r="AK46" s="15">
        <v>11</v>
      </c>
      <c r="AL46" s="25">
        <v>25</v>
      </c>
      <c r="AM46" s="23" cm="1">
        <f t="array" ref="AM46">IF(OR(AN46:AZ46=""),"BLANK",IF(AND(AN46:AZ46&lt;9999999),1,IF(AND(AN46:AZ46="NA"),3,2)))</f>
        <v>1</v>
      </c>
      <c r="AN46" s="20">
        <v>11</v>
      </c>
      <c r="AO46" s="20">
        <v>2</v>
      </c>
      <c r="AP46" s="15">
        <v>3</v>
      </c>
      <c r="AQ46" s="15">
        <v>5.25</v>
      </c>
      <c r="AR46" s="15">
        <v>5</v>
      </c>
      <c r="AS46" s="26">
        <v>1062.5</v>
      </c>
      <c r="AT46" s="26">
        <v>1781</v>
      </c>
      <c r="AU46" s="26">
        <v>2603.75</v>
      </c>
      <c r="AV46" s="26">
        <v>3824.5</v>
      </c>
      <c r="AW46" s="26">
        <v>0</v>
      </c>
      <c r="AX46" s="26">
        <v>0</v>
      </c>
      <c r="AY46" s="26">
        <v>0</v>
      </c>
      <c r="AZ46" s="26">
        <v>0</v>
      </c>
      <c r="BA46" s="23">
        <v>3</v>
      </c>
      <c r="BB46" s="24" t="s">
        <v>8</v>
      </c>
    </row>
    <row r="47" spans="1:54" x14ac:dyDescent="0.2">
      <c r="A47" s="21">
        <v>595</v>
      </c>
      <c r="B47" s="20" t="s">
        <v>64</v>
      </c>
      <c r="C47" s="18" t="s">
        <v>54</v>
      </c>
      <c r="D47" s="18">
        <v>5</v>
      </c>
      <c r="E47" s="18">
        <v>0</v>
      </c>
      <c r="F47" s="51" t="s">
        <v>9</v>
      </c>
      <c r="G47" s="18">
        <v>29</v>
      </c>
      <c r="H47" s="22">
        <v>4.0602327173169064</v>
      </c>
      <c r="I47" s="22">
        <v>5.5222450376454484</v>
      </c>
      <c r="J47" s="22">
        <v>9.5824777549623548</v>
      </c>
      <c r="K47" s="22">
        <v>4.0602327173169064</v>
      </c>
      <c r="L47" s="22">
        <v>5.5222450376454484</v>
      </c>
      <c r="M47" s="22">
        <v>9.5824777549623548</v>
      </c>
      <c r="N47" s="22">
        <v>4.0246406570841886</v>
      </c>
      <c r="O47" s="22">
        <v>5.1279945242984262</v>
      </c>
      <c r="P47" s="22">
        <v>9.1526351813826139</v>
      </c>
      <c r="Q47" s="22" t="s">
        <v>8</v>
      </c>
      <c r="R47" s="22" t="s">
        <v>8</v>
      </c>
      <c r="S47" s="22" t="s">
        <v>8</v>
      </c>
      <c r="T47" s="20">
        <v>6</v>
      </c>
      <c r="U47" s="20">
        <v>18</v>
      </c>
      <c r="V47" s="20" t="s">
        <v>1</v>
      </c>
      <c r="W47" s="20">
        <v>5</v>
      </c>
      <c r="X47" s="20">
        <v>3</v>
      </c>
      <c r="Y47" s="5">
        <v>1</v>
      </c>
      <c r="Z47" s="20">
        <v>4</v>
      </c>
      <c r="AA47" s="23">
        <f t="shared" si="0"/>
        <v>2</v>
      </c>
      <c r="AB47" s="15">
        <v>1</v>
      </c>
      <c r="AC47" s="15">
        <v>0.83299999999999996</v>
      </c>
      <c r="AD47" s="15">
        <v>0.66700000000000004</v>
      </c>
      <c r="AE47" s="15">
        <v>0.87</v>
      </c>
      <c r="AF47" s="20">
        <v>20</v>
      </c>
      <c r="AG47" s="20" t="s">
        <v>8</v>
      </c>
      <c r="AH47" s="24">
        <v>23</v>
      </c>
      <c r="AI47" s="23">
        <f t="shared" si="1"/>
        <v>1</v>
      </c>
      <c r="AJ47" s="15">
        <v>8</v>
      </c>
      <c r="AK47" s="15">
        <v>9</v>
      </c>
      <c r="AL47" s="25">
        <v>17</v>
      </c>
      <c r="AM47" s="23" cm="1">
        <f t="array" ref="AM47">IF(OR(AN47:AZ47=""),"BLANK",IF(AND(AN47:AZ47&lt;9999999),1,IF(AND(AN47:AZ47="NA"),3,2)))</f>
        <v>1</v>
      </c>
      <c r="AN47" s="20">
        <v>10</v>
      </c>
      <c r="AO47" s="20">
        <v>2</v>
      </c>
      <c r="AP47" s="15">
        <v>3</v>
      </c>
      <c r="AQ47" s="15">
        <v>4.75</v>
      </c>
      <c r="AR47" s="15">
        <v>5</v>
      </c>
      <c r="AS47" s="26">
        <v>2501.5</v>
      </c>
      <c r="AT47" s="26">
        <v>14766</v>
      </c>
      <c r="AU47" s="26">
        <v>25607.25</v>
      </c>
      <c r="AV47" s="26">
        <v>39157.5</v>
      </c>
      <c r="AW47" s="26">
        <v>340.75</v>
      </c>
      <c r="AX47" s="26">
        <v>237</v>
      </c>
      <c r="AY47" s="26">
        <v>6667.1083333332999</v>
      </c>
      <c r="AZ47" s="26">
        <v>72.05</v>
      </c>
      <c r="BA47" s="23">
        <v>3</v>
      </c>
      <c r="BB47" s="24" t="s">
        <v>8</v>
      </c>
    </row>
    <row r="48" spans="1:54" x14ac:dyDescent="0.2">
      <c r="A48" s="21">
        <v>604</v>
      </c>
      <c r="B48" s="20" t="s">
        <v>80</v>
      </c>
      <c r="C48" s="18" t="s">
        <v>55</v>
      </c>
      <c r="D48" s="18">
        <v>5</v>
      </c>
      <c r="E48" s="18">
        <v>0</v>
      </c>
      <c r="F48" s="51" t="s">
        <v>9</v>
      </c>
      <c r="G48" s="18">
        <v>30</v>
      </c>
      <c r="H48" s="22">
        <v>4.0109514031485283</v>
      </c>
      <c r="I48" s="22">
        <v>5.3552361396303905</v>
      </c>
      <c r="J48" s="22">
        <v>9.3661875427789187</v>
      </c>
      <c r="K48" s="22">
        <v>4.0109514031485283</v>
      </c>
      <c r="L48" s="22">
        <v>5.3552361396303905</v>
      </c>
      <c r="M48" s="22">
        <v>9.3661875427789187</v>
      </c>
      <c r="N48" s="22">
        <v>4.0273785078713207</v>
      </c>
      <c r="O48" s="22">
        <v>5.248459958932238</v>
      </c>
      <c r="P48" s="22">
        <v>9.2758384668035596</v>
      </c>
      <c r="Q48" s="22">
        <v>3.3483915126625599</v>
      </c>
      <c r="R48" s="22">
        <v>6.020533880903491</v>
      </c>
      <c r="S48" s="22">
        <v>9.3689253935660499</v>
      </c>
      <c r="T48" s="20">
        <v>4</v>
      </c>
      <c r="U48" s="20">
        <v>16</v>
      </c>
      <c r="V48" s="20" t="s">
        <v>1</v>
      </c>
      <c r="W48" s="20">
        <v>5</v>
      </c>
      <c r="X48" s="20">
        <v>3</v>
      </c>
      <c r="Y48" s="5">
        <v>1</v>
      </c>
      <c r="Z48" s="20">
        <v>4</v>
      </c>
      <c r="AA48" s="23">
        <f t="shared" si="0"/>
        <v>1</v>
      </c>
      <c r="AB48" s="15">
        <v>1</v>
      </c>
      <c r="AC48" s="15">
        <v>1</v>
      </c>
      <c r="AD48" s="15">
        <v>0.66700000000000004</v>
      </c>
      <c r="AE48" s="15">
        <v>0.79200000000000004</v>
      </c>
      <c r="AF48" s="20">
        <v>19</v>
      </c>
      <c r="AG48" s="20">
        <v>3.27</v>
      </c>
      <c r="AH48" s="24">
        <v>24</v>
      </c>
      <c r="AI48" s="23">
        <f t="shared" si="1"/>
        <v>1</v>
      </c>
      <c r="AJ48" s="15">
        <v>1.75</v>
      </c>
      <c r="AK48" s="15">
        <v>4</v>
      </c>
      <c r="AL48" s="25">
        <v>5.75</v>
      </c>
      <c r="AM48" s="23" cm="1">
        <f t="array" ref="AM48">IF(OR(AN48:AZ48=""),"BLANK",IF(AND(AN48:AZ48&lt;9999999),1,IF(AND(AN48:AZ48="NA"),3,2)))</f>
        <v>1</v>
      </c>
      <c r="AN48" s="20">
        <v>6</v>
      </c>
      <c r="AO48" s="20">
        <v>2</v>
      </c>
      <c r="AP48" s="15">
        <v>3</v>
      </c>
      <c r="AQ48" s="15">
        <v>5.75</v>
      </c>
      <c r="AR48" s="15">
        <v>9.5</v>
      </c>
      <c r="AS48" s="26">
        <v>2011</v>
      </c>
      <c r="AT48" s="26">
        <v>5882</v>
      </c>
      <c r="AU48" s="26">
        <v>5037.75</v>
      </c>
      <c r="AV48" s="26">
        <v>5028.25</v>
      </c>
      <c r="AW48" s="26">
        <v>0</v>
      </c>
      <c r="AX48" s="26">
        <v>0</v>
      </c>
      <c r="AY48" s="26">
        <v>2770.5486111110999</v>
      </c>
      <c r="AZ48" s="26">
        <v>2689.3898809523998</v>
      </c>
      <c r="BA48" s="23">
        <v>3</v>
      </c>
      <c r="BB48" s="24" t="s">
        <v>8</v>
      </c>
    </row>
    <row r="49" spans="1:54" x14ac:dyDescent="0.2">
      <c r="A49" s="21">
        <v>611</v>
      </c>
      <c r="B49" s="20" t="s">
        <v>75</v>
      </c>
      <c r="C49" s="18" t="s">
        <v>54</v>
      </c>
      <c r="D49" s="18">
        <v>5</v>
      </c>
      <c r="E49" s="18">
        <v>0</v>
      </c>
      <c r="F49" s="51" t="s">
        <v>9</v>
      </c>
      <c r="G49" s="18">
        <v>30</v>
      </c>
      <c r="H49" s="22">
        <v>4.0191649555099245</v>
      </c>
      <c r="I49" s="22">
        <v>5.7494866529774127</v>
      </c>
      <c r="J49" s="22">
        <v>9.7686516084873372</v>
      </c>
      <c r="K49" s="22">
        <v>4.0246406570841886</v>
      </c>
      <c r="L49" s="22">
        <v>5.7412731006160165</v>
      </c>
      <c r="M49" s="22">
        <v>9.765913757700206</v>
      </c>
      <c r="N49" s="22">
        <v>4.0109514031485283</v>
      </c>
      <c r="O49" s="22">
        <v>5.3634496919917867</v>
      </c>
      <c r="P49" s="22">
        <v>9.3744010951403141</v>
      </c>
      <c r="Q49" s="22" t="s">
        <v>8</v>
      </c>
      <c r="R49" s="22" t="s">
        <v>8</v>
      </c>
      <c r="S49" s="22" t="s">
        <v>8</v>
      </c>
      <c r="T49" s="20">
        <v>5</v>
      </c>
      <c r="U49" s="20">
        <v>16</v>
      </c>
      <c r="V49" s="20" t="s">
        <v>1</v>
      </c>
      <c r="W49" s="20">
        <v>5</v>
      </c>
      <c r="X49" s="20">
        <v>3</v>
      </c>
      <c r="Y49" s="5">
        <v>1</v>
      </c>
      <c r="Z49" s="20">
        <v>4</v>
      </c>
      <c r="AA49" s="23">
        <f t="shared" si="0"/>
        <v>1</v>
      </c>
      <c r="AB49" s="15">
        <v>1</v>
      </c>
      <c r="AC49" s="15">
        <v>0.83299999999999996</v>
      </c>
      <c r="AD49" s="15">
        <v>0.5</v>
      </c>
      <c r="AE49" s="15">
        <v>0.79200000000000004</v>
      </c>
      <c r="AF49" s="20">
        <v>19</v>
      </c>
      <c r="AG49" s="20">
        <v>7</v>
      </c>
      <c r="AH49" s="24">
        <v>24</v>
      </c>
      <c r="AI49" s="23">
        <f t="shared" si="1"/>
        <v>1</v>
      </c>
      <c r="AJ49" s="15">
        <v>8.25</v>
      </c>
      <c r="AK49" s="15">
        <v>8.75</v>
      </c>
      <c r="AL49" s="25">
        <v>17</v>
      </c>
      <c r="AM49" s="23" cm="1">
        <f t="array" ref="AM49">IF(OR(AN49:AZ49=""),"BLANK",IF(AND(AN49:AZ49&lt;9999999),1,IF(AND(AN49:AZ49="NA"),3,2)))</f>
        <v>1</v>
      </c>
      <c r="AN49" s="20">
        <v>12</v>
      </c>
      <c r="AO49" s="20">
        <v>2</v>
      </c>
      <c r="AP49" s="15">
        <v>3</v>
      </c>
      <c r="AQ49" s="15">
        <v>4</v>
      </c>
      <c r="AR49" s="15">
        <v>5</v>
      </c>
      <c r="AS49" s="26">
        <v>3830</v>
      </c>
      <c r="AT49" s="26">
        <v>24719</v>
      </c>
      <c r="AU49" s="26">
        <v>35913.75</v>
      </c>
      <c r="AV49" s="26">
        <v>33357.5</v>
      </c>
      <c r="AW49" s="26">
        <v>0</v>
      </c>
      <c r="AX49" s="26">
        <v>0</v>
      </c>
      <c r="AY49" s="26">
        <v>0</v>
      </c>
      <c r="AZ49" s="26">
        <v>0</v>
      </c>
      <c r="BA49" s="23">
        <v>3</v>
      </c>
      <c r="BB49" s="24" t="s">
        <v>8</v>
      </c>
    </row>
    <row r="50" spans="1:54" x14ac:dyDescent="0.2">
      <c r="A50" s="21">
        <v>634</v>
      </c>
      <c r="B50" s="20" t="s">
        <v>79</v>
      </c>
      <c r="C50" s="18" t="s">
        <v>55</v>
      </c>
      <c r="D50" s="18">
        <v>1</v>
      </c>
      <c r="E50" s="18">
        <v>0</v>
      </c>
      <c r="F50" s="51" t="s">
        <v>9</v>
      </c>
      <c r="G50" s="18">
        <v>30</v>
      </c>
      <c r="H50" s="22">
        <v>4.2956878850102669</v>
      </c>
      <c r="I50" s="22">
        <v>5.1362080766598224</v>
      </c>
      <c r="J50" s="22">
        <v>9.4318959616700884</v>
      </c>
      <c r="K50" s="22">
        <v>4.3750855578370977</v>
      </c>
      <c r="L50" s="22">
        <v>5.2840520191649558</v>
      </c>
      <c r="M50" s="22">
        <v>9.6591375770020527</v>
      </c>
      <c r="N50" s="22">
        <v>4.3723477070499657</v>
      </c>
      <c r="O50" s="22">
        <v>4.6735112936344967</v>
      </c>
      <c r="P50" s="22">
        <v>9.0458590006844624</v>
      </c>
      <c r="Q50" s="22" t="s">
        <v>8</v>
      </c>
      <c r="R50" s="22" t="s">
        <v>8</v>
      </c>
      <c r="S50" s="22" t="s">
        <v>8</v>
      </c>
      <c r="T50" s="20" t="s">
        <v>8</v>
      </c>
      <c r="U50" s="20" t="s">
        <v>8</v>
      </c>
      <c r="V50" s="20" t="s">
        <v>1</v>
      </c>
      <c r="W50" s="20">
        <v>5</v>
      </c>
      <c r="X50" s="20">
        <v>3</v>
      </c>
      <c r="Y50" s="5">
        <v>1</v>
      </c>
      <c r="Z50" s="20">
        <v>4</v>
      </c>
      <c r="AA50" s="23">
        <f t="shared" si="0"/>
        <v>1</v>
      </c>
      <c r="AB50" s="15">
        <v>1</v>
      </c>
      <c r="AC50" s="15">
        <v>1</v>
      </c>
      <c r="AD50" s="15">
        <v>1</v>
      </c>
      <c r="AE50" s="15">
        <v>1</v>
      </c>
      <c r="AF50" s="20">
        <v>24</v>
      </c>
      <c r="AG50" s="20">
        <v>8.7200000000000006</v>
      </c>
      <c r="AH50" s="24">
        <v>24</v>
      </c>
      <c r="AI50" s="23">
        <f t="shared" si="1"/>
        <v>1</v>
      </c>
      <c r="AJ50" s="15">
        <v>12</v>
      </c>
      <c r="AK50" s="15">
        <v>11</v>
      </c>
      <c r="AL50" s="25">
        <v>23</v>
      </c>
      <c r="AM50" s="23" cm="1">
        <f t="array" ref="AM50">IF(OR(AN50:AZ50=""),"BLANK",IF(AND(AN50:AZ50&lt;9999999),1,IF(AND(AN50:AZ50="NA"),3,2)))</f>
        <v>1</v>
      </c>
      <c r="AN50" s="20">
        <v>10</v>
      </c>
      <c r="AO50" s="20">
        <v>2</v>
      </c>
      <c r="AP50" s="15">
        <v>3</v>
      </c>
      <c r="AQ50" s="15">
        <v>4</v>
      </c>
      <c r="AR50" s="15">
        <v>6.25</v>
      </c>
      <c r="AS50" s="26">
        <v>1044</v>
      </c>
      <c r="AT50" s="26">
        <v>3254.5</v>
      </c>
      <c r="AU50" s="26">
        <v>6054.25</v>
      </c>
      <c r="AV50" s="26">
        <v>7401.25</v>
      </c>
      <c r="AW50" s="26">
        <v>0</v>
      </c>
      <c r="AX50" s="26">
        <v>0</v>
      </c>
      <c r="AY50" s="26">
        <v>549.125</v>
      </c>
      <c r="AZ50" s="26">
        <v>509.9830357143</v>
      </c>
      <c r="BA50" s="23">
        <v>3</v>
      </c>
      <c r="BB50" s="24" t="s">
        <v>8</v>
      </c>
    </row>
    <row r="51" spans="1:54" x14ac:dyDescent="0.2">
      <c r="A51" s="21">
        <v>674</v>
      </c>
      <c r="B51" s="20" t="s">
        <v>63</v>
      </c>
      <c r="C51" s="18" t="s">
        <v>55</v>
      </c>
      <c r="D51" s="18">
        <v>6</v>
      </c>
      <c r="E51" s="18">
        <v>0</v>
      </c>
      <c r="F51" s="51" t="s">
        <v>9</v>
      </c>
      <c r="G51" s="18">
        <v>29</v>
      </c>
      <c r="H51" s="22">
        <v>3.9644079397672827</v>
      </c>
      <c r="I51" s="22">
        <v>4.7529089664613275</v>
      </c>
      <c r="J51" s="22">
        <v>8.7173169062286107</v>
      </c>
      <c r="K51" s="22">
        <v>3.9644079397672827</v>
      </c>
      <c r="L51" s="22">
        <v>4.7529089664613275</v>
      </c>
      <c r="M51" s="22">
        <v>8.7173169062286107</v>
      </c>
      <c r="N51" s="22">
        <v>3.9753593429158109</v>
      </c>
      <c r="O51" s="22">
        <v>4.4599589322381927</v>
      </c>
      <c r="P51" s="22">
        <v>8.4353182751540032</v>
      </c>
      <c r="Q51" s="22" t="s">
        <v>8</v>
      </c>
      <c r="R51" s="22" t="s">
        <v>8</v>
      </c>
      <c r="S51" s="22" t="s">
        <v>8</v>
      </c>
      <c r="T51" s="20">
        <v>6</v>
      </c>
      <c r="U51" s="20">
        <v>18</v>
      </c>
      <c r="V51" s="20" t="s">
        <v>1</v>
      </c>
      <c r="W51" s="20">
        <v>5</v>
      </c>
      <c r="X51" s="20">
        <v>3</v>
      </c>
      <c r="Y51" s="5">
        <v>1</v>
      </c>
      <c r="Z51" s="20">
        <v>4</v>
      </c>
      <c r="AA51" s="23">
        <f t="shared" si="0"/>
        <v>1</v>
      </c>
      <c r="AB51" s="15">
        <v>1</v>
      </c>
      <c r="AC51" s="15">
        <v>1</v>
      </c>
      <c r="AD51" s="15">
        <v>1</v>
      </c>
      <c r="AE51" s="15">
        <v>0.91700000000000004</v>
      </c>
      <c r="AF51" s="20">
        <v>22</v>
      </c>
      <c r="AG51" s="20">
        <v>4.33</v>
      </c>
      <c r="AH51" s="24">
        <v>24</v>
      </c>
      <c r="AI51" s="23">
        <f t="shared" si="1"/>
        <v>1</v>
      </c>
      <c r="AJ51" s="15">
        <v>7.25</v>
      </c>
      <c r="AK51" s="15">
        <v>8.5</v>
      </c>
      <c r="AL51" s="25">
        <v>15.75</v>
      </c>
      <c r="AM51" s="23" cm="1">
        <f t="array" ref="AM51">IF(OR(AN51:AZ51=""),"BLANK",IF(AND(AN51:AZ51&lt;9999999),1,IF(AND(AN51:AZ51="NA"),3,2)))</f>
        <v>1</v>
      </c>
      <c r="AN51" s="20">
        <v>7</v>
      </c>
      <c r="AO51" s="20">
        <v>2</v>
      </c>
      <c r="AP51" s="15">
        <v>3.5</v>
      </c>
      <c r="AQ51" s="15">
        <v>5.25</v>
      </c>
      <c r="AR51" s="15">
        <v>8</v>
      </c>
      <c r="AS51" s="26">
        <v>5050.5</v>
      </c>
      <c r="AT51" s="26">
        <v>16689.5</v>
      </c>
      <c r="AU51" s="26">
        <v>8019</v>
      </c>
      <c r="AV51" s="26">
        <v>17486</v>
      </c>
      <c r="AW51" s="26">
        <v>42.25</v>
      </c>
      <c r="AX51" s="26">
        <v>278.125</v>
      </c>
      <c r="AY51" s="26">
        <v>1372.0972222221999</v>
      </c>
      <c r="AZ51" s="26">
        <v>1603.0257575758001</v>
      </c>
      <c r="BA51" s="23">
        <v>3</v>
      </c>
      <c r="BB51" s="24" t="s">
        <v>8</v>
      </c>
    </row>
    <row r="52" spans="1:54" x14ac:dyDescent="0.2">
      <c r="A52" s="21">
        <v>680</v>
      </c>
      <c r="B52" s="20" t="s">
        <v>63</v>
      </c>
      <c r="C52" s="18" t="s">
        <v>55</v>
      </c>
      <c r="D52" s="18">
        <v>5</v>
      </c>
      <c r="E52" s="18">
        <v>0</v>
      </c>
      <c r="F52" s="51" t="s">
        <v>9</v>
      </c>
      <c r="G52" s="18">
        <v>30</v>
      </c>
      <c r="H52" s="22">
        <v>3.8220396988364134</v>
      </c>
      <c r="I52" s="22">
        <v>5.1663244353182751</v>
      </c>
      <c r="J52" s="22">
        <v>8.988364134154688</v>
      </c>
      <c r="K52" s="22">
        <v>3.893223819301848</v>
      </c>
      <c r="L52" s="22">
        <v>5.0951403148528405</v>
      </c>
      <c r="M52" s="22">
        <v>8.988364134154688</v>
      </c>
      <c r="N52" s="22">
        <v>3.7809719370294319</v>
      </c>
      <c r="O52" s="22">
        <v>5.1526351813826148</v>
      </c>
      <c r="P52" s="22">
        <v>8.9336071184120467</v>
      </c>
      <c r="Q52" s="22">
        <v>3.4743326488706368</v>
      </c>
      <c r="R52" s="22">
        <v>5.9192334017796027</v>
      </c>
      <c r="S52" s="22">
        <v>9.3935660506502394</v>
      </c>
      <c r="T52" s="20" t="s">
        <v>8</v>
      </c>
      <c r="U52" s="20" t="s">
        <v>8</v>
      </c>
      <c r="V52" s="20" t="s">
        <v>1</v>
      </c>
      <c r="W52" s="20">
        <v>5</v>
      </c>
      <c r="X52" s="20">
        <v>3</v>
      </c>
      <c r="Y52" s="5">
        <v>1</v>
      </c>
      <c r="Z52" s="20">
        <v>4</v>
      </c>
      <c r="AA52" s="23">
        <f t="shared" si="0"/>
        <v>1</v>
      </c>
      <c r="AB52" s="15">
        <v>0.83299999999999996</v>
      </c>
      <c r="AC52" s="15">
        <v>1</v>
      </c>
      <c r="AD52" s="15">
        <v>0.83299999999999996</v>
      </c>
      <c r="AE52" s="15">
        <v>0.91700000000000004</v>
      </c>
      <c r="AF52" s="20">
        <v>22</v>
      </c>
      <c r="AG52" s="20">
        <v>3.83</v>
      </c>
      <c r="AH52" s="24">
        <v>24</v>
      </c>
      <c r="AI52" s="23">
        <f t="shared" si="1"/>
        <v>1</v>
      </c>
      <c r="AJ52" s="15">
        <v>10</v>
      </c>
      <c r="AK52" s="15">
        <v>7.75</v>
      </c>
      <c r="AL52" s="25">
        <v>17.75</v>
      </c>
      <c r="AM52" s="23" cm="1">
        <f t="array" ref="AM52">IF(OR(AN52:AZ52=""),"BLANK",IF(AND(AN52:AZ52&lt;9999999),1,IF(AND(AN52:AZ52="NA"),3,2)))</f>
        <v>1</v>
      </c>
      <c r="AN52" s="20">
        <v>7</v>
      </c>
      <c r="AO52" s="20">
        <v>2</v>
      </c>
      <c r="AP52" s="15">
        <v>3</v>
      </c>
      <c r="AQ52" s="15">
        <v>5.25</v>
      </c>
      <c r="AR52" s="15">
        <v>8.25</v>
      </c>
      <c r="AS52" s="26">
        <v>3940.5</v>
      </c>
      <c r="AT52" s="26">
        <v>2584.5</v>
      </c>
      <c r="AU52" s="26">
        <v>4169.5</v>
      </c>
      <c r="AV52" s="26">
        <v>8151.25</v>
      </c>
      <c r="AW52" s="26">
        <v>664.25</v>
      </c>
      <c r="AX52" s="26">
        <v>0</v>
      </c>
      <c r="AY52" s="26">
        <v>951.97916666670005</v>
      </c>
      <c r="AZ52" s="26">
        <v>1332.9912698413</v>
      </c>
      <c r="BA52" s="23">
        <v>3</v>
      </c>
      <c r="BB52" s="24" t="s">
        <v>8</v>
      </c>
    </row>
    <row r="53" spans="1:54" x14ac:dyDescent="0.2">
      <c r="A53" s="21">
        <v>684</v>
      </c>
      <c r="B53" s="20" t="s">
        <v>81</v>
      </c>
      <c r="C53" s="18" t="s">
        <v>54</v>
      </c>
      <c r="D53" s="18">
        <v>4</v>
      </c>
      <c r="E53" s="18">
        <v>0</v>
      </c>
      <c r="F53" s="51" t="s">
        <v>9</v>
      </c>
      <c r="G53" s="18">
        <v>26</v>
      </c>
      <c r="H53" s="22">
        <v>4.1971252566735116</v>
      </c>
      <c r="I53" s="22">
        <v>5.0841889117043122</v>
      </c>
      <c r="J53" s="22">
        <v>9.2813141683778237</v>
      </c>
      <c r="K53" s="22" t="s">
        <v>8</v>
      </c>
      <c r="L53" s="22">
        <v>5.3415468856947292</v>
      </c>
      <c r="M53" s="22" t="s">
        <v>8</v>
      </c>
      <c r="N53" s="22">
        <v>4.1204654346338128</v>
      </c>
      <c r="O53" s="22">
        <v>4.8377823408624234</v>
      </c>
      <c r="P53" s="22">
        <v>8.9582477754962362</v>
      </c>
      <c r="Q53" s="22">
        <v>3.2963723477070501</v>
      </c>
      <c r="R53" s="22" t="s">
        <v>8</v>
      </c>
      <c r="S53" s="22" t="s">
        <v>8</v>
      </c>
      <c r="T53" s="20" t="s">
        <v>8</v>
      </c>
      <c r="U53" s="20" t="s">
        <v>8</v>
      </c>
      <c r="V53" s="20" t="s">
        <v>1</v>
      </c>
      <c r="W53" s="20">
        <v>5</v>
      </c>
      <c r="X53" s="20">
        <v>3</v>
      </c>
      <c r="Y53" s="5">
        <v>1</v>
      </c>
      <c r="Z53" s="20">
        <v>4</v>
      </c>
      <c r="AA53" s="23">
        <f t="shared" si="0"/>
        <v>2</v>
      </c>
      <c r="AB53" s="15">
        <v>0.8</v>
      </c>
      <c r="AC53" s="15">
        <v>0.5</v>
      </c>
      <c r="AD53" s="15">
        <v>0.16700000000000001</v>
      </c>
      <c r="AE53" s="15">
        <v>0.435</v>
      </c>
      <c r="AF53" s="20">
        <v>10</v>
      </c>
      <c r="AG53" s="20" t="s">
        <v>8</v>
      </c>
      <c r="AH53" s="24">
        <v>23</v>
      </c>
      <c r="AI53" s="23">
        <f t="shared" si="1"/>
        <v>1</v>
      </c>
      <c r="AJ53" s="15">
        <v>2</v>
      </c>
      <c r="AK53" s="15">
        <v>6.5</v>
      </c>
      <c r="AL53" s="25">
        <v>8.5</v>
      </c>
      <c r="AM53" s="23" cm="1">
        <f t="array" ref="AM53">IF(OR(AN53:AZ53=""),"BLANK",IF(AND(AN53:AZ53&lt;9999999),1,IF(AND(AN53:AZ53="NA"),3,2)))</f>
        <v>1</v>
      </c>
      <c r="AN53" s="20">
        <v>8</v>
      </c>
      <c r="AO53" s="20">
        <v>2.5</v>
      </c>
      <c r="AP53" s="15">
        <v>3</v>
      </c>
      <c r="AQ53" s="15">
        <v>5.25</v>
      </c>
      <c r="AR53" s="15">
        <v>7</v>
      </c>
      <c r="AS53" s="26">
        <v>14526.5</v>
      </c>
      <c r="AT53" s="26">
        <v>0</v>
      </c>
      <c r="AU53" s="26">
        <v>496.75</v>
      </c>
      <c r="AV53" s="26">
        <v>3259.25</v>
      </c>
      <c r="AW53" s="26">
        <v>2964.3333333332998</v>
      </c>
      <c r="AX53" s="26">
        <v>0</v>
      </c>
      <c r="AY53" s="26">
        <v>1396.7291666666999</v>
      </c>
      <c r="AZ53" s="26">
        <v>4274.1000000000004</v>
      </c>
      <c r="BA53" s="23">
        <v>3</v>
      </c>
      <c r="BB53" s="24" t="s">
        <v>8</v>
      </c>
    </row>
    <row r="54" spans="1:54" x14ac:dyDescent="0.2">
      <c r="A54" s="21">
        <v>688</v>
      </c>
      <c r="B54" s="20" t="s">
        <v>82</v>
      </c>
      <c r="C54" s="18" t="s">
        <v>55</v>
      </c>
      <c r="D54" s="18">
        <v>5</v>
      </c>
      <c r="E54" s="18">
        <v>0</v>
      </c>
      <c r="F54" s="51" t="s">
        <v>9</v>
      </c>
      <c r="G54" s="18">
        <v>30</v>
      </c>
      <c r="H54" s="22">
        <v>3.9096509240246409</v>
      </c>
      <c r="I54" s="22">
        <v>5.4811772758384665</v>
      </c>
      <c r="J54" s="22">
        <v>9.3908281998631082</v>
      </c>
      <c r="K54" s="22">
        <v>3.9288158795345653</v>
      </c>
      <c r="L54" s="22">
        <v>5.4565366187542779</v>
      </c>
      <c r="M54" s="22">
        <v>9.3853524982888441</v>
      </c>
      <c r="N54" s="22">
        <v>3.9288158795345653</v>
      </c>
      <c r="O54" s="22">
        <v>5.6208076659822037</v>
      </c>
      <c r="P54" s="22">
        <v>9.54962354551677</v>
      </c>
      <c r="Q54" s="22">
        <v>3.3566050650239561</v>
      </c>
      <c r="R54" s="22">
        <v>5.8726899383983575</v>
      </c>
      <c r="S54" s="22">
        <v>9.2292950034223136</v>
      </c>
      <c r="T54" s="20">
        <v>7</v>
      </c>
      <c r="U54" s="20">
        <v>21</v>
      </c>
      <c r="V54" s="20" t="s">
        <v>1</v>
      </c>
      <c r="W54" s="20">
        <v>5</v>
      </c>
      <c r="X54" s="20">
        <v>3</v>
      </c>
      <c r="Y54" s="5">
        <v>1</v>
      </c>
      <c r="Z54" s="20">
        <v>4</v>
      </c>
      <c r="AA54" s="23">
        <f t="shared" si="0"/>
        <v>1</v>
      </c>
      <c r="AB54" s="15">
        <v>1</v>
      </c>
      <c r="AC54" s="15">
        <v>1</v>
      </c>
      <c r="AD54" s="15">
        <v>0.66700000000000004</v>
      </c>
      <c r="AE54" s="15">
        <v>0.875</v>
      </c>
      <c r="AF54" s="20">
        <v>21</v>
      </c>
      <c r="AG54" s="20">
        <v>4.67</v>
      </c>
      <c r="AH54" s="24">
        <v>24</v>
      </c>
      <c r="AI54" s="23">
        <f t="shared" si="1"/>
        <v>1</v>
      </c>
      <c r="AJ54" s="15">
        <v>6.75</v>
      </c>
      <c r="AK54" s="15">
        <v>7.75</v>
      </c>
      <c r="AL54" s="25">
        <v>14.5</v>
      </c>
      <c r="AM54" s="23" cm="1">
        <f t="array" ref="AM54">IF(OR(AN54:AZ54=""),"BLANK",IF(AND(AN54:AZ54&lt;9999999),1,IF(AND(AN54:AZ54="NA"),3,2)))</f>
        <v>1</v>
      </c>
      <c r="AN54" s="20">
        <v>8</v>
      </c>
      <c r="AO54" s="20">
        <v>3</v>
      </c>
      <c r="AP54" s="15">
        <v>3</v>
      </c>
      <c r="AQ54" s="15">
        <v>5</v>
      </c>
      <c r="AR54" s="15">
        <v>6.75</v>
      </c>
      <c r="AS54" s="26">
        <v>2760.5</v>
      </c>
      <c r="AT54" s="26">
        <v>5463</v>
      </c>
      <c r="AU54" s="26">
        <v>13353.25</v>
      </c>
      <c r="AV54" s="26">
        <v>37847.75</v>
      </c>
      <c r="AW54" s="26">
        <v>0</v>
      </c>
      <c r="AX54" s="26">
        <v>218.5</v>
      </c>
      <c r="AY54" s="26">
        <v>1048.3696428571</v>
      </c>
      <c r="AZ54" s="26">
        <v>1917.7291666666999</v>
      </c>
      <c r="BA54" s="23">
        <v>3</v>
      </c>
      <c r="BB54" s="24" t="s">
        <v>8</v>
      </c>
    </row>
    <row r="55" spans="1:54" x14ac:dyDescent="0.2">
      <c r="A55" s="21">
        <v>695</v>
      </c>
      <c r="B55" s="20" t="s">
        <v>68</v>
      </c>
      <c r="C55" s="18" t="s">
        <v>54</v>
      </c>
      <c r="D55" s="18">
        <v>5</v>
      </c>
      <c r="E55" s="18">
        <v>0</v>
      </c>
      <c r="F55" s="51" t="s">
        <v>9</v>
      </c>
      <c r="G55" s="18">
        <v>29</v>
      </c>
      <c r="H55" s="22">
        <v>4.0109514031485283</v>
      </c>
      <c r="I55" s="22">
        <v>5.7303216974674882</v>
      </c>
      <c r="J55" s="22">
        <v>9.7412731006160165</v>
      </c>
      <c r="K55" s="22">
        <v>4.0109514031485283</v>
      </c>
      <c r="L55" s="22">
        <v>5.7303216974674882</v>
      </c>
      <c r="M55" s="22">
        <v>9.7412731006160165</v>
      </c>
      <c r="N55" s="22">
        <v>4.0602327173169064</v>
      </c>
      <c r="O55" s="22">
        <v>5.5030800821355239</v>
      </c>
      <c r="P55" s="22">
        <v>9.5633127994524294</v>
      </c>
      <c r="Q55" s="22" t="s">
        <v>8</v>
      </c>
      <c r="R55" s="22" t="s">
        <v>8</v>
      </c>
      <c r="S55" s="22" t="s">
        <v>8</v>
      </c>
      <c r="T55" s="20">
        <v>4</v>
      </c>
      <c r="U55" s="20">
        <v>16</v>
      </c>
      <c r="V55" s="20" t="s">
        <v>1</v>
      </c>
      <c r="W55" s="20">
        <v>5</v>
      </c>
      <c r="X55" s="20">
        <v>3</v>
      </c>
      <c r="Y55" s="5">
        <v>1</v>
      </c>
      <c r="Z55" s="20">
        <v>4</v>
      </c>
      <c r="AA55" s="23">
        <f t="shared" si="0"/>
        <v>1</v>
      </c>
      <c r="AB55" s="15">
        <v>1</v>
      </c>
      <c r="AC55" s="15">
        <v>0.66700000000000004</v>
      </c>
      <c r="AD55" s="15">
        <v>0.83299999999999996</v>
      </c>
      <c r="AE55" s="15">
        <v>0.83299999999999996</v>
      </c>
      <c r="AF55" s="20">
        <v>20</v>
      </c>
      <c r="AG55" s="20">
        <v>7</v>
      </c>
      <c r="AH55" s="24">
        <v>24</v>
      </c>
      <c r="AI55" s="23">
        <f t="shared" si="1"/>
        <v>1</v>
      </c>
      <c r="AJ55" s="15">
        <v>8.25</v>
      </c>
      <c r="AK55" s="15">
        <v>10.25</v>
      </c>
      <c r="AL55" s="25">
        <v>18.5</v>
      </c>
      <c r="AM55" s="23" cm="1">
        <f t="array" ref="AM55">IF(OR(AN55:AZ55=""),"BLANK",IF(AND(AN55:AZ55&lt;9999999),1,IF(AND(AN55:AZ55="NA"),3,2)))</f>
        <v>1</v>
      </c>
      <c r="AN55" s="20">
        <v>6</v>
      </c>
      <c r="AO55" s="20">
        <v>2</v>
      </c>
      <c r="AP55" s="15">
        <v>3</v>
      </c>
      <c r="AQ55" s="15">
        <v>5.75</v>
      </c>
      <c r="AR55" s="15">
        <v>9.75</v>
      </c>
      <c r="AS55" s="26">
        <v>571.5</v>
      </c>
      <c r="AT55" s="26">
        <v>1497</v>
      </c>
      <c r="AU55" s="26">
        <v>2210.25</v>
      </c>
      <c r="AV55" s="26">
        <v>3544.25</v>
      </c>
      <c r="AW55" s="26">
        <v>0</v>
      </c>
      <c r="AX55" s="26">
        <v>0</v>
      </c>
      <c r="AY55" s="26">
        <v>731.77083333329995</v>
      </c>
      <c r="AZ55" s="26">
        <v>2297.7777777778001</v>
      </c>
      <c r="BA55" s="23">
        <v>3</v>
      </c>
      <c r="BB55" s="24" t="s">
        <v>8</v>
      </c>
    </row>
    <row r="56" spans="1:54" x14ac:dyDescent="0.2">
      <c r="A56" s="21">
        <v>719</v>
      </c>
      <c r="B56" s="20" t="s">
        <v>63</v>
      </c>
      <c r="C56" s="18" t="s">
        <v>54</v>
      </c>
      <c r="D56" s="18">
        <v>5</v>
      </c>
      <c r="E56" s="18">
        <v>1</v>
      </c>
      <c r="F56" s="51" t="s">
        <v>9</v>
      </c>
      <c r="G56" s="18">
        <v>30</v>
      </c>
      <c r="H56" s="22">
        <v>4.0328542094455848</v>
      </c>
      <c r="I56" s="22">
        <v>5.5496235455167691</v>
      </c>
      <c r="J56" s="22">
        <v>9.5824777549623548</v>
      </c>
      <c r="K56" s="22">
        <v>4.0657084188911705</v>
      </c>
      <c r="L56" s="22">
        <v>5.5195071868583163</v>
      </c>
      <c r="M56" s="22">
        <v>9.5852156057494859</v>
      </c>
      <c r="N56" s="22">
        <v>3.978097193702943</v>
      </c>
      <c r="O56" s="22">
        <v>5.1745379876796713</v>
      </c>
      <c r="P56" s="22">
        <v>9.1526351813826139</v>
      </c>
      <c r="Q56" s="22">
        <v>3.3730321697467489</v>
      </c>
      <c r="R56" s="22">
        <v>6.1902806297056809</v>
      </c>
      <c r="S56" s="22">
        <v>9.5633127994524294</v>
      </c>
      <c r="T56" s="20">
        <v>6</v>
      </c>
      <c r="U56" s="20">
        <v>18</v>
      </c>
      <c r="V56" s="20" t="s">
        <v>1</v>
      </c>
      <c r="W56" s="20">
        <v>5</v>
      </c>
      <c r="X56" s="20">
        <v>3</v>
      </c>
      <c r="Y56" s="5">
        <v>1</v>
      </c>
      <c r="Z56" s="20">
        <v>4</v>
      </c>
      <c r="AA56" s="23">
        <f t="shared" si="0"/>
        <v>1</v>
      </c>
      <c r="AB56" s="15">
        <v>1</v>
      </c>
      <c r="AC56" s="15">
        <v>0.5</v>
      </c>
      <c r="AD56" s="15">
        <v>0.5</v>
      </c>
      <c r="AE56" s="15">
        <v>0.66700000000000004</v>
      </c>
      <c r="AF56" s="20">
        <v>16</v>
      </c>
      <c r="AG56" s="20">
        <v>5.03</v>
      </c>
      <c r="AH56" s="24">
        <v>24</v>
      </c>
      <c r="AI56" s="23">
        <f t="shared" si="1"/>
        <v>1</v>
      </c>
      <c r="AJ56" s="15">
        <v>6.75</v>
      </c>
      <c r="AK56" s="15">
        <v>8</v>
      </c>
      <c r="AL56" s="25">
        <v>14.75</v>
      </c>
      <c r="AM56" s="23" cm="1">
        <f t="array" ref="AM56">IF(OR(AN56:AZ56=""),"BLANK",IF(AND(AN56:AZ56&lt;9999999),1,IF(AND(AN56:AZ56="NA"),3,2)))</f>
        <v>1</v>
      </c>
      <c r="AN56" s="20">
        <v>7</v>
      </c>
      <c r="AO56" s="20">
        <v>2</v>
      </c>
      <c r="AP56" s="15">
        <v>3</v>
      </c>
      <c r="AQ56" s="15">
        <v>5.5</v>
      </c>
      <c r="AR56" s="15">
        <v>8</v>
      </c>
      <c r="AS56" s="26">
        <v>3933.5</v>
      </c>
      <c r="AT56" s="26">
        <v>8919.5</v>
      </c>
      <c r="AU56" s="26">
        <v>27498</v>
      </c>
      <c r="AV56" s="26">
        <v>24207</v>
      </c>
      <c r="AW56" s="26">
        <v>473.25</v>
      </c>
      <c r="AX56" s="26">
        <v>2275.1666666667002</v>
      </c>
      <c r="AY56" s="26">
        <v>2556.5500000000002</v>
      </c>
      <c r="AZ56" s="26">
        <v>2874.6569444443999</v>
      </c>
      <c r="BA56" s="23">
        <v>3</v>
      </c>
      <c r="BB56" s="24" t="s">
        <v>8</v>
      </c>
    </row>
    <row r="57" spans="1:54" x14ac:dyDescent="0.2">
      <c r="A57" s="21">
        <v>741</v>
      </c>
      <c r="B57" s="20" t="s">
        <v>73</v>
      </c>
      <c r="C57" s="18" t="s">
        <v>54</v>
      </c>
      <c r="D57" s="18">
        <v>2</v>
      </c>
      <c r="E57" s="18">
        <v>0</v>
      </c>
      <c r="F57" s="51" t="s">
        <v>9</v>
      </c>
      <c r="G57" s="18">
        <v>29</v>
      </c>
      <c r="H57" s="22">
        <v>4.0383299110198498</v>
      </c>
      <c r="I57" s="22">
        <v>5.4236824093086931</v>
      </c>
      <c r="J57" s="22">
        <v>9.462012320328542</v>
      </c>
      <c r="K57" s="22">
        <v>4.0383299110198498</v>
      </c>
      <c r="L57" s="22">
        <v>5.4757015742642023</v>
      </c>
      <c r="M57" s="22">
        <v>9.5140314852840522</v>
      </c>
      <c r="N57" s="22">
        <v>4.0191649555099245</v>
      </c>
      <c r="O57" s="22">
        <v>5.1553730321697468</v>
      </c>
      <c r="P57" s="22">
        <v>9.1745379876796722</v>
      </c>
      <c r="Q57" s="22" t="s">
        <v>8</v>
      </c>
      <c r="R57" s="22" t="s">
        <v>8</v>
      </c>
      <c r="S57" s="22" t="s">
        <v>8</v>
      </c>
      <c r="T57" s="20">
        <v>6</v>
      </c>
      <c r="U57" s="20">
        <v>18</v>
      </c>
      <c r="V57" s="20" t="s">
        <v>1</v>
      </c>
      <c r="W57" s="20">
        <v>5</v>
      </c>
      <c r="X57" s="20">
        <v>3</v>
      </c>
      <c r="Y57" s="5">
        <v>1</v>
      </c>
      <c r="Z57" s="20">
        <v>4</v>
      </c>
      <c r="AA57" s="23">
        <f t="shared" si="0"/>
        <v>1</v>
      </c>
      <c r="AB57" s="15">
        <v>1</v>
      </c>
      <c r="AC57" s="15">
        <v>0.83299999999999996</v>
      </c>
      <c r="AD57" s="15">
        <v>0.83299999999999996</v>
      </c>
      <c r="AE57" s="15">
        <v>0.875</v>
      </c>
      <c r="AF57" s="20">
        <v>21</v>
      </c>
      <c r="AG57" s="20">
        <v>9.43</v>
      </c>
      <c r="AH57" s="24">
        <v>24</v>
      </c>
      <c r="AI57" s="23">
        <f t="shared" si="1"/>
        <v>1</v>
      </c>
      <c r="AJ57" s="15">
        <v>15</v>
      </c>
      <c r="AK57" s="15">
        <v>10.75</v>
      </c>
      <c r="AL57" s="25">
        <v>25.75</v>
      </c>
      <c r="AM57" s="23" cm="1">
        <f t="array" ref="AM57">IF(OR(AN57:AZ57=""),"BLANK",IF(AND(AN57:AZ57&lt;9999999),1,IF(AND(AN57:AZ57="NA"),3,2)))</f>
        <v>1</v>
      </c>
      <c r="AN57" s="20">
        <v>11</v>
      </c>
      <c r="AO57" s="20">
        <v>2</v>
      </c>
      <c r="AP57" s="15">
        <v>3</v>
      </c>
      <c r="AQ57" s="15">
        <v>5.25</v>
      </c>
      <c r="AR57" s="15">
        <v>5</v>
      </c>
      <c r="AS57" s="26">
        <v>3312.5</v>
      </c>
      <c r="AT57" s="26">
        <v>5133.5</v>
      </c>
      <c r="AU57" s="26">
        <v>12814.5</v>
      </c>
      <c r="AV57" s="26">
        <v>22782.25</v>
      </c>
      <c r="AW57" s="26">
        <v>0</v>
      </c>
      <c r="AX57" s="26">
        <v>0</v>
      </c>
      <c r="AY57" s="26">
        <v>0</v>
      </c>
      <c r="AZ57" s="26">
        <v>0</v>
      </c>
      <c r="BA57" s="23">
        <v>3</v>
      </c>
      <c r="BB57" s="24" t="s">
        <v>8</v>
      </c>
    </row>
    <row r="58" spans="1:54" x14ac:dyDescent="0.2">
      <c r="A58" s="21">
        <v>746</v>
      </c>
      <c r="B58" s="20" t="s">
        <v>66</v>
      </c>
      <c r="C58" s="18" t="s">
        <v>54</v>
      </c>
      <c r="D58" s="18">
        <v>5</v>
      </c>
      <c r="E58" s="18">
        <v>0</v>
      </c>
      <c r="F58" s="51" t="s">
        <v>9</v>
      </c>
      <c r="G58" s="18">
        <v>29</v>
      </c>
      <c r="H58" s="22" t="s">
        <v>8</v>
      </c>
      <c r="I58" s="22" t="s">
        <v>8</v>
      </c>
      <c r="J58" s="22">
        <v>9.7056810403832987</v>
      </c>
      <c r="K58" s="22" t="s">
        <v>8</v>
      </c>
      <c r="L58" s="22" t="s">
        <v>8</v>
      </c>
      <c r="M58" s="22">
        <v>9.7056810403832987</v>
      </c>
      <c r="N58" s="22" t="s">
        <v>8</v>
      </c>
      <c r="O58" s="22" t="s">
        <v>8</v>
      </c>
      <c r="P58" s="22">
        <v>9.4401095140314855</v>
      </c>
      <c r="Q58" s="22" t="s">
        <v>8</v>
      </c>
      <c r="R58" s="22" t="s">
        <v>8</v>
      </c>
      <c r="S58" s="22" t="s">
        <v>8</v>
      </c>
      <c r="T58" s="20" t="s">
        <v>8</v>
      </c>
      <c r="U58" s="20" t="s">
        <v>8</v>
      </c>
      <c r="V58" s="20" t="s">
        <v>1</v>
      </c>
      <c r="W58" s="20">
        <v>5</v>
      </c>
      <c r="X58" s="20">
        <v>3</v>
      </c>
      <c r="Y58" s="5">
        <v>1</v>
      </c>
      <c r="Z58" s="20">
        <v>4</v>
      </c>
      <c r="AA58" s="23">
        <f t="shared" si="0"/>
        <v>1</v>
      </c>
      <c r="AB58" s="15">
        <v>0.83299999999999996</v>
      </c>
      <c r="AC58" s="15">
        <v>0.83299999999999996</v>
      </c>
      <c r="AD58" s="15">
        <v>0.5</v>
      </c>
      <c r="AE58" s="15">
        <v>0.70799999999999996</v>
      </c>
      <c r="AF58" s="20">
        <v>17</v>
      </c>
      <c r="AG58" s="20">
        <v>9.2799999999999994</v>
      </c>
      <c r="AH58" s="24">
        <v>24</v>
      </c>
      <c r="AI58" s="23">
        <f t="shared" si="1"/>
        <v>1</v>
      </c>
      <c r="AJ58" s="15">
        <v>6.25</v>
      </c>
      <c r="AK58" s="15">
        <v>6.5</v>
      </c>
      <c r="AL58" s="25">
        <v>12.75</v>
      </c>
      <c r="AM58" s="23" cm="1">
        <f t="array" ref="AM58">IF(OR(AN58:AZ58=""),"BLANK",IF(AND(AN58:AZ58&lt;9999999),1,IF(AND(AN58:AZ58="NA"),3,2)))</f>
        <v>1</v>
      </c>
      <c r="AN58" s="20">
        <v>4</v>
      </c>
      <c r="AO58" s="20">
        <v>2</v>
      </c>
      <c r="AP58" s="15">
        <v>5.5</v>
      </c>
      <c r="AQ58" s="15">
        <v>5.5</v>
      </c>
      <c r="AR58" s="15">
        <v>10.5</v>
      </c>
      <c r="AS58" s="26">
        <v>0</v>
      </c>
      <c r="AT58" s="26">
        <v>2588</v>
      </c>
      <c r="AU58" s="26">
        <v>2475.25</v>
      </c>
      <c r="AV58" s="26">
        <v>1725.25</v>
      </c>
      <c r="AW58" s="26">
        <v>0</v>
      </c>
      <c r="AX58" s="26">
        <v>4525.7321428571004</v>
      </c>
      <c r="AY58" s="26">
        <v>2429.8111111111002</v>
      </c>
      <c r="AZ58" s="26">
        <v>6062.1458333333003</v>
      </c>
      <c r="BA58" s="23">
        <v>3</v>
      </c>
      <c r="BB58" s="24" t="s">
        <v>8</v>
      </c>
    </row>
    <row r="59" spans="1:54" x14ac:dyDescent="0.2">
      <c r="A59" s="21">
        <v>772</v>
      </c>
      <c r="B59" s="20" t="s">
        <v>81</v>
      </c>
      <c r="C59" s="18" t="s">
        <v>55</v>
      </c>
      <c r="D59" s="18">
        <v>5</v>
      </c>
      <c r="E59" s="18">
        <v>0</v>
      </c>
      <c r="F59" s="51" t="s">
        <v>9</v>
      </c>
      <c r="G59" s="18">
        <v>29</v>
      </c>
      <c r="H59" s="22">
        <v>4.0273785078713207</v>
      </c>
      <c r="I59" s="22">
        <v>5.7303216974674882</v>
      </c>
      <c r="J59" s="22">
        <v>9.7577002053388089</v>
      </c>
      <c r="K59" s="22">
        <v>4.0246406570841886</v>
      </c>
      <c r="L59" s="22">
        <v>5.7275838466803561</v>
      </c>
      <c r="M59" s="22">
        <v>9.7522245037645447</v>
      </c>
      <c r="N59" s="22">
        <v>4.0766598220396988</v>
      </c>
      <c r="O59" s="22">
        <v>5.5222450376454484</v>
      </c>
      <c r="P59" s="22">
        <v>9.5989048596851472</v>
      </c>
      <c r="Q59" s="22">
        <v>3.7399041752224504</v>
      </c>
      <c r="R59" s="22">
        <v>6.0260095824777551</v>
      </c>
      <c r="S59" s="22">
        <v>9.765913757700206</v>
      </c>
      <c r="T59" s="20">
        <v>5</v>
      </c>
      <c r="U59" s="20">
        <v>17</v>
      </c>
      <c r="V59" s="20" t="s">
        <v>1</v>
      </c>
      <c r="W59" s="20">
        <v>5</v>
      </c>
      <c r="X59" s="20">
        <v>3</v>
      </c>
      <c r="Y59" s="5">
        <v>1</v>
      </c>
      <c r="Z59" s="20">
        <v>4</v>
      </c>
      <c r="AA59" s="23">
        <f t="shared" si="0"/>
        <v>1</v>
      </c>
      <c r="AB59" s="15">
        <v>1</v>
      </c>
      <c r="AC59" s="15">
        <v>1</v>
      </c>
      <c r="AD59" s="15">
        <v>0.5</v>
      </c>
      <c r="AE59" s="15">
        <v>0.83299999999999996</v>
      </c>
      <c r="AF59" s="20">
        <v>20</v>
      </c>
      <c r="AG59" s="20">
        <v>3.43</v>
      </c>
      <c r="AH59" s="24">
        <v>24</v>
      </c>
      <c r="AI59" s="23">
        <f t="shared" si="1"/>
        <v>1</v>
      </c>
      <c r="AJ59" s="15">
        <v>9</v>
      </c>
      <c r="AK59" s="15">
        <v>9.75</v>
      </c>
      <c r="AL59" s="25">
        <v>18.75</v>
      </c>
      <c r="AM59" s="23" cm="1">
        <f t="array" ref="AM59">IF(OR(AN59:AZ59=""),"BLANK",IF(AND(AN59:AZ59&lt;9999999),1,IF(AND(AN59:AZ59="NA"),3,2)))</f>
        <v>1</v>
      </c>
      <c r="AN59" s="20">
        <v>7</v>
      </c>
      <c r="AO59" s="20">
        <v>2</v>
      </c>
      <c r="AP59" s="15">
        <v>3.5</v>
      </c>
      <c r="AQ59" s="15">
        <v>6.5</v>
      </c>
      <c r="AR59" s="15">
        <v>7</v>
      </c>
      <c r="AS59" s="26">
        <v>1141</v>
      </c>
      <c r="AT59" s="26">
        <v>4840</v>
      </c>
      <c r="AU59" s="26">
        <v>7808.75</v>
      </c>
      <c r="AV59" s="26">
        <v>5170</v>
      </c>
      <c r="AW59" s="26">
        <v>0</v>
      </c>
      <c r="AX59" s="26">
        <v>0</v>
      </c>
      <c r="AY59" s="26">
        <v>1866.2083333333001</v>
      </c>
      <c r="AZ59" s="26">
        <v>560.96666666670001</v>
      </c>
      <c r="BA59" s="23">
        <v>3</v>
      </c>
      <c r="BB59" s="24" t="s">
        <v>8</v>
      </c>
    </row>
    <row r="60" spans="1:54" x14ac:dyDescent="0.2">
      <c r="A60" s="21">
        <v>779</v>
      </c>
      <c r="B60" s="20" t="s">
        <v>78</v>
      </c>
      <c r="C60" s="18" t="s">
        <v>54</v>
      </c>
      <c r="D60" s="18">
        <v>5</v>
      </c>
      <c r="E60" s="18">
        <v>0</v>
      </c>
      <c r="F60" s="51" t="s">
        <v>9</v>
      </c>
      <c r="G60" s="18">
        <v>30</v>
      </c>
      <c r="H60" s="22">
        <v>4.1149897330595486</v>
      </c>
      <c r="I60" s="22">
        <v>5.5770020533880906</v>
      </c>
      <c r="J60" s="22">
        <v>9.6919917864476393</v>
      </c>
      <c r="K60" s="22">
        <v>4.1149897330595486</v>
      </c>
      <c r="L60" s="22">
        <v>5.7878165639972625</v>
      </c>
      <c r="M60" s="22">
        <v>9.9028062970568111</v>
      </c>
      <c r="N60" s="22">
        <v>4.0766598220396988</v>
      </c>
      <c r="O60" s="22">
        <v>5.1909650924024637</v>
      </c>
      <c r="P60" s="22">
        <v>9.2676249144421625</v>
      </c>
      <c r="Q60" s="22">
        <v>3.2114989733059547</v>
      </c>
      <c r="R60" s="22">
        <v>6.1574264202600961</v>
      </c>
      <c r="S60" s="22">
        <v>9.3689253935660499</v>
      </c>
      <c r="T60" s="20" t="s">
        <v>8</v>
      </c>
      <c r="U60" s="20" t="s">
        <v>8</v>
      </c>
      <c r="V60" s="20" t="s">
        <v>1</v>
      </c>
      <c r="W60" s="20">
        <v>5</v>
      </c>
      <c r="X60" s="20">
        <v>3</v>
      </c>
      <c r="Y60" s="5">
        <v>1</v>
      </c>
      <c r="Z60" s="20">
        <v>4</v>
      </c>
      <c r="AA60" s="23">
        <f t="shared" si="0"/>
        <v>1</v>
      </c>
      <c r="AB60" s="15">
        <v>1</v>
      </c>
      <c r="AC60" s="15">
        <v>1</v>
      </c>
      <c r="AD60" s="15">
        <v>0.83299999999999996</v>
      </c>
      <c r="AE60" s="15">
        <v>0.91700000000000004</v>
      </c>
      <c r="AF60" s="20">
        <v>22</v>
      </c>
      <c r="AG60" s="20">
        <v>1.33</v>
      </c>
      <c r="AH60" s="24">
        <v>24</v>
      </c>
      <c r="AI60" s="23">
        <f t="shared" si="1"/>
        <v>1</v>
      </c>
      <c r="AJ60" s="15">
        <v>9</v>
      </c>
      <c r="AK60" s="15">
        <v>8.75</v>
      </c>
      <c r="AL60" s="25">
        <v>17.75</v>
      </c>
      <c r="AM60" s="23" cm="1">
        <f t="array" ref="AM60">IF(OR(AN60:AZ60=""),"BLANK",IF(AND(AN60:AZ60&lt;9999999),1,IF(AND(AN60:AZ60="NA"),3,2)))</f>
        <v>1</v>
      </c>
      <c r="AN60" s="20">
        <v>9</v>
      </c>
      <c r="AO60" s="20">
        <v>2</v>
      </c>
      <c r="AP60" s="15">
        <v>3.5</v>
      </c>
      <c r="AQ60" s="15">
        <v>6.5</v>
      </c>
      <c r="AR60" s="15">
        <v>5</v>
      </c>
      <c r="AS60" s="26">
        <v>2337</v>
      </c>
      <c r="AT60" s="26">
        <v>4506.5</v>
      </c>
      <c r="AU60" s="26">
        <v>8270.25</v>
      </c>
      <c r="AV60" s="26">
        <v>24559.5</v>
      </c>
      <c r="AW60" s="26">
        <v>0</v>
      </c>
      <c r="AX60" s="26">
        <v>1885</v>
      </c>
      <c r="AY60" s="26">
        <v>1397.2013890000001</v>
      </c>
      <c r="AZ60" s="26">
        <v>0</v>
      </c>
      <c r="BA60" s="23">
        <v>3</v>
      </c>
      <c r="BB60" s="24" t="s">
        <v>8</v>
      </c>
    </row>
    <row r="61" spans="1:54" x14ac:dyDescent="0.2">
      <c r="A61" s="21">
        <v>784</v>
      </c>
      <c r="B61" s="20" t="s">
        <v>70</v>
      </c>
      <c r="C61" s="18" t="s">
        <v>54</v>
      </c>
      <c r="D61" s="18">
        <v>5</v>
      </c>
      <c r="E61" s="18">
        <v>0</v>
      </c>
      <c r="F61" s="51" t="s">
        <v>9</v>
      </c>
      <c r="G61" s="18">
        <v>30</v>
      </c>
      <c r="H61" s="22">
        <v>4.0383299110198498</v>
      </c>
      <c r="I61" s="22">
        <v>5.4428473648186175</v>
      </c>
      <c r="J61" s="22">
        <v>9.4811772758384674</v>
      </c>
      <c r="K61" s="22">
        <v>4.0383299110198498</v>
      </c>
      <c r="L61" s="22">
        <v>5.4483230663928817</v>
      </c>
      <c r="M61" s="22">
        <v>9.4866529774127315</v>
      </c>
      <c r="N61" s="22">
        <v>4.043805612594114</v>
      </c>
      <c r="O61" s="22">
        <v>5.0349075975359341</v>
      </c>
      <c r="P61" s="22">
        <v>9.0787132101300472</v>
      </c>
      <c r="Q61" s="22">
        <v>3.2032854209445585</v>
      </c>
      <c r="R61" s="22" t="s">
        <v>8</v>
      </c>
      <c r="S61" s="22" t="s">
        <v>8</v>
      </c>
      <c r="T61" s="20">
        <v>4</v>
      </c>
      <c r="U61" s="20">
        <v>16</v>
      </c>
      <c r="V61" s="20" t="s">
        <v>1</v>
      </c>
      <c r="W61" s="20">
        <v>5</v>
      </c>
      <c r="X61" s="20">
        <v>3</v>
      </c>
      <c r="Y61" s="5">
        <v>1</v>
      </c>
      <c r="Z61" s="20">
        <v>4</v>
      </c>
      <c r="AA61" s="23">
        <f t="shared" si="0"/>
        <v>1</v>
      </c>
      <c r="AB61" s="15">
        <v>1</v>
      </c>
      <c r="AC61" s="15">
        <v>1</v>
      </c>
      <c r="AD61" s="15">
        <v>1</v>
      </c>
      <c r="AE61" s="15">
        <v>0.95799999999999996</v>
      </c>
      <c r="AF61" s="20">
        <v>23</v>
      </c>
      <c r="AG61" s="20">
        <v>10.33</v>
      </c>
      <c r="AH61" s="24">
        <v>24</v>
      </c>
      <c r="AI61" s="23">
        <f t="shared" si="1"/>
        <v>1</v>
      </c>
      <c r="AJ61" s="15">
        <v>12</v>
      </c>
      <c r="AK61" s="15">
        <v>12</v>
      </c>
      <c r="AL61" s="25">
        <v>24</v>
      </c>
      <c r="AM61" s="23" cm="1">
        <f t="array" ref="AM61">IF(OR(AN61:AZ61=""),"BLANK",IF(AND(AN61:AZ61&lt;9999999),1,IF(AND(AN61:AZ61="NA"),3,2)))</f>
        <v>1</v>
      </c>
      <c r="AN61" s="20">
        <v>10</v>
      </c>
      <c r="AO61" s="20">
        <v>2</v>
      </c>
      <c r="AP61" s="15">
        <v>3</v>
      </c>
      <c r="AQ61" s="15">
        <v>4</v>
      </c>
      <c r="AR61" s="15">
        <v>5.75</v>
      </c>
      <c r="AS61" s="26">
        <v>1512.5</v>
      </c>
      <c r="AT61" s="26">
        <v>3194.5</v>
      </c>
      <c r="AU61" s="26">
        <v>3511.5</v>
      </c>
      <c r="AV61" s="26">
        <v>11517.75</v>
      </c>
      <c r="AW61" s="26">
        <v>0</v>
      </c>
      <c r="AX61" s="26">
        <v>0</v>
      </c>
      <c r="AY61" s="26">
        <v>0</v>
      </c>
      <c r="AZ61" s="26">
        <v>0</v>
      </c>
      <c r="BA61" s="23">
        <v>3</v>
      </c>
      <c r="BB61" s="24" t="s">
        <v>8</v>
      </c>
    </row>
    <row r="62" spans="1:54" x14ac:dyDescent="0.2">
      <c r="A62" s="21">
        <v>799</v>
      </c>
      <c r="B62" s="20" t="s">
        <v>63</v>
      </c>
      <c r="C62" s="18" t="s">
        <v>54</v>
      </c>
      <c r="D62" s="18">
        <v>5</v>
      </c>
      <c r="E62" s="18">
        <v>0</v>
      </c>
      <c r="F62" s="51" t="s">
        <v>9</v>
      </c>
      <c r="G62" s="18">
        <v>30</v>
      </c>
      <c r="H62" s="22">
        <v>4.0930869267624912</v>
      </c>
      <c r="I62" s="22">
        <v>5.6016427104722792</v>
      </c>
      <c r="J62" s="22">
        <v>9.6947296372347704</v>
      </c>
      <c r="K62" s="22">
        <v>4.0930869267624912</v>
      </c>
      <c r="L62" s="22">
        <v>5.6016427104722792</v>
      </c>
      <c r="M62" s="22">
        <v>9.6947296372347704</v>
      </c>
      <c r="N62" s="22">
        <v>4.0574948665297743</v>
      </c>
      <c r="O62" s="22">
        <v>5.4428473648186175</v>
      </c>
      <c r="P62" s="22">
        <v>9.500342231348391</v>
      </c>
      <c r="Q62" s="22" t="s">
        <v>8</v>
      </c>
      <c r="R62" s="22" t="s">
        <v>8</v>
      </c>
      <c r="S62" s="22" t="s">
        <v>8</v>
      </c>
      <c r="T62" s="20">
        <v>6</v>
      </c>
      <c r="U62" s="20">
        <v>18</v>
      </c>
      <c r="V62" s="20" t="s">
        <v>1</v>
      </c>
      <c r="W62" s="20">
        <v>5</v>
      </c>
      <c r="X62" s="20">
        <v>3</v>
      </c>
      <c r="Y62" s="5">
        <v>1</v>
      </c>
      <c r="Z62" s="20">
        <v>4</v>
      </c>
      <c r="AA62" s="23">
        <f t="shared" si="0"/>
        <v>1</v>
      </c>
      <c r="AB62" s="15">
        <v>1</v>
      </c>
      <c r="AC62" s="15">
        <v>1</v>
      </c>
      <c r="AD62" s="15">
        <v>0.83299999999999996</v>
      </c>
      <c r="AE62" s="15">
        <v>0.91700000000000004</v>
      </c>
      <c r="AF62" s="20">
        <v>22</v>
      </c>
      <c r="AG62" s="20">
        <v>6.42</v>
      </c>
      <c r="AH62" s="24">
        <v>24</v>
      </c>
      <c r="AI62" s="23">
        <f t="shared" si="1"/>
        <v>1</v>
      </c>
      <c r="AJ62" s="15">
        <v>9</v>
      </c>
      <c r="AK62" s="15">
        <v>11</v>
      </c>
      <c r="AL62" s="25">
        <v>20</v>
      </c>
      <c r="AM62" s="23" cm="1">
        <f t="array" ref="AM62">IF(OR(AN62:AZ62=""),"BLANK",IF(AND(AN62:AZ62&lt;9999999),1,IF(AND(AN62:AZ62="NA"),3,2)))</f>
        <v>1</v>
      </c>
      <c r="AN62" s="20">
        <v>10</v>
      </c>
      <c r="AO62" s="20">
        <v>2</v>
      </c>
      <c r="AP62" s="15">
        <v>3</v>
      </c>
      <c r="AQ62" s="15">
        <v>4</v>
      </c>
      <c r="AR62" s="15">
        <v>8.5</v>
      </c>
      <c r="AS62" s="26">
        <v>1396.5</v>
      </c>
      <c r="AT62" s="26">
        <v>3450.5</v>
      </c>
      <c r="AU62" s="26">
        <v>5351</v>
      </c>
      <c r="AV62" s="26">
        <v>7366.75</v>
      </c>
      <c r="AW62" s="26">
        <v>0</v>
      </c>
      <c r="AX62" s="26">
        <v>0</v>
      </c>
      <c r="AY62" s="26">
        <v>0</v>
      </c>
      <c r="AZ62" s="26">
        <v>406.51249999999999</v>
      </c>
      <c r="BA62" s="23">
        <v>3</v>
      </c>
      <c r="BB62" s="24" t="s">
        <v>8</v>
      </c>
    </row>
    <row r="63" spans="1:54" x14ac:dyDescent="0.2">
      <c r="A63" s="21">
        <v>812</v>
      </c>
      <c r="B63" s="20" t="s">
        <v>74</v>
      </c>
      <c r="C63" s="18" t="s">
        <v>54</v>
      </c>
      <c r="D63" s="18">
        <v>5</v>
      </c>
      <c r="E63" s="18">
        <v>0</v>
      </c>
      <c r="F63" s="51" t="s">
        <v>9</v>
      </c>
      <c r="G63" s="18">
        <v>29</v>
      </c>
      <c r="H63" s="22">
        <v>4.0054757015742641</v>
      </c>
      <c r="I63" s="22">
        <v>5.4784394250513344</v>
      </c>
      <c r="J63" s="22">
        <v>9.4839151266255985</v>
      </c>
      <c r="K63" s="22">
        <v>4.0027378507871321</v>
      </c>
      <c r="L63" s="22">
        <v>5.4784394250513344</v>
      </c>
      <c r="M63" s="22">
        <v>9.4811772758384674</v>
      </c>
      <c r="N63" s="22">
        <v>4.0246406570841886</v>
      </c>
      <c r="O63" s="22">
        <v>5.0595482546201236</v>
      </c>
      <c r="P63" s="22">
        <v>9.0841889117043113</v>
      </c>
      <c r="Q63" s="22">
        <v>3.2251882272416155</v>
      </c>
      <c r="R63" s="22">
        <v>6.1601642710472282</v>
      </c>
      <c r="S63" s="22">
        <v>9.3853524982888441</v>
      </c>
      <c r="T63" s="20">
        <v>4</v>
      </c>
      <c r="U63" s="20">
        <v>16</v>
      </c>
      <c r="V63" s="20" t="s">
        <v>1</v>
      </c>
      <c r="W63" s="20">
        <v>5</v>
      </c>
      <c r="X63" s="20">
        <v>3</v>
      </c>
      <c r="Y63" s="5">
        <v>1</v>
      </c>
      <c r="Z63" s="20">
        <v>4</v>
      </c>
      <c r="AA63" s="23">
        <f t="shared" si="0"/>
        <v>1</v>
      </c>
      <c r="AB63" s="15">
        <v>1</v>
      </c>
      <c r="AC63" s="15">
        <v>0.83299999999999996</v>
      </c>
      <c r="AD63" s="15">
        <v>0.66700000000000004</v>
      </c>
      <c r="AE63" s="15">
        <v>0.83299999999999996</v>
      </c>
      <c r="AF63" s="20">
        <v>20</v>
      </c>
      <c r="AG63" s="20">
        <v>4.97</v>
      </c>
      <c r="AH63" s="24">
        <v>24</v>
      </c>
      <c r="AI63" s="23">
        <f t="shared" si="1"/>
        <v>1</v>
      </c>
      <c r="AJ63" s="15">
        <v>7.75</v>
      </c>
      <c r="AK63" s="15">
        <v>8</v>
      </c>
      <c r="AL63" s="25">
        <v>15.75</v>
      </c>
      <c r="AM63" s="23" cm="1">
        <f t="array" ref="AM63">IF(OR(AN63:AZ63=""),"BLANK",IF(AND(AN63:AZ63&lt;9999999),1,IF(AND(AN63:AZ63="NA"),3,2)))</f>
        <v>1</v>
      </c>
      <c r="AN63" s="20">
        <v>8</v>
      </c>
      <c r="AO63" s="20">
        <v>2</v>
      </c>
      <c r="AP63" s="15">
        <v>3</v>
      </c>
      <c r="AQ63" s="15">
        <v>5.25</v>
      </c>
      <c r="AR63" s="15">
        <v>8</v>
      </c>
      <c r="AS63" s="26">
        <v>1826.5</v>
      </c>
      <c r="AT63" s="26">
        <v>877</v>
      </c>
      <c r="AU63" s="26">
        <v>2746.75</v>
      </c>
      <c r="AV63" s="26">
        <v>1681.75</v>
      </c>
      <c r="AW63" s="26">
        <v>0</v>
      </c>
      <c r="AX63" s="26">
        <v>0</v>
      </c>
      <c r="AY63" s="26">
        <v>162.49305555559999</v>
      </c>
      <c r="AZ63" s="26">
        <v>1268.4444444444</v>
      </c>
      <c r="BA63" s="23">
        <v>3</v>
      </c>
      <c r="BB63" s="24" t="s">
        <v>8</v>
      </c>
    </row>
    <row r="64" spans="1:54" x14ac:dyDescent="0.2">
      <c r="A64" s="21">
        <v>815</v>
      </c>
      <c r="B64" s="20" t="s">
        <v>77</v>
      </c>
      <c r="C64" s="18" t="s">
        <v>54</v>
      </c>
      <c r="D64" s="18">
        <v>5</v>
      </c>
      <c r="E64" s="18">
        <v>0</v>
      </c>
      <c r="F64" s="51" t="s">
        <v>9</v>
      </c>
      <c r="G64" s="18">
        <v>30</v>
      </c>
      <c r="H64" s="22">
        <v>4.3997262149212863</v>
      </c>
      <c r="I64" s="22">
        <v>4.9883641341546889</v>
      </c>
      <c r="J64" s="22">
        <v>9.3880903490759753</v>
      </c>
      <c r="K64" s="22">
        <v>4.4654346338124569</v>
      </c>
      <c r="L64" s="22">
        <v>5.1471594798083506</v>
      </c>
      <c r="M64" s="22">
        <v>9.6125941136208084</v>
      </c>
      <c r="N64" s="22">
        <v>4.4517453798767965</v>
      </c>
      <c r="O64" s="22">
        <v>4.5749486652977414</v>
      </c>
      <c r="P64" s="22">
        <v>9.0266940451745388</v>
      </c>
      <c r="Q64" s="22">
        <v>3.6413415468856947</v>
      </c>
      <c r="R64" s="22" t="s">
        <v>8</v>
      </c>
      <c r="S64" s="22" t="s">
        <v>8</v>
      </c>
      <c r="T64" s="20">
        <v>4</v>
      </c>
      <c r="U64" s="20">
        <v>16</v>
      </c>
      <c r="V64" s="20" t="s">
        <v>1</v>
      </c>
      <c r="W64" s="20">
        <v>5</v>
      </c>
      <c r="X64" s="20">
        <v>3</v>
      </c>
      <c r="Y64" s="5">
        <v>1</v>
      </c>
      <c r="Z64" s="20">
        <v>4</v>
      </c>
      <c r="AA64" s="23">
        <f t="shared" si="0"/>
        <v>1</v>
      </c>
      <c r="AB64" s="15">
        <v>1</v>
      </c>
      <c r="AC64" s="15">
        <v>1</v>
      </c>
      <c r="AD64" s="15">
        <v>1</v>
      </c>
      <c r="AE64" s="15">
        <v>1</v>
      </c>
      <c r="AF64" s="20">
        <v>24</v>
      </c>
      <c r="AG64" s="20">
        <v>12.25</v>
      </c>
      <c r="AH64" s="24">
        <v>24</v>
      </c>
      <c r="AI64" s="23">
        <f t="shared" si="1"/>
        <v>1</v>
      </c>
      <c r="AJ64" s="15">
        <v>14</v>
      </c>
      <c r="AK64" s="15">
        <v>13</v>
      </c>
      <c r="AL64" s="25">
        <v>27</v>
      </c>
      <c r="AM64" s="23" cm="1">
        <f t="array" ref="AM64">IF(OR(AN64:AZ64=""),"BLANK",IF(AND(AN64:AZ64&lt;9999999),1,IF(AND(AN64:AZ64="NA"),3,2)))</f>
        <v>1</v>
      </c>
      <c r="AN64" s="20">
        <v>10</v>
      </c>
      <c r="AO64" s="20">
        <v>2</v>
      </c>
      <c r="AP64" s="15">
        <v>3</v>
      </c>
      <c r="AQ64" s="15">
        <v>6.25</v>
      </c>
      <c r="AR64" s="15">
        <v>5</v>
      </c>
      <c r="AS64" s="26">
        <v>878</v>
      </c>
      <c r="AT64" s="26">
        <v>1362.5</v>
      </c>
      <c r="AU64" s="26">
        <v>3604.75</v>
      </c>
      <c r="AV64" s="26">
        <v>4283.25</v>
      </c>
      <c r="AW64" s="26">
        <v>0</v>
      </c>
      <c r="AX64" s="26">
        <v>0</v>
      </c>
      <c r="AY64" s="26">
        <v>0</v>
      </c>
      <c r="AZ64" s="26">
        <v>0</v>
      </c>
      <c r="BA64" s="23">
        <v>3</v>
      </c>
      <c r="BB64" s="24" t="s">
        <v>8</v>
      </c>
    </row>
    <row r="65" spans="1:54" x14ac:dyDescent="0.2">
      <c r="A65" s="21">
        <v>817</v>
      </c>
      <c r="B65" s="20" t="s">
        <v>62</v>
      </c>
      <c r="C65" s="18" t="s">
        <v>54</v>
      </c>
      <c r="D65" s="18">
        <v>4</v>
      </c>
      <c r="E65" s="18">
        <v>0</v>
      </c>
      <c r="F65" s="51" t="s">
        <v>9</v>
      </c>
      <c r="G65" s="18">
        <v>30</v>
      </c>
      <c r="H65" s="22">
        <v>4.4407939767282683</v>
      </c>
      <c r="I65" s="22">
        <v>5.5715263518138265</v>
      </c>
      <c r="J65" s="22">
        <v>10.012320328542094</v>
      </c>
      <c r="K65" s="22">
        <v>4.4407939767282683</v>
      </c>
      <c r="L65" s="22">
        <v>5.5715263518138265</v>
      </c>
      <c r="M65" s="22">
        <v>10.012320328542094</v>
      </c>
      <c r="N65" s="22">
        <v>4.3997262149212863</v>
      </c>
      <c r="O65" s="22">
        <v>5.5715263518138265</v>
      </c>
      <c r="P65" s="22">
        <v>9.9712525667351137</v>
      </c>
      <c r="Q65" s="22" t="s">
        <v>8</v>
      </c>
      <c r="R65" s="22" t="s">
        <v>8</v>
      </c>
      <c r="S65" s="22" t="s">
        <v>8</v>
      </c>
      <c r="T65" s="20" t="s">
        <v>8</v>
      </c>
      <c r="U65" s="20" t="s">
        <v>8</v>
      </c>
      <c r="V65" s="20" t="s">
        <v>1</v>
      </c>
      <c r="W65" s="20">
        <v>5</v>
      </c>
      <c r="X65" s="20">
        <v>3</v>
      </c>
      <c r="Y65" s="5">
        <v>1</v>
      </c>
      <c r="Z65" s="20">
        <v>4</v>
      </c>
      <c r="AA65" s="23">
        <f t="shared" si="0"/>
        <v>1</v>
      </c>
      <c r="AB65" s="15">
        <v>1</v>
      </c>
      <c r="AC65" s="15">
        <v>0.83299999999999996</v>
      </c>
      <c r="AD65" s="15">
        <v>0.5</v>
      </c>
      <c r="AE65" s="15">
        <v>0.83299999999999996</v>
      </c>
      <c r="AF65" s="20">
        <v>20</v>
      </c>
      <c r="AG65" s="20">
        <v>2.92</v>
      </c>
      <c r="AH65" s="24">
        <v>24</v>
      </c>
      <c r="AI65" s="23">
        <f t="shared" si="1"/>
        <v>1</v>
      </c>
      <c r="AJ65" s="15">
        <v>11</v>
      </c>
      <c r="AK65" s="15">
        <v>11.5</v>
      </c>
      <c r="AL65" s="25">
        <v>22.5</v>
      </c>
      <c r="AM65" s="23" cm="1">
        <f t="array" ref="AM65">IF(OR(AN65:AZ65=""),"BLANK",IF(AND(AN65:AZ65&lt;9999999),1,IF(AND(AN65:AZ65="NA"),3,2)))</f>
        <v>1</v>
      </c>
      <c r="AN65" s="20">
        <v>8</v>
      </c>
      <c r="AO65" s="20">
        <v>2</v>
      </c>
      <c r="AP65" s="15">
        <v>3</v>
      </c>
      <c r="AQ65" s="15">
        <v>5.5</v>
      </c>
      <c r="AR65" s="15">
        <v>7</v>
      </c>
      <c r="AS65" s="26">
        <v>829</v>
      </c>
      <c r="AT65" s="26">
        <v>10256</v>
      </c>
      <c r="AU65" s="26">
        <v>5538</v>
      </c>
      <c r="AV65" s="26">
        <v>6344.75</v>
      </c>
      <c r="AW65" s="26">
        <v>0</v>
      </c>
      <c r="AX65" s="26">
        <v>0</v>
      </c>
      <c r="AY65" s="26">
        <v>3693.5666666666998</v>
      </c>
      <c r="AZ65" s="26">
        <v>2942.7</v>
      </c>
      <c r="BA65" s="23">
        <v>3</v>
      </c>
      <c r="BB65" s="24" t="s">
        <v>8</v>
      </c>
    </row>
    <row r="66" spans="1:54" x14ac:dyDescent="0.2">
      <c r="A66" s="21">
        <v>823</v>
      </c>
      <c r="B66" s="20" t="s">
        <v>83</v>
      </c>
      <c r="C66" s="18" t="s">
        <v>54</v>
      </c>
      <c r="D66" s="18">
        <v>5</v>
      </c>
      <c r="E66" s="18">
        <v>0</v>
      </c>
      <c r="F66" s="51" t="s">
        <v>9</v>
      </c>
      <c r="G66" s="18">
        <v>28</v>
      </c>
      <c r="H66" s="22">
        <v>4.084873374401095</v>
      </c>
      <c r="I66" s="22">
        <v>5.5222450376454484</v>
      </c>
      <c r="J66" s="22">
        <v>9.6071184120465443</v>
      </c>
      <c r="K66" s="22">
        <v>4.1040383299110195</v>
      </c>
      <c r="L66" s="22">
        <v>5.631759069130732</v>
      </c>
      <c r="M66" s="22">
        <v>9.7357973990417523</v>
      </c>
      <c r="N66" s="22">
        <v>3.9753593429158109</v>
      </c>
      <c r="O66" s="22">
        <v>5.0924024640657084</v>
      </c>
      <c r="P66" s="22">
        <v>9.0677618069815189</v>
      </c>
      <c r="Q66" s="22">
        <v>3.1950718685831623</v>
      </c>
      <c r="R66" s="22" t="s">
        <v>8</v>
      </c>
      <c r="S66" s="22" t="s">
        <v>8</v>
      </c>
      <c r="T66" s="20" t="s">
        <v>8</v>
      </c>
      <c r="U66" s="20" t="s">
        <v>8</v>
      </c>
      <c r="V66" s="20" t="s">
        <v>1</v>
      </c>
      <c r="W66" s="20">
        <v>5</v>
      </c>
      <c r="X66" s="20">
        <v>3</v>
      </c>
      <c r="Y66" s="5">
        <v>1</v>
      </c>
      <c r="Z66" s="20">
        <v>4</v>
      </c>
      <c r="AA66" s="23">
        <f t="shared" ref="AA66:AA129" si="2">IF(AND(ISNUMBER(AB66), ISNUMBER(AC66),ISNUMBER(AD66), ISNUMBER(AE66), ISNUMBER(AF66),ISNUMBER(AG66), ISNUMBER(AH66)), 1, IF(AND(AB66="NA", AC66="NA", AD66="na", AE66="na", AF66="na", AG66="na", AH66="na"), 3, 2))</f>
        <v>1</v>
      </c>
      <c r="AB66" s="15">
        <v>0.83299999999999996</v>
      </c>
      <c r="AC66" s="15">
        <v>0.66700000000000004</v>
      </c>
      <c r="AD66" s="15">
        <v>0.5</v>
      </c>
      <c r="AE66" s="15">
        <v>0.58299999999999996</v>
      </c>
      <c r="AF66" s="20">
        <v>14</v>
      </c>
      <c r="AG66" s="20">
        <v>3.03</v>
      </c>
      <c r="AH66" s="24">
        <v>24</v>
      </c>
      <c r="AI66" s="23">
        <f t="shared" ref="AI66:AI129" si="3">IF(AND(ISNUMBER(AJ66), ISNUMBER(AK66),ISNUMBER(AL66)), 1, IF(AND(AJ66="NA", AK66="NA", AL66="na"), 3, 2))</f>
        <v>1</v>
      </c>
      <c r="AJ66" s="15">
        <v>6.5</v>
      </c>
      <c r="AK66" s="15">
        <v>2.75</v>
      </c>
      <c r="AL66" s="25">
        <v>9.25</v>
      </c>
      <c r="AM66" s="23" cm="1">
        <f t="array" ref="AM66">IF(OR(AN66:AZ66=""),"BLANK",IF(AND(AN66:AZ66&lt;9999999),1,IF(AND(AN66:AZ66="NA"),3,2)))</f>
        <v>1</v>
      </c>
      <c r="AN66" s="20">
        <v>8</v>
      </c>
      <c r="AO66" s="20">
        <v>2</v>
      </c>
      <c r="AP66" s="15">
        <v>3</v>
      </c>
      <c r="AQ66" s="15">
        <v>4.25</v>
      </c>
      <c r="AR66" s="15">
        <v>7.5</v>
      </c>
      <c r="AS66" s="26">
        <v>5023</v>
      </c>
      <c r="AT66" s="26">
        <v>7480</v>
      </c>
      <c r="AU66" s="26">
        <v>7325.5</v>
      </c>
      <c r="AV66" s="26">
        <v>9533.25</v>
      </c>
      <c r="AW66" s="26">
        <v>0</v>
      </c>
      <c r="AX66" s="26">
        <v>0</v>
      </c>
      <c r="AY66" s="26">
        <v>859.4</v>
      </c>
      <c r="AZ66" s="26">
        <v>3721.5714285713998</v>
      </c>
      <c r="BA66" s="23">
        <v>3</v>
      </c>
      <c r="BB66" s="24" t="s">
        <v>8</v>
      </c>
    </row>
    <row r="67" spans="1:54" x14ac:dyDescent="0.2">
      <c r="A67" s="21">
        <v>829</v>
      </c>
      <c r="B67" s="20" t="s">
        <v>70</v>
      </c>
      <c r="C67" s="18" t="s">
        <v>55</v>
      </c>
      <c r="D67" s="18">
        <v>5</v>
      </c>
      <c r="E67" s="18">
        <v>0</v>
      </c>
      <c r="F67" s="51" t="s">
        <v>9</v>
      </c>
      <c r="G67" s="18">
        <v>30</v>
      </c>
      <c r="H67" s="22">
        <v>4.131416837782341</v>
      </c>
      <c r="I67" s="22">
        <v>5.4045174537987677</v>
      </c>
      <c r="J67" s="22">
        <v>9.5359342915811087</v>
      </c>
      <c r="K67" s="22">
        <v>4.131416837782341</v>
      </c>
      <c r="L67" s="22">
        <v>5.6646132785763177</v>
      </c>
      <c r="M67" s="22">
        <v>9.7960301163586578</v>
      </c>
      <c r="N67" s="22">
        <v>4.1341546885694731</v>
      </c>
      <c r="O67" s="22">
        <v>5.248459958932238</v>
      </c>
      <c r="P67" s="22">
        <v>9.3826146475017111</v>
      </c>
      <c r="Q67" s="22">
        <v>3.2580424366872007</v>
      </c>
      <c r="R67" s="22">
        <v>6.2039698836413413</v>
      </c>
      <c r="S67" s="22">
        <v>9.462012320328542</v>
      </c>
      <c r="T67" s="20">
        <v>4</v>
      </c>
      <c r="U67" s="20">
        <v>16</v>
      </c>
      <c r="V67" s="20" t="s">
        <v>1</v>
      </c>
      <c r="W67" s="20">
        <v>5</v>
      </c>
      <c r="X67" s="20">
        <v>3</v>
      </c>
      <c r="Y67" s="5">
        <v>1</v>
      </c>
      <c r="Z67" s="20">
        <v>4</v>
      </c>
      <c r="AA67" s="23">
        <f t="shared" si="2"/>
        <v>1</v>
      </c>
      <c r="AB67" s="15">
        <v>1</v>
      </c>
      <c r="AC67" s="15">
        <v>1</v>
      </c>
      <c r="AD67" s="15">
        <v>0.83299999999999996</v>
      </c>
      <c r="AE67" s="15">
        <v>0.95799999999999996</v>
      </c>
      <c r="AF67" s="20">
        <v>23</v>
      </c>
      <c r="AG67" s="20">
        <v>9.9499999999999993</v>
      </c>
      <c r="AH67" s="24">
        <v>24</v>
      </c>
      <c r="AI67" s="23">
        <f t="shared" si="3"/>
        <v>1</v>
      </c>
      <c r="AJ67" s="15">
        <v>11.25</v>
      </c>
      <c r="AK67" s="15">
        <v>8.75</v>
      </c>
      <c r="AL67" s="25">
        <v>20</v>
      </c>
      <c r="AM67" s="23" cm="1">
        <f t="array" ref="AM67">IF(OR(AN67:AZ67=""),"BLANK",IF(AND(AN67:AZ67&lt;9999999),1,IF(AND(AN67:AZ67="NA"),3,2)))</f>
        <v>1</v>
      </c>
      <c r="AN67" s="20">
        <v>9</v>
      </c>
      <c r="AO67" s="20">
        <v>2</v>
      </c>
      <c r="AP67" s="15">
        <v>3</v>
      </c>
      <c r="AQ67" s="15">
        <v>4.25</v>
      </c>
      <c r="AR67" s="15">
        <v>7</v>
      </c>
      <c r="AS67" s="26">
        <v>1384.5</v>
      </c>
      <c r="AT67" s="26">
        <v>5870.5</v>
      </c>
      <c r="AU67" s="26">
        <v>4668.25</v>
      </c>
      <c r="AV67" s="26">
        <v>7085.25</v>
      </c>
      <c r="AW67" s="26">
        <v>0</v>
      </c>
      <c r="AX67" s="26">
        <v>0</v>
      </c>
      <c r="AY67" s="26">
        <v>0</v>
      </c>
      <c r="AZ67" s="26">
        <v>549.33749999999998</v>
      </c>
      <c r="BA67" s="23">
        <v>3</v>
      </c>
      <c r="BB67" s="24" t="s">
        <v>8</v>
      </c>
    </row>
    <row r="68" spans="1:54" x14ac:dyDescent="0.2">
      <c r="A68" s="21">
        <v>831</v>
      </c>
      <c r="B68" s="20" t="s">
        <v>64</v>
      </c>
      <c r="C68" s="18" t="s">
        <v>54</v>
      </c>
      <c r="D68" s="18">
        <v>5</v>
      </c>
      <c r="E68" s="18">
        <v>0</v>
      </c>
      <c r="F68" s="51" t="s">
        <v>9</v>
      </c>
      <c r="G68" s="18">
        <v>30</v>
      </c>
      <c r="H68" s="22">
        <v>4.0082135523613962</v>
      </c>
      <c r="I68" s="22">
        <v>5.4236824093086931</v>
      </c>
      <c r="J68" s="22">
        <v>9.4318959616700884</v>
      </c>
      <c r="K68" s="22">
        <v>4.0082135523613962</v>
      </c>
      <c r="L68" s="22">
        <v>5.4236824093086931</v>
      </c>
      <c r="M68" s="22">
        <v>9.4318959616700884</v>
      </c>
      <c r="N68" s="22">
        <v>4.0273785078713207</v>
      </c>
      <c r="O68" s="22">
        <v>5.0978781656399725</v>
      </c>
      <c r="P68" s="22">
        <v>9.1252566735112932</v>
      </c>
      <c r="Q68" s="22">
        <v>3.2388774811772758</v>
      </c>
      <c r="R68" s="22">
        <v>6.2669404517453797</v>
      </c>
      <c r="S68" s="22">
        <v>9.5058179329226551</v>
      </c>
      <c r="T68" s="20">
        <v>3</v>
      </c>
      <c r="U68" s="20">
        <v>14</v>
      </c>
      <c r="V68" s="20" t="s">
        <v>1</v>
      </c>
      <c r="W68" s="20">
        <v>5</v>
      </c>
      <c r="X68" s="20">
        <v>3</v>
      </c>
      <c r="Y68" s="5">
        <v>1</v>
      </c>
      <c r="Z68" s="20">
        <v>4</v>
      </c>
      <c r="AA68" s="23">
        <f t="shared" si="2"/>
        <v>1</v>
      </c>
      <c r="AB68" s="15">
        <v>1</v>
      </c>
      <c r="AC68" s="15">
        <v>0.83299999999999996</v>
      </c>
      <c r="AD68" s="15">
        <v>0.83299999999999996</v>
      </c>
      <c r="AE68" s="15">
        <v>0.91700000000000004</v>
      </c>
      <c r="AF68" s="20">
        <v>22</v>
      </c>
      <c r="AG68" s="20">
        <v>6.25</v>
      </c>
      <c r="AH68" s="24">
        <v>24</v>
      </c>
      <c r="AI68" s="23">
        <f t="shared" si="3"/>
        <v>1</v>
      </c>
      <c r="AJ68" s="15">
        <v>12</v>
      </c>
      <c r="AK68" s="15">
        <v>10</v>
      </c>
      <c r="AL68" s="25">
        <v>22</v>
      </c>
      <c r="AM68" s="23" cm="1">
        <f t="array" ref="AM68">IF(OR(AN68:AZ68=""),"BLANK",IF(AND(AN68:AZ68&lt;9999999),1,IF(AND(AN68:AZ68="NA"),3,2)))</f>
        <v>1</v>
      </c>
      <c r="AN68" s="20">
        <v>9</v>
      </c>
      <c r="AO68" s="20">
        <v>2</v>
      </c>
      <c r="AP68" s="15">
        <v>3</v>
      </c>
      <c r="AQ68" s="15">
        <v>5.25</v>
      </c>
      <c r="AR68" s="15">
        <v>7.25</v>
      </c>
      <c r="AS68" s="26">
        <v>1058</v>
      </c>
      <c r="AT68" s="26">
        <v>6457</v>
      </c>
      <c r="AU68" s="26">
        <v>4975.75</v>
      </c>
      <c r="AV68" s="26">
        <v>3991.5</v>
      </c>
      <c r="AW68" s="26">
        <v>452</v>
      </c>
      <c r="AX68" s="26">
        <v>0</v>
      </c>
      <c r="AY68" s="26">
        <v>165.3472222222</v>
      </c>
      <c r="AZ68" s="26">
        <v>0</v>
      </c>
      <c r="BA68" s="23">
        <v>3</v>
      </c>
      <c r="BB68" s="24" t="s">
        <v>8</v>
      </c>
    </row>
    <row r="69" spans="1:54" x14ac:dyDescent="0.2">
      <c r="A69" s="21">
        <v>833</v>
      </c>
      <c r="B69" s="20" t="s">
        <v>81</v>
      </c>
      <c r="C69" s="18" t="s">
        <v>54</v>
      </c>
      <c r="D69" s="18">
        <v>5</v>
      </c>
      <c r="E69" s="18">
        <v>0</v>
      </c>
      <c r="F69" s="51" t="s">
        <v>9</v>
      </c>
      <c r="G69" s="18">
        <v>26</v>
      </c>
      <c r="H69" s="22">
        <v>4.0027378507871321</v>
      </c>
      <c r="I69" s="22">
        <v>5.6153319644079396</v>
      </c>
      <c r="J69" s="22">
        <v>9.6180698151950725</v>
      </c>
      <c r="K69" s="22">
        <v>4.0219028062970565</v>
      </c>
      <c r="L69" s="22">
        <v>5.5961670088980151</v>
      </c>
      <c r="M69" s="22">
        <v>9.6180698151950725</v>
      </c>
      <c r="N69" s="22">
        <v>4.0219028062970565</v>
      </c>
      <c r="O69" s="22">
        <v>5.5222450376454484</v>
      </c>
      <c r="P69" s="22">
        <v>9.5441478439425058</v>
      </c>
      <c r="Q69" s="22">
        <v>3.2361396303901437</v>
      </c>
      <c r="R69" s="22">
        <v>6.0698151950718682</v>
      </c>
      <c r="S69" s="22">
        <v>9.3059548254620115</v>
      </c>
      <c r="T69" s="20">
        <v>3</v>
      </c>
      <c r="U69" s="20">
        <v>12</v>
      </c>
      <c r="V69" s="20" t="s">
        <v>1</v>
      </c>
      <c r="W69" s="20">
        <v>5</v>
      </c>
      <c r="X69" s="20">
        <v>3</v>
      </c>
      <c r="Y69" s="5">
        <v>1</v>
      </c>
      <c r="Z69" s="20">
        <v>4</v>
      </c>
      <c r="AA69" s="23">
        <f t="shared" si="2"/>
        <v>1</v>
      </c>
      <c r="AB69" s="15">
        <v>0.83299999999999996</v>
      </c>
      <c r="AC69" s="15">
        <v>0.5</v>
      </c>
      <c r="AD69" s="15">
        <v>0</v>
      </c>
      <c r="AE69" s="15">
        <v>0.41699999999999998</v>
      </c>
      <c r="AF69" s="20">
        <v>10</v>
      </c>
      <c r="AG69" s="20">
        <v>8.6199999999999992</v>
      </c>
      <c r="AH69" s="24">
        <v>24</v>
      </c>
      <c r="AI69" s="23">
        <f t="shared" si="3"/>
        <v>1</v>
      </c>
      <c r="AJ69" s="15">
        <v>2.75</v>
      </c>
      <c r="AK69" s="15">
        <v>4.25</v>
      </c>
      <c r="AL69" s="25">
        <v>7</v>
      </c>
      <c r="AM69" s="23" cm="1">
        <f t="array" ref="AM69">IF(OR(AN69:AZ69=""),"BLANK",IF(AND(AN69:AZ69&lt;9999999),1,IF(AND(AN69:AZ69="NA"),3,2)))</f>
        <v>2</v>
      </c>
      <c r="AN69" s="20">
        <v>3</v>
      </c>
      <c r="AO69" s="20">
        <v>2</v>
      </c>
      <c r="AP69" s="15">
        <v>4.5</v>
      </c>
      <c r="AQ69" s="15">
        <v>7.75</v>
      </c>
      <c r="AR69" s="15" t="s">
        <v>34</v>
      </c>
      <c r="AS69" s="26">
        <v>1621</v>
      </c>
      <c r="AT69" s="26">
        <v>3611</v>
      </c>
      <c r="AU69" s="26">
        <v>3750</v>
      </c>
      <c r="AV69" s="26" t="s">
        <v>34</v>
      </c>
      <c r="AW69" s="26">
        <v>155</v>
      </c>
      <c r="AX69" s="26">
        <v>1643.425</v>
      </c>
      <c r="AY69" s="26">
        <v>4533.9513888888996</v>
      </c>
      <c r="AZ69" s="26" t="s">
        <v>34</v>
      </c>
      <c r="BA69" s="23">
        <v>3</v>
      </c>
      <c r="BB69" s="24" t="s">
        <v>8</v>
      </c>
    </row>
    <row r="70" spans="1:54" x14ac:dyDescent="0.2">
      <c r="A70" s="21">
        <v>835</v>
      </c>
      <c r="B70" s="20" t="s">
        <v>67</v>
      </c>
      <c r="C70" s="18" t="s">
        <v>54</v>
      </c>
      <c r="D70" s="18">
        <v>5</v>
      </c>
      <c r="E70" s="18">
        <v>0</v>
      </c>
      <c r="F70" s="51" t="s">
        <v>9</v>
      </c>
      <c r="G70" s="18">
        <v>26</v>
      </c>
      <c r="H70" s="22">
        <v>4.561259411362081</v>
      </c>
      <c r="I70" s="22">
        <v>4.2984257357973989</v>
      </c>
      <c r="J70" s="22">
        <v>8.85968514715948</v>
      </c>
      <c r="K70" s="22">
        <v>4.6187542778918553</v>
      </c>
      <c r="L70" s="22">
        <v>4.2409308692676246</v>
      </c>
      <c r="M70" s="22">
        <v>8.85968514715948</v>
      </c>
      <c r="N70" s="22">
        <v>4.4845995893223822</v>
      </c>
      <c r="O70" s="22">
        <v>4.0492813141683781</v>
      </c>
      <c r="P70" s="22">
        <v>8.5338809034907595</v>
      </c>
      <c r="Q70" s="22" t="s">
        <v>8</v>
      </c>
      <c r="R70" s="22" t="s">
        <v>8</v>
      </c>
      <c r="S70" s="22" t="s">
        <v>8</v>
      </c>
      <c r="T70" s="20">
        <v>4</v>
      </c>
      <c r="U70" s="20">
        <v>16</v>
      </c>
      <c r="V70" s="20" t="s">
        <v>1</v>
      </c>
      <c r="W70" s="20">
        <v>5</v>
      </c>
      <c r="X70" s="20">
        <v>3</v>
      </c>
      <c r="Y70" s="5">
        <v>1</v>
      </c>
      <c r="Z70" s="20">
        <v>4</v>
      </c>
      <c r="AA70" s="23">
        <f t="shared" si="2"/>
        <v>1</v>
      </c>
      <c r="AB70" s="15">
        <v>1</v>
      </c>
      <c r="AC70" s="15">
        <v>1</v>
      </c>
      <c r="AD70" s="15">
        <v>0.5</v>
      </c>
      <c r="AE70" s="15">
        <v>0.79200000000000004</v>
      </c>
      <c r="AF70" s="20">
        <v>19</v>
      </c>
      <c r="AG70" s="20">
        <v>10.5</v>
      </c>
      <c r="AH70" s="24">
        <v>24</v>
      </c>
      <c r="AI70" s="23">
        <f t="shared" si="3"/>
        <v>1</v>
      </c>
      <c r="AJ70" s="15">
        <v>6.75</v>
      </c>
      <c r="AK70" s="15">
        <v>9.5</v>
      </c>
      <c r="AL70" s="25">
        <v>16.25</v>
      </c>
      <c r="AM70" s="23" cm="1">
        <f t="array" ref="AM70">IF(OR(AN70:AZ70=""),"BLANK",IF(AND(AN70:AZ70&lt;9999999),1,IF(AND(AN70:AZ70="NA"),3,2)))</f>
        <v>1</v>
      </c>
      <c r="AN70" s="20">
        <v>6</v>
      </c>
      <c r="AO70" s="20">
        <v>2</v>
      </c>
      <c r="AP70" s="15">
        <v>3</v>
      </c>
      <c r="AQ70" s="15">
        <v>5.5</v>
      </c>
      <c r="AR70" s="15">
        <v>10.25</v>
      </c>
      <c r="AS70" s="26">
        <v>473</v>
      </c>
      <c r="AT70" s="26">
        <v>3285.5</v>
      </c>
      <c r="AU70" s="26">
        <v>7358.25</v>
      </c>
      <c r="AV70" s="26">
        <v>9870.75</v>
      </c>
      <c r="AW70" s="26">
        <v>0</v>
      </c>
      <c r="AX70" s="26">
        <v>0</v>
      </c>
      <c r="AY70" s="26">
        <v>10.875</v>
      </c>
      <c r="AZ70" s="26">
        <v>1015.1493055556</v>
      </c>
      <c r="BA70" s="23">
        <v>3</v>
      </c>
      <c r="BB70" s="24" t="s">
        <v>8</v>
      </c>
    </row>
    <row r="71" spans="1:54" x14ac:dyDescent="0.2">
      <c r="A71" s="21">
        <v>841</v>
      </c>
      <c r="B71" s="20" t="s">
        <v>70</v>
      </c>
      <c r="C71" s="18" t="s">
        <v>54</v>
      </c>
      <c r="D71" s="18">
        <v>5</v>
      </c>
      <c r="E71" s="18">
        <v>0</v>
      </c>
      <c r="F71" s="51" t="s">
        <v>9</v>
      </c>
      <c r="G71" s="18">
        <v>29</v>
      </c>
      <c r="H71" s="22">
        <v>3.9972621492128679</v>
      </c>
      <c r="I71" s="22">
        <v>5.5687885010266944</v>
      </c>
      <c r="J71" s="22">
        <v>9.5660506502395624</v>
      </c>
      <c r="K71" s="22">
        <v>3.9972621492128679</v>
      </c>
      <c r="L71" s="22">
        <v>5.5687885010266944</v>
      </c>
      <c r="M71" s="22">
        <v>9.5660506502395624</v>
      </c>
      <c r="N71" s="22">
        <v>4</v>
      </c>
      <c r="O71" s="22">
        <v>5.1964407939767279</v>
      </c>
      <c r="P71" s="22">
        <v>9.1964407939767288</v>
      </c>
      <c r="Q71" s="22" t="s">
        <v>8</v>
      </c>
      <c r="R71" s="22" t="s">
        <v>8</v>
      </c>
      <c r="S71" s="22" t="s">
        <v>8</v>
      </c>
      <c r="T71" s="20">
        <v>7</v>
      </c>
      <c r="U71" s="20">
        <v>21</v>
      </c>
      <c r="V71" s="20" t="s">
        <v>1</v>
      </c>
      <c r="W71" s="20">
        <v>5</v>
      </c>
      <c r="X71" s="20">
        <v>3</v>
      </c>
      <c r="Y71" s="5">
        <v>1</v>
      </c>
      <c r="Z71" s="20">
        <v>4</v>
      </c>
      <c r="AA71" s="23">
        <f t="shared" si="2"/>
        <v>1</v>
      </c>
      <c r="AB71" s="15">
        <v>1</v>
      </c>
      <c r="AC71" s="15">
        <v>0.83299999999999996</v>
      </c>
      <c r="AD71" s="15">
        <v>0.83299999999999996</v>
      </c>
      <c r="AE71" s="15">
        <v>0.91700000000000004</v>
      </c>
      <c r="AF71" s="20">
        <v>22</v>
      </c>
      <c r="AG71" s="20">
        <v>2.78</v>
      </c>
      <c r="AH71" s="24">
        <v>24</v>
      </c>
      <c r="AI71" s="23">
        <f t="shared" si="3"/>
        <v>1</v>
      </c>
      <c r="AJ71" s="15">
        <v>9</v>
      </c>
      <c r="AK71" s="15">
        <v>10</v>
      </c>
      <c r="AL71" s="25">
        <v>19</v>
      </c>
      <c r="AM71" s="23" cm="1">
        <f t="array" ref="AM71">IF(OR(AN71:AZ71=""),"BLANK",IF(AND(AN71:AZ71&lt;9999999),1,IF(AND(AN71:AZ71="NA"),3,2)))</f>
        <v>1</v>
      </c>
      <c r="AN71" s="20">
        <v>8</v>
      </c>
      <c r="AO71" s="20">
        <v>2</v>
      </c>
      <c r="AP71" s="15">
        <v>3.5</v>
      </c>
      <c r="AQ71" s="15">
        <v>5.25</v>
      </c>
      <c r="AR71" s="15">
        <v>6.25</v>
      </c>
      <c r="AS71" s="26">
        <v>1316.5</v>
      </c>
      <c r="AT71" s="26">
        <v>4534.5</v>
      </c>
      <c r="AU71" s="26">
        <v>5508.5</v>
      </c>
      <c r="AV71" s="26">
        <v>30566</v>
      </c>
      <c r="AW71" s="26">
        <v>0</v>
      </c>
      <c r="AX71" s="26">
        <v>0</v>
      </c>
      <c r="AY71" s="26">
        <v>1630.0069444444</v>
      </c>
      <c r="AZ71" s="26">
        <v>680.35277777780004</v>
      </c>
      <c r="BA71" s="23">
        <v>3</v>
      </c>
      <c r="BB71" s="24" t="s">
        <v>8</v>
      </c>
    </row>
    <row r="72" spans="1:54" x14ac:dyDescent="0.2">
      <c r="A72" s="21">
        <v>849</v>
      </c>
      <c r="B72" s="20" t="s">
        <v>73</v>
      </c>
      <c r="C72" s="18" t="s">
        <v>55</v>
      </c>
      <c r="D72" s="18">
        <v>5</v>
      </c>
      <c r="E72" s="18">
        <v>0</v>
      </c>
      <c r="F72" s="51" t="s">
        <v>9</v>
      </c>
      <c r="G72" s="18">
        <v>30</v>
      </c>
      <c r="H72" s="22">
        <v>4.1587953456536617</v>
      </c>
      <c r="I72" s="22">
        <v>5.7577002053388089</v>
      </c>
      <c r="J72" s="22">
        <v>9.9164955509924706</v>
      </c>
      <c r="K72" s="22">
        <v>4.2354551676933605</v>
      </c>
      <c r="L72" s="22">
        <v>5.7002053388090346</v>
      </c>
      <c r="M72" s="22">
        <v>9.935660506502396</v>
      </c>
      <c r="N72" s="22">
        <v>4.476386036960986</v>
      </c>
      <c r="O72" s="22">
        <v>5.4318959616700893</v>
      </c>
      <c r="P72" s="22">
        <v>9.9082819986310753</v>
      </c>
      <c r="Q72" s="22" t="s">
        <v>8</v>
      </c>
      <c r="R72" s="22" t="s">
        <v>8</v>
      </c>
      <c r="S72" s="22" t="s">
        <v>8</v>
      </c>
      <c r="T72" s="20" t="s">
        <v>8</v>
      </c>
      <c r="U72" s="20" t="s">
        <v>8</v>
      </c>
      <c r="V72" s="20" t="s">
        <v>1</v>
      </c>
      <c r="W72" s="20">
        <v>5</v>
      </c>
      <c r="X72" s="20">
        <v>3</v>
      </c>
      <c r="Y72" s="5">
        <v>1</v>
      </c>
      <c r="Z72" s="20">
        <v>4</v>
      </c>
      <c r="AA72" s="23">
        <f t="shared" si="2"/>
        <v>1</v>
      </c>
      <c r="AB72" s="15">
        <v>1</v>
      </c>
      <c r="AC72" s="15">
        <v>0.83299999999999996</v>
      </c>
      <c r="AD72" s="15">
        <v>1</v>
      </c>
      <c r="AE72" s="15">
        <v>0.95799999999999996</v>
      </c>
      <c r="AF72" s="20">
        <v>23</v>
      </c>
      <c r="AG72" s="20">
        <v>2.83</v>
      </c>
      <c r="AH72" s="24">
        <v>24</v>
      </c>
      <c r="AI72" s="23">
        <f t="shared" si="3"/>
        <v>1</v>
      </c>
      <c r="AJ72" s="15">
        <v>10</v>
      </c>
      <c r="AK72" s="15">
        <v>10</v>
      </c>
      <c r="AL72" s="25">
        <v>20</v>
      </c>
      <c r="AM72" s="23" cm="1">
        <f t="array" ref="AM72">IF(OR(AN72:AZ72=""),"BLANK",IF(AND(AN72:AZ72&lt;9999999),1,IF(AND(AN72:AZ72="NA"),3,2)))</f>
        <v>1</v>
      </c>
      <c r="AN72" s="20">
        <v>11</v>
      </c>
      <c r="AO72" s="20">
        <v>2</v>
      </c>
      <c r="AP72" s="15">
        <v>3</v>
      </c>
      <c r="AQ72" s="15">
        <v>4</v>
      </c>
      <c r="AR72" s="15">
        <v>6.5</v>
      </c>
      <c r="AS72" s="26">
        <v>2597.5</v>
      </c>
      <c r="AT72" s="26">
        <v>5401.5</v>
      </c>
      <c r="AU72" s="26">
        <v>20617.25</v>
      </c>
      <c r="AV72" s="26">
        <v>26991.5</v>
      </c>
      <c r="AW72" s="26">
        <v>0</v>
      </c>
      <c r="AX72" s="26">
        <v>0</v>
      </c>
      <c r="AY72" s="26">
        <v>0</v>
      </c>
      <c r="AZ72" s="26">
        <v>1439.4954545455</v>
      </c>
      <c r="BA72" s="23">
        <v>3</v>
      </c>
      <c r="BB72" s="24" t="s">
        <v>8</v>
      </c>
    </row>
    <row r="73" spans="1:54" x14ac:dyDescent="0.2">
      <c r="A73" s="21">
        <v>860</v>
      </c>
      <c r="B73" s="20" t="s">
        <v>85</v>
      </c>
      <c r="C73" s="18" t="s">
        <v>54</v>
      </c>
      <c r="D73" s="18">
        <v>5</v>
      </c>
      <c r="E73" s="18">
        <v>0</v>
      </c>
      <c r="F73" s="51" t="s">
        <v>9</v>
      </c>
      <c r="G73" s="18">
        <v>30</v>
      </c>
      <c r="H73" s="22">
        <v>3.9863107460643397</v>
      </c>
      <c r="I73" s="22">
        <v>5.5249828884325805</v>
      </c>
      <c r="J73" s="22">
        <v>9.5112936344969192</v>
      </c>
      <c r="K73" s="22">
        <v>3.9863107460643397</v>
      </c>
      <c r="L73" s="22">
        <v>5.5824777549623548</v>
      </c>
      <c r="M73" s="22">
        <v>9.5687885010266935</v>
      </c>
      <c r="N73" s="22">
        <v>3.9698836413415468</v>
      </c>
      <c r="O73" s="22">
        <v>5.2731006160164275</v>
      </c>
      <c r="P73" s="22">
        <v>9.2429842573579748</v>
      </c>
      <c r="Q73" s="22">
        <v>3.184120465434634</v>
      </c>
      <c r="R73" s="22" t="s">
        <v>8</v>
      </c>
      <c r="S73" s="22" t="s">
        <v>8</v>
      </c>
      <c r="T73" s="20" t="s">
        <v>8</v>
      </c>
      <c r="U73" s="20" t="s">
        <v>8</v>
      </c>
      <c r="V73" s="20" t="s">
        <v>1</v>
      </c>
      <c r="W73" s="20">
        <v>5</v>
      </c>
      <c r="X73" s="20">
        <v>3</v>
      </c>
      <c r="Y73" s="5">
        <v>1</v>
      </c>
      <c r="Z73" s="20">
        <v>4</v>
      </c>
      <c r="AA73" s="23">
        <f t="shared" si="2"/>
        <v>2</v>
      </c>
      <c r="AB73" s="15">
        <v>1</v>
      </c>
      <c r="AC73" s="15">
        <v>0.83299999999999996</v>
      </c>
      <c r="AD73" s="15">
        <v>0.83299999999999996</v>
      </c>
      <c r="AE73" s="15">
        <v>0.83299999999999996</v>
      </c>
      <c r="AF73" s="20">
        <v>20</v>
      </c>
      <c r="AG73" s="20" t="s">
        <v>8</v>
      </c>
      <c r="AH73" s="24">
        <v>24</v>
      </c>
      <c r="AI73" s="23">
        <f t="shared" si="3"/>
        <v>1</v>
      </c>
      <c r="AJ73" s="15">
        <v>6.75</v>
      </c>
      <c r="AK73" s="15">
        <v>10</v>
      </c>
      <c r="AL73" s="25">
        <v>16.75</v>
      </c>
      <c r="AM73" s="23" cm="1">
        <f t="array" ref="AM73">IF(OR(AN73:AZ73=""),"BLANK",IF(AND(AN73:AZ73&lt;9999999),1,IF(AND(AN73:AZ73="NA"),3,2)))</f>
        <v>1</v>
      </c>
      <c r="AN73" s="20">
        <v>5</v>
      </c>
      <c r="AO73" s="20">
        <v>2</v>
      </c>
      <c r="AP73" s="15">
        <v>3</v>
      </c>
      <c r="AQ73" s="15">
        <v>7</v>
      </c>
      <c r="AR73" s="15">
        <v>9.75</v>
      </c>
      <c r="AS73" s="26">
        <v>404.5</v>
      </c>
      <c r="AT73" s="26">
        <v>8947.5</v>
      </c>
      <c r="AU73" s="26">
        <v>3437.5</v>
      </c>
      <c r="AV73" s="26">
        <v>2424.5</v>
      </c>
      <c r="AW73" s="26">
        <v>0</v>
      </c>
      <c r="AX73" s="26">
        <v>25.833333333300001</v>
      </c>
      <c r="AY73" s="26">
        <v>3200.6597222221999</v>
      </c>
      <c r="AZ73" s="26">
        <v>3546.880952381</v>
      </c>
      <c r="BA73" s="23">
        <v>3</v>
      </c>
      <c r="BB73" s="24" t="s">
        <v>8</v>
      </c>
    </row>
    <row r="74" spans="1:54" x14ac:dyDescent="0.2">
      <c r="A74" s="21">
        <v>872</v>
      </c>
      <c r="B74" s="20" t="s">
        <v>64</v>
      </c>
      <c r="C74" s="18" t="s">
        <v>54</v>
      </c>
      <c r="D74" s="18">
        <v>5</v>
      </c>
      <c r="E74" s="18">
        <v>0</v>
      </c>
      <c r="F74" s="51" t="s">
        <v>9</v>
      </c>
      <c r="G74" s="18">
        <v>30</v>
      </c>
      <c r="H74" s="22">
        <v>3.9589322381930185</v>
      </c>
      <c r="I74" s="22">
        <v>5.4428473648186175</v>
      </c>
      <c r="J74" s="22">
        <v>9.4017796030116365</v>
      </c>
      <c r="K74" s="22">
        <v>3.9589322381930185</v>
      </c>
      <c r="L74" s="22">
        <v>5.4428473648186175</v>
      </c>
      <c r="M74" s="22">
        <v>9.4017796030116365</v>
      </c>
      <c r="N74" s="22">
        <v>3.9972621492128679</v>
      </c>
      <c r="O74" s="22">
        <v>5.0814510609171801</v>
      </c>
      <c r="P74" s="22">
        <v>9.0787132101300472</v>
      </c>
      <c r="Q74" s="22">
        <v>3.353867214236824</v>
      </c>
      <c r="R74" s="22" t="s">
        <v>8</v>
      </c>
      <c r="S74" s="22" t="s">
        <v>8</v>
      </c>
      <c r="T74" s="20">
        <v>6</v>
      </c>
      <c r="U74" s="20">
        <v>18</v>
      </c>
      <c r="V74" s="20" t="s">
        <v>1</v>
      </c>
      <c r="W74" s="20">
        <v>5</v>
      </c>
      <c r="X74" s="20">
        <v>3</v>
      </c>
      <c r="Y74" s="5">
        <v>1</v>
      </c>
      <c r="Z74" s="20">
        <v>4</v>
      </c>
      <c r="AA74" s="23">
        <f t="shared" si="2"/>
        <v>1</v>
      </c>
      <c r="AB74" s="15">
        <v>0.83299999999999996</v>
      </c>
      <c r="AC74" s="15">
        <v>0.83299999999999996</v>
      </c>
      <c r="AD74" s="15">
        <v>0.5</v>
      </c>
      <c r="AE74" s="15">
        <v>0.70799999999999996</v>
      </c>
      <c r="AF74" s="20">
        <v>17</v>
      </c>
      <c r="AG74" s="20">
        <v>9.73</v>
      </c>
      <c r="AH74" s="24">
        <v>24</v>
      </c>
      <c r="AI74" s="23">
        <f t="shared" si="3"/>
        <v>1</v>
      </c>
      <c r="AJ74" s="15">
        <v>11.75</v>
      </c>
      <c r="AK74" s="15">
        <v>11</v>
      </c>
      <c r="AL74" s="25">
        <v>22.75</v>
      </c>
      <c r="AM74" s="23" cm="1">
        <f t="array" ref="AM74">IF(OR(AN74:AZ74=""),"BLANK",IF(AND(AN74:AZ74&lt;9999999),1,IF(AND(AN74:AZ74="NA"),3,2)))</f>
        <v>1</v>
      </c>
      <c r="AN74" s="20">
        <v>9</v>
      </c>
      <c r="AO74" s="20">
        <v>2</v>
      </c>
      <c r="AP74" s="15">
        <v>3.5</v>
      </c>
      <c r="AQ74" s="15">
        <v>5.25</v>
      </c>
      <c r="AR74" s="15">
        <v>6.75</v>
      </c>
      <c r="AS74" s="26">
        <v>2209.5</v>
      </c>
      <c r="AT74" s="26">
        <v>2026.5</v>
      </c>
      <c r="AU74" s="26">
        <v>2422.5</v>
      </c>
      <c r="AV74" s="26">
        <v>4014</v>
      </c>
      <c r="AW74" s="26">
        <v>0</v>
      </c>
      <c r="AX74" s="26">
        <v>73.958333333300004</v>
      </c>
      <c r="AY74" s="26">
        <v>294.4236111111</v>
      </c>
      <c r="AZ74" s="26">
        <v>393.98333333329998</v>
      </c>
      <c r="BA74" s="23">
        <v>3</v>
      </c>
      <c r="BB74" s="24" t="s">
        <v>8</v>
      </c>
    </row>
    <row r="75" spans="1:54" x14ac:dyDescent="0.2">
      <c r="A75" s="21">
        <v>884</v>
      </c>
      <c r="B75" s="20" t="s">
        <v>79</v>
      </c>
      <c r="C75" s="18" t="s">
        <v>54</v>
      </c>
      <c r="D75" s="18">
        <v>5</v>
      </c>
      <c r="E75" s="18">
        <v>0</v>
      </c>
      <c r="F75" s="51" t="s">
        <v>9</v>
      </c>
      <c r="G75" s="18">
        <v>30</v>
      </c>
      <c r="H75" s="22">
        <v>4.046543463381246</v>
      </c>
      <c r="I75" s="22">
        <v>5.722108145106092</v>
      </c>
      <c r="J75" s="22">
        <v>9.7686516084873372</v>
      </c>
      <c r="K75" s="22">
        <v>4.0657084188911705</v>
      </c>
      <c r="L75" s="22">
        <v>5.7029431895961666</v>
      </c>
      <c r="M75" s="22">
        <v>9.7686516084873372</v>
      </c>
      <c r="N75" s="22">
        <v>4.0246406570841886</v>
      </c>
      <c r="O75" s="22">
        <v>5.7029431895961666</v>
      </c>
      <c r="P75" s="22">
        <v>9.7275838466803553</v>
      </c>
      <c r="Q75" s="22" t="s">
        <v>8</v>
      </c>
      <c r="R75" s="22" t="s">
        <v>8</v>
      </c>
      <c r="S75" s="22" t="s">
        <v>8</v>
      </c>
      <c r="T75" s="20" t="s">
        <v>8</v>
      </c>
      <c r="U75" s="20" t="s">
        <v>8</v>
      </c>
      <c r="V75" s="20" t="s">
        <v>1</v>
      </c>
      <c r="W75" s="20">
        <v>5</v>
      </c>
      <c r="X75" s="20">
        <v>3</v>
      </c>
      <c r="Y75" s="5">
        <v>1</v>
      </c>
      <c r="Z75" s="20">
        <v>4</v>
      </c>
      <c r="AA75" s="23">
        <f t="shared" si="2"/>
        <v>1</v>
      </c>
      <c r="AB75" s="15">
        <v>1</v>
      </c>
      <c r="AC75" s="15">
        <v>1</v>
      </c>
      <c r="AD75" s="15">
        <v>0.83299999999999996</v>
      </c>
      <c r="AE75" s="15">
        <v>0.95799999999999996</v>
      </c>
      <c r="AF75" s="20">
        <v>23</v>
      </c>
      <c r="AG75" s="20">
        <v>11.18</v>
      </c>
      <c r="AH75" s="24">
        <v>24</v>
      </c>
      <c r="AI75" s="23">
        <f t="shared" si="3"/>
        <v>1</v>
      </c>
      <c r="AJ75" s="15">
        <v>15</v>
      </c>
      <c r="AK75" s="15">
        <v>15</v>
      </c>
      <c r="AL75" s="25">
        <v>30</v>
      </c>
      <c r="AM75" s="23" cm="1">
        <f t="array" ref="AM75">IF(OR(AN75:AZ75=""),"BLANK",IF(AND(AN75:AZ75&lt;9999999),1,IF(AND(AN75:AZ75="NA"),3,2)))</f>
        <v>1</v>
      </c>
      <c r="AN75" s="20">
        <v>11</v>
      </c>
      <c r="AO75" s="20">
        <v>2</v>
      </c>
      <c r="AP75" s="15">
        <v>3</v>
      </c>
      <c r="AQ75" s="15">
        <v>5.25</v>
      </c>
      <c r="AR75" s="15">
        <v>5</v>
      </c>
      <c r="AS75" s="26">
        <v>0</v>
      </c>
      <c r="AT75" s="26">
        <v>1107</v>
      </c>
      <c r="AU75" s="26">
        <v>1079.75</v>
      </c>
      <c r="AV75" s="26">
        <v>9463.5</v>
      </c>
      <c r="AW75" s="26">
        <v>0</v>
      </c>
      <c r="AX75" s="26">
        <v>0</v>
      </c>
      <c r="AY75" s="26">
        <v>0</v>
      </c>
      <c r="AZ75" s="26">
        <v>0</v>
      </c>
      <c r="BA75" s="23">
        <v>3</v>
      </c>
      <c r="BB75" s="24" t="s">
        <v>8</v>
      </c>
    </row>
    <row r="76" spans="1:54" x14ac:dyDescent="0.2">
      <c r="A76" s="21">
        <v>886</v>
      </c>
      <c r="B76" s="20" t="s">
        <v>70</v>
      </c>
      <c r="C76" s="18" t="s">
        <v>54</v>
      </c>
      <c r="D76" s="18">
        <v>5</v>
      </c>
      <c r="E76" s="18">
        <v>0</v>
      </c>
      <c r="F76" s="51" t="s">
        <v>9</v>
      </c>
      <c r="G76" s="18">
        <v>28</v>
      </c>
      <c r="H76" s="22">
        <v>3.978097193702943</v>
      </c>
      <c r="I76" s="22">
        <v>5.763175906913073</v>
      </c>
      <c r="J76" s="22">
        <v>9.7412731006160165</v>
      </c>
      <c r="K76" s="22">
        <v>3.978097193702943</v>
      </c>
      <c r="L76" s="22">
        <v>5.763175906913073</v>
      </c>
      <c r="M76" s="22">
        <v>9.7412731006160165</v>
      </c>
      <c r="N76" s="22" t="s">
        <v>8</v>
      </c>
      <c r="O76" s="22" t="s">
        <v>8</v>
      </c>
      <c r="P76" s="22" t="s">
        <v>8</v>
      </c>
      <c r="Q76" s="22" t="s">
        <v>8</v>
      </c>
      <c r="R76" s="22" t="s">
        <v>8</v>
      </c>
      <c r="S76" s="22" t="s">
        <v>8</v>
      </c>
      <c r="T76" s="20">
        <v>4</v>
      </c>
      <c r="U76" s="20">
        <v>16</v>
      </c>
      <c r="V76" s="20" t="s">
        <v>1</v>
      </c>
      <c r="W76" s="20">
        <v>5</v>
      </c>
      <c r="X76" s="20">
        <v>3</v>
      </c>
      <c r="Y76" s="5">
        <v>1</v>
      </c>
      <c r="Z76" s="20">
        <v>4</v>
      </c>
      <c r="AA76" s="23">
        <f t="shared" si="2"/>
        <v>1</v>
      </c>
      <c r="AB76" s="15">
        <v>1</v>
      </c>
      <c r="AC76" s="15">
        <v>0.83299999999999996</v>
      </c>
      <c r="AD76" s="15">
        <v>0.66700000000000004</v>
      </c>
      <c r="AE76" s="15">
        <v>0.875</v>
      </c>
      <c r="AF76" s="20">
        <v>21</v>
      </c>
      <c r="AG76" s="20">
        <v>5.45</v>
      </c>
      <c r="AH76" s="24">
        <v>24</v>
      </c>
      <c r="AI76" s="23">
        <f t="shared" si="3"/>
        <v>1</v>
      </c>
      <c r="AJ76" s="15">
        <v>10</v>
      </c>
      <c r="AK76" s="15">
        <v>6.75</v>
      </c>
      <c r="AL76" s="25">
        <v>16.75</v>
      </c>
      <c r="AM76" s="23" cm="1">
        <f t="array" ref="AM76">IF(OR(AN76:AZ76=""),"BLANK",IF(AND(AN76:AZ76&lt;9999999),1,IF(AND(AN76:AZ76="NA"),3,2)))</f>
        <v>1</v>
      </c>
      <c r="AN76" s="20">
        <v>10</v>
      </c>
      <c r="AO76" s="20">
        <v>2</v>
      </c>
      <c r="AP76" s="15">
        <v>3</v>
      </c>
      <c r="AQ76" s="15">
        <v>5.25</v>
      </c>
      <c r="AR76" s="15">
        <v>6.75</v>
      </c>
      <c r="AS76" s="26">
        <v>2865</v>
      </c>
      <c r="AT76" s="26">
        <v>8106</v>
      </c>
      <c r="AU76" s="26">
        <v>6489.75</v>
      </c>
      <c r="AV76" s="26">
        <v>8097.75</v>
      </c>
      <c r="AW76" s="26">
        <v>217.75</v>
      </c>
      <c r="AX76" s="26">
        <v>0</v>
      </c>
      <c r="AY76" s="26">
        <v>2024.2361111110999</v>
      </c>
      <c r="AZ76" s="26">
        <v>527.46666666670001</v>
      </c>
      <c r="BA76" s="23">
        <v>3</v>
      </c>
      <c r="BB76" s="24" t="s">
        <v>8</v>
      </c>
    </row>
    <row r="77" spans="1:54" x14ac:dyDescent="0.2">
      <c r="A77" s="21">
        <v>889</v>
      </c>
      <c r="B77" s="20" t="s">
        <v>66</v>
      </c>
      <c r="C77" s="18" t="s">
        <v>54</v>
      </c>
      <c r="D77" s="18">
        <v>5</v>
      </c>
      <c r="E77" s="18">
        <v>0</v>
      </c>
      <c r="F77" s="51" t="s">
        <v>9</v>
      </c>
      <c r="G77" s="18">
        <v>30</v>
      </c>
      <c r="H77" s="22">
        <v>4.0657084188911705</v>
      </c>
      <c r="I77" s="22">
        <v>5.1937029431895958</v>
      </c>
      <c r="J77" s="22">
        <v>9.2594113620807672</v>
      </c>
      <c r="K77" s="22">
        <v>4.0657084188911705</v>
      </c>
      <c r="L77" s="22">
        <v>5.1937029431895958</v>
      </c>
      <c r="M77" s="22">
        <v>9.2594113620807672</v>
      </c>
      <c r="N77" s="22">
        <v>4.0547570157426422</v>
      </c>
      <c r="O77" s="22">
        <v>4.8733744010951403</v>
      </c>
      <c r="P77" s="22">
        <v>8.9281314168377826</v>
      </c>
      <c r="Q77" s="22" t="s">
        <v>8</v>
      </c>
      <c r="R77" s="22" t="s">
        <v>8</v>
      </c>
      <c r="S77" s="22" t="s">
        <v>8</v>
      </c>
      <c r="T77" s="20">
        <v>4</v>
      </c>
      <c r="U77" s="20">
        <v>16</v>
      </c>
      <c r="V77" s="20" t="s">
        <v>1</v>
      </c>
      <c r="W77" s="20">
        <v>5</v>
      </c>
      <c r="X77" s="20">
        <v>3</v>
      </c>
      <c r="Y77" s="5">
        <v>1</v>
      </c>
      <c r="Z77" s="20">
        <v>4</v>
      </c>
      <c r="AA77" s="23">
        <f t="shared" si="2"/>
        <v>2</v>
      </c>
      <c r="AB77" s="15">
        <v>1</v>
      </c>
      <c r="AC77" s="15">
        <v>0.83299999999999996</v>
      </c>
      <c r="AD77" s="15">
        <v>0.66700000000000004</v>
      </c>
      <c r="AE77" s="15">
        <v>0.79200000000000004</v>
      </c>
      <c r="AF77" s="20">
        <v>19</v>
      </c>
      <c r="AG77" s="20" t="s">
        <v>8</v>
      </c>
      <c r="AH77" s="24">
        <v>24</v>
      </c>
      <c r="AI77" s="23">
        <f t="shared" si="3"/>
        <v>1</v>
      </c>
      <c r="AJ77" s="15">
        <v>10.25</v>
      </c>
      <c r="AK77" s="15">
        <v>12.75</v>
      </c>
      <c r="AL77" s="25">
        <v>23</v>
      </c>
      <c r="AM77" s="23" cm="1">
        <f t="array" ref="AM77">IF(OR(AN77:AZ77=""),"BLANK",IF(AND(AN77:AZ77&lt;9999999),1,IF(AND(AN77:AZ77="NA"),3,2)))</f>
        <v>1</v>
      </c>
      <c r="AN77" s="20">
        <v>9</v>
      </c>
      <c r="AO77" s="20">
        <v>2</v>
      </c>
      <c r="AP77" s="15">
        <v>3</v>
      </c>
      <c r="AQ77" s="15">
        <v>6.5</v>
      </c>
      <c r="AR77" s="15">
        <v>6.75</v>
      </c>
      <c r="AS77" s="26">
        <v>1415.5</v>
      </c>
      <c r="AT77" s="26">
        <v>5715</v>
      </c>
      <c r="AU77" s="26">
        <v>4576.25</v>
      </c>
      <c r="AV77" s="26">
        <v>6739</v>
      </c>
      <c r="AW77" s="26">
        <v>187.25</v>
      </c>
      <c r="AX77" s="26">
        <v>0</v>
      </c>
      <c r="AY77" s="26">
        <v>3267.1041666667002</v>
      </c>
      <c r="AZ77" s="26">
        <v>226.5</v>
      </c>
      <c r="BA77" s="23">
        <v>3</v>
      </c>
      <c r="BB77" s="24" t="s">
        <v>8</v>
      </c>
    </row>
    <row r="78" spans="1:54" x14ac:dyDescent="0.2">
      <c r="A78" s="21">
        <v>891</v>
      </c>
      <c r="B78" s="20" t="s">
        <v>76</v>
      </c>
      <c r="C78" s="18" t="s">
        <v>55</v>
      </c>
      <c r="D78" s="18">
        <v>5</v>
      </c>
      <c r="E78" s="18">
        <v>0</v>
      </c>
      <c r="F78" s="51" t="s">
        <v>9</v>
      </c>
      <c r="G78" s="18">
        <v>30</v>
      </c>
      <c r="H78" s="22">
        <v>4.213552361396304</v>
      </c>
      <c r="I78" s="22">
        <v>5.678302532511978</v>
      </c>
      <c r="J78" s="22">
        <v>9.8918548939082829</v>
      </c>
      <c r="K78" s="22" t="s">
        <v>8</v>
      </c>
      <c r="L78" s="22">
        <v>5.6919917864476384</v>
      </c>
      <c r="M78" s="22" t="s">
        <v>8</v>
      </c>
      <c r="N78" s="22">
        <v>4.2327173169062284</v>
      </c>
      <c r="O78" s="22">
        <v>5.6399726214921291</v>
      </c>
      <c r="P78" s="22">
        <v>9.8726899383983575</v>
      </c>
      <c r="Q78" s="22" t="s">
        <v>8</v>
      </c>
      <c r="R78" s="22" t="s">
        <v>8</v>
      </c>
      <c r="S78" s="22" t="s">
        <v>8</v>
      </c>
      <c r="T78" s="20" t="s">
        <v>8</v>
      </c>
      <c r="U78" s="20" t="s">
        <v>8</v>
      </c>
      <c r="V78" s="20" t="s">
        <v>1</v>
      </c>
      <c r="W78" s="20">
        <v>5</v>
      </c>
      <c r="X78" s="20">
        <v>3</v>
      </c>
      <c r="Y78" s="5">
        <v>1</v>
      </c>
      <c r="Z78" s="20">
        <v>4</v>
      </c>
      <c r="AA78" s="23">
        <f t="shared" si="2"/>
        <v>1</v>
      </c>
      <c r="AB78" s="15">
        <v>1</v>
      </c>
      <c r="AC78" s="15">
        <v>1</v>
      </c>
      <c r="AD78" s="15">
        <v>0.83299999999999996</v>
      </c>
      <c r="AE78" s="15">
        <v>0.95799999999999996</v>
      </c>
      <c r="AF78" s="20">
        <v>23</v>
      </c>
      <c r="AG78" s="20">
        <v>4.5999999999999996</v>
      </c>
      <c r="AH78" s="24">
        <v>24</v>
      </c>
      <c r="AI78" s="23">
        <f t="shared" si="3"/>
        <v>1</v>
      </c>
      <c r="AJ78" s="15">
        <v>10.75</v>
      </c>
      <c r="AK78" s="15">
        <v>11</v>
      </c>
      <c r="AL78" s="25">
        <v>21.75</v>
      </c>
      <c r="AM78" s="23" cm="1">
        <f t="array" ref="AM78">IF(OR(AN78:AZ78=""),"BLANK",IF(AND(AN78:AZ78&lt;9999999),1,IF(AND(AN78:AZ78="NA"),3,2)))</f>
        <v>1</v>
      </c>
      <c r="AN78" s="20">
        <v>10</v>
      </c>
      <c r="AO78" s="20">
        <v>2</v>
      </c>
      <c r="AP78" s="15">
        <v>3</v>
      </c>
      <c r="AQ78" s="15">
        <v>4.5</v>
      </c>
      <c r="AR78" s="15">
        <v>6</v>
      </c>
      <c r="AS78" s="26">
        <v>2032.5</v>
      </c>
      <c r="AT78" s="26">
        <v>2177.5</v>
      </c>
      <c r="AU78" s="26">
        <v>5010.75</v>
      </c>
      <c r="AV78" s="26">
        <v>5366.25</v>
      </c>
      <c r="AW78" s="26">
        <v>0</v>
      </c>
      <c r="AX78" s="26">
        <v>0</v>
      </c>
      <c r="AY78" s="26">
        <v>0</v>
      </c>
      <c r="AZ78" s="26">
        <v>0</v>
      </c>
      <c r="BA78" s="23">
        <v>3</v>
      </c>
      <c r="BB78" s="24" t="s">
        <v>8</v>
      </c>
    </row>
    <row r="79" spans="1:54" x14ac:dyDescent="0.2">
      <c r="A79" s="21">
        <v>898</v>
      </c>
      <c r="B79" s="20" t="s">
        <v>70</v>
      </c>
      <c r="C79" s="18" t="s">
        <v>54</v>
      </c>
      <c r="D79" s="18">
        <v>5</v>
      </c>
      <c r="E79" s="18">
        <v>0</v>
      </c>
      <c r="F79" s="51" t="s">
        <v>9</v>
      </c>
      <c r="G79" s="18">
        <v>30</v>
      </c>
      <c r="H79" s="22">
        <v>3.9835728952772076</v>
      </c>
      <c r="I79" s="22">
        <v>5.5770020533880906</v>
      </c>
      <c r="J79" s="22">
        <v>9.5605749486652982</v>
      </c>
      <c r="K79" s="22">
        <v>3.9835728952772076</v>
      </c>
      <c r="L79" s="22">
        <v>5.6618754277891856</v>
      </c>
      <c r="M79" s="22">
        <v>9.6454483230663932</v>
      </c>
      <c r="N79" s="22">
        <v>4.0410677618069819</v>
      </c>
      <c r="O79" s="22">
        <v>5.292265571526352</v>
      </c>
      <c r="P79" s="22">
        <v>9.3333333333333339</v>
      </c>
      <c r="Q79" s="22">
        <v>3.3374401095140316</v>
      </c>
      <c r="R79" s="22" t="s">
        <v>8</v>
      </c>
      <c r="S79" s="22" t="s">
        <v>8</v>
      </c>
      <c r="T79" s="20">
        <v>4</v>
      </c>
      <c r="U79" s="20">
        <v>16</v>
      </c>
      <c r="V79" s="20" t="s">
        <v>1</v>
      </c>
      <c r="W79" s="20">
        <v>5</v>
      </c>
      <c r="X79" s="20">
        <v>3</v>
      </c>
      <c r="Y79" s="5">
        <v>1</v>
      </c>
      <c r="Z79" s="20">
        <v>4</v>
      </c>
      <c r="AA79" s="23">
        <f t="shared" si="2"/>
        <v>1</v>
      </c>
      <c r="AB79" s="15">
        <v>1</v>
      </c>
      <c r="AC79" s="15">
        <v>1</v>
      </c>
      <c r="AD79" s="15">
        <v>0.66700000000000004</v>
      </c>
      <c r="AE79" s="15">
        <v>0.91700000000000004</v>
      </c>
      <c r="AF79" s="20">
        <v>22</v>
      </c>
      <c r="AG79" s="20">
        <v>9.15</v>
      </c>
      <c r="AH79" s="24">
        <v>24</v>
      </c>
      <c r="AI79" s="23">
        <f t="shared" si="3"/>
        <v>1</v>
      </c>
      <c r="AJ79" s="15">
        <v>10.5</v>
      </c>
      <c r="AK79" s="15">
        <v>11.5</v>
      </c>
      <c r="AL79" s="25">
        <v>22</v>
      </c>
      <c r="AM79" s="23" cm="1">
        <f t="array" ref="AM79">IF(OR(AN79:AZ79=""),"BLANK",IF(AND(AN79:AZ79&lt;9999999),1,IF(AND(AN79:AZ79="NA"),3,2)))</f>
        <v>1</v>
      </c>
      <c r="AN79" s="20">
        <v>9</v>
      </c>
      <c r="AO79" s="20">
        <v>2</v>
      </c>
      <c r="AP79" s="15">
        <v>3</v>
      </c>
      <c r="AQ79" s="15">
        <v>4.75</v>
      </c>
      <c r="AR79" s="15">
        <v>6.5</v>
      </c>
      <c r="AS79" s="26">
        <v>2450</v>
      </c>
      <c r="AT79" s="26">
        <v>4115</v>
      </c>
      <c r="AU79" s="26">
        <v>9246.25</v>
      </c>
      <c r="AV79" s="26">
        <v>8562.75</v>
      </c>
      <c r="AW79" s="26">
        <v>0</v>
      </c>
      <c r="AX79" s="26">
        <v>0</v>
      </c>
      <c r="AY79" s="26">
        <v>10.725</v>
      </c>
      <c r="AZ79" s="26">
        <v>0</v>
      </c>
      <c r="BA79" s="23">
        <v>3</v>
      </c>
      <c r="BB79" s="24" t="s">
        <v>8</v>
      </c>
    </row>
    <row r="80" spans="1:54" x14ac:dyDescent="0.2">
      <c r="A80" s="21">
        <v>927</v>
      </c>
      <c r="B80" s="20" t="s">
        <v>77</v>
      </c>
      <c r="C80" s="18" t="s">
        <v>54</v>
      </c>
      <c r="D80" s="18">
        <v>5</v>
      </c>
      <c r="E80" s="18">
        <v>0</v>
      </c>
      <c r="F80" s="51" t="s">
        <v>9</v>
      </c>
      <c r="G80" s="18">
        <v>30</v>
      </c>
      <c r="H80" s="22">
        <v>4.1232032854209448</v>
      </c>
      <c r="I80" s="22">
        <v>5.3661875427789187</v>
      </c>
      <c r="J80" s="22">
        <v>9.4893908281998627</v>
      </c>
      <c r="K80" s="22">
        <v>4.1232032854209448</v>
      </c>
      <c r="L80" s="22">
        <v>5.3661875427789187</v>
      </c>
      <c r="M80" s="22">
        <v>9.4893908281998627</v>
      </c>
      <c r="N80" s="22">
        <v>4.1204654346338128</v>
      </c>
      <c r="O80" s="22">
        <v>4.9774127310061598</v>
      </c>
      <c r="P80" s="22">
        <v>9.0978781656399725</v>
      </c>
      <c r="Q80" s="22" t="s">
        <v>8</v>
      </c>
      <c r="R80" s="22" t="s">
        <v>8</v>
      </c>
      <c r="S80" s="22" t="s">
        <v>8</v>
      </c>
      <c r="T80" s="20">
        <v>4</v>
      </c>
      <c r="U80" s="20">
        <v>16</v>
      </c>
      <c r="V80" s="20" t="s">
        <v>1</v>
      </c>
      <c r="W80" s="20">
        <v>5</v>
      </c>
      <c r="X80" s="20">
        <v>3</v>
      </c>
      <c r="Y80" s="5">
        <v>1</v>
      </c>
      <c r="Z80" s="20">
        <v>4</v>
      </c>
      <c r="AA80" s="23">
        <f t="shared" si="2"/>
        <v>1</v>
      </c>
      <c r="AB80" s="15">
        <v>1</v>
      </c>
      <c r="AC80" s="15">
        <v>1</v>
      </c>
      <c r="AD80" s="15">
        <v>1</v>
      </c>
      <c r="AE80" s="15">
        <v>0.95799999999999996</v>
      </c>
      <c r="AF80" s="20">
        <v>23</v>
      </c>
      <c r="AG80" s="20">
        <v>9.43</v>
      </c>
      <c r="AH80" s="24">
        <v>24</v>
      </c>
      <c r="AI80" s="23">
        <f t="shared" si="3"/>
        <v>1</v>
      </c>
      <c r="AJ80" s="15">
        <v>10.5</v>
      </c>
      <c r="AK80" s="15">
        <v>8.75</v>
      </c>
      <c r="AL80" s="25">
        <v>19.25</v>
      </c>
      <c r="AM80" s="23" cm="1">
        <f t="array" ref="AM80">IF(OR(AN80:AZ80=""),"BLANK",IF(AND(AN80:AZ80&lt;9999999),1,IF(AND(AN80:AZ80="NA"),3,2)))</f>
        <v>1</v>
      </c>
      <c r="AN80" s="20">
        <v>12</v>
      </c>
      <c r="AO80" s="20">
        <v>2</v>
      </c>
      <c r="AP80" s="15">
        <v>3</v>
      </c>
      <c r="AQ80" s="15">
        <v>4</v>
      </c>
      <c r="AR80" s="15">
        <v>5</v>
      </c>
      <c r="AS80" s="26">
        <v>1324</v>
      </c>
      <c r="AT80" s="26">
        <v>2010.5</v>
      </c>
      <c r="AU80" s="26">
        <v>5913.25</v>
      </c>
      <c r="AV80" s="26">
        <v>8035.25</v>
      </c>
      <c r="AW80" s="26">
        <v>0</v>
      </c>
      <c r="AX80" s="26">
        <v>0</v>
      </c>
      <c r="AY80" s="26">
        <v>0</v>
      </c>
      <c r="AZ80" s="26">
        <v>0</v>
      </c>
      <c r="BA80" s="23">
        <v>3</v>
      </c>
      <c r="BB80" s="24" t="s">
        <v>8</v>
      </c>
    </row>
    <row r="81" spans="1:54" x14ac:dyDescent="0.2">
      <c r="A81" s="21">
        <v>934</v>
      </c>
      <c r="B81" s="20" t="s">
        <v>75</v>
      </c>
      <c r="C81" s="18" t="s">
        <v>54</v>
      </c>
      <c r="D81" s="18">
        <v>5</v>
      </c>
      <c r="E81" s="18">
        <v>0</v>
      </c>
      <c r="F81" s="51" t="s">
        <v>9</v>
      </c>
      <c r="G81" s="18">
        <v>30</v>
      </c>
      <c r="H81" s="22">
        <v>4.0273785078713207</v>
      </c>
      <c r="I81" s="22">
        <v>5.5195071868583163</v>
      </c>
      <c r="J81" s="22">
        <v>9.546885694729637</v>
      </c>
      <c r="K81" s="22">
        <v>4.0273785078713207</v>
      </c>
      <c r="L81" s="22">
        <v>5.5195071868583163</v>
      </c>
      <c r="M81" s="22">
        <v>9.546885694729637</v>
      </c>
      <c r="N81" s="22">
        <v>3.9726214921286789</v>
      </c>
      <c r="O81" s="22">
        <v>5.1964407939767279</v>
      </c>
      <c r="P81" s="22">
        <v>9.1690622861054081</v>
      </c>
      <c r="Q81" s="22">
        <v>3.2881587953456535</v>
      </c>
      <c r="R81" s="22">
        <v>6.4010951403148528</v>
      </c>
      <c r="S81" s="22">
        <v>9.6892539356605063</v>
      </c>
      <c r="T81" s="20">
        <v>3</v>
      </c>
      <c r="U81" s="20">
        <v>13</v>
      </c>
      <c r="V81" s="20" t="s">
        <v>1</v>
      </c>
      <c r="W81" s="20">
        <v>5</v>
      </c>
      <c r="X81" s="20">
        <v>3</v>
      </c>
      <c r="Y81" s="5">
        <v>1</v>
      </c>
      <c r="Z81" s="20">
        <v>4</v>
      </c>
      <c r="AA81" s="23">
        <f t="shared" si="2"/>
        <v>1</v>
      </c>
      <c r="AB81" s="15">
        <v>1</v>
      </c>
      <c r="AC81" s="15">
        <v>0.66700000000000004</v>
      </c>
      <c r="AD81" s="15">
        <v>0.5</v>
      </c>
      <c r="AE81" s="15">
        <v>0.75</v>
      </c>
      <c r="AF81" s="20">
        <v>18</v>
      </c>
      <c r="AG81" s="20">
        <v>6.62</v>
      </c>
      <c r="AH81" s="24">
        <v>24</v>
      </c>
      <c r="AI81" s="23">
        <f t="shared" si="3"/>
        <v>1</v>
      </c>
      <c r="AJ81" s="15">
        <v>8</v>
      </c>
      <c r="AK81" s="15">
        <v>8.5</v>
      </c>
      <c r="AL81" s="25">
        <v>16.5</v>
      </c>
      <c r="AM81" s="23" cm="1">
        <f t="array" ref="AM81">IF(OR(AN81:AZ81=""),"BLANK",IF(AND(AN81:AZ81&lt;9999999),1,IF(AND(AN81:AZ81="NA"),3,2)))</f>
        <v>1</v>
      </c>
      <c r="AN81" s="20">
        <v>5</v>
      </c>
      <c r="AO81" s="20">
        <v>2</v>
      </c>
      <c r="AP81" s="15">
        <v>3</v>
      </c>
      <c r="AQ81" s="15">
        <v>7</v>
      </c>
      <c r="AR81" s="15">
        <v>12</v>
      </c>
      <c r="AS81" s="26">
        <v>3598.5</v>
      </c>
      <c r="AT81" s="26">
        <v>7738</v>
      </c>
      <c r="AU81" s="26">
        <v>12145.5</v>
      </c>
      <c r="AV81" s="26">
        <v>17952</v>
      </c>
      <c r="AW81" s="26">
        <v>0</v>
      </c>
      <c r="AX81" s="26">
        <v>15.333333333300001</v>
      </c>
      <c r="AY81" s="26">
        <v>3448.6736111110999</v>
      </c>
      <c r="AZ81" s="26">
        <v>4599.3333333333003</v>
      </c>
      <c r="BA81" s="23">
        <v>3</v>
      </c>
      <c r="BB81" s="24" t="s">
        <v>8</v>
      </c>
    </row>
    <row r="82" spans="1:54" x14ac:dyDescent="0.2">
      <c r="A82" s="21">
        <v>940</v>
      </c>
      <c r="B82" s="20" t="s">
        <v>74</v>
      </c>
      <c r="C82" s="18" t="s">
        <v>54</v>
      </c>
      <c r="D82" s="18">
        <v>5</v>
      </c>
      <c r="E82" s="18">
        <v>0</v>
      </c>
      <c r="F82" s="51" t="s">
        <v>9</v>
      </c>
      <c r="G82" s="18">
        <v>29</v>
      </c>
      <c r="H82" s="22">
        <v>4.0629705681040384</v>
      </c>
      <c r="I82" s="22">
        <v>5.3497604380561263</v>
      </c>
      <c r="J82" s="22">
        <v>9.4127310061601648</v>
      </c>
      <c r="K82" s="22">
        <v>4.0629705681040384</v>
      </c>
      <c r="L82" s="22">
        <v>5.3935660506502394</v>
      </c>
      <c r="M82" s="22">
        <v>9.4565366187542779</v>
      </c>
      <c r="N82" s="22">
        <v>4.0246406570841886</v>
      </c>
      <c r="O82" s="22">
        <v>5.075975359342916</v>
      </c>
      <c r="P82" s="22">
        <v>9.1006160164271055</v>
      </c>
      <c r="Q82" s="22">
        <v>3.57015742642026</v>
      </c>
      <c r="R82" s="22">
        <v>6.0862422997946615</v>
      </c>
      <c r="S82" s="22">
        <v>9.6563997262149215</v>
      </c>
      <c r="T82" s="20" t="s">
        <v>8</v>
      </c>
      <c r="U82" s="20" t="s">
        <v>8</v>
      </c>
      <c r="V82" s="20" t="s">
        <v>1</v>
      </c>
      <c r="W82" s="20">
        <v>5</v>
      </c>
      <c r="X82" s="20">
        <v>3</v>
      </c>
      <c r="Y82" s="5">
        <v>1</v>
      </c>
      <c r="Z82" s="20">
        <v>4</v>
      </c>
      <c r="AA82" s="23">
        <f t="shared" si="2"/>
        <v>1</v>
      </c>
      <c r="AB82" s="15">
        <v>1</v>
      </c>
      <c r="AC82" s="15">
        <v>1</v>
      </c>
      <c r="AD82" s="15">
        <v>0.83299999999999996</v>
      </c>
      <c r="AE82" s="15">
        <v>0.91700000000000004</v>
      </c>
      <c r="AF82" s="20">
        <v>22</v>
      </c>
      <c r="AG82" s="20">
        <v>0.03</v>
      </c>
      <c r="AH82" s="24">
        <v>24</v>
      </c>
      <c r="AI82" s="23">
        <f t="shared" si="3"/>
        <v>1</v>
      </c>
      <c r="AJ82" s="15">
        <v>7.5</v>
      </c>
      <c r="AK82" s="15">
        <v>8.5</v>
      </c>
      <c r="AL82" s="25">
        <v>16</v>
      </c>
      <c r="AM82" s="23" cm="1">
        <f t="array" ref="AM82">IF(OR(AN82:AZ82=""),"BLANK",IF(AND(AN82:AZ82&lt;9999999),1,IF(AND(AN82:AZ82="NA"),3,2)))</f>
        <v>1</v>
      </c>
      <c r="AN82" s="20">
        <v>9</v>
      </c>
      <c r="AO82" s="20">
        <v>2</v>
      </c>
      <c r="AP82" s="15">
        <v>3</v>
      </c>
      <c r="AQ82" s="15">
        <v>6.5</v>
      </c>
      <c r="AR82" s="15">
        <v>5.5</v>
      </c>
      <c r="AS82" s="26">
        <v>1114</v>
      </c>
      <c r="AT82" s="26">
        <v>3626.5</v>
      </c>
      <c r="AU82" s="26">
        <v>8008</v>
      </c>
      <c r="AV82" s="26">
        <v>11705.25</v>
      </c>
      <c r="AW82" s="26">
        <v>0</v>
      </c>
      <c r="AX82" s="26">
        <v>0</v>
      </c>
      <c r="AY82" s="26">
        <v>1581.4027777778001</v>
      </c>
      <c r="AZ82" s="26">
        <v>622.67142857140004</v>
      </c>
      <c r="BA82" s="23">
        <v>3</v>
      </c>
      <c r="BB82" s="24" t="s">
        <v>8</v>
      </c>
    </row>
    <row r="83" spans="1:54" x14ac:dyDescent="0.2">
      <c r="A83" s="21">
        <v>941</v>
      </c>
      <c r="B83" s="20" t="s">
        <v>8</v>
      </c>
      <c r="C83" s="18" t="s">
        <v>54</v>
      </c>
      <c r="D83" s="18">
        <v>5</v>
      </c>
      <c r="E83" s="18">
        <v>0</v>
      </c>
      <c r="F83" s="51" t="s">
        <v>9</v>
      </c>
      <c r="G83" s="18">
        <v>30</v>
      </c>
      <c r="H83" s="22" t="s">
        <v>8</v>
      </c>
      <c r="I83" s="22" t="s">
        <v>8</v>
      </c>
      <c r="J83" s="22">
        <v>9.8945927446954141</v>
      </c>
      <c r="K83" s="22" t="s">
        <v>8</v>
      </c>
      <c r="L83" s="22" t="s">
        <v>8</v>
      </c>
      <c r="M83" s="22">
        <v>9.9657768651608496</v>
      </c>
      <c r="N83" s="22" t="s">
        <v>8</v>
      </c>
      <c r="O83" s="22" t="s">
        <v>8</v>
      </c>
      <c r="P83" s="22">
        <v>9.7549623545516777</v>
      </c>
      <c r="Q83" s="22" t="s">
        <v>8</v>
      </c>
      <c r="R83" s="22" t="s">
        <v>8</v>
      </c>
      <c r="S83" s="22" t="s">
        <v>8</v>
      </c>
      <c r="T83" s="20" t="s">
        <v>8</v>
      </c>
      <c r="U83" s="20" t="s">
        <v>8</v>
      </c>
      <c r="V83" s="20" t="s">
        <v>1</v>
      </c>
      <c r="W83" s="20">
        <v>5</v>
      </c>
      <c r="X83" s="20">
        <v>3</v>
      </c>
      <c r="Y83" s="5">
        <v>1</v>
      </c>
      <c r="Z83" s="20">
        <v>4</v>
      </c>
      <c r="AA83" s="23">
        <f t="shared" si="2"/>
        <v>1</v>
      </c>
      <c r="AB83" s="15">
        <v>1</v>
      </c>
      <c r="AC83" s="15">
        <v>1</v>
      </c>
      <c r="AD83" s="15">
        <v>1</v>
      </c>
      <c r="AE83" s="15">
        <v>1</v>
      </c>
      <c r="AF83" s="20">
        <v>24</v>
      </c>
      <c r="AG83" s="20">
        <v>6.5</v>
      </c>
      <c r="AH83" s="24">
        <v>24</v>
      </c>
      <c r="AI83" s="23">
        <f t="shared" si="3"/>
        <v>1</v>
      </c>
      <c r="AJ83" s="15">
        <v>10</v>
      </c>
      <c r="AK83" s="15">
        <v>10</v>
      </c>
      <c r="AL83" s="25">
        <v>20</v>
      </c>
      <c r="AM83" s="23" cm="1">
        <f t="array" ref="AM83">IF(OR(AN83:AZ83=""),"BLANK",IF(AND(AN83:AZ83&lt;9999999),1,IF(AND(AN83:AZ83="NA"),3,2)))</f>
        <v>1</v>
      </c>
      <c r="AN83" s="20">
        <v>8</v>
      </c>
      <c r="AO83" s="20">
        <v>2</v>
      </c>
      <c r="AP83" s="15">
        <v>3</v>
      </c>
      <c r="AQ83" s="15">
        <v>4.5</v>
      </c>
      <c r="AR83" s="15">
        <v>8</v>
      </c>
      <c r="AS83" s="26">
        <v>2404</v>
      </c>
      <c r="AT83" s="26">
        <v>3496</v>
      </c>
      <c r="AU83" s="26">
        <v>8809.25</v>
      </c>
      <c r="AV83" s="26">
        <v>11557.25</v>
      </c>
      <c r="AW83" s="26">
        <v>0</v>
      </c>
      <c r="AX83" s="26">
        <v>0</v>
      </c>
      <c r="AY83" s="26">
        <v>0</v>
      </c>
      <c r="AZ83" s="26">
        <v>669.27916666670001</v>
      </c>
      <c r="BA83" s="23">
        <v>3</v>
      </c>
      <c r="BB83" s="24" t="s">
        <v>8</v>
      </c>
    </row>
    <row r="84" spans="1:54" x14ac:dyDescent="0.2">
      <c r="A84" s="21">
        <v>946</v>
      </c>
      <c r="B84" s="20" t="s">
        <v>78</v>
      </c>
      <c r="C84" s="18" t="s">
        <v>55</v>
      </c>
      <c r="D84" s="18">
        <v>5</v>
      </c>
      <c r="E84" s="18">
        <v>0</v>
      </c>
      <c r="F84" s="51" t="s">
        <v>9</v>
      </c>
      <c r="G84" s="18">
        <v>30</v>
      </c>
      <c r="H84" s="22">
        <v>4.0301163586584527</v>
      </c>
      <c r="I84" s="22">
        <v>5.3059548254620124</v>
      </c>
      <c r="J84" s="22">
        <v>9.3360711841204651</v>
      </c>
      <c r="K84" s="22">
        <v>4.0301163586584527</v>
      </c>
      <c r="L84" s="22">
        <v>5.3059548254620124</v>
      </c>
      <c r="M84" s="22">
        <v>9.3360711841204651</v>
      </c>
      <c r="N84" s="22">
        <v>4.0082135523613962</v>
      </c>
      <c r="O84" s="22">
        <v>5.2703627652292946</v>
      </c>
      <c r="P84" s="22">
        <v>9.2785763175906908</v>
      </c>
      <c r="Q84" s="22" t="s">
        <v>8</v>
      </c>
      <c r="R84" s="22" t="s">
        <v>8</v>
      </c>
      <c r="S84" s="22" t="s">
        <v>8</v>
      </c>
      <c r="T84" s="20">
        <v>3</v>
      </c>
      <c r="U84" s="20">
        <v>14</v>
      </c>
      <c r="V84" s="20" t="s">
        <v>1</v>
      </c>
      <c r="W84" s="20">
        <v>5</v>
      </c>
      <c r="X84" s="20">
        <v>3</v>
      </c>
      <c r="Y84" s="5">
        <v>1</v>
      </c>
      <c r="Z84" s="20">
        <v>4</v>
      </c>
      <c r="AA84" s="23">
        <f t="shared" si="2"/>
        <v>1</v>
      </c>
      <c r="AB84" s="15">
        <v>1</v>
      </c>
      <c r="AC84" s="15">
        <v>1</v>
      </c>
      <c r="AD84" s="15">
        <v>0.83299999999999996</v>
      </c>
      <c r="AE84" s="15">
        <v>0.95799999999999996</v>
      </c>
      <c r="AF84" s="20">
        <v>23</v>
      </c>
      <c r="AG84" s="20">
        <v>9.83</v>
      </c>
      <c r="AH84" s="24">
        <v>24</v>
      </c>
      <c r="AI84" s="23">
        <f t="shared" si="3"/>
        <v>1</v>
      </c>
      <c r="AJ84" s="15">
        <v>13</v>
      </c>
      <c r="AK84" s="15">
        <v>10.75</v>
      </c>
      <c r="AL84" s="25">
        <v>23.75</v>
      </c>
      <c r="AM84" s="23" cm="1">
        <f t="array" ref="AM84">IF(OR(AN84:AZ84=""),"BLANK",IF(AND(AN84:AZ84&lt;9999999),1,IF(AND(AN84:AZ84="NA"),3,2)))</f>
        <v>1</v>
      </c>
      <c r="AN84" s="20">
        <v>12</v>
      </c>
      <c r="AO84" s="20">
        <v>2</v>
      </c>
      <c r="AP84" s="15">
        <v>3</v>
      </c>
      <c r="AQ84" s="15">
        <v>4</v>
      </c>
      <c r="AR84" s="15">
        <v>5</v>
      </c>
      <c r="AS84" s="26">
        <v>1923.5</v>
      </c>
      <c r="AT84" s="26">
        <v>3737.5</v>
      </c>
      <c r="AU84" s="26">
        <v>12432.25</v>
      </c>
      <c r="AV84" s="26">
        <v>13696.75</v>
      </c>
      <c r="AW84" s="26">
        <v>0</v>
      </c>
      <c r="AX84" s="26">
        <v>0</v>
      </c>
      <c r="AY84" s="26">
        <v>26.9375</v>
      </c>
      <c r="AZ84" s="26">
        <v>0</v>
      </c>
      <c r="BA84" s="23">
        <v>3</v>
      </c>
      <c r="BB84" s="24" t="s">
        <v>8</v>
      </c>
    </row>
    <row r="85" spans="1:54" x14ac:dyDescent="0.2">
      <c r="A85" s="19">
        <v>975</v>
      </c>
      <c r="B85" s="20" t="s">
        <v>65</v>
      </c>
      <c r="C85" s="18" t="s">
        <v>54</v>
      </c>
      <c r="D85" s="18">
        <v>3</v>
      </c>
      <c r="E85" s="18">
        <v>1</v>
      </c>
      <c r="F85" s="51" t="s">
        <v>9</v>
      </c>
      <c r="G85" s="18" t="s">
        <v>8</v>
      </c>
      <c r="H85" s="22" t="s">
        <v>8</v>
      </c>
      <c r="I85" s="22" t="s">
        <v>8</v>
      </c>
      <c r="J85" s="22">
        <v>9.6865160848733751</v>
      </c>
      <c r="K85" s="22" t="s">
        <v>8</v>
      </c>
      <c r="L85" s="22" t="s">
        <v>8</v>
      </c>
      <c r="M85" s="22" t="s">
        <v>8</v>
      </c>
      <c r="N85" s="22" t="s">
        <v>8</v>
      </c>
      <c r="O85" s="22" t="s">
        <v>8</v>
      </c>
      <c r="P85" s="22">
        <v>9.5989048596851472</v>
      </c>
      <c r="Q85" s="22" t="s">
        <v>8</v>
      </c>
      <c r="R85" s="22" t="s">
        <v>8</v>
      </c>
      <c r="S85" s="22" t="s">
        <v>8</v>
      </c>
      <c r="T85" s="20" t="s">
        <v>8</v>
      </c>
      <c r="U85" s="20" t="s">
        <v>8</v>
      </c>
      <c r="V85" s="20" t="s">
        <v>1</v>
      </c>
      <c r="W85" s="20">
        <v>5</v>
      </c>
      <c r="X85" s="20">
        <v>3</v>
      </c>
      <c r="Y85" s="5">
        <v>1</v>
      </c>
      <c r="Z85" s="20">
        <v>4</v>
      </c>
      <c r="AA85" s="23">
        <f t="shared" si="2"/>
        <v>3</v>
      </c>
      <c r="AB85" s="15" t="s">
        <v>8</v>
      </c>
      <c r="AC85" s="15" t="s">
        <v>8</v>
      </c>
      <c r="AD85" s="15" t="s">
        <v>8</v>
      </c>
      <c r="AE85" s="15" t="s">
        <v>8</v>
      </c>
      <c r="AF85" s="20" t="s">
        <v>8</v>
      </c>
      <c r="AG85" s="20" t="s">
        <v>8</v>
      </c>
      <c r="AH85" s="24" t="s">
        <v>8</v>
      </c>
      <c r="AI85" s="23">
        <f t="shared" si="3"/>
        <v>3</v>
      </c>
      <c r="AJ85" s="15" t="s">
        <v>8</v>
      </c>
      <c r="AK85" s="15" t="s">
        <v>8</v>
      </c>
      <c r="AL85" s="25" t="s">
        <v>8</v>
      </c>
      <c r="AM85" s="23" cm="1">
        <f t="array" ref="AM85">IF(OR(AN85:AZ85=""),"BLANK",IF(AND(AN85:AZ85&lt;9999999),1,IF(AND(AN85:AZ85="NA"),3,2)))</f>
        <v>1</v>
      </c>
      <c r="AN85" s="20">
        <v>10</v>
      </c>
      <c r="AO85" s="20">
        <v>2</v>
      </c>
      <c r="AP85" s="15">
        <v>3</v>
      </c>
      <c r="AQ85" s="15">
        <v>5.25</v>
      </c>
      <c r="AR85" s="15">
        <v>6.75</v>
      </c>
      <c r="AS85" s="26">
        <v>1673</v>
      </c>
      <c r="AT85" s="26">
        <v>2961.5</v>
      </c>
      <c r="AU85" s="26">
        <v>5859.25</v>
      </c>
      <c r="AV85" s="26">
        <v>12908.75</v>
      </c>
      <c r="AW85" s="26">
        <v>0</v>
      </c>
      <c r="AX85" s="26">
        <v>334.5</v>
      </c>
      <c r="AY85" s="26">
        <v>870.0347222222</v>
      </c>
      <c r="AZ85" s="26">
        <v>1766.6166666667</v>
      </c>
      <c r="BA85" s="23">
        <v>3</v>
      </c>
      <c r="BB85" s="24" t="s">
        <v>8</v>
      </c>
    </row>
    <row r="86" spans="1:54" x14ac:dyDescent="0.2">
      <c r="A86" s="21">
        <v>976</v>
      </c>
      <c r="B86" s="20" t="s">
        <v>78</v>
      </c>
      <c r="C86" s="18" t="s">
        <v>54</v>
      </c>
      <c r="D86" s="18">
        <v>5</v>
      </c>
      <c r="E86" s="18">
        <v>0</v>
      </c>
      <c r="F86" s="51" t="s">
        <v>9</v>
      </c>
      <c r="G86" s="18">
        <v>25</v>
      </c>
      <c r="H86" s="22">
        <v>3.9698836413415468</v>
      </c>
      <c r="I86" s="22">
        <v>5.4948665297741277</v>
      </c>
      <c r="J86" s="22">
        <v>9.464750171115675</v>
      </c>
      <c r="K86" s="22">
        <v>3.9698836413415468</v>
      </c>
      <c r="L86" s="22">
        <v>5.4948665297741277</v>
      </c>
      <c r="M86" s="22">
        <v>9.464750171115675</v>
      </c>
      <c r="N86" s="22">
        <v>4.0301163586584527</v>
      </c>
      <c r="O86" s="22">
        <v>5.0020533880903493</v>
      </c>
      <c r="P86" s="22">
        <v>9.0321697467488029</v>
      </c>
      <c r="Q86" s="22">
        <v>3.3675564681724848</v>
      </c>
      <c r="R86" s="22">
        <v>5.9274469541409998</v>
      </c>
      <c r="S86" s="22">
        <v>9.2950034223134832</v>
      </c>
      <c r="T86" s="20">
        <v>3</v>
      </c>
      <c r="U86" s="20">
        <v>14</v>
      </c>
      <c r="V86" s="20" t="s">
        <v>1</v>
      </c>
      <c r="W86" s="20">
        <v>5</v>
      </c>
      <c r="X86" s="20">
        <v>3</v>
      </c>
      <c r="Y86" s="5">
        <v>1</v>
      </c>
      <c r="Z86" s="20">
        <v>4</v>
      </c>
      <c r="AA86" s="23">
        <f t="shared" si="2"/>
        <v>1</v>
      </c>
      <c r="AB86" s="15">
        <v>1</v>
      </c>
      <c r="AC86" s="15">
        <v>0.5</v>
      </c>
      <c r="AD86" s="15">
        <v>0.66700000000000004</v>
      </c>
      <c r="AE86" s="15">
        <v>0.75</v>
      </c>
      <c r="AF86" s="20">
        <v>18</v>
      </c>
      <c r="AG86" s="20">
        <v>8.4700000000000006</v>
      </c>
      <c r="AH86" s="24">
        <v>24</v>
      </c>
      <c r="AI86" s="23">
        <f t="shared" si="3"/>
        <v>1</v>
      </c>
      <c r="AJ86" s="15">
        <v>12.5</v>
      </c>
      <c r="AK86" s="15">
        <v>9.5</v>
      </c>
      <c r="AL86" s="25">
        <v>22</v>
      </c>
      <c r="AM86" s="23" cm="1">
        <f t="array" ref="AM86">IF(OR(AN86:AZ86=""),"BLANK",IF(AND(AN86:AZ86&lt;9999999),1,IF(AND(AN86:AZ86="NA"),3,2)))</f>
        <v>1</v>
      </c>
      <c r="AN86" s="20">
        <v>8</v>
      </c>
      <c r="AO86" s="20">
        <v>2</v>
      </c>
      <c r="AP86" s="15">
        <v>3</v>
      </c>
      <c r="AQ86" s="15">
        <v>6.25</v>
      </c>
      <c r="AR86" s="15">
        <v>5.75</v>
      </c>
      <c r="AS86" s="26">
        <v>1392.5</v>
      </c>
      <c r="AT86" s="26">
        <v>6377.5</v>
      </c>
      <c r="AU86" s="26">
        <v>17378.5</v>
      </c>
      <c r="AV86" s="26">
        <v>16413</v>
      </c>
      <c r="AW86" s="26">
        <v>38.25</v>
      </c>
      <c r="AX86" s="26">
        <v>140</v>
      </c>
      <c r="AY86" s="26">
        <v>1575.4375</v>
      </c>
      <c r="AZ86" s="26">
        <v>164.625</v>
      </c>
      <c r="BA86" s="23">
        <v>3</v>
      </c>
      <c r="BB86" s="24" t="s">
        <v>8</v>
      </c>
    </row>
    <row r="87" spans="1:54" x14ac:dyDescent="0.2">
      <c r="A87" s="21">
        <v>988</v>
      </c>
      <c r="B87" s="20" t="s">
        <v>79</v>
      </c>
      <c r="C87" s="18" t="s">
        <v>54</v>
      </c>
      <c r="D87" s="18">
        <v>5</v>
      </c>
      <c r="E87" s="18">
        <v>0</v>
      </c>
      <c r="F87" s="51" t="s">
        <v>9</v>
      </c>
      <c r="G87" s="18">
        <v>30</v>
      </c>
      <c r="H87" s="22">
        <v>4.1067761806981515</v>
      </c>
      <c r="I87" s="22">
        <v>5.6399726214921291</v>
      </c>
      <c r="J87" s="22">
        <v>9.7467488021902806</v>
      </c>
      <c r="K87" s="22">
        <v>4.1067761806981515</v>
      </c>
      <c r="L87" s="22">
        <v>5.6399726214921291</v>
      </c>
      <c r="M87" s="22">
        <v>9.7467488021902806</v>
      </c>
      <c r="N87" s="22">
        <v>3.9288158795345653</v>
      </c>
      <c r="O87" s="22">
        <v>5.637234770704997</v>
      </c>
      <c r="P87" s="22">
        <v>9.5660506502395624</v>
      </c>
      <c r="Q87" s="22" t="s">
        <v>8</v>
      </c>
      <c r="R87" s="22" t="s">
        <v>8</v>
      </c>
      <c r="S87" s="22" t="s">
        <v>8</v>
      </c>
      <c r="T87" s="20" t="s">
        <v>8</v>
      </c>
      <c r="U87" s="20" t="s">
        <v>8</v>
      </c>
      <c r="V87" s="20" t="s">
        <v>1</v>
      </c>
      <c r="W87" s="20">
        <v>5</v>
      </c>
      <c r="X87" s="20">
        <v>3</v>
      </c>
      <c r="Y87" s="5">
        <v>1</v>
      </c>
      <c r="Z87" s="20">
        <v>4</v>
      </c>
      <c r="AA87" s="23">
        <f t="shared" si="2"/>
        <v>1</v>
      </c>
      <c r="AB87" s="15">
        <v>1</v>
      </c>
      <c r="AC87" s="15">
        <v>1</v>
      </c>
      <c r="AD87" s="15">
        <v>1</v>
      </c>
      <c r="AE87" s="15">
        <v>1</v>
      </c>
      <c r="AF87" s="20">
        <v>24</v>
      </c>
      <c r="AG87" s="20">
        <v>3.15</v>
      </c>
      <c r="AH87" s="24">
        <v>24</v>
      </c>
      <c r="AI87" s="23">
        <f t="shared" si="3"/>
        <v>1</v>
      </c>
      <c r="AJ87" s="15">
        <v>14</v>
      </c>
      <c r="AK87" s="15">
        <v>10</v>
      </c>
      <c r="AL87" s="25">
        <v>24</v>
      </c>
      <c r="AM87" s="23" cm="1">
        <f t="array" ref="AM87">IF(OR(AN87:AZ87=""),"BLANK",IF(AND(AN87:AZ87&lt;9999999),1,IF(AND(AN87:AZ87="NA"),3,2)))</f>
        <v>3</v>
      </c>
      <c r="AN87" s="20" t="s">
        <v>8</v>
      </c>
      <c r="AO87" s="20" t="s">
        <v>8</v>
      </c>
      <c r="AP87" s="15" t="s">
        <v>8</v>
      </c>
      <c r="AQ87" s="15" t="s">
        <v>8</v>
      </c>
      <c r="AR87" s="15" t="s">
        <v>8</v>
      </c>
      <c r="AS87" s="26" t="s">
        <v>8</v>
      </c>
      <c r="AT87" s="26" t="s">
        <v>8</v>
      </c>
      <c r="AU87" s="26" t="s">
        <v>8</v>
      </c>
      <c r="AV87" s="26" t="s">
        <v>8</v>
      </c>
      <c r="AW87" s="26" t="s">
        <v>8</v>
      </c>
      <c r="AX87" s="26" t="s">
        <v>8</v>
      </c>
      <c r="AY87" s="26" t="s">
        <v>8</v>
      </c>
      <c r="AZ87" s="26" t="s">
        <v>8</v>
      </c>
      <c r="BA87" s="23">
        <v>3</v>
      </c>
      <c r="BB87" s="24" t="s">
        <v>8</v>
      </c>
    </row>
    <row r="88" spans="1:54" x14ac:dyDescent="0.2">
      <c r="A88" s="21">
        <v>989</v>
      </c>
      <c r="B88" s="20" t="s">
        <v>76</v>
      </c>
      <c r="C88" s="18" t="s">
        <v>55</v>
      </c>
      <c r="D88" s="18">
        <v>5</v>
      </c>
      <c r="E88" s="18">
        <v>0</v>
      </c>
      <c r="F88" s="51" t="s">
        <v>9</v>
      </c>
      <c r="G88" s="18">
        <v>30</v>
      </c>
      <c r="H88" s="22">
        <v>4.1067761806981515</v>
      </c>
      <c r="I88" s="22">
        <v>5.6399726214921291</v>
      </c>
      <c r="J88" s="22">
        <v>9.7467488021902806</v>
      </c>
      <c r="K88" s="22">
        <v>4.1067761806981515</v>
      </c>
      <c r="L88" s="22">
        <v>5.6399726214921291</v>
      </c>
      <c r="M88" s="22">
        <v>9.7467488021902806</v>
      </c>
      <c r="N88" s="22">
        <v>3.9425051334702257</v>
      </c>
      <c r="O88" s="22">
        <v>5.6344969199178641</v>
      </c>
      <c r="P88" s="22">
        <v>9.5770020533880906</v>
      </c>
      <c r="Q88" s="22" t="s">
        <v>8</v>
      </c>
      <c r="R88" s="22" t="s">
        <v>8</v>
      </c>
      <c r="S88" s="22" t="s">
        <v>8</v>
      </c>
      <c r="T88" s="20">
        <v>4</v>
      </c>
      <c r="U88" s="20">
        <v>16</v>
      </c>
      <c r="V88" s="20" t="s">
        <v>1</v>
      </c>
      <c r="W88" s="20">
        <v>5</v>
      </c>
      <c r="X88" s="20">
        <v>3</v>
      </c>
      <c r="Y88" s="5">
        <v>1</v>
      </c>
      <c r="Z88" s="20">
        <v>4</v>
      </c>
      <c r="AA88" s="23">
        <f t="shared" si="2"/>
        <v>1</v>
      </c>
      <c r="AB88" s="15">
        <v>1</v>
      </c>
      <c r="AC88" s="15">
        <v>1</v>
      </c>
      <c r="AD88" s="15">
        <v>1</v>
      </c>
      <c r="AE88" s="15">
        <v>1</v>
      </c>
      <c r="AF88" s="20">
        <v>24</v>
      </c>
      <c r="AG88" s="20">
        <v>10.220000000000001</v>
      </c>
      <c r="AH88" s="24">
        <v>24</v>
      </c>
      <c r="AI88" s="23">
        <f t="shared" si="3"/>
        <v>1</v>
      </c>
      <c r="AJ88" s="15">
        <v>13</v>
      </c>
      <c r="AK88" s="15">
        <v>10.75</v>
      </c>
      <c r="AL88" s="25">
        <v>23.75</v>
      </c>
      <c r="AM88" s="23" cm="1">
        <f t="array" ref="AM88">IF(OR(AN88:AZ88=""),"BLANK",IF(AND(AN88:AZ88&lt;9999999),1,IF(AND(AN88:AZ88="NA"),3,2)))</f>
        <v>1</v>
      </c>
      <c r="AN88" s="20">
        <v>11</v>
      </c>
      <c r="AO88" s="20">
        <v>2</v>
      </c>
      <c r="AP88" s="15">
        <v>3</v>
      </c>
      <c r="AQ88" s="15">
        <v>4</v>
      </c>
      <c r="AR88" s="15">
        <v>5.25</v>
      </c>
      <c r="AS88" s="26">
        <v>589.5</v>
      </c>
      <c r="AT88" s="26">
        <v>2415</v>
      </c>
      <c r="AU88" s="26">
        <v>6695.5</v>
      </c>
      <c r="AV88" s="26">
        <v>17291.25</v>
      </c>
      <c r="AW88" s="26">
        <v>0</v>
      </c>
      <c r="AX88" s="26">
        <v>0</v>
      </c>
      <c r="AY88" s="26">
        <v>0</v>
      </c>
      <c r="AZ88" s="26">
        <v>0</v>
      </c>
      <c r="BA88" s="23">
        <v>3</v>
      </c>
      <c r="BB88" s="24" t="s">
        <v>8</v>
      </c>
    </row>
    <row r="89" spans="1:54" x14ac:dyDescent="0.2">
      <c r="A89" s="21">
        <v>1003</v>
      </c>
      <c r="B89" s="20" t="s">
        <v>75</v>
      </c>
      <c r="C89" s="18" t="s">
        <v>55</v>
      </c>
      <c r="D89" s="18">
        <v>5</v>
      </c>
      <c r="E89" s="18">
        <v>0</v>
      </c>
      <c r="F89" s="51" t="s">
        <v>9</v>
      </c>
      <c r="G89" s="18">
        <v>28</v>
      </c>
      <c r="H89" s="22">
        <v>3.9342915811088295</v>
      </c>
      <c r="I89" s="22">
        <v>5.2731006160164275</v>
      </c>
      <c r="J89" s="22">
        <v>9.207392197125257</v>
      </c>
      <c r="K89" s="22">
        <v>3.9342915811088295</v>
      </c>
      <c r="L89" s="22">
        <v>5.2731006160164275</v>
      </c>
      <c r="M89" s="22">
        <v>9.207392197125257</v>
      </c>
      <c r="N89" s="22">
        <v>3.9206023271731691</v>
      </c>
      <c r="O89" s="22">
        <v>5.0020533880903493</v>
      </c>
      <c r="P89" s="22">
        <v>8.9226557152635184</v>
      </c>
      <c r="Q89" s="22">
        <v>3.2772073921971252</v>
      </c>
      <c r="R89" s="22">
        <v>6.362765229295003</v>
      </c>
      <c r="S89" s="22">
        <v>9.6399726214921291</v>
      </c>
      <c r="T89" s="20" t="s">
        <v>8</v>
      </c>
      <c r="U89" s="20" t="s">
        <v>8</v>
      </c>
      <c r="V89" s="20" t="s">
        <v>1</v>
      </c>
      <c r="W89" s="20">
        <v>5</v>
      </c>
      <c r="X89" s="20">
        <v>3</v>
      </c>
      <c r="Y89" s="5">
        <v>1</v>
      </c>
      <c r="Z89" s="20">
        <v>4</v>
      </c>
      <c r="AA89" s="23">
        <f t="shared" si="2"/>
        <v>1</v>
      </c>
      <c r="AB89" s="15">
        <v>1</v>
      </c>
      <c r="AC89" s="15">
        <v>0.83299999999999996</v>
      </c>
      <c r="AD89" s="15">
        <v>0.83299999999999996</v>
      </c>
      <c r="AE89" s="15">
        <v>0.91700000000000004</v>
      </c>
      <c r="AF89" s="20">
        <v>22</v>
      </c>
      <c r="AG89" s="20">
        <v>8.18</v>
      </c>
      <c r="AH89" s="24">
        <v>24</v>
      </c>
      <c r="AI89" s="23">
        <f t="shared" si="3"/>
        <v>1</v>
      </c>
      <c r="AJ89" s="15">
        <v>11.75</v>
      </c>
      <c r="AK89" s="15">
        <v>9.75</v>
      </c>
      <c r="AL89" s="25">
        <v>21.5</v>
      </c>
      <c r="AM89" s="23" cm="1">
        <f t="array" ref="AM89">IF(OR(AN89:AZ89=""),"BLANK",IF(AND(AN89:AZ89&lt;9999999),1,IF(AND(AN89:AZ89="NA"),3,2)))</f>
        <v>1</v>
      </c>
      <c r="AN89" s="20">
        <v>9</v>
      </c>
      <c r="AO89" s="20">
        <v>2</v>
      </c>
      <c r="AP89" s="15">
        <v>3.5</v>
      </c>
      <c r="AQ89" s="15">
        <v>5.5</v>
      </c>
      <c r="AR89" s="15">
        <v>5</v>
      </c>
      <c r="AS89" s="26">
        <v>3459</v>
      </c>
      <c r="AT89" s="26">
        <v>3164</v>
      </c>
      <c r="AU89" s="26">
        <v>6524.75</v>
      </c>
      <c r="AV89" s="26">
        <v>17056</v>
      </c>
      <c r="AW89" s="26">
        <v>0</v>
      </c>
      <c r="AX89" s="26">
        <v>0</v>
      </c>
      <c r="AY89" s="26">
        <v>1526.1791666667</v>
      </c>
      <c r="AZ89" s="26">
        <v>0</v>
      </c>
      <c r="BA89" s="23">
        <v>3</v>
      </c>
      <c r="BB89" s="24" t="s">
        <v>8</v>
      </c>
    </row>
    <row r="90" spans="1:54" x14ac:dyDescent="0.2">
      <c r="A90" s="21">
        <v>1007</v>
      </c>
      <c r="B90" s="20" t="s">
        <v>81</v>
      </c>
      <c r="C90" s="18" t="s">
        <v>55</v>
      </c>
      <c r="D90" s="18">
        <v>5</v>
      </c>
      <c r="E90" s="18">
        <v>0</v>
      </c>
      <c r="F90" s="51" t="s">
        <v>9</v>
      </c>
      <c r="G90" s="18">
        <v>28</v>
      </c>
      <c r="H90" s="22">
        <v>4.0821355236139629</v>
      </c>
      <c r="I90" s="22">
        <v>5.0650239561943877</v>
      </c>
      <c r="J90" s="22">
        <v>9.1471594798083498</v>
      </c>
      <c r="K90" s="22">
        <v>4.1013004791238874</v>
      </c>
      <c r="L90" s="22">
        <v>5.0485968514715944</v>
      </c>
      <c r="M90" s="22">
        <v>9.1498973305954827</v>
      </c>
      <c r="N90" s="22">
        <v>4.0273785078713207</v>
      </c>
      <c r="O90" s="22">
        <v>4.9993155373032172</v>
      </c>
      <c r="P90" s="22">
        <v>9.0266940451745388</v>
      </c>
      <c r="Q90" s="22">
        <v>3.482546201232033</v>
      </c>
      <c r="R90" s="22">
        <v>5.7960301163586587</v>
      </c>
      <c r="S90" s="22">
        <v>9.2785763175906908</v>
      </c>
      <c r="T90" s="20">
        <v>6</v>
      </c>
      <c r="U90" s="20">
        <v>18</v>
      </c>
      <c r="V90" s="20" t="s">
        <v>1</v>
      </c>
      <c r="W90" s="20">
        <v>5</v>
      </c>
      <c r="X90" s="20">
        <v>3</v>
      </c>
      <c r="Y90" s="5">
        <v>1</v>
      </c>
      <c r="Z90" s="20">
        <v>4</v>
      </c>
      <c r="AA90" s="23">
        <f t="shared" si="2"/>
        <v>1</v>
      </c>
      <c r="AB90" s="15">
        <v>1</v>
      </c>
      <c r="AC90" s="15">
        <v>0.5</v>
      </c>
      <c r="AD90" s="15">
        <v>0.33300000000000002</v>
      </c>
      <c r="AE90" s="15">
        <v>0.58299999999999996</v>
      </c>
      <c r="AF90" s="20">
        <v>14</v>
      </c>
      <c r="AG90" s="20">
        <v>6.22</v>
      </c>
      <c r="AH90" s="24">
        <v>24</v>
      </c>
      <c r="AI90" s="23">
        <f t="shared" si="3"/>
        <v>1</v>
      </c>
      <c r="AJ90" s="15">
        <v>7.5</v>
      </c>
      <c r="AK90" s="15">
        <v>8.5</v>
      </c>
      <c r="AL90" s="25">
        <v>16</v>
      </c>
      <c r="AM90" s="23" cm="1">
        <f t="array" ref="AM90">IF(OR(AN90:AZ90=""),"BLANK",IF(AND(AN90:AZ90&lt;9999999),1,IF(AND(AN90:AZ90="NA"),3,2)))</f>
        <v>1</v>
      </c>
      <c r="AN90" s="20">
        <v>7</v>
      </c>
      <c r="AO90" s="20">
        <v>2</v>
      </c>
      <c r="AP90" s="15">
        <v>3</v>
      </c>
      <c r="AQ90" s="15">
        <v>5.75</v>
      </c>
      <c r="AR90" s="15">
        <v>7</v>
      </c>
      <c r="AS90" s="26">
        <v>3091</v>
      </c>
      <c r="AT90" s="26">
        <v>11453.5</v>
      </c>
      <c r="AU90" s="26">
        <v>15119.5</v>
      </c>
      <c r="AV90" s="26">
        <v>19629.25</v>
      </c>
      <c r="AW90" s="26">
        <v>0</v>
      </c>
      <c r="AX90" s="26">
        <v>240</v>
      </c>
      <c r="AY90" s="26">
        <v>4221.9166666666997</v>
      </c>
      <c r="AZ90" s="26">
        <v>1255.58125</v>
      </c>
      <c r="BA90" s="23">
        <v>3</v>
      </c>
      <c r="BB90" s="24" t="s">
        <v>8</v>
      </c>
    </row>
    <row r="91" spans="1:54" x14ac:dyDescent="0.2">
      <c r="A91" s="21">
        <v>1013</v>
      </c>
      <c r="B91" s="20" t="s">
        <v>71</v>
      </c>
      <c r="C91" s="18" t="s">
        <v>54</v>
      </c>
      <c r="D91" s="18">
        <v>5</v>
      </c>
      <c r="E91" s="18">
        <v>0</v>
      </c>
      <c r="F91" s="51" t="s">
        <v>9</v>
      </c>
      <c r="G91" s="18">
        <v>30</v>
      </c>
      <c r="H91" s="22">
        <v>4.0219028062970565</v>
      </c>
      <c r="I91" s="22">
        <v>5.0841889117043122</v>
      </c>
      <c r="J91" s="22">
        <v>9.1060917180013696</v>
      </c>
      <c r="K91" s="22">
        <v>4.0219028062970565</v>
      </c>
      <c r="L91" s="22">
        <v>5.0841889117043122</v>
      </c>
      <c r="M91" s="22">
        <v>9.1060917180013696</v>
      </c>
      <c r="N91" s="22">
        <v>4.0574948665297743</v>
      </c>
      <c r="O91" s="22">
        <v>4.7912388774811774</v>
      </c>
      <c r="P91" s="22">
        <v>8.8487337440109517</v>
      </c>
      <c r="Q91" s="22" t="s">
        <v>8</v>
      </c>
      <c r="R91" s="22" t="s">
        <v>8</v>
      </c>
      <c r="S91" s="22" t="s">
        <v>8</v>
      </c>
      <c r="T91" s="20">
        <v>6</v>
      </c>
      <c r="U91" s="20">
        <v>18</v>
      </c>
      <c r="V91" s="20" t="s">
        <v>1</v>
      </c>
      <c r="W91" s="20">
        <v>5</v>
      </c>
      <c r="X91" s="20">
        <v>3</v>
      </c>
      <c r="Y91" s="5">
        <v>1</v>
      </c>
      <c r="Z91" s="20">
        <v>4</v>
      </c>
      <c r="AA91" s="23">
        <f t="shared" si="2"/>
        <v>1</v>
      </c>
      <c r="AB91" s="15">
        <v>1</v>
      </c>
      <c r="AC91" s="15">
        <v>0.83299999999999996</v>
      </c>
      <c r="AD91" s="15">
        <v>0.83299999999999996</v>
      </c>
      <c r="AE91" s="15">
        <v>0.91700000000000004</v>
      </c>
      <c r="AF91" s="20">
        <v>22</v>
      </c>
      <c r="AG91" s="20">
        <v>6.52</v>
      </c>
      <c r="AH91" s="24">
        <v>24</v>
      </c>
      <c r="AI91" s="23">
        <f t="shared" si="3"/>
        <v>1</v>
      </c>
      <c r="AJ91" s="15">
        <v>13.75</v>
      </c>
      <c r="AK91" s="15">
        <v>15</v>
      </c>
      <c r="AL91" s="25">
        <v>28.75</v>
      </c>
      <c r="AM91" s="23" cm="1">
        <f t="array" ref="AM91">IF(OR(AN91:AZ91=""),"BLANK",IF(AND(AN91:AZ91&lt;9999999),1,IF(AND(AN91:AZ91="NA"),3,2)))</f>
        <v>1</v>
      </c>
      <c r="AN91" s="20">
        <v>9</v>
      </c>
      <c r="AO91" s="20">
        <v>2</v>
      </c>
      <c r="AP91" s="15">
        <v>3</v>
      </c>
      <c r="AQ91" s="15">
        <v>5.25</v>
      </c>
      <c r="AR91" s="15">
        <v>6.25</v>
      </c>
      <c r="AS91" s="26">
        <v>1359</v>
      </c>
      <c r="AT91" s="26">
        <v>1603.5</v>
      </c>
      <c r="AU91" s="26">
        <v>3597.5</v>
      </c>
      <c r="AV91" s="26">
        <v>16384.25</v>
      </c>
      <c r="AW91" s="26">
        <v>0</v>
      </c>
      <c r="AX91" s="26">
        <v>0</v>
      </c>
      <c r="AY91" s="26">
        <v>372.8333333333</v>
      </c>
      <c r="AZ91" s="26">
        <v>741.36111111109994</v>
      </c>
      <c r="BA91" s="23">
        <v>3</v>
      </c>
      <c r="BB91" s="24" t="s">
        <v>8</v>
      </c>
    </row>
    <row r="92" spans="1:54" x14ac:dyDescent="0.2">
      <c r="A92" s="21">
        <v>1022</v>
      </c>
      <c r="B92" s="20" t="s">
        <v>65</v>
      </c>
      <c r="C92" s="18" t="s">
        <v>54</v>
      </c>
      <c r="D92" s="18">
        <v>5</v>
      </c>
      <c r="E92" s="18">
        <v>0</v>
      </c>
      <c r="F92" s="51" t="s">
        <v>9</v>
      </c>
      <c r="G92" s="18">
        <v>30</v>
      </c>
      <c r="H92" s="22">
        <v>4</v>
      </c>
      <c r="I92" s="22">
        <v>5.4893908281998627</v>
      </c>
      <c r="J92" s="22">
        <v>9.4893908281998627</v>
      </c>
      <c r="K92" s="22">
        <v>4</v>
      </c>
      <c r="L92" s="22">
        <v>5.4893908281998627</v>
      </c>
      <c r="M92" s="22">
        <v>9.4893908281998627</v>
      </c>
      <c r="N92" s="22">
        <v>3.9616700889801506</v>
      </c>
      <c r="O92" s="22">
        <v>5.5030800821355239</v>
      </c>
      <c r="P92" s="22">
        <v>9.464750171115675</v>
      </c>
      <c r="Q92" s="22" t="s">
        <v>8</v>
      </c>
      <c r="R92" s="22" t="s">
        <v>8</v>
      </c>
      <c r="S92" s="22" t="s">
        <v>8</v>
      </c>
      <c r="T92" s="20">
        <v>4</v>
      </c>
      <c r="U92" s="20">
        <v>16</v>
      </c>
      <c r="V92" s="20" t="s">
        <v>1</v>
      </c>
      <c r="W92" s="20">
        <v>5</v>
      </c>
      <c r="X92" s="20">
        <v>3</v>
      </c>
      <c r="Y92" s="5">
        <v>1</v>
      </c>
      <c r="Z92" s="20">
        <v>4</v>
      </c>
      <c r="AA92" s="23">
        <f t="shared" si="2"/>
        <v>1</v>
      </c>
      <c r="AB92" s="15">
        <v>1</v>
      </c>
      <c r="AC92" s="15">
        <v>1</v>
      </c>
      <c r="AD92" s="15">
        <v>0.66700000000000004</v>
      </c>
      <c r="AE92" s="15">
        <v>0.75</v>
      </c>
      <c r="AF92" s="20">
        <v>18</v>
      </c>
      <c r="AG92" s="20">
        <v>8.67</v>
      </c>
      <c r="AH92" s="24">
        <v>24</v>
      </c>
      <c r="AI92" s="23">
        <f t="shared" si="3"/>
        <v>1</v>
      </c>
      <c r="AJ92" s="15">
        <v>14</v>
      </c>
      <c r="AK92" s="15">
        <v>11.5</v>
      </c>
      <c r="AL92" s="25">
        <v>25.5</v>
      </c>
      <c r="AM92" s="23" cm="1">
        <f t="array" ref="AM92">IF(OR(AN92:AZ92=""),"BLANK",IF(AND(AN92:AZ92&lt;9999999),1,IF(AND(AN92:AZ92="NA"),3,2)))</f>
        <v>1</v>
      </c>
      <c r="AN92" s="20">
        <v>7</v>
      </c>
      <c r="AO92" s="20">
        <v>2</v>
      </c>
      <c r="AP92" s="15">
        <v>4.5</v>
      </c>
      <c r="AQ92" s="15">
        <v>7.75</v>
      </c>
      <c r="AR92" s="15">
        <v>5</v>
      </c>
      <c r="AS92" s="26">
        <v>1042.5</v>
      </c>
      <c r="AT92" s="26">
        <v>2949</v>
      </c>
      <c r="AU92" s="26">
        <v>8435.5</v>
      </c>
      <c r="AV92" s="26">
        <v>5214.5</v>
      </c>
      <c r="AW92" s="26">
        <v>0</v>
      </c>
      <c r="AX92" s="26">
        <v>237.2</v>
      </c>
      <c r="AY92" s="26">
        <v>1662.0625</v>
      </c>
      <c r="AZ92" s="26">
        <v>0</v>
      </c>
      <c r="BA92" s="23">
        <v>3</v>
      </c>
      <c r="BB92" s="24" t="s">
        <v>8</v>
      </c>
    </row>
    <row r="93" spans="1:54" x14ac:dyDescent="0.2">
      <c r="A93" s="21">
        <v>1023</v>
      </c>
      <c r="B93" s="20" t="s">
        <v>85</v>
      </c>
      <c r="C93" s="18" t="s">
        <v>54</v>
      </c>
      <c r="D93" s="18">
        <v>5</v>
      </c>
      <c r="E93" s="18">
        <v>0</v>
      </c>
      <c r="F93" s="51" t="s">
        <v>9</v>
      </c>
      <c r="G93" s="18">
        <v>29</v>
      </c>
      <c r="H93" s="22">
        <v>3.9616700889801506</v>
      </c>
      <c r="I93" s="22">
        <v>5.3497604380561263</v>
      </c>
      <c r="J93" s="22">
        <v>9.3114305270362774</v>
      </c>
      <c r="K93" s="22">
        <v>3.9479808350444903</v>
      </c>
      <c r="L93" s="22">
        <v>5.3497604380561263</v>
      </c>
      <c r="M93" s="22">
        <v>9.2977412731006162</v>
      </c>
      <c r="N93" s="22">
        <v>3.9863107460643397</v>
      </c>
      <c r="O93" s="22">
        <v>5.3634496919917867</v>
      </c>
      <c r="P93" s="22">
        <v>9.3497604380561263</v>
      </c>
      <c r="Q93" s="22">
        <v>3.4086242299794662</v>
      </c>
      <c r="R93" s="22">
        <v>6.023271731690623</v>
      </c>
      <c r="S93" s="22">
        <v>9.4318959616700884</v>
      </c>
      <c r="T93" s="20" t="s">
        <v>8</v>
      </c>
      <c r="U93" s="20" t="s">
        <v>8</v>
      </c>
      <c r="V93" s="20" t="s">
        <v>1</v>
      </c>
      <c r="W93" s="20">
        <v>5</v>
      </c>
      <c r="X93" s="20">
        <v>3</v>
      </c>
      <c r="Y93" s="5">
        <v>1</v>
      </c>
      <c r="Z93" s="20">
        <v>4</v>
      </c>
      <c r="AA93" s="23">
        <f t="shared" si="2"/>
        <v>1</v>
      </c>
      <c r="AB93" s="15">
        <v>0.83299999999999996</v>
      </c>
      <c r="AC93" s="15">
        <v>0.66700000000000004</v>
      </c>
      <c r="AD93" s="15">
        <v>0.83299999999999996</v>
      </c>
      <c r="AE93" s="15">
        <v>0.70799999999999996</v>
      </c>
      <c r="AF93" s="20">
        <v>17</v>
      </c>
      <c r="AG93" s="20">
        <v>3.22</v>
      </c>
      <c r="AH93" s="24">
        <v>24</v>
      </c>
      <c r="AI93" s="23">
        <f t="shared" si="3"/>
        <v>1</v>
      </c>
      <c r="AJ93" s="15">
        <v>1</v>
      </c>
      <c r="AK93" s="15">
        <v>5.25</v>
      </c>
      <c r="AL93" s="25">
        <v>6.25</v>
      </c>
      <c r="AM93" s="23" cm="1">
        <f t="array" ref="AM93">IF(OR(AN93:AZ93=""),"BLANK",IF(AND(AN93:AZ93&lt;9999999),1,IF(AND(AN93:AZ93="NA"),3,2)))</f>
        <v>1</v>
      </c>
      <c r="AN93" s="20">
        <v>8</v>
      </c>
      <c r="AO93" s="20">
        <v>2</v>
      </c>
      <c r="AP93" s="15">
        <v>3</v>
      </c>
      <c r="AQ93" s="15">
        <v>4.5</v>
      </c>
      <c r="AR93" s="15">
        <v>7.5</v>
      </c>
      <c r="AS93" s="26">
        <v>2651</v>
      </c>
      <c r="AT93" s="26">
        <v>4731.5</v>
      </c>
      <c r="AU93" s="26">
        <v>10466.75</v>
      </c>
      <c r="AV93" s="26">
        <v>7413</v>
      </c>
      <c r="AW93" s="26">
        <v>0</v>
      </c>
      <c r="AX93" s="26">
        <v>0</v>
      </c>
      <c r="AY93" s="26">
        <v>0</v>
      </c>
      <c r="AZ93" s="26">
        <v>8039.0011904761996</v>
      </c>
      <c r="BA93" s="23">
        <v>3</v>
      </c>
      <c r="BB93" s="24" t="s">
        <v>8</v>
      </c>
    </row>
    <row r="94" spans="1:54" x14ac:dyDescent="0.2">
      <c r="A94" s="21">
        <v>1031</v>
      </c>
      <c r="B94" s="20" t="s">
        <v>78</v>
      </c>
      <c r="C94" s="18" t="s">
        <v>54</v>
      </c>
      <c r="D94" s="18">
        <v>6</v>
      </c>
      <c r="E94" s="18">
        <v>1</v>
      </c>
      <c r="F94" s="51" t="s">
        <v>9</v>
      </c>
      <c r="G94" s="18">
        <v>30</v>
      </c>
      <c r="H94" s="22">
        <v>4.1067761806981515</v>
      </c>
      <c r="I94" s="22">
        <v>5.5195071868583163</v>
      </c>
      <c r="J94" s="22">
        <v>9.6262833675564679</v>
      </c>
      <c r="K94" s="22">
        <v>4.1067761806981515</v>
      </c>
      <c r="L94" s="22">
        <v>5.5195071868583163</v>
      </c>
      <c r="M94" s="22">
        <v>9.6262833675564679</v>
      </c>
      <c r="N94" s="22">
        <v>4.043805612594114</v>
      </c>
      <c r="O94" s="22">
        <v>5.0212183436002737</v>
      </c>
      <c r="P94" s="22">
        <v>9.0650239561943877</v>
      </c>
      <c r="Q94" s="22" t="s">
        <v>8</v>
      </c>
      <c r="R94" s="22" t="s">
        <v>8</v>
      </c>
      <c r="S94" s="22" t="s">
        <v>8</v>
      </c>
      <c r="T94" s="20" t="s">
        <v>8</v>
      </c>
      <c r="U94" s="20" t="s">
        <v>8</v>
      </c>
      <c r="V94" s="20" t="s">
        <v>1</v>
      </c>
      <c r="W94" s="20">
        <v>5</v>
      </c>
      <c r="X94" s="20">
        <v>3</v>
      </c>
      <c r="Y94" s="5">
        <v>1</v>
      </c>
      <c r="Z94" s="20">
        <v>4</v>
      </c>
      <c r="AA94" s="23">
        <f t="shared" si="2"/>
        <v>1</v>
      </c>
      <c r="AB94" s="15">
        <v>1</v>
      </c>
      <c r="AC94" s="15">
        <v>0.33300000000000002</v>
      </c>
      <c r="AD94" s="15">
        <v>0.33300000000000002</v>
      </c>
      <c r="AE94" s="15">
        <v>0.625</v>
      </c>
      <c r="AF94" s="20">
        <v>15</v>
      </c>
      <c r="AG94" s="20">
        <v>6.28</v>
      </c>
      <c r="AH94" s="24">
        <v>24</v>
      </c>
      <c r="AI94" s="23">
        <f t="shared" si="3"/>
        <v>1</v>
      </c>
      <c r="AJ94" s="15">
        <v>7.5</v>
      </c>
      <c r="AK94" s="15">
        <v>8.5</v>
      </c>
      <c r="AL94" s="25">
        <v>16</v>
      </c>
      <c r="AM94" s="23" cm="1">
        <f t="array" ref="AM94">IF(OR(AN94:AZ94=""),"BLANK",IF(AND(AN94:AZ94&lt;9999999),1,IF(AND(AN94:AZ94="NA"),3,2)))</f>
        <v>1</v>
      </c>
      <c r="AN94" s="20">
        <v>11</v>
      </c>
      <c r="AO94" s="20">
        <v>2</v>
      </c>
      <c r="AP94" s="15">
        <v>3</v>
      </c>
      <c r="AQ94" s="15">
        <v>4</v>
      </c>
      <c r="AR94" s="15">
        <v>5.75</v>
      </c>
      <c r="AS94" s="26">
        <v>4422.5</v>
      </c>
      <c r="AT94" s="26">
        <v>6747.5</v>
      </c>
      <c r="AU94" s="26">
        <v>12344.25</v>
      </c>
      <c r="AV94" s="26">
        <v>8309</v>
      </c>
      <c r="AW94" s="26">
        <v>1496.25</v>
      </c>
      <c r="AX94" s="26">
        <v>0</v>
      </c>
      <c r="AY94" s="26">
        <v>0</v>
      </c>
      <c r="AZ94" s="26">
        <v>0</v>
      </c>
      <c r="BA94" s="23">
        <v>3</v>
      </c>
      <c r="BB94" s="24" t="s">
        <v>8</v>
      </c>
    </row>
    <row r="95" spans="1:54" x14ac:dyDescent="0.2">
      <c r="A95" s="21">
        <v>1045</v>
      </c>
      <c r="B95" s="20" t="s">
        <v>85</v>
      </c>
      <c r="C95" s="18" t="s">
        <v>54</v>
      </c>
      <c r="D95" s="18">
        <v>5</v>
      </c>
      <c r="E95" s="18">
        <v>0</v>
      </c>
      <c r="F95" s="51" t="s">
        <v>9</v>
      </c>
      <c r="G95" s="18">
        <v>30</v>
      </c>
      <c r="H95" s="22">
        <v>4.3723477070499657</v>
      </c>
      <c r="I95" s="22">
        <v>5.0787132101300481</v>
      </c>
      <c r="J95" s="22">
        <v>9.4510609171800137</v>
      </c>
      <c r="K95" s="22">
        <v>4.3723477070499657</v>
      </c>
      <c r="L95" s="22">
        <v>5.0787132101300481</v>
      </c>
      <c r="M95" s="22">
        <v>9.4510609171800137</v>
      </c>
      <c r="N95" s="22" t="s">
        <v>8</v>
      </c>
      <c r="O95" s="22" t="s">
        <v>8</v>
      </c>
      <c r="P95" s="22" t="s">
        <v>8</v>
      </c>
      <c r="Q95" s="22">
        <v>3.3127994524298425</v>
      </c>
      <c r="R95" s="22" t="s">
        <v>8</v>
      </c>
      <c r="S95" s="22" t="s">
        <v>8</v>
      </c>
      <c r="T95" s="20">
        <v>6</v>
      </c>
      <c r="U95" s="20">
        <v>18</v>
      </c>
      <c r="V95" s="20" t="s">
        <v>1</v>
      </c>
      <c r="W95" s="20">
        <v>5</v>
      </c>
      <c r="X95" s="20">
        <v>3</v>
      </c>
      <c r="Y95" s="5">
        <v>1</v>
      </c>
      <c r="Z95" s="20">
        <v>4</v>
      </c>
      <c r="AA95" s="23">
        <f t="shared" si="2"/>
        <v>1</v>
      </c>
      <c r="AB95" s="15">
        <v>0.83299999999999996</v>
      </c>
      <c r="AC95" s="15">
        <v>0.5</v>
      </c>
      <c r="AD95" s="15">
        <v>0.33300000000000002</v>
      </c>
      <c r="AE95" s="15">
        <v>0.54200000000000004</v>
      </c>
      <c r="AF95" s="20">
        <v>13</v>
      </c>
      <c r="AG95" s="20">
        <v>4.83</v>
      </c>
      <c r="AH95" s="24">
        <v>24</v>
      </c>
      <c r="AI95" s="23">
        <f t="shared" si="3"/>
        <v>1</v>
      </c>
      <c r="AJ95" s="15">
        <v>7</v>
      </c>
      <c r="AK95" s="15">
        <v>5</v>
      </c>
      <c r="AL95" s="25">
        <v>12</v>
      </c>
      <c r="AM95" s="23" cm="1">
        <f t="array" ref="AM95">IF(OR(AN95:AZ95=""),"BLANK",IF(AND(AN95:AZ95&lt;9999999),1,IF(AND(AN95:AZ95="NA"),3,2)))</f>
        <v>1</v>
      </c>
      <c r="AN95" s="20">
        <v>5</v>
      </c>
      <c r="AO95" s="20">
        <v>2</v>
      </c>
      <c r="AP95" s="15">
        <v>4.5</v>
      </c>
      <c r="AQ95" s="15">
        <v>6.25</v>
      </c>
      <c r="AR95" s="15">
        <v>12</v>
      </c>
      <c r="AS95" s="26">
        <v>0</v>
      </c>
      <c r="AT95" s="26">
        <v>3878.5</v>
      </c>
      <c r="AU95" s="26">
        <v>2996</v>
      </c>
      <c r="AV95" s="26">
        <v>8163.3333333333003</v>
      </c>
      <c r="AW95" s="26">
        <v>0</v>
      </c>
      <c r="AX95" s="26">
        <v>133.0833333333</v>
      </c>
      <c r="AY95" s="26">
        <v>1181.6284722221999</v>
      </c>
      <c r="AZ95" s="26">
        <v>1647.4166666666999</v>
      </c>
      <c r="BA95" s="23">
        <v>3</v>
      </c>
      <c r="BB95" s="24" t="s">
        <v>8</v>
      </c>
    </row>
    <row r="96" spans="1:54" x14ac:dyDescent="0.2">
      <c r="A96" s="21">
        <v>1054</v>
      </c>
      <c r="B96" s="20" t="s">
        <v>68</v>
      </c>
      <c r="C96" s="18" t="s">
        <v>54</v>
      </c>
      <c r="D96" s="18">
        <v>5</v>
      </c>
      <c r="E96" s="18">
        <v>0</v>
      </c>
      <c r="F96" s="51" t="s">
        <v>9</v>
      </c>
      <c r="G96" s="18">
        <v>29</v>
      </c>
      <c r="H96" s="22">
        <v>3.871321013004791</v>
      </c>
      <c r="I96" s="22">
        <v>5.3360711841204651</v>
      </c>
      <c r="J96" s="22">
        <v>9.207392197125257</v>
      </c>
      <c r="K96" s="22">
        <v>3.8795345653661877</v>
      </c>
      <c r="L96" s="22">
        <v>5.3278576317590689</v>
      </c>
      <c r="M96" s="22">
        <v>9.207392197125257</v>
      </c>
      <c r="N96" s="22">
        <v>3.9178644763860371</v>
      </c>
      <c r="O96" s="22" t="s">
        <v>8</v>
      </c>
      <c r="P96" s="22" t="s">
        <v>8</v>
      </c>
      <c r="Q96" s="22">
        <v>3.2197125256673513</v>
      </c>
      <c r="R96" s="22" t="s">
        <v>8</v>
      </c>
      <c r="S96" s="22" t="s">
        <v>8</v>
      </c>
      <c r="T96" s="20" t="s">
        <v>8</v>
      </c>
      <c r="U96" s="20" t="s">
        <v>8</v>
      </c>
      <c r="V96" s="20" t="s">
        <v>1</v>
      </c>
      <c r="W96" s="20">
        <v>5</v>
      </c>
      <c r="X96" s="20">
        <v>3</v>
      </c>
      <c r="Y96" s="5">
        <v>1</v>
      </c>
      <c r="Z96" s="20">
        <v>4</v>
      </c>
      <c r="AA96" s="23">
        <f t="shared" si="2"/>
        <v>2</v>
      </c>
      <c r="AB96" s="15">
        <v>1</v>
      </c>
      <c r="AC96" s="15">
        <v>1</v>
      </c>
      <c r="AD96" s="15">
        <v>0.33300000000000002</v>
      </c>
      <c r="AE96" s="15">
        <v>0.75</v>
      </c>
      <c r="AF96" s="20">
        <v>18</v>
      </c>
      <c r="AG96" s="20" t="s">
        <v>8</v>
      </c>
      <c r="AH96" s="24">
        <v>24</v>
      </c>
      <c r="AI96" s="23">
        <f t="shared" si="3"/>
        <v>1</v>
      </c>
      <c r="AJ96" s="15">
        <v>4.5</v>
      </c>
      <c r="AK96" s="15">
        <v>5</v>
      </c>
      <c r="AL96" s="25">
        <v>9.5</v>
      </c>
      <c r="AM96" s="23" cm="1">
        <f t="array" ref="AM96">IF(OR(AN96:AZ96=""),"BLANK",IF(AND(AN96:AZ96&lt;9999999),1,IF(AND(AN96:AZ96="NA"),3,2)))</f>
        <v>1</v>
      </c>
      <c r="AN96" s="20">
        <v>6</v>
      </c>
      <c r="AO96" s="20">
        <v>2</v>
      </c>
      <c r="AP96" s="15">
        <v>4</v>
      </c>
      <c r="AQ96" s="15">
        <v>6.25</v>
      </c>
      <c r="AR96" s="15">
        <v>8.5</v>
      </c>
      <c r="AS96" s="26">
        <v>17206.5</v>
      </c>
      <c r="AT96" s="26">
        <v>1550.5</v>
      </c>
      <c r="AU96" s="26">
        <v>1990</v>
      </c>
      <c r="AV96" s="26">
        <v>5114.25</v>
      </c>
      <c r="AW96" s="26">
        <v>0</v>
      </c>
      <c r="AX96" s="26">
        <v>3879.3333333332998</v>
      </c>
      <c r="AY96" s="26">
        <v>5496.6319444443998</v>
      </c>
      <c r="AZ96" s="26">
        <v>5070.9795454545001</v>
      </c>
      <c r="BA96" s="23">
        <v>3</v>
      </c>
      <c r="BB96" s="24" t="s">
        <v>8</v>
      </c>
    </row>
    <row r="97" spans="1:54" x14ac:dyDescent="0.2">
      <c r="A97" s="21">
        <v>1058</v>
      </c>
      <c r="B97" s="20" t="s">
        <v>73</v>
      </c>
      <c r="C97" s="18" t="s">
        <v>54</v>
      </c>
      <c r="D97" s="18">
        <v>5</v>
      </c>
      <c r="E97" s="18">
        <v>0</v>
      </c>
      <c r="F97" s="51" t="s">
        <v>9</v>
      </c>
      <c r="G97" s="18">
        <v>28</v>
      </c>
      <c r="H97" s="22">
        <v>3.9945242984257359</v>
      </c>
      <c r="I97" s="22">
        <v>5.5633127994524294</v>
      </c>
      <c r="J97" s="22">
        <v>9.5578370978781653</v>
      </c>
      <c r="K97" s="22">
        <v>3.9945242984257359</v>
      </c>
      <c r="L97" s="22">
        <v>5.5633127994524294</v>
      </c>
      <c r="M97" s="22">
        <v>9.5578370978781653</v>
      </c>
      <c r="N97" s="22" t="s">
        <v>8</v>
      </c>
      <c r="O97" s="22" t="s">
        <v>8</v>
      </c>
      <c r="P97" s="22">
        <v>9.5742642026009577</v>
      </c>
      <c r="Q97" s="22" t="s">
        <v>8</v>
      </c>
      <c r="R97" s="22" t="s">
        <v>8</v>
      </c>
      <c r="S97" s="22" t="s">
        <v>8</v>
      </c>
      <c r="T97" s="20">
        <v>4</v>
      </c>
      <c r="U97" s="20">
        <v>16</v>
      </c>
      <c r="V97" s="20" t="s">
        <v>1</v>
      </c>
      <c r="W97" s="20">
        <v>5</v>
      </c>
      <c r="X97" s="20">
        <v>3</v>
      </c>
      <c r="Y97" s="5">
        <v>1</v>
      </c>
      <c r="Z97" s="20">
        <v>4</v>
      </c>
      <c r="AA97" s="23">
        <f t="shared" si="2"/>
        <v>2</v>
      </c>
      <c r="AB97" s="15">
        <v>1</v>
      </c>
      <c r="AC97" s="15">
        <v>0.83299999999999996</v>
      </c>
      <c r="AD97" s="15">
        <v>0.5</v>
      </c>
      <c r="AE97" s="15">
        <v>0.75</v>
      </c>
      <c r="AF97" s="20">
        <v>18</v>
      </c>
      <c r="AG97" s="20" t="s">
        <v>8</v>
      </c>
      <c r="AH97" s="24">
        <v>24</v>
      </c>
      <c r="AI97" s="23">
        <f t="shared" si="3"/>
        <v>1</v>
      </c>
      <c r="AJ97" s="15">
        <v>10</v>
      </c>
      <c r="AK97" s="15">
        <v>10</v>
      </c>
      <c r="AL97" s="25">
        <v>20</v>
      </c>
      <c r="AM97" s="23" cm="1">
        <f t="array" ref="AM97">IF(OR(AN97:AZ97=""),"BLANK",IF(AND(AN97:AZ97&lt;9999999),1,IF(AND(AN97:AZ97="NA"),3,2)))</f>
        <v>1</v>
      </c>
      <c r="AN97" s="20">
        <v>8</v>
      </c>
      <c r="AO97" s="20">
        <v>2</v>
      </c>
      <c r="AP97" s="15">
        <v>3</v>
      </c>
      <c r="AQ97" s="15">
        <v>4.25</v>
      </c>
      <c r="AR97" s="15">
        <v>8.25</v>
      </c>
      <c r="AS97" s="26">
        <v>1618.5</v>
      </c>
      <c r="AT97" s="26">
        <v>4629.5</v>
      </c>
      <c r="AU97" s="26">
        <v>4988.75</v>
      </c>
      <c r="AV97" s="26">
        <v>4830.25</v>
      </c>
      <c r="AW97" s="26">
        <v>565.75</v>
      </c>
      <c r="AX97" s="26">
        <v>327.3333333333</v>
      </c>
      <c r="AY97" s="26">
        <v>693.61249999999995</v>
      </c>
      <c r="AZ97" s="26">
        <v>2178.75</v>
      </c>
      <c r="BA97" s="23">
        <v>3</v>
      </c>
      <c r="BB97" s="24" t="s">
        <v>8</v>
      </c>
    </row>
    <row r="98" spans="1:54" x14ac:dyDescent="0.2">
      <c r="A98" s="21">
        <v>1084</v>
      </c>
      <c r="B98" s="20" t="s">
        <v>81</v>
      </c>
      <c r="C98" s="18" t="s">
        <v>54</v>
      </c>
      <c r="D98" s="18">
        <v>5</v>
      </c>
      <c r="E98" s="18">
        <v>0</v>
      </c>
      <c r="F98" s="51" t="s">
        <v>9</v>
      </c>
      <c r="G98" s="18">
        <v>29</v>
      </c>
      <c r="H98" s="22">
        <v>3.9507186858316223</v>
      </c>
      <c r="I98" s="22">
        <v>5.4976043805612598</v>
      </c>
      <c r="J98" s="22">
        <v>9.4483230663928808</v>
      </c>
      <c r="K98" s="22">
        <v>3.9479808350444903</v>
      </c>
      <c r="L98" s="22">
        <v>5.4976043805612598</v>
      </c>
      <c r="M98" s="22">
        <v>9.4455852156057496</v>
      </c>
      <c r="N98" s="22" t="s">
        <v>8</v>
      </c>
      <c r="O98" s="22" t="s">
        <v>8</v>
      </c>
      <c r="P98" s="22" t="s">
        <v>8</v>
      </c>
      <c r="Q98" s="22">
        <v>3.2908966461327855</v>
      </c>
      <c r="R98" s="22" t="s">
        <v>8</v>
      </c>
      <c r="S98" s="22" t="s">
        <v>8</v>
      </c>
      <c r="T98" s="20">
        <v>5</v>
      </c>
      <c r="U98" s="20">
        <v>17</v>
      </c>
      <c r="V98" s="20" t="s">
        <v>1</v>
      </c>
      <c r="W98" s="20">
        <v>5</v>
      </c>
      <c r="X98" s="20">
        <v>3</v>
      </c>
      <c r="Y98" s="5">
        <v>1</v>
      </c>
      <c r="Z98" s="20">
        <v>4</v>
      </c>
      <c r="AA98" s="23">
        <f t="shared" si="2"/>
        <v>1</v>
      </c>
      <c r="AB98" s="15">
        <v>1</v>
      </c>
      <c r="AC98" s="15">
        <v>0.66700000000000004</v>
      </c>
      <c r="AD98" s="15">
        <v>0.33300000000000002</v>
      </c>
      <c r="AE98" s="15">
        <v>0.66700000000000004</v>
      </c>
      <c r="AF98" s="20">
        <v>16</v>
      </c>
      <c r="AG98" s="20">
        <v>6</v>
      </c>
      <c r="AH98" s="24">
        <v>24</v>
      </c>
      <c r="AI98" s="23">
        <f t="shared" si="3"/>
        <v>1</v>
      </c>
      <c r="AJ98" s="15">
        <v>1.75</v>
      </c>
      <c r="AK98" s="15">
        <v>8.75</v>
      </c>
      <c r="AL98" s="25">
        <v>10.5</v>
      </c>
      <c r="AM98" s="23" cm="1">
        <f t="array" ref="AM98">IF(OR(AN98:AZ98=""),"BLANK",IF(AND(AN98:AZ98&lt;9999999),1,IF(AND(AN98:AZ98="NA"),3,2)))</f>
        <v>1</v>
      </c>
      <c r="AN98" s="20">
        <v>10</v>
      </c>
      <c r="AO98" s="20">
        <v>2</v>
      </c>
      <c r="AP98" s="15">
        <v>3</v>
      </c>
      <c r="AQ98" s="15">
        <v>4</v>
      </c>
      <c r="AR98" s="15">
        <v>6.75</v>
      </c>
      <c r="AS98" s="26">
        <v>194.5</v>
      </c>
      <c r="AT98" s="26">
        <v>3057.5</v>
      </c>
      <c r="AU98" s="26">
        <v>8291.25</v>
      </c>
      <c r="AV98" s="26">
        <v>5959.25</v>
      </c>
      <c r="AW98" s="26">
        <v>0</v>
      </c>
      <c r="AX98" s="26">
        <v>0</v>
      </c>
      <c r="AY98" s="26">
        <v>0</v>
      </c>
      <c r="AZ98" s="26">
        <v>603.78181818179996</v>
      </c>
      <c r="BA98" s="23">
        <v>3</v>
      </c>
      <c r="BB98" s="24" t="s">
        <v>8</v>
      </c>
    </row>
    <row r="99" spans="1:54" x14ac:dyDescent="0.2">
      <c r="A99" s="21">
        <v>1093</v>
      </c>
      <c r="B99" s="20" t="s">
        <v>82</v>
      </c>
      <c r="C99" s="18" t="s">
        <v>55</v>
      </c>
      <c r="D99" s="18">
        <v>5</v>
      </c>
      <c r="E99" s="18">
        <v>0</v>
      </c>
      <c r="F99" s="51" t="s">
        <v>9</v>
      </c>
      <c r="G99" s="18">
        <v>28</v>
      </c>
      <c r="H99" s="22">
        <v>3.698836413415469</v>
      </c>
      <c r="I99" s="22">
        <v>5.3853524982888432</v>
      </c>
      <c r="J99" s="22">
        <v>9.0841889117043113</v>
      </c>
      <c r="K99" s="22">
        <v>3.698836413415469</v>
      </c>
      <c r="L99" s="22">
        <v>5.4072553045858998</v>
      </c>
      <c r="M99" s="22">
        <v>9.1060917180013696</v>
      </c>
      <c r="N99" s="22">
        <v>3.698836413415469</v>
      </c>
      <c r="O99" s="22">
        <v>5.0787132101300481</v>
      </c>
      <c r="P99" s="22">
        <v>8.7775496235455162</v>
      </c>
      <c r="Q99" s="22" t="s">
        <v>8</v>
      </c>
      <c r="R99" s="22" t="s">
        <v>8</v>
      </c>
      <c r="S99" s="22" t="s">
        <v>8</v>
      </c>
      <c r="T99" s="20">
        <v>6</v>
      </c>
      <c r="U99" s="20">
        <v>18</v>
      </c>
      <c r="V99" s="20" t="s">
        <v>1</v>
      </c>
      <c r="W99" s="20">
        <v>5</v>
      </c>
      <c r="X99" s="20">
        <v>3</v>
      </c>
      <c r="Y99" s="5">
        <v>1</v>
      </c>
      <c r="Z99" s="20">
        <v>4</v>
      </c>
      <c r="AA99" s="23">
        <f t="shared" si="2"/>
        <v>1</v>
      </c>
      <c r="AB99" s="15">
        <v>1</v>
      </c>
      <c r="AC99" s="15">
        <v>1</v>
      </c>
      <c r="AD99" s="15">
        <v>0.66700000000000004</v>
      </c>
      <c r="AE99" s="15">
        <v>0.91700000000000004</v>
      </c>
      <c r="AF99" s="20">
        <v>22</v>
      </c>
      <c r="AG99" s="20">
        <v>6.03</v>
      </c>
      <c r="AH99" s="24">
        <v>24</v>
      </c>
      <c r="AI99" s="23">
        <f t="shared" si="3"/>
        <v>1</v>
      </c>
      <c r="AJ99" s="15">
        <v>13</v>
      </c>
      <c r="AK99" s="15">
        <v>11</v>
      </c>
      <c r="AL99" s="25">
        <v>24</v>
      </c>
      <c r="AM99" s="23" cm="1">
        <f t="array" ref="AM99">IF(OR(AN99:AZ99=""),"BLANK",IF(AND(AN99:AZ99&lt;9999999),1,IF(AND(AN99:AZ99="NA"),3,2)))</f>
        <v>1</v>
      </c>
      <c r="AN99" s="20">
        <v>9</v>
      </c>
      <c r="AO99" s="20">
        <v>2</v>
      </c>
      <c r="AP99" s="15">
        <v>4</v>
      </c>
      <c r="AQ99" s="15">
        <v>4</v>
      </c>
      <c r="AR99" s="15">
        <v>8.25</v>
      </c>
      <c r="AS99" s="26">
        <v>4082</v>
      </c>
      <c r="AT99" s="26">
        <v>8503.5</v>
      </c>
      <c r="AU99" s="26">
        <v>6720.25</v>
      </c>
      <c r="AV99" s="26">
        <v>8609.75</v>
      </c>
      <c r="AW99" s="26">
        <v>0</v>
      </c>
      <c r="AX99" s="26">
        <v>21.1</v>
      </c>
      <c r="AY99" s="26">
        <v>0</v>
      </c>
      <c r="AZ99" s="26">
        <v>1279.8484848485</v>
      </c>
      <c r="BA99" s="23">
        <v>3</v>
      </c>
      <c r="BB99" s="24" t="s">
        <v>8</v>
      </c>
    </row>
    <row r="100" spans="1:54" x14ac:dyDescent="0.2">
      <c r="A100" s="21">
        <v>1119</v>
      </c>
      <c r="B100" s="20" t="s">
        <v>79</v>
      </c>
      <c r="C100" s="18" t="s">
        <v>55</v>
      </c>
      <c r="D100" s="18">
        <v>1</v>
      </c>
      <c r="E100" s="18">
        <v>0</v>
      </c>
      <c r="F100" s="51" t="s">
        <v>9</v>
      </c>
      <c r="G100" s="18">
        <v>30</v>
      </c>
      <c r="H100" s="22" t="s">
        <v>8</v>
      </c>
      <c r="I100" s="22" t="s">
        <v>8</v>
      </c>
      <c r="J100" s="22">
        <v>9.6755646817248468</v>
      </c>
      <c r="K100" s="22" t="s">
        <v>8</v>
      </c>
      <c r="L100" s="22" t="s">
        <v>8</v>
      </c>
      <c r="M100" s="22">
        <v>9.6755646817248468</v>
      </c>
      <c r="N100" s="22" t="s">
        <v>8</v>
      </c>
      <c r="O100" s="22" t="s">
        <v>8</v>
      </c>
      <c r="P100" s="22">
        <v>9.6016427104722801</v>
      </c>
      <c r="Q100" s="22" t="s">
        <v>8</v>
      </c>
      <c r="R100" s="22" t="s">
        <v>8</v>
      </c>
      <c r="S100" s="22" t="s">
        <v>8</v>
      </c>
      <c r="T100" s="20" t="s">
        <v>8</v>
      </c>
      <c r="U100" s="20" t="s">
        <v>8</v>
      </c>
      <c r="V100" s="20" t="s">
        <v>1</v>
      </c>
      <c r="W100" s="20">
        <v>5</v>
      </c>
      <c r="X100" s="20">
        <v>3</v>
      </c>
      <c r="Y100" s="5">
        <v>1</v>
      </c>
      <c r="Z100" s="20">
        <v>4</v>
      </c>
      <c r="AA100" s="23">
        <f t="shared" si="2"/>
        <v>1</v>
      </c>
      <c r="AB100" s="15">
        <v>1</v>
      </c>
      <c r="AC100" s="15">
        <v>1</v>
      </c>
      <c r="AD100" s="15">
        <v>1</v>
      </c>
      <c r="AE100" s="15">
        <v>0.91700000000000004</v>
      </c>
      <c r="AF100" s="20">
        <v>22</v>
      </c>
      <c r="AG100" s="20">
        <v>9.4499999999999993</v>
      </c>
      <c r="AH100" s="24">
        <v>24</v>
      </c>
      <c r="AI100" s="23">
        <f t="shared" si="3"/>
        <v>1</v>
      </c>
      <c r="AJ100" s="15">
        <v>12</v>
      </c>
      <c r="AK100" s="15">
        <v>11</v>
      </c>
      <c r="AL100" s="25">
        <v>23</v>
      </c>
      <c r="AM100" s="23" cm="1">
        <f t="array" ref="AM100">IF(OR(AN100:AZ100=""),"BLANK",IF(AND(AN100:AZ100&lt;9999999),1,IF(AND(AN100:AZ100="NA"),3,2)))</f>
        <v>1</v>
      </c>
      <c r="AN100" s="20">
        <v>11</v>
      </c>
      <c r="AO100" s="20">
        <v>2</v>
      </c>
      <c r="AP100" s="15">
        <v>3</v>
      </c>
      <c r="AQ100" s="15">
        <v>4</v>
      </c>
      <c r="AR100" s="15">
        <v>6.75</v>
      </c>
      <c r="AS100" s="26">
        <v>4198.5</v>
      </c>
      <c r="AT100" s="26">
        <v>3698.5</v>
      </c>
      <c r="AU100" s="26">
        <v>6982.25</v>
      </c>
      <c r="AV100" s="26">
        <v>17091.75</v>
      </c>
      <c r="AW100" s="26">
        <v>0</v>
      </c>
      <c r="AX100" s="26">
        <v>0</v>
      </c>
      <c r="AY100" s="26">
        <v>0</v>
      </c>
      <c r="AZ100" s="26">
        <v>0</v>
      </c>
      <c r="BA100" s="23">
        <v>3</v>
      </c>
      <c r="BB100" s="24" t="s">
        <v>8</v>
      </c>
    </row>
    <row r="101" spans="1:54" x14ac:dyDescent="0.2">
      <c r="A101" s="21">
        <v>1139</v>
      </c>
      <c r="B101" s="20" t="s">
        <v>81</v>
      </c>
      <c r="C101" s="18" t="s">
        <v>54</v>
      </c>
      <c r="D101" s="18">
        <v>5</v>
      </c>
      <c r="E101" s="18">
        <v>0</v>
      </c>
      <c r="F101" s="51" t="s">
        <v>9</v>
      </c>
      <c r="G101" s="18">
        <v>30</v>
      </c>
      <c r="H101" s="22">
        <v>3.8439425051334704</v>
      </c>
      <c r="I101" s="22">
        <v>5.1635865845311431</v>
      </c>
      <c r="J101" s="22">
        <v>9.0075290896646134</v>
      </c>
      <c r="K101" s="22">
        <v>3.786447638603696</v>
      </c>
      <c r="L101" s="22">
        <v>5.1635865845311431</v>
      </c>
      <c r="M101" s="22">
        <v>8.9500342231348391</v>
      </c>
      <c r="N101" s="22">
        <v>3.8138261464750172</v>
      </c>
      <c r="O101" s="22">
        <v>5.0896646132785763</v>
      </c>
      <c r="P101" s="22">
        <v>8.9034907597535931</v>
      </c>
      <c r="Q101" s="22">
        <v>3.3483915126625599</v>
      </c>
      <c r="R101" s="22">
        <v>6.0807665982203973</v>
      </c>
      <c r="S101" s="22">
        <v>9.4291581108829572</v>
      </c>
      <c r="T101" s="20">
        <v>4</v>
      </c>
      <c r="U101" s="20">
        <v>16</v>
      </c>
      <c r="V101" s="20" t="s">
        <v>1</v>
      </c>
      <c r="W101" s="20">
        <v>5</v>
      </c>
      <c r="X101" s="20">
        <v>3</v>
      </c>
      <c r="Y101" s="5">
        <v>1</v>
      </c>
      <c r="Z101" s="20">
        <v>4</v>
      </c>
      <c r="AA101" s="23">
        <f t="shared" si="2"/>
        <v>1</v>
      </c>
      <c r="AB101" s="15">
        <v>0.83299999999999996</v>
      </c>
      <c r="AC101" s="15">
        <v>1</v>
      </c>
      <c r="AD101" s="15">
        <v>0.83299999999999996</v>
      </c>
      <c r="AE101" s="15">
        <v>0.91700000000000004</v>
      </c>
      <c r="AF101" s="20">
        <v>22</v>
      </c>
      <c r="AG101" s="20">
        <v>5.53</v>
      </c>
      <c r="AH101" s="24">
        <v>24</v>
      </c>
      <c r="AI101" s="23">
        <f t="shared" si="3"/>
        <v>1</v>
      </c>
      <c r="AJ101" s="15">
        <v>7.75</v>
      </c>
      <c r="AK101" s="15">
        <v>8.75</v>
      </c>
      <c r="AL101" s="25">
        <v>16.5</v>
      </c>
      <c r="AM101" s="23" cm="1">
        <f t="array" ref="AM101">IF(OR(AN101:AZ101=""),"BLANK",IF(AND(AN101:AZ101&lt;9999999),1,IF(AND(AN101:AZ101="NA"),3,2)))</f>
        <v>1</v>
      </c>
      <c r="AN101" s="20">
        <v>8</v>
      </c>
      <c r="AO101" s="20">
        <v>2</v>
      </c>
      <c r="AP101" s="15">
        <v>3.5</v>
      </c>
      <c r="AQ101" s="15">
        <v>5.5</v>
      </c>
      <c r="AR101" s="15">
        <v>6.75</v>
      </c>
      <c r="AS101" s="26">
        <v>726</v>
      </c>
      <c r="AT101" s="26">
        <v>1257.5</v>
      </c>
      <c r="AU101" s="26">
        <v>1170</v>
      </c>
      <c r="AV101" s="26">
        <v>2987.25</v>
      </c>
      <c r="AW101" s="26">
        <v>0</v>
      </c>
      <c r="AX101" s="26">
        <v>0</v>
      </c>
      <c r="AY101" s="26">
        <v>0</v>
      </c>
      <c r="AZ101" s="26">
        <v>156.3541666667</v>
      </c>
      <c r="BA101" s="23">
        <v>3</v>
      </c>
      <c r="BB101" s="24" t="s">
        <v>8</v>
      </c>
    </row>
    <row r="102" spans="1:54" x14ac:dyDescent="0.2">
      <c r="A102" s="21">
        <v>1141</v>
      </c>
      <c r="B102" s="20" t="s">
        <v>81</v>
      </c>
      <c r="C102" s="18" t="s">
        <v>55</v>
      </c>
      <c r="D102" s="18">
        <v>5</v>
      </c>
      <c r="E102" s="18">
        <v>0</v>
      </c>
      <c r="F102" s="51" t="s">
        <v>9</v>
      </c>
      <c r="G102" s="18">
        <v>30</v>
      </c>
      <c r="H102" s="22">
        <v>3.8795345653661877</v>
      </c>
      <c r="I102" s="22">
        <v>5.3552361396303905</v>
      </c>
      <c r="J102" s="22">
        <v>9.2347707049965777</v>
      </c>
      <c r="K102" s="22">
        <v>3.8795345653661877</v>
      </c>
      <c r="L102" s="22">
        <v>5.3579739904175225</v>
      </c>
      <c r="M102" s="22">
        <v>9.2375085557837107</v>
      </c>
      <c r="N102" s="22">
        <v>3.8658453114305269</v>
      </c>
      <c r="O102" s="22">
        <v>5.3114305270362765</v>
      </c>
      <c r="P102" s="22">
        <v>9.1772758384668034</v>
      </c>
      <c r="Q102" s="22">
        <v>3.2772073921971252</v>
      </c>
      <c r="R102" s="22">
        <v>6.0698151950718682</v>
      </c>
      <c r="S102" s="22">
        <v>9.3470225872689934</v>
      </c>
      <c r="T102" s="20">
        <v>6</v>
      </c>
      <c r="U102" s="20">
        <v>18</v>
      </c>
      <c r="V102" s="20" t="s">
        <v>1</v>
      </c>
      <c r="W102" s="20">
        <v>5</v>
      </c>
      <c r="X102" s="20">
        <v>3</v>
      </c>
      <c r="Y102" s="5">
        <v>1</v>
      </c>
      <c r="Z102" s="20">
        <v>4</v>
      </c>
      <c r="AA102" s="23">
        <f t="shared" si="2"/>
        <v>1</v>
      </c>
      <c r="AB102" s="15">
        <v>1</v>
      </c>
      <c r="AC102" s="15">
        <v>0.83299999999999996</v>
      </c>
      <c r="AD102" s="15">
        <v>0.66700000000000004</v>
      </c>
      <c r="AE102" s="15">
        <v>0.70799999999999996</v>
      </c>
      <c r="AF102" s="20">
        <v>17</v>
      </c>
      <c r="AG102" s="20">
        <v>10.45</v>
      </c>
      <c r="AH102" s="24">
        <v>24</v>
      </c>
      <c r="AI102" s="23">
        <f t="shared" si="3"/>
        <v>1</v>
      </c>
      <c r="AJ102" s="15">
        <v>8.75</v>
      </c>
      <c r="AK102" s="15">
        <v>8.75</v>
      </c>
      <c r="AL102" s="25">
        <v>17.5</v>
      </c>
      <c r="AM102" s="23" cm="1">
        <f t="array" ref="AM102">IF(OR(AN102:AZ102=""),"BLANK",IF(AND(AN102:AZ102&lt;9999999),1,IF(AND(AN102:AZ102="NA"),3,2)))</f>
        <v>1</v>
      </c>
      <c r="AN102" s="20">
        <v>8</v>
      </c>
      <c r="AO102" s="20">
        <v>2</v>
      </c>
      <c r="AP102" s="15">
        <v>3</v>
      </c>
      <c r="AQ102" s="15">
        <v>5.5</v>
      </c>
      <c r="AR102" s="15">
        <v>5.75</v>
      </c>
      <c r="AS102" s="26">
        <v>0</v>
      </c>
      <c r="AT102" s="26">
        <v>1672</v>
      </c>
      <c r="AU102" s="26">
        <v>5049.25</v>
      </c>
      <c r="AV102" s="26">
        <v>6617.75</v>
      </c>
      <c r="AW102" s="26">
        <v>0</v>
      </c>
      <c r="AX102" s="26">
        <v>0</v>
      </c>
      <c r="AY102" s="26">
        <v>635.15833333329999</v>
      </c>
      <c r="AZ102" s="26">
        <v>204.11904761900001</v>
      </c>
      <c r="BA102" s="23">
        <v>3</v>
      </c>
      <c r="BB102" s="24" t="s">
        <v>8</v>
      </c>
    </row>
    <row r="103" spans="1:54" x14ac:dyDescent="0.2">
      <c r="A103" s="21">
        <v>1146</v>
      </c>
      <c r="B103" s="20" t="s">
        <v>79</v>
      </c>
      <c r="C103" s="18" t="s">
        <v>54</v>
      </c>
      <c r="D103" s="18">
        <v>3</v>
      </c>
      <c r="E103" s="18">
        <v>1</v>
      </c>
      <c r="F103" s="51" t="s">
        <v>9</v>
      </c>
      <c r="G103" s="18">
        <v>29</v>
      </c>
      <c r="H103" s="22">
        <v>4.131416837782341</v>
      </c>
      <c r="I103" s="22">
        <v>5.4784394250513344</v>
      </c>
      <c r="J103" s="22">
        <v>9.6098562628336754</v>
      </c>
      <c r="K103" s="22">
        <v>4.128678986995209</v>
      </c>
      <c r="L103" s="22">
        <v>5.4811772758384665</v>
      </c>
      <c r="M103" s="22">
        <v>9.6098562628336754</v>
      </c>
      <c r="N103" s="22">
        <v>4.0191649555099245</v>
      </c>
      <c r="O103" s="22">
        <v>5.4757015742642023</v>
      </c>
      <c r="P103" s="22">
        <v>9.4948665297741268</v>
      </c>
      <c r="Q103" s="22" t="s">
        <v>8</v>
      </c>
      <c r="R103" s="22" t="s">
        <v>8</v>
      </c>
      <c r="S103" s="22" t="s">
        <v>8</v>
      </c>
      <c r="T103" s="20" t="s">
        <v>8</v>
      </c>
      <c r="U103" s="20" t="s">
        <v>8</v>
      </c>
      <c r="V103" s="20" t="s">
        <v>1</v>
      </c>
      <c r="W103" s="20">
        <v>5</v>
      </c>
      <c r="X103" s="20">
        <v>3</v>
      </c>
      <c r="Y103" s="5">
        <v>1</v>
      </c>
      <c r="Z103" s="20">
        <v>4</v>
      </c>
      <c r="AA103" s="23">
        <f t="shared" si="2"/>
        <v>1</v>
      </c>
      <c r="AB103" s="15">
        <v>1</v>
      </c>
      <c r="AC103" s="15">
        <v>1</v>
      </c>
      <c r="AD103" s="15">
        <v>1</v>
      </c>
      <c r="AE103" s="15">
        <v>1</v>
      </c>
      <c r="AF103" s="20">
        <v>24</v>
      </c>
      <c r="AG103" s="20">
        <v>11.25</v>
      </c>
      <c r="AH103" s="24">
        <v>24</v>
      </c>
      <c r="AI103" s="23">
        <f t="shared" si="3"/>
        <v>1</v>
      </c>
      <c r="AJ103" s="15">
        <v>13</v>
      </c>
      <c r="AK103" s="15">
        <v>14</v>
      </c>
      <c r="AL103" s="25">
        <v>27</v>
      </c>
      <c r="AM103" s="23" cm="1">
        <f t="array" ref="AM103">IF(OR(AN103:AZ103=""),"BLANK",IF(AND(AN103:AZ103&lt;9999999),1,IF(AND(AN103:AZ103="NA"),3,2)))</f>
        <v>1</v>
      </c>
      <c r="AN103" s="20">
        <v>12</v>
      </c>
      <c r="AO103" s="20">
        <v>2</v>
      </c>
      <c r="AP103" s="15">
        <v>3</v>
      </c>
      <c r="AQ103" s="15">
        <v>4</v>
      </c>
      <c r="AR103" s="15">
        <v>5</v>
      </c>
      <c r="AS103" s="26">
        <v>2286.5</v>
      </c>
      <c r="AT103" s="26">
        <v>2770.5</v>
      </c>
      <c r="AU103" s="26">
        <v>4939.75</v>
      </c>
      <c r="AV103" s="26">
        <v>9539.25</v>
      </c>
      <c r="AW103" s="26">
        <v>0</v>
      </c>
      <c r="AX103" s="26">
        <v>0</v>
      </c>
      <c r="AY103" s="26">
        <v>0</v>
      </c>
      <c r="AZ103" s="26">
        <v>791.7</v>
      </c>
      <c r="BA103" s="23">
        <v>3</v>
      </c>
      <c r="BB103" s="24" t="s">
        <v>8</v>
      </c>
    </row>
    <row r="104" spans="1:54" x14ac:dyDescent="0.2">
      <c r="A104" s="21">
        <v>1149</v>
      </c>
      <c r="B104" s="20" t="s">
        <v>67</v>
      </c>
      <c r="C104" s="18" t="s">
        <v>55</v>
      </c>
      <c r="D104" s="18">
        <v>5</v>
      </c>
      <c r="E104" s="18">
        <v>0</v>
      </c>
      <c r="F104" s="51" t="s">
        <v>9</v>
      </c>
      <c r="G104" s="18">
        <v>30</v>
      </c>
      <c r="H104" s="22">
        <v>3.9123887748117729</v>
      </c>
      <c r="I104" s="22">
        <v>5.3689253935660508</v>
      </c>
      <c r="J104" s="22">
        <v>9.2813141683778237</v>
      </c>
      <c r="K104" s="22">
        <v>3.9288158795345653</v>
      </c>
      <c r="L104" s="22">
        <v>5.3524982888432584</v>
      </c>
      <c r="M104" s="22">
        <v>9.2813141683778237</v>
      </c>
      <c r="N104" s="22">
        <v>3.9397672826830936</v>
      </c>
      <c r="O104" s="22">
        <v>5.1389459274469544</v>
      </c>
      <c r="P104" s="22">
        <v>9.0787132101300472</v>
      </c>
      <c r="Q104" s="22" t="s">
        <v>8</v>
      </c>
      <c r="R104" s="22" t="s">
        <v>8</v>
      </c>
      <c r="S104" s="22" t="s">
        <v>8</v>
      </c>
      <c r="T104" s="20">
        <v>6</v>
      </c>
      <c r="U104" s="20">
        <v>18</v>
      </c>
      <c r="V104" s="20" t="s">
        <v>1</v>
      </c>
      <c r="W104" s="20">
        <v>5</v>
      </c>
      <c r="X104" s="20">
        <v>3</v>
      </c>
      <c r="Y104" s="5">
        <v>1</v>
      </c>
      <c r="Z104" s="20">
        <v>4</v>
      </c>
      <c r="AA104" s="23">
        <f t="shared" si="2"/>
        <v>1</v>
      </c>
      <c r="AB104" s="15">
        <v>1</v>
      </c>
      <c r="AC104" s="15">
        <v>1</v>
      </c>
      <c r="AD104" s="15">
        <v>1</v>
      </c>
      <c r="AE104" s="15">
        <v>0.95799999999999996</v>
      </c>
      <c r="AF104" s="20">
        <v>23</v>
      </c>
      <c r="AG104" s="20">
        <v>5.63</v>
      </c>
      <c r="AH104" s="24">
        <v>24</v>
      </c>
      <c r="AI104" s="23">
        <f t="shared" si="3"/>
        <v>1</v>
      </c>
      <c r="AJ104" s="15">
        <v>12.5</v>
      </c>
      <c r="AK104" s="15">
        <v>10.75</v>
      </c>
      <c r="AL104" s="25">
        <v>23.25</v>
      </c>
      <c r="AM104" s="23" cm="1">
        <f t="array" ref="AM104">IF(OR(AN104:AZ104=""),"BLANK",IF(AND(AN104:AZ104&lt;9999999),1,IF(AND(AN104:AZ104="NA"),3,2)))</f>
        <v>1</v>
      </c>
      <c r="AN104" s="20">
        <v>8</v>
      </c>
      <c r="AO104" s="20">
        <v>2</v>
      </c>
      <c r="AP104" s="15">
        <v>3.5</v>
      </c>
      <c r="AQ104" s="15">
        <v>5.75</v>
      </c>
      <c r="AR104" s="15">
        <v>5.25</v>
      </c>
      <c r="AS104" s="26">
        <v>830</v>
      </c>
      <c r="AT104" s="26">
        <v>1860.5</v>
      </c>
      <c r="AU104" s="26">
        <v>2923.75</v>
      </c>
      <c r="AV104" s="26">
        <v>8100.5</v>
      </c>
      <c r="AW104" s="26">
        <v>0</v>
      </c>
      <c r="AX104" s="26">
        <v>0</v>
      </c>
      <c r="AY104" s="26">
        <v>1187.4027777778001</v>
      </c>
      <c r="AZ104" s="26">
        <v>1643.25</v>
      </c>
      <c r="BA104" s="23">
        <v>3</v>
      </c>
      <c r="BB104" s="24" t="s">
        <v>8</v>
      </c>
    </row>
    <row r="105" spans="1:54" x14ac:dyDescent="0.2">
      <c r="A105" s="21">
        <v>1153</v>
      </c>
      <c r="B105" s="20" t="s">
        <v>75</v>
      </c>
      <c r="C105" s="18" t="s">
        <v>55</v>
      </c>
      <c r="D105" s="18">
        <v>5</v>
      </c>
      <c r="E105" s="18">
        <v>0</v>
      </c>
      <c r="F105" s="51" t="s">
        <v>9</v>
      </c>
      <c r="G105" s="18">
        <v>30</v>
      </c>
      <c r="H105" s="22">
        <v>3.8439425051334704</v>
      </c>
      <c r="I105" s="22">
        <v>5.3059548254620124</v>
      </c>
      <c r="J105" s="22">
        <v>9.1498973305954827</v>
      </c>
      <c r="K105" s="22">
        <v>3.8439425051334704</v>
      </c>
      <c r="L105" s="22">
        <v>5.3059548254620124</v>
      </c>
      <c r="M105" s="22">
        <v>9.1498973305954827</v>
      </c>
      <c r="N105" s="22">
        <v>3.9726214921286789</v>
      </c>
      <c r="O105" s="22">
        <v>5.0266940451745379</v>
      </c>
      <c r="P105" s="22">
        <v>8.9993155373032163</v>
      </c>
      <c r="Q105" s="22">
        <v>3.3100616016427105</v>
      </c>
      <c r="R105" s="22">
        <v>6.1409993155373028</v>
      </c>
      <c r="S105" s="22">
        <v>9.4510609171800137</v>
      </c>
      <c r="T105" s="20">
        <v>3</v>
      </c>
      <c r="U105" s="20">
        <v>13</v>
      </c>
      <c r="V105" s="20" t="s">
        <v>1</v>
      </c>
      <c r="W105" s="20">
        <v>5</v>
      </c>
      <c r="X105" s="20">
        <v>3</v>
      </c>
      <c r="Y105" s="5">
        <v>1</v>
      </c>
      <c r="Z105" s="20">
        <v>4</v>
      </c>
      <c r="AA105" s="23">
        <f t="shared" si="2"/>
        <v>1</v>
      </c>
      <c r="AB105" s="15">
        <v>1</v>
      </c>
      <c r="AC105" s="15">
        <v>1</v>
      </c>
      <c r="AD105" s="15">
        <v>0.83299999999999996</v>
      </c>
      <c r="AE105" s="15">
        <v>0.91700000000000004</v>
      </c>
      <c r="AF105" s="20">
        <v>22</v>
      </c>
      <c r="AG105" s="20">
        <v>6.03</v>
      </c>
      <c r="AH105" s="24">
        <v>24</v>
      </c>
      <c r="AI105" s="23">
        <f t="shared" si="3"/>
        <v>1</v>
      </c>
      <c r="AJ105" s="15">
        <v>6.5</v>
      </c>
      <c r="AK105" s="15">
        <v>10.75</v>
      </c>
      <c r="AL105" s="25">
        <v>17.25</v>
      </c>
      <c r="AM105" s="23" cm="1">
        <f t="array" ref="AM105">IF(OR(AN105:AZ105=""),"BLANK",IF(AND(AN105:AZ105&lt;9999999),1,IF(AND(AN105:AZ105="NA"),3,2)))</f>
        <v>1</v>
      </c>
      <c r="AN105" s="20">
        <v>11</v>
      </c>
      <c r="AO105" s="20">
        <v>2</v>
      </c>
      <c r="AP105" s="15">
        <v>3</v>
      </c>
      <c r="AQ105" s="15">
        <v>4</v>
      </c>
      <c r="AR105" s="15">
        <v>6.75</v>
      </c>
      <c r="AS105" s="26">
        <v>1220</v>
      </c>
      <c r="AT105" s="26">
        <v>4682.5</v>
      </c>
      <c r="AU105" s="26">
        <v>13576.75</v>
      </c>
      <c r="AV105" s="26">
        <v>17464.5</v>
      </c>
      <c r="AW105" s="26">
        <v>0</v>
      </c>
      <c r="AX105" s="26">
        <v>0</v>
      </c>
      <c r="AY105" s="26">
        <v>0</v>
      </c>
      <c r="AZ105" s="26">
        <v>98.204166666700004</v>
      </c>
      <c r="BA105" s="23">
        <v>3</v>
      </c>
      <c r="BB105" s="24" t="s">
        <v>8</v>
      </c>
    </row>
    <row r="106" spans="1:54" x14ac:dyDescent="0.2">
      <c r="A106" s="21">
        <v>1157</v>
      </c>
      <c r="B106" s="20" t="s">
        <v>65</v>
      </c>
      <c r="C106" s="18" t="s">
        <v>54</v>
      </c>
      <c r="D106" s="18">
        <v>5</v>
      </c>
      <c r="E106" s="18">
        <v>0</v>
      </c>
      <c r="F106" s="51" t="s">
        <v>9</v>
      </c>
      <c r="G106" s="18">
        <v>30</v>
      </c>
      <c r="H106" s="22">
        <v>4.1177275838466807</v>
      </c>
      <c r="I106" s="22">
        <v>5.5359342915811087</v>
      </c>
      <c r="J106" s="22">
        <v>9.6536618754277885</v>
      </c>
      <c r="K106" s="22">
        <v>4.1177275838466807</v>
      </c>
      <c r="L106" s="22">
        <v>5.5359342915811087</v>
      </c>
      <c r="M106" s="22">
        <v>9.6536618754277885</v>
      </c>
      <c r="N106" s="22" t="s">
        <v>8</v>
      </c>
      <c r="O106" s="22" t="s">
        <v>8</v>
      </c>
      <c r="P106" s="22">
        <v>9.4976043805612598</v>
      </c>
      <c r="Q106" s="22" t="s">
        <v>8</v>
      </c>
      <c r="R106" s="22" t="s">
        <v>8</v>
      </c>
      <c r="S106" s="22" t="s">
        <v>8</v>
      </c>
      <c r="T106" s="20">
        <v>6</v>
      </c>
      <c r="U106" s="20">
        <v>18</v>
      </c>
      <c r="V106" s="20" t="s">
        <v>1</v>
      </c>
      <c r="W106" s="20">
        <v>5</v>
      </c>
      <c r="X106" s="20">
        <v>3</v>
      </c>
      <c r="Y106" s="5">
        <v>1</v>
      </c>
      <c r="Z106" s="20">
        <v>4</v>
      </c>
      <c r="AA106" s="23">
        <f t="shared" si="2"/>
        <v>1</v>
      </c>
      <c r="AB106" s="15">
        <v>1</v>
      </c>
      <c r="AC106" s="15">
        <v>1</v>
      </c>
      <c r="AD106" s="15">
        <v>1</v>
      </c>
      <c r="AE106" s="15">
        <v>1</v>
      </c>
      <c r="AF106" s="20">
        <v>24</v>
      </c>
      <c r="AG106" s="20">
        <v>11.45</v>
      </c>
      <c r="AH106" s="24">
        <v>24</v>
      </c>
      <c r="AI106" s="23">
        <f t="shared" si="3"/>
        <v>1</v>
      </c>
      <c r="AJ106" s="15">
        <v>14</v>
      </c>
      <c r="AK106" s="15">
        <v>11.5</v>
      </c>
      <c r="AL106" s="25">
        <v>25.5</v>
      </c>
      <c r="AM106" s="23" cm="1">
        <f t="array" ref="AM106">IF(OR(AN106:AZ106=""),"BLANK",IF(AND(AN106:AZ106&lt;9999999),1,IF(AND(AN106:AZ106="NA"),3,2)))</f>
        <v>1</v>
      </c>
      <c r="AN106" s="20">
        <v>10</v>
      </c>
      <c r="AO106" s="20">
        <v>2</v>
      </c>
      <c r="AP106" s="15">
        <v>3.5</v>
      </c>
      <c r="AQ106" s="15">
        <v>4.25</v>
      </c>
      <c r="AR106" s="15">
        <v>5</v>
      </c>
      <c r="AS106" s="26">
        <v>569</v>
      </c>
      <c r="AT106" s="26">
        <v>2629.5</v>
      </c>
      <c r="AU106" s="26">
        <v>7115.75</v>
      </c>
      <c r="AV106" s="26">
        <v>30722.75</v>
      </c>
      <c r="AW106" s="26">
        <v>0</v>
      </c>
      <c r="AX106" s="26">
        <v>0</v>
      </c>
      <c r="AY106" s="26">
        <v>0</v>
      </c>
      <c r="AZ106" s="26">
        <v>71.7</v>
      </c>
      <c r="BA106" s="23">
        <v>3</v>
      </c>
      <c r="BB106" s="24" t="s">
        <v>8</v>
      </c>
    </row>
    <row r="107" spans="1:54" x14ac:dyDescent="0.2">
      <c r="A107" s="21">
        <v>1172</v>
      </c>
      <c r="B107" s="20" t="s">
        <v>76</v>
      </c>
      <c r="C107" s="18" t="s">
        <v>55</v>
      </c>
      <c r="D107" s="18">
        <v>5</v>
      </c>
      <c r="E107" s="18">
        <v>0</v>
      </c>
      <c r="F107" s="51" t="s">
        <v>9</v>
      </c>
      <c r="G107" s="18">
        <v>29</v>
      </c>
      <c r="H107" s="22">
        <v>3.9589322381930185</v>
      </c>
      <c r="I107" s="22">
        <v>5.6919917864476384</v>
      </c>
      <c r="J107" s="22">
        <v>9.6509240246406574</v>
      </c>
      <c r="K107" s="22">
        <v>3.9589322381930185</v>
      </c>
      <c r="L107" s="22">
        <v>5.6919917864476384</v>
      </c>
      <c r="M107" s="22">
        <v>9.6509240246406574</v>
      </c>
      <c r="N107" s="22">
        <v>3.8959616700889801</v>
      </c>
      <c r="O107" s="22">
        <v>5.6673511293634498</v>
      </c>
      <c r="P107" s="22">
        <v>9.5633127994524294</v>
      </c>
      <c r="Q107" s="22" t="s">
        <v>8</v>
      </c>
      <c r="R107" s="22" t="s">
        <v>8</v>
      </c>
      <c r="S107" s="22" t="s">
        <v>8</v>
      </c>
      <c r="T107" s="20" t="s">
        <v>8</v>
      </c>
      <c r="U107" s="20" t="s">
        <v>8</v>
      </c>
      <c r="V107" s="20" t="s">
        <v>1</v>
      </c>
      <c r="W107" s="20">
        <v>5</v>
      </c>
      <c r="X107" s="20">
        <v>3</v>
      </c>
      <c r="Y107" s="5">
        <v>1</v>
      </c>
      <c r="Z107" s="20">
        <v>4</v>
      </c>
      <c r="AA107" s="23">
        <f t="shared" si="2"/>
        <v>1</v>
      </c>
      <c r="AB107" s="15">
        <v>1</v>
      </c>
      <c r="AC107" s="15">
        <v>1</v>
      </c>
      <c r="AD107" s="15">
        <v>0.66700000000000004</v>
      </c>
      <c r="AE107" s="15">
        <v>0.91700000000000004</v>
      </c>
      <c r="AF107" s="20">
        <v>22</v>
      </c>
      <c r="AG107" s="20">
        <v>11.08</v>
      </c>
      <c r="AH107" s="24">
        <v>24</v>
      </c>
      <c r="AI107" s="23">
        <f t="shared" si="3"/>
        <v>1</v>
      </c>
      <c r="AJ107" s="15">
        <v>14</v>
      </c>
      <c r="AK107" s="15">
        <v>13</v>
      </c>
      <c r="AL107" s="25">
        <v>27</v>
      </c>
      <c r="AM107" s="23" cm="1">
        <f t="array" ref="AM107">IF(OR(AN107:AZ107=""),"BLANK",IF(AND(AN107:AZ107&lt;9999999),1,IF(AND(AN107:AZ107="NA"),3,2)))</f>
        <v>1</v>
      </c>
      <c r="AN107" s="20">
        <v>12</v>
      </c>
      <c r="AO107" s="20">
        <v>2</v>
      </c>
      <c r="AP107" s="15">
        <v>3</v>
      </c>
      <c r="AQ107" s="15">
        <v>4</v>
      </c>
      <c r="AR107" s="15">
        <v>5</v>
      </c>
      <c r="AS107" s="26">
        <v>422</v>
      </c>
      <c r="AT107" s="26">
        <v>1935</v>
      </c>
      <c r="AU107" s="26">
        <v>3205.75</v>
      </c>
      <c r="AV107" s="26">
        <v>8654.25</v>
      </c>
      <c r="AW107" s="26">
        <v>0</v>
      </c>
      <c r="AX107" s="26">
        <v>0</v>
      </c>
      <c r="AY107" s="26">
        <v>0</v>
      </c>
      <c r="AZ107" s="26">
        <v>0</v>
      </c>
      <c r="BA107" s="23">
        <v>3</v>
      </c>
      <c r="BB107" s="24" t="s">
        <v>8</v>
      </c>
    </row>
    <row r="108" spans="1:54" x14ac:dyDescent="0.2">
      <c r="A108" s="21">
        <v>1175</v>
      </c>
      <c r="B108" s="20" t="s">
        <v>66</v>
      </c>
      <c r="C108" s="18" t="s">
        <v>55</v>
      </c>
      <c r="D108" s="18">
        <v>1</v>
      </c>
      <c r="E108" s="18">
        <v>0</v>
      </c>
      <c r="F108" s="51" t="s">
        <v>9</v>
      </c>
      <c r="G108" s="18">
        <v>28</v>
      </c>
      <c r="H108" s="22">
        <v>3.9096509240246409</v>
      </c>
      <c r="I108" s="22">
        <v>5.2648870636550305</v>
      </c>
      <c r="J108" s="22">
        <v>9.1745379876796722</v>
      </c>
      <c r="K108" s="22">
        <v>3.9096509240246409</v>
      </c>
      <c r="L108" s="22">
        <v>5.5879534565366189</v>
      </c>
      <c r="M108" s="22">
        <v>9.4976043805612598</v>
      </c>
      <c r="N108" s="22" t="s">
        <v>8</v>
      </c>
      <c r="O108" s="22" t="s">
        <v>8</v>
      </c>
      <c r="P108" s="22">
        <v>9.073237508555783</v>
      </c>
      <c r="Q108" s="22">
        <v>3.1676933607118412</v>
      </c>
      <c r="R108" s="22">
        <v>6.2094455852156054</v>
      </c>
      <c r="S108" s="22">
        <v>9.377138945927447</v>
      </c>
      <c r="T108" s="20" t="s">
        <v>8</v>
      </c>
      <c r="U108" s="20" t="s">
        <v>8</v>
      </c>
      <c r="V108" s="20" t="s">
        <v>1</v>
      </c>
      <c r="W108" s="20">
        <v>5</v>
      </c>
      <c r="X108" s="20">
        <v>3</v>
      </c>
      <c r="Y108" s="5">
        <v>1</v>
      </c>
      <c r="Z108" s="20">
        <v>4</v>
      </c>
      <c r="AA108" s="23">
        <f t="shared" si="2"/>
        <v>1</v>
      </c>
      <c r="AB108" s="15">
        <v>1</v>
      </c>
      <c r="AC108" s="15">
        <v>0.83299999999999996</v>
      </c>
      <c r="AD108" s="15">
        <v>0.66700000000000004</v>
      </c>
      <c r="AE108" s="15">
        <v>0.83299999999999996</v>
      </c>
      <c r="AF108" s="20">
        <v>20</v>
      </c>
      <c r="AG108" s="20">
        <v>6.27</v>
      </c>
      <c r="AH108" s="24">
        <v>24</v>
      </c>
      <c r="AI108" s="23">
        <f t="shared" si="3"/>
        <v>1</v>
      </c>
      <c r="AJ108" s="15">
        <v>15</v>
      </c>
      <c r="AK108" s="15">
        <v>11</v>
      </c>
      <c r="AL108" s="25">
        <v>26</v>
      </c>
      <c r="AM108" s="23" cm="1">
        <f t="array" ref="AM108">IF(OR(AN108:AZ108=""),"BLANK",IF(AND(AN108:AZ108&lt;9999999),1,IF(AND(AN108:AZ108="NA"),3,2)))</f>
        <v>1</v>
      </c>
      <c r="AN108" s="20">
        <v>12</v>
      </c>
      <c r="AO108" s="20">
        <v>2</v>
      </c>
      <c r="AP108" s="15">
        <v>3</v>
      </c>
      <c r="AQ108" s="15">
        <v>4</v>
      </c>
      <c r="AR108" s="15">
        <v>5</v>
      </c>
      <c r="AS108" s="26">
        <v>1560</v>
      </c>
      <c r="AT108" s="26">
        <v>5647</v>
      </c>
      <c r="AU108" s="26">
        <v>6355.75</v>
      </c>
      <c r="AV108" s="26">
        <v>11437.75</v>
      </c>
      <c r="AW108" s="26">
        <v>314.25</v>
      </c>
      <c r="AX108" s="26">
        <v>5.8333333332999997</v>
      </c>
      <c r="AY108" s="26">
        <v>523.0625</v>
      </c>
      <c r="AZ108" s="26">
        <v>143.55000000000001</v>
      </c>
      <c r="BA108" s="23">
        <v>3</v>
      </c>
      <c r="BB108" s="24" t="s">
        <v>8</v>
      </c>
    </row>
    <row r="109" spans="1:54" x14ac:dyDescent="0.2">
      <c r="A109" s="21">
        <v>1183</v>
      </c>
      <c r="B109" s="20" t="s">
        <v>71</v>
      </c>
      <c r="C109" s="18" t="s">
        <v>55</v>
      </c>
      <c r="D109" s="18">
        <v>5</v>
      </c>
      <c r="E109" s="18">
        <v>0</v>
      </c>
      <c r="F109" s="51" t="s">
        <v>9</v>
      </c>
      <c r="G109" s="18">
        <v>29</v>
      </c>
      <c r="H109" s="22">
        <v>3.8412046543463383</v>
      </c>
      <c r="I109" s="22">
        <v>5.6536618754277894</v>
      </c>
      <c r="J109" s="22">
        <v>9.4948665297741268</v>
      </c>
      <c r="K109" s="22">
        <v>3.8412046543463383</v>
      </c>
      <c r="L109" s="22">
        <v>5.6536618754277894</v>
      </c>
      <c r="M109" s="22">
        <v>9.4948665297741268</v>
      </c>
      <c r="N109" s="22" t="s">
        <v>8</v>
      </c>
      <c r="O109" s="22" t="s">
        <v>8</v>
      </c>
      <c r="P109" s="22">
        <v>9.4811772758384674</v>
      </c>
      <c r="Q109" s="22" t="s">
        <v>8</v>
      </c>
      <c r="R109" s="22" t="s">
        <v>8</v>
      </c>
      <c r="S109" s="22" t="s">
        <v>8</v>
      </c>
      <c r="T109" s="20">
        <v>6</v>
      </c>
      <c r="U109" s="20">
        <v>18</v>
      </c>
      <c r="V109" s="20" t="s">
        <v>1</v>
      </c>
      <c r="W109" s="20">
        <v>5</v>
      </c>
      <c r="X109" s="20">
        <v>3</v>
      </c>
      <c r="Y109" s="5">
        <v>1</v>
      </c>
      <c r="Z109" s="20">
        <v>4</v>
      </c>
      <c r="AA109" s="23">
        <f t="shared" si="2"/>
        <v>1</v>
      </c>
      <c r="AB109" s="15">
        <v>1</v>
      </c>
      <c r="AC109" s="15">
        <v>1</v>
      </c>
      <c r="AD109" s="15">
        <v>1</v>
      </c>
      <c r="AE109" s="15">
        <v>1</v>
      </c>
      <c r="AF109" s="20">
        <v>24</v>
      </c>
      <c r="AG109" s="20">
        <v>12.25</v>
      </c>
      <c r="AH109" s="24">
        <v>24</v>
      </c>
      <c r="AI109" s="23">
        <f t="shared" si="3"/>
        <v>1</v>
      </c>
      <c r="AJ109" s="15">
        <v>13.75</v>
      </c>
      <c r="AK109" s="15">
        <v>14</v>
      </c>
      <c r="AL109" s="25">
        <v>27.75</v>
      </c>
      <c r="AM109" s="23" cm="1">
        <f t="array" ref="AM109">IF(OR(AN109:AZ109=""),"BLANK",IF(AND(AN109:AZ109&lt;9999999),1,IF(AND(AN109:AZ109="NA"),3,2)))</f>
        <v>1</v>
      </c>
      <c r="AN109" s="20">
        <v>12</v>
      </c>
      <c r="AO109" s="20">
        <v>2</v>
      </c>
      <c r="AP109" s="15">
        <v>3</v>
      </c>
      <c r="AQ109" s="15">
        <v>4</v>
      </c>
      <c r="AR109" s="15">
        <v>5</v>
      </c>
      <c r="AS109" s="26">
        <v>1451.5</v>
      </c>
      <c r="AT109" s="26">
        <v>2619</v>
      </c>
      <c r="AU109" s="26">
        <v>4205.25</v>
      </c>
      <c r="AV109" s="26">
        <v>9015.25</v>
      </c>
      <c r="AW109" s="26">
        <v>0</v>
      </c>
      <c r="AX109" s="26">
        <v>0</v>
      </c>
      <c r="AY109" s="26">
        <v>0</v>
      </c>
      <c r="AZ109" s="26">
        <v>0</v>
      </c>
      <c r="BA109" s="23">
        <v>3</v>
      </c>
      <c r="BB109" s="24" t="s">
        <v>8</v>
      </c>
    </row>
    <row r="110" spans="1:54" x14ac:dyDescent="0.2">
      <c r="A110" s="21">
        <v>1200</v>
      </c>
      <c r="B110" s="20" t="s">
        <v>81</v>
      </c>
      <c r="C110" s="18" t="s">
        <v>54</v>
      </c>
      <c r="D110" s="18">
        <v>5</v>
      </c>
      <c r="E110" s="18">
        <v>1</v>
      </c>
      <c r="F110" s="51" t="s">
        <v>9</v>
      </c>
      <c r="G110" s="18">
        <v>28</v>
      </c>
      <c r="H110" s="22">
        <v>3.8740588637919235</v>
      </c>
      <c r="I110" s="22">
        <v>5.4236824093086931</v>
      </c>
      <c r="J110" s="22">
        <v>9.2977412731006162</v>
      </c>
      <c r="K110" s="22">
        <v>3.8740588637919235</v>
      </c>
      <c r="L110" s="22">
        <v>5.4236824093086931</v>
      </c>
      <c r="M110" s="22">
        <v>9.2977412731006162</v>
      </c>
      <c r="N110" s="22">
        <v>3.9644079397672827</v>
      </c>
      <c r="O110" s="22" t="s">
        <v>8</v>
      </c>
      <c r="P110" s="22" t="s">
        <v>8</v>
      </c>
      <c r="Q110" s="22">
        <v>3.3456536618754278</v>
      </c>
      <c r="R110" s="22" t="s">
        <v>8</v>
      </c>
      <c r="S110" s="22" t="s">
        <v>8</v>
      </c>
      <c r="T110" s="20">
        <v>3</v>
      </c>
      <c r="U110" s="20">
        <v>13</v>
      </c>
      <c r="V110" s="20" t="s">
        <v>1</v>
      </c>
      <c r="W110" s="20">
        <v>5</v>
      </c>
      <c r="X110" s="20">
        <v>3</v>
      </c>
      <c r="Y110" s="5">
        <v>1</v>
      </c>
      <c r="Z110" s="20">
        <v>4</v>
      </c>
      <c r="AA110" s="23">
        <f t="shared" si="2"/>
        <v>1</v>
      </c>
      <c r="AB110" s="15">
        <v>0.83299999999999996</v>
      </c>
      <c r="AC110" s="15">
        <v>0.33300000000000002</v>
      </c>
      <c r="AD110" s="15">
        <v>0.16700000000000001</v>
      </c>
      <c r="AE110" s="15">
        <v>0.375</v>
      </c>
      <c r="AF110" s="20">
        <v>9</v>
      </c>
      <c r="AG110" s="20">
        <v>9.42</v>
      </c>
      <c r="AH110" s="24">
        <v>24</v>
      </c>
      <c r="AI110" s="23">
        <f t="shared" si="3"/>
        <v>2</v>
      </c>
      <c r="AJ110" s="15">
        <v>1.5</v>
      </c>
      <c r="AK110" s="15" t="s">
        <v>8</v>
      </c>
      <c r="AL110" s="25">
        <v>1.5</v>
      </c>
      <c r="AM110" s="23" cm="1">
        <f t="array" ref="AM110">IF(OR(AN110:AZ110=""),"BLANK",IF(AND(AN110:AZ110&lt;9999999),1,IF(AND(AN110:AZ110="NA"),3,2)))</f>
        <v>1</v>
      </c>
      <c r="AN110" s="20">
        <v>7</v>
      </c>
      <c r="AO110" s="20">
        <v>2</v>
      </c>
      <c r="AP110" s="15">
        <v>4</v>
      </c>
      <c r="AQ110" s="15">
        <v>4.75</v>
      </c>
      <c r="AR110" s="15">
        <v>10.25</v>
      </c>
      <c r="AS110" s="26">
        <v>2025</v>
      </c>
      <c r="AT110" s="26">
        <v>6857.5</v>
      </c>
      <c r="AU110" s="26">
        <v>4973.25</v>
      </c>
      <c r="AV110" s="26">
        <v>4621.5</v>
      </c>
      <c r="AW110" s="26">
        <v>0</v>
      </c>
      <c r="AX110" s="26">
        <v>782.8</v>
      </c>
      <c r="AY110" s="26">
        <v>1891.1517857143001</v>
      </c>
      <c r="AZ110" s="26">
        <v>10825.15</v>
      </c>
      <c r="BA110" s="23">
        <v>3</v>
      </c>
      <c r="BB110" s="24" t="s">
        <v>8</v>
      </c>
    </row>
    <row r="111" spans="1:54" x14ac:dyDescent="0.2">
      <c r="A111" s="21">
        <v>1220</v>
      </c>
      <c r="B111" s="20" t="s">
        <v>75</v>
      </c>
      <c r="C111" s="18" t="s">
        <v>54</v>
      </c>
      <c r="D111" s="18">
        <v>5</v>
      </c>
      <c r="E111" s="18">
        <v>0</v>
      </c>
      <c r="F111" s="51" t="s">
        <v>9</v>
      </c>
      <c r="G111" s="18">
        <v>29</v>
      </c>
      <c r="H111" s="22">
        <v>4.1779603011635862</v>
      </c>
      <c r="I111" s="22">
        <v>4.8213552361396301</v>
      </c>
      <c r="J111" s="22">
        <v>8.9993155373032163</v>
      </c>
      <c r="K111" s="22">
        <v>4.1779603011635862</v>
      </c>
      <c r="L111" s="22">
        <v>5.0540725530458586</v>
      </c>
      <c r="M111" s="22">
        <v>9.2320328542094447</v>
      </c>
      <c r="N111" s="22">
        <v>4.1040383299110195</v>
      </c>
      <c r="O111" s="22">
        <v>4.7446954140999313</v>
      </c>
      <c r="P111" s="22">
        <v>8.8487337440109517</v>
      </c>
      <c r="Q111" s="22" t="s">
        <v>8</v>
      </c>
      <c r="R111" s="22" t="s">
        <v>8</v>
      </c>
      <c r="S111" s="22" t="s">
        <v>8</v>
      </c>
      <c r="T111" s="20" t="s">
        <v>8</v>
      </c>
      <c r="U111" s="20" t="s">
        <v>8</v>
      </c>
      <c r="V111" s="20" t="s">
        <v>1</v>
      </c>
      <c r="W111" s="20">
        <v>5</v>
      </c>
      <c r="X111" s="20">
        <v>3</v>
      </c>
      <c r="Y111" s="5">
        <v>1</v>
      </c>
      <c r="Z111" s="20">
        <v>4</v>
      </c>
      <c r="AA111" s="23">
        <f t="shared" si="2"/>
        <v>1</v>
      </c>
      <c r="AB111" s="15">
        <v>0.83299999999999996</v>
      </c>
      <c r="AC111" s="15">
        <v>1</v>
      </c>
      <c r="AD111" s="15">
        <v>0.83299999999999996</v>
      </c>
      <c r="AE111" s="15">
        <v>0.83299999999999996</v>
      </c>
      <c r="AF111" s="20">
        <v>20</v>
      </c>
      <c r="AG111" s="20">
        <v>9.42</v>
      </c>
      <c r="AH111" s="24">
        <v>24</v>
      </c>
      <c r="AI111" s="23">
        <f t="shared" si="3"/>
        <v>1</v>
      </c>
      <c r="AJ111" s="15">
        <v>8.75</v>
      </c>
      <c r="AK111" s="15">
        <v>10</v>
      </c>
      <c r="AL111" s="25">
        <v>18.75</v>
      </c>
      <c r="AM111" s="23" cm="1">
        <f t="array" ref="AM111">IF(OR(AN111:AZ111=""),"BLANK",IF(AND(AN111:AZ111&lt;9999999),1,IF(AND(AN111:AZ111="NA"),3,2)))</f>
        <v>1</v>
      </c>
      <c r="AN111" s="20">
        <v>7</v>
      </c>
      <c r="AO111" s="20">
        <v>2</v>
      </c>
      <c r="AP111" s="15">
        <v>3</v>
      </c>
      <c r="AQ111" s="15">
        <v>6.5</v>
      </c>
      <c r="AR111" s="15">
        <v>7.25</v>
      </c>
      <c r="AS111" s="26">
        <v>1984</v>
      </c>
      <c r="AT111" s="26">
        <v>4794.5</v>
      </c>
      <c r="AU111" s="26">
        <v>6884.75</v>
      </c>
      <c r="AV111" s="26">
        <v>12248.25</v>
      </c>
      <c r="AW111" s="26">
        <v>403</v>
      </c>
      <c r="AX111" s="26">
        <v>158</v>
      </c>
      <c r="AY111" s="26">
        <v>2906.1458333332998</v>
      </c>
      <c r="AZ111" s="26">
        <v>3923.8012896824998</v>
      </c>
      <c r="BA111" s="23">
        <v>3</v>
      </c>
      <c r="BB111" s="24" t="s">
        <v>8</v>
      </c>
    </row>
    <row r="112" spans="1:54" x14ac:dyDescent="0.2">
      <c r="A112" s="21">
        <v>1226</v>
      </c>
      <c r="B112" s="20" t="s">
        <v>81</v>
      </c>
      <c r="C112" s="18" t="s">
        <v>54</v>
      </c>
      <c r="D112" s="18">
        <v>5</v>
      </c>
      <c r="E112" s="18">
        <v>0</v>
      </c>
      <c r="F112" s="51" t="s">
        <v>9</v>
      </c>
      <c r="G112" s="18">
        <v>30</v>
      </c>
      <c r="H112" s="22">
        <v>3.890485968514716</v>
      </c>
      <c r="I112" s="22">
        <v>5.3689253935660508</v>
      </c>
      <c r="J112" s="22">
        <v>9.2594113620807672</v>
      </c>
      <c r="K112" s="22" t="s">
        <v>8</v>
      </c>
      <c r="L112" s="22" t="s">
        <v>8</v>
      </c>
      <c r="M112" s="22" t="s">
        <v>8</v>
      </c>
      <c r="N112" s="22">
        <v>4.2053388090349078</v>
      </c>
      <c r="O112" s="22">
        <v>4.991101984941821</v>
      </c>
      <c r="P112" s="22">
        <v>9.1964407939767288</v>
      </c>
      <c r="Q112" s="22">
        <v>3.4140999315537304</v>
      </c>
      <c r="R112" s="22">
        <v>6.3189596167008899</v>
      </c>
      <c r="S112" s="22">
        <v>9.7330595482546194</v>
      </c>
      <c r="T112" s="20">
        <v>5</v>
      </c>
      <c r="U112" s="20">
        <v>17</v>
      </c>
      <c r="V112" s="20" t="s">
        <v>1</v>
      </c>
      <c r="W112" s="20">
        <v>5</v>
      </c>
      <c r="X112" s="20">
        <v>3</v>
      </c>
      <c r="Y112" s="5">
        <v>1</v>
      </c>
      <c r="Z112" s="20">
        <v>4</v>
      </c>
      <c r="AA112" s="23">
        <f t="shared" si="2"/>
        <v>1</v>
      </c>
      <c r="AB112" s="15">
        <v>1</v>
      </c>
      <c r="AC112" s="15">
        <v>1</v>
      </c>
      <c r="AD112" s="15">
        <v>0.66700000000000004</v>
      </c>
      <c r="AE112" s="15">
        <v>0.82599999999999996</v>
      </c>
      <c r="AF112" s="20">
        <v>19</v>
      </c>
      <c r="AG112" s="20">
        <v>6.75</v>
      </c>
      <c r="AH112" s="24">
        <v>23</v>
      </c>
      <c r="AI112" s="23">
        <f t="shared" si="3"/>
        <v>1</v>
      </c>
      <c r="AJ112" s="15">
        <v>5.5</v>
      </c>
      <c r="AK112" s="15">
        <v>-0.75</v>
      </c>
      <c r="AL112" s="25">
        <v>4.75</v>
      </c>
      <c r="AM112" s="23" cm="1">
        <f t="array" ref="AM112">IF(OR(AN112:AZ112=""),"BLANK",IF(AND(AN112:AZ112&lt;9999999),1,IF(AND(AN112:AZ112="NA"),3,2)))</f>
        <v>1</v>
      </c>
      <c r="AN112" s="20">
        <v>7</v>
      </c>
      <c r="AO112" s="20">
        <v>2</v>
      </c>
      <c r="AP112" s="15">
        <v>3</v>
      </c>
      <c r="AQ112" s="15">
        <v>5.25</v>
      </c>
      <c r="AR112" s="15">
        <v>8</v>
      </c>
      <c r="AS112" s="26">
        <v>1653.5</v>
      </c>
      <c r="AT112" s="26">
        <v>5713</v>
      </c>
      <c r="AU112" s="26">
        <v>6200.75</v>
      </c>
      <c r="AV112" s="26">
        <v>8856</v>
      </c>
      <c r="AW112" s="26">
        <v>0</v>
      </c>
      <c r="AX112" s="26">
        <v>0</v>
      </c>
      <c r="AY112" s="26">
        <v>386.0486111111</v>
      </c>
      <c r="AZ112" s="26">
        <v>3809.1875</v>
      </c>
      <c r="BA112" s="23">
        <v>3</v>
      </c>
      <c r="BB112" s="24" t="s">
        <v>8</v>
      </c>
    </row>
    <row r="113" spans="1:54" x14ac:dyDescent="0.2">
      <c r="A113" s="21">
        <v>1240</v>
      </c>
      <c r="B113" s="20" t="s">
        <v>62</v>
      </c>
      <c r="C113" s="18" t="s">
        <v>54</v>
      </c>
      <c r="D113" s="18">
        <v>5</v>
      </c>
      <c r="E113" s="18">
        <v>0</v>
      </c>
      <c r="F113" s="51" t="s">
        <v>9</v>
      </c>
      <c r="G113" s="18">
        <v>30</v>
      </c>
      <c r="H113" s="22">
        <v>3.9671457905544147</v>
      </c>
      <c r="I113" s="22">
        <v>4.9774127310061598</v>
      </c>
      <c r="J113" s="22">
        <v>8.944558521560575</v>
      </c>
      <c r="K113" s="22">
        <v>3.9671457905544147</v>
      </c>
      <c r="L113" s="22">
        <v>4.9774127310061598</v>
      </c>
      <c r="M113" s="22">
        <v>8.944558521560575</v>
      </c>
      <c r="N113" s="22">
        <v>3.9589322381930185</v>
      </c>
      <c r="O113" s="22">
        <v>4.9253935660506505</v>
      </c>
      <c r="P113" s="22">
        <v>8.8843258042436695</v>
      </c>
      <c r="Q113" s="22">
        <v>3.1649555099247091</v>
      </c>
      <c r="R113" s="22">
        <v>5.935660506502396</v>
      </c>
      <c r="S113" s="22">
        <v>9.1006160164271055</v>
      </c>
      <c r="T113" s="20">
        <v>4</v>
      </c>
      <c r="U113" s="20">
        <v>16</v>
      </c>
      <c r="V113" s="20" t="s">
        <v>1</v>
      </c>
      <c r="W113" s="20">
        <v>5</v>
      </c>
      <c r="X113" s="20">
        <v>3</v>
      </c>
      <c r="Y113" s="5">
        <v>1</v>
      </c>
      <c r="Z113" s="20">
        <v>4</v>
      </c>
      <c r="AA113" s="23">
        <f t="shared" si="2"/>
        <v>1</v>
      </c>
      <c r="AB113" s="15">
        <v>1</v>
      </c>
      <c r="AC113" s="15">
        <v>1</v>
      </c>
      <c r="AD113" s="15">
        <v>1</v>
      </c>
      <c r="AE113" s="15">
        <v>0.95799999999999996</v>
      </c>
      <c r="AF113" s="20">
        <v>23</v>
      </c>
      <c r="AG113" s="20">
        <v>6.88</v>
      </c>
      <c r="AH113" s="24">
        <v>24</v>
      </c>
      <c r="AI113" s="23">
        <f t="shared" si="3"/>
        <v>1</v>
      </c>
      <c r="AJ113" s="15">
        <v>10</v>
      </c>
      <c r="AK113" s="15">
        <v>11</v>
      </c>
      <c r="AL113" s="25">
        <v>21</v>
      </c>
      <c r="AM113" s="23" cm="1">
        <f t="array" ref="AM113">IF(OR(AN113:AZ113=""),"BLANK",IF(AND(AN113:AZ113&lt;9999999),1,IF(AND(AN113:AZ113="NA"),3,2)))</f>
        <v>1</v>
      </c>
      <c r="AN113" s="20">
        <v>9</v>
      </c>
      <c r="AO113" s="20">
        <v>2</v>
      </c>
      <c r="AP113" s="15">
        <v>3.5</v>
      </c>
      <c r="AQ113" s="15">
        <v>5.25</v>
      </c>
      <c r="AR113" s="15">
        <v>5.5</v>
      </c>
      <c r="AS113" s="26">
        <v>1460.5</v>
      </c>
      <c r="AT113" s="26">
        <v>1838.5</v>
      </c>
      <c r="AU113" s="26">
        <v>5375</v>
      </c>
      <c r="AV113" s="26">
        <v>5081</v>
      </c>
      <c r="AW113" s="26">
        <v>0</v>
      </c>
      <c r="AX113" s="26">
        <v>0</v>
      </c>
      <c r="AY113" s="26">
        <v>984.5</v>
      </c>
      <c r="AZ113" s="26">
        <v>693.62857142860003</v>
      </c>
      <c r="BA113" s="23">
        <v>3</v>
      </c>
      <c r="BB113" s="24" t="s">
        <v>8</v>
      </c>
    </row>
    <row r="114" spans="1:54" x14ac:dyDescent="0.2">
      <c r="A114" s="21">
        <v>1245</v>
      </c>
      <c r="B114" s="20" t="s">
        <v>75</v>
      </c>
      <c r="C114" s="18" t="s">
        <v>55</v>
      </c>
      <c r="D114" s="18">
        <v>3</v>
      </c>
      <c r="E114" s="18">
        <v>1</v>
      </c>
      <c r="F114" s="51" t="s">
        <v>9</v>
      </c>
      <c r="G114" s="18">
        <v>30</v>
      </c>
      <c r="H114" s="22">
        <v>3.9835728952772076</v>
      </c>
      <c r="I114" s="22">
        <v>5.2813141683778237</v>
      </c>
      <c r="J114" s="22">
        <v>9.2648870636550313</v>
      </c>
      <c r="K114" s="22">
        <v>4.991101984941821</v>
      </c>
      <c r="L114" s="22">
        <v>4.2737850787132103</v>
      </c>
      <c r="M114" s="22">
        <v>9.2648870636550313</v>
      </c>
      <c r="N114" s="22">
        <v>3.9726214921286789</v>
      </c>
      <c r="O114" s="22">
        <v>5.0540725530458586</v>
      </c>
      <c r="P114" s="22">
        <v>9.0266940451745388</v>
      </c>
      <c r="Q114" s="22" t="s">
        <v>8</v>
      </c>
      <c r="R114" s="22" t="s">
        <v>8</v>
      </c>
      <c r="S114" s="22" t="s">
        <v>8</v>
      </c>
      <c r="T114" s="20" t="s">
        <v>8</v>
      </c>
      <c r="U114" s="20" t="s">
        <v>8</v>
      </c>
      <c r="V114" s="20" t="s">
        <v>1</v>
      </c>
      <c r="W114" s="20">
        <v>5</v>
      </c>
      <c r="X114" s="20">
        <v>3</v>
      </c>
      <c r="Y114" s="5">
        <v>1</v>
      </c>
      <c r="Z114" s="20">
        <v>4</v>
      </c>
      <c r="AA114" s="23">
        <f t="shared" si="2"/>
        <v>2</v>
      </c>
      <c r="AB114" s="15">
        <v>1</v>
      </c>
      <c r="AC114" s="15">
        <v>1</v>
      </c>
      <c r="AD114" s="15">
        <v>0.66700000000000004</v>
      </c>
      <c r="AE114" s="15">
        <v>0.875</v>
      </c>
      <c r="AF114" s="20">
        <v>21</v>
      </c>
      <c r="AG114" s="20" t="s">
        <v>8</v>
      </c>
      <c r="AH114" s="24">
        <v>24</v>
      </c>
      <c r="AI114" s="23">
        <f t="shared" si="3"/>
        <v>1</v>
      </c>
      <c r="AJ114" s="15">
        <v>14</v>
      </c>
      <c r="AK114" s="15">
        <v>11</v>
      </c>
      <c r="AL114" s="25">
        <v>25</v>
      </c>
      <c r="AM114" s="23" cm="1">
        <f t="array" ref="AM114">IF(OR(AN114:AZ114=""),"BLANK",IF(AND(AN114:AZ114&lt;9999999),1,IF(AND(AN114:AZ114="NA"),3,2)))</f>
        <v>1</v>
      </c>
      <c r="AN114" s="20">
        <v>8</v>
      </c>
      <c r="AO114" s="20">
        <v>2</v>
      </c>
      <c r="AP114" s="15">
        <v>3</v>
      </c>
      <c r="AQ114" s="15">
        <v>5.75</v>
      </c>
      <c r="AR114" s="15">
        <v>8.25</v>
      </c>
      <c r="AS114" s="26">
        <v>4291</v>
      </c>
      <c r="AT114" s="26">
        <v>13409.5</v>
      </c>
      <c r="AU114" s="26">
        <v>11758.25</v>
      </c>
      <c r="AV114" s="26">
        <v>19022.25</v>
      </c>
      <c r="AW114" s="26">
        <v>0</v>
      </c>
      <c r="AX114" s="26">
        <v>0</v>
      </c>
      <c r="AY114" s="26">
        <v>3673.9583333332998</v>
      </c>
      <c r="AZ114" s="26">
        <v>3779.3920454545</v>
      </c>
      <c r="BA114" s="23">
        <v>3</v>
      </c>
      <c r="BB114" s="24" t="s">
        <v>8</v>
      </c>
    </row>
    <row r="115" spans="1:54" x14ac:dyDescent="0.2">
      <c r="A115" s="21">
        <v>1316</v>
      </c>
      <c r="B115" s="20" t="s">
        <v>66</v>
      </c>
      <c r="C115" s="18" t="s">
        <v>55</v>
      </c>
      <c r="D115" s="18">
        <v>5</v>
      </c>
      <c r="E115" s="18">
        <v>0</v>
      </c>
      <c r="F115" s="51" t="s">
        <v>9</v>
      </c>
      <c r="G115" s="18">
        <v>29</v>
      </c>
      <c r="H115" s="22">
        <v>3.9671457905544147</v>
      </c>
      <c r="I115" s="22">
        <v>5.1827515400410675</v>
      </c>
      <c r="J115" s="22">
        <v>9.1498973305954827</v>
      </c>
      <c r="K115" s="22">
        <v>3.9671457905544147</v>
      </c>
      <c r="L115" s="22">
        <v>5.4510609171800137</v>
      </c>
      <c r="M115" s="22">
        <v>9.4182067077344289</v>
      </c>
      <c r="N115" s="22">
        <v>3.9945242984257359</v>
      </c>
      <c r="O115" s="22">
        <v>4.8459958932238196</v>
      </c>
      <c r="P115" s="22">
        <v>8.8405201916495546</v>
      </c>
      <c r="Q115" s="22">
        <v>3.3210130047912387</v>
      </c>
      <c r="R115" s="22">
        <v>5.9137577002053385</v>
      </c>
      <c r="S115" s="22">
        <v>9.2347707049965777</v>
      </c>
      <c r="T115" s="20" t="s">
        <v>8</v>
      </c>
      <c r="U115" s="20" t="s">
        <v>8</v>
      </c>
      <c r="V115" s="20" t="s">
        <v>1</v>
      </c>
      <c r="W115" s="20">
        <v>5</v>
      </c>
      <c r="X115" s="20">
        <v>3</v>
      </c>
      <c r="Y115" s="5">
        <v>1</v>
      </c>
      <c r="Z115" s="20">
        <v>4</v>
      </c>
      <c r="AA115" s="23">
        <f t="shared" si="2"/>
        <v>1</v>
      </c>
      <c r="AB115" s="15">
        <v>1</v>
      </c>
      <c r="AC115" s="15">
        <v>1</v>
      </c>
      <c r="AD115" s="15">
        <v>0.66700000000000004</v>
      </c>
      <c r="AE115" s="15">
        <v>0.91700000000000004</v>
      </c>
      <c r="AF115" s="20">
        <v>22</v>
      </c>
      <c r="AG115" s="20">
        <v>6.5</v>
      </c>
      <c r="AH115" s="24">
        <v>24</v>
      </c>
      <c r="AI115" s="23">
        <f t="shared" si="3"/>
        <v>1</v>
      </c>
      <c r="AJ115" s="15">
        <v>8.75</v>
      </c>
      <c r="AK115" s="15">
        <v>9.5</v>
      </c>
      <c r="AL115" s="25">
        <v>18.25</v>
      </c>
      <c r="AM115" s="23" cm="1">
        <f t="array" ref="AM115">IF(OR(AN115:AZ115=""),"BLANK",IF(AND(AN115:AZ115&lt;9999999),1,IF(AND(AN115:AZ115="NA"),3,2)))</f>
        <v>1</v>
      </c>
      <c r="AN115" s="20">
        <v>10</v>
      </c>
      <c r="AO115" s="20">
        <v>2</v>
      </c>
      <c r="AP115" s="15">
        <v>3</v>
      </c>
      <c r="AQ115" s="15">
        <v>5.25</v>
      </c>
      <c r="AR115" s="15">
        <v>5.75</v>
      </c>
      <c r="AS115" s="26">
        <v>1471</v>
      </c>
      <c r="AT115" s="26">
        <v>2429</v>
      </c>
      <c r="AU115" s="26">
        <v>3945.5</v>
      </c>
      <c r="AV115" s="26">
        <v>2726.5</v>
      </c>
      <c r="AW115" s="26">
        <v>0</v>
      </c>
      <c r="AX115" s="26">
        <v>0</v>
      </c>
      <c r="AY115" s="26">
        <v>5.1180555555999998</v>
      </c>
      <c r="AZ115" s="26">
        <v>698.65625</v>
      </c>
      <c r="BA115" s="23">
        <v>3</v>
      </c>
      <c r="BB115" s="24" t="s">
        <v>8</v>
      </c>
    </row>
    <row r="116" spans="1:54" x14ac:dyDescent="0.2">
      <c r="A116" s="21">
        <v>1356</v>
      </c>
      <c r="B116" s="20" t="s">
        <v>78</v>
      </c>
      <c r="C116" s="18" t="s">
        <v>54</v>
      </c>
      <c r="D116" s="18">
        <v>5</v>
      </c>
      <c r="E116" s="18">
        <v>0</v>
      </c>
      <c r="F116" s="51" t="s">
        <v>9</v>
      </c>
      <c r="G116" s="18">
        <v>29</v>
      </c>
      <c r="H116" s="22">
        <v>4.0301163586584527</v>
      </c>
      <c r="I116" s="22">
        <v>5.3497604380561263</v>
      </c>
      <c r="J116" s="22">
        <v>9.3798767967145782</v>
      </c>
      <c r="K116" s="22">
        <v>4.0301163586584527</v>
      </c>
      <c r="L116" s="22">
        <v>5.3497604380561263</v>
      </c>
      <c r="M116" s="22">
        <v>9.3798767967145782</v>
      </c>
      <c r="N116" s="22">
        <v>4.0273785078713207</v>
      </c>
      <c r="O116" s="22">
        <v>5.330595482546201</v>
      </c>
      <c r="P116" s="22">
        <v>9.3579739904175216</v>
      </c>
      <c r="Q116" s="22">
        <v>3.3127994524298425</v>
      </c>
      <c r="R116" s="22" t="s">
        <v>8</v>
      </c>
      <c r="S116" s="22" t="s">
        <v>8</v>
      </c>
      <c r="T116" s="20">
        <v>3</v>
      </c>
      <c r="U116" s="20">
        <v>15</v>
      </c>
      <c r="V116" s="20" t="s">
        <v>1</v>
      </c>
      <c r="W116" s="20">
        <v>5</v>
      </c>
      <c r="X116" s="20">
        <v>3</v>
      </c>
      <c r="Y116" s="5">
        <v>1</v>
      </c>
      <c r="Z116" s="20">
        <v>4</v>
      </c>
      <c r="AA116" s="23">
        <f t="shared" si="2"/>
        <v>1</v>
      </c>
      <c r="AB116" s="15">
        <v>0.83299999999999996</v>
      </c>
      <c r="AC116" s="15">
        <v>1</v>
      </c>
      <c r="AD116" s="15">
        <v>1</v>
      </c>
      <c r="AE116" s="15">
        <v>0.95799999999999996</v>
      </c>
      <c r="AF116" s="20">
        <v>23</v>
      </c>
      <c r="AG116" s="20">
        <v>10.25</v>
      </c>
      <c r="AH116" s="24">
        <v>24</v>
      </c>
      <c r="AI116" s="23">
        <f t="shared" si="3"/>
        <v>1</v>
      </c>
      <c r="AJ116" s="15">
        <v>12</v>
      </c>
      <c r="AK116" s="15">
        <v>12</v>
      </c>
      <c r="AL116" s="25">
        <v>24</v>
      </c>
      <c r="AM116" s="23" cm="1">
        <f t="array" ref="AM116">IF(OR(AN116:AZ116=""),"BLANK",IF(AND(AN116:AZ116&lt;9999999),1,IF(AND(AN116:AZ116="NA"),3,2)))</f>
        <v>1</v>
      </c>
      <c r="AN116" s="20">
        <v>9</v>
      </c>
      <c r="AO116" s="20">
        <v>2</v>
      </c>
      <c r="AP116" s="15">
        <v>3.5</v>
      </c>
      <c r="AQ116" s="15">
        <v>4.5</v>
      </c>
      <c r="AR116" s="15">
        <v>5.25</v>
      </c>
      <c r="AS116" s="26">
        <v>947.5</v>
      </c>
      <c r="AT116" s="26">
        <v>4162</v>
      </c>
      <c r="AU116" s="26">
        <v>4704.25</v>
      </c>
      <c r="AV116" s="26">
        <v>3731.75</v>
      </c>
      <c r="AW116" s="26">
        <v>148.25</v>
      </c>
      <c r="AX116" s="26">
        <v>20.541666666699999</v>
      </c>
      <c r="AY116" s="26">
        <v>368.5625</v>
      </c>
      <c r="AZ116" s="26">
        <v>0</v>
      </c>
      <c r="BA116" s="23">
        <v>3</v>
      </c>
      <c r="BB116" s="24" t="s">
        <v>8</v>
      </c>
    </row>
    <row r="117" spans="1:54" x14ac:dyDescent="0.2">
      <c r="A117" s="21">
        <v>1362</v>
      </c>
      <c r="B117" s="20" t="s">
        <v>75</v>
      </c>
      <c r="C117" s="18" t="s">
        <v>54</v>
      </c>
      <c r="D117" s="18">
        <v>3</v>
      </c>
      <c r="E117" s="18">
        <v>1</v>
      </c>
      <c r="F117" s="51" t="s">
        <v>9</v>
      </c>
      <c r="G117" s="18">
        <v>28</v>
      </c>
      <c r="H117" s="22">
        <v>3.9726214921286789</v>
      </c>
      <c r="I117" s="22">
        <v>5.1334702258726903</v>
      </c>
      <c r="J117" s="22">
        <v>9.1060917180013696</v>
      </c>
      <c r="K117" s="22">
        <v>3.9726214921286789</v>
      </c>
      <c r="L117" s="22">
        <v>5.4182067077344289</v>
      </c>
      <c r="M117" s="22">
        <v>9.3908281998631082</v>
      </c>
      <c r="N117" s="22" t="s">
        <v>8</v>
      </c>
      <c r="O117" s="22" t="s">
        <v>8</v>
      </c>
      <c r="P117" s="22">
        <v>9.0540725530458595</v>
      </c>
      <c r="Q117" s="22" t="s">
        <v>8</v>
      </c>
      <c r="R117" s="22" t="s">
        <v>8</v>
      </c>
      <c r="S117" s="22" t="s">
        <v>8</v>
      </c>
      <c r="T117" s="20">
        <v>6</v>
      </c>
      <c r="U117" s="20">
        <v>18</v>
      </c>
      <c r="V117" s="20" t="s">
        <v>1</v>
      </c>
      <c r="W117" s="20">
        <v>5</v>
      </c>
      <c r="X117" s="20">
        <v>3</v>
      </c>
      <c r="Y117" s="5">
        <v>1</v>
      </c>
      <c r="Z117" s="20">
        <v>4</v>
      </c>
      <c r="AA117" s="23">
        <f t="shared" si="2"/>
        <v>2</v>
      </c>
      <c r="AB117" s="15">
        <v>1</v>
      </c>
      <c r="AC117" s="15">
        <v>0.83299999999999996</v>
      </c>
      <c r="AD117" s="15">
        <v>0.66700000000000004</v>
      </c>
      <c r="AE117" s="15">
        <v>0.875</v>
      </c>
      <c r="AF117" s="20">
        <v>21</v>
      </c>
      <c r="AG117" s="20" t="s">
        <v>8</v>
      </c>
      <c r="AH117" s="24">
        <v>24</v>
      </c>
      <c r="AI117" s="23">
        <f t="shared" si="3"/>
        <v>1</v>
      </c>
      <c r="AJ117" s="15">
        <v>7</v>
      </c>
      <c r="AK117" s="15">
        <v>6</v>
      </c>
      <c r="AL117" s="25">
        <v>13</v>
      </c>
      <c r="AM117" s="23" cm="1">
        <f t="array" ref="AM117">IF(OR(AN117:AZ117=""),"BLANK",IF(AND(AN117:AZ117&lt;9999999),1,IF(AND(AN117:AZ117="NA"),3,2)))</f>
        <v>1</v>
      </c>
      <c r="AN117" s="20">
        <v>9</v>
      </c>
      <c r="AO117" s="20">
        <v>2</v>
      </c>
      <c r="AP117" s="15">
        <v>3</v>
      </c>
      <c r="AQ117" s="15">
        <v>4.75</v>
      </c>
      <c r="AR117" s="15">
        <v>8.5</v>
      </c>
      <c r="AS117" s="26">
        <v>2703.5</v>
      </c>
      <c r="AT117" s="26">
        <v>6453.5</v>
      </c>
      <c r="AU117" s="26">
        <v>7005.25</v>
      </c>
      <c r="AV117" s="26">
        <v>8488.25</v>
      </c>
      <c r="AW117" s="26">
        <v>0</v>
      </c>
      <c r="AX117" s="26">
        <v>0</v>
      </c>
      <c r="AY117" s="26">
        <v>33.089285714299997</v>
      </c>
      <c r="AZ117" s="26">
        <v>2544.3375000000001</v>
      </c>
      <c r="BA117" s="23">
        <v>3</v>
      </c>
      <c r="BB117" s="24" t="s">
        <v>8</v>
      </c>
    </row>
    <row r="118" spans="1:54" x14ac:dyDescent="0.2">
      <c r="A118" s="21">
        <v>1370</v>
      </c>
      <c r="B118" s="20" t="s">
        <v>65</v>
      </c>
      <c r="C118" s="18" t="s">
        <v>54</v>
      </c>
      <c r="D118" s="18">
        <v>1</v>
      </c>
      <c r="E118" s="18">
        <v>0</v>
      </c>
      <c r="F118" s="51" t="s">
        <v>9</v>
      </c>
      <c r="G118" s="18">
        <v>30</v>
      </c>
      <c r="H118" s="22">
        <v>4.1396303901437372</v>
      </c>
      <c r="I118" s="22">
        <v>5.1006160164271046</v>
      </c>
      <c r="J118" s="22">
        <v>9.2402464065708418</v>
      </c>
      <c r="K118" s="22">
        <v>4.1396303901437372</v>
      </c>
      <c r="L118" s="22">
        <v>5.1006160164271046</v>
      </c>
      <c r="M118" s="22">
        <v>9.2402464065708418</v>
      </c>
      <c r="N118" s="22">
        <v>4.1560574948665296</v>
      </c>
      <c r="O118" s="22">
        <v>5.0431211498973303</v>
      </c>
      <c r="P118" s="22">
        <v>9.1991786447638599</v>
      </c>
      <c r="Q118" s="22" t="s">
        <v>8</v>
      </c>
      <c r="R118" s="22" t="s">
        <v>8</v>
      </c>
      <c r="S118" s="22" t="s">
        <v>8</v>
      </c>
      <c r="T118" s="20">
        <v>7</v>
      </c>
      <c r="U118" s="20">
        <v>21</v>
      </c>
      <c r="V118" s="20" t="s">
        <v>1</v>
      </c>
      <c r="W118" s="20">
        <v>5</v>
      </c>
      <c r="X118" s="20">
        <v>3</v>
      </c>
      <c r="Y118" s="5">
        <v>1</v>
      </c>
      <c r="Z118" s="20">
        <v>4</v>
      </c>
      <c r="AA118" s="23">
        <f t="shared" si="2"/>
        <v>1</v>
      </c>
      <c r="AB118" s="15">
        <v>1</v>
      </c>
      <c r="AC118" s="15">
        <v>1</v>
      </c>
      <c r="AD118" s="15">
        <v>0.83299999999999996</v>
      </c>
      <c r="AE118" s="15">
        <v>0.95799999999999996</v>
      </c>
      <c r="AF118" s="20">
        <v>23</v>
      </c>
      <c r="AG118" s="20">
        <v>5.53</v>
      </c>
      <c r="AH118" s="24">
        <v>24</v>
      </c>
      <c r="AI118" s="23">
        <f t="shared" si="3"/>
        <v>1</v>
      </c>
      <c r="AJ118" s="15">
        <v>14</v>
      </c>
      <c r="AK118" s="15">
        <v>12</v>
      </c>
      <c r="AL118" s="25">
        <v>26</v>
      </c>
      <c r="AM118" s="23" cm="1">
        <f t="array" ref="AM118">IF(OR(AN118:AZ118=""),"BLANK",IF(AND(AN118:AZ118&lt;9999999),1,IF(AND(AN118:AZ118="NA"),3,2)))</f>
        <v>1</v>
      </c>
      <c r="AN118" s="20">
        <v>12</v>
      </c>
      <c r="AO118" s="20">
        <v>2</v>
      </c>
      <c r="AP118" s="15">
        <v>3</v>
      </c>
      <c r="AQ118" s="15">
        <v>4</v>
      </c>
      <c r="AR118" s="15">
        <v>5</v>
      </c>
      <c r="AS118" s="26">
        <v>2653.5</v>
      </c>
      <c r="AT118" s="26">
        <v>5343</v>
      </c>
      <c r="AU118" s="26">
        <v>10782.25</v>
      </c>
      <c r="AV118" s="26">
        <v>15914.75</v>
      </c>
      <c r="AW118" s="26">
        <v>0</v>
      </c>
      <c r="AX118" s="26">
        <v>0</v>
      </c>
      <c r="AY118" s="26">
        <v>0</v>
      </c>
      <c r="AZ118" s="26">
        <v>0</v>
      </c>
      <c r="BA118" s="23">
        <v>3</v>
      </c>
      <c r="BB118" s="24" t="s">
        <v>8</v>
      </c>
    </row>
    <row r="119" spans="1:54" x14ac:dyDescent="0.2">
      <c r="A119" s="21">
        <v>1402</v>
      </c>
      <c r="B119" s="20" t="s">
        <v>64</v>
      </c>
      <c r="C119" s="18" t="s">
        <v>55</v>
      </c>
      <c r="D119" s="18">
        <v>5</v>
      </c>
      <c r="E119" s="18">
        <v>0</v>
      </c>
      <c r="F119" s="51" t="s">
        <v>9</v>
      </c>
      <c r="G119" s="18">
        <v>29</v>
      </c>
      <c r="H119" s="22">
        <v>3.9726214921286789</v>
      </c>
      <c r="I119" s="22">
        <v>5.2238193018480494</v>
      </c>
      <c r="J119" s="22">
        <v>9.1964407939767288</v>
      </c>
      <c r="K119" s="22">
        <v>3.9726214921286789</v>
      </c>
      <c r="L119" s="22">
        <v>5.2238193018480494</v>
      </c>
      <c r="M119" s="22">
        <v>9.1964407939767288</v>
      </c>
      <c r="N119" s="22" t="s">
        <v>8</v>
      </c>
      <c r="O119" s="22" t="s">
        <v>8</v>
      </c>
      <c r="P119" s="22">
        <v>8.9117043121149901</v>
      </c>
      <c r="Q119" s="22" t="s">
        <v>8</v>
      </c>
      <c r="R119" s="22" t="s">
        <v>8</v>
      </c>
      <c r="S119" s="22" t="s">
        <v>8</v>
      </c>
      <c r="T119" s="20">
        <v>6</v>
      </c>
      <c r="U119" s="20">
        <v>18</v>
      </c>
      <c r="V119" s="20" t="s">
        <v>1</v>
      </c>
      <c r="W119" s="20">
        <v>5</v>
      </c>
      <c r="X119" s="20">
        <v>3</v>
      </c>
      <c r="Y119" s="5">
        <v>1</v>
      </c>
      <c r="Z119" s="20">
        <v>4</v>
      </c>
      <c r="AA119" s="23">
        <f t="shared" si="2"/>
        <v>1</v>
      </c>
      <c r="AB119" s="15">
        <v>1</v>
      </c>
      <c r="AC119" s="15">
        <v>0.83299999999999996</v>
      </c>
      <c r="AD119" s="15">
        <v>0.66700000000000004</v>
      </c>
      <c r="AE119" s="15">
        <v>0.79200000000000004</v>
      </c>
      <c r="AF119" s="20">
        <v>19</v>
      </c>
      <c r="AG119" s="20">
        <v>6.83</v>
      </c>
      <c r="AH119" s="24">
        <v>24</v>
      </c>
      <c r="AI119" s="23">
        <f t="shared" si="3"/>
        <v>1</v>
      </c>
      <c r="AJ119" s="15">
        <v>10</v>
      </c>
      <c r="AK119" s="15">
        <v>11</v>
      </c>
      <c r="AL119" s="25">
        <v>21</v>
      </c>
      <c r="AM119" s="23" cm="1">
        <f t="array" ref="AM119">IF(OR(AN119:AZ119=""),"BLANK",IF(AND(AN119:AZ119&lt;9999999),1,IF(AND(AN119:AZ119="NA"),3,2)))</f>
        <v>1</v>
      </c>
      <c r="AN119" s="20">
        <v>8</v>
      </c>
      <c r="AO119" s="20">
        <v>2</v>
      </c>
      <c r="AP119" s="15">
        <v>3</v>
      </c>
      <c r="AQ119" s="15">
        <v>6</v>
      </c>
      <c r="AR119" s="15">
        <v>6.75</v>
      </c>
      <c r="AS119" s="26">
        <v>3262.5</v>
      </c>
      <c r="AT119" s="26">
        <v>7340.5</v>
      </c>
      <c r="AU119" s="26">
        <v>9923.75</v>
      </c>
      <c r="AV119" s="26">
        <v>9641.5</v>
      </c>
      <c r="AW119" s="26">
        <v>0</v>
      </c>
      <c r="AX119" s="26">
        <v>0</v>
      </c>
      <c r="AY119" s="26">
        <v>1592.40625</v>
      </c>
      <c r="AZ119" s="26">
        <v>284.60972222219999</v>
      </c>
      <c r="BA119" s="23">
        <v>3</v>
      </c>
      <c r="BB119" s="24" t="s">
        <v>8</v>
      </c>
    </row>
    <row r="120" spans="1:54" x14ac:dyDescent="0.2">
      <c r="A120" s="21">
        <v>1431</v>
      </c>
      <c r="B120" s="20" t="s">
        <v>77</v>
      </c>
      <c r="C120" s="18" t="s">
        <v>54</v>
      </c>
      <c r="D120" s="18">
        <v>4</v>
      </c>
      <c r="E120" s="18">
        <v>0</v>
      </c>
      <c r="F120" s="51" t="s">
        <v>9</v>
      </c>
      <c r="G120" s="18">
        <v>30</v>
      </c>
      <c r="H120" s="22">
        <v>4.0629705681040384</v>
      </c>
      <c r="I120" s="22">
        <v>5.3086926762491444</v>
      </c>
      <c r="J120" s="22">
        <v>9.3716632443531829</v>
      </c>
      <c r="K120" s="22">
        <v>4.0629705681040384</v>
      </c>
      <c r="L120" s="22">
        <v>5.3086926762491444</v>
      </c>
      <c r="M120" s="22">
        <v>9.3716632443531829</v>
      </c>
      <c r="N120" s="22">
        <v>4.0328542094455848</v>
      </c>
      <c r="O120" s="22">
        <v>5.2292950034223136</v>
      </c>
      <c r="P120" s="22">
        <v>9.2621492128678984</v>
      </c>
      <c r="Q120" s="22">
        <v>3.7508555783709787</v>
      </c>
      <c r="R120" s="22">
        <v>5.292265571526352</v>
      </c>
      <c r="S120" s="22">
        <v>9.0431211498973312</v>
      </c>
      <c r="T120" s="20">
        <v>3</v>
      </c>
      <c r="U120" s="20">
        <v>14</v>
      </c>
      <c r="V120" s="20" t="s">
        <v>1</v>
      </c>
      <c r="W120" s="20">
        <v>5</v>
      </c>
      <c r="X120" s="20">
        <v>3</v>
      </c>
      <c r="Y120" s="5">
        <v>1</v>
      </c>
      <c r="Z120" s="20">
        <v>4</v>
      </c>
      <c r="AA120" s="23">
        <f t="shared" si="2"/>
        <v>1</v>
      </c>
      <c r="AB120" s="15">
        <v>1</v>
      </c>
      <c r="AC120" s="15">
        <v>0.83299999999999996</v>
      </c>
      <c r="AD120" s="15">
        <v>0.66700000000000004</v>
      </c>
      <c r="AE120" s="15">
        <v>0.875</v>
      </c>
      <c r="AF120" s="20">
        <v>21</v>
      </c>
      <c r="AG120" s="20">
        <v>10.68</v>
      </c>
      <c r="AH120" s="24">
        <v>24</v>
      </c>
      <c r="AI120" s="23">
        <f t="shared" si="3"/>
        <v>1</v>
      </c>
      <c r="AJ120" s="15">
        <v>13.75</v>
      </c>
      <c r="AK120" s="15">
        <v>10.75</v>
      </c>
      <c r="AL120" s="25">
        <v>24.5</v>
      </c>
      <c r="AM120" s="23" cm="1">
        <f t="array" ref="AM120">IF(OR(AN120:AZ120=""),"BLANK",IF(AND(AN120:AZ120&lt;9999999),1,IF(AND(AN120:AZ120="NA"),3,2)))</f>
        <v>1</v>
      </c>
      <c r="AN120" s="20">
        <v>11</v>
      </c>
      <c r="AO120" s="20">
        <v>2</v>
      </c>
      <c r="AP120" s="15">
        <v>3</v>
      </c>
      <c r="AQ120" s="15">
        <v>4</v>
      </c>
      <c r="AR120" s="15">
        <v>6</v>
      </c>
      <c r="AS120" s="26">
        <v>3067</v>
      </c>
      <c r="AT120" s="26">
        <v>6914</v>
      </c>
      <c r="AU120" s="26">
        <v>8603</v>
      </c>
      <c r="AV120" s="26">
        <v>6750</v>
      </c>
      <c r="AW120" s="26">
        <v>0</v>
      </c>
      <c r="AX120" s="26">
        <v>0</v>
      </c>
      <c r="AY120" s="26">
        <v>0</v>
      </c>
      <c r="AZ120" s="26">
        <v>1281.8777777778</v>
      </c>
      <c r="BA120" s="23">
        <v>3</v>
      </c>
      <c r="BB120" s="24" t="s">
        <v>8</v>
      </c>
    </row>
    <row r="121" spans="1:54" x14ac:dyDescent="0.2">
      <c r="A121" s="21">
        <v>1439</v>
      </c>
      <c r="B121" s="20" t="s">
        <v>73</v>
      </c>
      <c r="C121" s="18" t="s">
        <v>54</v>
      </c>
      <c r="D121" s="18">
        <v>2</v>
      </c>
      <c r="E121" s="18">
        <v>0</v>
      </c>
      <c r="F121" s="51" t="s">
        <v>9</v>
      </c>
      <c r="G121" s="18">
        <v>29</v>
      </c>
      <c r="H121" s="22">
        <v>4.0711841204654347</v>
      </c>
      <c r="I121" s="22">
        <v>5.0951403148528405</v>
      </c>
      <c r="J121" s="22">
        <v>9.1663244353182751</v>
      </c>
      <c r="K121" s="22">
        <v>4.0602327173169064</v>
      </c>
      <c r="L121" s="22">
        <v>5.0951403148528405</v>
      </c>
      <c r="M121" s="22">
        <v>9.1553730321697468</v>
      </c>
      <c r="N121" s="22">
        <v>4.2546201232032859</v>
      </c>
      <c r="O121" s="22">
        <v>4.8377823408624234</v>
      </c>
      <c r="P121" s="22">
        <v>9.0924024640657084</v>
      </c>
      <c r="Q121" s="22" t="s">
        <v>8</v>
      </c>
      <c r="R121" s="22" t="s">
        <v>8</v>
      </c>
      <c r="S121" s="22" t="s">
        <v>8</v>
      </c>
      <c r="T121" s="20">
        <v>4</v>
      </c>
      <c r="U121" s="20">
        <v>16</v>
      </c>
      <c r="V121" s="20" t="s">
        <v>1</v>
      </c>
      <c r="W121" s="20">
        <v>5</v>
      </c>
      <c r="X121" s="20">
        <v>3</v>
      </c>
      <c r="Y121" s="5">
        <v>1</v>
      </c>
      <c r="Z121" s="20">
        <v>4</v>
      </c>
      <c r="AA121" s="23">
        <f t="shared" si="2"/>
        <v>2</v>
      </c>
      <c r="AB121" s="15">
        <v>1</v>
      </c>
      <c r="AC121" s="15">
        <v>1</v>
      </c>
      <c r="AD121" s="15">
        <v>0.83299999999999996</v>
      </c>
      <c r="AE121" s="15">
        <v>0.95799999999999996</v>
      </c>
      <c r="AF121" s="20">
        <v>23</v>
      </c>
      <c r="AG121" s="20" t="s">
        <v>8</v>
      </c>
      <c r="AH121" s="24">
        <v>24</v>
      </c>
      <c r="AI121" s="23">
        <f t="shared" si="3"/>
        <v>1</v>
      </c>
      <c r="AJ121" s="15">
        <v>8</v>
      </c>
      <c r="AK121" s="15">
        <v>8</v>
      </c>
      <c r="AL121" s="25">
        <v>16</v>
      </c>
      <c r="AM121" s="23" cm="1">
        <f t="array" ref="AM121">IF(OR(AN121:AZ121=""),"BLANK",IF(AND(AN121:AZ121&lt;9999999),1,IF(AND(AN121:AZ121="NA"),3,2)))</f>
        <v>1</v>
      </c>
      <c r="AN121" s="20">
        <v>3</v>
      </c>
      <c r="AO121" s="20">
        <v>3</v>
      </c>
      <c r="AP121" s="15">
        <v>3.5</v>
      </c>
      <c r="AQ121" s="15">
        <v>8.25</v>
      </c>
      <c r="AR121" s="15">
        <v>7.5</v>
      </c>
      <c r="AS121" s="26">
        <v>2051.5</v>
      </c>
      <c r="AT121" s="26">
        <v>8725.5</v>
      </c>
      <c r="AU121" s="26">
        <v>14237.5</v>
      </c>
      <c r="AV121" s="26">
        <v>26386.25</v>
      </c>
      <c r="AW121" s="26">
        <v>365</v>
      </c>
      <c r="AX121" s="26">
        <v>2894.0416666667002</v>
      </c>
      <c r="AY121" s="26">
        <v>4962.2361111111004</v>
      </c>
      <c r="AZ121" s="26">
        <v>2614.0821428570998</v>
      </c>
      <c r="BA121" s="23">
        <v>3</v>
      </c>
      <c r="BB121" s="24" t="s">
        <v>8</v>
      </c>
    </row>
    <row r="122" spans="1:54" x14ac:dyDescent="0.2">
      <c r="A122" s="21">
        <v>1452</v>
      </c>
      <c r="B122" s="20" t="s">
        <v>67</v>
      </c>
      <c r="C122" s="18" t="s">
        <v>55</v>
      </c>
      <c r="D122" s="18">
        <v>5</v>
      </c>
      <c r="E122" s="18">
        <v>0</v>
      </c>
      <c r="F122" s="51" t="s">
        <v>9</v>
      </c>
      <c r="G122" s="18">
        <v>30</v>
      </c>
      <c r="H122" s="22">
        <v>4.2354551676933605</v>
      </c>
      <c r="I122" s="22">
        <v>5.2292950034223136</v>
      </c>
      <c r="J122" s="22">
        <v>9.464750171115675</v>
      </c>
      <c r="K122" s="22">
        <v>4.2354551676933605</v>
      </c>
      <c r="L122" s="22">
        <v>5.2320328542094456</v>
      </c>
      <c r="M122" s="22">
        <v>9.4674880219028061</v>
      </c>
      <c r="N122" s="22">
        <v>4.1149897330595486</v>
      </c>
      <c r="O122" s="22">
        <v>5.2101300479123891</v>
      </c>
      <c r="P122" s="22">
        <v>9.3251197809719368</v>
      </c>
      <c r="Q122" s="22">
        <v>3.2881587953456535</v>
      </c>
      <c r="R122" s="22">
        <v>5.9630390143737166</v>
      </c>
      <c r="S122" s="22">
        <v>9.2511978097193701</v>
      </c>
      <c r="T122" s="20" t="s">
        <v>8</v>
      </c>
      <c r="U122" s="20" t="s">
        <v>8</v>
      </c>
      <c r="V122" s="20" t="s">
        <v>1</v>
      </c>
      <c r="W122" s="20">
        <v>5</v>
      </c>
      <c r="X122" s="20">
        <v>3</v>
      </c>
      <c r="Y122" s="5">
        <v>1</v>
      </c>
      <c r="Z122" s="20">
        <v>4</v>
      </c>
      <c r="AA122" s="23">
        <f t="shared" si="2"/>
        <v>1</v>
      </c>
      <c r="AB122" s="15">
        <v>1</v>
      </c>
      <c r="AC122" s="15">
        <v>1</v>
      </c>
      <c r="AD122" s="15">
        <v>1</v>
      </c>
      <c r="AE122" s="15">
        <v>0.875</v>
      </c>
      <c r="AF122" s="20">
        <v>21</v>
      </c>
      <c r="AG122" s="20">
        <v>9</v>
      </c>
      <c r="AH122" s="24">
        <v>24</v>
      </c>
      <c r="AI122" s="23">
        <f t="shared" si="3"/>
        <v>1</v>
      </c>
      <c r="AJ122" s="15">
        <v>9</v>
      </c>
      <c r="AK122" s="15">
        <v>6.75</v>
      </c>
      <c r="AL122" s="25">
        <v>15.75</v>
      </c>
      <c r="AM122" s="23" cm="1">
        <f t="array" ref="AM122">IF(OR(AN122:AZ122=""),"BLANK",IF(AND(AN122:AZ122&lt;9999999),1,IF(AND(AN122:AZ122="NA"),3,2)))</f>
        <v>1</v>
      </c>
      <c r="AN122" s="20">
        <v>11</v>
      </c>
      <c r="AO122" s="20">
        <v>2</v>
      </c>
      <c r="AP122" s="15">
        <v>3</v>
      </c>
      <c r="AQ122" s="15">
        <v>4</v>
      </c>
      <c r="AR122" s="15">
        <v>6.5</v>
      </c>
      <c r="AS122" s="26">
        <v>4388.5</v>
      </c>
      <c r="AT122" s="26">
        <v>6525.5</v>
      </c>
      <c r="AU122" s="26">
        <v>11703</v>
      </c>
      <c r="AV122" s="26">
        <v>20917.75</v>
      </c>
      <c r="AW122" s="26">
        <v>0</v>
      </c>
      <c r="AX122" s="26">
        <v>0</v>
      </c>
      <c r="AY122" s="26">
        <v>0</v>
      </c>
      <c r="AZ122" s="26">
        <v>0</v>
      </c>
      <c r="BA122" s="23">
        <v>3</v>
      </c>
      <c r="BB122" s="24" t="s">
        <v>8</v>
      </c>
    </row>
    <row r="123" spans="1:54" x14ac:dyDescent="0.2">
      <c r="A123" s="21">
        <v>1467</v>
      </c>
      <c r="B123" s="20" t="s">
        <v>65</v>
      </c>
      <c r="C123" s="18" t="s">
        <v>54</v>
      </c>
      <c r="D123" s="18">
        <v>5</v>
      </c>
      <c r="E123" s="18">
        <v>0</v>
      </c>
      <c r="F123" s="51" t="s">
        <v>9</v>
      </c>
      <c r="G123" s="18">
        <v>30</v>
      </c>
      <c r="H123" s="22">
        <v>4.0054757015742641</v>
      </c>
      <c r="I123" s="22">
        <v>5.1800136892539355</v>
      </c>
      <c r="J123" s="22">
        <v>9.1854893908282005</v>
      </c>
      <c r="K123" s="22">
        <v>4.3887748117727581</v>
      </c>
      <c r="L123" s="22">
        <v>4.7967145790554415</v>
      </c>
      <c r="M123" s="22">
        <v>9.1854893908282005</v>
      </c>
      <c r="N123" s="22">
        <v>4.4106776180698155</v>
      </c>
      <c r="O123" s="22">
        <v>4.7912388774811774</v>
      </c>
      <c r="P123" s="22">
        <v>9.2019164955509929</v>
      </c>
      <c r="Q123" s="22" t="s">
        <v>8</v>
      </c>
      <c r="R123" s="22" t="s">
        <v>8</v>
      </c>
      <c r="S123" s="22" t="s">
        <v>8</v>
      </c>
      <c r="T123" s="20">
        <v>4</v>
      </c>
      <c r="U123" s="20">
        <v>16</v>
      </c>
      <c r="V123" s="20" t="s">
        <v>1</v>
      </c>
      <c r="W123" s="20">
        <v>5</v>
      </c>
      <c r="X123" s="20">
        <v>3</v>
      </c>
      <c r="Y123" s="5">
        <v>1</v>
      </c>
      <c r="Z123" s="20">
        <v>4</v>
      </c>
      <c r="AA123" s="23">
        <f t="shared" si="2"/>
        <v>2</v>
      </c>
      <c r="AB123" s="15">
        <v>1</v>
      </c>
      <c r="AC123" s="15">
        <v>1</v>
      </c>
      <c r="AD123" s="15">
        <v>0.5</v>
      </c>
      <c r="AE123" s="15">
        <v>0.83299999999999996</v>
      </c>
      <c r="AF123" s="20">
        <v>20</v>
      </c>
      <c r="AG123" s="20" t="s">
        <v>8</v>
      </c>
      <c r="AH123" s="24">
        <v>24</v>
      </c>
      <c r="AI123" s="23">
        <f t="shared" si="3"/>
        <v>1</v>
      </c>
      <c r="AJ123" s="15">
        <v>10</v>
      </c>
      <c r="AK123" s="15">
        <v>7.75</v>
      </c>
      <c r="AL123" s="25">
        <v>17.75</v>
      </c>
      <c r="AM123" s="23" cm="1">
        <f t="array" ref="AM123">IF(OR(AN123:AZ123=""),"BLANK",IF(AND(AN123:AZ123&lt;9999999),1,IF(AND(AN123:AZ123="NA"),3,2)))</f>
        <v>1</v>
      </c>
      <c r="AN123" s="20">
        <v>9</v>
      </c>
      <c r="AO123" s="20">
        <v>2</v>
      </c>
      <c r="AP123" s="15">
        <v>3.5</v>
      </c>
      <c r="AQ123" s="15">
        <v>5.5</v>
      </c>
      <c r="AR123" s="15">
        <v>5</v>
      </c>
      <c r="AS123" s="26">
        <v>146</v>
      </c>
      <c r="AT123" s="26">
        <v>2016.5</v>
      </c>
      <c r="AU123" s="26">
        <v>3440.25</v>
      </c>
      <c r="AV123" s="26">
        <v>6220.25</v>
      </c>
      <c r="AW123" s="26">
        <v>0</v>
      </c>
      <c r="AX123" s="26">
        <v>0</v>
      </c>
      <c r="AY123" s="26">
        <v>398.5520833333</v>
      </c>
      <c r="AZ123" s="26">
        <v>2341.1999999999998</v>
      </c>
      <c r="BA123" s="23">
        <v>3</v>
      </c>
      <c r="BB123" s="24" t="s">
        <v>8</v>
      </c>
    </row>
    <row r="124" spans="1:54" x14ac:dyDescent="0.2">
      <c r="A124" s="21">
        <v>1468</v>
      </c>
      <c r="B124" s="20" t="s">
        <v>65</v>
      </c>
      <c r="C124" s="18" t="s">
        <v>55</v>
      </c>
      <c r="D124" s="18">
        <v>5</v>
      </c>
      <c r="E124" s="18">
        <v>0</v>
      </c>
      <c r="F124" s="51" t="s">
        <v>9</v>
      </c>
      <c r="G124" s="18">
        <v>30</v>
      </c>
      <c r="H124" s="22" t="s">
        <v>8</v>
      </c>
      <c r="I124" s="22" t="s">
        <v>8</v>
      </c>
      <c r="J124" s="22">
        <v>8.944558521560575</v>
      </c>
      <c r="K124" s="22" t="s">
        <v>8</v>
      </c>
      <c r="L124" s="22" t="s">
        <v>8</v>
      </c>
      <c r="M124" s="22">
        <v>9.2347707049965777</v>
      </c>
      <c r="N124" s="22" t="s">
        <v>8</v>
      </c>
      <c r="O124" s="22" t="s">
        <v>8</v>
      </c>
      <c r="P124" s="22" t="s">
        <v>8</v>
      </c>
      <c r="Q124" s="22" t="s">
        <v>8</v>
      </c>
      <c r="R124" s="22" t="s">
        <v>8</v>
      </c>
      <c r="S124" s="22" t="s">
        <v>8</v>
      </c>
      <c r="T124" s="20" t="s">
        <v>8</v>
      </c>
      <c r="U124" s="20" t="s">
        <v>8</v>
      </c>
      <c r="V124" s="20" t="s">
        <v>1</v>
      </c>
      <c r="W124" s="20">
        <v>5</v>
      </c>
      <c r="X124" s="20">
        <v>3</v>
      </c>
      <c r="Y124" s="5">
        <v>1</v>
      </c>
      <c r="Z124" s="20">
        <v>4</v>
      </c>
      <c r="AA124" s="23">
        <f t="shared" si="2"/>
        <v>1</v>
      </c>
      <c r="AB124" s="15">
        <v>1</v>
      </c>
      <c r="AC124" s="15">
        <v>0.83299999999999996</v>
      </c>
      <c r="AD124" s="15">
        <v>0.66700000000000004</v>
      </c>
      <c r="AE124" s="15">
        <v>0.79200000000000004</v>
      </c>
      <c r="AF124" s="20">
        <v>19</v>
      </c>
      <c r="AG124" s="20">
        <v>0.6</v>
      </c>
      <c r="AH124" s="24">
        <v>24</v>
      </c>
      <c r="AI124" s="23">
        <f t="shared" si="3"/>
        <v>1</v>
      </c>
      <c r="AJ124" s="15">
        <v>11</v>
      </c>
      <c r="AK124" s="15">
        <v>8.75</v>
      </c>
      <c r="AL124" s="25">
        <v>19.75</v>
      </c>
      <c r="AM124" s="23" cm="1">
        <f t="array" ref="AM124">IF(OR(AN124:AZ124=""),"BLANK",IF(AND(AN124:AZ124&lt;9999999),1,IF(AND(AN124:AZ124="NA"),3,2)))</f>
        <v>1</v>
      </c>
      <c r="AN124" s="20">
        <v>5</v>
      </c>
      <c r="AO124" s="20">
        <v>3</v>
      </c>
      <c r="AP124" s="15">
        <v>3.5</v>
      </c>
      <c r="AQ124" s="15">
        <v>6.5</v>
      </c>
      <c r="AR124" s="15">
        <v>8.5</v>
      </c>
      <c r="AS124" s="26">
        <v>1579</v>
      </c>
      <c r="AT124" s="26">
        <v>7451.5</v>
      </c>
      <c r="AU124" s="26">
        <v>3295.25</v>
      </c>
      <c r="AV124" s="26">
        <v>4969</v>
      </c>
      <c r="AW124" s="26">
        <v>890.75</v>
      </c>
      <c r="AX124" s="26">
        <v>1424.125</v>
      </c>
      <c r="AY124" s="26">
        <v>2807.8263888889001</v>
      </c>
      <c r="AZ124" s="26">
        <v>2981.9840277777998</v>
      </c>
      <c r="BA124" s="23">
        <v>3</v>
      </c>
      <c r="BB124" s="24" t="s">
        <v>8</v>
      </c>
    </row>
    <row r="125" spans="1:54" x14ac:dyDescent="0.2">
      <c r="A125" s="21">
        <v>1476</v>
      </c>
      <c r="B125" s="20" t="s">
        <v>63</v>
      </c>
      <c r="C125" s="18" t="s">
        <v>55</v>
      </c>
      <c r="D125" s="18">
        <v>5</v>
      </c>
      <c r="E125" s="18">
        <v>0</v>
      </c>
      <c r="F125" s="51" t="s">
        <v>9</v>
      </c>
      <c r="G125" s="18">
        <v>27</v>
      </c>
      <c r="H125" s="22">
        <v>3.6331279945242985</v>
      </c>
      <c r="I125" s="22">
        <v>5.1362080766598224</v>
      </c>
      <c r="J125" s="22">
        <v>8.7693360711841208</v>
      </c>
      <c r="K125" s="22">
        <v>3.6331279945242985</v>
      </c>
      <c r="L125" s="22">
        <v>5.3689253935660508</v>
      </c>
      <c r="M125" s="22">
        <v>9.0020533880903493</v>
      </c>
      <c r="N125" s="22">
        <v>3.8110882956878851</v>
      </c>
      <c r="O125" s="22">
        <v>4.6789869952087608</v>
      </c>
      <c r="P125" s="22">
        <v>8.4900752908966464</v>
      </c>
      <c r="Q125" s="22">
        <v>3.2772073921971252</v>
      </c>
      <c r="R125" s="22">
        <v>5.8809034907597537</v>
      </c>
      <c r="S125" s="22">
        <v>9.158110882956878</v>
      </c>
      <c r="T125" s="20">
        <v>6</v>
      </c>
      <c r="U125" s="20">
        <v>18</v>
      </c>
      <c r="V125" s="20" t="s">
        <v>1</v>
      </c>
      <c r="W125" s="20">
        <v>5</v>
      </c>
      <c r="X125" s="20">
        <v>3</v>
      </c>
      <c r="Y125" s="5">
        <v>1</v>
      </c>
      <c r="Z125" s="20">
        <v>4</v>
      </c>
      <c r="AA125" s="23">
        <f t="shared" si="2"/>
        <v>2</v>
      </c>
      <c r="AB125" s="15">
        <v>1</v>
      </c>
      <c r="AC125" s="15">
        <v>0.66700000000000004</v>
      </c>
      <c r="AD125" s="15">
        <v>0.5</v>
      </c>
      <c r="AE125" s="15">
        <v>0.77300000000000002</v>
      </c>
      <c r="AF125" s="20">
        <v>17</v>
      </c>
      <c r="AG125" s="20" t="s">
        <v>8</v>
      </c>
      <c r="AH125" s="24">
        <v>22</v>
      </c>
      <c r="AI125" s="23">
        <f t="shared" si="3"/>
        <v>1</v>
      </c>
      <c r="AJ125" s="15">
        <v>1.5</v>
      </c>
      <c r="AK125" s="15">
        <v>2.5</v>
      </c>
      <c r="AL125" s="25">
        <v>4</v>
      </c>
      <c r="AM125" s="23" cm="1">
        <f t="array" ref="AM125">IF(OR(AN125:AZ125=""),"BLANK",IF(AND(AN125:AZ125&lt;9999999),1,IF(AND(AN125:AZ125="NA"),3,2)))</f>
        <v>1</v>
      </c>
      <c r="AN125" s="20">
        <v>11</v>
      </c>
      <c r="AO125" s="20">
        <v>2</v>
      </c>
      <c r="AP125" s="15">
        <v>3</v>
      </c>
      <c r="AQ125" s="15">
        <v>5.25</v>
      </c>
      <c r="AR125" s="15">
        <v>5</v>
      </c>
      <c r="AS125" s="26">
        <v>8535</v>
      </c>
      <c r="AT125" s="26">
        <v>10226</v>
      </c>
      <c r="AU125" s="26">
        <v>13703.75</v>
      </c>
      <c r="AV125" s="26">
        <v>28174.5</v>
      </c>
      <c r="AW125" s="26">
        <v>97.5</v>
      </c>
      <c r="AX125" s="26">
        <v>0</v>
      </c>
      <c r="AY125" s="26">
        <v>2652.8958333332998</v>
      </c>
      <c r="AZ125" s="26">
        <v>1429.85</v>
      </c>
      <c r="BA125" s="23">
        <v>3</v>
      </c>
      <c r="BB125" s="24" t="s">
        <v>8</v>
      </c>
    </row>
    <row r="126" spans="1:54" x14ac:dyDescent="0.2">
      <c r="A126" s="21">
        <v>1484</v>
      </c>
      <c r="B126" s="20" t="s">
        <v>64</v>
      </c>
      <c r="C126" s="18" t="s">
        <v>55</v>
      </c>
      <c r="D126" s="18">
        <v>5</v>
      </c>
      <c r="E126" s="18">
        <v>0</v>
      </c>
      <c r="F126" s="51" t="s">
        <v>9</v>
      </c>
      <c r="G126" s="18">
        <v>27</v>
      </c>
      <c r="H126" s="22">
        <v>4.2847364818617386</v>
      </c>
      <c r="I126" s="22">
        <v>6.0013689253935665</v>
      </c>
      <c r="J126" s="22">
        <v>10.286105407255304</v>
      </c>
      <c r="K126" s="22">
        <v>4.2847364818617386</v>
      </c>
      <c r="L126" s="22">
        <v>6.0013689253935665</v>
      </c>
      <c r="M126" s="22">
        <v>10.286105407255304</v>
      </c>
      <c r="N126" s="22">
        <v>4.2628336755646821</v>
      </c>
      <c r="O126" s="22" t="s">
        <v>8</v>
      </c>
      <c r="P126" s="22" t="s">
        <v>8</v>
      </c>
      <c r="Q126" s="22">
        <v>4.128678986995209</v>
      </c>
      <c r="R126" s="22" t="s">
        <v>8</v>
      </c>
      <c r="S126" s="22" t="s">
        <v>8</v>
      </c>
      <c r="T126" s="20">
        <v>5</v>
      </c>
      <c r="U126" s="20">
        <v>17</v>
      </c>
      <c r="V126" s="20" t="s">
        <v>1</v>
      </c>
      <c r="W126" s="20">
        <v>5</v>
      </c>
      <c r="X126" s="20">
        <v>3</v>
      </c>
      <c r="Y126" s="5">
        <v>1</v>
      </c>
      <c r="Z126" s="20">
        <v>4</v>
      </c>
      <c r="AA126" s="23">
        <f t="shared" si="2"/>
        <v>1</v>
      </c>
      <c r="AB126" s="15">
        <v>1</v>
      </c>
      <c r="AC126" s="15">
        <v>1</v>
      </c>
      <c r="AD126" s="15">
        <v>0.83299999999999996</v>
      </c>
      <c r="AE126" s="15">
        <v>0.875</v>
      </c>
      <c r="AF126" s="20">
        <v>21</v>
      </c>
      <c r="AG126" s="20">
        <v>2.2999999999999998</v>
      </c>
      <c r="AH126" s="24">
        <v>24</v>
      </c>
      <c r="AI126" s="23">
        <f t="shared" si="3"/>
        <v>1</v>
      </c>
      <c r="AJ126" s="15">
        <v>5.5</v>
      </c>
      <c r="AK126" s="15">
        <v>5.25</v>
      </c>
      <c r="AL126" s="25">
        <v>10.75</v>
      </c>
      <c r="AM126" s="23" cm="1">
        <f t="array" ref="AM126">IF(OR(AN126:AZ126=""),"BLANK",IF(AND(AN126:AZ126&lt;9999999),1,IF(AND(AN126:AZ126="NA"),3,2)))</f>
        <v>1</v>
      </c>
      <c r="AN126" s="20">
        <v>9</v>
      </c>
      <c r="AO126" s="20">
        <v>2</v>
      </c>
      <c r="AP126" s="15">
        <v>3</v>
      </c>
      <c r="AQ126" s="15">
        <v>4.25</v>
      </c>
      <c r="AR126" s="15">
        <v>7.5</v>
      </c>
      <c r="AS126" s="26">
        <v>4116.5</v>
      </c>
      <c r="AT126" s="26">
        <v>7058</v>
      </c>
      <c r="AU126" s="26">
        <v>4384</v>
      </c>
      <c r="AV126" s="26">
        <v>14431.75</v>
      </c>
      <c r="AW126" s="26">
        <v>0</v>
      </c>
      <c r="AX126" s="26">
        <v>615.33333333329995</v>
      </c>
      <c r="AY126" s="26">
        <v>0</v>
      </c>
      <c r="AZ126" s="26">
        <v>2189.9</v>
      </c>
      <c r="BA126" s="23">
        <v>3</v>
      </c>
      <c r="BB126" s="24" t="s">
        <v>8</v>
      </c>
    </row>
    <row r="127" spans="1:54" x14ac:dyDescent="0.2">
      <c r="A127" s="21">
        <v>1543</v>
      </c>
      <c r="B127" s="20" t="s">
        <v>70</v>
      </c>
      <c r="C127" s="18" t="s">
        <v>55</v>
      </c>
      <c r="D127" s="18">
        <v>3</v>
      </c>
      <c r="E127" s="18">
        <v>0</v>
      </c>
      <c r="F127" s="51" t="s">
        <v>9</v>
      </c>
      <c r="G127" s="18">
        <v>30</v>
      </c>
      <c r="H127" s="22">
        <v>4.0985626283367553</v>
      </c>
      <c r="I127" s="22">
        <v>4.4955509924709105</v>
      </c>
      <c r="J127" s="22">
        <v>8.5941136208076667</v>
      </c>
      <c r="K127" s="22">
        <v>4.0903490759753591</v>
      </c>
      <c r="L127" s="22">
        <v>4.5037645448323067</v>
      </c>
      <c r="M127" s="22">
        <v>8.5941136208076667</v>
      </c>
      <c r="N127" s="22">
        <v>4.0711841204654347</v>
      </c>
      <c r="O127" s="22">
        <v>4.386036960985626</v>
      </c>
      <c r="P127" s="22">
        <v>8.4572210814510616</v>
      </c>
      <c r="Q127" s="22" t="s">
        <v>8</v>
      </c>
      <c r="R127" s="22" t="s">
        <v>8</v>
      </c>
      <c r="S127" s="22" t="s">
        <v>8</v>
      </c>
      <c r="T127" s="20">
        <v>6</v>
      </c>
      <c r="U127" s="20">
        <v>18</v>
      </c>
      <c r="V127" s="20" t="s">
        <v>1</v>
      </c>
      <c r="W127" s="20">
        <v>5</v>
      </c>
      <c r="X127" s="20">
        <v>3</v>
      </c>
      <c r="Y127" s="5">
        <v>1</v>
      </c>
      <c r="Z127" s="20">
        <v>4</v>
      </c>
      <c r="AA127" s="23">
        <f t="shared" si="2"/>
        <v>1</v>
      </c>
      <c r="AB127" s="15">
        <v>1</v>
      </c>
      <c r="AC127" s="15">
        <v>1</v>
      </c>
      <c r="AD127" s="15">
        <v>1</v>
      </c>
      <c r="AE127" s="15">
        <v>1</v>
      </c>
      <c r="AF127" s="20">
        <v>24</v>
      </c>
      <c r="AG127" s="20">
        <v>5.88</v>
      </c>
      <c r="AH127" s="24">
        <v>24</v>
      </c>
      <c r="AI127" s="23">
        <f t="shared" si="3"/>
        <v>1</v>
      </c>
      <c r="AJ127" s="15">
        <v>13</v>
      </c>
      <c r="AK127" s="15">
        <v>11.5</v>
      </c>
      <c r="AL127" s="25">
        <v>24.5</v>
      </c>
      <c r="AM127" s="23" cm="1">
        <f t="array" ref="AM127">IF(OR(AN127:AZ127=""),"BLANK",IF(AND(AN127:AZ127&lt;9999999),1,IF(AND(AN127:AZ127="NA"),3,2)))</f>
        <v>1</v>
      </c>
      <c r="AN127" s="20">
        <v>12</v>
      </c>
      <c r="AO127" s="20">
        <v>2</v>
      </c>
      <c r="AP127" s="15">
        <v>3</v>
      </c>
      <c r="AQ127" s="15">
        <v>4</v>
      </c>
      <c r="AR127" s="15">
        <v>5</v>
      </c>
      <c r="AS127" s="26">
        <v>2750.5</v>
      </c>
      <c r="AT127" s="26">
        <v>6453.5</v>
      </c>
      <c r="AU127" s="26">
        <v>15953.75</v>
      </c>
      <c r="AV127" s="26">
        <v>42191.75</v>
      </c>
      <c r="AW127" s="26">
        <v>572.25</v>
      </c>
      <c r="AX127" s="26">
        <v>568.83333330000005</v>
      </c>
      <c r="AY127" s="26">
        <v>137.9375</v>
      </c>
      <c r="AZ127" s="26">
        <v>0</v>
      </c>
      <c r="BA127" s="23">
        <v>3</v>
      </c>
      <c r="BB127" s="24" t="s">
        <v>8</v>
      </c>
    </row>
    <row r="128" spans="1:54" x14ac:dyDescent="0.2">
      <c r="A128" s="21">
        <v>1577</v>
      </c>
      <c r="B128" s="20" t="s">
        <v>79</v>
      </c>
      <c r="C128" s="18" t="s">
        <v>54</v>
      </c>
      <c r="D128" s="18">
        <v>5</v>
      </c>
      <c r="E128" s="18">
        <v>0</v>
      </c>
      <c r="F128" s="51" t="s">
        <v>9</v>
      </c>
      <c r="G128" s="18">
        <v>30</v>
      </c>
      <c r="H128" s="22">
        <v>4.1478439425051334</v>
      </c>
      <c r="I128" s="22">
        <v>4.7994524298425736</v>
      </c>
      <c r="J128" s="22">
        <v>8.9472963723477079</v>
      </c>
      <c r="K128" s="22">
        <v>4.1478439425051334</v>
      </c>
      <c r="L128" s="22">
        <v>4.7994524298425736</v>
      </c>
      <c r="M128" s="22">
        <v>8.9472963723477079</v>
      </c>
      <c r="N128" s="22">
        <v>4.1670088980150579</v>
      </c>
      <c r="O128" s="22">
        <v>4.5749486652977414</v>
      </c>
      <c r="P128" s="22">
        <v>8.7419575633128002</v>
      </c>
      <c r="Q128" s="22" t="s">
        <v>8</v>
      </c>
      <c r="R128" s="22" t="s">
        <v>8</v>
      </c>
      <c r="S128" s="22" t="s">
        <v>8</v>
      </c>
      <c r="T128" s="20">
        <v>4</v>
      </c>
      <c r="U128" s="20">
        <v>16</v>
      </c>
      <c r="V128" s="20" t="s">
        <v>1</v>
      </c>
      <c r="W128" s="20">
        <v>5</v>
      </c>
      <c r="X128" s="20">
        <v>3</v>
      </c>
      <c r="Y128" s="5">
        <v>1</v>
      </c>
      <c r="Z128" s="20">
        <v>4</v>
      </c>
      <c r="AA128" s="23">
        <f t="shared" si="2"/>
        <v>1</v>
      </c>
      <c r="AB128" s="15">
        <v>1</v>
      </c>
      <c r="AC128" s="15">
        <v>1</v>
      </c>
      <c r="AD128" s="15">
        <v>0.66700000000000004</v>
      </c>
      <c r="AE128" s="15">
        <v>0.875</v>
      </c>
      <c r="AF128" s="20">
        <v>21</v>
      </c>
      <c r="AG128" s="20">
        <v>11.5</v>
      </c>
      <c r="AH128" s="24">
        <v>24</v>
      </c>
      <c r="AI128" s="23">
        <f t="shared" si="3"/>
        <v>1</v>
      </c>
      <c r="AJ128" s="15">
        <v>13.75</v>
      </c>
      <c r="AK128" s="15">
        <v>10.25</v>
      </c>
      <c r="AL128" s="25">
        <v>24</v>
      </c>
      <c r="AM128" s="23" cm="1">
        <f t="array" ref="AM128">IF(OR(AN128:AZ128=""),"BLANK",IF(AND(AN128:AZ128&lt;9999999),1,IF(AND(AN128:AZ128="NA"),3,2)))</f>
        <v>1</v>
      </c>
      <c r="AN128" s="20">
        <v>8</v>
      </c>
      <c r="AO128" s="20">
        <v>2</v>
      </c>
      <c r="AP128" s="15">
        <v>3</v>
      </c>
      <c r="AQ128" s="15">
        <v>5</v>
      </c>
      <c r="AR128" s="15">
        <v>8.25</v>
      </c>
      <c r="AS128" s="26">
        <v>1241.5</v>
      </c>
      <c r="AT128" s="26">
        <v>3544.5</v>
      </c>
      <c r="AU128" s="26">
        <v>6223.25</v>
      </c>
      <c r="AV128" s="26">
        <v>9996.25</v>
      </c>
      <c r="AW128" s="26">
        <v>0</v>
      </c>
      <c r="AX128" s="26">
        <v>0</v>
      </c>
      <c r="AY128" s="26">
        <v>0</v>
      </c>
      <c r="AZ128" s="26">
        <v>2256.7583333333</v>
      </c>
      <c r="BA128" s="23">
        <v>3</v>
      </c>
      <c r="BB128" s="24" t="s">
        <v>8</v>
      </c>
    </row>
    <row r="129" spans="1:54" x14ac:dyDescent="0.2">
      <c r="A129" s="21">
        <v>1591</v>
      </c>
      <c r="B129" s="20" t="s">
        <v>81</v>
      </c>
      <c r="C129" s="18" t="s">
        <v>54</v>
      </c>
      <c r="D129" s="18">
        <v>5</v>
      </c>
      <c r="E129" s="18">
        <v>0</v>
      </c>
      <c r="F129" s="51" t="s">
        <v>9</v>
      </c>
      <c r="G129" s="18">
        <v>30</v>
      </c>
      <c r="H129" s="22">
        <v>3.7481177275838466</v>
      </c>
      <c r="I129" s="22">
        <v>5.207392197125257</v>
      </c>
      <c r="J129" s="22">
        <v>8.9555099247091032</v>
      </c>
      <c r="K129" s="22">
        <v>3.761806981519507</v>
      </c>
      <c r="L129" s="22">
        <v>5.1937029431895958</v>
      </c>
      <c r="M129" s="22">
        <v>8.9555099247091032</v>
      </c>
      <c r="N129" s="22">
        <v>3.7453798767967146</v>
      </c>
      <c r="O129" s="22">
        <v>5.1498973305954827</v>
      </c>
      <c r="P129" s="22">
        <v>8.8952772073921977</v>
      </c>
      <c r="Q129" s="22">
        <v>3.5071868583162216</v>
      </c>
      <c r="R129" s="22" t="s">
        <v>8</v>
      </c>
      <c r="S129" s="22" t="s">
        <v>8</v>
      </c>
      <c r="T129" s="20">
        <v>4</v>
      </c>
      <c r="U129" s="20">
        <v>16</v>
      </c>
      <c r="V129" s="20" t="s">
        <v>1</v>
      </c>
      <c r="W129" s="20">
        <v>5</v>
      </c>
      <c r="X129" s="20">
        <v>3</v>
      </c>
      <c r="Y129" s="5">
        <v>1</v>
      </c>
      <c r="Z129" s="20">
        <v>4</v>
      </c>
      <c r="AA129" s="23">
        <f t="shared" si="2"/>
        <v>2</v>
      </c>
      <c r="AB129" s="15">
        <v>1</v>
      </c>
      <c r="AC129" s="15">
        <v>0.66700000000000004</v>
      </c>
      <c r="AD129" s="15">
        <v>0.5</v>
      </c>
      <c r="AE129" s="15">
        <v>0.75</v>
      </c>
      <c r="AF129" s="20">
        <v>18</v>
      </c>
      <c r="AG129" s="20" t="s">
        <v>8</v>
      </c>
      <c r="AH129" s="24">
        <v>24</v>
      </c>
      <c r="AI129" s="23">
        <f t="shared" si="3"/>
        <v>1</v>
      </c>
      <c r="AJ129" s="15">
        <v>2</v>
      </c>
      <c r="AK129" s="15">
        <v>4.5</v>
      </c>
      <c r="AL129" s="25">
        <v>6.5</v>
      </c>
      <c r="AM129" s="23" cm="1">
        <f t="array" ref="AM129">IF(OR(AN129:AZ129=""),"BLANK",IF(AND(AN129:AZ129&lt;9999999),1,IF(AND(AN129:AZ129="NA"),3,2)))</f>
        <v>1</v>
      </c>
      <c r="AN129" s="20">
        <v>8</v>
      </c>
      <c r="AO129" s="20">
        <v>2</v>
      </c>
      <c r="AP129" s="15">
        <v>3</v>
      </c>
      <c r="AQ129" s="15">
        <v>5.25</v>
      </c>
      <c r="AR129" s="15">
        <v>8.25</v>
      </c>
      <c r="AS129" s="26">
        <v>0</v>
      </c>
      <c r="AT129" s="26">
        <v>6927.5</v>
      </c>
      <c r="AU129" s="26">
        <v>5423.25</v>
      </c>
      <c r="AV129" s="26">
        <v>4287.25</v>
      </c>
      <c r="AW129" s="26">
        <v>0</v>
      </c>
      <c r="AX129" s="26">
        <v>0</v>
      </c>
      <c r="AY129" s="26">
        <v>1026.3625</v>
      </c>
      <c r="AZ129" s="26">
        <v>3004.5761363636002</v>
      </c>
      <c r="BA129" s="23">
        <v>3</v>
      </c>
      <c r="BB129" s="24" t="s">
        <v>8</v>
      </c>
    </row>
    <row r="130" spans="1:54" x14ac:dyDescent="0.2">
      <c r="A130" s="21">
        <v>1613</v>
      </c>
      <c r="B130" s="20" t="s">
        <v>68</v>
      </c>
      <c r="C130" s="18" t="s">
        <v>55</v>
      </c>
      <c r="D130" s="18">
        <v>5</v>
      </c>
      <c r="E130" s="18">
        <v>0</v>
      </c>
      <c r="F130" s="51" t="s">
        <v>9</v>
      </c>
      <c r="G130" s="18">
        <v>28</v>
      </c>
      <c r="H130" s="22">
        <v>3.7672826830937716</v>
      </c>
      <c r="I130" s="22">
        <v>5.0978781656399725</v>
      </c>
      <c r="J130" s="22">
        <v>8.8651608487337441</v>
      </c>
      <c r="K130" s="22">
        <v>3.7672826830937716</v>
      </c>
      <c r="L130" s="22">
        <v>5.2320328542094456</v>
      </c>
      <c r="M130" s="22">
        <v>8.9993155373032163</v>
      </c>
      <c r="N130" s="22" t="s">
        <v>8</v>
      </c>
      <c r="O130" s="22" t="s">
        <v>8</v>
      </c>
      <c r="P130" s="22" t="s">
        <v>8</v>
      </c>
      <c r="Q130" s="22">
        <v>3.3182751540041067</v>
      </c>
      <c r="R130" s="22" t="s">
        <v>8</v>
      </c>
      <c r="S130" s="22" t="s">
        <v>8</v>
      </c>
      <c r="T130" s="20">
        <v>4</v>
      </c>
      <c r="U130" s="20">
        <v>16</v>
      </c>
      <c r="V130" s="20" t="s">
        <v>1</v>
      </c>
      <c r="W130" s="20">
        <v>5</v>
      </c>
      <c r="X130" s="20">
        <v>3</v>
      </c>
      <c r="Y130" s="5">
        <v>1</v>
      </c>
      <c r="Z130" s="20">
        <v>4</v>
      </c>
      <c r="AA130" s="23">
        <f t="shared" ref="AA130:AA193" si="4">IF(AND(ISNUMBER(AB130), ISNUMBER(AC130),ISNUMBER(AD130), ISNUMBER(AE130), ISNUMBER(AF130),ISNUMBER(AG130), ISNUMBER(AH130)), 1, IF(AND(AB130="NA", AC130="NA", AD130="na", AE130="na", AF130="na", AG130="na", AH130="na"), 3, 2))</f>
        <v>2</v>
      </c>
      <c r="AB130" s="15">
        <v>1</v>
      </c>
      <c r="AC130" s="15">
        <v>1</v>
      </c>
      <c r="AD130" s="15">
        <v>0.6</v>
      </c>
      <c r="AE130" s="15">
        <v>0.86699999999999999</v>
      </c>
      <c r="AF130" s="20">
        <v>13</v>
      </c>
      <c r="AG130" s="20" t="s">
        <v>8</v>
      </c>
      <c r="AH130" s="24">
        <v>15</v>
      </c>
      <c r="AI130" s="23">
        <f t="shared" ref="AI130:AI193" si="5">IF(AND(ISNUMBER(AJ130), ISNUMBER(AK130),ISNUMBER(AL130)), 1, IF(AND(AJ130="NA", AK130="NA", AL130="na"), 3, 2))</f>
        <v>1</v>
      </c>
      <c r="AJ130" s="15">
        <v>4.75</v>
      </c>
      <c r="AK130" s="15">
        <v>7.75</v>
      </c>
      <c r="AL130" s="25">
        <v>12.5</v>
      </c>
      <c r="AM130" s="23" cm="1">
        <f t="array" ref="AM130">IF(OR(AN130:AZ130=""),"BLANK",IF(AND(AN130:AZ130&lt;9999999),1,IF(AND(AN130:AZ130="NA"),3,2)))</f>
        <v>1</v>
      </c>
      <c r="AN130" s="20">
        <v>9</v>
      </c>
      <c r="AO130" s="20">
        <v>2</v>
      </c>
      <c r="AP130" s="15">
        <v>3</v>
      </c>
      <c r="AQ130" s="15">
        <v>5</v>
      </c>
      <c r="AR130" s="15">
        <v>6</v>
      </c>
      <c r="AS130" s="26">
        <v>5262</v>
      </c>
      <c r="AT130" s="26">
        <v>26666.5</v>
      </c>
      <c r="AU130" s="26">
        <v>46358</v>
      </c>
      <c r="AV130" s="26">
        <v>38377.75</v>
      </c>
      <c r="AW130" s="26">
        <v>291.25</v>
      </c>
      <c r="AX130" s="26">
        <v>413.8333333333</v>
      </c>
      <c r="AY130" s="26">
        <v>6986.84375</v>
      </c>
      <c r="AZ130" s="26">
        <v>3629.7833333333001</v>
      </c>
      <c r="BA130" s="23">
        <v>3</v>
      </c>
      <c r="BB130" s="24" t="s">
        <v>8</v>
      </c>
    </row>
    <row r="131" spans="1:54" x14ac:dyDescent="0.2">
      <c r="A131" s="21">
        <v>1615</v>
      </c>
      <c r="B131" s="20" t="s">
        <v>66</v>
      </c>
      <c r="C131" s="18" t="s">
        <v>54</v>
      </c>
      <c r="D131" s="18">
        <v>5</v>
      </c>
      <c r="E131" s="18">
        <v>0</v>
      </c>
      <c r="F131" s="51" t="s">
        <v>9</v>
      </c>
      <c r="G131" s="18">
        <v>29</v>
      </c>
      <c r="H131" s="22">
        <v>4.1396303901437372</v>
      </c>
      <c r="I131" s="22">
        <v>4.7720739219712529</v>
      </c>
      <c r="J131" s="22">
        <v>8.9117043121149901</v>
      </c>
      <c r="K131" s="22">
        <v>4.1396303901437372</v>
      </c>
      <c r="L131" s="22">
        <v>4.7720739219712529</v>
      </c>
      <c r="M131" s="22">
        <v>8.9117043121149901</v>
      </c>
      <c r="N131" s="22">
        <v>4.0136892539356603</v>
      </c>
      <c r="O131" s="22">
        <v>4.5749486652977414</v>
      </c>
      <c r="P131" s="22">
        <v>8.5886379192334026</v>
      </c>
      <c r="Q131" s="22">
        <v>3.2580424366872007</v>
      </c>
      <c r="R131" s="22">
        <v>5.9219712525667347</v>
      </c>
      <c r="S131" s="22">
        <v>9.1800136892539363</v>
      </c>
      <c r="T131" s="20">
        <v>4</v>
      </c>
      <c r="U131" s="20">
        <v>16</v>
      </c>
      <c r="V131" s="20" t="s">
        <v>1</v>
      </c>
      <c r="W131" s="20">
        <v>5</v>
      </c>
      <c r="X131" s="20">
        <v>3</v>
      </c>
      <c r="Y131" s="5">
        <v>1</v>
      </c>
      <c r="Z131" s="20">
        <v>4</v>
      </c>
      <c r="AA131" s="23">
        <f t="shared" si="4"/>
        <v>1</v>
      </c>
      <c r="AB131" s="15">
        <v>1</v>
      </c>
      <c r="AC131" s="15">
        <v>1</v>
      </c>
      <c r="AD131" s="15">
        <v>0.66700000000000004</v>
      </c>
      <c r="AE131" s="15">
        <v>0.83299999999999996</v>
      </c>
      <c r="AF131" s="20">
        <v>20</v>
      </c>
      <c r="AG131" s="20">
        <v>6.12</v>
      </c>
      <c r="AH131" s="24">
        <v>24</v>
      </c>
      <c r="AI131" s="23">
        <f t="shared" si="5"/>
        <v>1</v>
      </c>
      <c r="AJ131" s="15">
        <v>10</v>
      </c>
      <c r="AK131" s="15">
        <v>10</v>
      </c>
      <c r="AL131" s="25">
        <v>20</v>
      </c>
      <c r="AM131" s="23" cm="1">
        <f t="array" ref="AM131">IF(OR(AN131:AZ131=""),"BLANK",IF(AND(AN131:AZ131&lt;9999999),1,IF(AND(AN131:AZ131="NA"),3,2)))</f>
        <v>1</v>
      </c>
      <c r="AN131" s="20">
        <v>10</v>
      </c>
      <c r="AO131" s="20">
        <v>2</v>
      </c>
      <c r="AP131" s="15">
        <v>3</v>
      </c>
      <c r="AQ131" s="15">
        <v>5</v>
      </c>
      <c r="AR131" s="15">
        <v>6.75</v>
      </c>
      <c r="AS131" s="26">
        <v>1084.5</v>
      </c>
      <c r="AT131" s="26">
        <v>3687.5</v>
      </c>
      <c r="AU131" s="26">
        <v>9636.75</v>
      </c>
      <c r="AV131" s="26">
        <v>10687.75</v>
      </c>
      <c r="AW131" s="26">
        <v>0</v>
      </c>
      <c r="AX131" s="26">
        <v>0</v>
      </c>
      <c r="AY131" s="26">
        <v>0</v>
      </c>
      <c r="AZ131" s="26">
        <v>320.2291666667</v>
      </c>
      <c r="BA131" s="23">
        <v>3</v>
      </c>
      <c r="BB131" s="24" t="s">
        <v>8</v>
      </c>
    </row>
    <row r="132" spans="1:54" x14ac:dyDescent="0.2">
      <c r="A132" s="21">
        <v>1617</v>
      </c>
      <c r="B132" s="20" t="s">
        <v>81</v>
      </c>
      <c r="C132" s="18" t="s">
        <v>54</v>
      </c>
      <c r="D132" s="18">
        <v>5</v>
      </c>
      <c r="E132" s="18">
        <v>0</v>
      </c>
      <c r="F132" s="51" t="s">
        <v>9</v>
      </c>
      <c r="G132" s="18">
        <v>30</v>
      </c>
      <c r="H132" s="22">
        <v>4.0082135523613962</v>
      </c>
      <c r="I132" s="22">
        <v>4.9226557152635184</v>
      </c>
      <c r="J132" s="22">
        <v>8.9308692676249137</v>
      </c>
      <c r="K132" s="22">
        <v>4.0082135523613962</v>
      </c>
      <c r="L132" s="22">
        <v>4.9226557152635184</v>
      </c>
      <c r="M132" s="22">
        <v>8.9308692676249137</v>
      </c>
      <c r="N132" s="22" t="s">
        <v>8</v>
      </c>
      <c r="O132" s="22" t="s">
        <v>8</v>
      </c>
      <c r="P132" s="22" t="s">
        <v>8</v>
      </c>
      <c r="Q132" s="22" t="s">
        <v>8</v>
      </c>
      <c r="R132" s="22" t="s">
        <v>8</v>
      </c>
      <c r="S132" s="22" t="s">
        <v>8</v>
      </c>
      <c r="T132" s="20">
        <v>3</v>
      </c>
      <c r="U132" s="20">
        <v>14</v>
      </c>
      <c r="V132" s="20" t="s">
        <v>1</v>
      </c>
      <c r="W132" s="20">
        <v>5</v>
      </c>
      <c r="X132" s="20">
        <v>3</v>
      </c>
      <c r="Y132" s="5">
        <v>1</v>
      </c>
      <c r="Z132" s="20">
        <v>4</v>
      </c>
      <c r="AA132" s="23">
        <f t="shared" si="4"/>
        <v>1</v>
      </c>
      <c r="AB132" s="15">
        <v>0.83299999999999996</v>
      </c>
      <c r="AC132" s="15">
        <v>0.66700000000000004</v>
      </c>
      <c r="AD132" s="15">
        <v>0.5</v>
      </c>
      <c r="AE132" s="15">
        <v>0.75</v>
      </c>
      <c r="AF132" s="20">
        <v>18</v>
      </c>
      <c r="AG132" s="20">
        <v>6.38</v>
      </c>
      <c r="AH132" s="24">
        <v>24</v>
      </c>
      <c r="AI132" s="23">
        <f t="shared" si="5"/>
        <v>1</v>
      </c>
      <c r="AJ132" s="15">
        <v>5.75</v>
      </c>
      <c r="AK132" s="15">
        <v>7.5</v>
      </c>
      <c r="AL132" s="25">
        <v>13.25</v>
      </c>
      <c r="AM132" s="23" cm="1">
        <f t="array" ref="AM132">IF(OR(AN132:AZ132=""),"BLANK",IF(AND(AN132:AZ132&lt;9999999),1,IF(AND(AN132:AZ132="NA"),3,2)))</f>
        <v>3</v>
      </c>
      <c r="AN132" s="20" t="s">
        <v>8</v>
      </c>
      <c r="AO132" s="20" t="s">
        <v>8</v>
      </c>
      <c r="AP132" s="15" t="s">
        <v>8</v>
      </c>
      <c r="AQ132" s="15" t="s">
        <v>8</v>
      </c>
      <c r="AR132" s="15" t="s">
        <v>8</v>
      </c>
      <c r="AS132" s="26" t="s">
        <v>8</v>
      </c>
      <c r="AT132" s="26" t="s">
        <v>8</v>
      </c>
      <c r="AU132" s="26" t="s">
        <v>8</v>
      </c>
      <c r="AV132" s="26" t="s">
        <v>8</v>
      </c>
      <c r="AW132" s="26" t="s">
        <v>8</v>
      </c>
      <c r="AX132" s="26" t="s">
        <v>8</v>
      </c>
      <c r="AY132" s="26" t="s">
        <v>8</v>
      </c>
      <c r="AZ132" s="26" t="s">
        <v>8</v>
      </c>
      <c r="BA132" s="23">
        <v>3</v>
      </c>
      <c r="BB132" s="24" t="s">
        <v>8</v>
      </c>
    </row>
    <row r="133" spans="1:54" x14ac:dyDescent="0.2">
      <c r="A133" s="21">
        <v>1656</v>
      </c>
      <c r="B133" s="20" t="s">
        <v>87</v>
      </c>
      <c r="C133" s="18" t="s">
        <v>54</v>
      </c>
      <c r="D133" s="18">
        <v>5</v>
      </c>
      <c r="E133" s="18">
        <v>0</v>
      </c>
      <c r="F133" s="51" t="s">
        <v>9</v>
      </c>
      <c r="G133" s="18">
        <v>27</v>
      </c>
      <c r="H133" s="22">
        <v>3.676933607118412</v>
      </c>
      <c r="I133" s="22">
        <v>5.3114305270362765</v>
      </c>
      <c r="J133" s="22">
        <v>8.988364134154688</v>
      </c>
      <c r="K133" s="22">
        <v>3.6960985626283369</v>
      </c>
      <c r="L133" s="22">
        <v>5.292265571526352</v>
      </c>
      <c r="M133" s="22">
        <v>8.988364134154688</v>
      </c>
      <c r="N133" s="22">
        <v>3.7125256673511293</v>
      </c>
      <c r="O133" s="22">
        <v>5.2950034223134841</v>
      </c>
      <c r="P133" s="22">
        <v>9.0075290896646134</v>
      </c>
      <c r="Q133" s="22">
        <v>3.4469541409993156</v>
      </c>
      <c r="R133" s="22">
        <v>5.848049281314168</v>
      </c>
      <c r="S133" s="22">
        <v>9.2950034223134832</v>
      </c>
      <c r="T133" s="20" t="s">
        <v>8</v>
      </c>
      <c r="U133" s="20" t="s">
        <v>8</v>
      </c>
      <c r="V133" s="20" t="s">
        <v>1</v>
      </c>
      <c r="W133" s="20">
        <v>5</v>
      </c>
      <c r="X133" s="20">
        <v>3</v>
      </c>
      <c r="Y133" s="5">
        <v>1</v>
      </c>
      <c r="Z133" s="20">
        <v>4</v>
      </c>
      <c r="AA133" s="23">
        <f t="shared" si="4"/>
        <v>1</v>
      </c>
      <c r="AB133" s="15">
        <v>0.83299999999999996</v>
      </c>
      <c r="AC133" s="15">
        <v>0.66700000000000004</v>
      </c>
      <c r="AD133" s="15">
        <v>0.16700000000000001</v>
      </c>
      <c r="AE133" s="15">
        <v>0.58299999999999996</v>
      </c>
      <c r="AF133" s="20">
        <v>14</v>
      </c>
      <c r="AG133" s="20">
        <v>4.25</v>
      </c>
      <c r="AH133" s="24">
        <v>24</v>
      </c>
      <c r="AI133" s="23">
        <f t="shared" si="5"/>
        <v>1</v>
      </c>
      <c r="AJ133" s="15">
        <v>12.5</v>
      </c>
      <c r="AK133" s="15">
        <v>10.25</v>
      </c>
      <c r="AL133" s="25">
        <v>22.75</v>
      </c>
      <c r="AM133" s="23" cm="1">
        <f t="array" ref="AM133">IF(OR(AN133:AZ133=""),"BLANK",IF(AND(AN133:AZ133&lt;9999999),1,IF(AND(AN133:AZ133="NA"),3,2)))</f>
        <v>1</v>
      </c>
      <c r="AN133" s="20">
        <v>6</v>
      </c>
      <c r="AO133" s="20">
        <v>2</v>
      </c>
      <c r="AP133" s="15">
        <v>3.5</v>
      </c>
      <c r="AQ133" s="15">
        <v>5.75</v>
      </c>
      <c r="AR133" s="15">
        <v>7.5</v>
      </c>
      <c r="AS133" s="26">
        <v>0</v>
      </c>
      <c r="AT133" s="26">
        <v>5084</v>
      </c>
      <c r="AU133" s="26">
        <v>4859.75</v>
      </c>
      <c r="AV133" s="26">
        <v>4515.25</v>
      </c>
      <c r="AW133" s="26">
        <v>0</v>
      </c>
      <c r="AX133" s="26">
        <v>0</v>
      </c>
      <c r="AY133" s="26">
        <v>1715.6041666666999</v>
      </c>
      <c r="AZ133" s="26">
        <v>3465.1369047619</v>
      </c>
      <c r="BA133" s="23">
        <v>3</v>
      </c>
      <c r="BB133" s="24" t="s">
        <v>8</v>
      </c>
    </row>
    <row r="134" spans="1:54" x14ac:dyDescent="0.2">
      <c r="A134" s="21">
        <v>1664</v>
      </c>
      <c r="B134" s="20" t="s">
        <v>80</v>
      </c>
      <c r="C134" s="18" t="s">
        <v>55</v>
      </c>
      <c r="D134" s="18">
        <v>5</v>
      </c>
      <c r="E134" s="18">
        <v>0</v>
      </c>
      <c r="F134" s="51" t="s">
        <v>9</v>
      </c>
      <c r="G134" s="18">
        <v>30</v>
      </c>
      <c r="H134" s="22">
        <v>3.8165639972621492</v>
      </c>
      <c r="I134" s="22">
        <v>5.415468856947296</v>
      </c>
      <c r="J134" s="22">
        <v>9.2320328542094447</v>
      </c>
      <c r="K134" s="22">
        <v>3.8329911019849416</v>
      </c>
      <c r="L134" s="22">
        <v>5.4017796030116356</v>
      </c>
      <c r="M134" s="22">
        <v>9.2347707049965777</v>
      </c>
      <c r="N134" s="22">
        <v>3.7809719370294319</v>
      </c>
      <c r="O134" s="22" t="s">
        <v>8</v>
      </c>
      <c r="P134" s="22" t="s">
        <v>8</v>
      </c>
      <c r="Q134" s="22">
        <v>3.3100616016427105</v>
      </c>
      <c r="R134" s="22" t="s">
        <v>8</v>
      </c>
      <c r="S134" s="22" t="s">
        <v>8</v>
      </c>
      <c r="T134" s="20" t="s">
        <v>8</v>
      </c>
      <c r="U134" s="20" t="s">
        <v>8</v>
      </c>
      <c r="V134" s="20" t="s">
        <v>1</v>
      </c>
      <c r="W134" s="20">
        <v>5</v>
      </c>
      <c r="X134" s="20">
        <v>3</v>
      </c>
      <c r="Y134" s="5">
        <v>1</v>
      </c>
      <c r="Z134" s="20">
        <v>4</v>
      </c>
      <c r="AA134" s="23">
        <f t="shared" si="4"/>
        <v>1</v>
      </c>
      <c r="AB134" s="15">
        <v>1</v>
      </c>
      <c r="AC134" s="15">
        <v>0.83299999999999996</v>
      </c>
      <c r="AD134" s="15">
        <v>0.83299999999999996</v>
      </c>
      <c r="AE134" s="15">
        <v>0.79200000000000004</v>
      </c>
      <c r="AF134" s="20">
        <v>19</v>
      </c>
      <c r="AG134" s="20">
        <v>9.17</v>
      </c>
      <c r="AH134" s="24">
        <v>24</v>
      </c>
      <c r="AI134" s="23">
        <f t="shared" si="5"/>
        <v>1</v>
      </c>
      <c r="AJ134" s="15">
        <v>7.25</v>
      </c>
      <c r="AK134" s="15">
        <v>6</v>
      </c>
      <c r="AL134" s="25">
        <v>13.25</v>
      </c>
      <c r="AM134" s="23" cm="1">
        <f t="array" ref="AM134">IF(OR(AN134:AZ134=""),"BLANK",IF(AND(AN134:AZ134&lt;9999999),1,IF(AND(AN134:AZ134="NA"),3,2)))</f>
        <v>1</v>
      </c>
      <c r="AN134" s="20">
        <v>7</v>
      </c>
      <c r="AO134" s="20">
        <v>2</v>
      </c>
      <c r="AP134" s="15">
        <v>3.5</v>
      </c>
      <c r="AQ134" s="15">
        <v>5.5</v>
      </c>
      <c r="AR134" s="15">
        <v>6.75</v>
      </c>
      <c r="AS134" s="26">
        <v>1606</v>
      </c>
      <c r="AT134" s="26">
        <v>5060.5</v>
      </c>
      <c r="AU134" s="26">
        <v>2224</v>
      </c>
      <c r="AV134" s="26">
        <v>2157.75</v>
      </c>
      <c r="AW134" s="26">
        <v>0</v>
      </c>
      <c r="AX134" s="26">
        <v>0</v>
      </c>
      <c r="AY134" s="26">
        <v>147.2986111111</v>
      </c>
      <c r="AZ134" s="26">
        <v>137.8151515152</v>
      </c>
      <c r="BA134" s="23">
        <v>3</v>
      </c>
      <c r="BB134" s="24" t="s">
        <v>8</v>
      </c>
    </row>
    <row r="135" spans="1:54" x14ac:dyDescent="0.2">
      <c r="A135" s="21">
        <v>1685</v>
      </c>
      <c r="B135" s="20" t="s">
        <v>64</v>
      </c>
      <c r="C135" s="18" t="s">
        <v>54</v>
      </c>
      <c r="D135" s="18">
        <v>5</v>
      </c>
      <c r="E135" s="18">
        <v>0</v>
      </c>
      <c r="F135" s="51" t="s">
        <v>9</v>
      </c>
      <c r="G135" s="18">
        <v>28</v>
      </c>
      <c r="H135" s="22">
        <v>3.7152635181382614</v>
      </c>
      <c r="I135" s="22">
        <v>5.0978781656399725</v>
      </c>
      <c r="J135" s="22">
        <v>8.8131416837782339</v>
      </c>
      <c r="K135" s="22">
        <v>3.7180013689253935</v>
      </c>
      <c r="L135" s="22">
        <v>5.0951403148528405</v>
      </c>
      <c r="M135" s="22">
        <v>8.8131416837782339</v>
      </c>
      <c r="N135" s="22">
        <v>3.8329911019849416</v>
      </c>
      <c r="O135" s="22">
        <v>4.6926762491444221</v>
      </c>
      <c r="P135" s="22">
        <v>8.5256673511293641</v>
      </c>
      <c r="Q135" s="22">
        <v>3.378507871321013</v>
      </c>
      <c r="R135" s="22">
        <v>5.8945927446954141</v>
      </c>
      <c r="S135" s="22">
        <v>9.2731006160164267</v>
      </c>
      <c r="T135" s="20">
        <v>6</v>
      </c>
      <c r="U135" s="20">
        <v>18</v>
      </c>
      <c r="V135" s="20" t="s">
        <v>1</v>
      </c>
      <c r="W135" s="20">
        <v>5</v>
      </c>
      <c r="X135" s="20">
        <v>3</v>
      </c>
      <c r="Y135" s="5">
        <v>1</v>
      </c>
      <c r="Z135" s="20">
        <v>4</v>
      </c>
      <c r="AA135" s="23">
        <f t="shared" si="4"/>
        <v>1</v>
      </c>
      <c r="AB135" s="15">
        <v>1</v>
      </c>
      <c r="AC135" s="15">
        <v>0.83299999999999996</v>
      </c>
      <c r="AD135" s="15">
        <v>0.83299999999999996</v>
      </c>
      <c r="AE135" s="15">
        <v>0.83299999999999996</v>
      </c>
      <c r="AF135" s="20">
        <v>20</v>
      </c>
      <c r="AG135" s="20">
        <v>11.52</v>
      </c>
      <c r="AH135" s="24">
        <v>24</v>
      </c>
      <c r="AI135" s="23">
        <f t="shared" si="5"/>
        <v>1</v>
      </c>
      <c r="AJ135" s="15">
        <v>10.75</v>
      </c>
      <c r="AK135" s="15">
        <v>11</v>
      </c>
      <c r="AL135" s="25">
        <v>21.75</v>
      </c>
      <c r="AM135" s="23" cm="1">
        <f t="array" ref="AM135">IF(OR(AN135:AZ135=""),"BLANK",IF(AND(AN135:AZ135&lt;9999999),1,IF(AND(AN135:AZ135="NA"),3,2)))</f>
        <v>1</v>
      </c>
      <c r="AN135" s="20">
        <v>8</v>
      </c>
      <c r="AO135" s="20">
        <v>2</v>
      </c>
      <c r="AP135" s="15">
        <v>3.5</v>
      </c>
      <c r="AQ135" s="15">
        <v>5.5</v>
      </c>
      <c r="AR135" s="15">
        <v>5.25</v>
      </c>
      <c r="AS135" s="26">
        <v>1627.5</v>
      </c>
      <c r="AT135" s="26">
        <v>2717.5</v>
      </c>
      <c r="AU135" s="26">
        <v>3803.75</v>
      </c>
      <c r="AV135" s="26">
        <v>7220.75</v>
      </c>
      <c r="AW135" s="26">
        <v>0</v>
      </c>
      <c r="AX135" s="26">
        <v>1280.9583333333001</v>
      </c>
      <c r="AY135" s="26">
        <v>1376.1166666667</v>
      </c>
      <c r="AZ135" s="26">
        <v>0</v>
      </c>
      <c r="BA135" s="23">
        <v>3</v>
      </c>
      <c r="BB135" s="24" t="s">
        <v>8</v>
      </c>
    </row>
    <row r="136" spans="1:54" x14ac:dyDescent="0.2">
      <c r="A136" s="21">
        <v>1751</v>
      </c>
      <c r="B136" s="20" t="s">
        <v>78</v>
      </c>
      <c r="C136" s="18" t="s">
        <v>55</v>
      </c>
      <c r="D136" s="18">
        <v>5</v>
      </c>
      <c r="E136" s="18">
        <v>0</v>
      </c>
      <c r="F136" s="51" t="s">
        <v>9</v>
      </c>
      <c r="G136" s="18">
        <v>30</v>
      </c>
      <c r="H136" s="22">
        <v>3.8193018480492813</v>
      </c>
      <c r="I136" s="22">
        <v>5.0650239561943877</v>
      </c>
      <c r="J136" s="22">
        <v>8.8843258042436695</v>
      </c>
      <c r="K136" s="22">
        <v>3.8138261464750172</v>
      </c>
      <c r="L136" s="22">
        <v>5.0650239561943877</v>
      </c>
      <c r="M136" s="22">
        <v>8.8788501026694053</v>
      </c>
      <c r="N136" s="22">
        <v>3.7371663244353184</v>
      </c>
      <c r="O136" s="22">
        <v>4.7802874743326491</v>
      </c>
      <c r="P136" s="22">
        <v>8.517453798767967</v>
      </c>
      <c r="Q136" s="22">
        <v>4.0164271047227924</v>
      </c>
      <c r="R136" s="22">
        <v>5.3826146475017111</v>
      </c>
      <c r="S136" s="22">
        <v>9.3990417522245036</v>
      </c>
      <c r="T136" s="20">
        <v>4</v>
      </c>
      <c r="U136" s="20">
        <v>16</v>
      </c>
      <c r="V136" s="20" t="s">
        <v>1</v>
      </c>
      <c r="W136" s="20">
        <v>5</v>
      </c>
      <c r="X136" s="20">
        <v>3</v>
      </c>
      <c r="Y136" s="5">
        <v>1</v>
      </c>
      <c r="Z136" s="20">
        <v>4</v>
      </c>
      <c r="AA136" s="23">
        <f t="shared" si="4"/>
        <v>1</v>
      </c>
      <c r="AB136" s="15">
        <v>1</v>
      </c>
      <c r="AC136" s="15">
        <v>1</v>
      </c>
      <c r="AD136" s="15">
        <v>0.83299999999999996</v>
      </c>
      <c r="AE136" s="15">
        <v>0.95799999999999996</v>
      </c>
      <c r="AF136" s="20">
        <v>23</v>
      </c>
      <c r="AG136" s="20">
        <v>11.2</v>
      </c>
      <c r="AH136" s="24">
        <v>24</v>
      </c>
      <c r="AI136" s="23">
        <f t="shared" si="5"/>
        <v>1</v>
      </c>
      <c r="AJ136" s="15">
        <v>12.5</v>
      </c>
      <c r="AK136" s="15">
        <v>12.5</v>
      </c>
      <c r="AL136" s="25">
        <v>25</v>
      </c>
      <c r="AM136" s="23" cm="1">
        <f t="array" ref="AM136">IF(OR(AN136:AZ136=""),"BLANK",IF(AND(AN136:AZ136&lt;9999999),1,IF(AND(AN136:AZ136="NA"),3,2)))</f>
        <v>1</v>
      </c>
      <c r="AN136" s="20">
        <v>11</v>
      </c>
      <c r="AO136" s="20">
        <v>2</v>
      </c>
      <c r="AP136" s="15">
        <v>3</v>
      </c>
      <c r="AQ136" s="15">
        <v>5.25</v>
      </c>
      <c r="AR136" s="15">
        <v>5</v>
      </c>
      <c r="AS136" s="26">
        <v>1010</v>
      </c>
      <c r="AT136" s="26">
        <v>3512.5</v>
      </c>
      <c r="AU136" s="26">
        <v>3945</v>
      </c>
      <c r="AV136" s="26">
        <v>5119.5</v>
      </c>
      <c r="AW136" s="26">
        <v>0</v>
      </c>
      <c r="AX136" s="26">
        <v>0</v>
      </c>
      <c r="AY136" s="26">
        <v>148.0972222222</v>
      </c>
      <c r="AZ136" s="26">
        <v>0</v>
      </c>
      <c r="BA136" s="23">
        <v>3</v>
      </c>
      <c r="BB136" s="24" t="s">
        <v>8</v>
      </c>
    </row>
    <row r="137" spans="1:54" x14ac:dyDescent="0.2">
      <c r="A137" s="21">
        <v>1759</v>
      </c>
      <c r="B137" s="20" t="s">
        <v>64</v>
      </c>
      <c r="C137" s="18" t="s">
        <v>55</v>
      </c>
      <c r="D137" s="18">
        <v>5</v>
      </c>
      <c r="E137" s="18">
        <v>0</v>
      </c>
      <c r="F137" s="51" t="s">
        <v>9</v>
      </c>
      <c r="G137" s="18">
        <v>29</v>
      </c>
      <c r="H137" s="22">
        <v>4.1067761806981515</v>
      </c>
      <c r="I137" s="22">
        <v>4.7008898015058183</v>
      </c>
      <c r="J137" s="22">
        <v>8.8076659822039698</v>
      </c>
      <c r="K137" s="22">
        <v>4.1067761806981515</v>
      </c>
      <c r="L137" s="22">
        <v>4.777549623545517</v>
      </c>
      <c r="M137" s="22">
        <v>8.8843258042436695</v>
      </c>
      <c r="N137" s="22">
        <v>4.1560574948665296</v>
      </c>
      <c r="O137" s="22">
        <v>4.7173169062286107</v>
      </c>
      <c r="P137" s="22">
        <v>8.8733744010951412</v>
      </c>
      <c r="Q137" s="22" t="s">
        <v>8</v>
      </c>
      <c r="R137" s="22" t="s">
        <v>8</v>
      </c>
      <c r="S137" s="22" t="s">
        <v>8</v>
      </c>
      <c r="T137" s="20">
        <v>6</v>
      </c>
      <c r="U137" s="20">
        <v>18</v>
      </c>
      <c r="V137" s="20" t="s">
        <v>1</v>
      </c>
      <c r="W137" s="20">
        <v>5</v>
      </c>
      <c r="X137" s="20">
        <v>3</v>
      </c>
      <c r="Y137" s="5">
        <v>1</v>
      </c>
      <c r="Z137" s="20">
        <v>4</v>
      </c>
      <c r="AA137" s="23">
        <f t="shared" si="4"/>
        <v>1</v>
      </c>
      <c r="AB137" s="15">
        <v>1</v>
      </c>
      <c r="AC137" s="15">
        <v>0.83299999999999996</v>
      </c>
      <c r="AD137" s="15">
        <v>0.83299999999999996</v>
      </c>
      <c r="AE137" s="15">
        <v>0.875</v>
      </c>
      <c r="AF137" s="20">
        <v>21</v>
      </c>
      <c r="AG137" s="20">
        <v>6.32</v>
      </c>
      <c r="AH137" s="24">
        <v>24</v>
      </c>
      <c r="AI137" s="23">
        <f t="shared" si="5"/>
        <v>1</v>
      </c>
      <c r="AJ137" s="15">
        <v>9.5</v>
      </c>
      <c r="AK137" s="15">
        <v>11.5</v>
      </c>
      <c r="AL137" s="25">
        <v>21</v>
      </c>
      <c r="AM137" s="23" cm="1">
        <f t="array" ref="AM137">IF(OR(AN137:AZ137=""),"BLANK",IF(AND(AN137:AZ137&lt;9999999),1,IF(AND(AN137:AZ137="NA"),3,2)))</f>
        <v>1</v>
      </c>
      <c r="AN137" s="20">
        <v>9</v>
      </c>
      <c r="AO137" s="20">
        <v>2</v>
      </c>
      <c r="AP137" s="15">
        <v>3.5</v>
      </c>
      <c r="AQ137" s="15">
        <v>5.25</v>
      </c>
      <c r="AR137" s="15">
        <v>5.5</v>
      </c>
      <c r="AS137" s="26">
        <v>1591</v>
      </c>
      <c r="AT137" s="26">
        <v>5087</v>
      </c>
      <c r="AU137" s="26">
        <v>6397</v>
      </c>
      <c r="AV137" s="26">
        <v>7231</v>
      </c>
      <c r="AW137" s="26">
        <v>0</v>
      </c>
      <c r="AX137" s="26">
        <v>0</v>
      </c>
      <c r="AY137" s="26">
        <v>1235.875</v>
      </c>
      <c r="AZ137" s="26">
        <v>99.021428571399994</v>
      </c>
      <c r="BA137" s="23">
        <v>3</v>
      </c>
      <c r="BB137" s="24" t="s">
        <v>8</v>
      </c>
    </row>
    <row r="138" spans="1:54" x14ac:dyDescent="0.2">
      <c r="A138" s="21">
        <v>1767</v>
      </c>
      <c r="B138" s="20" t="s">
        <v>67</v>
      </c>
      <c r="C138" s="18" t="s">
        <v>54</v>
      </c>
      <c r="D138" s="18">
        <v>5</v>
      </c>
      <c r="E138" s="18">
        <v>0</v>
      </c>
      <c r="F138" s="51" t="s">
        <v>9</v>
      </c>
      <c r="G138" s="18">
        <v>30</v>
      </c>
      <c r="H138" s="22">
        <v>4.0219028062970565</v>
      </c>
      <c r="I138" s="22">
        <v>5.0458590006844624</v>
      </c>
      <c r="J138" s="22">
        <v>9.0677618069815189</v>
      </c>
      <c r="K138" s="22">
        <v>4.0219028062970565</v>
      </c>
      <c r="L138" s="22">
        <v>5.0458590006844624</v>
      </c>
      <c r="M138" s="22">
        <v>9.0677618069815189</v>
      </c>
      <c r="N138" s="22">
        <v>4.0355920602327169</v>
      </c>
      <c r="O138" s="22">
        <v>4.944558521560575</v>
      </c>
      <c r="P138" s="22">
        <v>8.9801505817932927</v>
      </c>
      <c r="Q138" s="22" t="s">
        <v>8</v>
      </c>
      <c r="R138" s="22" t="s">
        <v>8</v>
      </c>
      <c r="S138" s="22" t="s">
        <v>8</v>
      </c>
      <c r="T138" s="20">
        <v>4</v>
      </c>
      <c r="U138" s="20">
        <v>16</v>
      </c>
      <c r="V138" s="20" t="s">
        <v>1</v>
      </c>
      <c r="W138" s="20">
        <v>5</v>
      </c>
      <c r="X138" s="20">
        <v>3</v>
      </c>
      <c r="Y138" s="5">
        <v>1</v>
      </c>
      <c r="Z138" s="20">
        <v>4</v>
      </c>
      <c r="AA138" s="23">
        <f t="shared" si="4"/>
        <v>1</v>
      </c>
      <c r="AB138" s="15">
        <v>1</v>
      </c>
      <c r="AC138" s="15">
        <v>1</v>
      </c>
      <c r="AD138" s="15">
        <v>0.83299999999999996</v>
      </c>
      <c r="AE138" s="15">
        <v>0.95799999999999996</v>
      </c>
      <c r="AF138" s="20">
        <v>23</v>
      </c>
      <c r="AG138" s="20">
        <v>5.18</v>
      </c>
      <c r="AH138" s="24">
        <v>24</v>
      </c>
      <c r="AI138" s="23">
        <f t="shared" si="5"/>
        <v>1</v>
      </c>
      <c r="AJ138" s="15">
        <v>14</v>
      </c>
      <c r="AK138" s="15">
        <v>11.75</v>
      </c>
      <c r="AL138" s="25">
        <v>25.75</v>
      </c>
      <c r="AM138" s="23" cm="1">
        <f t="array" ref="AM138">IF(OR(AN138:AZ138=""),"BLANK",IF(AND(AN138:AZ138&lt;9999999),1,IF(AND(AN138:AZ138="NA"),3,2)))</f>
        <v>1</v>
      </c>
      <c r="AN138" s="20">
        <v>7</v>
      </c>
      <c r="AO138" s="20">
        <v>2</v>
      </c>
      <c r="AP138" s="15">
        <v>3.5</v>
      </c>
      <c r="AQ138" s="15">
        <v>5.75</v>
      </c>
      <c r="AR138" s="15">
        <v>6.5</v>
      </c>
      <c r="AS138" s="26">
        <v>2828</v>
      </c>
      <c r="AT138" s="26">
        <v>7340</v>
      </c>
      <c r="AU138" s="26">
        <v>7871</v>
      </c>
      <c r="AV138" s="26">
        <v>6616.75</v>
      </c>
      <c r="AW138" s="26">
        <v>0</v>
      </c>
      <c r="AX138" s="26">
        <v>1104.125</v>
      </c>
      <c r="AY138" s="26">
        <v>885.61805555559999</v>
      </c>
      <c r="AZ138" s="26">
        <v>760.38888888890006</v>
      </c>
      <c r="BA138" s="23">
        <v>3</v>
      </c>
      <c r="BB138" s="24" t="s">
        <v>8</v>
      </c>
    </row>
    <row r="139" spans="1:54" x14ac:dyDescent="0.2">
      <c r="A139" s="21">
        <v>1775</v>
      </c>
      <c r="B139" s="20" t="s">
        <v>65</v>
      </c>
      <c r="C139" s="18" t="s">
        <v>55</v>
      </c>
      <c r="D139" s="18">
        <v>5</v>
      </c>
      <c r="E139" s="18">
        <v>0</v>
      </c>
      <c r="F139" s="51" t="s">
        <v>9</v>
      </c>
      <c r="G139" s="18" t="s">
        <v>8</v>
      </c>
      <c r="H139" s="22">
        <v>3.592060232717317</v>
      </c>
      <c r="I139" s="22">
        <v>5.1964407939767279</v>
      </c>
      <c r="J139" s="22">
        <v>8.7885010266940444</v>
      </c>
      <c r="K139" s="22">
        <v>3.5838466803559208</v>
      </c>
      <c r="L139" s="22">
        <v>5.4757015742642023</v>
      </c>
      <c r="M139" s="22">
        <v>9.0595482546201236</v>
      </c>
      <c r="N139" s="22">
        <v>3.5728952772073921</v>
      </c>
      <c r="O139" s="22">
        <v>5.1553730321697468</v>
      </c>
      <c r="P139" s="22">
        <v>8.7282683093771389</v>
      </c>
      <c r="Q139" s="22">
        <v>3.2936344969199181</v>
      </c>
      <c r="R139" s="22">
        <v>5.9958932238193015</v>
      </c>
      <c r="S139" s="22">
        <v>9.2895277207392191</v>
      </c>
      <c r="T139" s="20" t="s">
        <v>8</v>
      </c>
      <c r="U139" s="20" t="s">
        <v>8</v>
      </c>
      <c r="V139" s="20" t="s">
        <v>1</v>
      </c>
      <c r="W139" s="20">
        <v>5</v>
      </c>
      <c r="X139" s="20">
        <v>3</v>
      </c>
      <c r="Y139" s="5">
        <v>1</v>
      </c>
      <c r="Z139" s="20">
        <v>4</v>
      </c>
      <c r="AA139" s="23">
        <f t="shared" si="4"/>
        <v>1</v>
      </c>
      <c r="AB139" s="15">
        <v>0.83299999999999996</v>
      </c>
      <c r="AC139" s="15">
        <v>1</v>
      </c>
      <c r="AD139" s="15">
        <v>0.83299999999999996</v>
      </c>
      <c r="AE139" s="15">
        <v>0.875</v>
      </c>
      <c r="AF139" s="20">
        <v>21</v>
      </c>
      <c r="AG139" s="20">
        <v>10</v>
      </c>
      <c r="AH139" s="24">
        <v>24</v>
      </c>
      <c r="AI139" s="23">
        <f t="shared" si="5"/>
        <v>1</v>
      </c>
      <c r="AJ139" s="15">
        <v>13</v>
      </c>
      <c r="AK139" s="15">
        <v>9.75</v>
      </c>
      <c r="AL139" s="25">
        <v>22.75</v>
      </c>
      <c r="AM139" s="23" cm="1">
        <f t="array" ref="AM139">IF(OR(AN139:AZ139=""),"BLANK",IF(AND(AN139:AZ139&lt;9999999),1,IF(AND(AN139:AZ139="NA"),3,2)))</f>
        <v>1</v>
      </c>
      <c r="AN139" s="20">
        <v>12</v>
      </c>
      <c r="AO139" s="20">
        <v>2</v>
      </c>
      <c r="AP139" s="15">
        <v>3</v>
      </c>
      <c r="AQ139" s="15">
        <v>4</v>
      </c>
      <c r="AR139" s="15">
        <v>5</v>
      </c>
      <c r="AS139" s="26">
        <v>2570.5</v>
      </c>
      <c r="AT139" s="26">
        <v>13708</v>
      </c>
      <c r="AU139" s="26">
        <v>18733.75</v>
      </c>
      <c r="AV139" s="26">
        <v>16551.75</v>
      </c>
      <c r="AW139" s="26">
        <v>0</v>
      </c>
      <c r="AX139" s="26">
        <v>0</v>
      </c>
      <c r="AY139" s="26">
        <v>0</v>
      </c>
      <c r="AZ139" s="26">
        <v>943.5</v>
      </c>
      <c r="BA139" s="23">
        <v>3</v>
      </c>
      <c r="BB139" s="24" t="s">
        <v>8</v>
      </c>
    </row>
    <row r="140" spans="1:54" x14ac:dyDescent="0.2">
      <c r="A140" s="21">
        <v>1796</v>
      </c>
      <c r="B140" s="20" t="s">
        <v>67</v>
      </c>
      <c r="C140" s="18" t="s">
        <v>54</v>
      </c>
      <c r="D140" s="18">
        <v>1</v>
      </c>
      <c r="E140" s="18">
        <v>0</v>
      </c>
      <c r="F140" s="51" t="s">
        <v>9</v>
      </c>
      <c r="G140" s="18">
        <v>30</v>
      </c>
      <c r="H140" s="22">
        <v>4.213552361396304</v>
      </c>
      <c r="I140" s="22">
        <v>4.6242299794661195</v>
      </c>
      <c r="J140" s="22">
        <v>8.8377823408624234</v>
      </c>
      <c r="K140" s="22">
        <v>4.213552361396304</v>
      </c>
      <c r="L140" s="22">
        <v>4.6242299794661195</v>
      </c>
      <c r="M140" s="22">
        <v>8.8377823408624234</v>
      </c>
      <c r="N140" s="22">
        <v>4.1505817932922655</v>
      </c>
      <c r="O140" s="22">
        <v>4.6050650239561941</v>
      </c>
      <c r="P140" s="22">
        <v>8.7556468172484596</v>
      </c>
      <c r="Q140" s="22" t="s">
        <v>8</v>
      </c>
      <c r="R140" s="22" t="s">
        <v>8</v>
      </c>
      <c r="S140" s="22" t="s">
        <v>8</v>
      </c>
      <c r="T140" s="20" t="s">
        <v>8</v>
      </c>
      <c r="U140" s="20" t="s">
        <v>8</v>
      </c>
      <c r="V140" s="20" t="s">
        <v>1</v>
      </c>
      <c r="W140" s="20">
        <v>5</v>
      </c>
      <c r="X140" s="20">
        <v>3</v>
      </c>
      <c r="Y140" s="5">
        <v>1</v>
      </c>
      <c r="Z140" s="20">
        <v>4</v>
      </c>
      <c r="AA140" s="23">
        <f t="shared" si="4"/>
        <v>1</v>
      </c>
      <c r="AB140" s="15">
        <v>1</v>
      </c>
      <c r="AC140" s="15">
        <v>0.83299999999999996</v>
      </c>
      <c r="AD140" s="15">
        <v>0.83299999999999996</v>
      </c>
      <c r="AE140" s="15">
        <v>0.875</v>
      </c>
      <c r="AF140" s="20">
        <v>21</v>
      </c>
      <c r="AG140" s="20">
        <v>12.07</v>
      </c>
      <c r="AH140" s="24">
        <v>24</v>
      </c>
      <c r="AI140" s="23">
        <f t="shared" si="5"/>
        <v>1</v>
      </c>
      <c r="AJ140" s="15">
        <v>12.75</v>
      </c>
      <c r="AK140" s="15">
        <v>12</v>
      </c>
      <c r="AL140" s="25">
        <v>24.75</v>
      </c>
      <c r="AM140" s="23" cm="1">
        <f t="array" ref="AM140">IF(OR(AN140:AZ140=""),"BLANK",IF(AND(AN140:AZ140&lt;9999999),1,IF(AND(AN140:AZ140="NA"),3,2)))</f>
        <v>1</v>
      </c>
      <c r="AN140" s="20">
        <v>12</v>
      </c>
      <c r="AO140" s="20">
        <v>2</v>
      </c>
      <c r="AP140" s="15">
        <v>3</v>
      </c>
      <c r="AQ140" s="15">
        <v>4</v>
      </c>
      <c r="AR140" s="15">
        <v>5</v>
      </c>
      <c r="AS140" s="26">
        <v>2782.5</v>
      </c>
      <c r="AT140" s="26">
        <v>14654.5</v>
      </c>
      <c r="AU140" s="26">
        <v>13111</v>
      </c>
      <c r="AV140" s="26">
        <v>24873.75</v>
      </c>
      <c r="AW140" s="26">
        <v>0</v>
      </c>
      <c r="AX140" s="26">
        <v>0</v>
      </c>
      <c r="AY140" s="26">
        <v>0</v>
      </c>
      <c r="AZ140" s="26">
        <v>113.65</v>
      </c>
      <c r="BA140" s="23">
        <v>3</v>
      </c>
      <c r="BB140" s="24" t="s">
        <v>8</v>
      </c>
    </row>
    <row r="141" spans="1:54" x14ac:dyDescent="0.2">
      <c r="A141" s="21">
        <v>1844</v>
      </c>
      <c r="B141" s="20" t="s">
        <v>65</v>
      </c>
      <c r="C141" s="18" t="s">
        <v>55</v>
      </c>
      <c r="D141" s="18">
        <v>5</v>
      </c>
      <c r="E141" s="18">
        <v>0</v>
      </c>
      <c r="F141" s="51" t="s">
        <v>9</v>
      </c>
      <c r="G141" s="18">
        <v>30</v>
      </c>
      <c r="H141" s="22">
        <v>3.5838466803559208</v>
      </c>
      <c r="I141" s="22">
        <v>5.4428473648186175</v>
      </c>
      <c r="J141" s="22">
        <v>9.0266940451745388</v>
      </c>
      <c r="K141" s="22">
        <v>3.5838466803559208</v>
      </c>
      <c r="L141" s="22">
        <v>5.4428473648186175</v>
      </c>
      <c r="M141" s="22">
        <v>9.0266940451745388</v>
      </c>
      <c r="N141" s="22">
        <v>3.592060232717317</v>
      </c>
      <c r="O141" s="22">
        <v>5.415468856947296</v>
      </c>
      <c r="P141" s="22">
        <v>9.0075290896646134</v>
      </c>
      <c r="Q141" s="22">
        <v>3.8658453114305269</v>
      </c>
      <c r="R141" s="22">
        <v>5.3880903490759753</v>
      </c>
      <c r="S141" s="22">
        <v>9.2539356605065031</v>
      </c>
      <c r="T141" s="20">
        <v>5</v>
      </c>
      <c r="U141" s="20">
        <v>17</v>
      </c>
      <c r="V141" s="20" t="s">
        <v>1</v>
      </c>
      <c r="W141" s="20">
        <v>5</v>
      </c>
      <c r="X141" s="20">
        <v>3</v>
      </c>
      <c r="Y141" s="5">
        <v>1</v>
      </c>
      <c r="Z141" s="20">
        <v>4</v>
      </c>
      <c r="AA141" s="23">
        <f t="shared" si="4"/>
        <v>1</v>
      </c>
      <c r="AB141" s="15">
        <v>1</v>
      </c>
      <c r="AC141" s="15">
        <v>0.83299999999999996</v>
      </c>
      <c r="AD141" s="15">
        <v>0.66700000000000004</v>
      </c>
      <c r="AE141" s="15">
        <v>0.875</v>
      </c>
      <c r="AF141" s="20">
        <v>21</v>
      </c>
      <c r="AG141" s="20">
        <v>9.67</v>
      </c>
      <c r="AH141" s="24">
        <v>24</v>
      </c>
      <c r="AI141" s="23">
        <f t="shared" si="5"/>
        <v>1</v>
      </c>
      <c r="AJ141" s="15">
        <v>7.25</v>
      </c>
      <c r="AK141" s="15">
        <v>11</v>
      </c>
      <c r="AL141" s="25">
        <v>18.25</v>
      </c>
      <c r="AM141" s="23" cm="1">
        <f t="array" ref="AM141">IF(OR(AN141:AZ141=""),"BLANK",IF(AND(AN141:AZ141&lt;9999999),1,IF(AND(AN141:AZ141="NA"),3,2)))</f>
        <v>1</v>
      </c>
      <c r="AN141" s="20">
        <v>12</v>
      </c>
      <c r="AO141" s="20">
        <v>2</v>
      </c>
      <c r="AP141" s="15">
        <v>3</v>
      </c>
      <c r="AQ141" s="15">
        <v>4</v>
      </c>
      <c r="AR141" s="15">
        <v>5</v>
      </c>
      <c r="AS141" s="26">
        <v>1891</v>
      </c>
      <c r="AT141" s="26">
        <v>2300</v>
      </c>
      <c r="AU141" s="26">
        <v>4342.25</v>
      </c>
      <c r="AV141" s="26">
        <v>4312.5</v>
      </c>
      <c r="AW141" s="26">
        <v>952.25</v>
      </c>
      <c r="AX141" s="26">
        <v>34.833333333299997</v>
      </c>
      <c r="AY141" s="26">
        <v>742.0625</v>
      </c>
      <c r="AZ141" s="26">
        <v>1900.2</v>
      </c>
      <c r="BA141" s="23">
        <v>3</v>
      </c>
      <c r="BB141" s="24" t="s">
        <v>8</v>
      </c>
    </row>
    <row r="142" spans="1:54" x14ac:dyDescent="0.2">
      <c r="A142" s="21">
        <v>1849</v>
      </c>
      <c r="B142" s="20" t="s">
        <v>65</v>
      </c>
      <c r="C142" s="18" t="s">
        <v>55</v>
      </c>
      <c r="D142" s="18">
        <v>5</v>
      </c>
      <c r="E142" s="18">
        <v>0</v>
      </c>
      <c r="F142" s="51" t="s">
        <v>9</v>
      </c>
      <c r="G142" s="18">
        <v>30</v>
      </c>
      <c r="H142" s="22">
        <v>3.7344284736481863</v>
      </c>
      <c r="I142" s="22">
        <v>5.0020533880903493</v>
      </c>
      <c r="J142" s="22">
        <v>8.736481861738536</v>
      </c>
      <c r="K142" s="22">
        <v>3.7344284736481863</v>
      </c>
      <c r="L142" s="22">
        <v>5.0677618069815198</v>
      </c>
      <c r="M142" s="22">
        <v>8.8021902806297057</v>
      </c>
      <c r="N142" s="22">
        <v>3.7316906228610542</v>
      </c>
      <c r="O142" s="22">
        <v>4.7529089664613275</v>
      </c>
      <c r="P142" s="22">
        <v>8.4845995893223822</v>
      </c>
      <c r="Q142" s="22">
        <v>3.3949349760438055</v>
      </c>
      <c r="R142" s="22" t="s">
        <v>8</v>
      </c>
      <c r="S142" s="22" t="s">
        <v>8</v>
      </c>
      <c r="T142" s="20">
        <v>6</v>
      </c>
      <c r="U142" s="20">
        <v>18</v>
      </c>
      <c r="V142" s="20" t="s">
        <v>1</v>
      </c>
      <c r="W142" s="20">
        <v>5</v>
      </c>
      <c r="X142" s="20">
        <v>3</v>
      </c>
      <c r="Y142" s="5">
        <v>1</v>
      </c>
      <c r="Z142" s="20">
        <v>4</v>
      </c>
      <c r="AA142" s="23">
        <f t="shared" si="4"/>
        <v>1</v>
      </c>
      <c r="AB142" s="15">
        <v>1</v>
      </c>
      <c r="AC142" s="15">
        <v>1</v>
      </c>
      <c r="AD142" s="15">
        <v>1</v>
      </c>
      <c r="AE142" s="15">
        <v>1</v>
      </c>
      <c r="AF142" s="20">
        <v>24</v>
      </c>
      <c r="AG142" s="20">
        <v>6.77</v>
      </c>
      <c r="AH142" s="24">
        <v>24</v>
      </c>
      <c r="AI142" s="23">
        <f t="shared" si="5"/>
        <v>1</v>
      </c>
      <c r="AJ142" s="15">
        <v>10</v>
      </c>
      <c r="AK142" s="15">
        <v>9.75</v>
      </c>
      <c r="AL142" s="25">
        <v>19.75</v>
      </c>
      <c r="AM142" s="23" cm="1">
        <f t="array" ref="AM142">IF(OR(AN142:AZ142=""),"BLANK",IF(AND(AN142:AZ142&lt;9999999),1,IF(AND(AN142:AZ142="NA"),3,2)))</f>
        <v>1</v>
      </c>
      <c r="AN142" s="20">
        <v>10</v>
      </c>
      <c r="AO142" s="20">
        <v>2</v>
      </c>
      <c r="AP142" s="15">
        <v>3</v>
      </c>
      <c r="AQ142" s="15">
        <v>5.25</v>
      </c>
      <c r="AR142" s="15">
        <v>6.75</v>
      </c>
      <c r="AS142" s="26">
        <v>1733</v>
      </c>
      <c r="AT142" s="26">
        <v>1643</v>
      </c>
      <c r="AU142" s="26">
        <v>4859.75</v>
      </c>
      <c r="AV142" s="26">
        <v>21929.75</v>
      </c>
      <c r="AW142" s="26">
        <v>0</v>
      </c>
      <c r="AX142" s="26">
        <v>0</v>
      </c>
      <c r="AY142" s="26">
        <v>0</v>
      </c>
      <c r="AZ142" s="26">
        <v>162.9333333333</v>
      </c>
      <c r="BA142" s="23">
        <v>3</v>
      </c>
      <c r="BB142" s="24" t="s">
        <v>8</v>
      </c>
    </row>
    <row r="143" spans="1:54" x14ac:dyDescent="0.2">
      <c r="A143" s="21">
        <v>1850</v>
      </c>
      <c r="B143" s="20" t="s">
        <v>65</v>
      </c>
      <c r="C143" s="18" t="s">
        <v>54</v>
      </c>
      <c r="D143" s="18">
        <v>5</v>
      </c>
      <c r="E143" s="18">
        <v>0</v>
      </c>
      <c r="F143" s="51" t="s">
        <v>9</v>
      </c>
      <c r="G143" s="18">
        <v>29</v>
      </c>
      <c r="H143" s="22">
        <v>3.7070499657768652</v>
      </c>
      <c r="I143" s="22">
        <v>4.9993155373032172</v>
      </c>
      <c r="J143" s="22">
        <v>8.7063655030800824</v>
      </c>
      <c r="K143" s="22">
        <v>3.6687200547570158</v>
      </c>
      <c r="L143" s="22">
        <v>4.9993155373032172</v>
      </c>
      <c r="M143" s="22">
        <v>8.6680355920602334</v>
      </c>
      <c r="N143" s="22">
        <v>4.0629705681040384</v>
      </c>
      <c r="O143" s="22">
        <v>4.5420944558521557</v>
      </c>
      <c r="P143" s="22">
        <v>8.605065023956195</v>
      </c>
      <c r="Q143" s="22">
        <v>3.7262149212867897</v>
      </c>
      <c r="R143" s="22">
        <v>5.4674880219028061</v>
      </c>
      <c r="S143" s="22">
        <v>9.1937029431895958</v>
      </c>
      <c r="T143" s="20">
        <v>6</v>
      </c>
      <c r="U143" s="20">
        <v>18</v>
      </c>
      <c r="V143" s="20" t="s">
        <v>1</v>
      </c>
      <c r="W143" s="20">
        <v>5</v>
      </c>
      <c r="X143" s="20">
        <v>3</v>
      </c>
      <c r="Y143" s="5">
        <v>1</v>
      </c>
      <c r="Z143" s="20">
        <v>4</v>
      </c>
      <c r="AA143" s="23">
        <f t="shared" si="4"/>
        <v>1</v>
      </c>
      <c r="AB143" s="15">
        <v>1</v>
      </c>
      <c r="AC143" s="15">
        <v>0.83299999999999996</v>
      </c>
      <c r="AD143" s="15">
        <v>0.66700000000000004</v>
      </c>
      <c r="AE143" s="15">
        <v>0.83299999999999996</v>
      </c>
      <c r="AF143" s="20">
        <v>20</v>
      </c>
      <c r="AG143" s="20">
        <v>10.62</v>
      </c>
      <c r="AH143" s="24">
        <v>24</v>
      </c>
      <c r="AI143" s="23">
        <f t="shared" si="5"/>
        <v>1</v>
      </c>
      <c r="AJ143" s="15">
        <v>13</v>
      </c>
      <c r="AK143" s="15">
        <v>12</v>
      </c>
      <c r="AL143" s="25">
        <v>25</v>
      </c>
      <c r="AM143" s="23" cm="1">
        <f t="array" ref="AM143">IF(OR(AN143:AZ143=""),"BLANK",IF(AND(AN143:AZ143&lt;9999999),1,IF(AND(AN143:AZ143="NA"),3,2)))</f>
        <v>1</v>
      </c>
      <c r="AN143" s="20">
        <v>12</v>
      </c>
      <c r="AO143" s="20">
        <v>2</v>
      </c>
      <c r="AP143" s="15">
        <v>3</v>
      </c>
      <c r="AQ143" s="15">
        <v>4</v>
      </c>
      <c r="AR143" s="15">
        <v>5</v>
      </c>
      <c r="AS143" s="26">
        <v>2610.5</v>
      </c>
      <c r="AT143" s="26">
        <v>9165</v>
      </c>
      <c r="AU143" s="26">
        <v>15690.5</v>
      </c>
      <c r="AV143" s="26">
        <v>16046.75</v>
      </c>
      <c r="AW143" s="26">
        <v>0</v>
      </c>
      <c r="AX143" s="26">
        <v>110</v>
      </c>
      <c r="AY143" s="26">
        <v>0</v>
      </c>
      <c r="AZ143" s="26">
        <v>0</v>
      </c>
      <c r="BA143" s="23">
        <v>3</v>
      </c>
      <c r="BB143" s="24" t="s">
        <v>8</v>
      </c>
    </row>
    <row r="144" spans="1:54" x14ac:dyDescent="0.2">
      <c r="A144" s="21">
        <v>1863</v>
      </c>
      <c r="B144" s="20" t="s">
        <v>85</v>
      </c>
      <c r="C144" s="18" t="s">
        <v>54</v>
      </c>
      <c r="D144" s="18">
        <v>5</v>
      </c>
      <c r="E144" s="18">
        <v>0</v>
      </c>
      <c r="F144" s="51" t="s">
        <v>9</v>
      </c>
      <c r="G144" s="18">
        <v>30</v>
      </c>
      <c r="H144" s="22">
        <v>3.9726214921286789</v>
      </c>
      <c r="I144" s="22">
        <v>4.7200547570157427</v>
      </c>
      <c r="J144" s="22">
        <v>8.6926762491444212</v>
      </c>
      <c r="K144" s="22">
        <v>3.9726214921286789</v>
      </c>
      <c r="L144" s="22">
        <v>4.8240930869267622</v>
      </c>
      <c r="M144" s="22">
        <v>8.7967145790554415</v>
      </c>
      <c r="N144" s="22">
        <v>4.0574948665297743</v>
      </c>
      <c r="O144" s="22">
        <v>4.5393566050650236</v>
      </c>
      <c r="P144" s="22">
        <v>8.5968514715947979</v>
      </c>
      <c r="Q144" s="22">
        <v>3.7782340862422998</v>
      </c>
      <c r="R144" s="22">
        <v>5.5140314852840522</v>
      </c>
      <c r="S144" s="22">
        <v>9.292265571526352</v>
      </c>
      <c r="T144" s="20">
        <v>4</v>
      </c>
      <c r="U144" s="20">
        <v>16</v>
      </c>
      <c r="V144" s="20" t="s">
        <v>1</v>
      </c>
      <c r="W144" s="20">
        <v>5</v>
      </c>
      <c r="X144" s="20">
        <v>3</v>
      </c>
      <c r="Y144" s="5">
        <v>1</v>
      </c>
      <c r="Z144" s="20">
        <v>4</v>
      </c>
      <c r="AA144" s="23">
        <f t="shared" si="4"/>
        <v>1</v>
      </c>
      <c r="AB144" s="15">
        <v>0.83299999999999996</v>
      </c>
      <c r="AC144" s="15">
        <v>0.66700000000000004</v>
      </c>
      <c r="AD144" s="15">
        <v>0.33300000000000002</v>
      </c>
      <c r="AE144" s="15">
        <v>0.66700000000000004</v>
      </c>
      <c r="AF144" s="20">
        <v>16</v>
      </c>
      <c r="AG144" s="20">
        <v>2.77</v>
      </c>
      <c r="AH144" s="24">
        <v>24</v>
      </c>
      <c r="AI144" s="23">
        <f t="shared" si="5"/>
        <v>1</v>
      </c>
      <c r="AJ144" s="15">
        <v>7</v>
      </c>
      <c r="AK144" s="15">
        <v>7.75</v>
      </c>
      <c r="AL144" s="25">
        <v>14.75</v>
      </c>
      <c r="AM144" s="23" cm="1">
        <f t="array" ref="AM144">IF(OR(AN144:AZ144=""),"BLANK",IF(AND(AN144:AZ144&lt;9999999),1,IF(AND(AN144:AZ144="NA"),3,2)))</f>
        <v>1</v>
      </c>
      <c r="AN144" s="20">
        <v>8</v>
      </c>
      <c r="AO144" s="20">
        <v>2</v>
      </c>
      <c r="AP144" s="15">
        <v>4</v>
      </c>
      <c r="AQ144" s="15">
        <v>5</v>
      </c>
      <c r="AR144" s="15">
        <v>6.25</v>
      </c>
      <c r="AS144" s="26">
        <v>213</v>
      </c>
      <c r="AT144" s="26">
        <v>6612</v>
      </c>
      <c r="AU144" s="26">
        <v>4372.75</v>
      </c>
      <c r="AV144" s="26">
        <v>7956.75</v>
      </c>
      <c r="AW144" s="26">
        <v>0</v>
      </c>
      <c r="AX144" s="26">
        <v>322.7</v>
      </c>
      <c r="AY144" s="26">
        <v>880.9375</v>
      </c>
      <c r="AZ144" s="26">
        <v>2600.0821428570998</v>
      </c>
      <c r="BA144" s="23">
        <v>3</v>
      </c>
      <c r="BB144" s="24" t="s">
        <v>8</v>
      </c>
    </row>
    <row r="145" spans="1:54" x14ac:dyDescent="0.2">
      <c r="A145" s="21">
        <v>1875</v>
      </c>
      <c r="B145" s="20" t="s">
        <v>74</v>
      </c>
      <c r="C145" s="18" t="s">
        <v>54</v>
      </c>
      <c r="D145" s="18">
        <v>5</v>
      </c>
      <c r="E145" s="18">
        <v>0</v>
      </c>
      <c r="F145" s="51" t="s">
        <v>9</v>
      </c>
      <c r="G145" s="18">
        <v>29</v>
      </c>
      <c r="H145" s="22">
        <v>4.1916495550992474</v>
      </c>
      <c r="I145" s="22">
        <v>4.4407939767282683</v>
      </c>
      <c r="J145" s="22">
        <v>8.6324435318275157</v>
      </c>
      <c r="K145" s="22">
        <v>4.1916495550992474</v>
      </c>
      <c r="L145" s="22">
        <v>4.4407939767282683</v>
      </c>
      <c r="M145" s="22">
        <v>8.6324435318275157</v>
      </c>
      <c r="N145" s="22">
        <v>4.216290212183436</v>
      </c>
      <c r="O145" s="22">
        <v>4.0520191649555102</v>
      </c>
      <c r="P145" s="22">
        <v>8.2683093771389462</v>
      </c>
      <c r="Q145" s="22" t="s">
        <v>8</v>
      </c>
      <c r="R145" s="22" t="s">
        <v>8</v>
      </c>
      <c r="S145" s="22" t="s">
        <v>8</v>
      </c>
      <c r="T145" s="20">
        <v>5</v>
      </c>
      <c r="U145" s="20">
        <v>17</v>
      </c>
      <c r="V145" s="20" t="s">
        <v>1</v>
      </c>
      <c r="W145" s="20">
        <v>5</v>
      </c>
      <c r="X145" s="20">
        <v>3</v>
      </c>
      <c r="Y145" s="5">
        <v>1</v>
      </c>
      <c r="Z145" s="20">
        <v>4</v>
      </c>
      <c r="AA145" s="23">
        <f t="shared" si="4"/>
        <v>1</v>
      </c>
      <c r="AB145" s="15">
        <v>0.83299999999999996</v>
      </c>
      <c r="AC145" s="15">
        <v>0.66700000000000004</v>
      </c>
      <c r="AD145" s="15">
        <v>0.5</v>
      </c>
      <c r="AE145" s="15">
        <v>0.625</v>
      </c>
      <c r="AF145" s="20">
        <v>15</v>
      </c>
      <c r="AG145" s="20">
        <v>12.17</v>
      </c>
      <c r="AH145" s="24">
        <v>24</v>
      </c>
      <c r="AI145" s="23">
        <f t="shared" si="5"/>
        <v>2</v>
      </c>
      <c r="AJ145" s="15" t="s">
        <v>8</v>
      </c>
      <c r="AK145" s="15">
        <v>12</v>
      </c>
      <c r="AL145" s="25">
        <v>12</v>
      </c>
      <c r="AM145" s="23" cm="1">
        <f t="array" ref="AM145">IF(OR(AN145:AZ145=""),"BLANK",IF(AND(AN145:AZ145&lt;9999999),1,IF(AND(AN145:AZ145="NA"),3,2)))</f>
        <v>1</v>
      </c>
      <c r="AN145" s="20">
        <v>10</v>
      </c>
      <c r="AO145" s="20">
        <v>2</v>
      </c>
      <c r="AP145" s="15">
        <v>3</v>
      </c>
      <c r="AQ145" s="15">
        <v>4</v>
      </c>
      <c r="AR145" s="15">
        <v>8.25</v>
      </c>
      <c r="AS145" s="26">
        <v>816</v>
      </c>
      <c r="AT145" s="26">
        <v>1590.5</v>
      </c>
      <c r="AU145" s="26">
        <v>3343.25</v>
      </c>
      <c r="AV145" s="26">
        <v>13729.75</v>
      </c>
      <c r="AW145" s="26">
        <v>0</v>
      </c>
      <c r="AX145" s="26">
        <v>0</v>
      </c>
      <c r="AY145" s="26">
        <v>0</v>
      </c>
      <c r="AZ145" s="26">
        <v>1645.0242424242001</v>
      </c>
      <c r="BA145" s="23">
        <v>3</v>
      </c>
      <c r="BB145" s="24" t="s">
        <v>8</v>
      </c>
    </row>
    <row r="146" spans="1:54" x14ac:dyDescent="0.2">
      <c r="A146" s="21">
        <v>1891</v>
      </c>
      <c r="B146" s="20" t="s">
        <v>87</v>
      </c>
      <c r="C146" s="18" t="s">
        <v>54</v>
      </c>
      <c r="D146" s="18">
        <v>5</v>
      </c>
      <c r="E146" s="18">
        <v>0</v>
      </c>
      <c r="F146" s="51" t="s">
        <v>9</v>
      </c>
      <c r="G146" s="18">
        <v>26</v>
      </c>
      <c r="H146" s="22">
        <v>3.5865845311430529</v>
      </c>
      <c r="I146" s="22">
        <v>5.3004791238877482</v>
      </c>
      <c r="J146" s="22">
        <v>8.8870636550308006</v>
      </c>
      <c r="K146" s="22">
        <v>3.5865845311430529</v>
      </c>
      <c r="L146" s="22">
        <v>5.3004791238877482</v>
      </c>
      <c r="M146" s="22">
        <v>8.8870636550308006</v>
      </c>
      <c r="N146" s="22">
        <v>3.7426420260095825</v>
      </c>
      <c r="O146" s="22">
        <v>5.0924024640657084</v>
      </c>
      <c r="P146" s="22">
        <v>8.8350444900752905</v>
      </c>
      <c r="Q146" s="22">
        <v>3.6714579055441479</v>
      </c>
      <c r="R146" s="22">
        <v>5.4428473648186175</v>
      </c>
      <c r="S146" s="22">
        <v>9.1143052703627649</v>
      </c>
      <c r="T146" s="20">
        <v>6</v>
      </c>
      <c r="U146" s="20">
        <v>18</v>
      </c>
      <c r="V146" s="20" t="s">
        <v>1</v>
      </c>
      <c r="W146" s="20">
        <v>5</v>
      </c>
      <c r="X146" s="20">
        <v>3</v>
      </c>
      <c r="Y146" s="5">
        <v>1</v>
      </c>
      <c r="Z146" s="20">
        <v>4</v>
      </c>
      <c r="AA146" s="23">
        <f t="shared" si="4"/>
        <v>1</v>
      </c>
      <c r="AB146" s="15">
        <v>0.83299999999999996</v>
      </c>
      <c r="AC146" s="15">
        <v>0.83299999999999996</v>
      </c>
      <c r="AD146" s="15">
        <v>0.5</v>
      </c>
      <c r="AE146" s="15">
        <v>0.75</v>
      </c>
      <c r="AF146" s="20">
        <v>18</v>
      </c>
      <c r="AG146" s="20">
        <v>0.33</v>
      </c>
      <c r="AH146" s="24">
        <v>24</v>
      </c>
      <c r="AI146" s="23">
        <f t="shared" si="5"/>
        <v>1</v>
      </c>
      <c r="AJ146" s="15">
        <v>8</v>
      </c>
      <c r="AK146" s="15">
        <v>11</v>
      </c>
      <c r="AL146" s="25">
        <v>19</v>
      </c>
      <c r="AM146" s="23" cm="1">
        <f t="array" ref="AM146">IF(OR(AN146:AZ146=""),"BLANK",IF(AND(AN146:AZ146&lt;9999999),1,IF(AND(AN146:AZ146="NA"),3,2)))</f>
        <v>1</v>
      </c>
      <c r="AN146" s="20">
        <v>7</v>
      </c>
      <c r="AO146" s="20">
        <v>2</v>
      </c>
      <c r="AP146" s="15">
        <v>3</v>
      </c>
      <c r="AQ146" s="15">
        <v>6.5</v>
      </c>
      <c r="AR146" s="15">
        <v>7.25</v>
      </c>
      <c r="AS146" s="26">
        <v>954</v>
      </c>
      <c r="AT146" s="26">
        <v>4619</v>
      </c>
      <c r="AU146" s="26">
        <v>6969</v>
      </c>
      <c r="AV146" s="26">
        <v>6175.5</v>
      </c>
      <c r="AW146" s="26">
        <v>0</v>
      </c>
      <c r="AX146" s="26">
        <v>0</v>
      </c>
      <c r="AY146" s="26">
        <v>5131.5840277777997</v>
      </c>
      <c r="AZ146" s="26">
        <v>4087.4029761904999</v>
      </c>
      <c r="BA146" s="23">
        <v>3</v>
      </c>
      <c r="BB146" s="24" t="s">
        <v>8</v>
      </c>
    </row>
    <row r="147" spans="1:54" x14ac:dyDescent="0.2">
      <c r="A147" s="21">
        <v>1922</v>
      </c>
      <c r="B147" s="20" t="s">
        <v>67</v>
      </c>
      <c r="C147" s="18" t="s">
        <v>55</v>
      </c>
      <c r="D147" s="18">
        <v>5</v>
      </c>
      <c r="E147" s="18">
        <v>0</v>
      </c>
      <c r="F147" s="51" t="s">
        <v>9</v>
      </c>
      <c r="G147" s="18">
        <v>30</v>
      </c>
      <c r="H147" s="22" t="s">
        <v>8</v>
      </c>
      <c r="I147" s="22" t="s">
        <v>8</v>
      </c>
      <c r="J147" s="22">
        <v>8.7994524298425727</v>
      </c>
      <c r="K147" s="22" t="s">
        <v>8</v>
      </c>
      <c r="L147" s="22" t="s">
        <v>8</v>
      </c>
      <c r="M147" s="22">
        <v>8.7994524298425727</v>
      </c>
      <c r="N147" s="22" t="s">
        <v>8</v>
      </c>
      <c r="O147" s="22" t="s">
        <v>8</v>
      </c>
      <c r="P147" s="22">
        <v>8.8514715947980829</v>
      </c>
      <c r="Q147" s="22" t="s">
        <v>8</v>
      </c>
      <c r="R147" s="22" t="s">
        <v>8</v>
      </c>
      <c r="S147" s="22" t="s">
        <v>8</v>
      </c>
      <c r="T147" s="20">
        <v>6</v>
      </c>
      <c r="U147" s="20">
        <v>18</v>
      </c>
      <c r="V147" s="20" t="s">
        <v>1</v>
      </c>
      <c r="W147" s="20">
        <v>5</v>
      </c>
      <c r="X147" s="20">
        <v>3</v>
      </c>
      <c r="Y147" s="5">
        <v>1</v>
      </c>
      <c r="Z147" s="20">
        <v>4</v>
      </c>
      <c r="AA147" s="23">
        <f t="shared" si="4"/>
        <v>1</v>
      </c>
      <c r="AB147" s="15">
        <v>1</v>
      </c>
      <c r="AC147" s="15">
        <v>1</v>
      </c>
      <c r="AD147" s="15">
        <v>0.66700000000000004</v>
      </c>
      <c r="AE147" s="15">
        <v>0.91700000000000004</v>
      </c>
      <c r="AF147" s="20">
        <v>22</v>
      </c>
      <c r="AG147" s="20">
        <v>5.33</v>
      </c>
      <c r="AH147" s="24">
        <v>24</v>
      </c>
      <c r="AI147" s="23">
        <f t="shared" si="5"/>
        <v>1</v>
      </c>
      <c r="AJ147" s="15">
        <v>9.75</v>
      </c>
      <c r="AK147" s="15">
        <v>10.75</v>
      </c>
      <c r="AL147" s="25">
        <v>20.5</v>
      </c>
      <c r="AM147" s="23" cm="1">
        <f t="array" ref="AM147">IF(OR(AN147:AZ147=""),"BLANK",IF(AND(AN147:AZ147&lt;9999999),1,IF(AND(AN147:AZ147="NA"),3,2)))</f>
        <v>1</v>
      </c>
      <c r="AN147" s="20">
        <v>9</v>
      </c>
      <c r="AO147" s="20">
        <v>2</v>
      </c>
      <c r="AP147" s="15">
        <v>3</v>
      </c>
      <c r="AQ147" s="15">
        <v>5.25</v>
      </c>
      <c r="AR147" s="15">
        <v>7.25</v>
      </c>
      <c r="AS147" s="26">
        <v>1415.5</v>
      </c>
      <c r="AT147" s="26">
        <v>3370.5</v>
      </c>
      <c r="AU147" s="26">
        <v>5054.25</v>
      </c>
      <c r="AV147" s="26">
        <v>7329</v>
      </c>
      <c r="AW147" s="26">
        <v>0</v>
      </c>
      <c r="AX147" s="26">
        <v>0</v>
      </c>
      <c r="AY147" s="26">
        <v>63.597222222200003</v>
      </c>
      <c r="AZ147" s="26">
        <v>437.30059523810002</v>
      </c>
      <c r="BA147" s="23">
        <v>3</v>
      </c>
      <c r="BB147" s="24" t="s">
        <v>8</v>
      </c>
    </row>
    <row r="148" spans="1:54" x14ac:dyDescent="0.2">
      <c r="A148" s="21">
        <v>1993</v>
      </c>
      <c r="B148" s="20" t="s">
        <v>63</v>
      </c>
      <c r="C148" s="18" t="s">
        <v>54</v>
      </c>
      <c r="D148" s="18">
        <v>5</v>
      </c>
      <c r="E148" s="18">
        <v>0</v>
      </c>
      <c r="F148" s="51" t="s">
        <v>9</v>
      </c>
      <c r="G148" s="18">
        <v>30</v>
      </c>
      <c r="H148" s="22">
        <v>3.5208761122518824</v>
      </c>
      <c r="I148" s="22">
        <v>4.7008898015058183</v>
      </c>
      <c r="J148" s="22">
        <v>8.2217659137577002</v>
      </c>
      <c r="K148" s="22">
        <v>3.5208761122518824</v>
      </c>
      <c r="L148" s="22">
        <v>4.7008898015058183</v>
      </c>
      <c r="M148" s="22">
        <v>8.2217659137577002</v>
      </c>
      <c r="N148" s="22">
        <v>3.6550308008213555</v>
      </c>
      <c r="O148" s="22">
        <v>4.5475701574264207</v>
      </c>
      <c r="P148" s="22">
        <v>8.2026009582477748</v>
      </c>
      <c r="Q148" s="22">
        <v>3.5236139630390144</v>
      </c>
      <c r="R148" s="22">
        <v>5.420944558521561</v>
      </c>
      <c r="S148" s="22">
        <v>8.944558521560575</v>
      </c>
      <c r="T148" s="20" t="s">
        <v>8</v>
      </c>
      <c r="U148" s="20" t="s">
        <v>8</v>
      </c>
      <c r="V148" s="20" t="s">
        <v>1</v>
      </c>
      <c r="W148" s="20">
        <v>5</v>
      </c>
      <c r="X148" s="20">
        <v>3</v>
      </c>
      <c r="Y148" s="5">
        <v>1</v>
      </c>
      <c r="Z148" s="20">
        <v>4</v>
      </c>
      <c r="AA148" s="23">
        <f t="shared" si="4"/>
        <v>1</v>
      </c>
      <c r="AB148" s="15">
        <v>0.66700000000000004</v>
      </c>
      <c r="AC148" s="15">
        <v>1</v>
      </c>
      <c r="AD148" s="15">
        <v>0.66700000000000004</v>
      </c>
      <c r="AE148" s="15">
        <v>0.83299999999999996</v>
      </c>
      <c r="AF148" s="20">
        <v>20</v>
      </c>
      <c r="AG148" s="20">
        <v>6.77</v>
      </c>
      <c r="AH148" s="24">
        <v>24</v>
      </c>
      <c r="AI148" s="23">
        <f t="shared" si="5"/>
        <v>1</v>
      </c>
      <c r="AJ148" s="15">
        <v>9.75</v>
      </c>
      <c r="AK148" s="15">
        <v>13.75</v>
      </c>
      <c r="AL148" s="25">
        <v>23.5</v>
      </c>
      <c r="AM148" s="23" cm="1">
        <f t="array" ref="AM148">IF(OR(AN148:AZ148=""),"BLANK",IF(AND(AN148:AZ148&lt;9999999),1,IF(AND(AN148:AZ148="NA"),3,2)))</f>
        <v>1</v>
      </c>
      <c r="AN148" s="20">
        <v>9</v>
      </c>
      <c r="AO148" s="20">
        <v>2</v>
      </c>
      <c r="AP148" s="15">
        <v>3</v>
      </c>
      <c r="AQ148" s="15">
        <v>4.25</v>
      </c>
      <c r="AR148" s="15">
        <v>7</v>
      </c>
      <c r="AS148" s="26">
        <v>2899.5</v>
      </c>
      <c r="AT148" s="26">
        <v>5423</v>
      </c>
      <c r="AU148" s="26">
        <v>12127.5</v>
      </c>
      <c r="AV148" s="26">
        <v>14014</v>
      </c>
      <c r="AW148" s="26">
        <v>0</v>
      </c>
      <c r="AX148" s="26">
        <v>0</v>
      </c>
      <c r="AY148" s="26">
        <v>0</v>
      </c>
      <c r="AZ148" s="26">
        <v>319.94166666669997</v>
      </c>
      <c r="BA148" s="23">
        <v>3</v>
      </c>
      <c r="BB148" s="24" t="s">
        <v>8</v>
      </c>
    </row>
    <row r="149" spans="1:54" x14ac:dyDescent="0.2">
      <c r="A149" s="21">
        <v>2012</v>
      </c>
      <c r="B149" s="20" t="s">
        <v>87</v>
      </c>
      <c r="C149" s="18" t="s">
        <v>54</v>
      </c>
      <c r="D149" s="18">
        <v>5</v>
      </c>
      <c r="E149" s="18">
        <v>0</v>
      </c>
      <c r="F149" s="51" t="s">
        <v>9</v>
      </c>
      <c r="G149" s="18">
        <v>30</v>
      </c>
      <c r="H149" s="22">
        <v>3.6960985626283369</v>
      </c>
      <c r="I149" s="22">
        <v>4.9144421629021222</v>
      </c>
      <c r="J149" s="22">
        <v>8.6105407255304591</v>
      </c>
      <c r="K149" s="22" t="s">
        <v>8</v>
      </c>
      <c r="L149" s="22">
        <v>4.9144421629021222</v>
      </c>
      <c r="M149" s="22" t="s">
        <v>8</v>
      </c>
      <c r="N149" s="22">
        <v>4.1040383299110195</v>
      </c>
      <c r="O149" s="22">
        <v>4.2026009582477757</v>
      </c>
      <c r="P149" s="22">
        <v>8.3066392881587952</v>
      </c>
      <c r="Q149" s="22">
        <v>3.6605065023956196</v>
      </c>
      <c r="R149" s="22" t="s">
        <v>8</v>
      </c>
      <c r="S149" s="22" t="s">
        <v>8</v>
      </c>
      <c r="T149" s="20" t="s">
        <v>8</v>
      </c>
      <c r="U149" s="20" t="s">
        <v>8</v>
      </c>
      <c r="V149" s="20" t="s">
        <v>1</v>
      </c>
      <c r="W149" s="20">
        <v>5</v>
      </c>
      <c r="X149" s="20">
        <v>3</v>
      </c>
      <c r="Y149" s="5">
        <v>1</v>
      </c>
      <c r="Z149" s="20">
        <v>4</v>
      </c>
      <c r="AA149" s="23">
        <f t="shared" si="4"/>
        <v>1</v>
      </c>
      <c r="AB149" s="15">
        <v>1</v>
      </c>
      <c r="AC149" s="15">
        <v>1</v>
      </c>
      <c r="AD149" s="15">
        <v>0.66700000000000004</v>
      </c>
      <c r="AE149" s="15">
        <v>0.79200000000000004</v>
      </c>
      <c r="AF149" s="20">
        <v>19</v>
      </c>
      <c r="AG149" s="20">
        <v>5.2</v>
      </c>
      <c r="AH149" s="24">
        <v>24</v>
      </c>
      <c r="AI149" s="23">
        <f t="shared" si="5"/>
        <v>1</v>
      </c>
      <c r="AJ149" s="15">
        <v>4</v>
      </c>
      <c r="AK149" s="15">
        <v>6.25</v>
      </c>
      <c r="AL149" s="25">
        <v>10.25</v>
      </c>
      <c r="AM149" s="23" cm="1">
        <f t="array" ref="AM149">IF(OR(AN149:AZ149=""),"BLANK",IF(AND(AN149:AZ149&lt;9999999),1,IF(AND(AN149:AZ149="NA"),3,2)))</f>
        <v>1</v>
      </c>
      <c r="AN149" s="20">
        <v>6</v>
      </c>
      <c r="AO149" s="20">
        <v>2</v>
      </c>
      <c r="AP149" s="15">
        <v>5.5</v>
      </c>
      <c r="AQ149" s="15">
        <v>6</v>
      </c>
      <c r="AR149" s="15">
        <v>6.75</v>
      </c>
      <c r="AS149" s="26">
        <v>1126</v>
      </c>
      <c r="AT149" s="26">
        <v>3764.5</v>
      </c>
      <c r="AU149" s="26">
        <v>2584</v>
      </c>
      <c r="AV149" s="26">
        <v>3215.25</v>
      </c>
      <c r="AW149" s="26">
        <v>3267.5</v>
      </c>
      <c r="AX149" s="26">
        <v>578.125</v>
      </c>
      <c r="AY149" s="26">
        <v>365</v>
      </c>
      <c r="AZ149" s="26">
        <v>0</v>
      </c>
      <c r="BA149" s="23">
        <v>3</v>
      </c>
      <c r="BB149" s="24" t="s">
        <v>8</v>
      </c>
    </row>
    <row r="150" spans="1:54" x14ac:dyDescent="0.2">
      <c r="A150" s="21">
        <v>2035</v>
      </c>
      <c r="B150" s="20" t="s">
        <v>83</v>
      </c>
      <c r="C150" s="18" t="s">
        <v>55</v>
      </c>
      <c r="D150" s="18">
        <v>5</v>
      </c>
      <c r="E150" s="18">
        <v>0</v>
      </c>
      <c r="F150" s="51" t="s">
        <v>9</v>
      </c>
      <c r="G150" s="18">
        <v>26</v>
      </c>
      <c r="H150" s="22">
        <v>3.4934976043805612</v>
      </c>
      <c r="I150" s="22">
        <v>4.6187542778918553</v>
      </c>
      <c r="J150" s="22">
        <v>8.1122518822724157</v>
      </c>
      <c r="K150" s="22">
        <v>3.4934976043805612</v>
      </c>
      <c r="L150" s="22">
        <v>4.6187542778918553</v>
      </c>
      <c r="M150" s="22">
        <v>8.1122518822724157</v>
      </c>
      <c r="N150" s="22">
        <v>3.4880219028062971</v>
      </c>
      <c r="O150" s="22" t="s">
        <v>8</v>
      </c>
      <c r="P150" s="22" t="s">
        <v>8</v>
      </c>
      <c r="Q150" s="22" t="s">
        <v>8</v>
      </c>
      <c r="R150" s="22" t="s">
        <v>8</v>
      </c>
      <c r="S150" s="22" t="s">
        <v>8</v>
      </c>
      <c r="T150" s="20">
        <v>6</v>
      </c>
      <c r="U150" s="20">
        <v>18</v>
      </c>
      <c r="V150" s="20" t="s">
        <v>1</v>
      </c>
      <c r="W150" s="20">
        <v>5</v>
      </c>
      <c r="X150" s="20">
        <v>3</v>
      </c>
      <c r="Y150" s="5">
        <v>1</v>
      </c>
      <c r="Z150" s="20">
        <v>4</v>
      </c>
      <c r="AA150" s="23">
        <f t="shared" si="4"/>
        <v>2</v>
      </c>
      <c r="AB150" s="15">
        <v>1</v>
      </c>
      <c r="AC150" s="15">
        <v>0.66700000000000004</v>
      </c>
      <c r="AD150" s="15">
        <v>0.5</v>
      </c>
      <c r="AE150" s="15">
        <v>0.75</v>
      </c>
      <c r="AF150" s="20">
        <v>15</v>
      </c>
      <c r="AG150" s="20" t="s">
        <v>8</v>
      </c>
      <c r="AH150" s="24">
        <v>20</v>
      </c>
      <c r="AI150" s="23">
        <f t="shared" si="5"/>
        <v>1</v>
      </c>
      <c r="AJ150" s="15">
        <v>1.25</v>
      </c>
      <c r="AK150" s="15">
        <v>5.75</v>
      </c>
      <c r="AL150" s="25">
        <v>7</v>
      </c>
      <c r="AM150" s="23" cm="1">
        <f t="array" ref="AM150">IF(OR(AN150:AZ150=""),"BLANK",IF(AND(AN150:AZ150&lt;9999999),1,IF(AND(AN150:AZ150="NA"),3,2)))</f>
        <v>1</v>
      </c>
      <c r="AN150" s="20">
        <v>5</v>
      </c>
      <c r="AO150" s="20">
        <v>2</v>
      </c>
      <c r="AP150" s="15">
        <v>4</v>
      </c>
      <c r="AQ150" s="15">
        <v>5.5</v>
      </c>
      <c r="AR150" s="15">
        <v>7.75</v>
      </c>
      <c r="AS150" s="26">
        <v>14070</v>
      </c>
      <c r="AT150" s="26">
        <v>9322</v>
      </c>
      <c r="AU150" s="26">
        <v>7003.25</v>
      </c>
      <c r="AV150" s="26">
        <v>5594.5</v>
      </c>
      <c r="AW150" s="26">
        <v>0</v>
      </c>
      <c r="AX150" s="26">
        <v>1662.6333333333</v>
      </c>
      <c r="AY150" s="26">
        <v>6490.3</v>
      </c>
      <c r="AZ150" s="26">
        <v>3259.5729166667002</v>
      </c>
      <c r="BA150" s="23">
        <v>3</v>
      </c>
      <c r="BB150" s="24" t="s">
        <v>8</v>
      </c>
    </row>
    <row r="151" spans="1:54" x14ac:dyDescent="0.2">
      <c r="A151" s="21">
        <v>2043</v>
      </c>
      <c r="B151" s="20" t="s">
        <v>85</v>
      </c>
      <c r="C151" s="18" t="s">
        <v>54</v>
      </c>
      <c r="D151" s="18">
        <v>5</v>
      </c>
      <c r="E151" s="18">
        <v>0</v>
      </c>
      <c r="F151" s="51" t="s">
        <v>9</v>
      </c>
      <c r="G151" s="18">
        <v>27</v>
      </c>
      <c r="H151" s="22">
        <v>3.7262149212867897</v>
      </c>
      <c r="I151" s="22">
        <v>4.9774127310061598</v>
      </c>
      <c r="J151" s="22">
        <v>8.7036276522929494</v>
      </c>
      <c r="K151" s="22">
        <v>3.7262149212867897</v>
      </c>
      <c r="L151" s="22">
        <v>5.0130047912388775</v>
      </c>
      <c r="M151" s="22">
        <v>8.7392197125256672</v>
      </c>
      <c r="N151" s="22">
        <v>3.7289527720739222</v>
      </c>
      <c r="O151" s="22">
        <v>4.944558521560575</v>
      </c>
      <c r="P151" s="22">
        <v>8.6735112936344976</v>
      </c>
      <c r="Q151" s="22" t="s">
        <v>8</v>
      </c>
      <c r="R151" s="22" t="s">
        <v>8</v>
      </c>
      <c r="S151" s="22" t="s">
        <v>8</v>
      </c>
      <c r="T151" s="20">
        <v>2</v>
      </c>
      <c r="U151" s="20">
        <v>12</v>
      </c>
      <c r="V151" s="20" t="s">
        <v>1</v>
      </c>
      <c r="W151" s="20">
        <v>5</v>
      </c>
      <c r="X151" s="20">
        <v>3</v>
      </c>
      <c r="Y151" s="5">
        <v>1</v>
      </c>
      <c r="Z151" s="20">
        <v>4</v>
      </c>
      <c r="AA151" s="23">
        <f t="shared" si="4"/>
        <v>2</v>
      </c>
      <c r="AB151" s="15">
        <v>1</v>
      </c>
      <c r="AC151" s="15">
        <v>1</v>
      </c>
      <c r="AD151" s="15">
        <v>0.5</v>
      </c>
      <c r="AE151" s="15">
        <v>0.86399999999999999</v>
      </c>
      <c r="AF151" s="20">
        <v>19</v>
      </c>
      <c r="AG151" s="20" t="s">
        <v>8</v>
      </c>
      <c r="AH151" s="24">
        <v>22</v>
      </c>
      <c r="AI151" s="23">
        <f t="shared" si="5"/>
        <v>1</v>
      </c>
      <c r="AJ151" s="15">
        <v>8.5</v>
      </c>
      <c r="AK151" s="15">
        <v>9.75</v>
      </c>
      <c r="AL151" s="25">
        <v>18.25</v>
      </c>
      <c r="AM151" s="23" cm="1">
        <f t="array" ref="AM151">IF(OR(AN151:AZ151=""),"BLANK",IF(AND(AN151:AZ151&lt;9999999),1,IF(AND(AN151:AZ151="NA"),3,2)))</f>
        <v>1</v>
      </c>
      <c r="AN151" s="20">
        <v>8</v>
      </c>
      <c r="AO151" s="20">
        <v>2</v>
      </c>
      <c r="AP151" s="15">
        <v>3</v>
      </c>
      <c r="AQ151" s="15">
        <v>6.25</v>
      </c>
      <c r="AR151" s="15">
        <v>7</v>
      </c>
      <c r="AS151" s="26">
        <v>332.5</v>
      </c>
      <c r="AT151" s="26">
        <v>3985.5</v>
      </c>
      <c r="AU151" s="26">
        <v>3530.5</v>
      </c>
      <c r="AV151" s="26">
        <v>5379</v>
      </c>
      <c r="AW151" s="26">
        <v>76</v>
      </c>
      <c r="AX151" s="26">
        <v>0</v>
      </c>
      <c r="AY151" s="26">
        <v>3291.1076388889001</v>
      </c>
      <c r="AZ151" s="26">
        <v>2238.4083333333001</v>
      </c>
      <c r="BA151" s="23">
        <v>3</v>
      </c>
      <c r="BB151" s="24" t="s">
        <v>8</v>
      </c>
    </row>
    <row r="152" spans="1:54" x14ac:dyDescent="0.2">
      <c r="A152" s="21">
        <v>2068</v>
      </c>
      <c r="B152" s="20" t="s">
        <v>85</v>
      </c>
      <c r="C152" s="18" t="s">
        <v>55</v>
      </c>
      <c r="D152" s="18">
        <v>5</v>
      </c>
      <c r="E152" s="18">
        <v>0</v>
      </c>
      <c r="F152" s="51" t="s">
        <v>9</v>
      </c>
      <c r="G152" s="18">
        <v>27</v>
      </c>
      <c r="H152" s="22">
        <v>4.2381930184804926</v>
      </c>
      <c r="I152" s="22">
        <v>4.213552361396304</v>
      </c>
      <c r="J152" s="22">
        <v>8.4517453798767974</v>
      </c>
      <c r="K152" s="22">
        <v>4.2546201232032859</v>
      </c>
      <c r="L152" s="22">
        <v>4.1971252566735116</v>
      </c>
      <c r="M152" s="22">
        <v>8.4517453798767974</v>
      </c>
      <c r="N152" s="22">
        <v>4.1232032854209448</v>
      </c>
      <c r="O152" s="22">
        <v>3.8877481177275839</v>
      </c>
      <c r="P152" s="22">
        <v>8.0109514031485283</v>
      </c>
      <c r="Q152" s="22" t="s">
        <v>8</v>
      </c>
      <c r="R152" s="22" t="s">
        <v>8</v>
      </c>
      <c r="S152" s="22" t="s">
        <v>8</v>
      </c>
      <c r="T152" s="20">
        <v>4</v>
      </c>
      <c r="U152" s="20">
        <v>16</v>
      </c>
      <c r="V152" s="20" t="s">
        <v>1</v>
      </c>
      <c r="W152" s="20">
        <v>5</v>
      </c>
      <c r="X152" s="20">
        <v>3</v>
      </c>
      <c r="Y152" s="5">
        <v>1</v>
      </c>
      <c r="Z152" s="20">
        <v>4</v>
      </c>
      <c r="AA152" s="23">
        <f t="shared" si="4"/>
        <v>1</v>
      </c>
      <c r="AB152" s="15">
        <v>0.83299999999999996</v>
      </c>
      <c r="AC152" s="15">
        <v>0.83299999999999996</v>
      </c>
      <c r="AD152" s="15">
        <v>0</v>
      </c>
      <c r="AE152" s="15">
        <v>0.5</v>
      </c>
      <c r="AF152" s="20">
        <v>12</v>
      </c>
      <c r="AG152" s="20">
        <v>4.28</v>
      </c>
      <c r="AH152" s="24">
        <v>24</v>
      </c>
      <c r="AI152" s="23">
        <f t="shared" si="5"/>
        <v>1</v>
      </c>
      <c r="AJ152" s="15">
        <v>4</v>
      </c>
      <c r="AK152" s="15">
        <v>2</v>
      </c>
      <c r="AL152" s="25">
        <v>6</v>
      </c>
      <c r="AM152" s="23" cm="1">
        <f t="array" ref="AM152">IF(OR(AN152:AZ152=""),"BLANK",IF(AND(AN152:AZ152&lt;9999999),1,IF(AND(AN152:AZ152="NA"),3,2)))</f>
        <v>1</v>
      </c>
      <c r="AN152" s="20">
        <v>7</v>
      </c>
      <c r="AO152" s="20">
        <v>2</v>
      </c>
      <c r="AP152" s="15">
        <v>3</v>
      </c>
      <c r="AQ152" s="15">
        <v>5.5</v>
      </c>
      <c r="AR152" s="15">
        <v>8.25</v>
      </c>
      <c r="AS152" s="26">
        <v>1265</v>
      </c>
      <c r="AT152" s="26">
        <v>27777</v>
      </c>
      <c r="AU152" s="26">
        <v>16324.75</v>
      </c>
      <c r="AV152" s="26">
        <v>9249.25</v>
      </c>
      <c r="AW152" s="26">
        <v>0</v>
      </c>
      <c r="AX152" s="26">
        <v>1904</v>
      </c>
      <c r="AY152" s="26">
        <v>1191.7402777778</v>
      </c>
      <c r="AZ152" s="26">
        <v>1578.1125</v>
      </c>
      <c r="BA152" s="23">
        <v>3</v>
      </c>
      <c r="BB152" s="24" t="s">
        <v>8</v>
      </c>
    </row>
    <row r="153" spans="1:54" x14ac:dyDescent="0.2">
      <c r="A153" s="21">
        <v>2087</v>
      </c>
      <c r="B153" s="20" t="s">
        <v>85</v>
      </c>
      <c r="C153" s="18" t="s">
        <v>54</v>
      </c>
      <c r="D153" s="18">
        <v>5</v>
      </c>
      <c r="E153" s="18">
        <v>0</v>
      </c>
      <c r="F153" s="51" t="s">
        <v>9</v>
      </c>
      <c r="G153" s="18">
        <v>26</v>
      </c>
      <c r="H153" s="22">
        <v>4</v>
      </c>
      <c r="I153" s="22">
        <v>4.6762491444216288</v>
      </c>
      <c r="J153" s="22">
        <v>8.6762491444216288</v>
      </c>
      <c r="K153" s="22">
        <v>4</v>
      </c>
      <c r="L153" s="22">
        <v>4.7063655030800824</v>
      </c>
      <c r="M153" s="22">
        <v>8.7063655030800824</v>
      </c>
      <c r="N153" s="22" t="s">
        <v>8</v>
      </c>
      <c r="O153" s="22" t="s">
        <v>8</v>
      </c>
      <c r="P153" s="22" t="s">
        <v>8</v>
      </c>
      <c r="Q153" s="22" t="s">
        <v>8</v>
      </c>
      <c r="R153" s="22" t="s">
        <v>8</v>
      </c>
      <c r="S153" s="22" t="s">
        <v>8</v>
      </c>
      <c r="T153" s="20" t="s">
        <v>8</v>
      </c>
      <c r="U153" s="20" t="s">
        <v>8</v>
      </c>
      <c r="V153" s="20" t="s">
        <v>1</v>
      </c>
      <c r="W153" s="20">
        <v>5</v>
      </c>
      <c r="X153" s="20">
        <v>3</v>
      </c>
      <c r="Y153" s="5">
        <v>1</v>
      </c>
      <c r="Z153" s="20">
        <v>4</v>
      </c>
      <c r="AA153" s="23">
        <f t="shared" si="4"/>
        <v>1</v>
      </c>
      <c r="AB153" s="15">
        <v>0.83299999999999996</v>
      </c>
      <c r="AC153" s="15">
        <v>0.83299999999999996</v>
      </c>
      <c r="AD153" s="15">
        <v>0.5</v>
      </c>
      <c r="AE153" s="15">
        <v>0.70799999999999996</v>
      </c>
      <c r="AF153" s="20">
        <v>17</v>
      </c>
      <c r="AG153" s="20">
        <v>2.92</v>
      </c>
      <c r="AH153" s="24">
        <v>24</v>
      </c>
      <c r="AI153" s="23">
        <f t="shared" si="5"/>
        <v>1</v>
      </c>
      <c r="AJ153" s="15">
        <v>3</v>
      </c>
      <c r="AK153" s="15">
        <v>2.25</v>
      </c>
      <c r="AL153" s="25">
        <v>5.25</v>
      </c>
      <c r="AM153" s="23" cm="1">
        <f t="array" ref="AM153">IF(OR(AN153:AZ153=""),"BLANK",IF(AND(AN153:AZ153&lt;9999999),1,IF(AND(AN153:AZ153="NA"),3,2)))</f>
        <v>1</v>
      </c>
      <c r="AN153" s="20">
        <v>4</v>
      </c>
      <c r="AO153" s="20">
        <v>2</v>
      </c>
      <c r="AP153" s="15">
        <v>4.5</v>
      </c>
      <c r="AQ153" s="15">
        <v>9</v>
      </c>
      <c r="AR153" s="15">
        <v>7.75</v>
      </c>
      <c r="AS153" s="26">
        <v>484.5</v>
      </c>
      <c r="AT153" s="26">
        <v>2047</v>
      </c>
      <c r="AU153" s="26">
        <v>3153</v>
      </c>
      <c r="AV153" s="26">
        <v>1967.5</v>
      </c>
      <c r="AW153" s="26">
        <v>0</v>
      </c>
      <c r="AX153" s="26">
        <v>2812.25</v>
      </c>
      <c r="AY153" s="26">
        <v>6289.5277777778001</v>
      </c>
      <c r="AZ153" s="26">
        <v>1484.5242424242001</v>
      </c>
      <c r="BA153" s="23">
        <v>3</v>
      </c>
      <c r="BB153" s="24" t="s">
        <v>8</v>
      </c>
    </row>
    <row r="154" spans="1:54" x14ac:dyDescent="0.2">
      <c r="A154" s="21">
        <v>2093</v>
      </c>
      <c r="B154" s="20" t="s">
        <v>73</v>
      </c>
      <c r="C154" s="18" t="s">
        <v>55</v>
      </c>
      <c r="D154" s="18">
        <v>1</v>
      </c>
      <c r="E154" s="18">
        <v>0</v>
      </c>
      <c r="F154" s="51" t="s">
        <v>9</v>
      </c>
      <c r="G154" s="18">
        <v>30</v>
      </c>
      <c r="H154" s="22">
        <v>4.3805612594113619</v>
      </c>
      <c r="I154" s="22">
        <v>4.470910335386721</v>
      </c>
      <c r="J154" s="22">
        <v>8.8514715947980829</v>
      </c>
      <c r="K154" s="22">
        <v>4.3805612594113619</v>
      </c>
      <c r="L154" s="22">
        <v>4.470910335386721</v>
      </c>
      <c r="M154" s="22">
        <v>8.8514715947980829</v>
      </c>
      <c r="N154" s="22">
        <v>4.26009582477755</v>
      </c>
      <c r="O154" s="22">
        <v>4.470910335386721</v>
      </c>
      <c r="P154" s="22">
        <v>8.7310061601642719</v>
      </c>
      <c r="Q154" s="22" t="s">
        <v>8</v>
      </c>
      <c r="R154" s="22" t="s">
        <v>8</v>
      </c>
      <c r="S154" s="22" t="s">
        <v>8</v>
      </c>
      <c r="T154" s="20">
        <v>6</v>
      </c>
      <c r="U154" s="20">
        <v>18</v>
      </c>
      <c r="V154" s="20" t="s">
        <v>1</v>
      </c>
      <c r="W154" s="20">
        <v>5</v>
      </c>
      <c r="X154" s="20">
        <v>3</v>
      </c>
      <c r="Y154" s="5">
        <v>1</v>
      </c>
      <c r="Z154" s="20">
        <v>4</v>
      </c>
      <c r="AA154" s="23">
        <f t="shared" si="4"/>
        <v>1</v>
      </c>
      <c r="AB154" s="15">
        <v>1</v>
      </c>
      <c r="AC154" s="15">
        <v>1</v>
      </c>
      <c r="AD154" s="15">
        <v>0.83299999999999996</v>
      </c>
      <c r="AE154" s="15">
        <v>0.91700000000000004</v>
      </c>
      <c r="AF154" s="20">
        <v>22</v>
      </c>
      <c r="AG154" s="20">
        <v>10.58</v>
      </c>
      <c r="AH154" s="24">
        <v>24</v>
      </c>
      <c r="AI154" s="23">
        <f t="shared" si="5"/>
        <v>1</v>
      </c>
      <c r="AJ154" s="15">
        <v>9</v>
      </c>
      <c r="AK154" s="15">
        <v>9</v>
      </c>
      <c r="AL154" s="25">
        <v>18</v>
      </c>
      <c r="AM154" s="23" cm="1">
        <f t="array" ref="AM154">IF(OR(AN154:AZ154=""),"BLANK",IF(AND(AN154:AZ154&lt;9999999),1,IF(AND(AN154:AZ154="NA"),3,2)))</f>
        <v>1</v>
      </c>
      <c r="AN154" s="20">
        <v>10</v>
      </c>
      <c r="AO154" s="20">
        <v>3</v>
      </c>
      <c r="AP154" s="15">
        <v>3</v>
      </c>
      <c r="AQ154" s="15">
        <v>4</v>
      </c>
      <c r="AR154" s="15">
        <v>5.5</v>
      </c>
      <c r="AS154" s="26">
        <v>271.5</v>
      </c>
      <c r="AT154" s="26">
        <v>2105.5</v>
      </c>
      <c r="AU154" s="26">
        <v>7993</v>
      </c>
      <c r="AV154" s="26">
        <v>8656</v>
      </c>
      <c r="AW154" s="26">
        <v>95</v>
      </c>
      <c r="AX154" s="26">
        <v>0</v>
      </c>
      <c r="AY154" s="26">
        <v>0</v>
      </c>
      <c r="AZ154" s="26">
        <v>0</v>
      </c>
      <c r="BA154" s="23">
        <v>3</v>
      </c>
      <c r="BB154" s="24" t="s">
        <v>8</v>
      </c>
    </row>
    <row r="155" spans="1:54" x14ac:dyDescent="0.2">
      <c r="A155" s="21">
        <v>2095</v>
      </c>
      <c r="B155" s="20" t="s">
        <v>70</v>
      </c>
      <c r="C155" s="18" t="s">
        <v>55</v>
      </c>
      <c r="D155" s="18">
        <v>5</v>
      </c>
      <c r="E155" s="18">
        <v>0</v>
      </c>
      <c r="F155" s="51" t="s">
        <v>9</v>
      </c>
      <c r="G155" s="18">
        <v>30</v>
      </c>
      <c r="H155" s="22">
        <v>4.0054757015742641</v>
      </c>
      <c r="I155" s="22">
        <v>4.3778234086242298</v>
      </c>
      <c r="J155" s="22">
        <v>8.3832991101984948</v>
      </c>
      <c r="K155" s="22">
        <v>4.0054757015742641</v>
      </c>
      <c r="L155" s="22">
        <v>4.3778234086242298</v>
      </c>
      <c r="M155" s="22">
        <v>8.3832991101984948</v>
      </c>
      <c r="N155" s="22">
        <v>4.0191649555099245</v>
      </c>
      <c r="O155" s="22">
        <v>4.0246406570841886</v>
      </c>
      <c r="P155" s="22">
        <v>8.0438056125941131</v>
      </c>
      <c r="Q155" s="22" t="s">
        <v>8</v>
      </c>
      <c r="R155" s="22" t="s">
        <v>8</v>
      </c>
      <c r="S155" s="22" t="s">
        <v>8</v>
      </c>
      <c r="T155" s="20">
        <v>4</v>
      </c>
      <c r="U155" s="20">
        <v>16</v>
      </c>
      <c r="V155" s="20" t="s">
        <v>1</v>
      </c>
      <c r="W155" s="20">
        <v>5</v>
      </c>
      <c r="X155" s="20">
        <v>3</v>
      </c>
      <c r="Y155" s="5">
        <v>1</v>
      </c>
      <c r="Z155" s="20">
        <v>4</v>
      </c>
      <c r="AA155" s="23">
        <f t="shared" si="4"/>
        <v>1</v>
      </c>
      <c r="AB155" s="15">
        <v>1</v>
      </c>
      <c r="AC155" s="15">
        <v>1</v>
      </c>
      <c r="AD155" s="15">
        <v>1</v>
      </c>
      <c r="AE155" s="15">
        <v>1</v>
      </c>
      <c r="AF155" s="20">
        <v>24</v>
      </c>
      <c r="AG155" s="20">
        <v>2.8</v>
      </c>
      <c r="AH155" s="24">
        <v>24</v>
      </c>
      <c r="AI155" s="23">
        <f t="shared" si="5"/>
        <v>1</v>
      </c>
      <c r="AJ155" s="15">
        <v>9</v>
      </c>
      <c r="AK155" s="15">
        <v>8.75</v>
      </c>
      <c r="AL155" s="25">
        <v>17.75</v>
      </c>
      <c r="AM155" s="23" cm="1">
        <f t="array" ref="AM155">IF(OR(AN155:AZ155=""),"BLANK",IF(AND(AN155:AZ155&lt;9999999),1,IF(AND(AN155:AZ155="NA"),3,2)))</f>
        <v>1</v>
      </c>
      <c r="AN155" s="20">
        <v>8</v>
      </c>
      <c r="AO155" s="20">
        <v>2</v>
      </c>
      <c r="AP155" s="15">
        <v>3</v>
      </c>
      <c r="AQ155" s="15">
        <v>4.25</v>
      </c>
      <c r="AR155" s="15">
        <v>6.75</v>
      </c>
      <c r="AS155" s="26">
        <v>3848.5</v>
      </c>
      <c r="AT155" s="26">
        <v>5152</v>
      </c>
      <c r="AU155" s="26">
        <v>7986.75</v>
      </c>
      <c r="AV155" s="26">
        <v>9532.5</v>
      </c>
      <c r="AW155" s="26">
        <v>148.25</v>
      </c>
      <c r="AX155" s="26">
        <v>192</v>
      </c>
      <c r="AY155" s="26">
        <v>447.05</v>
      </c>
      <c r="AZ155" s="26">
        <v>746.77619047619999</v>
      </c>
      <c r="BA155" s="23">
        <v>3</v>
      </c>
      <c r="BB155" s="24" t="s">
        <v>8</v>
      </c>
    </row>
    <row r="156" spans="1:54" x14ac:dyDescent="0.2">
      <c r="A156" s="21">
        <v>2117</v>
      </c>
      <c r="B156" s="20" t="s">
        <v>81</v>
      </c>
      <c r="C156" s="18" t="s">
        <v>54</v>
      </c>
      <c r="D156" s="18">
        <v>5</v>
      </c>
      <c r="E156" s="18">
        <v>0</v>
      </c>
      <c r="F156" s="51" t="s">
        <v>9</v>
      </c>
      <c r="G156" s="18">
        <v>28</v>
      </c>
      <c r="H156" s="22">
        <v>3.6030116358658453</v>
      </c>
      <c r="I156" s="22">
        <v>4.7145790554414786</v>
      </c>
      <c r="J156" s="22">
        <v>8.3175906913073234</v>
      </c>
      <c r="K156" s="22">
        <v>3.6030116358658453</v>
      </c>
      <c r="L156" s="22">
        <v>4.7173169062286107</v>
      </c>
      <c r="M156" s="22">
        <v>8.3203285420944564</v>
      </c>
      <c r="N156" s="22">
        <v>3.5838466803559208</v>
      </c>
      <c r="O156" s="22">
        <v>4.6187542778918553</v>
      </c>
      <c r="P156" s="22">
        <v>8.2026009582477748</v>
      </c>
      <c r="Q156" s="22">
        <v>3.5838466803559208</v>
      </c>
      <c r="R156" s="22">
        <v>5.4537987679671458</v>
      </c>
      <c r="S156" s="22">
        <v>9.037645448323067</v>
      </c>
      <c r="T156" s="20">
        <v>2</v>
      </c>
      <c r="U156" s="20">
        <v>12</v>
      </c>
      <c r="V156" s="20" t="s">
        <v>1</v>
      </c>
      <c r="W156" s="20">
        <v>5</v>
      </c>
      <c r="X156" s="20">
        <v>3</v>
      </c>
      <c r="Y156" s="5">
        <v>1</v>
      </c>
      <c r="Z156" s="20">
        <v>4</v>
      </c>
      <c r="AA156" s="23">
        <f t="shared" si="4"/>
        <v>2</v>
      </c>
      <c r="AB156" s="15">
        <v>1</v>
      </c>
      <c r="AC156" s="15">
        <v>1</v>
      </c>
      <c r="AD156" s="15">
        <v>0.33300000000000002</v>
      </c>
      <c r="AE156" s="15">
        <v>0.78300000000000003</v>
      </c>
      <c r="AF156" s="20">
        <v>18</v>
      </c>
      <c r="AG156" s="20" t="s">
        <v>8</v>
      </c>
      <c r="AH156" s="24">
        <v>23</v>
      </c>
      <c r="AI156" s="23">
        <f t="shared" si="5"/>
        <v>1</v>
      </c>
      <c r="AJ156" s="15">
        <v>7.75</v>
      </c>
      <c r="AK156" s="15">
        <v>5.5</v>
      </c>
      <c r="AL156" s="25">
        <v>13.25</v>
      </c>
      <c r="AM156" s="23" cm="1">
        <f t="array" ref="AM156">IF(OR(AN156:AZ156=""),"BLANK",IF(AND(AN156:AZ156&lt;9999999),1,IF(AND(AN156:AZ156="NA"),3,2)))</f>
        <v>1</v>
      </c>
      <c r="AN156" s="20">
        <v>5</v>
      </c>
      <c r="AO156" s="20">
        <v>2</v>
      </c>
      <c r="AP156" s="15">
        <v>3.5</v>
      </c>
      <c r="AQ156" s="15">
        <v>6.75</v>
      </c>
      <c r="AR156" s="15">
        <v>8.75</v>
      </c>
      <c r="AS156" s="26">
        <v>0</v>
      </c>
      <c r="AT156" s="26">
        <v>22409.5</v>
      </c>
      <c r="AU156" s="26">
        <v>6061.25</v>
      </c>
      <c r="AV156" s="26">
        <v>4807</v>
      </c>
      <c r="AW156" s="26">
        <v>0</v>
      </c>
      <c r="AX156" s="26">
        <v>264.7083333333</v>
      </c>
      <c r="AY156" s="26">
        <v>6090.4611111110999</v>
      </c>
      <c r="AZ156" s="26">
        <v>4116.3041666667004</v>
      </c>
      <c r="BA156" s="23">
        <v>3</v>
      </c>
      <c r="BB156" s="24" t="s">
        <v>8</v>
      </c>
    </row>
    <row r="157" spans="1:54" x14ac:dyDescent="0.2">
      <c r="A157" s="21">
        <v>2172</v>
      </c>
      <c r="B157" s="20" t="s">
        <v>66</v>
      </c>
      <c r="C157" s="18" t="s">
        <v>54</v>
      </c>
      <c r="D157" s="18">
        <v>5</v>
      </c>
      <c r="E157" s="18">
        <v>1</v>
      </c>
      <c r="F157" s="51" t="s">
        <v>9</v>
      </c>
      <c r="G157" s="18">
        <v>30</v>
      </c>
      <c r="H157" s="22">
        <v>3.9835728952772076</v>
      </c>
      <c r="I157" s="22">
        <v>4.2026009582477757</v>
      </c>
      <c r="J157" s="22">
        <v>8.1861738535249824</v>
      </c>
      <c r="K157" s="22">
        <v>3.9835728952772076</v>
      </c>
      <c r="L157" s="22">
        <v>4.2026009582477757</v>
      </c>
      <c r="M157" s="22">
        <v>8.1861738535249824</v>
      </c>
      <c r="N157" s="22">
        <v>4.046543463381246</v>
      </c>
      <c r="O157" s="22">
        <v>3.7946611909650922</v>
      </c>
      <c r="P157" s="22">
        <v>7.8412046543463383</v>
      </c>
      <c r="Q157" s="22" t="s">
        <v>8</v>
      </c>
      <c r="R157" s="22" t="s">
        <v>8</v>
      </c>
      <c r="S157" s="22" t="s">
        <v>8</v>
      </c>
      <c r="T157" s="20">
        <v>4</v>
      </c>
      <c r="U157" s="20">
        <v>16</v>
      </c>
      <c r="V157" s="20" t="s">
        <v>1</v>
      </c>
      <c r="W157" s="20">
        <v>5</v>
      </c>
      <c r="X157" s="20">
        <v>3</v>
      </c>
      <c r="Y157" s="5">
        <v>1</v>
      </c>
      <c r="Z157" s="20">
        <v>4</v>
      </c>
      <c r="AA157" s="23">
        <f t="shared" si="4"/>
        <v>1</v>
      </c>
      <c r="AB157" s="15">
        <v>1</v>
      </c>
      <c r="AC157" s="15">
        <v>1</v>
      </c>
      <c r="AD157" s="15">
        <v>1</v>
      </c>
      <c r="AE157" s="15">
        <v>1</v>
      </c>
      <c r="AF157" s="20">
        <v>24</v>
      </c>
      <c r="AG157" s="20">
        <v>9.5</v>
      </c>
      <c r="AH157" s="24">
        <v>24</v>
      </c>
      <c r="AI157" s="23">
        <f t="shared" si="5"/>
        <v>1</v>
      </c>
      <c r="AJ157" s="15">
        <v>13</v>
      </c>
      <c r="AK157" s="15">
        <v>10</v>
      </c>
      <c r="AL157" s="25">
        <v>23</v>
      </c>
      <c r="AM157" s="23" cm="1">
        <f t="array" ref="AM157">IF(OR(AN157:AZ157=""),"BLANK",IF(AND(AN157:AZ157&lt;9999999),1,IF(AND(AN157:AZ157="NA"),3,2)))</f>
        <v>1</v>
      </c>
      <c r="AN157" s="20">
        <v>9</v>
      </c>
      <c r="AO157" s="20">
        <v>2</v>
      </c>
      <c r="AP157" s="15">
        <v>3</v>
      </c>
      <c r="AQ157" s="15">
        <v>4.5</v>
      </c>
      <c r="AR157" s="15">
        <v>7</v>
      </c>
      <c r="AS157" s="26">
        <v>1203</v>
      </c>
      <c r="AT157" s="26">
        <v>2567.5</v>
      </c>
      <c r="AU157" s="26">
        <v>2618.5</v>
      </c>
      <c r="AV157" s="26">
        <v>9515.25</v>
      </c>
      <c r="AW157" s="26">
        <v>0</v>
      </c>
      <c r="AX157" s="26">
        <v>0</v>
      </c>
      <c r="AY157" s="26">
        <v>639.0625</v>
      </c>
      <c r="AZ157" s="26">
        <v>1395.15</v>
      </c>
      <c r="BA157" s="23">
        <v>3</v>
      </c>
      <c r="BB157" s="24" t="s">
        <v>8</v>
      </c>
    </row>
    <row r="158" spans="1:54" x14ac:dyDescent="0.2">
      <c r="A158" s="21">
        <v>2206</v>
      </c>
      <c r="B158" s="20" t="s">
        <v>66</v>
      </c>
      <c r="C158" s="18" t="s">
        <v>55</v>
      </c>
      <c r="D158" s="18">
        <v>5</v>
      </c>
      <c r="E158" s="18">
        <v>0</v>
      </c>
      <c r="F158" s="51" t="s">
        <v>9</v>
      </c>
      <c r="G158" s="18">
        <v>30</v>
      </c>
      <c r="H158" s="22">
        <v>4.1204654346338128</v>
      </c>
      <c r="I158" s="22">
        <v>4.5119780971937029</v>
      </c>
      <c r="J158" s="22">
        <v>8.6324435318275157</v>
      </c>
      <c r="K158" s="22">
        <v>4.1779603011635862</v>
      </c>
      <c r="L158" s="22">
        <v>4.4544832306639286</v>
      </c>
      <c r="M158" s="22">
        <v>8.6324435318275157</v>
      </c>
      <c r="N158" s="22">
        <v>3.9890485968514717</v>
      </c>
      <c r="O158" s="22">
        <v>4.4900752908966464</v>
      </c>
      <c r="P158" s="22">
        <v>8.4791238877481181</v>
      </c>
      <c r="Q158" s="22" t="s">
        <v>8</v>
      </c>
      <c r="R158" s="22" t="s">
        <v>8</v>
      </c>
      <c r="S158" s="22" t="s">
        <v>8</v>
      </c>
      <c r="T158" s="20">
        <v>4</v>
      </c>
      <c r="U158" s="20">
        <v>16</v>
      </c>
      <c r="V158" s="20" t="s">
        <v>1</v>
      </c>
      <c r="W158" s="20">
        <v>5</v>
      </c>
      <c r="X158" s="20">
        <v>3</v>
      </c>
      <c r="Y158" s="5">
        <v>1</v>
      </c>
      <c r="Z158" s="20">
        <v>4</v>
      </c>
      <c r="AA158" s="23">
        <f t="shared" si="4"/>
        <v>1</v>
      </c>
      <c r="AB158" s="15">
        <v>0.83299999999999996</v>
      </c>
      <c r="AC158" s="15">
        <v>1</v>
      </c>
      <c r="AD158" s="15">
        <v>0.6</v>
      </c>
      <c r="AE158" s="15">
        <v>0.87</v>
      </c>
      <c r="AF158" s="20">
        <v>20</v>
      </c>
      <c r="AG158" s="20">
        <v>11.27</v>
      </c>
      <c r="AH158" s="24">
        <v>23</v>
      </c>
      <c r="AI158" s="23">
        <f t="shared" si="5"/>
        <v>1</v>
      </c>
      <c r="AJ158" s="15">
        <v>12</v>
      </c>
      <c r="AK158" s="15">
        <v>9.75</v>
      </c>
      <c r="AL158" s="25">
        <v>21.75</v>
      </c>
      <c r="AM158" s="23" cm="1">
        <f t="array" ref="AM158">IF(OR(AN158:AZ158=""),"BLANK",IF(AND(AN158:AZ158&lt;9999999),1,IF(AND(AN158:AZ158="NA"),3,2)))</f>
        <v>1</v>
      </c>
      <c r="AN158" s="20">
        <v>12</v>
      </c>
      <c r="AO158" s="20">
        <v>2</v>
      </c>
      <c r="AP158" s="15">
        <v>3</v>
      </c>
      <c r="AQ158" s="15">
        <v>4</v>
      </c>
      <c r="AR158" s="15">
        <v>5</v>
      </c>
      <c r="AS158" s="26">
        <v>1901</v>
      </c>
      <c r="AT158" s="26">
        <v>2314</v>
      </c>
      <c r="AU158" s="26">
        <v>4285.75</v>
      </c>
      <c r="AV158" s="26">
        <v>10668.25</v>
      </c>
      <c r="AW158" s="26">
        <v>676</v>
      </c>
      <c r="AX158" s="26">
        <v>216</v>
      </c>
      <c r="AY158" s="26">
        <v>180</v>
      </c>
      <c r="AZ158" s="26">
        <v>0</v>
      </c>
      <c r="BA158" s="23">
        <v>3</v>
      </c>
      <c r="BB158" s="24" t="s">
        <v>8</v>
      </c>
    </row>
    <row r="159" spans="1:54" x14ac:dyDescent="0.2">
      <c r="A159" s="21">
        <v>2213</v>
      </c>
      <c r="B159" s="20" t="s">
        <v>78</v>
      </c>
      <c r="C159" s="18" t="s">
        <v>55</v>
      </c>
      <c r="D159" s="18">
        <v>4</v>
      </c>
      <c r="E159" s="18">
        <v>0</v>
      </c>
      <c r="F159" s="51" t="s">
        <v>9</v>
      </c>
      <c r="G159" s="18">
        <v>30</v>
      </c>
      <c r="H159" s="22" t="s">
        <v>8</v>
      </c>
      <c r="I159" s="22" t="s">
        <v>8</v>
      </c>
      <c r="J159" s="22">
        <v>8.5667351129363443</v>
      </c>
      <c r="K159" s="22" t="s">
        <v>8</v>
      </c>
      <c r="L159" s="22" t="s">
        <v>8</v>
      </c>
      <c r="M159" s="22">
        <v>8.5667351129363443</v>
      </c>
      <c r="N159" s="22" t="s">
        <v>8</v>
      </c>
      <c r="O159" s="22" t="s">
        <v>8</v>
      </c>
      <c r="P159" s="22" t="s">
        <v>8</v>
      </c>
      <c r="Q159" s="22" t="s">
        <v>8</v>
      </c>
      <c r="R159" s="22" t="s">
        <v>8</v>
      </c>
      <c r="S159" s="22" t="s">
        <v>8</v>
      </c>
      <c r="T159" s="20" t="s">
        <v>8</v>
      </c>
      <c r="U159" s="20" t="s">
        <v>8</v>
      </c>
      <c r="V159" s="20" t="s">
        <v>1</v>
      </c>
      <c r="W159" s="20">
        <v>5</v>
      </c>
      <c r="X159" s="20">
        <v>3</v>
      </c>
      <c r="Y159" s="5">
        <v>1</v>
      </c>
      <c r="Z159" s="20">
        <v>4</v>
      </c>
      <c r="AA159" s="23">
        <f t="shared" si="4"/>
        <v>2</v>
      </c>
      <c r="AB159" s="15">
        <v>1</v>
      </c>
      <c r="AC159" s="15">
        <v>0.83299999999999996</v>
      </c>
      <c r="AD159" s="15">
        <v>0.5</v>
      </c>
      <c r="AE159" s="15">
        <v>0.70799999999999996</v>
      </c>
      <c r="AF159" s="20">
        <v>17</v>
      </c>
      <c r="AG159" s="20" t="s">
        <v>8</v>
      </c>
      <c r="AH159" s="24">
        <v>24</v>
      </c>
      <c r="AI159" s="23">
        <f t="shared" si="5"/>
        <v>1</v>
      </c>
      <c r="AJ159" s="15">
        <v>5.75</v>
      </c>
      <c r="AK159" s="15">
        <v>9</v>
      </c>
      <c r="AL159" s="25">
        <v>14.75</v>
      </c>
      <c r="AM159" s="23" cm="1">
        <f t="array" ref="AM159">IF(OR(AN159:AZ159=""),"BLANK",IF(AND(AN159:AZ159&lt;9999999),1,IF(AND(AN159:AZ159="NA"),3,2)))</f>
        <v>1</v>
      </c>
      <c r="AN159" s="20">
        <v>12</v>
      </c>
      <c r="AO159" s="20">
        <v>2</v>
      </c>
      <c r="AP159" s="15">
        <v>3</v>
      </c>
      <c r="AQ159" s="15">
        <v>4</v>
      </c>
      <c r="AR159" s="15">
        <v>5</v>
      </c>
      <c r="AS159" s="26">
        <v>1631.5</v>
      </c>
      <c r="AT159" s="26">
        <v>17467.5</v>
      </c>
      <c r="AU159" s="26">
        <v>33166</v>
      </c>
      <c r="AV159" s="26">
        <v>120443.75</v>
      </c>
      <c r="AW159" s="26">
        <v>1254.75</v>
      </c>
      <c r="AX159" s="26">
        <v>960</v>
      </c>
      <c r="AY159" s="26">
        <v>0</v>
      </c>
      <c r="AZ159" s="26">
        <v>30.55</v>
      </c>
      <c r="BA159" s="23">
        <v>3</v>
      </c>
      <c r="BB159" s="24" t="s">
        <v>8</v>
      </c>
    </row>
    <row r="160" spans="1:54" x14ac:dyDescent="0.2">
      <c r="A160" s="21">
        <v>2248</v>
      </c>
      <c r="B160" s="20" t="s">
        <v>73</v>
      </c>
      <c r="C160" s="18" t="s">
        <v>54</v>
      </c>
      <c r="D160" s="18">
        <v>5</v>
      </c>
      <c r="E160" s="18">
        <v>0</v>
      </c>
      <c r="F160" s="51" t="s">
        <v>9</v>
      </c>
      <c r="G160" s="18">
        <v>30</v>
      </c>
      <c r="H160" s="22">
        <v>4.2327173169062284</v>
      </c>
      <c r="I160" s="22">
        <v>4.0164271047227924</v>
      </c>
      <c r="J160" s="22">
        <v>8.2491444216290208</v>
      </c>
      <c r="K160" s="22">
        <v>4.2327173169062284</v>
      </c>
      <c r="L160" s="22">
        <v>4.2381930184804926</v>
      </c>
      <c r="M160" s="22">
        <v>8.470910335386721</v>
      </c>
      <c r="N160" s="22">
        <v>4.1861738535249833</v>
      </c>
      <c r="O160" s="22">
        <v>3.7782340862422998</v>
      </c>
      <c r="P160" s="22">
        <v>7.9644079397672831</v>
      </c>
      <c r="Q160" s="22" t="s">
        <v>8</v>
      </c>
      <c r="R160" s="22" t="s">
        <v>8</v>
      </c>
      <c r="S160" s="22" t="s">
        <v>8</v>
      </c>
      <c r="T160" s="20">
        <v>7</v>
      </c>
      <c r="U160" s="20">
        <v>21</v>
      </c>
      <c r="V160" s="20" t="s">
        <v>1</v>
      </c>
      <c r="W160" s="20">
        <v>5</v>
      </c>
      <c r="X160" s="20">
        <v>3</v>
      </c>
      <c r="Y160" s="5">
        <v>1</v>
      </c>
      <c r="Z160" s="20">
        <v>4</v>
      </c>
      <c r="AA160" s="23">
        <f t="shared" si="4"/>
        <v>1</v>
      </c>
      <c r="AB160" s="15">
        <v>1</v>
      </c>
      <c r="AC160" s="15">
        <v>1</v>
      </c>
      <c r="AD160" s="15">
        <v>0.83299999999999996</v>
      </c>
      <c r="AE160" s="15">
        <v>0.95799999999999996</v>
      </c>
      <c r="AF160" s="20">
        <v>23</v>
      </c>
      <c r="AG160" s="20">
        <v>8.75</v>
      </c>
      <c r="AH160" s="24">
        <v>24</v>
      </c>
      <c r="AI160" s="23">
        <f t="shared" si="5"/>
        <v>1</v>
      </c>
      <c r="AJ160" s="15">
        <v>10.5</v>
      </c>
      <c r="AK160" s="15">
        <v>8</v>
      </c>
      <c r="AL160" s="25">
        <v>18.5</v>
      </c>
      <c r="AM160" s="23" cm="1">
        <f t="array" ref="AM160">IF(OR(AN160:AZ160=""),"BLANK",IF(AND(AN160:AZ160&lt;9999999),1,IF(AND(AN160:AZ160="NA"),3,2)))</f>
        <v>1</v>
      </c>
      <c r="AN160" s="20">
        <v>12</v>
      </c>
      <c r="AO160" s="20">
        <v>2</v>
      </c>
      <c r="AP160" s="15">
        <v>3</v>
      </c>
      <c r="AQ160" s="15">
        <v>4</v>
      </c>
      <c r="AR160" s="15">
        <v>5</v>
      </c>
      <c r="AS160" s="26">
        <v>2638.5</v>
      </c>
      <c r="AT160" s="26">
        <v>3899</v>
      </c>
      <c r="AU160" s="26">
        <v>9028.75</v>
      </c>
      <c r="AV160" s="26">
        <v>14092.75</v>
      </c>
      <c r="AW160" s="26">
        <v>180</v>
      </c>
      <c r="AX160" s="26">
        <v>18.666666666699999</v>
      </c>
      <c r="AY160" s="26">
        <v>0</v>
      </c>
      <c r="AZ160" s="26">
        <v>0</v>
      </c>
      <c r="BA160" s="23">
        <v>3</v>
      </c>
      <c r="BB160" s="24" t="s">
        <v>8</v>
      </c>
    </row>
    <row r="161" spans="1:54" x14ac:dyDescent="0.2">
      <c r="A161" s="21">
        <v>2440</v>
      </c>
      <c r="B161" s="20" t="s">
        <v>82</v>
      </c>
      <c r="C161" s="18" t="s">
        <v>55</v>
      </c>
      <c r="D161" s="18">
        <v>5</v>
      </c>
      <c r="E161" s="18">
        <v>0</v>
      </c>
      <c r="F161" s="51" t="s">
        <v>9</v>
      </c>
      <c r="G161" s="18">
        <v>28</v>
      </c>
      <c r="H161" s="22">
        <v>3.9835728952772076</v>
      </c>
      <c r="I161" s="22">
        <v>4.2874743326488707</v>
      </c>
      <c r="J161" s="22">
        <v>8.2710472279260774</v>
      </c>
      <c r="K161" s="22">
        <v>3.9835728952772076</v>
      </c>
      <c r="L161" s="22">
        <v>4.2874743326488707</v>
      </c>
      <c r="M161" s="22">
        <v>8.2710472279260774</v>
      </c>
      <c r="N161" s="22">
        <v>4.0821355236139629</v>
      </c>
      <c r="O161" s="22">
        <v>4.128678986995209</v>
      </c>
      <c r="P161" s="22">
        <v>8.2108145106091719</v>
      </c>
      <c r="Q161" s="22">
        <v>5.1498973305954827</v>
      </c>
      <c r="R161" s="22">
        <v>3.4715947980835042</v>
      </c>
      <c r="S161" s="22">
        <v>8.6214921286789874</v>
      </c>
      <c r="T161" s="20" t="s">
        <v>8</v>
      </c>
      <c r="U161" s="20" t="s">
        <v>8</v>
      </c>
      <c r="V161" s="20" t="s">
        <v>1</v>
      </c>
      <c r="W161" s="20">
        <v>5</v>
      </c>
      <c r="X161" s="20">
        <v>3</v>
      </c>
      <c r="Y161" s="5">
        <v>1</v>
      </c>
      <c r="Z161" s="20">
        <v>4</v>
      </c>
      <c r="AA161" s="23">
        <f t="shared" si="4"/>
        <v>1</v>
      </c>
      <c r="AB161" s="15">
        <v>0.83299999999999996</v>
      </c>
      <c r="AC161" s="15">
        <v>0.8</v>
      </c>
      <c r="AD161" s="15">
        <v>0.83299999999999996</v>
      </c>
      <c r="AE161" s="15">
        <v>0.78300000000000003</v>
      </c>
      <c r="AF161" s="20">
        <v>18</v>
      </c>
      <c r="AG161" s="20">
        <v>8.6</v>
      </c>
      <c r="AH161" s="24">
        <v>23</v>
      </c>
      <c r="AI161" s="23">
        <f t="shared" si="5"/>
        <v>1</v>
      </c>
      <c r="AJ161" s="15">
        <v>7.25</v>
      </c>
      <c r="AK161" s="15">
        <v>10</v>
      </c>
      <c r="AL161" s="25">
        <v>17.25</v>
      </c>
      <c r="AM161" s="23" cm="1">
        <f t="array" ref="AM161">IF(OR(AN161:AZ161=""),"BLANK",IF(AND(AN161:AZ161&lt;9999999),1,IF(AND(AN161:AZ161="NA"),3,2)))</f>
        <v>1</v>
      </c>
      <c r="AN161" s="20">
        <v>11</v>
      </c>
      <c r="AO161" s="20">
        <v>2</v>
      </c>
      <c r="AP161" s="15">
        <v>3</v>
      </c>
      <c r="AQ161" s="15">
        <v>4</v>
      </c>
      <c r="AR161" s="15">
        <v>6.75</v>
      </c>
      <c r="AS161" s="26">
        <v>2827.5</v>
      </c>
      <c r="AT161" s="26">
        <v>2327</v>
      </c>
      <c r="AU161" s="26">
        <v>2887.5</v>
      </c>
      <c r="AV161" s="26">
        <v>9359.75</v>
      </c>
      <c r="AW161" s="26">
        <v>346.25</v>
      </c>
      <c r="AX161" s="26">
        <v>63.666666666700003</v>
      </c>
      <c r="AY161" s="26">
        <v>0</v>
      </c>
      <c r="AZ161" s="26">
        <v>118.77916666669999</v>
      </c>
      <c r="BA161" s="23">
        <v>3</v>
      </c>
      <c r="BB161" s="24" t="s">
        <v>8</v>
      </c>
    </row>
    <row r="162" spans="1:54" x14ac:dyDescent="0.2">
      <c r="A162" s="21">
        <v>2561</v>
      </c>
      <c r="B162" s="20" t="s">
        <v>70</v>
      </c>
      <c r="C162" s="18" t="s">
        <v>55</v>
      </c>
      <c r="D162" s="18">
        <v>5</v>
      </c>
      <c r="E162" s="18">
        <v>0</v>
      </c>
      <c r="F162" s="51" t="s">
        <v>9</v>
      </c>
      <c r="G162" s="18">
        <v>30</v>
      </c>
      <c r="H162" s="22">
        <v>3.8631074606433948</v>
      </c>
      <c r="I162" s="22">
        <v>4.2929500342231348</v>
      </c>
      <c r="J162" s="22">
        <v>8.1560574948665305</v>
      </c>
      <c r="K162" s="22">
        <v>3.8631074606433948</v>
      </c>
      <c r="L162" s="22">
        <v>4.2929500342231348</v>
      </c>
      <c r="M162" s="22">
        <v>8.1560574948665305</v>
      </c>
      <c r="N162" s="22">
        <v>3.805612594113621</v>
      </c>
      <c r="O162" s="22">
        <v>4.3312799452429847</v>
      </c>
      <c r="P162" s="22">
        <v>8.1368925393566052</v>
      </c>
      <c r="Q162" s="22" t="s">
        <v>8</v>
      </c>
      <c r="R162" s="22" t="s">
        <v>8</v>
      </c>
      <c r="S162" s="22" t="s">
        <v>8</v>
      </c>
      <c r="T162" s="20" t="s">
        <v>8</v>
      </c>
      <c r="U162" s="20" t="s">
        <v>8</v>
      </c>
      <c r="V162" s="20" t="s">
        <v>1</v>
      </c>
      <c r="W162" s="20">
        <v>5</v>
      </c>
      <c r="X162" s="20">
        <v>3</v>
      </c>
      <c r="Y162" s="5">
        <v>1</v>
      </c>
      <c r="Z162" s="20">
        <v>4</v>
      </c>
      <c r="AA162" s="23">
        <f t="shared" si="4"/>
        <v>1</v>
      </c>
      <c r="AB162" s="15">
        <v>1</v>
      </c>
      <c r="AC162" s="15">
        <v>1</v>
      </c>
      <c r="AD162" s="15">
        <v>0.83299999999999996</v>
      </c>
      <c r="AE162" s="15">
        <v>0.91700000000000004</v>
      </c>
      <c r="AF162" s="20">
        <v>22</v>
      </c>
      <c r="AG162" s="20">
        <v>5.9</v>
      </c>
      <c r="AH162" s="24">
        <v>24</v>
      </c>
      <c r="AI162" s="23">
        <f t="shared" si="5"/>
        <v>1</v>
      </c>
      <c r="AJ162" s="15">
        <v>12</v>
      </c>
      <c r="AK162" s="15">
        <v>10</v>
      </c>
      <c r="AL162" s="25">
        <v>22</v>
      </c>
      <c r="AM162" s="23" cm="1">
        <f t="array" ref="AM162">IF(OR(AN162:AZ162=""),"BLANK",IF(AND(AN162:AZ162&lt;9999999),1,IF(AND(AN162:AZ162="NA"),3,2)))</f>
        <v>1</v>
      </c>
      <c r="AN162" s="20">
        <v>12</v>
      </c>
      <c r="AO162" s="20">
        <v>2</v>
      </c>
      <c r="AP162" s="15">
        <v>3</v>
      </c>
      <c r="AQ162" s="15">
        <v>4</v>
      </c>
      <c r="AR162" s="15">
        <v>5</v>
      </c>
      <c r="AS162" s="26">
        <v>548.5</v>
      </c>
      <c r="AT162" s="26">
        <v>3273</v>
      </c>
      <c r="AU162" s="26">
        <v>7176</v>
      </c>
      <c r="AV162" s="26">
        <v>28871.25</v>
      </c>
      <c r="AW162" s="26">
        <v>0</v>
      </c>
      <c r="AX162" s="26">
        <v>0</v>
      </c>
      <c r="AY162" s="26">
        <v>2223.0625</v>
      </c>
      <c r="AZ162" s="26">
        <v>1010.2</v>
      </c>
      <c r="BA162" s="23">
        <v>3</v>
      </c>
      <c r="BB162" s="24" t="s">
        <v>8</v>
      </c>
    </row>
    <row r="163" spans="1:54" x14ac:dyDescent="0.2">
      <c r="A163" s="21">
        <v>2748</v>
      </c>
      <c r="B163" s="20" t="s">
        <v>82</v>
      </c>
      <c r="C163" s="18" t="s">
        <v>55</v>
      </c>
      <c r="D163" s="18">
        <v>5</v>
      </c>
      <c r="E163" s="18">
        <v>0</v>
      </c>
      <c r="F163" s="51" t="s">
        <v>9</v>
      </c>
      <c r="G163" s="18">
        <v>29</v>
      </c>
      <c r="H163" s="22">
        <v>3.6194387405886381</v>
      </c>
      <c r="I163" s="22">
        <v>4.3312799452429847</v>
      </c>
      <c r="J163" s="22">
        <v>7.9507186858316219</v>
      </c>
      <c r="K163" s="22">
        <v>3.6194387405886381</v>
      </c>
      <c r="L163" s="22">
        <v>4.3312799452429847</v>
      </c>
      <c r="M163" s="22">
        <v>7.9507186858316219</v>
      </c>
      <c r="N163" s="22">
        <v>5.0650239561943877</v>
      </c>
      <c r="O163" s="22" t="s">
        <v>8</v>
      </c>
      <c r="P163" s="22" t="s">
        <v>8</v>
      </c>
      <c r="Q163" s="22">
        <v>4.8021902806297057</v>
      </c>
      <c r="R163" s="22" t="s">
        <v>8</v>
      </c>
      <c r="S163" s="22" t="s">
        <v>8</v>
      </c>
      <c r="T163" s="20">
        <v>3</v>
      </c>
      <c r="U163" s="20">
        <v>14</v>
      </c>
      <c r="V163" s="20" t="s">
        <v>1</v>
      </c>
      <c r="W163" s="20">
        <v>5</v>
      </c>
      <c r="X163" s="20">
        <v>3</v>
      </c>
      <c r="Y163" s="5">
        <v>1</v>
      </c>
      <c r="Z163" s="20">
        <v>4</v>
      </c>
      <c r="AA163" s="23">
        <f t="shared" si="4"/>
        <v>1</v>
      </c>
      <c r="AB163" s="15">
        <v>1</v>
      </c>
      <c r="AC163" s="15">
        <v>0.66700000000000004</v>
      </c>
      <c r="AD163" s="15">
        <v>0.66700000000000004</v>
      </c>
      <c r="AE163" s="15">
        <v>0.79200000000000004</v>
      </c>
      <c r="AF163" s="20">
        <v>19</v>
      </c>
      <c r="AG163" s="20">
        <v>4.28</v>
      </c>
      <c r="AH163" s="24">
        <v>24</v>
      </c>
      <c r="AI163" s="23">
        <f t="shared" si="5"/>
        <v>1</v>
      </c>
      <c r="AJ163" s="15">
        <v>9</v>
      </c>
      <c r="AK163" s="15">
        <v>9</v>
      </c>
      <c r="AL163" s="25">
        <v>18</v>
      </c>
      <c r="AM163" s="23" cm="1">
        <f t="array" ref="AM163">IF(OR(AN163:AZ163=""),"BLANK",IF(AND(AN163:AZ163&lt;9999999),1,IF(AND(AN163:AZ163="NA"),3,2)))</f>
        <v>1</v>
      </c>
      <c r="AN163" s="20">
        <v>7</v>
      </c>
      <c r="AO163" s="20">
        <v>2</v>
      </c>
      <c r="AP163" s="15">
        <v>3</v>
      </c>
      <c r="AQ163" s="15">
        <v>5</v>
      </c>
      <c r="AR163" s="15">
        <v>6.5</v>
      </c>
      <c r="AS163" s="26">
        <v>1346.5</v>
      </c>
      <c r="AT163" s="26">
        <v>3599</v>
      </c>
      <c r="AU163" s="26">
        <v>11456.25</v>
      </c>
      <c r="AV163" s="26">
        <v>4711.75</v>
      </c>
      <c r="AW163" s="26">
        <v>0</v>
      </c>
      <c r="AX163" s="26">
        <v>0</v>
      </c>
      <c r="AY163" s="26">
        <v>1190.4166666666999</v>
      </c>
      <c r="AZ163" s="26">
        <v>0</v>
      </c>
      <c r="BA163" s="23">
        <v>3</v>
      </c>
      <c r="BB163" s="24" t="s">
        <v>8</v>
      </c>
    </row>
    <row r="164" spans="1:54" x14ac:dyDescent="0.2">
      <c r="A164" s="21">
        <v>2790</v>
      </c>
      <c r="B164" s="20" t="s">
        <v>64</v>
      </c>
      <c r="C164" s="18" t="s">
        <v>54</v>
      </c>
      <c r="D164" s="18">
        <v>5</v>
      </c>
      <c r="E164" s="18">
        <v>0</v>
      </c>
      <c r="F164" s="51" t="s">
        <v>9</v>
      </c>
      <c r="G164" s="18">
        <v>28</v>
      </c>
      <c r="H164" s="22">
        <v>3.5975359342915811</v>
      </c>
      <c r="I164" s="22">
        <v>4.2518822724161529</v>
      </c>
      <c r="J164" s="22">
        <v>7.8494182067077345</v>
      </c>
      <c r="K164" s="22">
        <v>3.5975359342915811</v>
      </c>
      <c r="L164" s="22">
        <v>4.2518822724161529</v>
      </c>
      <c r="M164" s="22">
        <v>7.8494182067077345</v>
      </c>
      <c r="N164" s="22">
        <v>3.5838466803559208</v>
      </c>
      <c r="O164" s="22">
        <v>4.2080766598220398</v>
      </c>
      <c r="P164" s="22">
        <v>7.7919233401779602</v>
      </c>
      <c r="Q164" s="22" t="s">
        <v>8</v>
      </c>
      <c r="R164" s="22" t="s">
        <v>8</v>
      </c>
      <c r="S164" s="22" t="s">
        <v>8</v>
      </c>
      <c r="T164" s="20">
        <v>3</v>
      </c>
      <c r="U164" s="20">
        <v>15</v>
      </c>
      <c r="V164" s="20" t="s">
        <v>1</v>
      </c>
      <c r="W164" s="20">
        <v>5</v>
      </c>
      <c r="X164" s="20">
        <v>3</v>
      </c>
      <c r="Y164" s="5">
        <v>1</v>
      </c>
      <c r="Z164" s="20">
        <v>4</v>
      </c>
      <c r="AA164" s="23">
        <f t="shared" si="4"/>
        <v>1</v>
      </c>
      <c r="AB164" s="15">
        <v>1</v>
      </c>
      <c r="AC164" s="15">
        <v>0.83299999999999996</v>
      </c>
      <c r="AD164" s="15">
        <v>0.5</v>
      </c>
      <c r="AE164" s="15">
        <v>0.70799999999999996</v>
      </c>
      <c r="AF164" s="20">
        <v>17</v>
      </c>
      <c r="AG164" s="20">
        <v>0.97</v>
      </c>
      <c r="AH164" s="24">
        <v>24</v>
      </c>
      <c r="AI164" s="23">
        <f t="shared" si="5"/>
        <v>1</v>
      </c>
      <c r="AJ164" s="15">
        <v>4.25</v>
      </c>
      <c r="AK164" s="15">
        <v>1.75</v>
      </c>
      <c r="AL164" s="25">
        <v>6</v>
      </c>
      <c r="AM164" s="23" cm="1">
        <f t="array" ref="AM164">IF(OR(AN164:AZ164=""),"BLANK",IF(AND(AN164:AZ164&lt;9999999),1,IF(AND(AN164:AZ164="NA"),3,2)))</f>
        <v>1</v>
      </c>
      <c r="AN164" s="20">
        <v>8</v>
      </c>
      <c r="AO164" s="20">
        <v>2</v>
      </c>
      <c r="AP164" s="15">
        <v>3.5</v>
      </c>
      <c r="AQ164" s="15">
        <v>4.5</v>
      </c>
      <c r="AR164" s="15">
        <v>7.25</v>
      </c>
      <c r="AS164" s="26">
        <v>34.5</v>
      </c>
      <c r="AT164" s="26">
        <v>2351.5</v>
      </c>
      <c r="AU164" s="26">
        <v>3115.75</v>
      </c>
      <c r="AV164" s="26">
        <v>3661.25</v>
      </c>
      <c r="AW164" s="26">
        <v>0</v>
      </c>
      <c r="AX164" s="26">
        <v>0</v>
      </c>
      <c r="AY164" s="26">
        <v>536.125</v>
      </c>
      <c r="AZ164" s="26">
        <v>233.67142857140001</v>
      </c>
      <c r="BA164" s="23">
        <v>3</v>
      </c>
      <c r="BB164" s="24" t="s">
        <v>8</v>
      </c>
    </row>
    <row r="165" spans="1:54" x14ac:dyDescent="0.2">
      <c r="A165" s="21">
        <v>2885</v>
      </c>
      <c r="B165" s="20" t="s">
        <v>75</v>
      </c>
      <c r="C165" s="18" t="s">
        <v>54</v>
      </c>
      <c r="D165" s="18">
        <v>5</v>
      </c>
      <c r="E165" s="18">
        <v>0</v>
      </c>
      <c r="F165" s="51" t="s">
        <v>9</v>
      </c>
      <c r="G165" s="18">
        <v>30</v>
      </c>
      <c r="H165" s="22">
        <v>3.6577686516084875</v>
      </c>
      <c r="I165" s="22">
        <v>4.4982888432580426</v>
      </c>
      <c r="J165" s="22">
        <v>8.1560574948665305</v>
      </c>
      <c r="K165" s="22">
        <v>3.6577686516084875</v>
      </c>
      <c r="L165" s="22">
        <v>4.5475701574264207</v>
      </c>
      <c r="M165" s="22">
        <v>8.2053388090349078</v>
      </c>
      <c r="N165" s="22">
        <v>3.7371663244353184</v>
      </c>
      <c r="O165" s="22">
        <v>4.3531827515400412</v>
      </c>
      <c r="P165" s="22">
        <v>8.0903490759753591</v>
      </c>
      <c r="Q165" s="22">
        <v>4.6160164271047224</v>
      </c>
      <c r="R165" s="22">
        <v>3.6796714579055441</v>
      </c>
      <c r="S165" s="22">
        <v>8.2956878850102669</v>
      </c>
      <c r="T165" s="20">
        <v>3</v>
      </c>
      <c r="U165" s="20">
        <v>14</v>
      </c>
      <c r="V165" s="20" t="s">
        <v>1</v>
      </c>
      <c r="W165" s="20">
        <v>5</v>
      </c>
      <c r="X165" s="20">
        <v>3</v>
      </c>
      <c r="Y165" s="5">
        <v>1</v>
      </c>
      <c r="Z165" s="20">
        <v>4</v>
      </c>
      <c r="AA165" s="23">
        <f t="shared" si="4"/>
        <v>1</v>
      </c>
      <c r="AB165" s="15">
        <v>1</v>
      </c>
      <c r="AC165" s="15">
        <v>0.83299999999999996</v>
      </c>
      <c r="AD165" s="15">
        <v>1</v>
      </c>
      <c r="AE165" s="15">
        <v>0.91700000000000004</v>
      </c>
      <c r="AF165" s="20">
        <v>22</v>
      </c>
      <c r="AG165" s="20">
        <v>9.15</v>
      </c>
      <c r="AH165" s="24">
        <v>24</v>
      </c>
      <c r="AI165" s="23">
        <f t="shared" si="5"/>
        <v>1</v>
      </c>
      <c r="AJ165" s="15">
        <v>10.75</v>
      </c>
      <c r="AK165" s="15">
        <v>13</v>
      </c>
      <c r="AL165" s="25">
        <v>23.75</v>
      </c>
      <c r="AM165" s="23" cm="1">
        <f t="array" ref="AM165">IF(OR(AN165:AZ165=""),"BLANK",IF(AND(AN165:AZ165&lt;9999999),1,IF(AND(AN165:AZ165="NA"),3,2)))</f>
        <v>1</v>
      </c>
      <c r="AN165" s="20">
        <v>10</v>
      </c>
      <c r="AO165" s="20">
        <v>2</v>
      </c>
      <c r="AP165" s="15">
        <v>3</v>
      </c>
      <c r="AQ165" s="15">
        <v>5.25</v>
      </c>
      <c r="AR165" s="15">
        <v>6.5</v>
      </c>
      <c r="AS165" s="26">
        <v>1437.5</v>
      </c>
      <c r="AT165" s="26">
        <v>3126</v>
      </c>
      <c r="AU165" s="26">
        <v>4754</v>
      </c>
      <c r="AV165" s="26">
        <v>12713.25</v>
      </c>
      <c r="AW165" s="26">
        <v>0</v>
      </c>
      <c r="AX165" s="26">
        <v>0</v>
      </c>
      <c r="AY165" s="26">
        <v>228.7638888889</v>
      </c>
      <c r="AZ165" s="26">
        <v>384.79090909090002</v>
      </c>
      <c r="BA165" s="23">
        <v>3</v>
      </c>
      <c r="BB165" s="24" t="s">
        <v>8</v>
      </c>
    </row>
    <row r="166" spans="1:54" x14ac:dyDescent="0.2">
      <c r="A166" s="21">
        <v>2940</v>
      </c>
      <c r="B166" s="20" t="s">
        <v>64</v>
      </c>
      <c r="C166" s="18" t="s">
        <v>54</v>
      </c>
      <c r="D166" s="18">
        <v>5</v>
      </c>
      <c r="E166" s="18">
        <v>0</v>
      </c>
      <c r="F166" s="51" t="s">
        <v>9</v>
      </c>
      <c r="G166" s="18">
        <v>29</v>
      </c>
      <c r="H166" s="22">
        <v>4.0629705681040384</v>
      </c>
      <c r="I166" s="22">
        <v>3.8740588637919235</v>
      </c>
      <c r="J166" s="22">
        <v>7.9370294318959616</v>
      </c>
      <c r="K166" s="22">
        <v>4.0629705681040384</v>
      </c>
      <c r="L166" s="22">
        <v>3.8740588637919235</v>
      </c>
      <c r="M166" s="22">
        <v>7.9370294318959616</v>
      </c>
      <c r="N166" s="22">
        <v>4.0629705681040384</v>
      </c>
      <c r="O166" s="22">
        <v>3.8384668035592062</v>
      </c>
      <c r="P166" s="22">
        <v>7.9014373716632447</v>
      </c>
      <c r="Q166" s="22">
        <v>4.5201916495550991</v>
      </c>
      <c r="R166" s="22">
        <v>3.5756331279945242</v>
      </c>
      <c r="S166" s="22">
        <v>8.0958247775496233</v>
      </c>
      <c r="T166" s="20" t="s">
        <v>8</v>
      </c>
      <c r="U166" s="20" t="s">
        <v>8</v>
      </c>
      <c r="V166" s="20" t="s">
        <v>1</v>
      </c>
      <c r="W166" s="20">
        <v>5</v>
      </c>
      <c r="X166" s="20">
        <v>3</v>
      </c>
      <c r="Y166" s="5">
        <v>1</v>
      </c>
      <c r="Z166" s="20">
        <v>4</v>
      </c>
      <c r="AA166" s="23">
        <f t="shared" si="4"/>
        <v>1</v>
      </c>
      <c r="AB166" s="15">
        <v>1</v>
      </c>
      <c r="AC166" s="15">
        <v>1</v>
      </c>
      <c r="AD166" s="15">
        <v>0.33300000000000002</v>
      </c>
      <c r="AE166" s="15">
        <v>0.70799999999999996</v>
      </c>
      <c r="AF166" s="20">
        <v>17</v>
      </c>
      <c r="AG166" s="20">
        <v>5.98</v>
      </c>
      <c r="AH166" s="24">
        <v>24</v>
      </c>
      <c r="AI166" s="23">
        <f t="shared" si="5"/>
        <v>1</v>
      </c>
      <c r="AJ166" s="15">
        <v>4</v>
      </c>
      <c r="AK166" s="15">
        <v>4.5</v>
      </c>
      <c r="AL166" s="25">
        <v>8.5</v>
      </c>
      <c r="AM166" s="23" cm="1">
        <f t="array" ref="AM166">IF(OR(AN166:AZ166=""),"BLANK",IF(AND(AN166:AZ166&lt;9999999),1,IF(AND(AN166:AZ166="NA"),3,2)))</f>
        <v>1</v>
      </c>
      <c r="AN166" s="20">
        <v>5</v>
      </c>
      <c r="AO166" s="20">
        <v>2</v>
      </c>
      <c r="AP166" s="15">
        <v>3</v>
      </c>
      <c r="AQ166" s="15">
        <v>6.25</v>
      </c>
      <c r="AR166" s="15">
        <v>9.75</v>
      </c>
      <c r="AS166" s="26">
        <v>622</v>
      </c>
      <c r="AT166" s="26">
        <v>3595</v>
      </c>
      <c r="AU166" s="26">
        <v>3840.25</v>
      </c>
      <c r="AV166" s="26">
        <v>8358.5</v>
      </c>
      <c r="AW166" s="26">
        <v>2219</v>
      </c>
      <c r="AX166" s="26">
        <v>0</v>
      </c>
      <c r="AY166" s="26">
        <v>1243.7916666666999</v>
      </c>
      <c r="AZ166" s="26">
        <v>3557.181547619</v>
      </c>
      <c r="BA166" s="23">
        <v>3</v>
      </c>
      <c r="BB166" s="24" t="s">
        <v>8</v>
      </c>
    </row>
    <row r="167" spans="1:54" x14ac:dyDescent="0.2">
      <c r="A167" s="21">
        <v>2976</v>
      </c>
      <c r="B167" s="20" t="s">
        <v>68</v>
      </c>
      <c r="C167" s="18" t="s">
        <v>54</v>
      </c>
      <c r="D167" s="18">
        <v>5</v>
      </c>
      <c r="E167" s="18">
        <v>0</v>
      </c>
      <c r="F167" s="51" t="s">
        <v>9</v>
      </c>
      <c r="G167" s="18">
        <v>24</v>
      </c>
      <c r="H167" s="22">
        <v>3.5154004106776182</v>
      </c>
      <c r="I167" s="22">
        <v>4.3258042436687196</v>
      </c>
      <c r="J167" s="22">
        <v>7.8412046543463383</v>
      </c>
      <c r="K167" s="22">
        <v>3.5154004106776182</v>
      </c>
      <c r="L167" s="22">
        <v>4.3258042436687196</v>
      </c>
      <c r="M167" s="22">
        <v>7.8412046543463383</v>
      </c>
      <c r="N167" s="22">
        <v>3.5071868583162216</v>
      </c>
      <c r="O167" s="22">
        <v>4.6242299794661195</v>
      </c>
      <c r="P167" s="22">
        <v>8.131416837782341</v>
      </c>
      <c r="Q167" s="22">
        <v>3.893223819301848</v>
      </c>
      <c r="R167" s="22">
        <v>3.8439425051334704</v>
      </c>
      <c r="S167" s="22">
        <v>7.7371663244353179</v>
      </c>
      <c r="T167" s="20">
        <v>3</v>
      </c>
      <c r="U167" s="20">
        <v>15</v>
      </c>
      <c r="V167" s="20" t="s">
        <v>1</v>
      </c>
      <c r="W167" s="20">
        <v>5</v>
      </c>
      <c r="X167" s="20">
        <v>3</v>
      </c>
      <c r="Y167" s="5">
        <v>1</v>
      </c>
      <c r="Z167" s="20">
        <v>4</v>
      </c>
      <c r="AA167" s="23">
        <f t="shared" si="4"/>
        <v>1</v>
      </c>
      <c r="AB167" s="15">
        <v>0.83299999999999996</v>
      </c>
      <c r="AC167" s="15">
        <v>0.83299999999999996</v>
      </c>
      <c r="AD167" s="15">
        <v>0.33300000000000002</v>
      </c>
      <c r="AE167" s="15">
        <v>0.625</v>
      </c>
      <c r="AF167" s="20">
        <v>15</v>
      </c>
      <c r="AG167" s="20">
        <v>3.5</v>
      </c>
      <c r="AH167" s="24">
        <v>24</v>
      </c>
      <c r="AI167" s="23">
        <f t="shared" si="5"/>
        <v>1</v>
      </c>
      <c r="AJ167" s="15">
        <v>4.25</v>
      </c>
      <c r="AK167" s="15">
        <v>7.5</v>
      </c>
      <c r="AL167" s="25">
        <v>11.75</v>
      </c>
      <c r="AM167" s="23" cm="1">
        <f t="array" ref="AM167">IF(OR(AN167:AZ167=""),"BLANK",IF(AND(AN167:AZ167&lt;9999999),1,IF(AND(AN167:AZ167="NA"),3,2)))</f>
        <v>1</v>
      </c>
      <c r="AN167" s="20">
        <v>9</v>
      </c>
      <c r="AO167" s="20">
        <v>2</v>
      </c>
      <c r="AP167" s="15">
        <v>3</v>
      </c>
      <c r="AQ167" s="15">
        <v>5.5</v>
      </c>
      <c r="AR167" s="15">
        <v>5.5</v>
      </c>
      <c r="AS167" s="26">
        <v>2032</v>
      </c>
      <c r="AT167" s="26">
        <v>3973.5</v>
      </c>
      <c r="AU167" s="26">
        <v>8603.75</v>
      </c>
      <c r="AV167" s="26">
        <v>7079.75</v>
      </c>
      <c r="AW167" s="26">
        <v>603.75</v>
      </c>
      <c r="AX167" s="26">
        <v>0</v>
      </c>
      <c r="AY167" s="26">
        <v>1403.9305555556</v>
      </c>
      <c r="AZ167" s="26">
        <v>336.69285714289998</v>
      </c>
      <c r="BA167" s="23">
        <v>3</v>
      </c>
      <c r="BB167" s="24" t="s">
        <v>8</v>
      </c>
    </row>
    <row r="168" spans="1:54" x14ac:dyDescent="0.2">
      <c r="A168" s="21">
        <v>3025</v>
      </c>
      <c r="B168" s="20" t="s">
        <v>74</v>
      </c>
      <c r="C168" s="18" t="s">
        <v>54</v>
      </c>
      <c r="D168" s="18">
        <v>5</v>
      </c>
      <c r="E168" s="18">
        <v>0</v>
      </c>
      <c r="F168" s="51" t="s">
        <v>9</v>
      </c>
      <c r="G168" s="18">
        <v>28</v>
      </c>
      <c r="H168" s="22">
        <v>3.4305270362765228</v>
      </c>
      <c r="I168" s="22">
        <v>4.0520191649555102</v>
      </c>
      <c r="J168" s="22">
        <v>7.482546201232033</v>
      </c>
      <c r="K168" s="22">
        <v>3.4305270362765228</v>
      </c>
      <c r="L168" s="22">
        <v>4.0547570157426422</v>
      </c>
      <c r="M168" s="22">
        <v>7.485284052019165</v>
      </c>
      <c r="N168" s="22">
        <v>3.460643394934976</v>
      </c>
      <c r="O168" s="22">
        <v>3.9972621492128679</v>
      </c>
      <c r="P168" s="22">
        <v>7.4579055441478443</v>
      </c>
      <c r="Q168" s="22">
        <v>4.1560574948665296</v>
      </c>
      <c r="R168" s="22" t="s">
        <v>8</v>
      </c>
      <c r="S168" s="22" t="s">
        <v>8</v>
      </c>
      <c r="T168" s="20" t="s">
        <v>8</v>
      </c>
      <c r="U168" s="20" t="s">
        <v>8</v>
      </c>
      <c r="V168" s="20" t="s">
        <v>1</v>
      </c>
      <c r="W168" s="20">
        <v>5</v>
      </c>
      <c r="X168" s="20">
        <v>3</v>
      </c>
      <c r="Y168" s="5">
        <v>1</v>
      </c>
      <c r="Z168" s="20">
        <v>4</v>
      </c>
      <c r="AA168" s="23">
        <f t="shared" si="4"/>
        <v>1</v>
      </c>
      <c r="AB168" s="15">
        <v>1</v>
      </c>
      <c r="AC168" s="15">
        <v>0.83299999999999996</v>
      </c>
      <c r="AD168" s="15">
        <v>0.33300000000000002</v>
      </c>
      <c r="AE168" s="15">
        <v>0.70799999999999996</v>
      </c>
      <c r="AF168" s="20">
        <v>17</v>
      </c>
      <c r="AG168" s="20">
        <v>9.98</v>
      </c>
      <c r="AH168" s="24">
        <v>24</v>
      </c>
      <c r="AI168" s="23">
        <f t="shared" si="5"/>
        <v>1</v>
      </c>
      <c r="AJ168" s="15">
        <v>3.25</v>
      </c>
      <c r="AK168" s="15">
        <v>8.5</v>
      </c>
      <c r="AL168" s="25">
        <v>11.75</v>
      </c>
      <c r="AM168" s="23" cm="1">
        <f t="array" ref="AM168">IF(OR(AN168:AZ168=""),"BLANK",IF(AND(AN168:AZ168&lt;9999999),1,IF(AND(AN168:AZ168="NA"),3,2)))</f>
        <v>3</v>
      </c>
      <c r="AN168" s="20" t="s">
        <v>8</v>
      </c>
      <c r="AO168" s="20" t="s">
        <v>8</v>
      </c>
      <c r="AP168" s="15" t="s">
        <v>8</v>
      </c>
      <c r="AQ168" s="15" t="s">
        <v>8</v>
      </c>
      <c r="AR168" s="15" t="s">
        <v>8</v>
      </c>
      <c r="AS168" s="26" t="s">
        <v>8</v>
      </c>
      <c r="AT168" s="26" t="s">
        <v>8</v>
      </c>
      <c r="AU168" s="26" t="s">
        <v>8</v>
      </c>
      <c r="AV168" s="26" t="s">
        <v>8</v>
      </c>
      <c r="AW168" s="26" t="s">
        <v>8</v>
      </c>
      <c r="AX168" s="26" t="s">
        <v>8</v>
      </c>
      <c r="AY168" s="26" t="s">
        <v>8</v>
      </c>
      <c r="AZ168" s="26" t="s">
        <v>8</v>
      </c>
      <c r="BA168" s="23">
        <v>3</v>
      </c>
      <c r="BB168" s="24" t="s">
        <v>8</v>
      </c>
    </row>
    <row r="169" spans="1:54" x14ac:dyDescent="0.2">
      <c r="A169" s="21">
        <v>3066</v>
      </c>
      <c r="B169" s="20" t="s">
        <v>74</v>
      </c>
      <c r="C169" s="18" t="s">
        <v>54</v>
      </c>
      <c r="D169" s="18">
        <v>5</v>
      </c>
      <c r="E169" s="18">
        <v>0</v>
      </c>
      <c r="F169" s="51" t="s">
        <v>9</v>
      </c>
      <c r="G169" s="18">
        <v>30</v>
      </c>
      <c r="H169" s="22">
        <v>3.5619438740588638</v>
      </c>
      <c r="I169" s="22">
        <v>3.8576317590691307</v>
      </c>
      <c r="J169" s="22">
        <v>7.4195756331279945</v>
      </c>
      <c r="K169" s="22">
        <v>3.5619438740588638</v>
      </c>
      <c r="L169" s="22">
        <v>3.8576317590691307</v>
      </c>
      <c r="M169" s="22">
        <v>7.4195756331279945</v>
      </c>
      <c r="N169" s="22">
        <v>3.5318275154004106</v>
      </c>
      <c r="O169" s="22">
        <v>3.8439425051334704</v>
      </c>
      <c r="P169" s="22">
        <v>7.3757700205338805</v>
      </c>
      <c r="Q169" s="22">
        <v>3.9644079397672827</v>
      </c>
      <c r="R169" s="22" t="s">
        <v>8</v>
      </c>
      <c r="S169" s="22" t="s">
        <v>8</v>
      </c>
      <c r="T169" s="20">
        <v>3</v>
      </c>
      <c r="U169" s="20">
        <v>14</v>
      </c>
      <c r="V169" s="20" t="s">
        <v>1</v>
      </c>
      <c r="W169" s="20">
        <v>5</v>
      </c>
      <c r="X169" s="20">
        <v>3</v>
      </c>
      <c r="Y169" s="5">
        <v>1</v>
      </c>
      <c r="Z169" s="20">
        <v>4</v>
      </c>
      <c r="AA169" s="23">
        <f t="shared" si="4"/>
        <v>1</v>
      </c>
      <c r="AB169" s="15">
        <v>1</v>
      </c>
      <c r="AC169" s="15">
        <v>0.66700000000000004</v>
      </c>
      <c r="AD169" s="15">
        <v>0.5</v>
      </c>
      <c r="AE169" s="15">
        <v>0.75</v>
      </c>
      <c r="AF169" s="20">
        <v>18</v>
      </c>
      <c r="AG169" s="20">
        <v>11.92</v>
      </c>
      <c r="AH169" s="24">
        <v>24</v>
      </c>
      <c r="AI169" s="23">
        <f t="shared" si="5"/>
        <v>1</v>
      </c>
      <c r="AJ169" s="15">
        <v>5.25</v>
      </c>
      <c r="AK169" s="15">
        <v>7.25</v>
      </c>
      <c r="AL169" s="25">
        <v>12.5</v>
      </c>
      <c r="AM169" s="23" cm="1">
        <f t="array" ref="AM169">IF(OR(AN169:AZ169=""),"BLANK",IF(AND(AN169:AZ169&lt;9999999),1,IF(AND(AN169:AZ169="NA"),3,2)))</f>
        <v>1</v>
      </c>
      <c r="AN169" s="20">
        <v>9</v>
      </c>
      <c r="AO169" s="20">
        <v>2</v>
      </c>
      <c r="AP169" s="15">
        <v>3</v>
      </c>
      <c r="AQ169" s="15">
        <v>4.25</v>
      </c>
      <c r="AR169" s="15">
        <v>7</v>
      </c>
      <c r="AS169" s="26">
        <v>804.5</v>
      </c>
      <c r="AT169" s="26">
        <v>2078</v>
      </c>
      <c r="AU169" s="26">
        <v>2525</v>
      </c>
      <c r="AV169" s="26">
        <v>2782.5</v>
      </c>
      <c r="AW169" s="26">
        <v>0</v>
      </c>
      <c r="AX169" s="26">
        <v>0</v>
      </c>
      <c r="AY169" s="26">
        <v>0</v>
      </c>
      <c r="AZ169" s="26">
        <v>853.67083333330004</v>
      </c>
      <c r="BA169" s="23">
        <v>3</v>
      </c>
      <c r="BB169" s="24" t="s">
        <v>8</v>
      </c>
    </row>
    <row r="170" spans="1:54" x14ac:dyDescent="0.2">
      <c r="A170" s="21">
        <v>3102</v>
      </c>
      <c r="B170" s="20" t="s">
        <v>82</v>
      </c>
      <c r="C170" s="18" t="s">
        <v>55</v>
      </c>
      <c r="D170" s="18">
        <v>5</v>
      </c>
      <c r="E170" s="18">
        <v>0</v>
      </c>
      <c r="F170" s="51" t="s">
        <v>9</v>
      </c>
      <c r="G170" s="18">
        <v>30</v>
      </c>
      <c r="H170" s="22">
        <v>3.4715947980835042</v>
      </c>
      <c r="I170" s="22">
        <v>3.9753593429158109</v>
      </c>
      <c r="J170" s="22">
        <v>7.4469541409993152</v>
      </c>
      <c r="K170" s="22">
        <v>3.4688569472963722</v>
      </c>
      <c r="L170" s="22">
        <v>3.9753593429158109</v>
      </c>
      <c r="M170" s="22">
        <v>7.4442162902121831</v>
      </c>
      <c r="N170" s="22">
        <v>3.4360027378507869</v>
      </c>
      <c r="O170" s="22">
        <v>3.9698836413415468</v>
      </c>
      <c r="P170" s="22">
        <v>7.4058863791923342</v>
      </c>
      <c r="Q170" s="22">
        <v>3.8439425051334704</v>
      </c>
      <c r="R170" s="22" t="s">
        <v>8</v>
      </c>
      <c r="S170" s="22" t="s">
        <v>8</v>
      </c>
      <c r="T170" s="20">
        <v>4</v>
      </c>
      <c r="U170" s="20">
        <v>16</v>
      </c>
      <c r="V170" s="20" t="s">
        <v>1</v>
      </c>
      <c r="W170" s="20">
        <v>5</v>
      </c>
      <c r="X170" s="20">
        <v>3</v>
      </c>
      <c r="Y170" s="5">
        <v>1</v>
      </c>
      <c r="Z170" s="20">
        <v>4</v>
      </c>
      <c r="AA170" s="23">
        <f t="shared" si="4"/>
        <v>1</v>
      </c>
      <c r="AB170" s="15">
        <v>0.83299999999999996</v>
      </c>
      <c r="AC170" s="15">
        <v>0.5</v>
      </c>
      <c r="AD170" s="15">
        <v>0.16700000000000001</v>
      </c>
      <c r="AE170" s="15">
        <v>0.45800000000000002</v>
      </c>
      <c r="AF170" s="20">
        <v>11</v>
      </c>
      <c r="AG170" s="20">
        <v>3.82</v>
      </c>
      <c r="AH170" s="24">
        <v>24</v>
      </c>
      <c r="AI170" s="23">
        <f t="shared" si="5"/>
        <v>1</v>
      </c>
      <c r="AJ170" s="15">
        <v>1.75</v>
      </c>
      <c r="AK170" s="15">
        <v>4.75</v>
      </c>
      <c r="AL170" s="25">
        <v>6.5</v>
      </c>
      <c r="AM170" s="23" cm="1">
        <f t="array" ref="AM170">IF(OR(AN170:AZ170=""),"BLANK",IF(AND(AN170:AZ170&lt;9999999),1,IF(AND(AN170:AZ170="NA"),3,2)))</f>
        <v>1</v>
      </c>
      <c r="AN170" s="20">
        <v>4</v>
      </c>
      <c r="AO170" s="20">
        <v>2</v>
      </c>
      <c r="AP170" s="15">
        <v>3.5</v>
      </c>
      <c r="AQ170" s="15">
        <v>6.5</v>
      </c>
      <c r="AR170" s="15">
        <v>9.25</v>
      </c>
      <c r="AS170" s="26">
        <v>15</v>
      </c>
      <c r="AT170" s="26">
        <v>4877</v>
      </c>
      <c r="AU170" s="26">
        <v>6423</v>
      </c>
      <c r="AV170" s="26">
        <v>6550</v>
      </c>
      <c r="AW170" s="26">
        <v>0</v>
      </c>
      <c r="AX170" s="26">
        <v>0</v>
      </c>
      <c r="AY170" s="26">
        <v>3224.5381944443998</v>
      </c>
      <c r="AZ170" s="26">
        <v>1800.365530303</v>
      </c>
      <c r="BA170" s="23">
        <v>3</v>
      </c>
      <c r="BB170" s="24" t="s">
        <v>8</v>
      </c>
    </row>
    <row r="171" spans="1:54" x14ac:dyDescent="0.2">
      <c r="A171" s="21">
        <v>3126</v>
      </c>
      <c r="B171" s="20" t="s">
        <v>68</v>
      </c>
      <c r="C171" s="18" t="s">
        <v>54</v>
      </c>
      <c r="D171" s="18">
        <v>5</v>
      </c>
      <c r="E171" s="18">
        <v>0</v>
      </c>
      <c r="F171" s="51" t="s">
        <v>9</v>
      </c>
      <c r="G171" s="18">
        <v>29</v>
      </c>
      <c r="H171" s="22">
        <v>3.4770704996577688</v>
      </c>
      <c r="I171" s="22">
        <v>4.3531827515400412</v>
      </c>
      <c r="J171" s="22">
        <v>7.83025325119781</v>
      </c>
      <c r="K171" s="22">
        <v>3.5646817248459959</v>
      </c>
      <c r="L171" s="22">
        <v>4.2464065708418888</v>
      </c>
      <c r="M171" s="22">
        <v>7.8110882956878847</v>
      </c>
      <c r="N171" s="22">
        <v>3.5592060232717317</v>
      </c>
      <c r="O171" s="22">
        <v>4.1916495550992474</v>
      </c>
      <c r="P171" s="22">
        <v>7.7508555783709792</v>
      </c>
      <c r="Q171" s="22">
        <v>3.6550308008213555</v>
      </c>
      <c r="R171" s="22" t="s">
        <v>8</v>
      </c>
      <c r="S171" s="22" t="s">
        <v>8</v>
      </c>
      <c r="T171" s="20" t="s">
        <v>8</v>
      </c>
      <c r="U171" s="20" t="s">
        <v>8</v>
      </c>
      <c r="V171" s="20" t="s">
        <v>1</v>
      </c>
      <c r="W171" s="20">
        <v>5</v>
      </c>
      <c r="X171" s="20">
        <v>3</v>
      </c>
      <c r="Y171" s="5">
        <v>1</v>
      </c>
      <c r="Z171" s="20">
        <v>4</v>
      </c>
      <c r="AA171" s="23">
        <f t="shared" si="4"/>
        <v>1</v>
      </c>
      <c r="AB171" s="15">
        <v>1</v>
      </c>
      <c r="AC171" s="15">
        <v>0.66700000000000004</v>
      </c>
      <c r="AD171" s="15">
        <v>0.66700000000000004</v>
      </c>
      <c r="AE171" s="15">
        <v>0.83299999999999996</v>
      </c>
      <c r="AF171" s="20">
        <v>20</v>
      </c>
      <c r="AG171" s="20">
        <v>1.72</v>
      </c>
      <c r="AH171" s="24">
        <v>24</v>
      </c>
      <c r="AI171" s="23">
        <f t="shared" si="5"/>
        <v>1</v>
      </c>
      <c r="AJ171" s="15">
        <v>4</v>
      </c>
      <c r="AK171" s="15">
        <v>3.75</v>
      </c>
      <c r="AL171" s="25">
        <v>7.75</v>
      </c>
      <c r="AM171" s="23" cm="1">
        <f t="array" ref="AM171">IF(OR(AN171:AZ171=""),"BLANK",IF(AND(AN171:AZ171&lt;9999999),1,IF(AND(AN171:AZ171="NA"),3,2)))</f>
        <v>1</v>
      </c>
      <c r="AN171" s="20">
        <v>5</v>
      </c>
      <c r="AO171" s="20">
        <v>2</v>
      </c>
      <c r="AP171" s="15">
        <v>3.5</v>
      </c>
      <c r="AQ171" s="15">
        <v>6</v>
      </c>
      <c r="AR171" s="15">
        <v>8.25</v>
      </c>
      <c r="AS171" s="26">
        <v>2544.5</v>
      </c>
      <c r="AT171" s="26">
        <v>4739</v>
      </c>
      <c r="AU171" s="26">
        <v>5561.25</v>
      </c>
      <c r="AV171" s="26">
        <v>12968.5</v>
      </c>
      <c r="AW171" s="26">
        <v>0</v>
      </c>
      <c r="AX171" s="26">
        <v>574.375</v>
      </c>
      <c r="AY171" s="26">
        <v>1866.0541666667</v>
      </c>
      <c r="AZ171" s="26">
        <v>4205.05</v>
      </c>
      <c r="BA171" s="23">
        <v>3</v>
      </c>
      <c r="BB171" s="24" t="s">
        <v>8</v>
      </c>
    </row>
    <row r="172" spans="1:54" x14ac:dyDescent="0.2">
      <c r="A172" s="21">
        <v>3131</v>
      </c>
      <c r="B172" s="20" t="s">
        <v>80</v>
      </c>
      <c r="C172" s="18" t="s">
        <v>54</v>
      </c>
      <c r="D172" s="18">
        <v>5</v>
      </c>
      <c r="E172" s="18">
        <v>0</v>
      </c>
      <c r="F172" s="51" t="s">
        <v>9</v>
      </c>
      <c r="G172" s="18">
        <v>30</v>
      </c>
      <c r="H172" s="22">
        <v>3.5482546201232035</v>
      </c>
      <c r="I172" s="22">
        <v>4.2902121834360027</v>
      </c>
      <c r="J172" s="22">
        <v>7.8384668035592062</v>
      </c>
      <c r="K172" s="22">
        <v>3.5482546201232035</v>
      </c>
      <c r="L172" s="22">
        <v>4.2902121834360027</v>
      </c>
      <c r="M172" s="22">
        <v>7.8384668035592062</v>
      </c>
      <c r="N172" s="22">
        <v>3.5400410677618068</v>
      </c>
      <c r="O172" s="22">
        <v>4.3230663928815876</v>
      </c>
      <c r="P172" s="22">
        <v>7.8631074606433948</v>
      </c>
      <c r="Q172" s="22">
        <v>3.4086242299794662</v>
      </c>
      <c r="R172" s="22">
        <v>4.2546201232032859</v>
      </c>
      <c r="S172" s="22">
        <v>7.6632443531827512</v>
      </c>
      <c r="T172" s="20">
        <v>3</v>
      </c>
      <c r="U172" s="20">
        <v>14.5</v>
      </c>
      <c r="V172" s="20" t="s">
        <v>1</v>
      </c>
      <c r="W172" s="20">
        <v>5</v>
      </c>
      <c r="X172" s="20">
        <v>3</v>
      </c>
      <c r="Y172" s="5">
        <v>1</v>
      </c>
      <c r="Z172" s="20">
        <v>4</v>
      </c>
      <c r="AA172" s="23">
        <f t="shared" si="4"/>
        <v>1</v>
      </c>
      <c r="AB172" s="15">
        <v>1</v>
      </c>
      <c r="AC172" s="15">
        <v>1</v>
      </c>
      <c r="AD172" s="15">
        <v>0.66700000000000004</v>
      </c>
      <c r="AE172" s="15">
        <v>0.86399999999999999</v>
      </c>
      <c r="AF172" s="20">
        <v>19</v>
      </c>
      <c r="AG172" s="20">
        <v>8.5</v>
      </c>
      <c r="AH172" s="24">
        <v>22</v>
      </c>
      <c r="AI172" s="23">
        <f t="shared" si="5"/>
        <v>1</v>
      </c>
      <c r="AJ172" s="15">
        <v>5.5</v>
      </c>
      <c r="AK172" s="15">
        <v>6.5</v>
      </c>
      <c r="AL172" s="25">
        <v>12</v>
      </c>
      <c r="AM172" s="23" cm="1">
        <f t="array" ref="AM172">IF(OR(AN172:AZ172=""),"BLANK",IF(AND(AN172:AZ172&lt;9999999),1,IF(AND(AN172:AZ172="NA"),3,2)))</f>
        <v>1</v>
      </c>
      <c r="AN172" s="20">
        <v>10</v>
      </c>
      <c r="AO172" s="20">
        <v>2</v>
      </c>
      <c r="AP172" s="15">
        <v>3</v>
      </c>
      <c r="AQ172" s="15">
        <v>4</v>
      </c>
      <c r="AR172" s="15">
        <v>5.5</v>
      </c>
      <c r="AS172" s="26">
        <v>140</v>
      </c>
      <c r="AT172" s="26">
        <v>1608.5</v>
      </c>
      <c r="AU172" s="26">
        <v>6649.75</v>
      </c>
      <c r="AV172" s="26">
        <v>8358</v>
      </c>
      <c r="AW172" s="26">
        <v>0</v>
      </c>
      <c r="AX172" s="26">
        <v>0</v>
      </c>
      <c r="AY172" s="26">
        <v>0</v>
      </c>
      <c r="AZ172" s="26">
        <v>49.433333333299998</v>
      </c>
      <c r="BA172" s="23">
        <v>3</v>
      </c>
      <c r="BB172" s="24" t="s">
        <v>8</v>
      </c>
    </row>
    <row r="173" spans="1:54" x14ac:dyDescent="0.2">
      <c r="A173" s="21">
        <v>3146</v>
      </c>
      <c r="B173" s="20" t="s">
        <v>68</v>
      </c>
      <c r="C173" s="18" t="s">
        <v>55</v>
      </c>
      <c r="D173" s="18">
        <v>5</v>
      </c>
      <c r="E173" s="18">
        <v>1</v>
      </c>
      <c r="F173" s="51" t="s">
        <v>9</v>
      </c>
      <c r="G173" s="18">
        <v>29</v>
      </c>
      <c r="H173" s="22">
        <v>3.460643394934976</v>
      </c>
      <c r="I173" s="22">
        <v>4.5393566050650236</v>
      </c>
      <c r="J173" s="22">
        <v>8</v>
      </c>
      <c r="K173" s="22">
        <v>3.460643394934976</v>
      </c>
      <c r="L173" s="22">
        <v>4.6543463381245722</v>
      </c>
      <c r="M173" s="22">
        <v>8.1149897330595486</v>
      </c>
      <c r="N173" s="22">
        <v>3.5263518138261465</v>
      </c>
      <c r="O173" s="22">
        <v>4.4791238877481181</v>
      </c>
      <c r="P173" s="22">
        <v>8.0054757015742641</v>
      </c>
      <c r="Q173" s="22">
        <v>3.5455167693360714</v>
      </c>
      <c r="R173" s="22" t="s">
        <v>8</v>
      </c>
      <c r="S173" s="22" t="s">
        <v>8</v>
      </c>
      <c r="T173" s="20" t="s">
        <v>8</v>
      </c>
      <c r="U173" s="20" t="s">
        <v>8</v>
      </c>
      <c r="V173" s="20" t="s">
        <v>1</v>
      </c>
      <c r="W173" s="20">
        <v>5</v>
      </c>
      <c r="X173" s="20">
        <v>3</v>
      </c>
      <c r="Y173" s="5">
        <v>1</v>
      </c>
      <c r="Z173" s="20">
        <v>4</v>
      </c>
      <c r="AA173" s="23">
        <f t="shared" si="4"/>
        <v>1</v>
      </c>
      <c r="AB173" s="15">
        <v>1</v>
      </c>
      <c r="AC173" s="15">
        <v>0.83299999999999996</v>
      </c>
      <c r="AD173" s="15">
        <v>0</v>
      </c>
      <c r="AE173" s="15">
        <v>0.69599999999999995</v>
      </c>
      <c r="AF173" s="20">
        <v>16</v>
      </c>
      <c r="AG173" s="20">
        <v>10.7</v>
      </c>
      <c r="AH173" s="24">
        <v>23</v>
      </c>
      <c r="AI173" s="23">
        <f t="shared" si="5"/>
        <v>1</v>
      </c>
      <c r="AJ173" s="15">
        <v>2.5</v>
      </c>
      <c r="AK173" s="15">
        <v>6.25</v>
      </c>
      <c r="AL173" s="25">
        <v>8.75</v>
      </c>
      <c r="AM173" s="23" cm="1">
        <f t="array" ref="AM173">IF(OR(AN173:AZ173=""),"BLANK",IF(AND(AN173:AZ173&lt;9999999),1,IF(AND(AN173:AZ173="NA"),3,2)))</f>
        <v>1</v>
      </c>
      <c r="AN173" s="20">
        <v>8</v>
      </c>
      <c r="AO173" s="20">
        <v>2</v>
      </c>
      <c r="AP173" s="15">
        <v>3</v>
      </c>
      <c r="AQ173" s="15">
        <v>6.5</v>
      </c>
      <c r="AR173" s="15">
        <v>7.75</v>
      </c>
      <c r="AS173" s="26">
        <v>0</v>
      </c>
      <c r="AT173" s="26">
        <v>2126</v>
      </c>
      <c r="AU173" s="26">
        <v>3673.75</v>
      </c>
      <c r="AV173" s="26">
        <v>5948.25</v>
      </c>
      <c r="AW173" s="26">
        <v>0</v>
      </c>
      <c r="AX173" s="26">
        <v>0</v>
      </c>
      <c r="AY173" s="26">
        <v>475.3472222222</v>
      </c>
      <c r="AZ173" s="26">
        <v>283.28611111110001</v>
      </c>
      <c r="BA173" s="23">
        <v>3</v>
      </c>
      <c r="BB173" s="24" t="s">
        <v>8</v>
      </c>
    </row>
    <row r="174" spans="1:54" x14ac:dyDescent="0.2">
      <c r="A174" s="21">
        <v>3163</v>
      </c>
      <c r="B174" s="20" t="s">
        <v>70</v>
      </c>
      <c r="C174" s="18" t="s">
        <v>55</v>
      </c>
      <c r="D174" s="18">
        <v>5</v>
      </c>
      <c r="E174" s="18">
        <v>0</v>
      </c>
      <c r="F174" s="51" t="s">
        <v>9</v>
      </c>
      <c r="G174" s="18">
        <v>29</v>
      </c>
      <c r="H174" s="22">
        <v>3.3921971252566734</v>
      </c>
      <c r="I174" s="22">
        <v>4.5010266940451746</v>
      </c>
      <c r="J174" s="22">
        <v>7.8932238193018485</v>
      </c>
      <c r="K174" s="22">
        <v>3.3921971252566734</v>
      </c>
      <c r="L174" s="22">
        <v>4.5010266940451746</v>
      </c>
      <c r="M174" s="22">
        <v>7.8932238193018485</v>
      </c>
      <c r="N174" s="22">
        <v>3.4086242299794662</v>
      </c>
      <c r="O174" s="22" t="s">
        <v>8</v>
      </c>
      <c r="P174" s="22" t="s">
        <v>8</v>
      </c>
      <c r="Q174" s="22">
        <v>3.8302532511978096</v>
      </c>
      <c r="R174" s="22" t="s">
        <v>8</v>
      </c>
      <c r="S174" s="22" t="s">
        <v>8</v>
      </c>
      <c r="T174" s="20">
        <v>4</v>
      </c>
      <c r="U174" s="20">
        <v>16</v>
      </c>
      <c r="V174" s="20" t="s">
        <v>1</v>
      </c>
      <c r="W174" s="20">
        <v>5</v>
      </c>
      <c r="X174" s="20">
        <v>3</v>
      </c>
      <c r="Y174" s="5">
        <v>1</v>
      </c>
      <c r="Z174" s="20">
        <v>4</v>
      </c>
      <c r="AA174" s="23">
        <f t="shared" si="4"/>
        <v>1</v>
      </c>
      <c r="AB174" s="15">
        <v>1</v>
      </c>
      <c r="AC174" s="15">
        <v>1</v>
      </c>
      <c r="AD174" s="15">
        <v>1</v>
      </c>
      <c r="AE174" s="15">
        <v>0.95799999999999996</v>
      </c>
      <c r="AF174" s="20">
        <v>23</v>
      </c>
      <c r="AG174" s="20">
        <v>8.6999999999999993</v>
      </c>
      <c r="AH174" s="24">
        <v>24</v>
      </c>
      <c r="AI174" s="23">
        <f t="shared" si="5"/>
        <v>1</v>
      </c>
      <c r="AJ174" s="15">
        <v>12.75</v>
      </c>
      <c r="AK174" s="15">
        <v>10.75</v>
      </c>
      <c r="AL174" s="25">
        <v>23.5</v>
      </c>
      <c r="AM174" s="23" cm="1">
        <f t="array" ref="AM174">IF(OR(AN174:AZ174=""),"BLANK",IF(AND(AN174:AZ174&lt;9999999),1,IF(AND(AN174:AZ174="NA"),3,2)))</f>
        <v>1</v>
      </c>
      <c r="AN174" s="20">
        <v>11</v>
      </c>
      <c r="AO174" s="20">
        <v>2</v>
      </c>
      <c r="AP174" s="15">
        <v>3</v>
      </c>
      <c r="AQ174" s="15">
        <v>4.5</v>
      </c>
      <c r="AR174" s="15">
        <v>5</v>
      </c>
      <c r="AS174" s="26">
        <v>2128.5</v>
      </c>
      <c r="AT174" s="26">
        <v>6735.5</v>
      </c>
      <c r="AU174" s="26">
        <v>8113.25</v>
      </c>
      <c r="AV174" s="26">
        <v>26998.75</v>
      </c>
      <c r="AW174" s="26">
        <v>0</v>
      </c>
      <c r="AX174" s="26">
        <v>0</v>
      </c>
      <c r="AY174" s="26">
        <v>0</v>
      </c>
      <c r="AZ174" s="26">
        <v>0</v>
      </c>
      <c r="BA174" s="23">
        <v>3</v>
      </c>
      <c r="BB174" s="24" t="s">
        <v>8</v>
      </c>
    </row>
    <row r="175" spans="1:54" x14ac:dyDescent="0.2">
      <c r="A175" s="21">
        <v>3211</v>
      </c>
      <c r="B175" s="20" t="s">
        <v>85</v>
      </c>
      <c r="C175" s="18" t="s">
        <v>55</v>
      </c>
      <c r="D175" s="18">
        <v>5</v>
      </c>
      <c r="E175" s="18">
        <v>0</v>
      </c>
      <c r="F175" s="51" t="s">
        <v>9</v>
      </c>
      <c r="G175" s="18">
        <v>26</v>
      </c>
      <c r="H175" s="22">
        <v>3.8850102669404518</v>
      </c>
      <c r="I175" s="22">
        <v>3.7535934291581108</v>
      </c>
      <c r="J175" s="22">
        <v>7.6386036960985626</v>
      </c>
      <c r="K175" s="22">
        <v>4.3641341546885695</v>
      </c>
      <c r="L175" s="22">
        <v>3.3100616016427105</v>
      </c>
      <c r="M175" s="22">
        <v>7.6741957563312804</v>
      </c>
      <c r="N175" s="22">
        <v>4.0136892539356603</v>
      </c>
      <c r="O175" s="22">
        <v>3.6358658453114305</v>
      </c>
      <c r="P175" s="22">
        <v>7.6495550992470909</v>
      </c>
      <c r="Q175" s="22">
        <v>4.0958247775496233</v>
      </c>
      <c r="R175" s="22">
        <v>3.808350444900753</v>
      </c>
      <c r="S175" s="22">
        <v>7.9041752224503767</v>
      </c>
      <c r="T175" s="20">
        <v>4</v>
      </c>
      <c r="U175" s="20">
        <v>16</v>
      </c>
      <c r="V175" s="20" t="s">
        <v>1</v>
      </c>
      <c r="W175" s="20">
        <v>5</v>
      </c>
      <c r="X175" s="20">
        <v>3</v>
      </c>
      <c r="Y175" s="5">
        <v>1</v>
      </c>
      <c r="Z175" s="20">
        <v>4</v>
      </c>
      <c r="AA175" s="23">
        <f t="shared" si="4"/>
        <v>1</v>
      </c>
      <c r="AB175" s="15">
        <v>1</v>
      </c>
      <c r="AC175" s="15">
        <v>0.83299999999999996</v>
      </c>
      <c r="AD175" s="15">
        <v>0.33300000000000002</v>
      </c>
      <c r="AE175" s="15">
        <v>0.70799999999999996</v>
      </c>
      <c r="AF175" s="20">
        <v>17</v>
      </c>
      <c r="AG175" s="20">
        <v>8.8800000000000008</v>
      </c>
      <c r="AH175" s="24">
        <v>24</v>
      </c>
      <c r="AI175" s="23">
        <f t="shared" si="5"/>
        <v>1</v>
      </c>
      <c r="AJ175" s="15">
        <v>6</v>
      </c>
      <c r="AK175" s="15">
        <v>5.25</v>
      </c>
      <c r="AL175" s="25">
        <v>11.25</v>
      </c>
      <c r="AM175" s="23" cm="1">
        <f t="array" ref="AM175">IF(OR(AN175:AZ175=""),"BLANK",IF(AND(AN175:AZ175&lt;9999999),1,IF(AND(AN175:AZ175="NA"),3,2)))</f>
        <v>1</v>
      </c>
      <c r="AN175" s="20">
        <v>8</v>
      </c>
      <c r="AO175" s="20">
        <v>2</v>
      </c>
      <c r="AP175" s="15">
        <v>3</v>
      </c>
      <c r="AQ175" s="15">
        <v>5.75</v>
      </c>
      <c r="AR175" s="15">
        <v>6.75</v>
      </c>
      <c r="AS175" s="26">
        <v>715.5</v>
      </c>
      <c r="AT175" s="26">
        <v>3922</v>
      </c>
      <c r="AU175" s="26">
        <v>1234</v>
      </c>
      <c r="AV175" s="26">
        <v>7822.25</v>
      </c>
      <c r="AW175" s="26">
        <v>0</v>
      </c>
      <c r="AX175" s="26">
        <v>0</v>
      </c>
      <c r="AY175" s="26">
        <v>0</v>
      </c>
      <c r="AZ175" s="26">
        <v>127.70277777779999</v>
      </c>
      <c r="BA175" s="23">
        <v>3</v>
      </c>
      <c r="BB175" s="24" t="s">
        <v>8</v>
      </c>
    </row>
    <row r="176" spans="1:54" x14ac:dyDescent="0.2">
      <c r="A176" s="21">
        <v>3306</v>
      </c>
      <c r="B176" s="20" t="s">
        <v>68</v>
      </c>
      <c r="C176" s="18" t="s">
        <v>54</v>
      </c>
      <c r="D176" s="18">
        <v>5</v>
      </c>
      <c r="E176" s="18">
        <v>0</v>
      </c>
      <c r="F176" s="51" t="s">
        <v>9</v>
      </c>
      <c r="G176" s="18">
        <v>30</v>
      </c>
      <c r="H176" s="22">
        <v>3.4524298425735798</v>
      </c>
      <c r="I176" s="22">
        <v>3.4113620807665983</v>
      </c>
      <c r="J176" s="22">
        <v>6.8637919233401776</v>
      </c>
      <c r="K176" s="22">
        <v>3.4524298425735798</v>
      </c>
      <c r="L176" s="22">
        <v>3.4496919917864477</v>
      </c>
      <c r="M176" s="22">
        <v>6.9021218343600275</v>
      </c>
      <c r="N176" s="22">
        <v>3.4332648870636548</v>
      </c>
      <c r="O176" s="22">
        <v>3.4305270362765228</v>
      </c>
      <c r="P176" s="22">
        <v>6.8637919233401776</v>
      </c>
      <c r="Q176" s="22">
        <v>3.3648186173853527</v>
      </c>
      <c r="R176" s="22" t="s">
        <v>8</v>
      </c>
      <c r="S176" s="22" t="s">
        <v>8</v>
      </c>
      <c r="T176" s="20">
        <v>4</v>
      </c>
      <c r="U176" s="20">
        <v>16</v>
      </c>
      <c r="V176" s="20" t="s">
        <v>1</v>
      </c>
      <c r="W176" s="20">
        <v>5</v>
      </c>
      <c r="X176" s="20">
        <v>3</v>
      </c>
      <c r="Y176" s="5">
        <v>1</v>
      </c>
      <c r="Z176" s="20">
        <v>4</v>
      </c>
      <c r="AA176" s="23">
        <f t="shared" si="4"/>
        <v>1</v>
      </c>
      <c r="AB176" s="15">
        <v>0.83299999999999996</v>
      </c>
      <c r="AC176" s="15">
        <v>0.66700000000000004</v>
      </c>
      <c r="AD176" s="15">
        <v>0.5</v>
      </c>
      <c r="AE176" s="15">
        <v>0.5</v>
      </c>
      <c r="AF176" s="20">
        <v>12</v>
      </c>
      <c r="AG176" s="20">
        <v>5.67</v>
      </c>
      <c r="AH176" s="24">
        <v>24</v>
      </c>
      <c r="AI176" s="23">
        <f t="shared" si="5"/>
        <v>1</v>
      </c>
      <c r="AJ176" s="15">
        <v>5.25</v>
      </c>
      <c r="AK176" s="15">
        <v>7.75</v>
      </c>
      <c r="AL176" s="25">
        <v>13</v>
      </c>
      <c r="AM176" s="23" cm="1">
        <f t="array" ref="AM176">IF(OR(AN176:AZ176=""),"BLANK",IF(AND(AN176:AZ176&lt;9999999),1,IF(AND(AN176:AZ176="NA"),3,2)))</f>
        <v>1</v>
      </c>
      <c r="AN176" s="20">
        <v>4</v>
      </c>
      <c r="AO176" s="20">
        <v>2</v>
      </c>
      <c r="AP176" s="15">
        <v>3</v>
      </c>
      <c r="AQ176" s="15">
        <v>7.75</v>
      </c>
      <c r="AR176" s="15">
        <v>9.75</v>
      </c>
      <c r="AS176" s="26">
        <v>0</v>
      </c>
      <c r="AT176" s="26">
        <v>2049.5</v>
      </c>
      <c r="AU176" s="26">
        <v>2526.75</v>
      </c>
      <c r="AV176" s="26">
        <v>3386</v>
      </c>
      <c r="AW176" s="26">
        <v>0</v>
      </c>
      <c r="AX176" s="26">
        <v>0</v>
      </c>
      <c r="AY176" s="26">
        <v>5442.4642857142999</v>
      </c>
      <c r="AZ176" s="26">
        <v>2802.6111111110999</v>
      </c>
      <c r="BA176" s="23">
        <v>3</v>
      </c>
      <c r="BB176" s="24" t="s">
        <v>8</v>
      </c>
    </row>
    <row r="177" spans="1:54" x14ac:dyDescent="0.2">
      <c r="A177" s="21">
        <v>3319</v>
      </c>
      <c r="B177" s="20" t="s">
        <v>81</v>
      </c>
      <c r="C177" s="18" t="s">
        <v>54</v>
      </c>
      <c r="D177" s="18">
        <v>5</v>
      </c>
      <c r="E177" s="18">
        <v>0</v>
      </c>
      <c r="F177" s="51" t="s">
        <v>9</v>
      </c>
      <c r="G177" s="18">
        <v>27</v>
      </c>
      <c r="H177" s="22">
        <v>3.6221765913757702</v>
      </c>
      <c r="I177" s="22">
        <v>4.3285420944558526</v>
      </c>
      <c r="J177" s="22">
        <v>7.9507186858316219</v>
      </c>
      <c r="K177" s="22">
        <v>3.6933607118412048</v>
      </c>
      <c r="L177" s="22">
        <v>4.2792607802874745</v>
      </c>
      <c r="M177" s="22">
        <v>7.9726214921286793</v>
      </c>
      <c r="N177" s="22">
        <v>3.871321013004791</v>
      </c>
      <c r="O177" s="22">
        <v>4.1998631074606436</v>
      </c>
      <c r="P177" s="22">
        <v>8.0711841204654338</v>
      </c>
      <c r="Q177" s="22">
        <v>3.6030116358658453</v>
      </c>
      <c r="R177" s="22" t="s">
        <v>8</v>
      </c>
      <c r="S177" s="22" t="s">
        <v>8</v>
      </c>
      <c r="T177" s="20">
        <v>1</v>
      </c>
      <c r="U177" s="20">
        <v>11</v>
      </c>
      <c r="V177" s="20" t="s">
        <v>1</v>
      </c>
      <c r="W177" s="20">
        <v>5</v>
      </c>
      <c r="X177" s="20">
        <v>3</v>
      </c>
      <c r="Y177" s="5">
        <v>1</v>
      </c>
      <c r="Z177" s="20">
        <v>4</v>
      </c>
      <c r="AA177" s="23">
        <f t="shared" si="4"/>
        <v>2</v>
      </c>
      <c r="AB177" s="15">
        <v>0.83299999999999996</v>
      </c>
      <c r="AC177" s="15">
        <v>0.25</v>
      </c>
      <c r="AD177" s="15">
        <v>0.5</v>
      </c>
      <c r="AE177" s="15">
        <v>0.56200000000000006</v>
      </c>
      <c r="AF177" s="20">
        <v>9</v>
      </c>
      <c r="AG177" s="20" t="s">
        <v>8</v>
      </c>
      <c r="AH177" s="24">
        <v>16</v>
      </c>
      <c r="AI177" s="23">
        <f t="shared" si="5"/>
        <v>1</v>
      </c>
      <c r="AJ177" s="15">
        <v>2</v>
      </c>
      <c r="AK177" s="15">
        <v>2</v>
      </c>
      <c r="AL177" s="25">
        <v>4</v>
      </c>
      <c r="AM177" s="23" cm="1">
        <f t="array" ref="AM177">IF(OR(AN177:AZ177=""),"BLANK",IF(AND(AN177:AZ177&lt;9999999),1,IF(AND(AN177:AZ177="NA"),3,2)))</f>
        <v>1</v>
      </c>
      <c r="AN177" s="20">
        <v>4</v>
      </c>
      <c r="AO177" s="20">
        <v>2</v>
      </c>
      <c r="AP177" s="15">
        <v>5.5</v>
      </c>
      <c r="AQ177" s="15">
        <v>7</v>
      </c>
      <c r="AR177" s="15">
        <v>8.75</v>
      </c>
      <c r="AS177" s="26">
        <v>240.5</v>
      </c>
      <c r="AT177" s="26">
        <v>12939.5</v>
      </c>
      <c r="AU177" s="26">
        <v>9265.5</v>
      </c>
      <c r="AV177" s="26">
        <v>7323.5</v>
      </c>
      <c r="AW177" s="26">
        <v>0</v>
      </c>
      <c r="AX177" s="26">
        <v>5420.2857142857001</v>
      </c>
      <c r="AY177" s="26">
        <v>5396.1319444443998</v>
      </c>
      <c r="AZ177" s="26">
        <v>6505.7333333332999</v>
      </c>
      <c r="BA177" s="23">
        <v>3</v>
      </c>
      <c r="BB177" s="24" t="s">
        <v>8</v>
      </c>
    </row>
    <row r="178" spans="1:54" x14ac:dyDescent="0.2">
      <c r="A178" s="21">
        <v>3328</v>
      </c>
      <c r="B178" s="20" t="s">
        <v>81</v>
      </c>
      <c r="C178" s="18" t="s">
        <v>55</v>
      </c>
      <c r="D178" s="18">
        <v>5</v>
      </c>
      <c r="E178" s="18">
        <v>0</v>
      </c>
      <c r="F178" s="51" t="s">
        <v>9</v>
      </c>
      <c r="G178" s="18">
        <v>26</v>
      </c>
      <c r="H178" s="22">
        <v>3.7015742642026011</v>
      </c>
      <c r="I178" s="22">
        <v>4.5694729637234772</v>
      </c>
      <c r="J178" s="22">
        <v>8.2710472279260774</v>
      </c>
      <c r="K178" s="22">
        <v>3.7015742642026011</v>
      </c>
      <c r="L178" s="22">
        <v>4.5694729637234772</v>
      </c>
      <c r="M178" s="22">
        <v>8.2710472279260774</v>
      </c>
      <c r="N178" s="22">
        <v>4.687200547570157</v>
      </c>
      <c r="O178" s="22">
        <v>3.5044490075290895</v>
      </c>
      <c r="P178" s="22">
        <v>8.1916495550992465</v>
      </c>
      <c r="Q178" s="22" t="s">
        <v>8</v>
      </c>
      <c r="R178" s="22" t="s">
        <v>8</v>
      </c>
      <c r="S178" s="22" t="s">
        <v>8</v>
      </c>
      <c r="T178" s="20">
        <v>3</v>
      </c>
      <c r="U178" s="20">
        <v>13</v>
      </c>
      <c r="V178" s="20" t="s">
        <v>1</v>
      </c>
      <c r="W178" s="20">
        <v>5</v>
      </c>
      <c r="X178" s="20">
        <v>3</v>
      </c>
      <c r="Y178" s="5">
        <v>1</v>
      </c>
      <c r="Z178" s="20">
        <v>4</v>
      </c>
      <c r="AA178" s="23">
        <f t="shared" si="4"/>
        <v>1</v>
      </c>
      <c r="AB178" s="15">
        <v>0.83299999999999996</v>
      </c>
      <c r="AC178" s="15">
        <v>0.66700000000000004</v>
      </c>
      <c r="AD178" s="15">
        <v>0.33300000000000002</v>
      </c>
      <c r="AE178" s="15">
        <v>0.58299999999999996</v>
      </c>
      <c r="AF178" s="20">
        <v>14</v>
      </c>
      <c r="AG178" s="20">
        <v>8.3699999999999992</v>
      </c>
      <c r="AH178" s="24">
        <v>24</v>
      </c>
      <c r="AI178" s="23">
        <f t="shared" si="5"/>
        <v>1</v>
      </c>
      <c r="AJ178" s="15">
        <v>4</v>
      </c>
      <c r="AK178" s="15">
        <v>11</v>
      </c>
      <c r="AL178" s="25">
        <v>15</v>
      </c>
      <c r="AM178" s="23" cm="1">
        <f t="array" ref="AM178">IF(OR(AN178:AZ178=""),"BLANK",IF(AND(AN178:AZ178&lt;9999999),1,IF(AND(AN178:AZ178="NA"),3,2)))</f>
        <v>1</v>
      </c>
      <c r="AN178" s="20">
        <v>8</v>
      </c>
      <c r="AO178" s="20">
        <v>2</v>
      </c>
      <c r="AP178" s="15">
        <v>3</v>
      </c>
      <c r="AQ178" s="15">
        <v>6</v>
      </c>
      <c r="AR178" s="15">
        <v>7.25</v>
      </c>
      <c r="AS178" s="26">
        <v>553.5</v>
      </c>
      <c r="AT178" s="26">
        <v>8039</v>
      </c>
      <c r="AU178" s="26">
        <v>4372.25</v>
      </c>
      <c r="AV178" s="26">
        <v>8732.5</v>
      </c>
      <c r="AW178" s="26">
        <v>1663.25</v>
      </c>
      <c r="AX178" s="26">
        <v>1424.1666666666999</v>
      </c>
      <c r="AY178" s="26">
        <v>2671.8125</v>
      </c>
      <c r="AZ178" s="26">
        <v>653.12380952379999</v>
      </c>
      <c r="BA178" s="23">
        <v>3</v>
      </c>
      <c r="BB178" s="24" t="s">
        <v>8</v>
      </c>
    </row>
    <row r="179" spans="1:54" x14ac:dyDescent="0.2">
      <c r="A179" s="21">
        <v>3334</v>
      </c>
      <c r="B179" s="20" t="s">
        <v>63</v>
      </c>
      <c r="C179" s="18" t="s">
        <v>55</v>
      </c>
      <c r="D179" s="18">
        <v>5</v>
      </c>
      <c r="E179" s="18">
        <v>0</v>
      </c>
      <c r="F179" s="51" t="s">
        <v>9</v>
      </c>
      <c r="G179" s="18">
        <v>30</v>
      </c>
      <c r="H179" s="22">
        <v>3.5290896646132786</v>
      </c>
      <c r="I179" s="22">
        <v>4.4681724845995889</v>
      </c>
      <c r="J179" s="22">
        <v>7.9972621492128679</v>
      </c>
      <c r="K179" s="22">
        <v>4.774811772758385</v>
      </c>
      <c r="L179" s="22">
        <v>3.2224503764544834</v>
      </c>
      <c r="M179" s="22">
        <v>7.9972621492128679</v>
      </c>
      <c r="N179" s="22">
        <v>3.5236139630390144</v>
      </c>
      <c r="O179" s="22">
        <v>4.3915126625598901</v>
      </c>
      <c r="P179" s="22">
        <v>7.915126625598905</v>
      </c>
      <c r="Q179" s="22">
        <v>3.3456536618754278</v>
      </c>
      <c r="R179" s="22">
        <v>4.4079397672826834</v>
      </c>
      <c r="S179" s="22">
        <v>7.7535934291581112</v>
      </c>
      <c r="T179" s="20">
        <v>3</v>
      </c>
      <c r="U179" s="20">
        <v>14</v>
      </c>
      <c r="V179" s="20" t="s">
        <v>1</v>
      </c>
      <c r="W179" s="20">
        <v>5</v>
      </c>
      <c r="X179" s="20">
        <v>3</v>
      </c>
      <c r="Y179" s="5">
        <v>1</v>
      </c>
      <c r="Z179" s="20">
        <v>4</v>
      </c>
      <c r="AA179" s="23">
        <f t="shared" si="4"/>
        <v>1</v>
      </c>
      <c r="AB179" s="15">
        <v>1</v>
      </c>
      <c r="AC179" s="15">
        <v>1</v>
      </c>
      <c r="AD179" s="15">
        <v>0.66700000000000004</v>
      </c>
      <c r="AE179" s="15">
        <v>0.83299999999999996</v>
      </c>
      <c r="AF179" s="20">
        <v>20</v>
      </c>
      <c r="AG179" s="20">
        <v>4.58</v>
      </c>
      <c r="AH179" s="24">
        <v>24</v>
      </c>
      <c r="AI179" s="23">
        <f t="shared" si="5"/>
        <v>1</v>
      </c>
      <c r="AJ179" s="15">
        <v>8.75</v>
      </c>
      <c r="AK179" s="15">
        <v>8</v>
      </c>
      <c r="AL179" s="25">
        <v>16.75</v>
      </c>
      <c r="AM179" s="23" cm="1">
        <f t="array" ref="AM179">IF(OR(AN179:AZ179=""),"BLANK",IF(AND(AN179:AZ179&lt;9999999),1,IF(AND(AN179:AZ179="NA"),3,2)))</f>
        <v>1</v>
      </c>
      <c r="AN179" s="20">
        <v>11</v>
      </c>
      <c r="AO179" s="20">
        <v>2</v>
      </c>
      <c r="AP179" s="15">
        <v>3</v>
      </c>
      <c r="AQ179" s="15">
        <v>5.25</v>
      </c>
      <c r="AR179" s="15">
        <v>5</v>
      </c>
      <c r="AS179" s="26">
        <v>270.5</v>
      </c>
      <c r="AT179" s="26">
        <v>4025.5</v>
      </c>
      <c r="AU179" s="26">
        <v>8084</v>
      </c>
      <c r="AV179" s="26">
        <v>7439</v>
      </c>
      <c r="AW179" s="26">
        <v>0</v>
      </c>
      <c r="AX179" s="26">
        <v>0</v>
      </c>
      <c r="AY179" s="26">
        <v>1648.4097222221999</v>
      </c>
      <c r="AZ179" s="26">
        <v>71.55</v>
      </c>
      <c r="BA179" s="23">
        <v>3</v>
      </c>
      <c r="BB179" s="24" t="s">
        <v>8</v>
      </c>
    </row>
    <row r="180" spans="1:54" x14ac:dyDescent="0.2">
      <c r="A180" s="21">
        <v>3457</v>
      </c>
      <c r="B180" s="20" t="s">
        <v>80</v>
      </c>
      <c r="C180" s="18" t="s">
        <v>54</v>
      </c>
      <c r="D180" s="18">
        <v>5</v>
      </c>
      <c r="E180" s="18">
        <v>0</v>
      </c>
      <c r="F180" s="51" t="s">
        <v>9</v>
      </c>
      <c r="G180" s="18">
        <v>30</v>
      </c>
      <c r="H180" s="22">
        <v>4.0027378507871321</v>
      </c>
      <c r="I180" s="22">
        <v>3.2525667351129361</v>
      </c>
      <c r="J180" s="22">
        <v>7.2553045859000687</v>
      </c>
      <c r="K180" s="22">
        <v>4.0027378507871321</v>
      </c>
      <c r="L180" s="22">
        <v>3.2525667351129361</v>
      </c>
      <c r="M180" s="22">
        <v>7.2553045859000687</v>
      </c>
      <c r="N180" s="22">
        <v>4.043805612594114</v>
      </c>
      <c r="O180" s="22">
        <v>3.247091033538672</v>
      </c>
      <c r="P180" s="22">
        <v>7.2908966461327855</v>
      </c>
      <c r="Q180" s="22">
        <v>3.9863107460643397</v>
      </c>
      <c r="R180" s="22">
        <v>3.4305270362765228</v>
      </c>
      <c r="S180" s="22">
        <v>7.4168377823408624</v>
      </c>
      <c r="T180" s="20">
        <v>2</v>
      </c>
      <c r="U180" s="20">
        <v>12</v>
      </c>
      <c r="V180" s="20" t="s">
        <v>1</v>
      </c>
      <c r="W180" s="20">
        <v>5</v>
      </c>
      <c r="X180" s="20">
        <v>3</v>
      </c>
      <c r="Y180" s="5">
        <v>1</v>
      </c>
      <c r="Z180" s="20">
        <v>4</v>
      </c>
      <c r="AA180" s="23">
        <f t="shared" si="4"/>
        <v>2</v>
      </c>
      <c r="AB180" s="15">
        <v>1</v>
      </c>
      <c r="AC180" s="15">
        <v>1</v>
      </c>
      <c r="AD180" s="15">
        <v>0.4</v>
      </c>
      <c r="AE180" s="15">
        <v>0.81</v>
      </c>
      <c r="AF180" s="20">
        <v>17</v>
      </c>
      <c r="AG180" s="20" t="s">
        <v>8</v>
      </c>
      <c r="AH180" s="24">
        <v>21</v>
      </c>
      <c r="AI180" s="23">
        <f t="shared" si="5"/>
        <v>1</v>
      </c>
      <c r="AJ180" s="15">
        <v>4.75</v>
      </c>
      <c r="AK180" s="15">
        <v>8.5</v>
      </c>
      <c r="AL180" s="25">
        <v>13.25</v>
      </c>
      <c r="AM180" s="23" cm="1">
        <f t="array" ref="AM180">IF(OR(AN180:AZ180=""),"BLANK",IF(AND(AN180:AZ180&lt;9999999),1,IF(AND(AN180:AZ180="NA"),3,2)))</f>
        <v>1</v>
      </c>
      <c r="AN180" s="20">
        <v>9</v>
      </c>
      <c r="AO180" s="20">
        <v>2</v>
      </c>
      <c r="AP180" s="15">
        <v>3</v>
      </c>
      <c r="AQ180" s="15">
        <v>4</v>
      </c>
      <c r="AR180" s="15">
        <v>9</v>
      </c>
      <c r="AS180" s="26">
        <v>1001</v>
      </c>
      <c r="AT180" s="26">
        <v>6909.5</v>
      </c>
      <c r="AU180" s="26">
        <v>17738</v>
      </c>
      <c r="AV180" s="26">
        <v>12506</v>
      </c>
      <c r="AW180" s="26">
        <v>0</v>
      </c>
      <c r="AX180" s="26">
        <v>0</v>
      </c>
      <c r="AY180" s="26">
        <v>69.875</v>
      </c>
      <c r="AZ180" s="26">
        <v>4883.6875</v>
      </c>
      <c r="BA180" s="23">
        <v>3</v>
      </c>
      <c r="BB180" s="24" t="s">
        <v>8</v>
      </c>
    </row>
    <row r="181" spans="1:54" x14ac:dyDescent="0.2">
      <c r="A181" s="21">
        <v>3531</v>
      </c>
      <c r="B181" s="20" t="s">
        <v>70</v>
      </c>
      <c r="C181" s="18" t="s">
        <v>54</v>
      </c>
      <c r="D181" s="18">
        <v>2</v>
      </c>
      <c r="E181" s="18">
        <v>0</v>
      </c>
      <c r="F181" s="51" t="s">
        <v>9</v>
      </c>
      <c r="G181" s="18">
        <v>29</v>
      </c>
      <c r="H181" s="22">
        <v>3.5236139630390144</v>
      </c>
      <c r="I181" s="22">
        <v>3.6139630390143735</v>
      </c>
      <c r="J181" s="22">
        <v>7.137577002053388</v>
      </c>
      <c r="K181" s="22">
        <v>3.5236139630390144</v>
      </c>
      <c r="L181" s="22">
        <v>3.6139630390143735</v>
      </c>
      <c r="M181" s="22">
        <v>7.137577002053388</v>
      </c>
      <c r="N181" s="22">
        <v>3.485284052019165</v>
      </c>
      <c r="O181" s="22">
        <v>3.5263518138261465</v>
      </c>
      <c r="P181" s="22">
        <v>7.0116358658453111</v>
      </c>
      <c r="Q181" s="22">
        <v>3.6714579055441479</v>
      </c>
      <c r="R181" s="22">
        <v>3.4140999315537304</v>
      </c>
      <c r="S181" s="22">
        <v>7.0855578370978778</v>
      </c>
      <c r="T181" s="20">
        <v>4</v>
      </c>
      <c r="U181" s="20">
        <v>16</v>
      </c>
      <c r="V181" s="20" t="s">
        <v>1</v>
      </c>
      <c r="W181" s="20">
        <v>5</v>
      </c>
      <c r="X181" s="20">
        <v>3</v>
      </c>
      <c r="Y181" s="5">
        <v>1</v>
      </c>
      <c r="Z181" s="20">
        <v>4</v>
      </c>
      <c r="AA181" s="23">
        <f t="shared" si="4"/>
        <v>1</v>
      </c>
      <c r="AB181" s="15">
        <v>1</v>
      </c>
      <c r="AC181" s="15">
        <v>0.5</v>
      </c>
      <c r="AD181" s="15">
        <v>0.66700000000000004</v>
      </c>
      <c r="AE181" s="15">
        <v>0.75</v>
      </c>
      <c r="AF181" s="20">
        <v>18</v>
      </c>
      <c r="AG181" s="20">
        <v>5</v>
      </c>
      <c r="AH181" s="24">
        <v>24</v>
      </c>
      <c r="AI181" s="23">
        <f t="shared" si="5"/>
        <v>1</v>
      </c>
      <c r="AJ181" s="15">
        <v>8</v>
      </c>
      <c r="AK181" s="15">
        <v>8.5</v>
      </c>
      <c r="AL181" s="25">
        <v>16.5</v>
      </c>
      <c r="AM181" s="23" cm="1">
        <f t="array" ref="AM181">IF(OR(AN181:AZ181=""),"BLANK",IF(AND(AN181:AZ181&lt;9999999),1,IF(AND(AN181:AZ181="NA"),3,2)))</f>
        <v>1</v>
      </c>
      <c r="AN181" s="20">
        <v>5</v>
      </c>
      <c r="AO181" s="20">
        <v>2</v>
      </c>
      <c r="AP181" s="15">
        <v>4</v>
      </c>
      <c r="AQ181" s="15">
        <v>7.5</v>
      </c>
      <c r="AR181" s="15">
        <v>8.25</v>
      </c>
      <c r="AS181" s="26">
        <v>2260</v>
      </c>
      <c r="AT181" s="26">
        <v>4423</v>
      </c>
      <c r="AU181" s="26">
        <v>4056.25</v>
      </c>
      <c r="AV181" s="26">
        <v>7763.5</v>
      </c>
      <c r="AW181" s="26">
        <v>0</v>
      </c>
      <c r="AX181" s="26">
        <v>1138.8666666667</v>
      </c>
      <c r="AY181" s="26">
        <v>3304.5243055556002</v>
      </c>
      <c r="AZ181" s="26">
        <v>2559.7682539683001</v>
      </c>
      <c r="BA181" s="23">
        <v>3</v>
      </c>
      <c r="BB181" s="24" t="s">
        <v>8</v>
      </c>
    </row>
    <row r="182" spans="1:54" x14ac:dyDescent="0.2">
      <c r="A182" s="21">
        <v>3537</v>
      </c>
      <c r="B182" s="20" t="s">
        <v>74</v>
      </c>
      <c r="C182" s="18" t="s">
        <v>54</v>
      </c>
      <c r="D182" s="18">
        <v>5</v>
      </c>
      <c r="E182" s="18">
        <v>0</v>
      </c>
      <c r="F182" s="51" t="s">
        <v>9</v>
      </c>
      <c r="G182" s="18">
        <v>30</v>
      </c>
      <c r="H182" s="22">
        <v>3.4277891854893907</v>
      </c>
      <c r="I182" s="22">
        <v>4.1587953456536617</v>
      </c>
      <c r="J182" s="22">
        <v>7.5865845311430524</v>
      </c>
      <c r="K182" s="22">
        <v>3.4277891854893907</v>
      </c>
      <c r="L182" s="22">
        <v>4.5037645448323067</v>
      </c>
      <c r="M182" s="22">
        <v>7.9315537303216974</v>
      </c>
      <c r="N182" s="22" t="s">
        <v>8</v>
      </c>
      <c r="O182" s="22" t="s">
        <v>8</v>
      </c>
      <c r="P182" s="22">
        <v>7.5646817248459959</v>
      </c>
      <c r="Q182" s="22" t="s">
        <v>8</v>
      </c>
      <c r="R182" s="22" t="s">
        <v>8</v>
      </c>
      <c r="S182" s="22">
        <v>7.8001368925393564</v>
      </c>
      <c r="T182" s="20">
        <v>3</v>
      </c>
      <c r="U182" s="20">
        <v>15</v>
      </c>
      <c r="V182" s="20" t="s">
        <v>1</v>
      </c>
      <c r="W182" s="20">
        <v>5</v>
      </c>
      <c r="X182" s="20">
        <v>3</v>
      </c>
      <c r="Y182" s="5">
        <v>1</v>
      </c>
      <c r="Z182" s="20">
        <v>4</v>
      </c>
      <c r="AA182" s="23">
        <f t="shared" si="4"/>
        <v>1</v>
      </c>
      <c r="AB182" s="15">
        <v>1</v>
      </c>
      <c r="AC182" s="15">
        <v>1</v>
      </c>
      <c r="AD182" s="15">
        <v>0.66700000000000004</v>
      </c>
      <c r="AE182" s="15">
        <v>0.91700000000000004</v>
      </c>
      <c r="AF182" s="20">
        <v>22</v>
      </c>
      <c r="AG182" s="20">
        <v>1.67</v>
      </c>
      <c r="AH182" s="24">
        <v>24</v>
      </c>
      <c r="AI182" s="23">
        <f t="shared" si="5"/>
        <v>1</v>
      </c>
      <c r="AJ182" s="15">
        <v>11.25</v>
      </c>
      <c r="AK182" s="15">
        <v>6</v>
      </c>
      <c r="AL182" s="25">
        <v>17.25</v>
      </c>
      <c r="AM182" s="23" cm="1">
        <f t="array" ref="AM182">IF(OR(AN182:AZ182=""),"BLANK",IF(AND(AN182:AZ182&lt;9999999),1,IF(AND(AN182:AZ182="NA"),3,2)))</f>
        <v>1</v>
      </c>
      <c r="AN182" s="20">
        <v>8</v>
      </c>
      <c r="AO182" s="20">
        <v>2</v>
      </c>
      <c r="AP182" s="15">
        <v>4</v>
      </c>
      <c r="AQ182" s="15">
        <v>4.25</v>
      </c>
      <c r="AR182" s="15">
        <v>7</v>
      </c>
      <c r="AS182" s="26">
        <v>2992.5</v>
      </c>
      <c r="AT182" s="26">
        <v>6524.5</v>
      </c>
      <c r="AU182" s="26">
        <v>4687.75</v>
      </c>
      <c r="AV182" s="26">
        <v>2704.75</v>
      </c>
      <c r="AW182" s="26">
        <v>301.75</v>
      </c>
      <c r="AX182" s="26">
        <v>209.2</v>
      </c>
      <c r="AY182" s="26">
        <v>0</v>
      </c>
      <c r="AZ182" s="26">
        <v>1563.4916666667</v>
      </c>
      <c r="BA182" s="23">
        <v>3</v>
      </c>
      <c r="BB182" s="24" t="s">
        <v>8</v>
      </c>
    </row>
    <row r="183" spans="1:54" x14ac:dyDescent="0.2">
      <c r="A183" s="21">
        <v>3567</v>
      </c>
      <c r="B183" s="20" t="s">
        <v>64</v>
      </c>
      <c r="C183" s="18" t="s">
        <v>55</v>
      </c>
      <c r="D183" s="18">
        <v>5</v>
      </c>
      <c r="E183" s="18">
        <v>0</v>
      </c>
      <c r="F183" s="51" t="s">
        <v>9</v>
      </c>
      <c r="G183" s="18">
        <v>29</v>
      </c>
      <c r="H183" s="22">
        <v>3.5482546201232035</v>
      </c>
      <c r="I183" s="22">
        <v>3.9069130732375084</v>
      </c>
      <c r="J183" s="22">
        <v>7.4551676933607123</v>
      </c>
      <c r="K183" s="22">
        <v>3.5482546201232035</v>
      </c>
      <c r="L183" s="22">
        <v>3.9069130732375084</v>
      </c>
      <c r="M183" s="22">
        <v>7.4551676933607123</v>
      </c>
      <c r="N183" s="22">
        <v>3.5646817248459959</v>
      </c>
      <c r="O183" s="22">
        <v>3.8986995208761122</v>
      </c>
      <c r="P183" s="22">
        <v>7.4633812457221085</v>
      </c>
      <c r="Q183" s="22">
        <v>4.0410677618069819</v>
      </c>
      <c r="R183" s="22">
        <v>3.5455167693360714</v>
      </c>
      <c r="S183" s="22">
        <v>7.5865845311430524</v>
      </c>
      <c r="T183" s="20" t="s">
        <v>8</v>
      </c>
      <c r="U183" s="20" t="s">
        <v>8</v>
      </c>
      <c r="V183" s="20" t="s">
        <v>1</v>
      </c>
      <c r="W183" s="20">
        <v>5</v>
      </c>
      <c r="X183" s="20">
        <v>3</v>
      </c>
      <c r="Y183" s="5">
        <v>1</v>
      </c>
      <c r="Z183" s="20">
        <v>4</v>
      </c>
      <c r="AA183" s="23">
        <f t="shared" si="4"/>
        <v>1</v>
      </c>
      <c r="AB183" s="15">
        <v>1</v>
      </c>
      <c r="AC183" s="15">
        <v>1</v>
      </c>
      <c r="AD183" s="15">
        <v>0.83299999999999996</v>
      </c>
      <c r="AE183" s="15">
        <v>0.875</v>
      </c>
      <c r="AF183" s="20">
        <v>21</v>
      </c>
      <c r="AG183" s="20">
        <v>9.58</v>
      </c>
      <c r="AH183" s="24">
        <v>24</v>
      </c>
      <c r="AI183" s="23">
        <f t="shared" si="5"/>
        <v>1</v>
      </c>
      <c r="AJ183" s="15">
        <v>6.5</v>
      </c>
      <c r="AK183" s="15">
        <v>6.5</v>
      </c>
      <c r="AL183" s="25">
        <v>13</v>
      </c>
      <c r="AM183" s="23" cm="1">
        <f t="array" ref="AM183">IF(OR(AN183:AZ183=""),"BLANK",IF(AND(AN183:AZ183&lt;9999999),1,IF(AND(AN183:AZ183="NA"),3,2)))</f>
        <v>1</v>
      </c>
      <c r="AN183" s="20">
        <v>9</v>
      </c>
      <c r="AO183" s="20">
        <v>2</v>
      </c>
      <c r="AP183" s="15">
        <v>3</v>
      </c>
      <c r="AQ183" s="15">
        <v>5.5</v>
      </c>
      <c r="AR183" s="15">
        <v>5.75</v>
      </c>
      <c r="AS183" s="26">
        <v>1269</v>
      </c>
      <c r="AT183" s="26">
        <v>2748.5</v>
      </c>
      <c r="AU183" s="26">
        <v>2094</v>
      </c>
      <c r="AV183" s="26">
        <v>3099.75</v>
      </c>
      <c r="AW183" s="26">
        <v>0</v>
      </c>
      <c r="AX183" s="26">
        <v>0</v>
      </c>
      <c r="AY183" s="26">
        <v>168.80972222220001</v>
      </c>
      <c r="AZ183" s="26">
        <v>0</v>
      </c>
      <c r="BA183" s="23">
        <v>3</v>
      </c>
      <c r="BB183" s="24" t="s">
        <v>8</v>
      </c>
    </row>
    <row r="184" spans="1:54" x14ac:dyDescent="0.2">
      <c r="A184" s="21">
        <v>3571</v>
      </c>
      <c r="B184" s="20" t="s">
        <v>78</v>
      </c>
      <c r="C184" s="18" t="s">
        <v>55</v>
      </c>
      <c r="D184" s="18">
        <v>5</v>
      </c>
      <c r="E184" s="18">
        <v>0</v>
      </c>
      <c r="F184" s="51" t="s">
        <v>9</v>
      </c>
      <c r="G184" s="18">
        <v>28</v>
      </c>
      <c r="H184" s="22">
        <v>3.4962354551676933</v>
      </c>
      <c r="I184" s="22">
        <v>4.0191649555099245</v>
      </c>
      <c r="J184" s="22">
        <v>7.5154004106776178</v>
      </c>
      <c r="K184" s="22">
        <v>3.893223819301848</v>
      </c>
      <c r="L184" s="22">
        <v>3.6221765913757702</v>
      </c>
      <c r="M184" s="22">
        <v>7.5154004106776178</v>
      </c>
      <c r="N184" s="22">
        <v>3.5592060232717317</v>
      </c>
      <c r="O184" s="22">
        <v>3.9123887748117729</v>
      </c>
      <c r="P184" s="22">
        <v>7.4715947980835047</v>
      </c>
      <c r="Q184" s="22">
        <v>3.7973990417522243</v>
      </c>
      <c r="R184" s="22" t="s">
        <v>8</v>
      </c>
      <c r="S184" s="22" t="s">
        <v>8</v>
      </c>
      <c r="T184" s="20" t="s">
        <v>8</v>
      </c>
      <c r="U184" s="20" t="s">
        <v>8</v>
      </c>
      <c r="V184" s="20" t="s">
        <v>1</v>
      </c>
      <c r="W184" s="20">
        <v>5</v>
      </c>
      <c r="X184" s="20">
        <v>3</v>
      </c>
      <c r="Y184" s="5">
        <v>1</v>
      </c>
      <c r="Z184" s="20">
        <v>4</v>
      </c>
      <c r="AA184" s="23">
        <f t="shared" si="4"/>
        <v>1</v>
      </c>
      <c r="AB184" s="15">
        <v>0.83299999999999996</v>
      </c>
      <c r="AC184" s="15">
        <v>1</v>
      </c>
      <c r="AD184" s="15">
        <v>0.83299999999999996</v>
      </c>
      <c r="AE184" s="15">
        <v>0.91700000000000004</v>
      </c>
      <c r="AF184" s="20">
        <v>22</v>
      </c>
      <c r="AG184" s="20">
        <v>9.3699999999999992</v>
      </c>
      <c r="AH184" s="24">
        <v>24</v>
      </c>
      <c r="AI184" s="23">
        <f t="shared" si="5"/>
        <v>1</v>
      </c>
      <c r="AJ184" s="15">
        <v>8.75</v>
      </c>
      <c r="AK184" s="15">
        <v>14</v>
      </c>
      <c r="AL184" s="25">
        <v>22.75</v>
      </c>
      <c r="AM184" s="23" cm="1">
        <f t="array" ref="AM184">IF(OR(AN184:AZ184=""),"BLANK",IF(AND(AN184:AZ184&lt;9999999),1,IF(AND(AN184:AZ184="NA"),3,2)))</f>
        <v>1</v>
      </c>
      <c r="AN184" s="20">
        <v>8</v>
      </c>
      <c r="AO184" s="20">
        <v>2</v>
      </c>
      <c r="AP184" s="15">
        <v>3.5</v>
      </c>
      <c r="AQ184" s="15">
        <v>4.5</v>
      </c>
      <c r="AR184" s="15">
        <v>7</v>
      </c>
      <c r="AS184" s="26">
        <v>968</v>
      </c>
      <c r="AT184" s="26">
        <v>967.5</v>
      </c>
      <c r="AU184" s="26">
        <v>1867.5</v>
      </c>
      <c r="AV184" s="26">
        <v>4486.25</v>
      </c>
      <c r="AW184" s="26">
        <v>0</v>
      </c>
      <c r="AX184" s="26">
        <v>9.125</v>
      </c>
      <c r="AY184" s="26">
        <v>582.125</v>
      </c>
      <c r="AZ184" s="26">
        <v>0</v>
      </c>
      <c r="BA184" s="23">
        <v>3</v>
      </c>
      <c r="BB184" s="24" t="s">
        <v>8</v>
      </c>
    </row>
    <row r="185" spans="1:54" x14ac:dyDescent="0.2">
      <c r="A185" s="21">
        <v>3592</v>
      </c>
      <c r="B185" s="20" t="s">
        <v>70</v>
      </c>
      <c r="C185" s="18" t="s">
        <v>55</v>
      </c>
      <c r="D185" s="18">
        <v>5</v>
      </c>
      <c r="E185" s="18">
        <v>0</v>
      </c>
      <c r="F185" s="51" t="s">
        <v>9</v>
      </c>
      <c r="G185" s="18">
        <v>30</v>
      </c>
      <c r="H185" s="22">
        <v>3.4469541409993156</v>
      </c>
      <c r="I185" s="22">
        <v>4.1095140314852845</v>
      </c>
      <c r="J185" s="22">
        <v>7.5564681724845997</v>
      </c>
      <c r="K185" s="22">
        <v>3.4469541409993156</v>
      </c>
      <c r="L185" s="22">
        <v>4.1095140314852845</v>
      </c>
      <c r="M185" s="22">
        <v>7.5564681724845997</v>
      </c>
      <c r="N185" s="22">
        <v>3.4387405886379194</v>
      </c>
      <c r="O185" s="22">
        <v>4.1615331964407938</v>
      </c>
      <c r="P185" s="22">
        <v>7.6002737850787137</v>
      </c>
      <c r="Q185" s="22">
        <v>4.0657084188911705</v>
      </c>
      <c r="R185" s="22">
        <v>3.6632443531827517</v>
      </c>
      <c r="S185" s="22">
        <v>7.7289527720739217</v>
      </c>
      <c r="T185" s="20">
        <v>3</v>
      </c>
      <c r="U185" s="20">
        <v>14</v>
      </c>
      <c r="V185" s="20" t="s">
        <v>1</v>
      </c>
      <c r="W185" s="20">
        <v>5</v>
      </c>
      <c r="X185" s="20">
        <v>3</v>
      </c>
      <c r="Y185" s="5">
        <v>1</v>
      </c>
      <c r="Z185" s="20">
        <v>4</v>
      </c>
      <c r="AA185" s="23">
        <f t="shared" si="4"/>
        <v>1</v>
      </c>
      <c r="AB185" s="15">
        <v>1</v>
      </c>
      <c r="AC185" s="15">
        <v>1</v>
      </c>
      <c r="AD185" s="15">
        <v>0.66700000000000004</v>
      </c>
      <c r="AE185" s="15">
        <v>0.91700000000000004</v>
      </c>
      <c r="AF185" s="20">
        <v>22</v>
      </c>
      <c r="AG185" s="20">
        <v>8.1199999999999992</v>
      </c>
      <c r="AH185" s="24">
        <v>24</v>
      </c>
      <c r="AI185" s="23">
        <f t="shared" si="5"/>
        <v>1</v>
      </c>
      <c r="AJ185" s="15">
        <v>9.5</v>
      </c>
      <c r="AK185" s="15">
        <v>12.75</v>
      </c>
      <c r="AL185" s="25">
        <v>22.25</v>
      </c>
      <c r="AM185" s="23" cm="1">
        <f t="array" ref="AM185">IF(OR(AN185:AZ185=""),"BLANK",IF(AND(AN185:AZ185&lt;9999999),1,IF(AND(AN185:AZ185="NA"),3,2)))</f>
        <v>1</v>
      </c>
      <c r="AN185" s="20">
        <v>9</v>
      </c>
      <c r="AO185" s="20">
        <v>2</v>
      </c>
      <c r="AP185" s="15">
        <v>3</v>
      </c>
      <c r="AQ185" s="15">
        <v>5.25</v>
      </c>
      <c r="AR185" s="15">
        <v>8.25</v>
      </c>
      <c r="AS185" s="26">
        <v>1390.5</v>
      </c>
      <c r="AT185" s="26">
        <v>13235</v>
      </c>
      <c r="AU185" s="26">
        <v>6120</v>
      </c>
      <c r="AV185" s="26">
        <v>11677.5</v>
      </c>
      <c r="AW185" s="26">
        <v>0</v>
      </c>
      <c r="AX185" s="26">
        <v>0</v>
      </c>
      <c r="AY185" s="26">
        <v>621.75</v>
      </c>
      <c r="AZ185" s="26">
        <v>2820.2606060605999</v>
      </c>
      <c r="BA185" s="23">
        <v>3</v>
      </c>
      <c r="BB185" s="24" t="s">
        <v>8</v>
      </c>
    </row>
    <row r="186" spans="1:54" x14ac:dyDescent="0.2">
      <c r="A186" s="21">
        <v>3608</v>
      </c>
      <c r="B186" s="20" t="s">
        <v>82</v>
      </c>
      <c r="C186" s="18" t="s">
        <v>55</v>
      </c>
      <c r="D186" s="18">
        <v>5</v>
      </c>
      <c r="E186" s="18">
        <v>0</v>
      </c>
      <c r="F186" s="51" t="s">
        <v>9</v>
      </c>
      <c r="G186" s="18">
        <v>29</v>
      </c>
      <c r="H186" s="22">
        <v>3.5071868583162216</v>
      </c>
      <c r="I186" s="22">
        <v>3.9370294318959616</v>
      </c>
      <c r="J186" s="22">
        <v>7.4442162902121831</v>
      </c>
      <c r="K186" s="22">
        <v>3.5071868583162216</v>
      </c>
      <c r="L186" s="22">
        <v>3.9397672826830936</v>
      </c>
      <c r="M186" s="22">
        <v>7.4469541409993152</v>
      </c>
      <c r="N186" s="22">
        <v>3.6194387405886381</v>
      </c>
      <c r="O186" s="22">
        <v>3.8275154004106775</v>
      </c>
      <c r="P186" s="22">
        <v>7.4469541409993152</v>
      </c>
      <c r="Q186" s="22">
        <v>4.0027378507871321</v>
      </c>
      <c r="R186" s="22">
        <v>3.5728952772073921</v>
      </c>
      <c r="S186" s="22">
        <v>7.5756331279945242</v>
      </c>
      <c r="T186" s="20">
        <v>5</v>
      </c>
      <c r="U186" s="20">
        <v>17</v>
      </c>
      <c r="V186" s="20" t="s">
        <v>1</v>
      </c>
      <c r="W186" s="20">
        <v>5</v>
      </c>
      <c r="X186" s="20">
        <v>3</v>
      </c>
      <c r="Y186" s="5">
        <v>1</v>
      </c>
      <c r="Z186" s="20">
        <v>4</v>
      </c>
      <c r="AA186" s="23">
        <f t="shared" si="4"/>
        <v>1</v>
      </c>
      <c r="AB186" s="15">
        <v>1</v>
      </c>
      <c r="AC186" s="15">
        <v>0.5</v>
      </c>
      <c r="AD186" s="15">
        <v>0.33300000000000002</v>
      </c>
      <c r="AE186" s="15">
        <v>0.54200000000000004</v>
      </c>
      <c r="AF186" s="20">
        <v>13</v>
      </c>
      <c r="AG186" s="20">
        <v>8.4499999999999993</v>
      </c>
      <c r="AH186" s="24">
        <v>24</v>
      </c>
      <c r="AI186" s="23">
        <f t="shared" si="5"/>
        <v>1</v>
      </c>
      <c r="AJ186" s="15">
        <v>5.5</v>
      </c>
      <c r="AK186" s="15">
        <v>3.75</v>
      </c>
      <c r="AL186" s="25">
        <v>9.25</v>
      </c>
      <c r="AM186" s="23" cm="1">
        <f t="array" ref="AM186">IF(OR(AN186:AZ186=""),"BLANK",IF(AND(AN186:AZ186&lt;9999999),1,IF(AND(AN186:AZ186="NA"),3,2)))</f>
        <v>1</v>
      </c>
      <c r="AN186" s="20">
        <v>7</v>
      </c>
      <c r="AO186" s="20">
        <v>2</v>
      </c>
      <c r="AP186" s="15">
        <v>3</v>
      </c>
      <c r="AQ186" s="15">
        <v>7.75</v>
      </c>
      <c r="AR186" s="15">
        <v>7</v>
      </c>
      <c r="AS186" s="26">
        <v>4488.5</v>
      </c>
      <c r="AT186" s="26">
        <v>2349.5</v>
      </c>
      <c r="AU186" s="26">
        <v>7325.75</v>
      </c>
      <c r="AV186" s="26">
        <v>13643.5</v>
      </c>
      <c r="AW186" s="26">
        <v>0</v>
      </c>
      <c r="AX186" s="26">
        <v>0</v>
      </c>
      <c r="AY186" s="26">
        <v>3166.3333333332998</v>
      </c>
      <c r="AZ186" s="26">
        <v>3042.2291666667002</v>
      </c>
      <c r="BA186" s="23">
        <v>3</v>
      </c>
      <c r="BB186" s="24" t="s">
        <v>8</v>
      </c>
    </row>
    <row r="187" spans="1:54" x14ac:dyDescent="0.2">
      <c r="A187" s="21">
        <v>3653</v>
      </c>
      <c r="B187" s="20" t="s">
        <v>64</v>
      </c>
      <c r="C187" s="18" t="s">
        <v>54</v>
      </c>
      <c r="D187" s="18">
        <v>5</v>
      </c>
      <c r="E187" s="18">
        <v>0</v>
      </c>
      <c r="F187" s="51" t="s">
        <v>9</v>
      </c>
      <c r="G187" s="18">
        <v>30</v>
      </c>
      <c r="H187" s="22">
        <v>3.4688569472963722</v>
      </c>
      <c r="I187" s="22">
        <v>3.9479808350444903</v>
      </c>
      <c r="J187" s="22">
        <v>7.4168377823408624</v>
      </c>
      <c r="K187" s="22">
        <v>3.482546201232033</v>
      </c>
      <c r="L187" s="22">
        <v>3.9342915811088295</v>
      </c>
      <c r="M187" s="22">
        <v>7.4168377823408624</v>
      </c>
      <c r="N187" s="22">
        <v>3.4360027378507869</v>
      </c>
      <c r="O187" s="22">
        <v>3.9178644763860371</v>
      </c>
      <c r="P187" s="22">
        <v>7.353867214236824</v>
      </c>
      <c r="Q187" s="22">
        <v>3.9315537303216974</v>
      </c>
      <c r="R187" s="22">
        <v>3.5756331279945242</v>
      </c>
      <c r="S187" s="22">
        <v>7.5071868583162216</v>
      </c>
      <c r="T187" s="20">
        <v>3</v>
      </c>
      <c r="U187" s="20">
        <v>14</v>
      </c>
      <c r="V187" s="20" t="s">
        <v>1</v>
      </c>
      <c r="W187" s="20">
        <v>5</v>
      </c>
      <c r="X187" s="20">
        <v>3</v>
      </c>
      <c r="Y187" s="5">
        <v>1</v>
      </c>
      <c r="Z187" s="20">
        <v>4</v>
      </c>
      <c r="AA187" s="23">
        <f t="shared" si="4"/>
        <v>1</v>
      </c>
      <c r="AB187" s="15">
        <v>0.83299999999999996</v>
      </c>
      <c r="AC187" s="15">
        <v>0.66700000000000004</v>
      </c>
      <c r="AD187" s="15">
        <v>0.66700000000000004</v>
      </c>
      <c r="AE187" s="15">
        <v>0.70799999999999996</v>
      </c>
      <c r="AF187" s="20">
        <v>17</v>
      </c>
      <c r="AG187" s="20">
        <v>5.8</v>
      </c>
      <c r="AH187" s="24">
        <v>24</v>
      </c>
      <c r="AI187" s="23">
        <f t="shared" si="5"/>
        <v>1</v>
      </c>
      <c r="AJ187" s="15">
        <v>9</v>
      </c>
      <c r="AK187" s="15">
        <v>8.25</v>
      </c>
      <c r="AL187" s="25">
        <v>17.25</v>
      </c>
      <c r="AM187" s="23" cm="1">
        <f t="array" ref="AM187">IF(OR(AN187:AZ187=""),"BLANK",IF(AND(AN187:AZ187&lt;9999999),1,IF(AND(AN187:AZ187="NA"),3,2)))</f>
        <v>1</v>
      </c>
      <c r="AN187" s="20">
        <v>8</v>
      </c>
      <c r="AO187" s="20">
        <v>2</v>
      </c>
      <c r="AP187" s="15">
        <v>3</v>
      </c>
      <c r="AQ187" s="15">
        <v>4.5</v>
      </c>
      <c r="AR187" s="15">
        <v>7.5</v>
      </c>
      <c r="AS187" s="26">
        <v>812.5</v>
      </c>
      <c r="AT187" s="26">
        <v>10029.5</v>
      </c>
      <c r="AU187" s="26">
        <v>6676</v>
      </c>
      <c r="AV187" s="26">
        <v>9296</v>
      </c>
      <c r="AW187" s="26">
        <v>0</v>
      </c>
      <c r="AX187" s="26">
        <v>0</v>
      </c>
      <c r="AY187" s="26">
        <v>762.29166666670005</v>
      </c>
      <c r="AZ187" s="26">
        <v>1413.8517857142999</v>
      </c>
      <c r="BA187" s="23">
        <v>3</v>
      </c>
      <c r="BB187" s="24" t="s">
        <v>8</v>
      </c>
    </row>
    <row r="188" spans="1:54" x14ac:dyDescent="0.2">
      <c r="A188" s="21">
        <v>3658</v>
      </c>
      <c r="B188" s="20" t="s">
        <v>64</v>
      </c>
      <c r="C188" s="18" t="s">
        <v>55</v>
      </c>
      <c r="D188" s="18">
        <v>5</v>
      </c>
      <c r="E188" s="18">
        <v>0</v>
      </c>
      <c r="F188" s="51" t="s">
        <v>9</v>
      </c>
      <c r="G188" s="18">
        <v>28</v>
      </c>
      <c r="H188" s="22">
        <v>3.5564681724845997</v>
      </c>
      <c r="I188" s="22">
        <v>4.084873374401095</v>
      </c>
      <c r="J188" s="22">
        <v>7.6413415468856947</v>
      </c>
      <c r="K188" s="22">
        <v>4.3121149897330593</v>
      </c>
      <c r="L188" s="22">
        <v>3.3702943189596168</v>
      </c>
      <c r="M188" s="22">
        <v>7.6824093086926766</v>
      </c>
      <c r="N188" s="22">
        <v>3.5017111567419574</v>
      </c>
      <c r="O188" s="22">
        <v>4.0301163586584527</v>
      </c>
      <c r="P188" s="22">
        <v>7.5318275154004111</v>
      </c>
      <c r="Q188" s="22">
        <v>3.9288158795345653</v>
      </c>
      <c r="R188" s="22">
        <v>3.9123887748117729</v>
      </c>
      <c r="S188" s="22">
        <v>7.8412046543463383</v>
      </c>
      <c r="T188" s="20" t="s">
        <v>8</v>
      </c>
      <c r="U188" s="20" t="s">
        <v>8</v>
      </c>
      <c r="V188" s="20" t="s">
        <v>1</v>
      </c>
      <c r="W188" s="20">
        <v>5</v>
      </c>
      <c r="X188" s="20">
        <v>3</v>
      </c>
      <c r="Y188" s="5">
        <v>1</v>
      </c>
      <c r="Z188" s="20">
        <v>4</v>
      </c>
      <c r="AA188" s="23">
        <f t="shared" si="4"/>
        <v>2</v>
      </c>
      <c r="AB188" s="15">
        <v>1</v>
      </c>
      <c r="AC188" s="15">
        <v>0.83299999999999996</v>
      </c>
      <c r="AD188" s="15">
        <v>1</v>
      </c>
      <c r="AE188" s="15">
        <v>0.875</v>
      </c>
      <c r="AF188" s="20">
        <v>21</v>
      </c>
      <c r="AG188" s="20" t="s">
        <v>8</v>
      </c>
      <c r="AH188" s="24">
        <v>24</v>
      </c>
      <c r="AI188" s="23">
        <f t="shared" si="5"/>
        <v>1</v>
      </c>
      <c r="AJ188" s="15">
        <v>5.75</v>
      </c>
      <c r="AK188" s="15">
        <v>1.5</v>
      </c>
      <c r="AL188" s="25">
        <v>7.25</v>
      </c>
      <c r="AM188" s="23" cm="1">
        <f t="array" ref="AM188">IF(OR(AN188:AZ188=""),"BLANK",IF(AND(AN188:AZ188&lt;9999999),1,IF(AND(AN188:AZ188="NA"),3,2)))</f>
        <v>1</v>
      </c>
      <c r="AN188" s="20">
        <v>11</v>
      </c>
      <c r="AO188" s="20">
        <v>2</v>
      </c>
      <c r="AP188" s="15">
        <v>3</v>
      </c>
      <c r="AQ188" s="15">
        <v>4.25</v>
      </c>
      <c r="AR188" s="15">
        <v>5</v>
      </c>
      <c r="AS188" s="26">
        <v>5068</v>
      </c>
      <c r="AT188" s="26">
        <v>7971.5</v>
      </c>
      <c r="AU188" s="26">
        <v>15322</v>
      </c>
      <c r="AV188" s="26">
        <v>17674.25</v>
      </c>
      <c r="AW188" s="26">
        <v>1053</v>
      </c>
      <c r="AX188" s="26">
        <v>2121.3333333332998</v>
      </c>
      <c r="AY188" s="26">
        <v>2394.6624999999999</v>
      </c>
      <c r="AZ188" s="26">
        <v>2475.9499999999998</v>
      </c>
      <c r="BA188" s="23">
        <v>3</v>
      </c>
      <c r="BB188" s="24" t="s">
        <v>8</v>
      </c>
    </row>
    <row r="189" spans="1:54" x14ac:dyDescent="0.2">
      <c r="A189" s="21">
        <v>3660</v>
      </c>
      <c r="B189" s="20" t="s">
        <v>64</v>
      </c>
      <c r="C189" s="18" t="s">
        <v>54</v>
      </c>
      <c r="D189" s="18">
        <v>5</v>
      </c>
      <c r="E189" s="18">
        <v>0</v>
      </c>
      <c r="F189" s="51" t="s">
        <v>9</v>
      </c>
      <c r="G189" s="18">
        <v>29</v>
      </c>
      <c r="H189" s="22">
        <v>3.4387405886379194</v>
      </c>
      <c r="I189" s="22">
        <v>4.1971252566735116</v>
      </c>
      <c r="J189" s="22">
        <v>7.6358658453114305</v>
      </c>
      <c r="K189" s="22">
        <v>3.4579055441478439</v>
      </c>
      <c r="L189" s="22">
        <v>4.1670088980150579</v>
      </c>
      <c r="M189" s="22">
        <v>7.6249144421629023</v>
      </c>
      <c r="N189" s="22">
        <v>3.4661190965092401</v>
      </c>
      <c r="O189" s="22">
        <v>4.216290212183436</v>
      </c>
      <c r="P189" s="22">
        <v>7.6824093086926766</v>
      </c>
      <c r="Q189" s="22">
        <v>3.485284052019165</v>
      </c>
      <c r="R189" s="22">
        <v>4.1779603011635862</v>
      </c>
      <c r="S189" s="22">
        <v>7.6632443531827512</v>
      </c>
      <c r="T189" s="20" t="s">
        <v>8</v>
      </c>
      <c r="U189" s="20" t="s">
        <v>8</v>
      </c>
      <c r="V189" s="20" t="s">
        <v>1</v>
      </c>
      <c r="W189" s="20">
        <v>5</v>
      </c>
      <c r="X189" s="20">
        <v>3</v>
      </c>
      <c r="Y189" s="5">
        <v>1</v>
      </c>
      <c r="Z189" s="20">
        <v>4</v>
      </c>
      <c r="AA189" s="23">
        <f t="shared" si="4"/>
        <v>1</v>
      </c>
      <c r="AB189" s="15">
        <v>0.83299999999999996</v>
      </c>
      <c r="AC189" s="15">
        <v>0.66700000000000004</v>
      </c>
      <c r="AD189" s="15">
        <v>0.83299999999999996</v>
      </c>
      <c r="AE189" s="15">
        <v>0.70799999999999996</v>
      </c>
      <c r="AF189" s="20">
        <v>17</v>
      </c>
      <c r="AG189" s="20">
        <v>4.92</v>
      </c>
      <c r="AH189" s="24">
        <v>24</v>
      </c>
      <c r="AI189" s="23">
        <f t="shared" si="5"/>
        <v>1</v>
      </c>
      <c r="AJ189" s="15">
        <v>9</v>
      </c>
      <c r="AK189" s="15">
        <v>8.75</v>
      </c>
      <c r="AL189" s="25">
        <v>17.75</v>
      </c>
      <c r="AM189" s="23" cm="1">
        <f t="array" ref="AM189">IF(OR(AN189:AZ189=""),"BLANK",IF(AND(AN189:AZ189&lt;9999999),1,IF(AND(AN189:AZ189="NA"),3,2)))</f>
        <v>1</v>
      </c>
      <c r="AN189" s="20">
        <v>7</v>
      </c>
      <c r="AO189" s="20">
        <v>2</v>
      </c>
      <c r="AP189" s="15">
        <v>3</v>
      </c>
      <c r="AQ189" s="15">
        <v>7.75</v>
      </c>
      <c r="AR189" s="15">
        <v>6</v>
      </c>
      <c r="AS189" s="26">
        <v>78.5</v>
      </c>
      <c r="AT189" s="26">
        <v>1474.5</v>
      </c>
      <c r="AU189" s="26">
        <v>2307.25</v>
      </c>
      <c r="AV189" s="26">
        <v>3257.75</v>
      </c>
      <c r="AW189" s="26">
        <v>0</v>
      </c>
      <c r="AX189" s="26">
        <v>0</v>
      </c>
      <c r="AY189" s="26">
        <v>1629.3194444444</v>
      </c>
      <c r="AZ189" s="26">
        <v>1195.1714285713999</v>
      </c>
      <c r="BA189" s="23">
        <v>3</v>
      </c>
      <c r="BB189" s="24" t="s">
        <v>8</v>
      </c>
    </row>
    <row r="190" spans="1:54" x14ac:dyDescent="0.2">
      <c r="A190" s="21">
        <v>3693</v>
      </c>
      <c r="B190" s="20" t="s">
        <v>64</v>
      </c>
      <c r="C190" s="18" t="s">
        <v>54</v>
      </c>
      <c r="D190" s="18">
        <v>5</v>
      </c>
      <c r="E190" s="18">
        <v>0</v>
      </c>
      <c r="F190" s="51" t="s">
        <v>9</v>
      </c>
      <c r="G190" s="18">
        <v>29</v>
      </c>
      <c r="H190" s="22">
        <v>3.4743326488706368</v>
      </c>
      <c r="I190" s="22">
        <v>4.0273785078713207</v>
      </c>
      <c r="J190" s="22">
        <v>7.5017111567419574</v>
      </c>
      <c r="K190" s="22">
        <v>3.4743326488706368</v>
      </c>
      <c r="L190" s="22">
        <v>4.0273785078713207</v>
      </c>
      <c r="M190" s="22">
        <v>7.5017111567419574</v>
      </c>
      <c r="N190" s="22">
        <v>3.4880219028062971</v>
      </c>
      <c r="O190" s="22" t="s">
        <v>8</v>
      </c>
      <c r="P190" s="22" t="s">
        <v>8</v>
      </c>
      <c r="Q190" s="22">
        <v>4.0766598220396988</v>
      </c>
      <c r="R190" s="22" t="s">
        <v>8</v>
      </c>
      <c r="S190" s="22" t="s">
        <v>8</v>
      </c>
      <c r="T190" s="20">
        <v>4</v>
      </c>
      <c r="U190" s="20">
        <v>16</v>
      </c>
      <c r="V190" s="20" t="s">
        <v>1</v>
      </c>
      <c r="W190" s="20">
        <v>5</v>
      </c>
      <c r="X190" s="20">
        <v>3</v>
      </c>
      <c r="Y190" s="5">
        <v>1</v>
      </c>
      <c r="Z190" s="20">
        <v>4</v>
      </c>
      <c r="AA190" s="23">
        <f t="shared" si="4"/>
        <v>1</v>
      </c>
      <c r="AB190" s="15">
        <v>1</v>
      </c>
      <c r="AC190" s="15">
        <v>1</v>
      </c>
      <c r="AD190" s="15">
        <v>0.5</v>
      </c>
      <c r="AE190" s="15">
        <v>0.875</v>
      </c>
      <c r="AF190" s="20">
        <v>21</v>
      </c>
      <c r="AG190" s="20">
        <v>0.48</v>
      </c>
      <c r="AH190" s="24">
        <v>24</v>
      </c>
      <c r="AI190" s="23">
        <f t="shared" si="5"/>
        <v>1</v>
      </c>
      <c r="AJ190" s="15">
        <v>8</v>
      </c>
      <c r="AK190" s="15">
        <v>7.25</v>
      </c>
      <c r="AL190" s="25">
        <v>15.25</v>
      </c>
      <c r="AM190" s="23" cm="1">
        <f t="array" ref="AM190">IF(OR(AN190:AZ190=""),"BLANK",IF(AND(AN190:AZ190&lt;9999999),1,IF(AND(AN190:AZ190="NA"),3,2)))</f>
        <v>1</v>
      </c>
      <c r="AN190" s="20">
        <v>10</v>
      </c>
      <c r="AO190" s="20">
        <v>2</v>
      </c>
      <c r="AP190" s="15">
        <v>4</v>
      </c>
      <c r="AQ190" s="15">
        <v>4</v>
      </c>
      <c r="AR190" s="15">
        <v>5.5</v>
      </c>
      <c r="AS190" s="26">
        <v>15466</v>
      </c>
      <c r="AT190" s="26">
        <v>11493.5</v>
      </c>
      <c r="AU190" s="26">
        <v>27607</v>
      </c>
      <c r="AV190" s="26">
        <v>43468.75</v>
      </c>
      <c r="AW190" s="26">
        <v>0</v>
      </c>
      <c r="AX190" s="26">
        <v>1337.4333333333</v>
      </c>
      <c r="AY190" s="26">
        <v>0</v>
      </c>
      <c r="AZ190" s="26">
        <v>2163.4214285714002</v>
      </c>
      <c r="BA190" s="23">
        <v>3</v>
      </c>
      <c r="BB190" s="24" t="s">
        <v>8</v>
      </c>
    </row>
    <row r="191" spans="1:54" x14ac:dyDescent="0.2">
      <c r="A191" s="21">
        <v>3744</v>
      </c>
      <c r="B191" s="20" t="s">
        <v>82</v>
      </c>
      <c r="C191" s="18" t="s">
        <v>55</v>
      </c>
      <c r="D191" s="18">
        <v>5</v>
      </c>
      <c r="E191" s="18">
        <v>0</v>
      </c>
      <c r="F191" s="51" t="s">
        <v>9</v>
      </c>
      <c r="G191" s="18">
        <v>26</v>
      </c>
      <c r="H191" s="22">
        <v>3.9616700889801506</v>
      </c>
      <c r="I191" s="22">
        <v>3.1321013004791238</v>
      </c>
      <c r="J191" s="22">
        <v>7.0937713894592749</v>
      </c>
      <c r="K191" s="22">
        <v>3.9616700889801506</v>
      </c>
      <c r="L191" s="22">
        <v>3.1540041067761808</v>
      </c>
      <c r="M191" s="22">
        <v>7.1156741957563314</v>
      </c>
      <c r="N191" s="22">
        <v>3.9835728952772076</v>
      </c>
      <c r="O191" s="22">
        <v>3.052703627652293</v>
      </c>
      <c r="P191" s="22">
        <v>7.0362765229295006</v>
      </c>
      <c r="Q191" s="22">
        <v>3.9452429842573578</v>
      </c>
      <c r="R191" s="22">
        <v>3.1074606433949348</v>
      </c>
      <c r="S191" s="22">
        <v>7.052703627652293</v>
      </c>
      <c r="T191" s="20">
        <v>3</v>
      </c>
      <c r="U191" s="20">
        <v>15</v>
      </c>
      <c r="V191" s="20" t="s">
        <v>1</v>
      </c>
      <c r="W191" s="20">
        <v>5</v>
      </c>
      <c r="X191" s="20">
        <v>3</v>
      </c>
      <c r="Y191" s="5">
        <v>1</v>
      </c>
      <c r="Z191" s="20">
        <v>4</v>
      </c>
      <c r="AA191" s="23">
        <f t="shared" si="4"/>
        <v>1</v>
      </c>
      <c r="AB191" s="15">
        <v>1</v>
      </c>
      <c r="AC191" s="15">
        <v>1</v>
      </c>
      <c r="AD191" s="15">
        <v>0.66700000000000004</v>
      </c>
      <c r="AE191" s="15">
        <v>0.83299999999999996</v>
      </c>
      <c r="AF191" s="20">
        <v>20</v>
      </c>
      <c r="AG191" s="20">
        <v>6.12</v>
      </c>
      <c r="AH191" s="24">
        <v>24</v>
      </c>
      <c r="AI191" s="23">
        <f t="shared" si="5"/>
        <v>1</v>
      </c>
      <c r="AJ191" s="15">
        <v>1.5</v>
      </c>
      <c r="AK191" s="15">
        <v>2.25</v>
      </c>
      <c r="AL191" s="25">
        <v>3.75</v>
      </c>
      <c r="AM191" s="23" cm="1">
        <f t="array" ref="AM191">IF(OR(AN191:AZ191=""),"BLANK",IF(AND(AN191:AZ191&lt;9999999),1,IF(AND(AN191:AZ191="NA"),3,2)))</f>
        <v>1</v>
      </c>
      <c r="AN191" s="20">
        <v>5</v>
      </c>
      <c r="AO191" s="20">
        <v>2</v>
      </c>
      <c r="AP191" s="15">
        <v>3.5</v>
      </c>
      <c r="AQ191" s="15">
        <v>6.5</v>
      </c>
      <c r="AR191" s="15">
        <v>11</v>
      </c>
      <c r="AS191" s="26">
        <v>2061</v>
      </c>
      <c r="AT191" s="26">
        <v>6838</v>
      </c>
      <c r="AU191" s="26">
        <v>6683.75</v>
      </c>
      <c r="AV191" s="26">
        <v>7567</v>
      </c>
      <c r="AW191" s="26">
        <v>0</v>
      </c>
      <c r="AX191" s="26">
        <v>1170.4583333333001</v>
      </c>
      <c r="AY191" s="26">
        <v>1874.0486111110999</v>
      </c>
      <c r="AZ191" s="26">
        <v>613.75</v>
      </c>
      <c r="BA191" s="23">
        <v>3</v>
      </c>
      <c r="BB191" s="24" t="s">
        <v>8</v>
      </c>
    </row>
    <row r="192" spans="1:54" x14ac:dyDescent="0.2">
      <c r="A192" s="21">
        <v>3863</v>
      </c>
      <c r="B192" s="20" t="s">
        <v>74</v>
      </c>
      <c r="C192" s="18" t="s">
        <v>54</v>
      </c>
      <c r="D192" s="18">
        <v>5</v>
      </c>
      <c r="E192" s="18">
        <v>0</v>
      </c>
      <c r="F192" s="51" t="s">
        <v>9</v>
      </c>
      <c r="G192" s="18">
        <v>29</v>
      </c>
      <c r="H192" s="22">
        <v>3.5592060232717317</v>
      </c>
      <c r="I192" s="22">
        <v>3.8384668035592062</v>
      </c>
      <c r="J192" s="22">
        <v>7.397672826830938</v>
      </c>
      <c r="K192" s="22">
        <v>3.5592060232717317</v>
      </c>
      <c r="L192" s="22">
        <v>3.8384668035592062</v>
      </c>
      <c r="M192" s="22">
        <v>7.397672826830938</v>
      </c>
      <c r="N192" s="22">
        <v>3.6057494866529773</v>
      </c>
      <c r="O192" s="22">
        <v>3.8001368925393568</v>
      </c>
      <c r="P192" s="22">
        <v>7.4058863791923342</v>
      </c>
      <c r="Q192" s="22">
        <v>3.8877481177275839</v>
      </c>
      <c r="R192" s="22">
        <v>3.5263518138261465</v>
      </c>
      <c r="S192" s="22">
        <v>7.4140999315537304</v>
      </c>
      <c r="T192" s="20">
        <v>5</v>
      </c>
      <c r="U192" s="20">
        <v>16</v>
      </c>
      <c r="V192" s="20" t="s">
        <v>1</v>
      </c>
      <c r="W192" s="20">
        <v>5</v>
      </c>
      <c r="X192" s="20">
        <v>3</v>
      </c>
      <c r="Y192" s="5">
        <v>1</v>
      </c>
      <c r="Z192" s="20">
        <v>4</v>
      </c>
      <c r="AA192" s="23">
        <f t="shared" si="4"/>
        <v>1</v>
      </c>
      <c r="AB192" s="15">
        <v>1</v>
      </c>
      <c r="AC192" s="15">
        <v>1</v>
      </c>
      <c r="AD192" s="15">
        <v>0.66700000000000004</v>
      </c>
      <c r="AE192" s="15">
        <v>0.70799999999999996</v>
      </c>
      <c r="AF192" s="20">
        <v>17</v>
      </c>
      <c r="AG192" s="20">
        <v>7</v>
      </c>
      <c r="AH192" s="24">
        <v>24</v>
      </c>
      <c r="AI192" s="23">
        <f t="shared" si="5"/>
        <v>1</v>
      </c>
      <c r="AJ192" s="15">
        <v>5.25</v>
      </c>
      <c r="AK192" s="15">
        <v>5.75</v>
      </c>
      <c r="AL192" s="25">
        <v>11</v>
      </c>
      <c r="AM192" s="23" cm="1">
        <f t="array" ref="AM192">IF(OR(AN192:AZ192=""),"BLANK",IF(AND(AN192:AZ192&lt;9999999),1,IF(AND(AN192:AZ192="NA"),3,2)))</f>
        <v>1</v>
      </c>
      <c r="AN192" s="20">
        <v>8</v>
      </c>
      <c r="AO192" s="20">
        <v>2</v>
      </c>
      <c r="AP192" s="15">
        <v>3.5</v>
      </c>
      <c r="AQ192" s="15">
        <v>4</v>
      </c>
      <c r="AR192" s="15">
        <v>8</v>
      </c>
      <c r="AS192" s="26">
        <v>763</v>
      </c>
      <c r="AT192" s="26">
        <v>1415</v>
      </c>
      <c r="AU192" s="26">
        <v>2468.75</v>
      </c>
      <c r="AV192" s="26">
        <v>3439</v>
      </c>
      <c r="AW192" s="26">
        <v>0</v>
      </c>
      <c r="AX192" s="26">
        <v>0</v>
      </c>
      <c r="AY192" s="26">
        <v>527.375</v>
      </c>
      <c r="AZ192" s="26">
        <v>530.93273809519997</v>
      </c>
      <c r="BA192" s="23">
        <v>3</v>
      </c>
      <c r="BB192" s="24" t="s">
        <v>8</v>
      </c>
    </row>
    <row r="193" spans="1:54" x14ac:dyDescent="0.2">
      <c r="A193" s="21">
        <v>3911</v>
      </c>
      <c r="B193" s="20" t="s">
        <v>78</v>
      </c>
      <c r="C193" s="18" t="s">
        <v>54</v>
      </c>
      <c r="D193" s="18">
        <v>5</v>
      </c>
      <c r="E193" s="18">
        <v>0</v>
      </c>
      <c r="F193" s="51" t="s">
        <v>9</v>
      </c>
      <c r="G193" s="18">
        <v>30</v>
      </c>
      <c r="H193" s="22">
        <v>3.6030116358658453</v>
      </c>
      <c r="I193" s="22">
        <v>3.9014373716632442</v>
      </c>
      <c r="J193" s="22">
        <v>7.5044490075290895</v>
      </c>
      <c r="K193" s="22">
        <v>3.6030116358658453</v>
      </c>
      <c r="L193" s="22">
        <v>3.9014373716632442</v>
      </c>
      <c r="M193" s="22">
        <v>7.5044490075290895</v>
      </c>
      <c r="N193" s="22">
        <v>3.6139630390143735</v>
      </c>
      <c r="O193" s="22">
        <v>3.9206023271731691</v>
      </c>
      <c r="P193" s="22">
        <v>7.5345653661875431</v>
      </c>
      <c r="Q193" s="22">
        <v>3.9616700889801506</v>
      </c>
      <c r="R193" s="22">
        <v>3.7727583846680357</v>
      </c>
      <c r="S193" s="22">
        <v>7.7344284736481859</v>
      </c>
      <c r="T193" s="20">
        <v>4</v>
      </c>
      <c r="U193" s="20">
        <v>16</v>
      </c>
      <c r="V193" s="20" t="s">
        <v>1</v>
      </c>
      <c r="W193" s="20">
        <v>5</v>
      </c>
      <c r="X193" s="20">
        <v>3</v>
      </c>
      <c r="Y193" s="5">
        <v>1</v>
      </c>
      <c r="Z193" s="20">
        <v>4</v>
      </c>
      <c r="AA193" s="23">
        <f t="shared" si="4"/>
        <v>1</v>
      </c>
      <c r="AB193" s="15">
        <v>1</v>
      </c>
      <c r="AC193" s="15">
        <v>1</v>
      </c>
      <c r="AD193" s="15">
        <v>1</v>
      </c>
      <c r="AE193" s="15">
        <v>0.91700000000000004</v>
      </c>
      <c r="AF193" s="20">
        <v>22</v>
      </c>
      <c r="AG193" s="20">
        <v>6.78</v>
      </c>
      <c r="AH193" s="24">
        <v>24</v>
      </c>
      <c r="AI193" s="23">
        <f t="shared" si="5"/>
        <v>1</v>
      </c>
      <c r="AJ193" s="15">
        <v>12.75</v>
      </c>
      <c r="AK193" s="15">
        <v>11.75</v>
      </c>
      <c r="AL193" s="25">
        <v>24.5</v>
      </c>
      <c r="AM193" s="23" cm="1">
        <f t="array" ref="AM193">IF(OR(AN193:AZ193=""),"BLANK",IF(AND(AN193:AZ193&lt;9999999),1,IF(AND(AN193:AZ193="NA"),3,2)))</f>
        <v>1</v>
      </c>
      <c r="AN193" s="20">
        <v>7</v>
      </c>
      <c r="AO193" s="20">
        <v>2</v>
      </c>
      <c r="AP193" s="15">
        <v>3</v>
      </c>
      <c r="AQ193" s="15">
        <v>4.5</v>
      </c>
      <c r="AR193" s="15">
        <v>8.25</v>
      </c>
      <c r="AS193" s="26">
        <v>943.5</v>
      </c>
      <c r="AT193" s="26">
        <v>869.5</v>
      </c>
      <c r="AU193" s="26">
        <v>6683</v>
      </c>
      <c r="AV193" s="26">
        <v>12908.5</v>
      </c>
      <c r="AW193" s="26">
        <v>0</v>
      </c>
      <c r="AX193" s="26">
        <v>0</v>
      </c>
      <c r="AY193" s="26">
        <v>365.7708333333</v>
      </c>
      <c r="AZ193" s="26">
        <v>951.94523809520001</v>
      </c>
      <c r="BA193" s="23">
        <v>3</v>
      </c>
      <c r="BB193" s="24" t="s">
        <v>8</v>
      </c>
    </row>
    <row r="194" spans="1:54" x14ac:dyDescent="0.2">
      <c r="A194" s="21">
        <v>3946</v>
      </c>
      <c r="B194" s="20" t="s">
        <v>81</v>
      </c>
      <c r="C194" s="18" t="s">
        <v>54</v>
      </c>
      <c r="D194" s="18">
        <v>5</v>
      </c>
      <c r="E194" s="18">
        <v>0</v>
      </c>
      <c r="F194" s="51" t="s">
        <v>9</v>
      </c>
      <c r="G194" s="18">
        <v>30</v>
      </c>
      <c r="H194" s="22">
        <v>2.4996577686516086</v>
      </c>
      <c r="I194" s="22">
        <v>4.3367556468172488</v>
      </c>
      <c r="J194" s="22">
        <v>6.8364134154688569</v>
      </c>
      <c r="K194" s="22">
        <v>2.4996577686516086</v>
      </c>
      <c r="L194" s="22">
        <v>4.3367556468172488</v>
      </c>
      <c r="M194" s="22">
        <v>6.8364134154688569</v>
      </c>
      <c r="N194" s="22">
        <v>2.5078713210130048</v>
      </c>
      <c r="O194" s="22">
        <v>4.2847364818617386</v>
      </c>
      <c r="P194" s="22">
        <v>6.792607802874743</v>
      </c>
      <c r="Q194" s="22">
        <v>3.2963723477070501</v>
      </c>
      <c r="R194" s="22">
        <v>3.7371663244353184</v>
      </c>
      <c r="S194" s="22">
        <v>7.0335386721423685</v>
      </c>
      <c r="T194" s="20">
        <v>4</v>
      </c>
      <c r="U194" s="20">
        <v>16</v>
      </c>
      <c r="V194" s="20" t="s">
        <v>1</v>
      </c>
      <c r="W194" s="20">
        <v>5</v>
      </c>
      <c r="X194" s="20">
        <v>3</v>
      </c>
      <c r="Y194" s="5">
        <v>1</v>
      </c>
      <c r="Z194" s="20">
        <v>4</v>
      </c>
      <c r="AA194" s="23">
        <f t="shared" ref="AA194:AA216" si="6">IF(AND(ISNUMBER(AB194), ISNUMBER(AC194),ISNUMBER(AD194), ISNUMBER(AE194), ISNUMBER(AF194),ISNUMBER(AG194), ISNUMBER(AH194)), 1, IF(AND(AB194="NA", AC194="NA", AD194="na", AE194="na", AF194="na", AG194="na", AH194="na"), 3, 2))</f>
        <v>1</v>
      </c>
      <c r="AB194" s="15">
        <v>1</v>
      </c>
      <c r="AC194" s="15">
        <v>0.83299999999999996</v>
      </c>
      <c r="AD194" s="15">
        <v>0.66700000000000004</v>
      </c>
      <c r="AE194" s="15">
        <v>0.83299999999999996</v>
      </c>
      <c r="AF194" s="20">
        <v>20</v>
      </c>
      <c r="AG194" s="20">
        <v>6.58</v>
      </c>
      <c r="AH194" s="24">
        <v>24</v>
      </c>
      <c r="AI194" s="23">
        <f t="shared" ref="AI194:AI216" si="7">IF(AND(ISNUMBER(AJ194), ISNUMBER(AK194),ISNUMBER(AL194)), 1, IF(AND(AJ194="NA", AK194="NA", AL194="na"), 3, 2))</f>
        <v>1</v>
      </c>
      <c r="AJ194" s="15">
        <v>6</v>
      </c>
      <c r="AK194" s="15">
        <v>8.75</v>
      </c>
      <c r="AL194" s="25">
        <v>14.75</v>
      </c>
      <c r="AM194" s="23" cm="1">
        <f t="array" ref="AM194">IF(OR(AN194:AZ194=""),"BLANK",IF(AND(AN194:AZ194&lt;9999999),1,IF(AND(AN194:AZ194="NA"),3,2)))</f>
        <v>1</v>
      </c>
      <c r="AN194" s="20">
        <v>7</v>
      </c>
      <c r="AO194" s="20">
        <v>2</v>
      </c>
      <c r="AP194" s="15">
        <v>3</v>
      </c>
      <c r="AQ194" s="15">
        <v>6.5</v>
      </c>
      <c r="AR194" s="15">
        <v>7.25</v>
      </c>
      <c r="AS194" s="26">
        <v>871</v>
      </c>
      <c r="AT194" s="26">
        <v>5250.5</v>
      </c>
      <c r="AU194" s="26">
        <v>8940.75</v>
      </c>
      <c r="AV194" s="26">
        <v>6434</v>
      </c>
      <c r="AW194" s="26">
        <v>1369.75</v>
      </c>
      <c r="AX194" s="26">
        <v>0</v>
      </c>
      <c r="AY194" s="26">
        <v>4523.0138888888996</v>
      </c>
      <c r="AZ194" s="26">
        <v>0</v>
      </c>
      <c r="BA194" s="23">
        <v>3</v>
      </c>
      <c r="BB194" s="24" t="s">
        <v>8</v>
      </c>
    </row>
    <row r="195" spans="1:54" x14ac:dyDescent="0.2">
      <c r="A195" s="21">
        <v>4196</v>
      </c>
      <c r="B195" s="20" t="s">
        <v>85</v>
      </c>
      <c r="C195" s="18" t="s">
        <v>55</v>
      </c>
      <c r="D195" s="18">
        <v>5</v>
      </c>
      <c r="E195" s="18">
        <v>0</v>
      </c>
      <c r="F195" s="51" t="s">
        <v>9</v>
      </c>
      <c r="G195" s="18">
        <v>30</v>
      </c>
      <c r="H195" s="22">
        <v>3.4579055441478439</v>
      </c>
      <c r="I195" s="22">
        <v>4.0109514031485283</v>
      </c>
      <c r="J195" s="22">
        <v>7.4688569472963726</v>
      </c>
      <c r="K195" s="22">
        <v>3.4579055441478439</v>
      </c>
      <c r="L195" s="22">
        <v>4.0136892539356603</v>
      </c>
      <c r="M195" s="22">
        <v>7.4715947980835047</v>
      </c>
      <c r="N195" s="22">
        <v>3.4168377823408624</v>
      </c>
      <c r="O195" s="22">
        <v>3.5865845311430529</v>
      </c>
      <c r="P195" s="22">
        <v>7.0034223134839149</v>
      </c>
      <c r="Q195" s="22">
        <v>3.5181382614647503</v>
      </c>
      <c r="R195" s="22" t="s">
        <v>8</v>
      </c>
      <c r="S195" s="22" t="s">
        <v>8</v>
      </c>
      <c r="T195" s="20" t="s">
        <v>8</v>
      </c>
      <c r="U195" s="20" t="s">
        <v>8</v>
      </c>
      <c r="V195" s="20" t="s">
        <v>1</v>
      </c>
      <c r="W195" s="20">
        <v>5</v>
      </c>
      <c r="X195" s="20">
        <v>3</v>
      </c>
      <c r="Y195" s="5">
        <v>1</v>
      </c>
      <c r="Z195" s="20">
        <v>4</v>
      </c>
      <c r="AA195" s="23">
        <f t="shared" si="6"/>
        <v>1</v>
      </c>
      <c r="AB195" s="15">
        <v>1</v>
      </c>
      <c r="AC195" s="15">
        <v>0.83299999999999996</v>
      </c>
      <c r="AD195" s="15">
        <v>0.66700000000000004</v>
      </c>
      <c r="AE195" s="15">
        <v>0.70799999999999996</v>
      </c>
      <c r="AF195" s="20">
        <v>17</v>
      </c>
      <c r="AG195" s="20">
        <v>4.5199999999999996</v>
      </c>
      <c r="AH195" s="24">
        <v>24</v>
      </c>
      <c r="AI195" s="23">
        <f t="shared" si="7"/>
        <v>1</v>
      </c>
      <c r="AJ195" s="15">
        <v>3.25</v>
      </c>
      <c r="AK195" s="15">
        <v>6.25</v>
      </c>
      <c r="AL195" s="25">
        <v>9.5</v>
      </c>
      <c r="AM195" s="23" cm="1">
        <f t="array" ref="AM195">IF(OR(AN195:AZ195=""),"BLANK",IF(AND(AN195:AZ195&lt;9999999),1,IF(AND(AN195:AZ195="NA"),3,2)))</f>
        <v>1</v>
      </c>
      <c r="AN195" s="20">
        <v>6</v>
      </c>
      <c r="AO195" s="20">
        <v>3</v>
      </c>
      <c r="AP195" s="15">
        <v>3.5</v>
      </c>
      <c r="AQ195" s="15">
        <v>4</v>
      </c>
      <c r="AR195" s="15">
        <v>9.25</v>
      </c>
      <c r="AS195" s="26">
        <v>2701</v>
      </c>
      <c r="AT195" s="26">
        <v>2479.5</v>
      </c>
      <c r="AU195" s="26">
        <v>1793.75</v>
      </c>
      <c r="AV195" s="26">
        <v>1301.25</v>
      </c>
      <c r="AW195" s="26">
        <v>4736.875</v>
      </c>
      <c r="AX195" s="26">
        <v>1842.4583333333001</v>
      </c>
      <c r="AY195" s="26">
        <v>1054.125</v>
      </c>
      <c r="AZ195" s="26">
        <v>3949.5</v>
      </c>
      <c r="BA195" s="23">
        <v>3</v>
      </c>
      <c r="BB195" s="24" t="s">
        <v>8</v>
      </c>
    </row>
    <row r="196" spans="1:54" x14ac:dyDescent="0.2">
      <c r="A196" s="21">
        <v>4288</v>
      </c>
      <c r="B196" s="20" t="s">
        <v>82</v>
      </c>
      <c r="C196" s="18" t="s">
        <v>54</v>
      </c>
      <c r="D196" s="18">
        <v>5</v>
      </c>
      <c r="E196" s="18">
        <v>0</v>
      </c>
      <c r="F196" s="51" t="s">
        <v>9</v>
      </c>
      <c r="G196" s="18">
        <v>29</v>
      </c>
      <c r="H196" s="22">
        <v>3.4715947980835042</v>
      </c>
      <c r="I196" s="22">
        <v>3.6851471594798082</v>
      </c>
      <c r="J196" s="22">
        <v>7.1567419575633124</v>
      </c>
      <c r="K196" s="22">
        <v>3.4715947980835042</v>
      </c>
      <c r="L196" s="22">
        <v>3.7316906228610542</v>
      </c>
      <c r="M196" s="22">
        <v>7.2032854209445585</v>
      </c>
      <c r="N196" s="22">
        <v>3.4880219028062971</v>
      </c>
      <c r="O196" s="22" t="s">
        <v>8</v>
      </c>
      <c r="P196" s="22" t="s">
        <v>8</v>
      </c>
      <c r="Q196" s="22">
        <v>3.6577686516084875</v>
      </c>
      <c r="R196" s="22" t="s">
        <v>8</v>
      </c>
      <c r="S196" s="22" t="s">
        <v>8</v>
      </c>
      <c r="T196" s="20">
        <v>4</v>
      </c>
      <c r="U196" s="20">
        <v>16</v>
      </c>
      <c r="V196" s="20" t="s">
        <v>1</v>
      </c>
      <c r="W196" s="20">
        <v>5</v>
      </c>
      <c r="X196" s="20">
        <v>3</v>
      </c>
      <c r="Y196" s="5">
        <v>1</v>
      </c>
      <c r="Z196" s="20">
        <v>4</v>
      </c>
      <c r="AA196" s="23">
        <f t="shared" si="6"/>
        <v>1</v>
      </c>
      <c r="AB196" s="15">
        <v>1</v>
      </c>
      <c r="AC196" s="15">
        <v>0.66700000000000004</v>
      </c>
      <c r="AD196" s="15">
        <v>0.66700000000000004</v>
      </c>
      <c r="AE196" s="15">
        <v>0.79200000000000004</v>
      </c>
      <c r="AF196" s="20">
        <v>19</v>
      </c>
      <c r="AG196" s="20">
        <v>6.42</v>
      </c>
      <c r="AH196" s="24">
        <v>24</v>
      </c>
      <c r="AI196" s="23">
        <f t="shared" si="7"/>
        <v>1</v>
      </c>
      <c r="AJ196" s="15">
        <v>10.75</v>
      </c>
      <c r="AK196" s="15">
        <v>9.5</v>
      </c>
      <c r="AL196" s="25">
        <v>20.25</v>
      </c>
      <c r="AM196" s="23" cm="1">
        <f t="array" ref="AM196">IF(OR(AN196:AZ196=""),"BLANK",IF(AND(AN196:AZ196&lt;9999999),1,IF(AND(AN196:AZ196="NA"),3,2)))</f>
        <v>1</v>
      </c>
      <c r="AN196" s="20">
        <v>9</v>
      </c>
      <c r="AO196" s="20">
        <v>2</v>
      </c>
      <c r="AP196" s="15">
        <v>3</v>
      </c>
      <c r="AQ196" s="15">
        <v>6.5</v>
      </c>
      <c r="AR196" s="15">
        <v>5.5</v>
      </c>
      <c r="AS196" s="26">
        <v>1283</v>
      </c>
      <c r="AT196" s="26">
        <v>1617.5</v>
      </c>
      <c r="AU196" s="26">
        <v>5398.5</v>
      </c>
      <c r="AV196" s="26">
        <v>9859</v>
      </c>
      <c r="AW196" s="26">
        <v>575</v>
      </c>
      <c r="AX196" s="26">
        <v>34.166666666700003</v>
      </c>
      <c r="AY196" s="26">
        <v>986.26388888890006</v>
      </c>
      <c r="AZ196" s="26">
        <v>405.92857142859998</v>
      </c>
      <c r="BA196" s="23">
        <v>3</v>
      </c>
      <c r="BB196" s="24" t="s">
        <v>8</v>
      </c>
    </row>
    <row r="197" spans="1:54" x14ac:dyDescent="0.2">
      <c r="A197" s="21">
        <v>4312</v>
      </c>
      <c r="B197" s="20" t="s">
        <v>63</v>
      </c>
      <c r="C197" s="18" t="s">
        <v>54</v>
      </c>
      <c r="D197" s="18">
        <v>5</v>
      </c>
      <c r="E197" s="18">
        <v>0</v>
      </c>
      <c r="F197" s="51" t="s">
        <v>9</v>
      </c>
      <c r="G197" s="18">
        <v>30</v>
      </c>
      <c r="H197" s="22">
        <v>3.7563312799452429</v>
      </c>
      <c r="I197" s="22">
        <v>3.3566050650239561</v>
      </c>
      <c r="J197" s="22">
        <v>7.1129363449691994</v>
      </c>
      <c r="K197" s="22">
        <v>3.7563312799452429</v>
      </c>
      <c r="L197" s="22">
        <v>3.3566050650239561</v>
      </c>
      <c r="M197" s="22">
        <v>7.1129363449691994</v>
      </c>
      <c r="N197" s="22">
        <v>3.9096509240246409</v>
      </c>
      <c r="O197" s="22">
        <v>3.1266255989048597</v>
      </c>
      <c r="P197" s="22">
        <v>7.0362765229295006</v>
      </c>
      <c r="Q197" s="22">
        <v>3.6605065023956196</v>
      </c>
      <c r="R197" s="22">
        <v>3.3702943189596168</v>
      </c>
      <c r="S197" s="22">
        <v>7.0308008213552364</v>
      </c>
      <c r="T197" s="20">
        <v>3</v>
      </c>
      <c r="U197" s="20">
        <v>14</v>
      </c>
      <c r="V197" s="20" t="s">
        <v>1</v>
      </c>
      <c r="W197" s="20">
        <v>5</v>
      </c>
      <c r="X197" s="20">
        <v>3</v>
      </c>
      <c r="Y197" s="5">
        <v>1</v>
      </c>
      <c r="Z197" s="20">
        <v>4</v>
      </c>
      <c r="AA197" s="23">
        <f t="shared" si="6"/>
        <v>1</v>
      </c>
      <c r="AB197" s="15">
        <v>0.83299999999999996</v>
      </c>
      <c r="AC197" s="15">
        <v>1</v>
      </c>
      <c r="AD197" s="15">
        <v>0.5</v>
      </c>
      <c r="AE197" s="15">
        <v>0.75</v>
      </c>
      <c r="AF197" s="20">
        <v>18</v>
      </c>
      <c r="AG197" s="20">
        <v>5</v>
      </c>
      <c r="AH197" s="24">
        <v>24</v>
      </c>
      <c r="AI197" s="23">
        <f t="shared" si="7"/>
        <v>1</v>
      </c>
      <c r="AJ197" s="15">
        <v>8.75</v>
      </c>
      <c r="AK197" s="15">
        <v>9.25</v>
      </c>
      <c r="AL197" s="25">
        <v>18</v>
      </c>
      <c r="AM197" s="23" cm="1">
        <f t="array" ref="AM197">IF(OR(AN197:AZ197=""),"BLANK",IF(AND(AN197:AZ197&lt;9999999),1,IF(AND(AN197:AZ197="NA"),3,2)))</f>
        <v>1</v>
      </c>
      <c r="AN197" s="20">
        <v>5</v>
      </c>
      <c r="AO197" s="20">
        <v>2</v>
      </c>
      <c r="AP197" s="15">
        <v>3</v>
      </c>
      <c r="AQ197" s="15">
        <v>7.25</v>
      </c>
      <c r="AR197" s="15">
        <v>12</v>
      </c>
      <c r="AS197" s="26">
        <v>95.5</v>
      </c>
      <c r="AT197" s="26">
        <v>1327</v>
      </c>
      <c r="AU197" s="26">
        <v>3085.5</v>
      </c>
      <c r="AV197" s="26">
        <v>3074</v>
      </c>
      <c r="AW197" s="26">
        <v>0</v>
      </c>
      <c r="AX197" s="26">
        <v>0</v>
      </c>
      <c r="AY197" s="26">
        <v>1214.9305555556</v>
      </c>
      <c r="AZ197" s="26">
        <v>2727.8333333332998</v>
      </c>
      <c r="BA197" s="23">
        <v>3</v>
      </c>
      <c r="BB197" s="24" t="s">
        <v>8</v>
      </c>
    </row>
    <row r="198" spans="1:54" x14ac:dyDescent="0.2">
      <c r="A198" s="21">
        <v>4315</v>
      </c>
      <c r="B198" s="20" t="s">
        <v>80</v>
      </c>
      <c r="C198" s="18" t="s">
        <v>55</v>
      </c>
      <c r="D198" s="18">
        <v>5</v>
      </c>
      <c r="E198" s="18">
        <v>0</v>
      </c>
      <c r="F198" s="51" t="s">
        <v>9</v>
      </c>
      <c r="G198" s="18">
        <v>30</v>
      </c>
      <c r="H198" s="22">
        <v>2.4695414099931554</v>
      </c>
      <c r="I198" s="22">
        <v>4.3778234086242298</v>
      </c>
      <c r="J198" s="22">
        <v>6.8473648186173852</v>
      </c>
      <c r="K198" s="22">
        <v>2.4695414099931554</v>
      </c>
      <c r="L198" s="22">
        <v>4.3778234086242298</v>
      </c>
      <c r="M198" s="22">
        <v>6.8473648186173852</v>
      </c>
      <c r="N198" s="22">
        <v>2.622861054072553</v>
      </c>
      <c r="O198" s="22">
        <v>4.1889117043121153</v>
      </c>
      <c r="P198" s="22">
        <v>6.8117727583846683</v>
      </c>
      <c r="Q198" s="22">
        <v>2.9295003422313486</v>
      </c>
      <c r="R198" s="22" t="s">
        <v>8</v>
      </c>
      <c r="S198" s="22" t="s">
        <v>8</v>
      </c>
      <c r="T198" s="20" t="s">
        <v>8</v>
      </c>
      <c r="U198" s="20" t="s">
        <v>8</v>
      </c>
      <c r="V198" s="20" t="s">
        <v>1</v>
      </c>
      <c r="W198" s="20">
        <v>5</v>
      </c>
      <c r="X198" s="20">
        <v>3</v>
      </c>
      <c r="Y198" s="5">
        <v>1</v>
      </c>
      <c r="Z198" s="20">
        <v>4</v>
      </c>
      <c r="AA198" s="23">
        <f t="shared" si="6"/>
        <v>1</v>
      </c>
      <c r="AB198" s="15">
        <v>1</v>
      </c>
      <c r="AC198" s="15">
        <v>0.5</v>
      </c>
      <c r="AD198" s="15">
        <v>0.5</v>
      </c>
      <c r="AE198" s="15">
        <v>0.66700000000000004</v>
      </c>
      <c r="AF198" s="20">
        <v>16</v>
      </c>
      <c r="AG198" s="20">
        <v>4.5</v>
      </c>
      <c r="AH198" s="24">
        <v>24</v>
      </c>
      <c r="AI198" s="23">
        <f t="shared" si="7"/>
        <v>1</v>
      </c>
      <c r="AJ198" s="15">
        <v>7.75</v>
      </c>
      <c r="AK198" s="15">
        <v>8.75</v>
      </c>
      <c r="AL198" s="25">
        <v>16.5</v>
      </c>
      <c r="AM198" s="23" cm="1">
        <f t="array" ref="AM198">IF(OR(AN198:AZ198=""),"BLANK",IF(AND(AN198:AZ198&lt;9999999),1,IF(AND(AN198:AZ198="NA"),3,2)))</f>
        <v>1</v>
      </c>
      <c r="AN198" s="20">
        <v>8</v>
      </c>
      <c r="AO198" s="20">
        <v>2</v>
      </c>
      <c r="AP198" s="15">
        <v>3</v>
      </c>
      <c r="AQ198" s="15">
        <v>5.75</v>
      </c>
      <c r="AR198" s="15">
        <v>8</v>
      </c>
      <c r="AS198" s="26">
        <v>48.5</v>
      </c>
      <c r="AT198" s="26">
        <v>7941.5</v>
      </c>
      <c r="AU198" s="26">
        <v>5344.75</v>
      </c>
      <c r="AV198" s="26">
        <v>13422.25</v>
      </c>
      <c r="AW198" s="26">
        <v>0</v>
      </c>
      <c r="AX198" s="26">
        <v>0</v>
      </c>
      <c r="AY198" s="26">
        <v>1959.0486111110999</v>
      </c>
      <c r="AZ198" s="26">
        <v>1535.3583333332999</v>
      </c>
      <c r="BA198" s="23">
        <v>3</v>
      </c>
      <c r="BB198" s="24" t="s">
        <v>8</v>
      </c>
    </row>
    <row r="199" spans="1:54" x14ac:dyDescent="0.2">
      <c r="A199" s="21">
        <v>4328</v>
      </c>
      <c r="B199" s="20" t="s">
        <v>83</v>
      </c>
      <c r="C199" s="18" t="s">
        <v>55</v>
      </c>
      <c r="D199" s="18">
        <v>5</v>
      </c>
      <c r="E199" s="18">
        <v>0</v>
      </c>
      <c r="F199" s="51" t="s">
        <v>9</v>
      </c>
      <c r="G199" s="18">
        <v>30</v>
      </c>
      <c r="H199" s="22">
        <v>3.5099247091033541</v>
      </c>
      <c r="I199" s="22">
        <v>3.2005475701574264</v>
      </c>
      <c r="J199" s="22">
        <v>6.71047227926078</v>
      </c>
      <c r="K199" s="22">
        <v>3.5099247091033541</v>
      </c>
      <c r="L199" s="22">
        <v>3.2005475701574264</v>
      </c>
      <c r="M199" s="22">
        <v>6.71047227926078</v>
      </c>
      <c r="N199" s="22">
        <v>3.5345653661875427</v>
      </c>
      <c r="O199" s="22">
        <v>3.2525667351129361</v>
      </c>
      <c r="P199" s="22">
        <v>6.7871321013004788</v>
      </c>
      <c r="Q199" s="22">
        <v>3.4223134839151266</v>
      </c>
      <c r="R199" s="22">
        <v>3.3730321697467489</v>
      </c>
      <c r="S199" s="22">
        <v>6.795345653661875</v>
      </c>
      <c r="T199" s="20">
        <v>7</v>
      </c>
      <c r="U199" s="20">
        <v>21</v>
      </c>
      <c r="V199" s="20" t="s">
        <v>1</v>
      </c>
      <c r="W199" s="20">
        <v>5</v>
      </c>
      <c r="X199" s="20">
        <v>3</v>
      </c>
      <c r="Y199" s="5">
        <v>1</v>
      </c>
      <c r="Z199" s="20">
        <v>4</v>
      </c>
      <c r="AA199" s="23">
        <f t="shared" si="6"/>
        <v>1</v>
      </c>
      <c r="AB199" s="15">
        <v>0.83299999999999996</v>
      </c>
      <c r="AC199" s="15">
        <v>1</v>
      </c>
      <c r="AD199" s="15">
        <v>0.16700000000000001</v>
      </c>
      <c r="AE199" s="15">
        <v>0.58299999999999996</v>
      </c>
      <c r="AF199" s="20">
        <v>14</v>
      </c>
      <c r="AG199" s="20">
        <v>6.83</v>
      </c>
      <c r="AH199" s="24">
        <v>24</v>
      </c>
      <c r="AI199" s="23">
        <f t="shared" si="7"/>
        <v>1</v>
      </c>
      <c r="AJ199" s="15">
        <v>4</v>
      </c>
      <c r="AK199" s="15">
        <v>3</v>
      </c>
      <c r="AL199" s="25">
        <v>7</v>
      </c>
      <c r="AM199" s="23" cm="1">
        <f t="array" ref="AM199">IF(OR(AN199:AZ199=""),"BLANK",IF(AND(AN199:AZ199&lt;9999999),1,IF(AND(AN199:AZ199="NA"),3,2)))</f>
        <v>1</v>
      </c>
      <c r="AN199" s="20">
        <v>10</v>
      </c>
      <c r="AO199" s="20">
        <v>2</v>
      </c>
      <c r="AP199" s="15">
        <v>4</v>
      </c>
      <c r="AQ199" s="15">
        <v>4</v>
      </c>
      <c r="AR199" s="15">
        <v>6</v>
      </c>
      <c r="AS199" s="26">
        <v>3602.5</v>
      </c>
      <c r="AT199" s="26">
        <v>4274.5</v>
      </c>
      <c r="AU199" s="26">
        <v>7429</v>
      </c>
      <c r="AV199" s="26">
        <v>8393.75</v>
      </c>
      <c r="AW199" s="26">
        <v>0</v>
      </c>
      <c r="AX199" s="26">
        <v>3250.9666666666999</v>
      </c>
      <c r="AY199" s="26">
        <v>1126.5</v>
      </c>
      <c r="AZ199" s="26">
        <v>0</v>
      </c>
      <c r="BA199" s="23">
        <v>3</v>
      </c>
      <c r="BB199" s="24" t="s">
        <v>8</v>
      </c>
    </row>
    <row r="200" spans="1:54" x14ac:dyDescent="0.2">
      <c r="A200" s="21">
        <v>4394</v>
      </c>
      <c r="B200" s="20" t="s">
        <v>78</v>
      </c>
      <c r="C200" s="18" t="s">
        <v>55</v>
      </c>
      <c r="D200" s="18">
        <v>2</v>
      </c>
      <c r="E200" s="18">
        <v>0</v>
      </c>
      <c r="F200" s="51" t="s">
        <v>9</v>
      </c>
      <c r="G200" s="18">
        <v>30</v>
      </c>
      <c r="H200" s="22">
        <v>3.9589322381930185</v>
      </c>
      <c r="I200" s="22">
        <v>3.1868583162217661</v>
      </c>
      <c r="J200" s="22">
        <v>7.1457905544147842</v>
      </c>
      <c r="K200" s="22">
        <v>3.9479808350444903</v>
      </c>
      <c r="L200" s="22">
        <v>3.184120465434634</v>
      </c>
      <c r="M200" s="22">
        <v>7.1321013004791238</v>
      </c>
      <c r="N200" s="22">
        <v>3.9479808350444903</v>
      </c>
      <c r="O200" s="22">
        <v>3.2224503764544834</v>
      </c>
      <c r="P200" s="22">
        <v>7.1704312114989737</v>
      </c>
      <c r="Q200" s="22">
        <v>3.8850102669404518</v>
      </c>
      <c r="R200" s="22">
        <v>3.2553045859000687</v>
      </c>
      <c r="S200" s="22">
        <v>7.14031485284052</v>
      </c>
      <c r="T200" s="20">
        <v>4</v>
      </c>
      <c r="U200" s="20">
        <v>16</v>
      </c>
      <c r="V200" s="20" t="s">
        <v>1</v>
      </c>
      <c r="W200" s="20">
        <v>5</v>
      </c>
      <c r="X200" s="20">
        <v>3</v>
      </c>
      <c r="Y200" s="5">
        <v>1</v>
      </c>
      <c r="Z200" s="20">
        <v>4</v>
      </c>
      <c r="AA200" s="23">
        <f t="shared" si="6"/>
        <v>1</v>
      </c>
      <c r="AB200" s="15">
        <v>1</v>
      </c>
      <c r="AC200" s="15">
        <v>1</v>
      </c>
      <c r="AD200" s="15">
        <v>0.66700000000000004</v>
      </c>
      <c r="AE200" s="15">
        <v>0.875</v>
      </c>
      <c r="AF200" s="20">
        <v>21</v>
      </c>
      <c r="AG200" s="20">
        <v>5.45</v>
      </c>
      <c r="AH200" s="24">
        <v>24</v>
      </c>
      <c r="AI200" s="23">
        <f t="shared" si="7"/>
        <v>1</v>
      </c>
      <c r="AJ200" s="15">
        <v>10.5</v>
      </c>
      <c r="AK200" s="15">
        <v>7.75</v>
      </c>
      <c r="AL200" s="25">
        <v>18.25</v>
      </c>
      <c r="AM200" s="23" cm="1">
        <f t="array" ref="AM200">IF(OR(AN200:AZ200=""),"BLANK",IF(AND(AN200:AZ200&lt;9999999),1,IF(AND(AN200:AZ200="NA"),3,2)))</f>
        <v>1</v>
      </c>
      <c r="AN200" s="20">
        <v>9</v>
      </c>
      <c r="AO200" s="20">
        <v>2</v>
      </c>
      <c r="AP200" s="15">
        <v>3</v>
      </c>
      <c r="AQ200" s="15">
        <v>4</v>
      </c>
      <c r="AR200" s="15">
        <v>6.25</v>
      </c>
      <c r="AS200" s="26">
        <v>2069.5</v>
      </c>
      <c r="AT200" s="26">
        <v>4482</v>
      </c>
      <c r="AU200" s="26">
        <v>7587.75</v>
      </c>
      <c r="AV200" s="26">
        <v>21779.25</v>
      </c>
      <c r="AW200" s="26">
        <v>0</v>
      </c>
      <c r="AX200" s="26">
        <v>269.6666666667</v>
      </c>
      <c r="AY200" s="26">
        <v>74.25</v>
      </c>
      <c r="AZ200" s="26">
        <v>1467.3642857143</v>
      </c>
      <c r="BA200" s="23">
        <v>3</v>
      </c>
      <c r="BB200" s="24" t="s">
        <v>8</v>
      </c>
    </row>
    <row r="201" spans="1:54" x14ac:dyDescent="0.2">
      <c r="A201" s="21">
        <v>4451</v>
      </c>
      <c r="B201" s="20" t="s">
        <v>70</v>
      </c>
      <c r="C201" s="18" t="s">
        <v>55</v>
      </c>
      <c r="D201" s="18">
        <v>5</v>
      </c>
      <c r="E201" s="18">
        <v>1</v>
      </c>
      <c r="F201" s="51" t="s">
        <v>9</v>
      </c>
      <c r="G201" s="18">
        <v>28</v>
      </c>
      <c r="H201" s="22">
        <v>3.4168377823408624</v>
      </c>
      <c r="I201" s="22">
        <v>3.6030116358658453</v>
      </c>
      <c r="J201" s="22">
        <v>7.0198494182067082</v>
      </c>
      <c r="K201" s="22">
        <v>3.485284052019165</v>
      </c>
      <c r="L201" s="22">
        <v>3.5345653661875427</v>
      </c>
      <c r="M201" s="22">
        <v>7.0198494182067082</v>
      </c>
      <c r="N201" s="22">
        <v>3.4387405886379194</v>
      </c>
      <c r="O201" s="22">
        <v>3.6030116358658453</v>
      </c>
      <c r="P201" s="22">
        <v>7.0417522245037647</v>
      </c>
      <c r="Q201" s="22">
        <v>3.5044490075290895</v>
      </c>
      <c r="R201" s="22">
        <v>3.57015742642026</v>
      </c>
      <c r="S201" s="22">
        <v>7.0746064339493495</v>
      </c>
      <c r="T201" s="20" t="s">
        <v>8</v>
      </c>
      <c r="U201" s="20" t="s">
        <v>8</v>
      </c>
      <c r="V201" s="20" t="s">
        <v>1</v>
      </c>
      <c r="W201" s="20">
        <v>5</v>
      </c>
      <c r="X201" s="20">
        <v>3</v>
      </c>
      <c r="Y201" s="5">
        <v>1</v>
      </c>
      <c r="Z201" s="20">
        <v>4</v>
      </c>
      <c r="AA201" s="23">
        <f t="shared" si="6"/>
        <v>1</v>
      </c>
      <c r="AB201" s="15">
        <v>1</v>
      </c>
      <c r="AC201" s="15">
        <v>0.5</v>
      </c>
      <c r="AD201" s="15">
        <v>0</v>
      </c>
      <c r="AE201" s="15">
        <v>0.41699999999999998</v>
      </c>
      <c r="AF201" s="20">
        <v>10</v>
      </c>
      <c r="AG201" s="20">
        <v>10.55</v>
      </c>
      <c r="AH201" s="24">
        <v>24</v>
      </c>
      <c r="AI201" s="23">
        <f t="shared" si="7"/>
        <v>1</v>
      </c>
      <c r="AJ201" s="15">
        <v>3.75</v>
      </c>
      <c r="AK201" s="15">
        <v>1.25</v>
      </c>
      <c r="AL201" s="25">
        <v>5</v>
      </c>
      <c r="AM201" s="23" cm="1">
        <f t="array" ref="AM201">IF(OR(AN201:AZ201=""),"BLANK",IF(AND(AN201:AZ201&lt;9999999),1,IF(AND(AN201:AZ201="NA"),3,2)))</f>
        <v>1</v>
      </c>
      <c r="AN201" s="20">
        <v>5</v>
      </c>
      <c r="AO201" s="20">
        <v>2</v>
      </c>
      <c r="AP201" s="15">
        <v>3</v>
      </c>
      <c r="AQ201" s="15">
        <v>7.75</v>
      </c>
      <c r="AR201" s="15">
        <v>12</v>
      </c>
      <c r="AS201" s="26">
        <v>702</v>
      </c>
      <c r="AT201" s="26">
        <v>5020</v>
      </c>
      <c r="AU201" s="26">
        <v>1740</v>
      </c>
      <c r="AV201" s="26">
        <v>1387</v>
      </c>
      <c r="AW201" s="26">
        <v>0</v>
      </c>
      <c r="AX201" s="26">
        <v>0</v>
      </c>
      <c r="AY201" s="26">
        <v>2061.6527777778001</v>
      </c>
      <c r="AZ201" s="26">
        <v>6404.6666666666997</v>
      </c>
      <c r="BA201" s="23">
        <v>3</v>
      </c>
      <c r="BB201" s="24" t="s">
        <v>8</v>
      </c>
    </row>
    <row r="202" spans="1:54" x14ac:dyDescent="0.2">
      <c r="A202" s="21">
        <v>4461</v>
      </c>
      <c r="B202" s="20" t="s">
        <v>64</v>
      </c>
      <c r="C202" s="18" t="s">
        <v>55</v>
      </c>
      <c r="D202" s="18">
        <v>5</v>
      </c>
      <c r="E202" s="18">
        <v>0</v>
      </c>
      <c r="F202" s="51" t="s">
        <v>9</v>
      </c>
      <c r="G202" s="18">
        <v>29</v>
      </c>
      <c r="H202" s="22">
        <v>3.463381245722108</v>
      </c>
      <c r="I202" s="22">
        <v>3.3648186173853527</v>
      </c>
      <c r="J202" s="22">
        <v>6.8281998631074607</v>
      </c>
      <c r="K202" s="22">
        <v>3.463381245722108</v>
      </c>
      <c r="L202" s="22">
        <v>3.3648186173853527</v>
      </c>
      <c r="M202" s="22">
        <v>6.8281998631074607</v>
      </c>
      <c r="N202" s="22">
        <v>3.4387405886379194</v>
      </c>
      <c r="O202" s="22">
        <v>3.4277891854893907</v>
      </c>
      <c r="P202" s="22">
        <v>6.8665297741273097</v>
      </c>
      <c r="Q202" s="22">
        <v>3.3949349760438055</v>
      </c>
      <c r="R202" s="22">
        <v>3.5017111567419574</v>
      </c>
      <c r="S202" s="22">
        <v>6.8966461327857633</v>
      </c>
      <c r="T202" s="20">
        <v>5</v>
      </c>
      <c r="U202" s="20">
        <v>17</v>
      </c>
      <c r="V202" s="20" t="s">
        <v>1</v>
      </c>
      <c r="W202" s="20">
        <v>5</v>
      </c>
      <c r="X202" s="20">
        <v>3</v>
      </c>
      <c r="Y202" s="5">
        <v>1</v>
      </c>
      <c r="Z202" s="20">
        <v>4</v>
      </c>
      <c r="AA202" s="23">
        <f t="shared" si="6"/>
        <v>1</v>
      </c>
      <c r="AB202" s="15">
        <v>1</v>
      </c>
      <c r="AC202" s="15">
        <v>1</v>
      </c>
      <c r="AD202" s="15">
        <v>0.83299999999999996</v>
      </c>
      <c r="AE202" s="15">
        <v>0.91700000000000004</v>
      </c>
      <c r="AF202" s="20">
        <v>22</v>
      </c>
      <c r="AG202" s="20">
        <v>9.92</v>
      </c>
      <c r="AH202" s="24">
        <v>24</v>
      </c>
      <c r="AI202" s="23">
        <f t="shared" si="7"/>
        <v>1</v>
      </c>
      <c r="AJ202" s="15">
        <v>8.75</v>
      </c>
      <c r="AK202" s="15">
        <v>9</v>
      </c>
      <c r="AL202" s="25">
        <v>17.75</v>
      </c>
      <c r="AM202" s="23" cm="1">
        <f t="array" ref="AM202">IF(OR(AN202:AZ202=""),"BLANK",IF(AND(AN202:AZ202&lt;9999999),1,IF(AND(AN202:AZ202="NA"),3,2)))</f>
        <v>1</v>
      </c>
      <c r="AN202" s="20">
        <v>8</v>
      </c>
      <c r="AO202" s="20">
        <v>2</v>
      </c>
      <c r="AP202" s="15">
        <v>3</v>
      </c>
      <c r="AQ202" s="15">
        <v>5.25</v>
      </c>
      <c r="AR202" s="15">
        <v>7.5</v>
      </c>
      <c r="AS202" s="26">
        <v>4636</v>
      </c>
      <c r="AT202" s="26">
        <v>3395</v>
      </c>
      <c r="AU202" s="26">
        <v>12668.5</v>
      </c>
      <c r="AV202" s="26">
        <v>8657.75</v>
      </c>
      <c r="AW202" s="26">
        <v>0</v>
      </c>
      <c r="AX202" s="26">
        <v>0</v>
      </c>
      <c r="AY202" s="26">
        <v>399.71130952380003</v>
      </c>
      <c r="AZ202" s="26">
        <v>666.34166666670001</v>
      </c>
      <c r="BA202" s="23">
        <v>3</v>
      </c>
      <c r="BB202" s="24" t="s">
        <v>8</v>
      </c>
    </row>
    <row r="203" spans="1:54" x14ac:dyDescent="0.2">
      <c r="A203" s="21">
        <v>4488</v>
      </c>
      <c r="B203" s="20" t="s">
        <v>81</v>
      </c>
      <c r="C203" s="18" t="s">
        <v>54</v>
      </c>
      <c r="D203" s="18">
        <v>5</v>
      </c>
      <c r="E203" s="18">
        <v>0</v>
      </c>
      <c r="F203" s="51" t="s">
        <v>9</v>
      </c>
      <c r="G203" s="18">
        <v>29</v>
      </c>
      <c r="H203" s="22">
        <v>3.460643394934976</v>
      </c>
      <c r="I203" s="22">
        <v>3.5345653661875427</v>
      </c>
      <c r="J203" s="22">
        <v>6.9952087611225187</v>
      </c>
      <c r="K203" s="22">
        <v>4.6379192334017798</v>
      </c>
      <c r="L203" s="22">
        <v>2.3572895277207393</v>
      </c>
      <c r="M203" s="22">
        <v>6.9952087611225187</v>
      </c>
      <c r="N203" s="22">
        <v>3.6303901437371664</v>
      </c>
      <c r="O203" s="22" t="s">
        <v>8</v>
      </c>
      <c r="P203" s="22" t="s">
        <v>8</v>
      </c>
      <c r="Q203" s="22">
        <v>3.5126625598904861</v>
      </c>
      <c r="R203" s="22" t="s">
        <v>8</v>
      </c>
      <c r="S203" s="22" t="s">
        <v>8</v>
      </c>
      <c r="T203" s="20">
        <v>3</v>
      </c>
      <c r="U203" s="20">
        <v>14</v>
      </c>
      <c r="V203" s="20" t="s">
        <v>1</v>
      </c>
      <c r="W203" s="20">
        <v>5</v>
      </c>
      <c r="X203" s="20">
        <v>3</v>
      </c>
      <c r="Y203" s="5">
        <v>1</v>
      </c>
      <c r="Z203" s="20">
        <v>4</v>
      </c>
      <c r="AA203" s="23">
        <f t="shared" si="6"/>
        <v>1</v>
      </c>
      <c r="AB203" s="15">
        <v>0.83299999999999996</v>
      </c>
      <c r="AC203" s="15">
        <v>0.5</v>
      </c>
      <c r="AD203" s="15">
        <v>0.16700000000000001</v>
      </c>
      <c r="AE203" s="15">
        <v>0.5</v>
      </c>
      <c r="AF203" s="20">
        <v>12</v>
      </c>
      <c r="AG203" s="20">
        <v>8.1300000000000008</v>
      </c>
      <c r="AH203" s="24">
        <v>24</v>
      </c>
      <c r="AI203" s="23">
        <f t="shared" si="7"/>
        <v>1</v>
      </c>
      <c r="AJ203" s="15">
        <v>4.25</v>
      </c>
      <c r="AK203" s="15">
        <v>6.5</v>
      </c>
      <c r="AL203" s="25">
        <v>10.75</v>
      </c>
      <c r="AM203" s="23" cm="1">
        <f t="array" ref="AM203">IF(OR(AN203:AZ203=""),"BLANK",IF(AND(AN203:AZ203&lt;9999999),1,IF(AND(AN203:AZ203="NA"),3,2)))</f>
        <v>1</v>
      </c>
      <c r="AN203" s="20">
        <v>10</v>
      </c>
      <c r="AO203" s="20">
        <v>2</v>
      </c>
      <c r="AP203" s="15">
        <v>3</v>
      </c>
      <c r="AQ203" s="15">
        <v>5.25</v>
      </c>
      <c r="AR203" s="15">
        <v>6</v>
      </c>
      <c r="AS203" s="26">
        <v>1255.5</v>
      </c>
      <c r="AT203" s="26">
        <v>2633</v>
      </c>
      <c r="AU203" s="26">
        <v>12159.5</v>
      </c>
      <c r="AV203" s="26">
        <v>15937.75</v>
      </c>
      <c r="AW203" s="26">
        <v>0</v>
      </c>
      <c r="AX203" s="26">
        <v>0</v>
      </c>
      <c r="AY203" s="26">
        <v>2228.3263888889001</v>
      </c>
      <c r="AZ203" s="26">
        <v>528.12222222219998</v>
      </c>
      <c r="BA203" s="23">
        <v>3</v>
      </c>
      <c r="BB203" s="24" t="s">
        <v>8</v>
      </c>
    </row>
    <row r="204" spans="1:54" x14ac:dyDescent="0.2">
      <c r="A204" s="21">
        <v>4540</v>
      </c>
      <c r="B204" s="20" t="s">
        <v>83</v>
      </c>
      <c r="C204" s="18" t="s">
        <v>54</v>
      </c>
      <c r="D204" s="18">
        <v>5</v>
      </c>
      <c r="E204" s="18">
        <v>1</v>
      </c>
      <c r="F204" s="51" t="s">
        <v>9</v>
      </c>
      <c r="G204" s="18">
        <v>26</v>
      </c>
      <c r="H204" s="22">
        <v>3.4442162902121836</v>
      </c>
      <c r="I204" s="22">
        <v>3.5838466803559208</v>
      </c>
      <c r="J204" s="22">
        <v>7.0280629705681044</v>
      </c>
      <c r="K204" s="22">
        <v>3.6659822039698837</v>
      </c>
      <c r="L204" s="22" t="s">
        <v>8</v>
      </c>
      <c r="M204" s="22" t="s">
        <v>8</v>
      </c>
      <c r="N204" s="22">
        <v>3.4113620807665983</v>
      </c>
      <c r="O204" s="22" t="s">
        <v>8</v>
      </c>
      <c r="P204" s="22" t="s">
        <v>8</v>
      </c>
      <c r="Q204" s="22">
        <v>3.5318275154004106</v>
      </c>
      <c r="R204" s="22" t="s">
        <v>8</v>
      </c>
      <c r="S204" s="22" t="s">
        <v>8</v>
      </c>
      <c r="T204" s="20" t="s">
        <v>8</v>
      </c>
      <c r="U204" s="20" t="s">
        <v>8</v>
      </c>
      <c r="V204" s="20" t="s">
        <v>1</v>
      </c>
      <c r="W204" s="20">
        <v>5</v>
      </c>
      <c r="X204" s="20">
        <v>3</v>
      </c>
      <c r="Y204" s="5">
        <v>1</v>
      </c>
      <c r="Z204" s="20">
        <v>4</v>
      </c>
      <c r="AA204" s="23">
        <f t="shared" si="6"/>
        <v>1</v>
      </c>
      <c r="AB204" s="15">
        <v>0.83299999999999996</v>
      </c>
      <c r="AC204" s="15">
        <v>0.66700000000000004</v>
      </c>
      <c r="AD204" s="15">
        <v>0.33300000000000002</v>
      </c>
      <c r="AE204" s="15">
        <v>0.58299999999999996</v>
      </c>
      <c r="AF204" s="20">
        <v>14</v>
      </c>
      <c r="AG204" s="20">
        <v>3.57</v>
      </c>
      <c r="AH204" s="24">
        <v>24</v>
      </c>
      <c r="AI204" s="23">
        <f t="shared" si="7"/>
        <v>2</v>
      </c>
      <c r="AJ204" s="15">
        <v>0.75</v>
      </c>
      <c r="AK204" s="15" t="s">
        <v>8</v>
      </c>
      <c r="AL204" s="25">
        <v>0.75</v>
      </c>
      <c r="AM204" s="23" cm="1">
        <f t="array" ref="AM204">IF(OR(AN204:AZ204=""),"BLANK",IF(AND(AN204:AZ204&lt;9999999),1,IF(AND(AN204:AZ204="NA"),3,2)))</f>
        <v>1</v>
      </c>
      <c r="AN204" s="20">
        <v>3</v>
      </c>
      <c r="AO204" s="20">
        <v>5</v>
      </c>
      <c r="AP204" s="15">
        <v>3</v>
      </c>
      <c r="AQ204" s="15">
        <v>7.5</v>
      </c>
      <c r="AR204" s="15">
        <v>12</v>
      </c>
      <c r="AS204" s="26">
        <v>228.5</v>
      </c>
      <c r="AT204" s="26">
        <v>5698</v>
      </c>
      <c r="AU204" s="26">
        <v>5345.75</v>
      </c>
      <c r="AV204" s="26">
        <v>925</v>
      </c>
      <c r="AW204" s="26">
        <v>0</v>
      </c>
      <c r="AX204" s="26">
        <v>0</v>
      </c>
      <c r="AY204" s="26">
        <v>7029.7638888888996</v>
      </c>
      <c r="AZ204" s="26">
        <v>12617</v>
      </c>
      <c r="BA204" s="23">
        <v>3</v>
      </c>
      <c r="BB204" s="24" t="s">
        <v>8</v>
      </c>
    </row>
    <row r="205" spans="1:54" x14ac:dyDescent="0.2">
      <c r="A205" s="21">
        <v>4581</v>
      </c>
      <c r="B205" s="20" t="s">
        <v>68</v>
      </c>
      <c r="C205" s="18" t="s">
        <v>54</v>
      </c>
      <c r="D205" s="18">
        <v>5</v>
      </c>
      <c r="E205" s="18">
        <v>0</v>
      </c>
      <c r="F205" s="51" t="s">
        <v>9</v>
      </c>
      <c r="G205" s="18">
        <v>30</v>
      </c>
      <c r="H205" s="22">
        <v>3.4715947980835042</v>
      </c>
      <c r="I205" s="22">
        <v>3.4469541409993156</v>
      </c>
      <c r="J205" s="22">
        <v>6.9185489390828199</v>
      </c>
      <c r="K205" s="22">
        <v>3.4579055441478439</v>
      </c>
      <c r="L205" s="22">
        <v>3.5455167693360714</v>
      </c>
      <c r="M205" s="22">
        <v>7.0034223134839149</v>
      </c>
      <c r="N205" s="22">
        <v>3.5154004106776182</v>
      </c>
      <c r="O205" s="22">
        <v>3.1978097193702943</v>
      </c>
      <c r="P205" s="22">
        <v>6.7132101300479121</v>
      </c>
      <c r="Q205" s="22">
        <v>3.4880219028062971</v>
      </c>
      <c r="R205" s="22">
        <v>3.4496919917864477</v>
      </c>
      <c r="S205" s="22">
        <v>6.9377138945927443</v>
      </c>
      <c r="T205" s="20" t="s">
        <v>8</v>
      </c>
      <c r="U205" s="20" t="s">
        <v>8</v>
      </c>
      <c r="V205" s="20" t="s">
        <v>1</v>
      </c>
      <c r="W205" s="20">
        <v>5</v>
      </c>
      <c r="X205" s="20">
        <v>3</v>
      </c>
      <c r="Y205" s="5">
        <v>1</v>
      </c>
      <c r="Z205" s="20">
        <v>4</v>
      </c>
      <c r="AA205" s="23">
        <f t="shared" si="6"/>
        <v>1</v>
      </c>
      <c r="AB205" s="15">
        <v>1</v>
      </c>
      <c r="AC205" s="15">
        <v>0.83299999999999996</v>
      </c>
      <c r="AD205" s="15">
        <v>0.5</v>
      </c>
      <c r="AE205" s="15">
        <v>0.66700000000000004</v>
      </c>
      <c r="AF205" s="20">
        <v>16</v>
      </c>
      <c r="AG205" s="20">
        <v>6.25</v>
      </c>
      <c r="AH205" s="24">
        <v>24</v>
      </c>
      <c r="AI205" s="23">
        <f t="shared" si="7"/>
        <v>1</v>
      </c>
      <c r="AJ205" s="15">
        <v>7</v>
      </c>
      <c r="AK205" s="15">
        <v>6.25</v>
      </c>
      <c r="AL205" s="25">
        <v>13.25</v>
      </c>
      <c r="AM205" s="23" cm="1">
        <f t="array" ref="AM205">IF(OR(AN205:AZ205=""),"BLANK",IF(AND(AN205:AZ205&lt;9999999),1,IF(AND(AN205:AZ205="NA"),3,2)))</f>
        <v>1</v>
      </c>
      <c r="AN205" s="20">
        <v>8</v>
      </c>
      <c r="AO205" s="20">
        <v>3.5</v>
      </c>
      <c r="AP205" s="15">
        <v>3</v>
      </c>
      <c r="AQ205" s="15">
        <v>4.25</v>
      </c>
      <c r="AR205" s="15">
        <v>8.25</v>
      </c>
      <c r="AS205" s="26">
        <v>26</v>
      </c>
      <c r="AT205" s="26">
        <v>3485</v>
      </c>
      <c r="AU205" s="26">
        <v>8486</v>
      </c>
      <c r="AV205" s="26">
        <v>12894.25</v>
      </c>
      <c r="AW205" s="26">
        <v>975.8</v>
      </c>
      <c r="AX205" s="26">
        <v>20.5</v>
      </c>
      <c r="AY205" s="26">
        <v>974.76250000000005</v>
      </c>
      <c r="AZ205" s="26">
        <v>5419.4560606061004</v>
      </c>
      <c r="BA205" s="23">
        <v>3</v>
      </c>
      <c r="BB205" s="24" t="s">
        <v>8</v>
      </c>
    </row>
    <row r="206" spans="1:54" x14ac:dyDescent="0.2">
      <c r="A206" s="21">
        <v>4582</v>
      </c>
      <c r="B206" s="20" t="s">
        <v>80</v>
      </c>
      <c r="C206" s="18" t="s">
        <v>54</v>
      </c>
      <c r="D206" s="18">
        <v>5</v>
      </c>
      <c r="E206" s="18">
        <v>0</v>
      </c>
      <c r="F206" s="51" t="s">
        <v>9</v>
      </c>
      <c r="G206" s="18">
        <v>27</v>
      </c>
      <c r="H206" s="22">
        <v>3.4113620807665983</v>
      </c>
      <c r="I206" s="22">
        <v>3.4195756331279945</v>
      </c>
      <c r="J206" s="22">
        <v>6.8309377138945928</v>
      </c>
      <c r="K206" s="22">
        <v>3.3401779603011637</v>
      </c>
      <c r="L206" s="22">
        <v>3.3894592744695413</v>
      </c>
      <c r="M206" s="22">
        <v>6.7296372347707054</v>
      </c>
      <c r="N206" s="22">
        <v>3.5838466803559208</v>
      </c>
      <c r="O206" s="22">
        <v>3.1950718685831623</v>
      </c>
      <c r="P206" s="22">
        <v>6.7789185489390826</v>
      </c>
      <c r="Q206" s="22">
        <v>3.2388774811772758</v>
      </c>
      <c r="R206" s="22" t="s">
        <v>8</v>
      </c>
      <c r="S206" s="22" t="s">
        <v>8</v>
      </c>
      <c r="T206" s="20" t="s">
        <v>8</v>
      </c>
      <c r="U206" s="20" t="s">
        <v>8</v>
      </c>
      <c r="V206" s="20" t="s">
        <v>1</v>
      </c>
      <c r="W206" s="20">
        <v>5</v>
      </c>
      <c r="X206" s="20">
        <v>3</v>
      </c>
      <c r="Y206" s="5">
        <v>1</v>
      </c>
      <c r="Z206" s="20">
        <v>4</v>
      </c>
      <c r="AA206" s="23">
        <f t="shared" si="6"/>
        <v>2</v>
      </c>
      <c r="AB206" s="15">
        <v>0.66700000000000004</v>
      </c>
      <c r="AC206" s="15">
        <v>0.66700000000000004</v>
      </c>
      <c r="AD206" s="15">
        <v>0.33300000000000002</v>
      </c>
      <c r="AE206" s="15">
        <v>0.52400000000000002</v>
      </c>
      <c r="AF206" s="20">
        <v>11</v>
      </c>
      <c r="AG206" s="20" t="s">
        <v>8</v>
      </c>
      <c r="AH206" s="24">
        <v>21</v>
      </c>
      <c r="AI206" s="23">
        <f t="shared" si="7"/>
        <v>1</v>
      </c>
      <c r="AJ206" s="15">
        <v>5</v>
      </c>
      <c r="AK206" s="15">
        <v>6</v>
      </c>
      <c r="AL206" s="25">
        <v>11</v>
      </c>
      <c r="AM206" s="23" cm="1">
        <f t="array" ref="AM206">IF(OR(AN206:AZ206=""),"BLANK",IF(AND(AN206:AZ206&lt;9999999),1,IF(AND(AN206:AZ206="NA"),3,2)))</f>
        <v>1</v>
      </c>
      <c r="AN206" s="20">
        <v>4</v>
      </c>
      <c r="AO206" s="20">
        <v>2</v>
      </c>
      <c r="AP206" s="15">
        <v>4.5</v>
      </c>
      <c r="AQ206" s="15">
        <v>7.5</v>
      </c>
      <c r="AR206" s="15">
        <v>12</v>
      </c>
      <c r="AS206" s="26">
        <v>3577.5</v>
      </c>
      <c r="AT206" s="26">
        <v>12541</v>
      </c>
      <c r="AU206" s="26">
        <v>6651.75</v>
      </c>
      <c r="AV206" s="26">
        <v>3682</v>
      </c>
      <c r="AW206" s="26">
        <v>5579</v>
      </c>
      <c r="AX206" s="26">
        <v>8438.6666666667006</v>
      </c>
      <c r="AY206" s="26">
        <v>5940.8055555556002</v>
      </c>
      <c r="AZ206" s="26">
        <v>6215.4166666666997</v>
      </c>
      <c r="BA206" s="23">
        <v>3</v>
      </c>
      <c r="BB206" s="24" t="s">
        <v>8</v>
      </c>
    </row>
    <row r="207" spans="1:54" x14ac:dyDescent="0.2">
      <c r="A207" s="21">
        <v>4641</v>
      </c>
      <c r="B207" s="20" t="s">
        <v>68</v>
      </c>
      <c r="C207" s="18" t="s">
        <v>54</v>
      </c>
      <c r="D207" s="18">
        <v>5</v>
      </c>
      <c r="E207" s="18">
        <v>0</v>
      </c>
      <c r="F207" s="51" t="s">
        <v>9</v>
      </c>
      <c r="G207" s="18">
        <v>26</v>
      </c>
      <c r="H207" s="22">
        <v>3.4195756331279945</v>
      </c>
      <c r="I207" s="22">
        <v>3.40041067761807</v>
      </c>
      <c r="J207" s="22">
        <v>6.8199863107460645</v>
      </c>
      <c r="K207" s="22">
        <v>3.4469541409993156</v>
      </c>
      <c r="L207" s="22">
        <v>3.4688569472963722</v>
      </c>
      <c r="M207" s="22">
        <v>6.9158110882956878</v>
      </c>
      <c r="N207" s="22">
        <v>3.3921971252566734</v>
      </c>
      <c r="O207" s="22">
        <v>3.378507871321013</v>
      </c>
      <c r="P207" s="22">
        <v>6.7707049965776864</v>
      </c>
      <c r="Q207" s="22">
        <v>3.3292265571526354</v>
      </c>
      <c r="R207" s="22" t="s">
        <v>8</v>
      </c>
      <c r="S207" s="22" t="s">
        <v>8</v>
      </c>
      <c r="T207" s="20" t="s">
        <v>8</v>
      </c>
      <c r="U207" s="20" t="s">
        <v>8</v>
      </c>
      <c r="V207" s="20" t="s">
        <v>1</v>
      </c>
      <c r="W207" s="20">
        <v>5</v>
      </c>
      <c r="X207" s="20">
        <v>3</v>
      </c>
      <c r="Y207" s="5">
        <v>1</v>
      </c>
      <c r="Z207" s="20">
        <v>4</v>
      </c>
      <c r="AA207" s="23">
        <f t="shared" si="6"/>
        <v>1</v>
      </c>
      <c r="AB207" s="15">
        <v>1</v>
      </c>
      <c r="AC207" s="15">
        <v>1</v>
      </c>
      <c r="AD207" s="15">
        <v>0.5</v>
      </c>
      <c r="AE207" s="15">
        <v>0.79200000000000004</v>
      </c>
      <c r="AF207" s="20">
        <v>19</v>
      </c>
      <c r="AG207" s="20">
        <v>6.22</v>
      </c>
      <c r="AH207" s="24">
        <v>24</v>
      </c>
      <c r="AI207" s="23">
        <f t="shared" si="7"/>
        <v>1</v>
      </c>
      <c r="AJ207" s="15">
        <v>0.75</v>
      </c>
      <c r="AK207" s="15">
        <v>6.75</v>
      </c>
      <c r="AL207" s="25">
        <v>7.5</v>
      </c>
      <c r="AM207" s="23" cm="1">
        <f t="array" ref="AM207">IF(OR(AN207:AZ207=""),"BLANK",IF(AND(AN207:AZ207&lt;9999999),1,IF(AND(AN207:AZ207="NA"),3,2)))</f>
        <v>1</v>
      </c>
      <c r="AN207" s="20">
        <v>8</v>
      </c>
      <c r="AO207" s="20">
        <v>2</v>
      </c>
      <c r="AP207" s="15">
        <v>3</v>
      </c>
      <c r="AQ207" s="15">
        <v>5.25</v>
      </c>
      <c r="AR207" s="15">
        <v>9</v>
      </c>
      <c r="AS207" s="26">
        <v>3043.5</v>
      </c>
      <c r="AT207" s="26">
        <v>12323.5</v>
      </c>
      <c r="AU207" s="26">
        <v>6962</v>
      </c>
      <c r="AV207" s="26">
        <v>6454.5</v>
      </c>
      <c r="AW207" s="26">
        <v>0</v>
      </c>
      <c r="AX207" s="26">
        <v>0</v>
      </c>
      <c r="AY207" s="26">
        <v>1212.6319444444</v>
      </c>
      <c r="AZ207" s="26">
        <v>5164.4357142856998</v>
      </c>
      <c r="BA207" s="23">
        <v>3</v>
      </c>
      <c r="BB207" s="24" t="s">
        <v>8</v>
      </c>
    </row>
    <row r="208" spans="1:54" x14ac:dyDescent="0.2">
      <c r="A208" s="21">
        <v>4658</v>
      </c>
      <c r="B208" s="20" t="s">
        <v>68</v>
      </c>
      <c r="C208" s="18" t="s">
        <v>54</v>
      </c>
      <c r="D208" s="18">
        <v>5</v>
      </c>
      <c r="E208" s="18">
        <v>0</v>
      </c>
      <c r="F208" s="51" t="s">
        <v>9</v>
      </c>
      <c r="G208" s="18">
        <v>30</v>
      </c>
      <c r="H208" s="22">
        <v>3.7508555783709787</v>
      </c>
      <c r="I208" s="22">
        <v>2.9897330595482545</v>
      </c>
      <c r="J208" s="22">
        <v>6.7405886379192337</v>
      </c>
      <c r="K208" s="22">
        <v>3.786447638603696</v>
      </c>
      <c r="L208" s="22">
        <v>2.9377138945927448</v>
      </c>
      <c r="M208" s="22">
        <v>6.7241615331964404</v>
      </c>
      <c r="N208" s="22">
        <v>3.7180013689253935</v>
      </c>
      <c r="O208" s="22" t="s">
        <v>8</v>
      </c>
      <c r="P208" s="22" t="s">
        <v>8</v>
      </c>
      <c r="Q208" s="22">
        <v>3.6933607118412048</v>
      </c>
      <c r="R208" s="22" t="s">
        <v>8</v>
      </c>
      <c r="S208" s="22" t="s">
        <v>8</v>
      </c>
      <c r="T208" s="20">
        <v>3</v>
      </c>
      <c r="U208" s="20">
        <v>14</v>
      </c>
      <c r="V208" s="20" t="s">
        <v>1</v>
      </c>
      <c r="W208" s="20">
        <v>5</v>
      </c>
      <c r="X208" s="20">
        <v>3</v>
      </c>
      <c r="Y208" s="5">
        <v>1</v>
      </c>
      <c r="Z208" s="20">
        <v>4</v>
      </c>
      <c r="AA208" s="23">
        <f t="shared" si="6"/>
        <v>1</v>
      </c>
      <c r="AB208" s="15">
        <v>1</v>
      </c>
      <c r="AC208" s="15">
        <v>0.5</v>
      </c>
      <c r="AD208" s="15">
        <v>0.33300000000000002</v>
      </c>
      <c r="AE208" s="15">
        <v>0.625</v>
      </c>
      <c r="AF208" s="20">
        <v>15</v>
      </c>
      <c r="AG208" s="20">
        <v>6.95</v>
      </c>
      <c r="AH208" s="24">
        <v>24</v>
      </c>
      <c r="AI208" s="23">
        <f t="shared" si="7"/>
        <v>1</v>
      </c>
      <c r="AJ208" s="15">
        <v>4.75</v>
      </c>
      <c r="AK208" s="15">
        <v>4</v>
      </c>
      <c r="AL208" s="25">
        <v>8.75</v>
      </c>
      <c r="AM208" s="23" cm="1">
        <f t="array" ref="AM208">IF(OR(AN208:AZ208=""),"BLANK",IF(AND(AN208:AZ208&lt;9999999),1,IF(AND(AN208:AZ208="NA"),3,2)))</f>
        <v>1</v>
      </c>
      <c r="AN208" s="20">
        <v>5</v>
      </c>
      <c r="AO208" s="20">
        <v>2</v>
      </c>
      <c r="AP208" s="15">
        <v>4.5</v>
      </c>
      <c r="AQ208" s="15">
        <v>4.5</v>
      </c>
      <c r="AR208" s="15">
        <v>8.75</v>
      </c>
      <c r="AS208" s="26">
        <v>1065.5</v>
      </c>
      <c r="AT208" s="26">
        <v>9869.5</v>
      </c>
      <c r="AU208" s="26">
        <v>4371.75</v>
      </c>
      <c r="AV208" s="26">
        <v>11351</v>
      </c>
      <c r="AW208" s="26">
        <v>0</v>
      </c>
      <c r="AX208" s="26">
        <v>772.6</v>
      </c>
      <c r="AY208" s="26">
        <v>545.3125</v>
      </c>
      <c r="AZ208" s="26">
        <v>4243.4916666667004</v>
      </c>
      <c r="BA208" s="23">
        <v>3</v>
      </c>
      <c r="BB208" s="24" t="s">
        <v>8</v>
      </c>
    </row>
    <row r="209" spans="1:54" x14ac:dyDescent="0.2">
      <c r="A209" s="21">
        <v>4679</v>
      </c>
      <c r="B209" s="20" t="s">
        <v>68</v>
      </c>
      <c r="C209" s="18" t="s">
        <v>55</v>
      </c>
      <c r="D209" s="18">
        <v>5</v>
      </c>
      <c r="E209" s="18">
        <v>0</v>
      </c>
      <c r="F209" s="51" t="s">
        <v>9</v>
      </c>
      <c r="G209" s="18">
        <v>30</v>
      </c>
      <c r="H209" s="22">
        <v>3.5427789185489389</v>
      </c>
      <c r="I209" s="22">
        <v>3.2169746748802188</v>
      </c>
      <c r="J209" s="22">
        <v>6.7597535934291582</v>
      </c>
      <c r="K209" s="22">
        <v>3.5427789185489389</v>
      </c>
      <c r="L209" s="22">
        <v>3.2443531827515399</v>
      </c>
      <c r="M209" s="22">
        <v>6.7871321013004788</v>
      </c>
      <c r="N209" s="22">
        <v>3.592060232717317</v>
      </c>
      <c r="O209" s="22">
        <v>3.1321013004791238</v>
      </c>
      <c r="P209" s="22">
        <v>6.7241615331964404</v>
      </c>
      <c r="Q209" s="22">
        <v>3.9096509240246409</v>
      </c>
      <c r="R209" s="22">
        <v>2.9322381930184807</v>
      </c>
      <c r="S209" s="22">
        <v>6.8418891170431211</v>
      </c>
      <c r="T209" s="20">
        <v>6</v>
      </c>
      <c r="U209" s="20">
        <v>18</v>
      </c>
      <c r="V209" s="20" t="s">
        <v>1</v>
      </c>
      <c r="W209" s="20">
        <v>5</v>
      </c>
      <c r="X209" s="20">
        <v>3</v>
      </c>
      <c r="Y209" s="5">
        <v>1</v>
      </c>
      <c r="Z209" s="20">
        <v>4</v>
      </c>
      <c r="AA209" s="23">
        <f t="shared" si="6"/>
        <v>2</v>
      </c>
      <c r="AB209" s="15">
        <v>1</v>
      </c>
      <c r="AC209" s="15">
        <v>1</v>
      </c>
      <c r="AD209" s="15">
        <v>0.83299999999999996</v>
      </c>
      <c r="AE209" s="15">
        <v>0.95699999999999996</v>
      </c>
      <c r="AF209" s="20">
        <v>22</v>
      </c>
      <c r="AG209" s="20" t="s">
        <v>8</v>
      </c>
      <c r="AH209" s="24">
        <v>23</v>
      </c>
      <c r="AI209" s="23">
        <f t="shared" si="7"/>
        <v>1</v>
      </c>
      <c r="AJ209" s="15">
        <v>6.5</v>
      </c>
      <c r="AK209" s="15">
        <v>5.5</v>
      </c>
      <c r="AL209" s="25">
        <v>12</v>
      </c>
      <c r="AM209" s="23" cm="1">
        <f t="array" ref="AM209">IF(OR(AN209:AZ209=""),"BLANK",IF(AND(AN209:AZ209&lt;9999999),1,IF(AND(AN209:AZ209="NA"),3,2)))</f>
        <v>1</v>
      </c>
      <c r="AN209" s="20">
        <v>12</v>
      </c>
      <c r="AO209" s="20">
        <v>2</v>
      </c>
      <c r="AP209" s="15">
        <v>3</v>
      </c>
      <c r="AQ209" s="15">
        <v>4</v>
      </c>
      <c r="AR209" s="15">
        <v>5</v>
      </c>
      <c r="AS209" s="26">
        <v>3252.5</v>
      </c>
      <c r="AT209" s="26">
        <v>9507.5</v>
      </c>
      <c r="AU209" s="26">
        <v>21396.25</v>
      </c>
      <c r="AV209" s="26">
        <v>47982.75</v>
      </c>
      <c r="AW209" s="26">
        <v>0</v>
      </c>
      <c r="AX209" s="26">
        <v>0</v>
      </c>
      <c r="AY209" s="26">
        <v>0</v>
      </c>
      <c r="AZ209" s="26">
        <v>0</v>
      </c>
      <c r="BA209" s="23">
        <v>3</v>
      </c>
      <c r="BB209" s="24" t="s">
        <v>8</v>
      </c>
    </row>
    <row r="210" spans="1:54" x14ac:dyDescent="0.2">
      <c r="A210" s="21">
        <v>4684</v>
      </c>
      <c r="B210" s="20" t="s">
        <v>75</v>
      </c>
      <c r="C210" s="18" t="s">
        <v>55</v>
      </c>
      <c r="D210" s="18">
        <v>5</v>
      </c>
      <c r="E210" s="18">
        <v>0</v>
      </c>
      <c r="F210" s="51" t="s">
        <v>9</v>
      </c>
      <c r="G210" s="18">
        <v>30</v>
      </c>
      <c r="H210" s="22">
        <v>3.4579055441478439</v>
      </c>
      <c r="I210" s="22">
        <v>3.1759069130732374</v>
      </c>
      <c r="J210" s="22">
        <v>6.6338124572210813</v>
      </c>
      <c r="K210" s="22">
        <v>3.4496919917864477</v>
      </c>
      <c r="L210" s="22">
        <v>3.1759069130732374</v>
      </c>
      <c r="M210" s="22">
        <v>6.6255989048596851</v>
      </c>
      <c r="N210" s="22">
        <v>3.3511293634496919</v>
      </c>
      <c r="O210" s="22" t="s">
        <v>8</v>
      </c>
      <c r="P210" s="22" t="s">
        <v>8</v>
      </c>
      <c r="Q210" s="22">
        <v>3.3949349760438055</v>
      </c>
      <c r="R210" s="22" t="s">
        <v>8</v>
      </c>
      <c r="S210" s="22" t="s">
        <v>8</v>
      </c>
      <c r="T210" s="20">
        <v>4</v>
      </c>
      <c r="U210" s="20">
        <v>16</v>
      </c>
      <c r="V210" s="20" t="s">
        <v>1</v>
      </c>
      <c r="W210" s="20">
        <v>5</v>
      </c>
      <c r="X210" s="20">
        <v>3</v>
      </c>
      <c r="Y210" s="5">
        <v>1</v>
      </c>
      <c r="Z210" s="20">
        <v>4</v>
      </c>
      <c r="AA210" s="23">
        <f t="shared" si="6"/>
        <v>1</v>
      </c>
      <c r="AB210" s="15">
        <v>0.83299999999999996</v>
      </c>
      <c r="AC210" s="15">
        <v>0.83299999999999996</v>
      </c>
      <c r="AD210" s="15">
        <v>0.5</v>
      </c>
      <c r="AE210" s="15">
        <v>0.70799999999999996</v>
      </c>
      <c r="AF210" s="20">
        <v>17</v>
      </c>
      <c r="AG210" s="20">
        <v>9.6</v>
      </c>
      <c r="AH210" s="24">
        <v>24</v>
      </c>
      <c r="AI210" s="23">
        <f t="shared" si="7"/>
        <v>1</v>
      </c>
      <c r="AJ210" s="15">
        <v>8.75</v>
      </c>
      <c r="AK210" s="15">
        <v>5.25</v>
      </c>
      <c r="AL210" s="25">
        <v>14</v>
      </c>
      <c r="AM210" s="23" cm="1">
        <f t="array" ref="AM210">IF(OR(AN210:AZ210=""),"BLANK",IF(AND(AN210:AZ210&lt;9999999),1,IF(AND(AN210:AZ210="NA"),3,2)))</f>
        <v>1</v>
      </c>
      <c r="AN210" s="20">
        <v>7</v>
      </c>
      <c r="AO210" s="20">
        <v>2</v>
      </c>
      <c r="AP210" s="15">
        <v>3</v>
      </c>
      <c r="AQ210" s="15">
        <v>6.5</v>
      </c>
      <c r="AR210" s="15">
        <v>8.75</v>
      </c>
      <c r="AS210" s="26">
        <v>859.5</v>
      </c>
      <c r="AT210" s="26">
        <v>1435.5</v>
      </c>
      <c r="AU210" s="26">
        <v>7328.75</v>
      </c>
      <c r="AV210" s="26">
        <v>8067.5</v>
      </c>
      <c r="AW210" s="26">
        <v>0</v>
      </c>
      <c r="AX210" s="26">
        <v>0</v>
      </c>
      <c r="AY210" s="26">
        <v>914.0902777778</v>
      </c>
      <c r="AZ210" s="26">
        <v>120.6340909091</v>
      </c>
      <c r="BA210" s="23">
        <v>3</v>
      </c>
      <c r="BB210" s="24" t="s">
        <v>8</v>
      </c>
    </row>
    <row r="211" spans="1:54" x14ac:dyDescent="0.2">
      <c r="A211" s="21">
        <v>4769</v>
      </c>
      <c r="B211" s="20" t="s">
        <v>75</v>
      </c>
      <c r="C211" s="18" t="s">
        <v>54</v>
      </c>
      <c r="D211" s="18">
        <v>5</v>
      </c>
      <c r="E211" s="18">
        <v>0</v>
      </c>
      <c r="F211" s="51" t="s">
        <v>9</v>
      </c>
      <c r="G211" s="18">
        <v>30</v>
      </c>
      <c r="H211" s="22">
        <v>3.4661190965092401</v>
      </c>
      <c r="I211" s="22">
        <v>3.2772073921971252</v>
      </c>
      <c r="J211" s="22">
        <v>6.7433264887063658</v>
      </c>
      <c r="K211" s="22">
        <v>3.4661190965092401</v>
      </c>
      <c r="L211" s="22">
        <v>3.2772073921971252</v>
      </c>
      <c r="M211" s="22">
        <v>6.7433264887063658</v>
      </c>
      <c r="N211" s="22">
        <v>3.4414784394250515</v>
      </c>
      <c r="O211" s="22">
        <v>3.1813826146475015</v>
      </c>
      <c r="P211" s="22">
        <v>6.622861054072553</v>
      </c>
      <c r="Q211" s="22">
        <v>3.2388774811772758</v>
      </c>
      <c r="R211" s="22" t="s">
        <v>8</v>
      </c>
      <c r="S211" s="22" t="s">
        <v>8</v>
      </c>
      <c r="T211" s="20">
        <v>3</v>
      </c>
      <c r="U211" s="20">
        <v>15</v>
      </c>
      <c r="V211" s="20" t="s">
        <v>1</v>
      </c>
      <c r="W211" s="20">
        <v>5</v>
      </c>
      <c r="X211" s="20">
        <v>3</v>
      </c>
      <c r="Y211" s="5">
        <v>1</v>
      </c>
      <c r="Z211" s="20">
        <v>4</v>
      </c>
      <c r="AA211" s="23">
        <f t="shared" si="6"/>
        <v>1</v>
      </c>
      <c r="AB211" s="15">
        <v>1</v>
      </c>
      <c r="AC211" s="15">
        <v>0.66700000000000004</v>
      </c>
      <c r="AD211" s="15">
        <v>0.66700000000000004</v>
      </c>
      <c r="AE211" s="15">
        <v>0.75</v>
      </c>
      <c r="AF211" s="20">
        <v>18</v>
      </c>
      <c r="AG211" s="20">
        <v>6.22</v>
      </c>
      <c r="AH211" s="24">
        <v>24</v>
      </c>
      <c r="AI211" s="23">
        <f t="shared" si="7"/>
        <v>1</v>
      </c>
      <c r="AJ211" s="15">
        <v>11</v>
      </c>
      <c r="AK211" s="15">
        <v>11.25</v>
      </c>
      <c r="AL211" s="25">
        <v>22.25</v>
      </c>
      <c r="AM211" s="23" cm="1">
        <f t="array" ref="AM211">IF(OR(AN211:AZ211=""),"BLANK",IF(AND(AN211:AZ211&lt;9999999),1,IF(AND(AN211:AZ211="NA"),3,2)))</f>
        <v>1</v>
      </c>
      <c r="AN211" s="20">
        <v>7</v>
      </c>
      <c r="AO211" s="20">
        <v>2</v>
      </c>
      <c r="AP211" s="15">
        <v>3</v>
      </c>
      <c r="AQ211" s="15">
        <v>5.75</v>
      </c>
      <c r="AR211" s="15">
        <v>7</v>
      </c>
      <c r="AS211" s="26">
        <v>2096.5</v>
      </c>
      <c r="AT211" s="26">
        <v>11951</v>
      </c>
      <c r="AU211" s="26">
        <v>6114.75</v>
      </c>
      <c r="AV211" s="26">
        <v>3525.5</v>
      </c>
      <c r="AW211" s="26">
        <v>0</v>
      </c>
      <c r="AX211" s="26">
        <v>1164</v>
      </c>
      <c r="AY211" s="26">
        <v>966.53750000000002</v>
      </c>
      <c r="AZ211" s="26">
        <v>1005.9791666667001</v>
      </c>
      <c r="BA211" s="23">
        <v>3</v>
      </c>
      <c r="BB211" s="24" t="s">
        <v>8</v>
      </c>
    </row>
    <row r="212" spans="1:54" x14ac:dyDescent="0.2">
      <c r="A212" s="21">
        <v>4795</v>
      </c>
      <c r="B212" s="20" t="s">
        <v>75</v>
      </c>
      <c r="C212" s="18" t="s">
        <v>54</v>
      </c>
      <c r="D212" s="18">
        <v>5</v>
      </c>
      <c r="E212" s="18">
        <v>0</v>
      </c>
      <c r="F212" s="51" t="s">
        <v>9</v>
      </c>
      <c r="G212" s="18">
        <v>30</v>
      </c>
      <c r="H212" s="22">
        <v>3.2197125256673513</v>
      </c>
      <c r="I212" s="22">
        <v>3.0800821355236141</v>
      </c>
      <c r="J212" s="22">
        <v>6.2997946611909654</v>
      </c>
      <c r="K212" s="22">
        <v>3.2197125256673513</v>
      </c>
      <c r="L212" s="22">
        <v>3.1129363449691994</v>
      </c>
      <c r="M212" s="22">
        <v>6.3326488706365502</v>
      </c>
      <c r="N212" s="22">
        <v>3.2963723477070501</v>
      </c>
      <c r="O212" s="22">
        <v>2.9514031485284051</v>
      </c>
      <c r="P212" s="22">
        <v>6.2477754962354553</v>
      </c>
      <c r="Q212" s="22">
        <v>3.5263518138261465</v>
      </c>
      <c r="R212" s="22" t="s">
        <v>8</v>
      </c>
      <c r="S212" s="22" t="s">
        <v>8</v>
      </c>
      <c r="T212" s="20" t="s">
        <v>8</v>
      </c>
      <c r="U212" s="20" t="s">
        <v>8</v>
      </c>
      <c r="V212" s="20" t="s">
        <v>1</v>
      </c>
      <c r="W212" s="20">
        <v>5</v>
      </c>
      <c r="X212" s="20">
        <v>3</v>
      </c>
      <c r="Y212" s="5">
        <v>1</v>
      </c>
      <c r="Z212" s="20">
        <v>4</v>
      </c>
      <c r="AA212" s="23">
        <f t="shared" si="6"/>
        <v>1</v>
      </c>
      <c r="AB212" s="15">
        <v>1</v>
      </c>
      <c r="AC212" s="15">
        <v>0.66700000000000004</v>
      </c>
      <c r="AD212" s="15">
        <v>0.5</v>
      </c>
      <c r="AE212" s="15">
        <v>0.70799999999999996</v>
      </c>
      <c r="AF212" s="20">
        <v>17</v>
      </c>
      <c r="AG212" s="20">
        <v>6.05</v>
      </c>
      <c r="AH212" s="24">
        <v>24</v>
      </c>
      <c r="AI212" s="23">
        <f t="shared" si="7"/>
        <v>1</v>
      </c>
      <c r="AJ212" s="15">
        <v>7</v>
      </c>
      <c r="AK212" s="15">
        <v>6</v>
      </c>
      <c r="AL212" s="25">
        <v>13</v>
      </c>
      <c r="AM212" s="23" cm="1">
        <f t="array" ref="AM212">IF(OR(AN212:AZ212=""),"BLANK",IF(AND(AN212:AZ212&lt;9999999),1,IF(AND(AN212:AZ212="NA"),3,2)))</f>
        <v>1</v>
      </c>
      <c r="AN212" s="20">
        <v>9</v>
      </c>
      <c r="AO212" s="20">
        <v>2</v>
      </c>
      <c r="AP212" s="15">
        <v>3</v>
      </c>
      <c r="AQ212" s="15">
        <v>5.25</v>
      </c>
      <c r="AR212" s="15">
        <v>7</v>
      </c>
      <c r="AS212" s="26">
        <v>556</v>
      </c>
      <c r="AT212" s="26">
        <v>941.5</v>
      </c>
      <c r="AU212" s="26">
        <v>1659.5</v>
      </c>
      <c r="AV212" s="26">
        <v>6392.5</v>
      </c>
      <c r="AW212" s="26">
        <v>0</v>
      </c>
      <c r="AX212" s="26">
        <v>149.6666666667</v>
      </c>
      <c r="AY212" s="26">
        <v>211.1597222222</v>
      </c>
      <c r="AZ212" s="26">
        <v>299.3333333333</v>
      </c>
      <c r="BA212" s="23">
        <v>3</v>
      </c>
      <c r="BB212" s="24" t="s">
        <v>8</v>
      </c>
    </row>
    <row r="213" spans="1:54" x14ac:dyDescent="0.2">
      <c r="A213" s="21">
        <v>4847</v>
      </c>
      <c r="B213" s="20" t="s">
        <v>82</v>
      </c>
      <c r="C213" s="18" t="s">
        <v>54</v>
      </c>
      <c r="D213" s="18">
        <v>5</v>
      </c>
      <c r="E213" s="18">
        <v>0</v>
      </c>
      <c r="F213" s="51" t="s">
        <v>9</v>
      </c>
      <c r="G213" s="18">
        <v>29</v>
      </c>
      <c r="H213" s="22">
        <v>3.1649555099247091</v>
      </c>
      <c r="I213" s="22">
        <v>2.9815195071868583</v>
      </c>
      <c r="J213" s="22">
        <v>6.1464750171115679</v>
      </c>
      <c r="K213" s="22">
        <v>3.1676933607118412</v>
      </c>
      <c r="L213" s="22" t="s">
        <v>8</v>
      </c>
      <c r="M213" s="22" t="s">
        <v>8</v>
      </c>
      <c r="N213" s="22">
        <v>3.1813826146475015</v>
      </c>
      <c r="O213" s="22">
        <v>2.967830253251198</v>
      </c>
      <c r="P213" s="22">
        <v>6.1492128678986999</v>
      </c>
      <c r="Q213" s="22">
        <v>2.7980835044490076</v>
      </c>
      <c r="R213" s="22" t="s">
        <v>8</v>
      </c>
      <c r="S213" s="22" t="s">
        <v>8</v>
      </c>
      <c r="T213" s="20">
        <v>6</v>
      </c>
      <c r="U213" s="20">
        <v>18</v>
      </c>
      <c r="V213" s="20" t="s">
        <v>1</v>
      </c>
      <c r="W213" s="20">
        <v>5</v>
      </c>
      <c r="X213" s="20">
        <v>3</v>
      </c>
      <c r="Y213" s="5">
        <v>1</v>
      </c>
      <c r="Z213" s="20">
        <v>4</v>
      </c>
      <c r="AA213" s="23">
        <f t="shared" si="6"/>
        <v>2</v>
      </c>
      <c r="AB213" s="15">
        <v>1</v>
      </c>
      <c r="AC213" s="15">
        <v>1</v>
      </c>
      <c r="AD213" s="15">
        <v>0.83299999999999996</v>
      </c>
      <c r="AE213" s="15">
        <v>0.95699999999999996</v>
      </c>
      <c r="AF213" s="20">
        <v>22</v>
      </c>
      <c r="AG213" s="20" t="s">
        <v>8</v>
      </c>
      <c r="AH213" s="24">
        <v>23</v>
      </c>
      <c r="AI213" s="23">
        <f t="shared" si="7"/>
        <v>1</v>
      </c>
      <c r="AJ213" s="15">
        <v>9</v>
      </c>
      <c r="AK213" s="15">
        <v>9.75</v>
      </c>
      <c r="AL213" s="25">
        <v>18.75</v>
      </c>
      <c r="AM213" s="23" cm="1">
        <f t="array" ref="AM213">IF(OR(AN213:AZ213=""),"BLANK",IF(AND(AN213:AZ213&lt;9999999),1,IF(AND(AN213:AZ213="NA"),3,2)))</f>
        <v>1</v>
      </c>
      <c r="AN213" s="20">
        <v>9</v>
      </c>
      <c r="AO213" s="20">
        <v>2</v>
      </c>
      <c r="AP213" s="15">
        <v>3</v>
      </c>
      <c r="AQ213" s="15">
        <v>4</v>
      </c>
      <c r="AR213" s="15">
        <v>10.25</v>
      </c>
      <c r="AS213" s="26">
        <v>2211</v>
      </c>
      <c r="AT213" s="26">
        <v>5807.5</v>
      </c>
      <c r="AU213" s="26">
        <v>8745.5</v>
      </c>
      <c r="AV213" s="26">
        <v>8286</v>
      </c>
      <c r="AW213" s="26">
        <v>83.25</v>
      </c>
      <c r="AX213" s="26">
        <v>2896</v>
      </c>
      <c r="AY213" s="26">
        <v>491.75</v>
      </c>
      <c r="AZ213" s="26">
        <v>3704.4625000000001</v>
      </c>
      <c r="BA213" s="23">
        <v>3</v>
      </c>
      <c r="BB213" s="24" t="s">
        <v>8</v>
      </c>
    </row>
    <row r="214" spans="1:54" x14ac:dyDescent="0.2">
      <c r="A214" s="21">
        <v>4868</v>
      </c>
      <c r="B214" s="20" t="s">
        <v>64</v>
      </c>
      <c r="C214" s="18" t="s">
        <v>54</v>
      </c>
      <c r="D214" s="18">
        <v>5</v>
      </c>
      <c r="E214" s="18">
        <v>0</v>
      </c>
      <c r="F214" s="51" t="s">
        <v>9</v>
      </c>
      <c r="G214" s="18">
        <v>29</v>
      </c>
      <c r="H214" s="22">
        <v>3.1567419575633129</v>
      </c>
      <c r="I214" s="22">
        <v>2.9212867898699519</v>
      </c>
      <c r="J214" s="22">
        <v>6.0780287474332653</v>
      </c>
      <c r="K214" s="22">
        <v>3.159479808350445</v>
      </c>
      <c r="L214" s="22">
        <v>2.9596167008898013</v>
      </c>
      <c r="M214" s="22">
        <v>6.1190965092402463</v>
      </c>
      <c r="N214" s="22">
        <v>3.0855578370978782</v>
      </c>
      <c r="O214" s="22">
        <v>2.97056810403833</v>
      </c>
      <c r="P214" s="22">
        <v>6.0561259411362078</v>
      </c>
      <c r="Q214" s="22">
        <v>2.8336755646817249</v>
      </c>
      <c r="R214" s="22" t="s">
        <v>8</v>
      </c>
      <c r="S214" s="22" t="s">
        <v>8</v>
      </c>
      <c r="T214" s="20">
        <v>3</v>
      </c>
      <c r="U214" s="20">
        <v>14</v>
      </c>
      <c r="V214" s="20" t="s">
        <v>1</v>
      </c>
      <c r="W214" s="20">
        <v>5</v>
      </c>
      <c r="X214" s="20">
        <v>3</v>
      </c>
      <c r="Y214" s="5">
        <v>1</v>
      </c>
      <c r="Z214" s="20">
        <v>4</v>
      </c>
      <c r="AA214" s="23">
        <f t="shared" si="6"/>
        <v>1</v>
      </c>
      <c r="AB214" s="15">
        <v>0.83299999999999996</v>
      </c>
      <c r="AC214" s="15">
        <v>0.83299999999999996</v>
      </c>
      <c r="AD214" s="15">
        <v>0.5</v>
      </c>
      <c r="AE214" s="15">
        <v>0.625</v>
      </c>
      <c r="AF214" s="20">
        <v>15</v>
      </c>
      <c r="AG214" s="20">
        <v>10.85</v>
      </c>
      <c r="AH214" s="24">
        <v>24</v>
      </c>
      <c r="AI214" s="23">
        <f t="shared" si="7"/>
        <v>1</v>
      </c>
      <c r="AJ214" s="15">
        <v>5.5</v>
      </c>
      <c r="AK214" s="15">
        <v>5.5</v>
      </c>
      <c r="AL214" s="25">
        <v>11</v>
      </c>
      <c r="AM214" s="23" cm="1">
        <f t="array" ref="AM214">IF(OR(AN214:AZ214=""),"BLANK",IF(AND(AN214:AZ214&lt;9999999),1,IF(AND(AN214:AZ214="NA"),3,2)))</f>
        <v>1</v>
      </c>
      <c r="AN214" s="20">
        <v>8</v>
      </c>
      <c r="AO214" s="20">
        <v>2</v>
      </c>
      <c r="AP214" s="15">
        <v>3</v>
      </c>
      <c r="AQ214" s="15">
        <v>6.5</v>
      </c>
      <c r="AR214" s="15">
        <v>7</v>
      </c>
      <c r="AS214" s="26">
        <v>697.5</v>
      </c>
      <c r="AT214" s="26">
        <v>1282</v>
      </c>
      <c r="AU214" s="26">
        <v>2717</v>
      </c>
      <c r="AV214" s="26">
        <v>4909.25</v>
      </c>
      <c r="AW214" s="26">
        <v>0</v>
      </c>
      <c r="AX214" s="26">
        <v>0</v>
      </c>
      <c r="AY214" s="26">
        <v>2824.1319444443998</v>
      </c>
      <c r="AZ214" s="26">
        <v>1792.4</v>
      </c>
      <c r="BA214" s="23">
        <v>3</v>
      </c>
      <c r="BB214" s="24" t="s">
        <v>8</v>
      </c>
    </row>
    <row r="215" spans="1:54" x14ac:dyDescent="0.2">
      <c r="A215" s="21">
        <v>4869</v>
      </c>
      <c r="B215" s="20" t="s">
        <v>68</v>
      </c>
      <c r="C215" s="18" t="s">
        <v>55</v>
      </c>
      <c r="D215" s="18">
        <v>5</v>
      </c>
      <c r="E215" s="18">
        <v>0</v>
      </c>
      <c r="F215" s="51" t="s">
        <v>9</v>
      </c>
      <c r="G215" s="18">
        <v>24</v>
      </c>
      <c r="H215" s="22">
        <v>3.2525667351129361</v>
      </c>
      <c r="I215" s="22">
        <v>2.8583162217659139</v>
      </c>
      <c r="J215" s="22">
        <v>6.1108829568788501</v>
      </c>
      <c r="K215" s="22">
        <v>3.2525667351129361</v>
      </c>
      <c r="L215" s="22">
        <v>2.8583162217659139</v>
      </c>
      <c r="M215" s="22">
        <v>6.1108829568788501</v>
      </c>
      <c r="N215" s="22">
        <v>3.2580424366872007</v>
      </c>
      <c r="O215" s="22">
        <v>2.8884325804243667</v>
      </c>
      <c r="P215" s="22">
        <v>6.1464750171115679</v>
      </c>
      <c r="Q215" s="22">
        <v>2.8966461327857633</v>
      </c>
      <c r="R215" s="22" t="s">
        <v>8</v>
      </c>
      <c r="S215" s="22" t="s">
        <v>8</v>
      </c>
      <c r="T215" s="20">
        <v>3</v>
      </c>
      <c r="U215" s="20">
        <v>14</v>
      </c>
      <c r="V215" s="20" t="s">
        <v>1</v>
      </c>
      <c r="W215" s="20">
        <v>5</v>
      </c>
      <c r="X215" s="20">
        <v>3</v>
      </c>
      <c r="Y215" s="5">
        <v>1</v>
      </c>
      <c r="Z215" s="20">
        <v>4</v>
      </c>
      <c r="AA215" s="23">
        <f t="shared" si="6"/>
        <v>1</v>
      </c>
      <c r="AB215" s="15">
        <v>0.83299999999999996</v>
      </c>
      <c r="AC215" s="15">
        <v>0.5</v>
      </c>
      <c r="AD215" s="15">
        <v>0.16700000000000001</v>
      </c>
      <c r="AE215" s="15">
        <v>0.41699999999999998</v>
      </c>
      <c r="AF215" s="20">
        <v>10</v>
      </c>
      <c r="AG215" s="20">
        <v>2.1</v>
      </c>
      <c r="AH215" s="24">
        <v>24</v>
      </c>
      <c r="AI215" s="23">
        <f t="shared" si="7"/>
        <v>1</v>
      </c>
      <c r="AJ215" s="15">
        <v>2</v>
      </c>
      <c r="AK215" s="15">
        <v>1.75</v>
      </c>
      <c r="AL215" s="25">
        <v>3.75</v>
      </c>
      <c r="AM215" s="23" cm="1">
        <f t="array" ref="AM215">IF(OR(AN215:AZ215=""),"BLANK",IF(AND(AN215:AZ215&lt;9999999),1,IF(AND(AN215:AZ215="NA"),3,2)))</f>
        <v>1</v>
      </c>
      <c r="AN215" s="20">
        <v>7</v>
      </c>
      <c r="AO215" s="20">
        <v>2</v>
      </c>
      <c r="AP215" s="15">
        <v>3.5</v>
      </c>
      <c r="AQ215" s="15">
        <v>6.5</v>
      </c>
      <c r="AR215" s="15">
        <v>8.5</v>
      </c>
      <c r="AS215" s="26">
        <v>990</v>
      </c>
      <c r="AT215" s="26">
        <v>1102</v>
      </c>
      <c r="AU215" s="26">
        <v>3629.75</v>
      </c>
      <c r="AV215" s="26">
        <v>8885.25</v>
      </c>
      <c r="AW215" s="26">
        <v>0</v>
      </c>
      <c r="AX215" s="26">
        <v>0</v>
      </c>
      <c r="AY215" s="26">
        <v>2365.2013888889001</v>
      </c>
      <c r="AZ215" s="26">
        <v>2009.1624999999999</v>
      </c>
      <c r="BA215" s="23">
        <v>3</v>
      </c>
      <c r="BB215" s="24" t="s">
        <v>8</v>
      </c>
    </row>
    <row r="216" spans="1:54" x14ac:dyDescent="0.2">
      <c r="A216" s="21">
        <v>4876</v>
      </c>
      <c r="B216" s="20" t="s">
        <v>64</v>
      </c>
      <c r="C216" s="18" t="s">
        <v>54</v>
      </c>
      <c r="D216" s="18">
        <v>5</v>
      </c>
      <c r="E216" s="18">
        <v>0</v>
      </c>
      <c r="F216" s="51" t="s">
        <v>9</v>
      </c>
      <c r="G216" s="18">
        <v>29</v>
      </c>
      <c r="H216" s="22">
        <v>3.2826830937713893</v>
      </c>
      <c r="I216" s="22">
        <v>3.0006844626967832</v>
      </c>
      <c r="J216" s="22">
        <v>6.2833675564681721</v>
      </c>
      <c r="K216" s="22">
        <v>3.2826830937713893</v>
      </c>
      <c r="L216" s="22" t="s">
        <v>8</v>
      </c>
      <c r="M216" s="22" t="s">
        <v>8</v>
      </c>
      <c r="N216" s="22">
        <v>3.2936344969199181</v>
      </c>
      <c r="O216" s="22">
        <v>2.9760438056125942</v>
      </c>
      <c r="P216" s="22">
        <v>6.2696783025325118</v>
      </c>
      <c r="Q216" s="22" t="s">
        <v>8</v>
      </c>
      <c r="R216" s="22" t="s">
        <v>8</v>
      </c>
      <c r="S216" s="22">
        <v>5.9958932238193015</v>
      </c>
      <c r="T216" s="20" t="s">
        <v>8</v>
      </c>
      <c r="U216" s="20" t="s">
        <v>8</v>
      </c>
      <c r="V216" s="20" t="s">
        <v>1</v>
      </c>
      <c r="W216" s="20">
        <v>5</v>
      </c>
      <c r="X216" s="20">
        <v>3</v>
      </c>
      <c r="Y216" s="5">
        <v>1</v>
      </c>
      <c r="Z216" s="20">
        <v>4</v>
      </c>
      <c r="AA216" s="23">
        <f t="shared" si="6"/>
        <v>1</v>
      </c>
      <c r="AB216" s="15">
        <v>0.83299999999999996</v>
      </c>
      <c r="AC216" s="15">
        <v>1</v>
      </c>
      <c r="AD216" s="15">
        <v>0.5</v>
      </c>
      <c r="AE216" s="15">
        <v>0.75</v>
      </c>
      <c r="AF216" s="20">
        <v>18</v>
      </c>
      <c r="AG216" s="20">
        <v>7</v>
      </c>
      <c r="AH216" s="24">
        <v>24</v>
      </c>
      <c r="AI216" s="23">
        <f t="shared" si="7"/>
        <v>1</v>
      </c>
      <c r="AJ216" s="15">
        <v>7.75</v>
      </c>
      <c r="AK216" s="15">
        <v>9.25</v>
      </c>
      <c r="AL216" s="25">
        <v>17</v>
      </c>
      <c r="AM216" s="23" cm="1">
        <f t="array" ref="AM216">IF(OR(AN216:AZ216=""),"BLANK",IF(AND(AN216:AZ216&lt;9999999),1,IF(AND(AN216:AZ216="NA"),3,2)))</f>
        <v>1</v>
      </c>
      <c r="AN216" s="20">
        <v>9</v>
      </c>
      <c r="AO216" s="20">
        <v>2</v>
      </c>
      <c r="AP216" s="15">
        <v>3</v>
      </c>
      <c r="AQ216" s="15">
        <v>4.5</v>
      </c>
      <c r="AR216" s="15">
        <v>7.75</v>
      </c>
      <c r="AS216" s="26">
        <v>1204</v>
      </c>
      <c r="AT216" s="26">
        <v>4579.5</v>
      </c>
      <c r="AU216" s="26">
        <v>7705</v>
      </c>
      <c r="AV216" s="26">
        <v>4096.5</v>
      </c>
      <c r="AW216" s="26">
        <v>217</v>
      </c>
      <c r="AX216" s="26">
        <v>0</v>
      </c>
      <c r="AY216" s="26">
        <v>1219.8541666666999</v>
      </c>
      <c r="AZ216" s="26">
        <v>976.93863636360004</v>
      </c>
      <c r="BA216" s="23">
        <v>3</v>
      </c>
      <c r="BB216" s="24" t="s">
        <v>8</v>
      </c>
    </row>
    <row r="217" spans="1:54" x14ac:dyDescent="0.2">
      <c r="A217" s="21">
        <v>21</v>
      </c>
      <c r="B217" s="27" t="s">
        <v>9</v>
      </c>
      <c r="C217" s="27" t="s">
        <v>9</v>
      </c>
      <c r="D217" s="27" t="s">
        <v>9</v>
      </c>
      <c r="E217" s="27" t="s">
        <v>9</v>
      </c>
      <c r="F217" s="27" t="s">
        <v>9</v>
      </c>
      <c r="G217" s="27" t="s">
        <v>9</v>
      </c>
      <c r="H217" s="27" t="s">
        <v>9</v>
      </c>
      <c r="I217" s="27" t="s">
        <v>9</v>
      </c>
      <c r="J217" s="27" t="s">
        <v>9</v>
      </c>
      <c r="K217" s="27" t="s">
        <v>9</v>
      </c>
      <c r="L217" s="27" t="s">
        <v>9</v>
      </c>
      <c r="M217" s="27" t="s">
        <v>9</v>
      </c>
      <c r="N217" s="27" t="s">
        <v>9</v>
      </c>
      <c r="O217" s="27" t="s">
        <v>9</v>
      </c>
      <c r="P217" s="27" t="s">
        <v>9</v>
      </c>
      <c r="Q217" s="27" t="s">
        <v>9</v>
      </c>
      <c r="R217" s="27" t="s">
        <v>9</v>
      </c>
      <c r="S217" s="27" t="s">
        <v>9</v>
      </c>
      <c r="T217" s="27" t="s">
        <v>9</v>
      </c>
      <c r="U217" s="27" t="s">
        <v>9</v>
      </c>
      <c r="V217" s="20" t="s">
        <v>1</v>
      </c>
      <c r="W217" s="20">
        <v>5</v>
      </c>
      <c r="X217" s="20">
        <v>3</v>
      </c>
      <c r="Y217" s="20">
        <v>2</v>
      </c>
      <c r="Z217" s="20">
        <v>4</v>
      </c>
      <c r="AA217" s="23">
        <v>3</v>
      </c>
      <c r="AB217" s="15" t="s">
        <v>9</v>
      </c>
      <c r="AC217" s="15" t="s">
        <v>9</v>
      </c>
      <c r="AD217" s="15" t="s">
        <v>9</v>
      </c>
      <c r="AE217" s="15" t="s">
        <v>9</v>
      </c>
      <c r="AF217" s="20" t="s">
        <v>9</v>
      </c>
      <c r="AG217" s="20" t="s">
        <v>9</v>
      </c>
      <c r="AH217" s="24" t="s">
        <v>9</v>
      </c>
      <c r="AI217" s="23">
        <v>3</v>
      </c>
      <c r="AJ217" s="15" t="s">
        <v>9</v>
      </c>
      <c r="AK217" s="15" t="s">
        <v>9</v>
      </c>
      <c r="AL217" s="25" t="s">
        <v>9</v>
      </c>
      <c r="AM217" s="23">
        <v>3</v>
      </c>
      <c r="AN217" s="20" t="s">
        <v>9</v>
      </c>
      <c r="AO217" s="20" t="s">
        <v>9</v>
      </c>
      <c r="AP217" s="15" t="s">
        <v>9</v>
      </c>
      <c r="AQ217" s="15" t="s">
        <v>9</v>
      </c>
      <c r="AR217" s="15" t="s">
        <v>9</v>
      </c>
      <c r="AS217" s="26" t="s">
        <v>9</v>
      </c>
      <c r="AT217" s="26" t="s">
        <v>9</v>
      </c>
      <c r="AU217" s="26" t="s">
        <v>9</v>
      </c>
      <c r="AV217" s="26" t="s">
        <v>9</v>
      </c>
      <c r="AW217" s="26" t="s">
        <v>9</v>
      </c>
      <c r="AX217" s="26" t="s">
        <v>9</v>
      </c>
      <c r="AY217" s="26" t="s">
        <v>9</v>
      </c>
      <c r="AZ217" s="26" t="s">
        <v>9</v>
      </c>
      <c r="BA217" s="23">
        <v>3</v>
      </c>
      <c r="BB217" s="24" t="s">
        <v>9</v>
      </c>
    </row>
    <row r="218" spans="1:54" x14ac:dyDescent="0.2">
      <c r="A218" s="19">
        <v>61</v>
      </c>
      <c r="B218" s="27" t="s">
        <v>9</v>
      </c>
      <c r="C218" s="27" t="s">
        <v>9</v>
      </c>
      <c r="D218" s="27" t="s">
        <v>9</v>
      </c>
      <c r="E218" s="27" t="s">
        <v>9</v>
      </c>
      <c r="F218" s="27" t="s">
        <v>9</v>
      </c>
      <c r="G218" s="27" t="s">
        <v>9</v>
      </c>
      <c r="H218" s="27" t="s">
        <v>9</v>
      </c>
      <c r="I218" s="27" t="s">
        <v>9</v>
      </c>
      <c r="J218" s="27" t="s">
        <v>9</v>
      </c>
      <c r="K218" s="27" t="s">
        <v>9</v>
      </c>
      <c r="L218" s="27" t="s">
        <v>9</v>
      </c>
      <c r="M218" s="27" t="s">
        <v>9</v>
      </c>
      <c r="N218" s="27" t="s">
        <v>9</v>
      </c>
      <c r="O218" s="27" t="s">
        <v>9</v>
      </c>
      <c r="P218" s="27" t="s">
        <v>9</v>
      </c>
      <c r="Q218" s="27" t="s">
        <v>9</v>
      </c>
      <c r="R218" s="27" t="s">
        <v>9</v>
      </c>
      <c r="S218" s="27" t="s">
        <v>9</v>
      </c>
      <c r="T218" s="27" t="s">
        <v>9</v>
      </c>
      <c r="U218" s="27" t="s">
        <v>9</v>
      </c>
      <c r="V218" s="20" t="s">
        <v>1</v>
      </c>
      <c r="W218" s="20">
        <v>5</v>
      </c>
      <c r="X218" s="20">
        <v>3</v>
      </c>
      <c r="Y218" s="20">
        <v>2</v>
      </c>
      <c r="Z218" s="20">
        <v>4</v>
      </c>
      <c r="AA218" s="23">
        <v>3</v>
      </c>
      <c r="AB218" s="15" t="s">
        <v>9</v>
      </c>
      <c r="AC218" s="15" t="s">
        <v>9</v>
      </c>
      <c r="AD218" s="15" t="s">
        <v>9</v>
      </c>
      <c r="AE218" s="15" t="s">
        <v>9</v>
      </c>
      <c r="AF218" s="20" t="s">
        <v>9</v>
      </c>
      <c r="AG218" s="20" t="s">
        <v>9</v>
      </c>
      <c r="AH218" s="24" t="s">
        <v>9</v>
      </c>
      <c r="AI218" s="23">
        <v>3</v>
      </c>
      <c r="AJ218" s="15" t="s">
        <v>9</v>
      </c>
      <c r="AK218" s="15" t="s">
        <v>9</v>
      </c>
      <c r="AL218" s="25" t="s">
        <v>9</v>
      </c>
      <c r="AM218" s="23">
        <v>3</v>
      </c>
      <c r="AN218" s="20" t="s">
        <v>9</v>
      </c>
      <c r="AO218" s="20" t="s">
        <v>9</v>
      </c>
      <c r="AP218" s="15" t="s">
        <v>9</v>
      </c>
      <c r="AQ218" s="15" t="s">
        <v>9</v>
      </c>
      <c r="AR218" s="15" t="s">
        <v>9</v>
      </c>
      <c r="AS218" s="26" t="s">
        <v>9</v>
      </c>
      <c r="AT218" s="26" t="s">
        <v>9</v>
      </c>
      <c r="AU218" s="26" t="s">
        <v>9</v>
      </c>
      <c r="AV218" s="26" t="s">
        <v>9</v>
      </c>
      <c r="AW218" s="26" t="s">
        <v>9</v>
      </c>
      <c r="AX218" s="26" t="s">
        <v>9</v>
      </c>
      <c r="AY218" s="26" t="s">
        <v>9</v>
      </c>
      <c r="AZ218" s="26" t="s">
        <v>9</v>
      </c>
      <c r="BA218" s="23">
        <v>3</v>
      </c>
      <c r="BB218" s="24" t="s">
        <v>9</v>
      </c>
    </row>
    <row r="219" spans="1:54" x14ac:dyDescent="0.2">
      <c r="A219" s="19">
        <v>80</v>
      </c>
      <c r="B219" s="27" t="s">
        <v>9</v>
      </c>
      <c r="C219" s="27" t="s">
        <v>9</v>
      </c>
      <c r="D219" s="27" t="s">
        <v>9</v>
      </c>
      <c r="E219" s="27" t="s">
        <v>9</v>
      </c>
      <c r="F219" s="27" t="s">
        <v>9</v>
      </c>
      <c r="G219" s="27" t="s">
        <v>9</v>
      </c>
      <c r="H219" s="27" t="s">
        <v>9</v>
      </c>
      <c r="I219" s="27" t="s">
        <v>9</v>
      </c>
      <c r="J219" s="27" t="s">
        <v>9</v>
      </c>
      <c r="K219" s="27" t="s">
        <v>9</v>
      </c>
      <c r="L219" s="27" t="s">
        <v>9</v>
      </c>
      <c r="M219" s="27" t="s">
        <v>9</v>
      </c>
      <c r="N219" s="27" t="s">
        <v>9</v>
      </c>
      <c r="O219" s="27" t="s">
        <v>9</v>
      </c>
      <c r="P219" s="27" t="s">
        <v>9</v>
      </c>
      <c r="Q219" s="27" t="s">
        <v>9</v>
      </c>
      <c r="R219" s="27" t="s">
        <v>9</v>
      </c>
      <c r="S219" s="27" t="s">
        <v>9</v>
      </c>
      <c r="T219" s="27" t="s">
        <v>9</v>
      </c>
      <c r="U219" s="27" t="s">
        <v>9</v>
      </c>
      <c r="V219" s="20" t="s">
        <v>1</v>
      </c>
      <c r="W219" s="20">
        <v>5</v>
      </c>
      <c r="X219" s="20">
        <v>3</v>
      </c>
      <c r="Y219" s="20">
        <v>2</v>
      </c>
      <c r="Z219" s="20">
        <v>4</v>
      </c>
      <c r="AA219" s="23">
        <v>3</v>
      </c>
      <c r="AB219" s="15" t="s">
        <v>9</v>
      </c>
      <c r="AC219" s="15" t="s">
        <v>9</v>
      </c>
      <c r="AD219" s="15" t="s">
        <v>9</v>
      </c>
      <c r="AE219" s="15" t="s">
        <v>9</v>
      </c>
      <c r="AF219" s="20" t="s">
        <v>9</v>
      </c>
      <c r="AG219" s="20" t="s">
        <v>9</v>
      </c>
      <c r="AH219" s="24" t="s">
        <v>9</v>
      </c>
      <c r="AI219" s="23">
        <v>3</v>
      </c>
      <c r="AJ219" s="15" t="s">
        <v>9</v>
      </c>
      <c r="AK219" s="15" t="s">
        <v>9</v>
      </c>
      <c r="AL219" s="25" t="s">
        <v>9</v>
      </c>
      <c r="AM219" s="23">
        <v>3</v>
      </c>
      <c r="AN219" s="20" t="s">
        <v>9</v>
      </c>
      <c r="AO219" s="20" t="s">
        <v>9</v>
      </c>
      <c r="AP219" s="15" t="s">
        <v>9</v>
      </c>
      <c r="AQ219" s="15" t="s">
        <v>9</v>
      </c>
      <c r="AR219" s="15" t="s">
        <v>9</v>
      </c>
      <c r="AS219" s="26" t="s">
        <v>9</v>
      </c>
      <c r="AT219" s="26" t="s">
        <v>9</v>
      </c>
      <c r="AU219" s="26" t="s">
        <v>9</v>
      </c>
      <c r="AV219" s="26" t="s">
        <v>9</v>
      </c>
      <c r="AW219" s="26" t="s">
        <v>9</v>
      </c>
      <c r="AX219" s="26" t="s">
        <v>9</v>
      </c>
      <c r="AY219" s="26" t="s">
        <v>9</v>
      </c>
      <c r="AZ219" s="26" t="s">
        <v>9</v>
      </c>
      <c r="BA219" s="23">
        <v>3</v>
      </c>
      <c r="BB219" s="24" t="s">
        <v>9</v>
      </c>
    </row>
    <row r="220" spans="1:54" x14ac:dyDescent="0.2">
      <c r="A220" s="19">
        <v>81</v>
      </c>
      <c r="B220" s="27" t="s">
        <v>9</v>
      </c>
      <c r="C220" s="27" t="s">
        <v>9</v>
      </c>
      <c r="D220" s="27" t="s">
        <v>9</v>
      </c>
      <c r="E220" s="27" t="s">
        <v>9</v>
      </c>
      <c r="F220" s="27" t="s">
        <v>9</v>
      </c>
      <c r="G220" s="27" t="s">
        <v>9</v>
      </c>
      <c r="H220" s="27" t="s">
        <v>9</v>
      </c>
      <c r="I220" s="27" t="s">
        <v>9</v>
      </c>
      <c r="J220" s="27" t="s">
        <v>9</v>
      </c>
      <c r="K220" s="27" t="s">
        <v>9</v>
      </c>
      <c r="L220" s="27" t="s">
        <v>9</v>
      </c>
      <c r="M220" s="27" t="s">
        <v>9</v>
      </c>
      <c r="N220" s="27" t="s">
        <v>9</v>
      </c>
      <c r="O220" s="27" t="s">
        <v>9</v>
      </c>
      <c r="P220" s="27" t="s">
        <v>9</v>
      </c>
      <c r="Q220" s="27" t="s">
        <v>9</v>
      </c>
      <c r="R220" s="27" t="s">
        <v>9</v>
      </c>
      <c r="S220" s="27" t="s">
        <v>9</v>
      </c>
      <c r="T220" s="27" t="s">
        <v>9</v>
      </c>
      <c r="U220" s="27" t="s">
        <v>9</v>
      </c>
      <c r="V220" s="20" t="s">
        <v>1</v>
      </c>
      <c r="W220" s="20">
        <v>5</v>
      </c>
      <c r="X220" s="20">
        <v>3</v>
      </c>
      <c r="Y220" s="20">
        <v>2</v>
      </c>
      <c r="Z220" s="20">
        <v>4</v>
      </c>
      <c r="AA220" s="23">
        <v>3</v>
      </c>
      <c r="AB220" s="15" t="s">
        <v>9</v>
      </c>
      <c r="AC220" s="15" t="s">
        <v>9</v>
      </c>
      <c r="AD220" s="15" t="s">
        <v>9</v>
      </c>
      <c r="AE220" s="15" t="s">
        <v>9</v>
      </c>
      <c r="AF220" s="20" t="s">
        <v>9</v>
      </c>
      <c r="AG220" s="20" t="s">
        <v>9</v>
      </c>
      <c r="AH220" s="24" t="s">
        <v>9</v>
      </c>
      <c r="AI220" s="23">
        <v>3</v>
      </c>
      <c r="AJ220" s="15" t="s">
        <v>9</v>
      </c>
      <c r="AK220" s="15" t="s">
        <v>9</v>
      </c>
      <c r="AL220" s="25" t="s">
        <v>9</v>
      </c>
      <c r="AM220" s="23">
        <v>3</v>
      </c>
      <c r="AN220" s="20" t="s">
        <v>9</v>
      </c>
      <c r="AO220" s="20" t="s">
        <v>9</v>
      </c>
      <c r="AP220" s="15" t="s">
        <v>9</v>
      </c>
      <c r="AQ220" s="15" t="s">
        <v>9</v>
      </c>
      <c r="AR220" s="15" t="s">
        <v>9</v>
      </c>
      <c r="AS220" s="26" t="s">
        <v>9</v>
      </c>
      <c r="AT220" s="26" t="s">
        <v>9</v>
      </c>
      <c r="AU220" s="26" t="s">
        <v>9</v>
      </c>
      <c r="AV220" s="26" t="s">
        <v>9</v>
      </c>
      <c r="AW220" s="26" t="s">
        <v>9</v>
      </c>
      <c r="AX220" s="26" t="s">
        <v>9</v>
      </c>
      <c r="AY220" s="26" t="s">
        <v>9</v>
      </c>
      <c r="AZ220" s="26" t="s">
        <v>9</v>
      </c>
      <c r="BA220" s="23">
        <v>3</v>
      </c>
      <c r="BB220" s="24" t="s">
        <v>9</v>
      </c>
    </row>
    <row r="221" spans="1:54" x14ac:dyDescent="0.2">
      <c r="A221" s="19">
        <v>101</v>
      </c>
      <c r="B221" s="27" t="s">
        <v>9</v>
      </c>
      <c r="C221" s="27" t="s">
        <v>9</v>
      </c>
      <c r="D221" s="27" t="s">
        <v>9</v>
      </c>
      <c r="E221" s="27" t="s">
        <v>9</v>
      </c>
      <c r="F221" s="27" t="s">
        <v>9</v>
      </c>
      <c r="G221" s="27" t="s">
        <v>9</v>
      </c>
      <c r="H221" s="27" t="s">
        <v>9</v>
      </c>
      <c r="I221" s="27" t="s">
        <v>9</v>
      </c>
      <c r="J221" s="27" t="s">
        <v>9</v>
      </c>
      <c r="K221" s="27" t="s">
        <v>9</v>
      </c>
      <c r="L221" s="27" t="s">
        <v>9</v>
      </c>
      <c r="M221" s="27" t="s">
        <v>9</v>
      </c>
      <c r="N221" s="27" t="s">
        <v>9</v>
      </c>
      <c r="O221" s="27" t="s">
        <v>9</v>
      </c>
      <c r="P221" s="27" t="s">
        <v>9</v>
      </c>
      <c r="Q221" s="27" t="s">
        <v>9</v>
      </c>
      <c r="R221" s="27" t="s">
        <v>9</v>
      </c>
      <c r="S221" s="27" t="s">
        <v>9</v>
      </c>
      <c r="T221" s="27" t="s">
        <v>9</v>
      </c>
      <c r="U221" s="27" t="s">
        <v>9</v>
      </c>
      <c r="V221" s="20" t="s">
        <v>1</v>
      </c>
      <c r="W221" s="20">
        <v>5</v>
      </c>
      <c r="X221" s="20">
        <v>3</v>
      </c>
      <c r="Y221" s="20">
        <v>2</v>
      </c>
      <c r="Z221" s="20">
        <v>4</v>
      </c>
      <c r="AA221" s="23">
        <v>3</v>
      </c>
      <c r="AB221" s="15" t="s">
        <v>9</v>
      </c>
      <c r="AC221" s="15" t="s">
        <v>9</v>
      </c>
      <c r="AD221" s="15" t="s">
        <v>9</v>
      </c>
      <c r="AE221" s="15" t="s">
        <v>9</v>
      </c>
      <c r="AF221" s="20" t="s">
        <v>9</v>
      </c>
      <c r="AG221" s="20" t="s">
        <v>9</v>
      </c>
      <c r="AH221" s="24" t="s">
        <v>9</v>
      </c>
      <c r="AI221" s="23">
        <v>3</v>
      </c>
      <c r="AJ221" s="15" t="s">
        <v>9</v>
      </c>
      <c r="AK221" s="15" t="s">
        <v>9</v>
      </c>
      <c r="AL221" s="25" t="s">
        <v>9</v>
      </c>
      <c r="AM221" s="23">
        <v>3</v>
      </c>
      <c r="AN221" s="20" t="s">
        <v>9</v>
      </c>
      <c r="AO221" s="20" t="s">
        <v>9</v>
      </c>
      <c r="AP221" s="15" t="s">
        <v>9</v>
      </c>
      <c r="AQ221" s="15" t="s">
        <v>9</v>
      </c>
      <c r="AR221" s="15" t="s">
        <v>9</v>
      </c>
      <c r="AS221" s="26" t="s">
        <v>9</v>
      </c>
      <c r="AT221" s="26" t="s">
        <v>9</v>
      </c>
      <c r="AU221" s="26" t="s">
        <v>9</v>
      </c>
      <c r="AV221" s="26" t="s">
        <v>9</v>
      </c>
      <c r="AW221" s="26" t="s">
        <v>9</v>
      </c>
      <c r="AX221" s="26" t="s">
        <v>9</v>
      </c>
      <c r="AY221" s="26" t="s">
        <v>9</v>
      </c>
      <c r="AZ221" s="26" t="s">
        <v>9</v>
      </c>
      <c r="BA221" s="23">
        <v>3</v>
      </c>
      <c r="BB221" s="24" t="s">
        <v>9</v>
      </c>
    </row>
    <row r="222" spans="1:54" x14ac:dyDescent="0.2">
      <c r="A222" s="19">
        <v>110</v>
      </c>
      <c r="B222" s="27" t="s">
        <v>9</v>
      </c>
      <c r="C222" s="27" t="s">
        <v>9</v>
      </c>
      <c r="D222" s="27" t="s">
        <v>9</v>
      </c>
      <c r="E222" s="27" t="s">
        <v>9</v>
      </c>
      <c r="F222" s="27" t="s">
        <v>9</v>
      </c>
      <c r="G222" s="27" t="s">
        <v>9</v>
      </c>
      <c r="H222" s="27" t="s">
        <v>9</v>
      </c>
      <c r="I222" s="27" t="s">
        <v>9</v>
      </c>
      <c r="J222" s="27" t="s">
        <v>9</v>
      </c>
      <c r="K222" s="27" t="s">
        <v>9</v>
      </c>
      <c r="L222" s="27" t="s">
        <v>9</v>
      </c>
      <c r="M222" s="27" t="s">
        <v>9</v>
      </c>
      <c r="N222" s="27" t="s">
        <v>9</v>
      </c>
      <c r="O222" s="27" t="s">
        <v>9</v>
      </c>
      <c r="P222" s="27" t="s">
        <v>9</v>
      </c>
      <c r="Q222" s="27" t="s">
        <v>9</v>
      </c>
      <c r="R222" s="27" t="s">
        <v>9</v>
      </c>
      <c r="S222" s="27" t="s">
        <v>9</v>
      </c>
      <c r="T222" s="27" t="s">
        <v>9</v>
      </c>
      <c r="U222" s="27" t="s">
        <v>9</v>
      </c>
      <c r="V222" s="20" t="s">
        <v>1</v>
      </c>
      <c r="W222" s="20">
        <v>5</v>
      </c>
      <c r="X222" s="20">
        <v>3</v>
      </c>
      <c r="Y222" s="20">
        <v>2</v>
      </c>
      <c r="Z222" s="20">
        <v>4</v>
      </c>
      <c r="AA222" s="23">
        <v>3</v>
      </c>
      <c r="AB222" s="15" t="s">
        <v>9</v>
      </c>
      <c r="AC222" s="15" t="s">
        <v>9</v>
      </c>
      <c r="AD222" s="15" t="s">
        <v>9</v>
      </c>
      <c r="AE222" s="15" t="s">
        <v>9</v>
      </c>
      <c r="AF222" s="20" t="s">
        <v>9</v>
      </c>
      <c r="AG222" s="20" t="s">
        <v>9</v>
      </c>
      <c r="AH222" s="24" t="s">
        <v>9</v>
      </c>
      <c r="AI222" s="23">
        <v>3</v>
      </c>
      <c r="AJ222" s="15" t="s">
        <v>9</v>
      </c>
      <c r="AK222" s="15" t="s">
        <v>9</v>
      </c>
      <c r="AL222" s="25" t="s">
        <v>9</v>
      </c>
      <c r="AM222" s="23">
        <v>3</v>
      </c>
      <c r="AN222" s="20" t="s">
        <v>9</v>
      </c>
      <c r="AO222" s="20" t="s">
        <v>9</v>
      </c>
      <c r="AP222" s="15" t="s">
        <v>9</v>
      </c>
      <c r="AQ222" s="15" t="s">
        <v>9</v>
      </c>
      <c r="AR222" s="15" t="s">
        <v>9</v>
      </c>
      <c r="AS222" s="26" t="s">
        <v>9</v>
      </c>
      <c r="AT222" s="26" t="s">
        <v>9</v>
      </c>
      <c r="AU222" s="26" t="s">
        <v>9</v>
      </c>
      <c r="AV222" s="26" t="s">
        <v>9</v>
      </c>
      <c r="AW222" s="26" t="s">
        <v>9</v>
      </c>
      <c r="AX222" s="26" t="s">
        <v>9</v>
      </c>
      <c r="AY222" s="26" t="s">
        <v>9</v>
      </c>
      <c r="AZ222" s="26" t="s">
        <v>9</v>
      </c>
      <c r="BA222" s="23">
        <v>3</v>
      </c>
      <c r="BB222" s="24" t="s">
        <v>9</v>
      </c>
    </row>
    <row r="223" spans="1:54" x14ac:dyDescent="0.2">
      <c r="A223" s="19">
        <v>133</v>
      </c>
      <c r="B223" s="27" t="s">
        <v>9</v>
      </c>
      <c r="C223" s="27" t="s">
        <v>9</v>
      </c>
      <c r="D223" s="27" t="s">
        <v>9</v>
      </c>
      <c r="E223" s="27" t="s">
        <v>9</v>
      </c>
      <c r="F223" s="27" t="s">
        <v>9</v>
      </c>
      <c r="G223" s="27" t="s">
        <v>9</v>
      </c>
      <c r="H223" s="27" t="s">
        <v>9</v>
      </c>
      <c r="I223" s="27" t="s">
        <v>9</v>
      </c>
      <c r="J223" s="27" t="s">
        <v>9</v>
      </c>
      <c r="K223" s="27" t="s">
        <v>9</v>
      </c>
      <c r="L223" s="27" t="s">
        <v>9</v>
      </c>
      <c r="M223" s="27" t="s">
        <v>9</v>
      </c>
      <c r="N223" s="27" t="s">
        <v>9</v>
      </c>
      <c r="O223" s="27" t="s">
        <v>9</v>
      </c>
      <c r="P223" s="27" t="s">
        <v>9</v>
      </c>
      <c r="Q223" s="27" t="s">
        <v>9</v>
      </c>
      <c r="R223" s="27" t="s">
        <v>9</v>
      </c>
      <c r="S223" s="27" t="s">
        <v>9</v>
      </c>
      <c r="T223" s="27" t="s">
        <v>9</v>
      </c>
      <c r="U223" s="27" t="s">
        <v>9</v>
      </c>
      <c r="V223" s="20" t="s">
        <v>1</v>
      </c>
      <c r="W223" s="20">
        <v>5</v>
      </c>
      <c r="X223" s="20">
        <v>3</v>
      </c>
      <c r="Y223" s="20">
        <v>2</v>
      </c>
      <c r="Z223" s="20">
        <v>4</v>
      </c>
      <c r="AA223" s="23">
        <v>3</v>
      </c>
      <c r="AB223" s="15" t="s">
        <v>9</v>
      </c>
      <c r="AC223" s="15" t="s">
        <v>9</v>
      </c>
      <c r="AD223" s="15" t="s">
        <v>9</v>
      </c>
      <c r="AE223" s="15" t="s">
        <v>9</v>
      </c>
      <c r="AF223" s="20" t="s">
        <v>9</v>
      </c>
      <c r="AG223" s="20" t="s">
        <v>9</v>
      </c>
      <c r="AH223" s="24" t="s">
        <v>9</v>
      </c>
      <c r="AI223" s="23">
        <v>3</v>
      </c>
      <c r="AJ223" s="15" t="s">
        <v>9</v>
      </c>
      <c r="AK223" s="15" t="s">
        <v>9</v>
      </c>
      <c r="AL223" s="25" t="s">
        <v>9</v>
      </c>
      <c r="AM223" s="23">
        <v>3</v>
      </c>
      <c r="AN223" s="20" t="s">
        <v>9</v>
      </c>
      <c r="AO223" s="20" t="s">
        <v>9</v>
      </c>
      <c r="AP223" s="15" t="s">
        <v>9</v>
      </c>
      <c r="AQ223" s="15" t="s">
        <v>9</v>
      </c>
      <c r="AR223" s="15" t="s">
        <v>9</v>
      </c>
      <c r="AS223" s="26" t="s">
        <v>9</v>
      </c>
      <c r="AT223" s="26" t="s">
        <v>9</v>
      </c>
      <c r="AU223" s="26" t="s">
        <v>9</v>
      </c>
      <c r="AV223" s="26" t="s">
        <v>9</v>
      </c>
      <c r="AW223" s="26" t="s">
        <v>9</v>
      </c>
      <c r="AX223" s="26" t="s">
        <v>9</v>
      </c>
      <c r="AY223" s="26" t="s">
        <v>9</v>
      </c>
      <c r="AZ223" s="26" t="s">
        <v>9</v>
      </c>
      <c r="BA223" s="23">
        <v>3</v>
      </c>
      <c r="BB223" s="24" t="s">
        <v>9</v>
      </c>
    </row>
    <row r="224" spans="1:54" x14ac:dyDescent="0.2">
      <c r="A224" s="19">
        <v>135</v>
      </c>
      <c r="B224" s="27" t="s">
        <v>9</v>
      </c>
      <c r="C224" s="27" t="s">
        <v>9</v>
      </c>
      <c r="D224" s="27" t="s">
        <v>9</v>
      </c>
      <c r="E224" s="27" t="s">
        <v>9</v>
      </c>
      <c r="F224" s="27" t="s">
        <v>9</v>
      </c>
      <c r="G224" s="27" t="s">
        <v>9</v>
      </c>
      <c r="H224" s="27" t="s">
        <v>9</v>
      </c>
      <c r="I224" s="27" t="s">
        <v>9</v>
      </c>
      <c r="J224" s="27" t="s">
        <v>9</v>
      </c>
      <c r="K224" s="27" t="s">
        <v>9</v>
      </c>
      <c r="L224" s="27" t="s">
        <v>9</v>
      </c>
      <c r="M224" s="27" t="s">
        <v>9</v>
      </c>
      <c r="N224" s="27" t="s">
        <v>9</v>
      </c>
      <c r="O224" s="27" t="s">
        <v>9</v>
      </c>
      <c r="P224" s="27" t="s">
        <v>9</v>
      </c>
      <c r="Q224" s="27" t="s">
        <v>9</v>
      </c>
      <c r="R224" s="27" t="s">
        <v>9</v>
      </c>
      <c r="S224" s="27" t="s">
        <v>9</v>
      </c>
      <c r="T224" s="27" t="s">
        <v>9</v>
      </c>
      <c r="U224" s="27" t="s">
        <v>9</v>
      </c>
      <c r="V224" s="20" t="s">
        <v>1</v>
      </c>
      <c r="W224" s="20">
        <v>5</v>
      </c>
      <c r="X224" s="20">
        <v>3</v>
      </c>
      <c r="Y224" s="20">
        <v>2</v>
      </c>
      <c r="Z224" s="20">
        <v>4</v>
      </c>
      <c r="AA224" s="23">
        <v>3</v>
      </c>
      <c r="AB224" s="15" t="s">
        <v>9</v>
      </c>
      <c r="AC224" s="15" t="s">
        <v>9</v>
      </c>
      <c r="AD224" s="15" t="s">
        <v>9</v>
      </c>
      <c r="AE224" s="15" t="s">
        <v>9</v>
      </c>
      <c r="AF224" s="20" t="s">
        <v>9</v>
      </c>
      <c r="AG224" s="20" t="s">
        <v>9</v>
      </c>
      <c r="AH224" s="24" t="s">
        <v>9</v>
      </c>
      <c r="AI224" s="23">
        <v>3</v>
      </c>
      <c r="AJ224" s="15" t="s">
        <v>9</v>
      </c>
      <c r="AK224" s="15" t="s">
        <v>9</v>
      </c>
      <c r="AL224" s="25" t="s">
        <v>9</v>
      </c>
      <c r="AM224" s="23">
        <v>3</v>
      </c>
      <c r="AN224" s="20" t="s">
        <v>9</v>
      </c>
      <c r="AO224" s="20" t="s">
        <v>9</v>
      </c>
      <c r="AP224" s="15" t="s">
        <v>9</v>
      </c>
      <c r="AQ224" s="15" t="s">
        <v>9</v>
      </c>
      <c r="AR224" s="15" t="s">
        <v>9</v>
      </c>
      <c r="AS224" s="26" t="s">
        <v>9</v>
      </c>
      <c r="AT224" s="26" t="s">
        <v>9</v>
      </c>
      <c r="AU224" s="26" t="s">
        <v>9</v>
      </c>
      <c r="AV224" s="26" t="s">
        <v>9</v>
      </c>
      <c r="AW224" s="26" t="s">
        <v>9</v>
      </c>
      <c r="AX224" s="26" t="s">
        <v>9</v>
      </c>
      <c r="AY224" s="26" t="s">
        <v>9</v>
      </c>
      <c r="AZ224" s="26" t="s">
        <v>9</v>
      </c>
      <c r="BA224" s="23">
        <v>3</v>
      </c>
      <c r="BB224" s="24" t="s">
        <v>9</v>
      </c>
    </row>
    <row r="225" spans="1:54" x14ac:dyDescent="0.2">
      <c r="A225" s="19">
        <v>140</v>
      </c>
      <c r="B225" s="27" t="s">
        <v>9</v>
      </c>
      <c r="C225" s="27" t="s">
        <v>9</v>
      </c>
      <c r="D225" s="27" t="s">
        <v>9</v>
      </c>
      <c r="E225" s="27" t="s">
        <v>9</v>
      </c>
      <c r="F225" s="27" t="s">
        <v>9</v>
      </c>
      <c r="G225" s="27" t="s">
        <v>9</v>
      </c>
      <c r="H225" s="27" t="s">
        <v>9</v>
      </c>
      <c r="I225" s="27" t="s">
        <v>9</v>
      </c>
      <c r="J225" s="27" t="s">
        <v>9</v>
      </c>
      <c r="K225" s="27" t="s">
        <v>9</v>
      </c>
      <c r="L225" s="27" t="s">
        <v>9</v>
      </c>
      <c r="M225" s="27" t="s">
        <v>9</v>
      </c>
      <c r="N225" s="27" t="s">
        <v>9</v>
      </c>
      <c r="O225" s="27" t="s">
        <v>9</v>
      </c>
      <c r="P225" s="27" t="s">
        <v>9</v>
      </c>
      <c r="Q225" s="27" t="s">
        <v>9</v>
      </c>
      <c r="R225" s="27" t="s">
        <v>9</v>
      </c>
      <c r="S225" s="27" t="s">
        <v>9</v>
      </c>
      <c r="T225" s="27" t="s">
        <v>9</v>
      </c>
      <c r="U225" s="27" t="s">
        <v>9</v>
      </c>
      <c r="V225" s="20" t="s">
        <v>1</v>
      </c>
      <c r="W225" s="20">
        <v>5</v>
      </c>
      <c r="X225" s="20">
        <v>3</v>
      </c>
      <c r="Y225" s="20">
        <v>2</v>
      </c>
      <c r="Z225" s="20">
        <v>4</v>
      </c>
      <c r="AA225" s="23">
        <v>3</v>
      </c>
      <c r="AB225" s="15" t="s">
        <v>9</v>
      </c>
      <c r="AC225" s="15" t="s">
        <v>9</v>
      </c>
      <c r="AD225" s="15" t="s">
        <v>9</v>
      </c>
      <c r="AE225" s="15" t="s">
        <v>9</v>
      </c>
      <c r="AF225" s="20" t="s">
        <v>9</v>
      </c>
      <c r="AG225" s="20" t="s">
        <v>9</v>
      </c>
      <c r="AH225" s="24" t="s">
        <v>9</v>
      </c>
      <c r="AI225" s="23">
        <v>3</v>
      </c>
      <c r="AJ225" s="15" t="s">
        <v>9</v>
      </c>
      <c r="AK225" s="15" t="s">
        <v>9</v>
      </c>
      <c r="AL225" s="25" t="s">
        <v>9</v>
      </c>
      <c r="AM225" s="23">
        <v>3</v>
      </c>
      <c r="AN225" s="20" t="s">
        <v>9</v>
      </c>
      <c r="AO225" s="20" t="s">
        <v>9</v>
      </c>
      <c r="AP225" s="15" t="s">
        <v>9</v>
      </c>
      <c r="AQ225" s="15" t="s">
        <v>9</v>
      </c>
      <c r="AR225" s="15" t="s">
        <v>9</v>
      </c>
      <c r="AS225" s="26" t="s">
        <v>9</v>
      </c>
      <c r="AT225" s="26" t="s">
        <v>9</v>
      </c>
      <c r="AU225" s="26" t="s">
        <v>9</v>
      </c>
      <c r="AV225" s="26" t="s">
        <v>9</v>
      </c>
      <c r="AW225" s="26" t="s">
        <v>9</v>
      </c>
      <c r="AX225" s="26" t="s">
        <v>9</v>
      </c>
      <c r="AY225" s="26" t="s">
        <v>9</v>
      </c>
      <c r="AZ225" s="26" t="s">
        <v>9</v>
      </c>
      <c r="BA225" s="23">
        <v>3</v>
      </c>
      <c r="BB225" s="24" t="s">
        <v>9</v>
      </c>
    </row>
    <row r="226" spans="1:54" x14ac:dyDescent="0.2">
      <c r="A226" s="19">
        <v>141</v>
      </c>
      <c r="B226" s="27" t="s">
        <v>9</v>
      </c>
      <c r="C226" s="27" t="s">
        <v>9</v>
      </c>
      <c r="D226" s="27" t="s">
        <v>9</v>
      </c>
      <c r="E226" s="27" t="s">
        <v>9</v>
      </c>
      <c r="F226" s="27" t="s">
        <v>9</v>
      </c>
      <c r="G226" s="27" t="s">
        <v>9</v>
      </c>
      <c r="H226" s="27" t="s">
        <v>9</v>
      </c>
      <c r="I226" s="27" t="s">
        <v>9</v>
      </c>
      <c r="J226" s="27" t="s">
        <v>9</v>
      </c>
      <c r="K226" s="27" t="s">
        <v>9</v>
      </c>
      <c r="L226" s="27" t="s">
        <v>9</v>
      </c>
      <c r="M226" s="27" t="s">
        <v>9</v>
      </c>
      <c r="N226" s="27" t="s">
        <v>9</v>
      </c>
      <c r="O226" s="27" t="s">
        <v>9</v>
      </c>
      <c r="P226" s="27" t="s">
        <v>9</v>
      </c>
      <c r="Q226" s="27" t="s">
        <v>9</v>
      </c>
      <c r="R226" s="27" t="s">
        <v>9</v>
      </c>
      <c r="S226" s="27" t="s">
        <v>9</v>
      </c>
      <c r="T226" s="27" t="s">
        <v>9</v>
      </c>
      <c r="U226" s="27" t="s">
        <v>9</v>
      </c>
      <c r="V226" s="20" t="s">
        <v>1</v>
      </c>
      <c r="W226" s="20">
        <v>5</v>
      </c>
      <c r="X226" s="20">
        <v>3</v>
      </c>
      <c r="Y226" s="20">
        <v>2</v>
      </c>
      <c r="Z226" s="20">
        <v>4</v>
      </c>
      <c r="AA226" s="23">
        <v>3</v>
      </c>
      <c r="AB226" s="15" t="s">
        <v>9</v>
      </c>
      <c r="AC226" s="15" t="s">
        <v>9</v>
      </c>
      <c r="AD226" s="15" t="s">
        <v>9</v>
      </c>
      <c r="AE226" s="15" t="s">
        <v>9</v>
      </c>
      <c r="AF226" s="20" t="s">
        <v>9</v>
      </c>
      <c r="AG226" s="20" t="s">
        <v>9</v>
      </c>
      <c r="AH226" s="24" t="s">
        <v>9</v>
      </c>
      <c r="AI226" s="23">
        <v>3</v>
      </c>
      <c r="AJ226" s="15" t="s">
        <v>9</v>
      </c>
      <c r="AK226" s="15" t="s">
        <v>9</v>
      </c>
      <c r="AL226" s="25" t="s">
        <v>9</v>
      </c>
      <c r="AM226" s="23">
        <v>3</v>
      </c>
      <c r="AN226" s="20" t="s">
        <v>9</v>
      </c>
      <c r="AO226" s="20" t="s">
        <v>9</v>
      </c>
      <c r="AP226" s="15" t="s">
        <v>9</v>
      </c>
      <c r="AQ226" s="15" t="s">
        <v>9</v>
      </c>
      <c r="AR226" s="15" t="s">
        <v>9</v>
      </c>
      <c r="AS226" s="26" t="s">
        <v>9</v>
      </c>
      <c r="AT226" s="26" t="s">
        <v>9</v>
      </c>
      <c r="AU226" s="26" t="s">
        <v>9</v>
      </c>
      <c r="AV226" s="26" t="s">
        <v>9</v>
      </c>
      <c r="AW226" s="26" t="s">
        <v>9</v>
      </c>
      <c r="AX226" s="26" t="s">
        <v>9</v>
      </c>
      <c r="AY226" s="26" t="s">
        <v>9</v>
      </c>
      <c r="AZ226" s="26" t="s">
        <v>9</v>
      </c>
      <c r="BA226" s="23">
        <v>3</v>
      </c>
      <c r="BB226" s="24" t="s">
        <v>9</v>
      </c>
    </row>
    <row r="227" spans="1:54" x14ac:dyDescent="0.2">
      <c r="A227" s="19">
        <v>142</v>
      </c>
      <c r="B227" s="27" t="s">
        <v>9</v>
      </c>
      <c r="C227" s="27" t="s">
        <v>9</v>
      </c>
      <c r="D227" s="27" t="s">
        <v>9</v>
      </c>
      <c r="E227" s="27" t="s">
        <v>9</v>
      </c>
      <c r="F227" s="27" t="s">
        <v>9</v>
      </c>
      <c r="G227" s="27" t="s">
        <v>9</v>
      </c>
      <c r="H227" s="27" t="s">
        <v>9</v>
      </c>
      <c r="I227" s="27" t="s">
        <v>9</v>
      </c>
      <c r="J227" s="27" t="s">
        <v>9</v>
      </c>
      <c r="K227" s="27" t="s">
        <v>9</v>
      </c>
      <c r="L227" s="27" t="s">
        <v>9</v>
      </c>
      <c r="M227" s="27" t="s">
        <v>9</v>
      </c>
      <c r="N227" s="27" t="s">
        <v>9</v>
      </c>
      <c r="O227" s="27" t="s">
        <v>9</v>
      </c>
      <c r="P227" s="27" t="s">
        <v>9</v>
      </c>
      <c r="Q227" s="27" t="s">
        <v>9</v>
      </c>
      <c r="R227" s="27" t="s">
        <v>9</v>
      </c>
      <c r="S227" s="27" t="s">
        <v>9</v>
      </c>
      <c r="T227" s="27" t="s">
        <v>9</v>
      </c>
      <c r="U227" s="27" t="s">
        <v>9</v>
      </c>
      <c r="V227" s="20" t="s">
        <v>1</v>
      </c>
      <c r="W227" s="20">
        <v>5</v>
      </c>
      <c r="X227" s="20">
        <v>3</v>
      </c>
      <c r="Y227" s="20">
        <v>2</v>
      </c>
      <c r="Z227" s="20">
        <v>4</v>
      </c>
      <c r="AA227" s="23">
        <v>3</v>
      </c>
      <c r="AB227" s="15" t="s">
        <v>9</v>
      </c>
      <c r="AC227" s="15" t="s">
        <v>9</v>
      </c>
      <c r="AD227" s="15" t="s">
        <v>9</v>
      </c>
      <c r="AE227" s="15" t="s">
        <v>9</v>
      </c>
      <c r="AF227" s="20" t="s">
        <v>9</v>
      </c>
      <c r="AG227" s="20" t="s">
        <v>9</v>
      </c>
      <c r="AH227" s="24" t="s">
        <v>9</v>
      </c>
      <c r="AI227" s="23">
        <v>3</v>
      </c>
      <c r="AJ227" s="15" t="s">
        <v>9</v>
      </c>
      <c r="AK227" s="15" t="s">
        <v>9</v>
      </c>
      <c r="AL227" s="25" t="s">
        <v>9</v>
      </c>
      <c r="AM227" s="23">
        <v>3</v>
      </c>
      <c r="AN227" s="20" t="s">
        <v>9</v>
      </c>
      <c r="AO227" s="20" t="s">
        <v>9</v>
      </c>
      <c r="AP227" s="15" t="s">
        <v>9</v>
      </c>
      <c r="AQ227" s="15" t="s">
        <v>9</v>
      </c>
      <c r="AR227" s="15" t="s">
        <v>9</v>
      </c>
      <c r="AS227" s="26" t="s">
        <v>9</v>
      </c>
      <c r="AT227" s="26" t="s">
        <v>9</v>
      </c>
      <c r="AU227" s="26" t="s">
        <v>9</v>
      </c>
      <c r="AV227" s="26" t="s">
        <v>9</v>
      </c>
      <c r="AW227" s="26" t="s">
        <v>9</v>
      </c>
      <c r="AX227" s="26" t="s">
        <v>9</v>
      </c>
      <c r="AY227" s="26" t="s">
        <v>9</v>
      </c>
      <c r="AZ227" s="26" t="s">
        <v>9</v>
      </c>
      <c r="BA227" s="23">
        <v>3</v>
      </c>
      <c r="BB227" s="24" t="s">
        <v>9</v>
      </c>
    </row>
    <row r="228" spans="1:54" x14ac:dyDescent="0.2">
      <c r="A228" s="19">
        <v>153</v>
      </c>
      <c r="B228" s="27" t="s">
        <v>9</v>
      </c>
      <c r="C228" s="27" t="s">
        <v>9</v>
      </c>
      <c r="D228" s="27" t="s">
        <v>9</v>
      </c>
      <c r="E228" s="27" t="s">
        <v>9</v>
      </c>
      <c r="F228" s="27" t="s">
        <v>9</v>
      </c>
      <c r="G228" s="27" t="s">
        <v>9</v>
      </c>
      <c r="H228" s="27" t="s">
        <v>9</v>
      </c>
      <c r="I228" s="27" t="s">
        <v>9</v>
      </c>
      <c r="J228" s="27" t="s">
        <v>9</v>
      </c>
      <c r="K228" s="27" t="s">
        <v>9</v>
      </c>
      <c r="L228" s="27" t="s">
        <v>9</v>
      </c>
      <c r="M228" s="27" t="s">
        <v>9</v>
      </c>
      <c r="N228" s="27" t="s">
        <v>9</v>
      </c>
      <c r="O228" s="27" t="s">
        <v>9</v>
      </c>
      <c r="P228" s="27" t="s">
        <v>9</v>
      </c>
      <c r="Q228" s="27" t="s">
        <v>9</v>
      </c>
      <c r="R228" s="27" t="s">
        <v>9</v>
      </c>
      <c r="S228" s="27" t="s">
        <v>9</v>
      </c>
      <c r="T228" s="27" t="s">
        <v>9</v>
      </c>
      <c r="U228" s="27" t="s">
        <v>9</v>
      </c>
      <c r="V228" s="20" t="s">
        <v>1</v>
      </c>
      <c r="W228" s="20">
        <v>5</v>
      </c>
      <c r="X228" s="20">
        <v>3</v>
      </c>
      <c r="Y228" s="20">
        <v>2</v>
      </c>
      <c r="Z228" s="20">
        <v>4</v>
      </c>
      <c r="AA228" s="23">
        <v>3</v>
      </c>
      <c r="AB228" s="15" t="s">
        <v>9</v>
      </c>
      <c r="AC228" s="15" t="s">
        <v>9</v>
      </c>
      <c r="AD228" s="15" t="s">
        <v>9</v>
      </c>
      <c r="AE228" s="15" t="s">
        <v>9</v>
      </c>
      <c r="AF228" s="20" t="s">
        <v>9</v>
      </c>
      <c r="AG228" s="20" t="s">
        <v>9</v>
      </c>
      <c r="AH228" s="24" t="s">
        <v>9</v>
      </c>
      <c r="AI228" s="23">
        <v>3</v>
      </c>
      <c r="AJ228" s="15" t="s">
        <v>9</v>
      </c>
      <c r="AK228" s="15" t="s">
        <v>9</v>
      </c>
      <c r="AL228" s="25" t="s">
        <v>9</v>
      </c>
      <c r="AM228" s="23">
        <v>3</v>
      </c>
      <c r="AN228" s="20" t="s">
        <v>9</v>
      </c>
      <c r="AO228" s="20" t="s">
        <v>9</v>
      </c>
      <c r="AP228" s="15" t="s">
        <v>9</v>
      </c>
      <c r="AQ228" s="15" t="s">
        <v>9</v>
      </c>
      <c r="AR228" s="15" t="s">
        <v>9</v>
      </c>
      <c r="AS228" s="26" t="s">
        <v>9</v>
      </c>
      <c r="AT228" s="26" t="s">
        <v>9</v>
      </c>
      <c r="AU228" s="26" t="s">
        <v>9</v>
      </c>
      <c r="AV228" s="26" t="s">
        <v>9</v>
      </c>
      <c r="AW228" s="26" t="s">
        <v>9</v>
      </c>
      <c r="AX228" s="26" t="s">
        <v>9</v>
      </c>
      <c r="AY228" s="26" t="s">
        <v>9</v>
      </c>
      <c r="AZ228" s="26" t="s">
        <v>9</v>
      </c>
      <c r="BA228" s="23">
        <v>3</v>
      </c>
      <c r="BB228" s="24" t="s">
        <v>9</v>
      </c>
    </row>
    <row r="229" spans="1:54" x14ac:dyDescent="0.2">
      <c r="A229" s="19">
        <v>155</v>
      </c>
      <c r="B229" s="27" t="s">
        <v>9</v>
      </c>
      <c r="C229" s="27" t="s">
        <v>9</v>
      </c>
      <c r="D229" s="27" t="s">
        <v>9</v>
      </c>
      <c r="E229" s="27" t="s">
        <v>9</v>
      </c>
      <c r="F229" s="27" t="s">
        <v>9</v>
      </c>
      <c r="G229" s="27" t="s">
        <v>9</v>
      </c>
      <c r="H229" s="27" t="s">
        <v>9</v>
      </c>
      <c r="I229" s="27" t="s">
        <v>9</v>
      </c>
      <c r="J229" s="27" t="s">
        <v>9</v>
      </c>
      <c r="K229" s="27" t="s">
        <v>9</v>
      </c>
      <c r="L229" s="27" t="s">
        <v>9</v>
      </c>
      <c r="M229" s="27" t="s">
        <v>9</v>
      </c>
      <c r="N229" s="27" t="s">
        <v>9</v>
      </c>
      <c r="O229" s="27" t="s">
        <v>9</v>
      </c>
      <c r="P229" s="27" t="s">
        <v>9</v>
      </c>
      <c r="Q229" s="27" t="s">
        <v>9</v>
      </c>
      <c r="R229" s="27" t="s">
        <v>9</v>
      </c>
      <c r="S229" s="27" t="s">
        <v>9</v>
      </c>
      <c r="T229" s="27" t="s">
        <v>9</v>
      </c>
      <c r="U229" s="27" t="s">
        <v>9</v>
      </c>
      <c r="V229" s="20" t="s">
        <v>1</v>
      </c>
      <c r="W229" s="20">
        <v>5</v>
      </c>
      <c r="X229" s="20">
        <v>3</v>
      </c>
      <c r="Y229" s="20">
        <v>2</v>
      </c>
      <c r="Z229" s="20">
        <v>4</v>
      </c>
      <c r="AA229" s="23">
        <v>3</v>
      </c>
      <c r="AB229" s="15" t="s">
        <v>9</v>
      </c>
      <c r="AC229" s="15" t="s">
        <v>9</v>
      </c>
      <c r="AD229" s="15" t="s">
        <v>9</v>
      </c>
      <c r="AE229" s="15" t="s">
        <v>9</v>
      </c>
      <c r="AF229" s="20" t="s">
        <v>9</v>
      </c>
      <c r="AG229" s="20" t="s">
        <v>9</v>
      </c>
      <c r="AH229" s="24" t="s">
        <v>9</v>
      </c>
      <c r="AI229" s="23">
        <v>3</v>
      </c>
      <c r="AJ229" s="15" t="s">
        <v>9</v>
      </c>
      <c r="AK229" s="15" t="s">
        <v>9</v>
      </c>
      <c r="AL229" s="25" t="s">
        <v>9</v>
      </c>
      <c r="AM229" s="23">
        <v>3</v>
      </c>
      <c r="AN229" s="20" t="s">
        <v>9</v>
      </c>
      <c r="AO229" s="20" t="s">
        <v>9</v>
      </c>
      <c r="AP229" s="15" t="s">
        <v>9</v>
      </c>
      <c r="AQ229" s="15" t="s">
        <v>9</v>
      </c>
      <c r="AR229" s="15" t="s">
        <v>9</v>
      </c>
      <c r="AS229" s="26" t="s">
        <v>9</v>
      </c>
      <c r="AT229" s="26" t="s">
        <v>9</v>
      </c>
      <c r="AU229" s="26" t="s">
        <v>9</v>
      </c>
      <c r="AV229" s="26" t="s">
        <v>9</v>
      </c>
      <c r="AW229" s="26" t="s">
        <v>9</v>
      </c>
      <c r="AX229" s="26" t="s">
        <v>9</v>
      </c>
      <c r="AY229" s="26" t="s">
        <v>9</v>
      </c>
      <c r="AZ229" s="26" t="s">
        <v>9</v>
      </c>
      <c r="BA229" s="23">
        <v>3</v>
      </c>
      <c r="BB229" s="24" t="s">
        <v>9</v>
      </c>
    </row>
    <row r="230" spans="1:54" x14ac:dyDescent="0.2">
      <c r="A230" s="21">
        <v>158</v>
      </c>
      <c r="B230" s="27" t="s">
        <v>9</v>
      </c>
      <c r="C230" s="27" t="s">
        <v>9</v>
      </c>
      <c r="D230" s="27" t="s">
        <v>9</v>
      </c>
      <c r="E230" s="27" t="s">
        <v>9</v>
      </c>
      <c r="F230" s="27" t="s">
        <v>9</v>
      </c>
      <c r="G230" s="27" t="s">
        <v>9</v>
      </c>
      <c r="H230" s="27" t="s">
        <v>9</v>
      </c>
      <c r="I230" s="27" t="s">
        <v>9</v>
      </c>
      <c r="J230" s="27" t="s">
        <v>9</v>
      </c>
      <c r="K230" s="27" t="s">
        <v>9</v>
      </c>
      <c r="L230" s="27" t="s">
        <v>9</v>
      </c>
      <c r="M230" s="27" t="s">
        <v>9</v>
      </c>
      <c r="N230" s="27" t="s">
        <v>9</v>
      </c>
      <c r="O230" s="27" t="s">
        <v>9</v>
      </c>
      <c r="P230" s="27" t="s">
        <v>9</v>
      </c>
      <c r="Q230" s="27" t="s">
        <v>9</v>
      </c>
      <c r="R230" s="27" t="s">
        <v>9</v>
      </c>
      <c r="S230" s="27" t="s">
        <v>9</v>
      </c>
      <c r="T230" s="27" t="s">
        <v>9</v>
      </c>
      <c r="U230" s="27" t="s">
        <v>9</v>
      </c>
      <c r="V230" s="20" t="s">
        <v>1</v>
      </c>
      <c r="W230" s="20">
        <v>5</v>
      </c>
      <c r="X230" s="20">
        <v>3</v>
      </c>
      <c r="Y230" s="5">
        <v>2</v>
      </c>
      <c r="Z230" s="20">
        <v>4</v>
      </c>
      <c r="AA230" s="23">
        <v>3</v>
      </c>
      <c r="AB230" s="15" t="s">
        <v>9</v>
      </c>
      <c r="AC230" s="15" t="s">
        <v>9</v>
      </c>
      <c r="AD230" s="15" t="s">
        <v>9</v>
      </c>
      <c r="AE230" s="15" t="s">
        <v>9</v>
      </c>
      <c r="AF230" s="20" t="s">
        <v>9</v>
      </c>
      <c r="AG230" s="20" t="s">
        <v>9</v>
      </c>
      <c r="AH230" s="24" t="s">
        <v>9</v>
      </c>
      <c r="AI230" s="23">
        <v>3</v>
      </c>
      <c r="AJ230" s="15" t="s">
        <v>9</v>
      </c>
      <c r="AK230" s="15" t="s">
        <v>9</v>
      </c>
      <c r="AL230" s="25" t="s">
        <v>9</v>
      </c>
      <c r="AM230" s="23">
        <v>3</v>
      </c>
      <c r="AN230" s="20" t="s">
        <v>9</v>
      </c>
      <c r="AO230" s="20" t="s">
        <v>9</v>
      </c>
      <c r="AP230" s="15" t="s">
        <v>9</v>
      </c>
      <c r="AQ230" s="15" t="s">
        <v>9</v>
      </c>
      <c r="AR230" s="15" t="s">
        <v>9</v>
      </c>
      <c r="AS230" s="26" t="s">
        <v>9</v>
      </c>
      <c r="AT230" s="26" t="s">
        <v>9</v>
      </c>
      <c r="AU230" s="26" t="s">
        <v>9</v>
      </c>
      <c r="AV230" s="26" t="s">
        <v>9</v>
      </c>
      <c r="AW230" s="26" t="s">
        <v>9</v>
      </c>
      <c r="AX230" s="26" t="s">
        <v>9</v>
      </c>
      <c r="AY230" s="26" t="s">
        <v>9</v>
      </c>
      <c r="AZ230" s="26" t="s">
        <v>9</v>
      </c>
      <c r="BA230" s="23">
        <v>3</v>
      </c>
      <c r="BB230" s="24" t="s">
        <v>9</v>
      </c>
    </row>
    <row r="231" spans="1:54" x14ac:dyDescent="0.2">
      <c r="A231" s="19">
        <v>159</v>
      </c>
      <c r="B231" s="27" t="s">
        <v>9</v>
      </c>
      <c r="C231" s="27" t="s">
        <v>9</v>
      </c>
      <c r="D231" s="27" t="s">
        <v>9</v>
      </c>
      <c r="E231" s="27" t="s">
        <v>9</v>
      </c>
      <c r="F231" s="27" t="s">
        <v>9</v>
      </c>
      <c r="G231" s="27" t="s">
        <v>9</v>
      </c>
      <c r="H231" s="27" t="s">
        <v>9</v>
      </c>
      <c r="I231" s="27" t="s">
        <v>9</v>
      </c>
      <c r="J231" s="27" t="s">
        <v>9</v>
      </c>
      <c r="K231" s="27" t="s">
        <v>9</v>
      </c>
      <c r="L231" s="27" t="s">
        <v>9</v>
      </c>
      <c r="M231" s="27" t="s">
        <v>9</v>
      </c>
      <c r="N231" s="27" t="s">
        <v>9</v>
      </c>
      <c r="O231" s="27" t="s">
        <v>9</v>
      </c>
      <c r="P231" s="27" t="s">
        <v>9</v>
      </c>
      <c r="Q231" s="27" t="s">
        <v>9</v>
      </c>
      <c r="R231" s="27" t="s">
        <v>9</v>
      </c>
      <c r="S231" s="27" t="s">
        <v>9</v>
      </c>
      <c r="T231" s="27" t="s">
        <v>9</v>
      </c>
      <c r="U231" s="27" t="s">
        <v>9</v>
      </c>
      <c r="V231" s="20" t="s">
        <v>1</v>
      </c>
      <c r="W231" s="20">
        <v>5</v>
      </c>
      <c r="X231" s="20">
        <v>3</v>
      </c>
      <c r="Y231" s="20">
        <v>2</v>
      </c>
      <c r="Z231" s="20">
        <v>4</v>
      </c>
      <c r="AA231" s="23">
        <v>3</v>
      </c>
      <c r="AB231" s="15" t="s">
        <v>9</v>
      </c>
      <c r="AC231" s="15" t="s">
        <v>9</v>
      </c>
      <c r="AD231" s="15" t="s">
        <v>9</v>
      </c>
      <c r="AE231" s="15" t="s">
        <v>9</v>
      </c>
      <c r="AF231" s="20" t="s">
        <v>9</v>
      </c>
      <c r="AG231" s="20" t="s">
        <v>9</v>
      </c>
      <c r="AH231" s="24" t="s">
        <v>9</v>
      </c>
      <c r="AI231" s="23">
        <v>3</v>
      </c>
      <c r="AJ231" s="15" t="s">
        <v>9</v>
      </c>
      <c r="AK231" s="15" t="s">
        <v>9</v>
      </c>
      <c r="AL231" s="25" t="s">
        <v>9</v>
      </c>
      <c r="AM231" s="23">
        <v>3</v>
      </c>
      <c r="AN231" s="20" t="s">
        <v>9</v>
      </c>
      <c r="AO231" s="20" t="s">
        <v>9</v>
      </c>
      <c r="AP231" s="15" t="s">
        <v>9</v>
      </c>
      <c r="AQ231" s="15" t="s">
        <v>9</v>
      </c>
      <c r="AR231" s="15" t="s">
        <v>9</v>
      </c>
      <c r="AS231" s="26" t="s">
        <v>9</v>
      </c>
      <c r="AT231" s="26" t="s">
        <v>9</v>
      </c>
      <c r="AU231" s="26" t="s">
        <v>9</v>
      </c>
      <c r="AV231" s="26" t="s">
        <v>9</v>
      </c>
      <c r="AW231" s="26" t="s">
        <v>9</v>
      </c>
      <c r="AX231" s="26" t="s">
        <v>9</v>
      </c>
      <c r="AY231" s="26" t="s">
        <v>9</v>
      </c>
      <c r="AZ231" s="26" t="s">
        <v>9</v>
      </c>
      <c r="BA231" s="23">
        <v>3</v>
      </c>
      <c r="BB231" s="24" t="s">
        <v>9</v>
      </c>
    </row>
    <row r="232" spans="1:54" x14ac:dyDescent="0.2">
      <c r="A232" s="21">
        <v>162</v>
      </c>
      <c r="B232" s="27" t="s">
        <v>9</v>
      </c>
      <c r="C232" s="27" t="s">
        <v>9</v>
      </c>
      <c r="D232" s="27" t="s">
        <v>9</v>
      </c>
      <c r="E232" s="27" t="s">
        <v>9</v>
      </c>
      <c r="F232" s="27" t="s">
        <v>9</v>
      </c>
      <c r="G232" s="27" t="s">
        <v>9</v>
      </c>
      <c r="H232" s="27" t="s">
        <v>9</v>
      </c>
      <c r="I232" s="27" t="s">
        <v>9</v>
      </c>
      <c r="J232" s="27" t="s">
        <v>9</v>
      </c>
      <c r="K232" s="27" t="s">
        <v>9</v>
      </c>
      <c r="L232" s="27" t="s">
        <v>9</v>
      </c>
      <c r="M232" s="27" t="s">
        <v>9</v>
      </c>
      <c r="N232" s="27" t="s">
        <v>9</v>
      </c>
      <c r="O232" s="27" t="s">
        <v>9</v>
      </c>
      <c r="P232" s="27" t="s">
        <v>9</v>
      </c>
      <c r="Q232" s="27" t="s">
        <v>9</v>
      </c>
      <c r="R232" s="27" t="s">
        <v>9</v>
      </c>
      <c r="S232" s="27" t="s">
        <v>9</v>
      </c>
      <c r="T232" s="27" t="s">
        <v>9</v>
      </c>
      <c r="U232" s="27" t="s">
        <v>9</v>
      </c>
      <c r="V232" s="20" t="s">
        <v>1</v>
      </c>
      <c r="W232" s="20">
        <v>5</v>
      </c>
      <c r="X232" s="20">
        <v>3</v>
      </c>
      <c r="Y232" s="5">
        <v>2</v>
      </c>
      <c r="Z232" s="20">
        <v>4</v>
      </c>
      <c r="AA232" s="23">
        <v>3</v>
      </c>
      <c r="AB232" s="15" t="s">
        <v>9</v>
      </c>
      <c r="AC232" s="15" t="s">
        <v>9</v>
      </c>
      <c r="AD232" s="15" t="s">
        <v>9</v>
      </c>
      <c r="AE232" s="15" t="s">
        <v>9</v>
      </c>
      <c r="AF232" s="20" t="s">
        <v>9</v>
      </c>
      <c r="AG232" s="20" t="s">
        <v>9</v>
      </c>
      <c r="AH232" s="24" t="s">
        <v>9</v>
      </c>
      <c r="AI232" s="23">
        <v>3</v>
      </c>
      <c r="AJ232" s="15" t="s">
        <v>9</v>
      </c>
      <c r="AK232" s="15" t="s">
        <v>9</v>
      </c>
      <c r="AL232" s="25" t="s">
        <v>9</v>
      </c>
      <c r="AM232" s="23">
        <v>3</v>
      </c>
      <c r="AN232" s="20" t="s">
        <v>9</v>
      </c>
      <c r="AO232" s="20" t="s">
        <v>9</v>
      </c>
      <c r="AP232" s="15" t="s">
        <v>9</v>
      </c>
      <c r="AQ232" s="15" t="s">
        <v>9</v>
      </c>
      <c r="AR232" s="15" t="s">
        <v>9</v>
      </c>
      <c r="AS232" s="26" t="s">
        <v>9</v>
      </c>
      <c r="AT232" s="26" t="s">
        <v>9</v>
      </c>
      <c r="AU232" s="26" t="s">
        <v>9</v>
      </c>
      <c r="AV232" s="26" t="s">
        <v>9</v>
      </c>
      <c r="AW232" s="26" t="s">
        <v>9</v>
      </c>
      <c r="AX232" s="26" t="s">
        <v>9</v>
      </c>
      <c r="AY232" s="26" t="s">
        <v>9</v>
      </c>
      <c r="AZ232" s="26" t="s">
        <v>9</v>
      </c>
      <c r="BA232" s="23">
        <v>3</v>
      </c>
      <c r="BB232" s="24" t="s">
        <v>9</v>
      </c>
    </row>
    <row r="233" spans="1:54" x14ac:dyDescent="0.2">
      <c r="A233" s="21">
        <v>163</v>
      </c>
      <c r="B233" s="27" t="s">
        <v>9</v>
      </c>
      <c r="C233" s="27" t="s">
        <v>9</v>
      </c>
      <c r="D233" s="27" t="s">
        <v>9</v>
      </c>
      <c r="E233" s="27" t="s">
        <v>9</v>
      </c>
      <c r="F233" s="27" t="s">
        <v>9</v>
      </c>
      <c r="G233" s="27" t="s">
        <v>9</v>
      </c>
      <c r="H233" s="27" t="s">
        <v>9</v>
      </c>
      <c r="I233" s="27" t="s">
        <v>9</v>
      </c>
      <c r="J233" s="27" t="s">
        <v>9</v>
      </c>
      <c r="K233" s="27" t="s">
        <v>9</v>
      </c>
      <c r="L233" s="27" t="s">
        <v>9</v>
      </c>
      <c r="M233" s="27" t="s">
        <v>9</v>
      </c>
      <c r="N233" s="27" t="s">
        <v>9</v>
      </c>
      <c r="O233" s="27" t="s">
        <v>9</v>
      </c>
      <c r="P233" s="27" t="s">
        <v>9</v>
      </c>
      <c r="Q233" s="27" t="s">
        <v>9</v>
      </c>
      <c r="R233" s="27" t="s">
        <v>9</v>
      </c>
      <c r="S233" s="27" t="s">
        <v>9</v>
      </c>
      <c r="T233" s="27" t="s">
        <v>9</v>
      </c>
      <c r="U233" s="27" t="s">
        <v>9</v>
      </c>
      <c r="V233" s="20" t="s">
        <v>1</v>
      </c>
      <c r="W233" s="20">
        <v>5</v>
      </c>
      <c r="X233" s="20">
        <v>3</v>
      </c>
      <c r="Y233" s="5">
        <v>2</v>
      </c>
      <c r="Z233" s="20">
        <v>4</v>
      </c>
      <c r="AA233" s="23">
        <v>3</v>
      </c>
      <c r="AB233" s="15" t="s">
        <v>9</v>
      </c>
      <c r="AC233" s="15" t="s">
        <v>9</v>
      </c>
      <c r="AD233" s="15" t="s">
        <v>9</v>
      </c>
      <c r="AE233" s="15" t="s">
        <v>9</v>
      </c>
      <c r="AF233" s="20" t="s">
        <v>9</v>
      </c>
      <c r="AG233" s="20" t="s">
        <v>9</v>
      </c>
      <c r="AH233" s="24" t="s">
        <v>9</v>
      </c>
      <c r="AI233" s="23">
        <v>3</v>
      </c>
      <c r="AJ233" s="15" t="s">
        <v>9</v>
      </c>
      <c r="AK233" s="15" t="s">
        <v>9</v>
      </c>
      <c r="AL233" s="25" t="s">
        <v>9</v>
      </c>
      <c r="AM233" s="23">
        <v>3</v>
      </c>
      <c r="AN233" s="20" t="s">
        <v>9</v>
      </c>
      <c r="AO233" s="20" t="s">
        <v>9</v>
      </c>
      <c r="AP233" s="15" t="s">
        <v>9</v>
      </c>
      <c r="AQ233" s="15" t="s">
        <v>9</v>
      </c>
      <c r="AR233" s="15" t="s">
        <v>9</v>
      </c>
      <c r="AS233" s="26" t="s">
        <v>9</v>
      </c>
      <c r="AT233" s="26" t="s">
        <v>9</v>
      </c>
      <c r="AU233" s="26" t="s">
        <v>9</v>
      </c>
      <c r="AV233" s="26" t="s">
        <v>9</v>
      </c>
      <c r="AW233" s="26" t="s">
        <v>9</v>
      </c>
      <c r="AX233" s="26" t="s">
        <v>9</v>
      </c>
      <c r="AY233" s="26" t="s">
        <v>9</v>
      </c>
      <c r="AZ233" s="26" t="s">
        <v>9</v>
      </c>
      <c r="BA233" s="23">
        <v>3</v>
      </c>
      <c r="BB233" s="24" t="s">
        <v>9</v>
      </c>
    </row>
    <row r="234" spans="1:54" x14ac:dyDescent="0.2">
      <c r="A234" s="19">
        <v>164</v>
      </c>
      <c r="B234" s="27" t="s">
        <v>9</v>
      </c>
      <c r="C234" s="27" t="s">
        <v>9</v>
      </c>
      <c r="D234" s="27" t="s">
        <v>9</v>
      </c>
      <c r="E234" s="27" t="s">
        <v>9</v>
      </c>
      <c r="F234" s="27" t="s">
        <v>9</v>
      </c>
      <c r="G234" s="27" t="s">
        <v>9</v>
      </c>
      <c r="H234" s="27" t="s">
        <v>9</v>
      </c>
      <c r="I234" s="27" t="s">
        <v>9</v>
      </c>
      <c r="J234" s="27" t="s">
        <v>9</v>
      </c>
      <c r="K234" s="27" t="s">
        <v>9</v>
      </c>
      <c r="L234" s="27" t="s">
        <v>9</v>
      </c>
      <c r="M234" s="27" t="s">
        <v>9</v>
      </c>
      <c r="N234" s="27" t="s">
        <v>9</v>
      </c>
      <c r="O234" s="27" t="s">
        <v>9</v>
      </c>
      <c r="P234" s="27" t="s">
        <v>9</v>
      </c>
      <c r="Q234" s="27" t="s">
        <v>9</v>
      </c>
      <c r="R234" s="27" t="s">
        <v>9</v>
      </c>
      <c r="S234" s="27" t="s">
        <v>9</v>
      </c>
      <c r="T234" s="27" t="s">
        <v>9</v>
      </c>
      <c r="U234" s="27" t="s">
        <v>9</v>
      </c>
      <c r="V234" s="20" t="s">
        <v>1</v>
      </c>
      <c r="W234" s="20">
        <v>5</v>
      </c>
      <c r="X234" s="20">
        <v>3</v>
      </c>
      <c r="Y234" s="20">
        <v>2</v>
      </c>
      <c r="Z234" s="20">
        <v>4</v>
      </c>
      <c r="AA234" s="23">
        <v>3</v>
      </c>
      <c r="AB234" s="15" t="s">
        <v>9</v>
      </c>
      <c r="AC234" s="15" t="s">
        <v>9</v>
      </c>
      <c r="AD234" s="15" t="s">
        <v>9</v>
      </c>
      <c r="AE234" s="15" t="s">
        <v>9</v>
      </c>
      <c r="AF234" s="20" t="s">
        <v>9</v>
      </c>
      <c r="AG234" s="20" t="s">
        <v>9</v>
      </c>
      <c r="AH234" s="24" t="s">
        <v>9</v>
      </c>
      <c r="AI234" s="23">
        <v>3</v>
      </c>
      <c r="AJ234" s="15" t="s">
        <v>9</v>
      </c>
      <c r="AK234" s="15" t="s">
        <v>9</v>
      </c>
      <c r="AL234" s="25" t="s">
        <v>9</v>
      </c>
      <c r="AM234" s="23">
        <v>3</v>
      </c>
      <c r="AN234" s="20" t="s">
        <v>9</v>
      </c>
      <c r="AO234" s="20" t="s">
        <v>9</v>
      </c>
      <c r="AP234" s="15" t="s">
        <v>9</v>
      </c>
      <c r="AQ234" s="15" t="s">
        <v>9</v>
      </c>
      <c r="AR234" s="15" t="s">
        <v>9</v>
      </c>
      <c r="AS234" s="26" t="s">
        <v>9</v>
      </c>
      <c r="AT234" s="26" t="s">
        <v>9</v>
      </c>
      <c r="AU234" s="26" t="s">
        <v>9</v>
      </c>
      <c r="AV234" s="26" t="s">
        <v>9</v>
      </c>
      <c r="AW234" s="26" t="s">
        <v>9</v>
      </c>
      <c r="AX234" s="26" t="s">
        <v>9</v>
      </c>
      <c r="AY234" s="26" t="s">
        <v>9</v>
      </c>
      <c r="AZ234" s="26" t="s">
        <v>9</v>
      </c>
      <c r="BA234" s="23">
        <v>3</v>
      </c>
      <c r="BB234" s="24" t="s">
        <v>9</v>
      </c>
    </row>
    <row r="235" spans="1:54" x14ac:dyDescent="0.2">
      <c r="A235" s="19">
        <v>182</v>
      </c>
      <c r="B235" s="27" t="s">
        <v>9</v>
      </c>
      <c r="C235" s="27" t="s">
        <v>9</v>
      </c>
      <c r="D235" s="27" t="s">
        <v>9</v>
      </c>
      <c r="E235" s="27" t="s">
        <v>9</v>
      </c>
      <c r="F235" s="27" t="s">
        <v>9</v>
      </c>
      <c r="G235" s="27" t="s">
        <v>9</v>
      </c>
      <c r="H235" s="27" t="s">
        <v>9</v>
      </c>
      <c r="I235" s="27" t="s">
        <v>9</v>
      </c>
      <c r="J235" s="27" t="s">
        <v>9</v>
      </c>
      <c r="K235" s="27" t="s">
        <v>9</v>
      </c>
      <c r="L235" s="27" t="s">
        <v>9</v>
      </c>
      <c r="M235" s="27" t="s">
        <v>9</v>
      </c>
      <c r="N235" s="27" t="s">
        <v>9</v>
      </c>
      <c r="O235" s="27" t="s">
        <v>9</v>
      </c>
      <c r="P235" s="27" t="s">
        <v>9</v>
      </c>
      <c r="Q235" s="27" t="s">
        <v>9</v>
      </c>
      <c r="R235" s="27" t="s">
        <v>9</v>
      </c>
      <c r="S235" s="27" t="s">
        <v>9</v>
      </c>
      <c r="T235" s="27" t="s">
        <v>9</v>
      </c>
      <c r="U235" s="27" t="s">
        <v>9</v>
      </c>
      <c r="V235" s="20" t="s">
        <v>1</v>
      </c>
      <c r="W235" s="20">
        <v>5</v>
      </c>
      <c r="X235" s="20">
        <v>3</v>
      </c>
      <c r="Y235" s="20">
        <v>2</v>
      </c>
      <c r="Z235" s="20">
        <v>4</v>
      </c>
      <c r="AA235" s="23">
        <v>3</v>
      </c>
      <c r="AB235" s="15" t="s">
        <v>9</v>
      </c>
      <c r="AC235" s="15" t="s">
        <v>9</v>
      </c>
      <c r="AD235" s="15" t="s">
        <v>9</v>
      </c>
      <c r="AE235" s="15" t="s">
        <v>9</v>
      </c>
      <c r="AF235" s="20" t="s">
        <v>9</v>
      </c>
      <c r="AG235" s="20" t="s">
        <v>9</v>
      </c>
      <c r="AH235" s="24" t="s">
        <v>9</v>
      </c>
      <c r="AI235" s="23">
        <v>3</v>
      </c>
      <c r="AJ235" s="15" t="s">
        <v>9</v>
      </c>
      <c r="AK235" s="15" t="s">
        <v>9</v>
      </c>
      <c r="AL235" s="25" t="s">
        <v>9</v>
      </c>
      <c r="AM235" s="23">
        <v>3</v>
      </c>
      <c r="AN235" s="20" t="s">
        <v>9</v>
      </c>
      <c r="AO235" s="20" t="s">
        <v>9</v>
      </c>
      <c r="AP235" s="15" t="s">
        <v>9</v>
      </c>
      <c r="AQ235" s="15" t="s">
        <v>9</v>
      </c>
      <c r="AR235" s="15" t="s">
        <v>9</v>
      </c>
      <c r="AS235" s="26" t="s">
        <v>9</v>
      </c>
      <c r="AT235" s="26" t="s">
        <v>9</v>
      </c>
      <c r="AU235" s="26" t="s">
        <v>9</v>
      </c>
      <c r="AV235" s="26" t="s">
        <v>9</v>
      </c>
      <c r="AW235" s="26" t="s">
        <v>9</v>
      </c>
      <c r="AX235" s="26" t="s">
        <v>9</v>
      </c>
      <c r="AY235" s="26" t="s">
        <v>9</v>
      </c>
      <c r="AZ235" s="26" t="s">
        <v>9</v>
      </c>
      <c r="BA235" s="23">
        <v>3</v>
      </c>
      <c r="BB235" s="24" t="s">
        <v>9</v>
      </c>
    </row>
    <row r="236" spans="1:54" x14ac:dyDescent="0.2">
      <c r="A236" s="19">
        <v>194</v>
      </c>
      <c r="B236" s="27" t="s">
        <v>9</v>
      </c>
      <c r="C236" s="27" t="s">
        <v>9</v>
      </c>
      <c r="D236" s="27" t="s">
        <v>9</v>
      </c>
      <c r="E236" s="27" t="s">
        <v>9</v>
      </c>
      <c r="F236" s="27" t="s">
        <v>9</v>
      </c>
      <c r="G236" s="27" t="s">
        <v>9</v>
      </c>
      <c r="H236" s="27" t="s">
        <v>9</v>
      </c>
      <c r="I236" s="27" t="s">
        <v>9</v>
      </c>
      <c r="J236" s="27" t="s">
        <v>9</v>
      </c>
      <c r="K236" s="27" t="s">
        <v>9</v>
      </c>
      <c r="L236" s="27" t="s">
        <v>9</v>
      </c>
      <c r="M236" s="27" t="s">
        <v>9</v>
      </c>
      <c r="N236" s="27" t="s">
        <v>9</v>
      </c>
      <c r="O236" s="27" t="s">
        <v>9</v>
      </c>
      <c r="P236" s="27" t="s">
        <v>9</v>
      </c>
      <c r="Q236" s="27" t="s">
        <v>9</v>
      </c>
      <c r="R236" s="27" t="s">
        <v>9</v>
      </c>
      <c r="S236" s="27" t="s">
        <v>9</v>
      </c>
      <c r="T236" s="27" t="s">
        <v>9</v>
      </c>
      <c r="U236" s="27" t="s">
        <v>9</v>
      </c>
      <c r="V236" s="20" t="s">
        <v>1</v>
      </c>
      <c r="W236" s="20">
        <v>5</v>
      </c>
      <c r="X236" s="20">
        <v>3</v>
      </c>
      <c r="Y236" s="20">
        <v>2</v>
      </c>
      <c r="Z236" s="20">
        <v>4</v>
      </c>
      <c r="AA236" s="23">
        <v>3</v>
      </c>
      <c r="AB236" s="15" t="s">
        <v>9</v>
      </c>
      <c r="AC236" s="15" t="s">
        <v>9</v>
      </c>
      <c r="AD236" s="15" t="s">
        <v>9</v>
      </c>
      <c r="AE236" s="15" t="s">
        <v>9</v>
      </c>
      <c r="AF236" s="20" t="s">
        <v>9</v>
      </c>
      <c r="AG236" s="20" t="s">
        <v>9</v>
      </c>
      <c r="AH236" s="24" t="s">
        <v>9</v>
      </c>
      <c r="AI236" s="23">
        <v>3</v>
      </c>
      <c r="AJ236" s="15" t="s">
        <v>9</v>
      </c>
      <c r="AK236" s="15" t="s">
        <v>9</v>
      </c>
      <c r="AL236" s="25" t="s">
        <v>9</v>
      </c>
      <c r="AM236" s="23">
        <v>3</v>
      </c>
      <c r="AN236" s="20" t="s">
        <v>9</v>
      </c>
      <c r="AO236" s="20" t="s">
        <v>9</v>
      </c>
      <c r="AP236" s="15" t="s">
        <v>9</v>
      </c>
      <c r="AQ236" s="15" t="s">
        <v>9</v>
      </c>
      <c r="AR236" s="15" t="s">
        <v>9</v>
      </c>
      <c r="AS236" s="26" t="s">
        <v>9</v>
      </c>
      <c r="AT236" s="26" t="s">
        <v>9</v>
      </c>
      <c r="AU236" s="26" t="s">
        <v>9</v>
      </c>
      <c r="AV236" s="26" t="s">
        <v>9</v>
      </c>
      <c r="AW236" s="26" t="s">
        <v>9</v>
      </c>
      <c r="AX236" s="26" t="s">
        <v>9</v>
      </c>
      <c r="AY236" s="26" t="s">
        <v>9</v>
      </c>
      <c r="AZ236" s="26" t="s">
        <v>9</v>
      </c>
      <c r="BA236" s="23">
        <v>3</v>
      </c>
      <c r="BB236" s="24" t="s">
        <v>9</v>
      </c>
    </row>
    <row r="237" spans="1:54" x14ac:dyDescent="0.2">
      <c r="A237" s="21">
        <v>215</v>
      </c>
      <c r="B237" s="27" t="s">
        <v>9</v>
      </c>
      <c r="C237" s="27" t="s">
        <v>9</v>
      </c>
      <c r="D237" s="27" t="s">
        <v>9</v>
      </c>
      <c r="E237" s="27" t="s">
        <v>9</v>
      </c>
      <c r="F237" s="27" t="s">
        <v>9</v>
      </c>
      <c r="G237" s="27" t="s">
        <v>9</v>
      </c>
      <c r="H237" s="27" t="s">
        <v>9</v>
      </c>
      <c r="I237" s="27" t="s">
        <v>9</v>
      </c>
      <c r="J237" s="27" t="s">
        <v>9</v>
      </c>
      <c r="K237" s="27" t="s">
        <v>9</v>
      </c>
      <c r="L237" s="27" t="s">
        <v>9</v>
      </c>
      <c r="M237" s="27" t="s">
        <v>9</v>
      </c>
      <c r="N237" s="27" t="s">
        <v>9</v>
      </c>
      <c r="O237" s="27" t="s">
        <v>9</v>
      </c>
      <c r="P237" s="27" t="s">
        <v>9</v>
      </c>
      <c r="Q237" s="27" t="s">
        <v>9</v>
      </c>
      <c r="R237" s="27" t="s">
        <v>9</v>
      </c>
      <c r="S237" s="27" t="s">
        <v>9</v>
      </c>
      <c r="T237" s="27" t="s">
        <v>9</v>
      </c>
      <c r="U237" s="27" t="s">
        <v>9</v>
      </c>
      <c r="V237" s="20" t="s">
        <v>1</v>
      </c>
      <c r="W237" s="20">
        <v>5</v>
      </c>
      <c r="X237" s="20">
        <v>3</v>
      </c>
      <c r="Y237" s="5">
        <v>2</v>
      </c>
      <c r="Z237" s="20">
        <v>4</v>
      </c>
      <c r="AA237" s="23">
        <v>3</v>
      </c>
      <c r="AB237" s="15" t="s">
        <v>9</v>
      </c>
      <c r="AC237" s="15" t="s">
        <v>9</v>
      </c>
      <c r="AD237" s="15" t="s">
        <v>9</v>
      </c>
      <c r="AE237" s="15" t="s">
        <v>9</v>
      </c>
      <c r="AF237" s="20" t="s">
        <v>9</v>
      </c>
      <c r="AG237" s="20" t="s">
        <v>9</v>
      </c>
      <c r="AH237" s="24" t="s">
        <v>9</v>
      </c>
      <c r="AI237" s="23">
        <v>3</v>
      </c>
      <c r="AJ237" s="15" t="s">
        <v>9</v>
      </c>
      <c r="AK237" s="15" t="s">
        <v>9</v>
      </c>
      <c r="AL237" s="25" t="s">
        <v>9</v>
      </c>
      <c r="AM237" s="23">
        <v>3</v>
      </c>
      <c r="AN237" s="20" t="s">
        <v>9</v>
      </c>
      <c r="AO237" s="20" t="s">
        <v>9</v>
      </c>
      <c r="AP237" s="15" t="s">
        <v>9</v>
      </c>
      <c r="AQ237" s="15" t="s">
        <v>9</v>
      </c>
      <c r="AR237" s="15" t="s">
        <v>9</v>
      </c>
      <c r="AS237" s="26" t="s">
        <v>9</v>
      </c>
      <c r="AT237" s="26" t="s">
        <v>9</v>
      </c>
      <c r="AU237" s="26" t="s">
        <v>9</v>
      </c>
      <c r="AV237" s="26" t="s">
        <v>9</v>
      </c>
      <c r="AW237" s="26" t="s">
        <v>9</v>
      </c>
      <c r="AX237" s="26" t="s">
        <v>9</v>
      </c>
      <c r="AY237" s="26" t="s">
        <v>9</v>
      </c>
      <c r="AZ237" s="26" t="s">
        <v>9</v>
      </c>
      <c r="BA237" s="23">
        <v>3</v>
      </c>
      <c r="BB237" s="24" t="s">
        <v>9</v>
      </c>
    </row>
    <row r="238" spans="1:54" x14ac:dyDescent="0.2">
      <c r="A238" s="19">
        <v>224</v>
      </c>
      <c r="B238" s="27" t="s">
        <v>9</v>
      </c>
      <c r="C238" s="27" t="s">
        <v>9</v>
      </c>
      <c r="D238" s="27" t="s">
        <v>9</v>
      </c>
      <c r="E238" s="27" t="s">
        <v>9</v>
      </c>
      <c r="F238" s="27" t="s">
        <v>9</v>
      </c>
      <c r="G238" s="27" t="s">
        <v>9</v>
      </c>
      <c r="H238" s="27" t="s">
        <v>9</v>
      </c>
      <c r="I238" s="27" t="s">
        <v>9</v>
      </c>
      <c r="J238" s="27" t="s">
        <v>9</v>
      </c>
      <c r="K238" s="27" t="s">
        <v>9</v>
      </c>
      <c r="L238" s="27" t="s">
        <v>9</v>
      </c>
      <c r="M238" s="27" t="s">
        <v>9</v>
      </c>
      <c r="N238" s="27" t="s">
        <v>9</v>
      </c>
      <c r="O238" s="27" t="s">
        <v>9</v>
      </c>
      <c r="P238" s="27" t="s">
        <v>9</v>
      </c>
      <c r="Q238" s="27" t="s">
        <v>9</v>
      </c>
      <c r="R238" s="27" t="s">
        <v>9</v>
      </c>
      <c r="S238" s="27" t="s">
        <v>9</v>
      </c>
      <c r="T238" s="27" t="s">
        <v>9</v>
      </c>
      <c r="U238" s="27" t="s">
        <v>9</v>
      </c>
      <c r="V238" s="20" t="s">
        <v>1</v>
      </c>
      <c r="W238" s="20">
        <v>5</v>
      </c>
      <c r="X238" s="20">
        <v>3</v>
      </c>
      <c r="Y238" s="20">
        <v>2</v>
      </c>
      <c r="Z238" s="20">
        <v>4</v>
      </c>
      <c r="AA238" s="23">
        <v>3</v>
      </c>
      <c r="AB238" s="15" t="s">
        <v>9</v>
      </c>
      <c r="AC238" s="15" t="s">
        <v>9</v>
      </c>
      <c r="AD238" s="15" t="s">
        <v>9</v>
      </c>
      <c r="AE238" s="15" t="s">
        <v>9</v>
      </c>
      <c r="AF238" s="20" t="s">
        <v>9</v>
      </c>
      <c r="AG238" s="20" t="s">
        <v>9</v>
      </c>
      <c r="AH238" s="24" t="s">
        <v>9</v>
      </c>
      <c r="AI238" s="23">
        <v>3</v>
      </c>
      <c r="AJ238" s="15" t="s">
        <v>9</v>
      </c>
      <c r="AK238" s="15" t="s">
        <v>9</v>
      </c>
      <c r="AL238" s="25" t="s">
        <v>9</v>
      </c>
      <c r="AM238" s="23">
        <v>3</v>
      </c>
      <c r="AN238" s="20" t="s">
        <v>9</v>
      </c>
      <c r="AO238" s="20" t="s">
        <v>9</v>
      </c>
      <c r="AP238" s="15" t="s">
        <v>9</v>
      </c>
      <c r="AQ238" s="15" t="s">
        <v>9</v>
      </c>
      <c r="AR238" s="15" t="s">
        <v>9</v>
      </c>
      <c r="AS238" s="26" t="s">
        <v>9</v>
      </c>
      <c r="AT238" s="26" t="s">
        <v>9</v>
      </c>
      <c r="AU238" s="26" t="s">
        <v>9</v>
      </c>
      <c r="AV238" s="26" t="s">
        <v>9</v>
      </c>
      <c r="AW238" s="26" t="s">
        <v>9</v>
      </c>
      <c r="AX238" s="26" t="s">
        <v>9</v>
      </c>
      <c r="AY238" s="26" t="s">
        <v>9</v>
      </c>
      <c r="AZ238" s="26" t="s">
        <v>9</v>
      </c>
      <c r="BA238" s="23">
        <v>3</v>
      </c>
      <c r="BB238" s="24" t="s">
        <v>9</v>
      </c>
    </row>
    <row r="239" spans="1:54" x14ac:dyDescent="0.2">
      <c r="A239" s="19">
        <v>252</v>
      </c>
      <c r="B239" s="27" t="s">
        <v>9</v>
      </c>
      <c r="C239" s="27" t="s">
        <v>9</v>
      </c>
      <c r="D239" s="27" t="s">
        <v>9</v>
      </c>
      <c r="E239" s="27" t="s">
        <v>9</v>
      </c>
      <c r="F239" s="27" t="s">
        <v>9</v>
      </c>
      <c r="G239" s="27" t="s">
        <v>9</v>
      </c>
      <c r="H239" s="27" t="s">
        <v>9</v>
      </c>
      <c r="I239" s="27" t="s">
        <v>9</v>
      </c>
      <c r="J239" s="27" t="s">
        <v>9</v>
      </c>
      <c r="K239" s="27" t="s">
        <v>9</v>
      </c>
      <c r="L239" s="27" t="s">
        <v>9</v>
      </c>
      <c r="M239" s="27" t="s">
        <v>9</v>
      </c>
      <c r="N239" s="27" t="s">
        <v>9</v>
      </c>
      <c r="O239" s="27" t="s">
        <v>9</v>
      </c>
      <c r="P239" s="27" t="s">
        <v>9</v>
      </c>
      <c r="Q239" s="27" t="s">
        <v>9</v>
      </c>
      <c r="R239" s="27" t="s">
        <v>9</v>
      </c>
      <c r="S239" s="27" t="s">
        <v>9</v>
      </c>
      <c r="T239" s="27" t="s">
        <v>9</v>
      </c>
      <c r="U239" s="27" t="s">
        <v>9</v>
      </c>
      <c r="V239" s="20" t="s">
        <v>1</v>
      </c>
      <c r="W239" s="20">
        <v>5</v>
      </c>
      <c r="X239" s="20">
        <v>3</v>
      </c>
      <c r="Y239" s="20">
        <v>2</v>
      </c>
      <c r="Z239" s="20">
        <v>4</v>
      </c>
      <c r="AA239" s="23">
        <v>3</v>
      </c>
      <c r="AB239" s="15" t="s">
        <v>9</v>
      </c>
      <c r="AC239" s="15" t="s">
        <v>9</v>
      </c>
      <c r="AD239" s="15" t="s">
        <v>9</v>
      </c>
      <c r="AE239" s="15" t="s">
        <v>9</v>
      </c>
      <c r="AF239" s="20" t="s">
        <v>9</v>
      </c>
      <c r="AG239" s="20" t="s">
        <v>9</v>
      </c>
      <c r="AH239" s="24" t="s">
        <v>9</v>
      </c>
      <c r="AI239" s="23">
        <v>3</v>
      </c>
      <c r="AJ239" s="15" t="s">
        <v>9</v>
      </c>
      <c r="AK239" s="15" t="s">
        <v>9</v>
      </c>
      <c r="AL239" s="25" t="s">
        <v>9</v>
      </c>
      <c r="AM239" s="23">
        <v>3</v>
      </c>
      <c r="AN239" s="20" t="s">
        <v>9</v>
      </c>
      <c r="AO239" s="20" t="s">
        <v>9</v>
      </c>
      <c r="AP239" s="15" t="s">
        <v>9</v>
      </c>
      <c r="AQ239" s="15" t="s">
        <v>9</v>
      </c>
      <c r="AR239" s="15" t="s">
        <v>9</v>
      </c>
      <c r="AS239" s="26" t="s">
        <v>9</v>
      </c>
      <c r="AT239" s="26" t="s">
        <v>9</v>
      </c>
      <c r="AU239" s="26" t="s">
        <v>9</v>
      </c>
      <c r="AV239" s="26" t="s">
        <v>9</v>
      </c>
      <c r="AW239" s="26" t="s">
        <v>9</v>
      </c>
      <c r="AX239" s="26" t="s">
        <v>9</v>
      </c>
      <c r="AY239" s="26" t="s">
        <v>9</v>
      </c>
      <c r="AZ239" s="26" t="s">
        <v>9</v>
      </c>
      <c r="BA239" s="23">
        <v>3</v>
      </c>
      <c r="BB239" s="24" t="s">
        <v>9</v>
      </c>
    </row>
    <row r="240" spans="1:54" x14ac:dyDescent="0.2">
      <c r="A240" s="19">
        <v>253</v>
      </c>
      <c r="B240" s="27" t="s">
        <v>9</v>
      </c>
      <c r="C240" s="27" t="s">
        <v>9</v>
      </c>
      <c r="D240" s="27" t="s">
        <v>9</v>
      </c>
      <c r="E240" s="27" t="s">
        <v>9</v>
      </c>
      <c r="F240" s="27" t="s">
        <v>9</v>
      </c>
      <c r="G240" s="27" t="s">
        <v>9</v>
      </c>
      <c r="H240" s="27" t="s">
        <v>9</v>
      </c>
      <c r="I240" s="27" t="s">
        <v>9</v>
      </c>
      <c r="J240" s="27" t="s">
        <v>9</v>
      </c>
      <c r="K240" s="27" t="s">
        <v>9</v>
      </c>
      <c r="L240" s="27" t="s">
        <v>9</v>
      </c>
      <c r="M240" s="27" t="s">
        <v>9</v>
      </c>
      <c r="N240" s="27" t="s">
        <v>9</v>
      </c>
      <c r="O240" s="27" t="s">
        <v>9</v>
      </c>
      <c r="P240" s="27" t="s">
        <v>9</v>
      </c>
      <c r="Q240" s="27" t="s">
        <v>9</v>
      </c>
      <c r="R240" s="27" t="s">
        <v>9</v>
      </c>
      <c r="S240" s="27" t="s">
        <v>9</v>
      </c>
      <c r="T240" s="27" t="s">
        <v>9</v>
      </c>
      <c r="U240" s="27" t="s">
        <v>9</v>
      </c>
      <c r="V240" s="20" t="s">
        <v>1</v>
      </c>
      <c r="W240" s="20">
        <v>5</v>
      </c>
      <c r="X240" s="20">
        <v>3</v>
      </c>
      <c r="Y240" s="20">
        <v>2</v>
      </c>
      <c r="Z240" s="20">
        <v>4</v>
      </c>
      <c r="AA240" s="23">
        <v>3</v>
      </c>
      <c r="AB240" s="15" t="s">
        <v>9</v>
      </c>
      <c r="AC240" s="15" t="s">
        <v>9</v>
      </c>
      <c r="AD240" s="15" t="s">
        <v>9</v>
      </c>
      <c r="AE240" s="15" t="s">
        <v>9</v>
      </c>
      <c r="AF240" s="20" t="s">
        <v>9</v>
      </c>
      <c r="AG240" s="20" t="s">
        <v>9</v>
      </c>
      <c r="AH240" s="24" t="s">
        <v>9</v>
      </c>
      <c r="AI240" s="23">
        <v>3</v>
      </c>
      <c r="AJ240" s="15" t="s">
        <v>9</v>
      </c>
      <c r="AK240" s="15" t="s">
        <v>9</v>
      </c>
      <c r="AL240" s="25" t="s">
        <v>9</v>
      </c>
      <c r="AM240" s="23">
        <v>3</v>
      </c>
      <c r="AN240" s="20" t="s">
        <v>9</v>
      </c>
      <c r="AO240" s="20" t="s">
        <v>9</v>
      </c>
      <c r="AP240" s="15" t="s">
        <v>9</v>
      </c>
      <c r="AQ240" s="15" t="s">
        <v>9</v>
      </c>
      <c r="AR240" s="15" t="s">
        <v>9</v>
      </c>
      <c r="AS240" s="26" t="s">
        <v>9</v>
      </c>
      <c r="AT240" s="26" t="s">
        <v>9</v>
      </c>
      <c r="AU240" s="26" t="s">
        <v>9</v>
      </c>
      <c r="AV240" s="26" t="s">
        <v>9</v>
      </c>
      <c r="AW240" s="26" t="s">
        <v>9</v>
      </c>
      <c r="AX240" s="26" t="s">
        <v>9</v>
      </c>
      <c r="AY240" s="26" t="s">
        <v>9</v>
      </c>
      <c r="AZ240" s="26" t="s">
        <v>9</v>
      </c>
      <c r="BA240" s="23">
        <v>3</v>
      </c>
      <c r="BB240" s="24" t="s">
        <v>9</v>
      </c>
    </row>
    <row r="241" spans="1:54" x14ac:dyDescent="0.2">
      <c r="A241" s="19">
        <v>257</v>
      </c>
      <c r="B241" s="27" t="s">
        <v>9</v>
      </c>
      <c r="C241" s="27" t="s">
        <v>9</v>
      </c>
      <c r="D241" s="27" t="s">
        <v>9</v>
      </c>
      <c r="E241" s="27" t="s">
        <v>9</v>
      </c>
      <c r="F241" s="27" t="s">
        <v>9</v>
      </c>
      <c r="G241" s="27" t="s">
        <v>9</v>
      </c>
      <c r="H241" s="27" t="s">
        <v>9</v>
      </c>
      <c r="I241" s="27" t="s">
        <v>9</v>
      </c>
      <c r="J241" s="27" t="s">
        <v>9</v>
      </c>
      <c r="K241" s="27" t="s">
        <v>9</v>
      </c>
      <c r="L241" s="27" t="s">
        <v>9</v>
      </c>
      <c r="M241" s="27" t="s">
        <v>9</v>
      </c>
      <c r="N241" s="27" t="s">
        <v>9</v>
      </c>
      <c r="O241" s="27" t="s">
        <v>9</v>
      </c>
      <c r="P241" s="27" t="s">
        <v>9</v>
      </c>
      <c r="Q241" s="27" t="s">
        <v>9</v>
      </c>
      <c r="R241" s="27" t="s">
        <v>9</v>
      </c>
      <c r="S241" s="27" t="s">
        <v>9</v>
      </c>
      <c r="T241" s="27" t="s">
        <v>9</v>
      </c>
      <c r="U241" s="27" t="s">
        <v>9</v>
      </c>
      <c r="V241" s="20" t="s">
        <v>1</v>
      </c>
      <c r="W241" s="20">
        <v>5</v>
      </c>
      <c r="X241" s="20">
        <v>3</v>
      </c>
      <c r="Y241" s="20">
        <v>2</v>
      </c>
      <c r="Z241" s="20">
        <v>4</v>
      </c>
      <c r="AA241" s="23">
        <v>3</v>
      </c>
      <c r="AB241" s="15" t="s">
        <v>9</v>
      </c>
      <c r="AC241" s="15" t="s">
        <v>9</v>
      </c>
      <c r="AD241" s="15" t="s">
        <v>9</v>
      </c>
      <c r="AE241" s="15" t="s">
        <v>9</v>
      </c>
      <c r="AF241" s="20" t="s">
        <v>9</v>
      </c>
      <c r="AG241" s="20" t="s">
        <v>9</v>
      </c>
      <c r="AH241" s="24" t="s">
        <v>9</v>
      </c>
      <c r="AI241" s="23">
        <v>3</v>
      </c>
      <c r="AJ241" s="15" t="s">
        <v>9</v>
      </c>
      <c r="AK241" s="15" t="s">
        <v>9</v>
      </c>
      <c r="AL241" s="25" t="s">
        <v>9</v>
      </c>
      <c r="AM241" s="23">
        <v>3</v>
      </c>
      <c r="AN241" s="20" t="s">
        <v>9</v>
      </c>
      <c r="AO241" s="20" t="s">
        <v>9</v>
      </c>
      <c r="AP241" s="15" t="s">
        <v>9</v>
      </c>
      <c r="AQ241" s="15" t="s">
        <v>9</v>
      </c>
      <c r="AR241" s="15" t="s">
        <v>9</v>
      </c>
      <c r="AS241" s="26" t="s">
        <v>9</v>
      </c>
      <c r="AT241" s="26" t="s">
        <v>9</v>
      </c>
      <c r="AU241" s="26" t="s">
        <v>9</v>
      </c>
      <c r="AV241" s="26" t="s">
        <v>9</v>
      </c>
      <c r="AW241" s="26" t="s">
        <v>9</v>
      </c>
      <c r="AX241" s="26" t="s">
        <v>9</v>
      </c>
      <c r="AY241" s="26" t="s">
        <v>9</v>
      </c>
      <c r="AZ241" s="26" t="s">
        <v>9</v>
      </c>
      <c r="BA241" s="23">
        <v>3</v>
      </c>
      <c r="BB241" s="24" t="s">
        <v>9</v>
      </c>
    </row>
    <row r="242" spans="1:54" x14ac:dyDescent="0.2">
      <c r="A242" s="19">
        <v>261</v>
      </c>
      <c r="B242" s="27" t="s">
        <v>9</v>
      </c>
      <c r="C242" s="27" t="s">
        <v>9</v>
      </c>
      <c r="D242" s="27" t="s">
        <v>9</v>
      </c>
      <c r="E242" s="27" t="s">
        <v>9</v>
      </c>
      <c r="F242" s="27" t="s">
        <v>9</v>
      </c>
      <c r="G242" s="27" t="s">
        <v>9</v>
      </c>
      <c r="H242" s="27" t="s">
        <v>9</v>
      </c>
      <c r="I242" s="27" t="s">
        <v>9</v>
      </c>
      <c r="J242" s="27" t="s">
        <v>9</v>
      </c>
      <c r="K242" s="27" t="s">
        <v>9</v>
      </c>
      <c r="L242" s="27" t="s">
        <v>9</v>
      </c>
      <c r="M242" s="27" t="s">
        <v>9</v>
      </c>
      <c r="N242" s="27" t="s">
        <v>9</v>
      </c>
      <c r="O242" s="27" t="s">
        <v>9</v>
      </c>
      <c r="P242" s="27" t="s">
        <v>9</v>
      </c>
      <c r="Q242" s="27" t="s">
        <v>9</v>
      </c>
      <c r="R242" s="27" t="s">
        <v>9</v>
      </c>
      <c r="S242" s="27" t="s">
        <v>9</v>
      </c>
      <c r="T242" s="27" t="s">
        <v>9</v>
      </c>
      <c r="U242" s="27" t="s">
        <v>9</v>
      </c>
      <c r="V242" s="20" t="s">
        <v>1</v>
      </c>
      <c r="W242" s="20">
        <v>5</v>
      </c>
      <c r="X242" s="20">
        <v>3</v>
      </c>
      <c r="Y242" s="20">
        <v>2</v>
      </c>
      <c r="Z242" s="20">
        <v>4</v>
      </c>
      <c r="AA242" s="23">
        <v>3</v>
      </c>
      <c r="AB242" s="15" t="s">
        <v>9</v>
      </c>
      <c r="AC242" s="15" t="s">
        <v>9</v>
      </c>
      <c r="AD242" s="15" t="s">
        <v>9</v>
      </c>
      <c r="AE242" s="15" t="s">
        <v>9</v>
      </c>
      <c r="AF242" s="20" t="s">
        <v>9</v>
      </c>
      <c r="AG242" s="20" t="s">
        <v>9</v>
      </c>
      <c r="AH242" s="24" t="s">
        <v>9</v>
      </c>
      <c r="AI242" s="23">
        <v>3</v>
      </c>
      <c r="AJ242" s="15" t="s">
        <v>9</v>
      </c>
      <c r="AK242" s="15" t="s">
        <v>9</v>
      </c>
      <c r="AL242" s="25" t="s">
        <v>9</v>
      </c>
      <c r="AM242" s="23">
        <v>3</v>
      </c>
      <c r="AN242" s="20" t="s">
        <v>9</v>
      </c>
      <c r="AO242" s="20" t="s">
        <v>9</v>
      </c>
      <c r="AP242" s="15" t="s">
        <v>9</v>
      </c>
      <c r="AQ242" s="15" t="s">
        <v>9</v>
      </c>
      <c r="AR242" s="15" t="s">
        <v>9</v>
      </c>
      <c r="AS242" s="26" t="s">
        <v>9</v>
      </c>
      <c r="AT242" s="26" t="s">
        <v>9</v>
      </c>
      <c r="AU242" s="26" t="s">
        <v>9</v>
      </c>
      <c r="AV242" s="26" t="s">
        <v>9</v>
      </c>
      <c r="AW242" s="26" t="s">
        <v>9</v>
      </c>
      <c r="AX242" s="26" t="s">
        <v>9</v>
      </c>
      <c r="AY242" s="26" t="s">
        <v>9</v>
      </c>
      <c r="AZ242" s="26" t="s">
        <v>9</v>
      </c>
      <c r="BA242" s="23">
        <v>3</v>
      </c>
      <c r="BB242" s="24" t="s">
        <v>9</v>
      </c>
    </row>
    <row r="243" spans="1:54" x14ac:dyDescent="0.2">
      <c r="A243" s="19">
        <v>269</v>
      </c>
      <c r="B243" s="27" t="s">
        <v>9</v>
      </c>
      <c r="C243" s="27" t="s">
        <v>9</v>
      </c>
      <c r="D243" s="27" t="s">
        <v>9</v>
      </c>
      <c r="E243" s="27" t="s">
        <v>9</v>
      </c>
      <c r="F243" s="27" t="s">
        <v>9</v>
      </c>
      <c r="G243" s="27" t="s">
        <v>9</v>
      </c>
      <c r="H243" s="27" t="s">
        <v>9</v>
      </c>
      <c r="I243" s="27" t="s">
        <v>9</v>
      </c>
      <c r="J243" s="27" t="s">
        <v>9</v>
      </c>
      <c r="K243" s="27" t="s">
        <v>9</v>
      </c>
      <c r="L243" s="27" t="s">
        <v>9</v>
      </c>
      <c r="M243" s="27" t="s">
        <v>9</v>
      </c>
      <c r="N243" s="27" t="s">
        <v>9</v>
      </c>
      <c r="O243" s="27" t="s">
        <v>9</v>
      </c>
      <c r="P243" s="27" t="s">
        <v>9</v>
      </c>
      <c r="Q243" s="27" t="s">
        <v>9</v>
      </c>
      <c r="R243" s="27" t="s">
        <v>9</v>
      </c>
      <c r="S243" s="27" t="s">
        <v>9</v>
      </c>
      <c r="T243" s="27" t="s">
        <v>9</v>
      </c>
      <c r="U243" s="27" t="s">
        <v>9</v>
      </c>
      <c r="V243" s="20" t="s">
        <v>1</v>
      </c>
      <c r="W243" s="20">
        <v>5</v>
      </c>
      <c r="X243" s="20">
        <v>3</v>
      </c>
      <c r="Y243" s="20">
        <v>2</v>
      </c>
      <c r="Z243" s="20">
        <v>4</v>
      </c>
      <c r="AA243" s="23">
        <v>3</v>
      </c>
      <c r="AB243" s="15" t="s">
        <v>9</v>
      </c>
      <c r="AC243" s="15" t="s">
        <v>9</v>
      </c>
      <c r="AD243" s="15" t="s">
        <v>9</v>
      </c>
      <c r="AE243" s="15" t="s">
        <v>9</v>
      </c>
      <c r="AF243" s="20" t="s">
        <v>9</v>
      </c>
      <c r="AG243" s="20" t="s">
        <v>9</v>
      </c>
      <c r="AH243" s="24" t="s">
        <v>9</v>
      </c>
      <c r="AI243" s="23">
        <v>3</v>
      </c>
      <c r="AJ243" s="15" t="s">
        <v>9</v>
      </c>
      <c r="AK243" s="15" t="s">
        <v>9</v>
      </c>
      <c r="AL243" s="25" t="s">
        <v>9</v>
      </c>
      <c r="AM243" s="23">
        <v>3</v>
      </c>
      <c r="AN243" s="20" t="s">
        <v>9</v>
      </c>
      <c r="AO243" s="20" t="s">
        <v>9</v>
      </c>
      <c r="AP243" s="15" t="s">
        <v>9</v>
      </c>
      <c r="AQ243" s="15" t="s">
        <v>9</v>
      </c>
      <c r="AR243" s="15" t="s">
        <v>9</v>
      </c>
      <c r="AS243" s="26" t="s">
        <v>9</v>
      </c>
      <c r="AT243" s="26" t="s">
        <v>9</v>
      </c>
      <c r="AU243" s="26" t="s">
        <v>9</v>
      </c>
      <c r="AV243" s="26" t="s">
        <v>9</v>
      </c>
      <c r="AW243" s="26" t="s">
        <v>9</v>
      </c>
      <c r="AX243" s="26" t="s">
        <v>9</v>
      </c>
      <c r="AY243" s="26" t="s">
        <v>9</v>
      </c>
      <c r="AZ243" s="26" t="s">
        <v>9</v>
      </c>
      <c r="BA243" s="23">
        <v>3</v>
      </c>
      <c r="BB243" s="24" t="s">
        <v>9</v>
      </c>
    </row>
    <row r="244" spans="1:54" x14ac:dyDescent="0.2">
      <c r="A244" s="19">
        <v>295</v>
      </c>
      <c r="B244" s="27" t="s">
        <v>9</v>
      </c>
      <c r="C244" s="27" t="s">
        <v>9</v>
      </c>
      <c r="D244" s="27" t="s">
        <v>9</v>
      </c>
      <c r="E244" s="27" t="s">
        <v>9</v>
      </c>
      <c r="F244" s="27" t="s">
        <v>9</v>
      </c>
      <c r="G244" s="27" t="s">
        <v>9</v>
      </c>
      <c r="H244" s="27" t="s">
        <v>9</v>
      </c>
      <c r="I244" s="27" t="s">
        <v>9</v>
      </c>
      <c r="J244" s="27" t="s">
        <v>9</v>
      </c>
      <c r="K244" s="27" t="s">
        <v>9</v>
      </c>
      <c r="L244" s="27" t="s">
        <v>9</v>
      </c>
      <c r="M244" s="27" t="s">
        <v>9</v>
      </c>
      <c r="N244" s="27" t="s">
        <v>9</v>
      </c>
      <c r="O244" s="27" t="s">
        <v>9</v>
      </c>
      <c r="P244" s="27" t="s">
        <v>9</v>
      </c>
      <c r="Q244" s="27" t="s">
        <v>9</v>
      </c>
      <c r="R244" s="27" t="s">
        <v>9</v>
      </c>
      <c r="S244" s="27" t="s">
        <v>9</v>
      </c>
      <c r="T244" s="27" t="s">
        <v>9</v>
      </c>
      <c r="U244" s="27" t="s">
        <v>9</v>
      </c>
      <c r="V244" s="20" t="s">
        <v>1</v>
      </c>
      <c r="W244" s="20">
        <v>5</v>
      </c>
      <c r="X244" s="20">
        <v>3</v>
      </c>
      <c r="Y244" s="20">
        <v>2</v>
      </c>
      <c r="Z244" s="20">
        <v>4</v>
      </c>
      <c r="AA244" s="23">
        <v>3</v>
      </c>
      <c r="AB244" s="15" t="s">
        <v>9</v>
      </c>
      <c r="AC244" s="15" t="s">
        <v>9</v>
      </c>
      <c r="AD244" s="15" t="s">
        <v>9</v>
      </c>
      <c r="AE244" s="15" t="s">
        <v>9</v>
      </c>
      <c r="AF244" s="20" t="s">
        <v>9</v>
      </c>
      <c r="AG244" s="20" t="s">
        <v>9</v>
      </c>
      <c r="AH244" s="24" t="s">
        <v>9</v>
      </c>
      <c r="AI244" s="23">
        <v>3</v>
      </c>
      <c r="AJ244" s="15" t="s">
        <v>9</v>
      </c>
      <c r="AK244" s="15" t="s">
        <v>9</v>
      </c>
      <c r="AL244" s="25" t="s">
        <v>9</v>
      </c>
      <c r="AM244" s="23">
        <v>3</v>
      </c>
      <c r="AN244" s="20" t="s">
        <v>9</v>
      </c>
      <c r="AO244" s="20" t="s">
        <v>9</v>
      </c>
      <c r="AP244" s="15" t="s">
        <v>9</v>
      </c>
      <c r="AQ244" s="15" t="s">
        <v>9</v>
      </c>
      <c r="AR244" s="15" t="s">
        <v>9</v>
      </c>
      <c r="AS244" s="26" t="s">
        <v>9</v>
      </c>
      <c r="AT244" s="26" t="s">
        <v>9</v>
      </c>
      <c r="AU244" s="26" t="s">
        <v>9</v>
      </c>
      <c r="AV244" s="26" t="s">
        <v>9</v>
      </c>
      <c r="AW244" s="26" t="s">
        <v>9</v>
      </c>
      <c r="AX244" s="26" t="s">
        <v>9</v>
      </c>
      <c r="AY244" s="26" t="s">
        <v>9</v>
      </c>
      <c r="AZ244" s="26" t="s">
        <v>9</v>
      </c>
      <c r="BA244" s="23">
        <v>3</v>
      </c>
      <c r="BB244" s="24" t="s">
        <v>9</v>
      </c>
    </row>
    <row r="245" spans="1:54" x14ac:dyDescent="0.2">
      <c r="A245" s="19">
        <v>299</v>
      </c>
      <c r="B245" s="27" t="s">
        <v>9</v>
      </c>
      <c r="C245" s="27" t="s">
        <v>9</v>
      </c>
      <c r="D245" s="27" t="s">
        <v>9</v>
      </c>
      <c r="E245" s="27" t="s">
        <v>9</v>
      </c>
      <c r="F245" s="27" t="s">
        <v>9</v>
      </c>
      <c r="G245" s="27" t="s">
        <v>9</v>
      </c>
      <c r="H245" s="27" t="s">
        <v>9</v>
      </c>
      <c r="I245" s="27" t="s">
        <v>9</v>
      </c>
      <c r="J245" s="27" t="s">
        <v>9</v>
      </c>
      <c r="K245" s="27" t="s">
        <v>9</v>
      </c>
      <c r="L245" s="27" t="s">
        <v>9</v>
      </c>
      <c r="M245" s="27" t="s">
        <v>9</v>
      </c>
      <c r="N245" s="27" t="s">
        <v>9</v>
      </c>
      <c r="O245" s="27" t="s">
        <v>9</v>
      </c>
      <c r="P245" s="27" t="s">
        <v>9</v>
      </c>
      <c r="Q245" s="27" t="s">
        <v>9</v>
      </c>
      <c r="R245" s="27" t="s">
        <v>9</v>
      </c>
      <c r="S245" s="27" t="s">
        <v>9</v>
      </c>
      <c r="T245" s="27" t="s">
        <v>9</v>
      </c>
      <c r="U245" s="27" t="s">
        <v>9</v>
      </c>
      <c r="V245" s="20" t="s">
        <v>1</v>
      </c>
      <c r="W245" s="20">
        <v>5</v>
      </c>
      <c r="X245" s="20">
        <v>3</v>
      </c>
      <c r="Y245" s="20">
        <v>2</v>
      </c>
      <c r="Z245" s="20">
        <v>4</v>
      </c>
      <c r="AA245" s="23">
        <v>3</v>
      </c>
      <c r="AB245" s="15" t="s">
        <v>9</v>
      </c>
      <c r="AC245" s="15" t="s">
        <v>9</v>
      </c>
      <c r="AD245" s="15" t="s">
        <v>9</v>
      </c>
      <c r="AE245" s="15" t="s">
        <v>9</v>
      </c>
      <c r="AF245" s="20" t="s">
        <v>9</v>
      </c>
      <c r="AG245" s="20" t="s">
        <v>9</v>
      </c>
      <c r="AH245" s="24" t="s">
        <v>9</v>
      </c>
      <c r="AI245" s="23">
        <v>3</v>
      </c>
      <c r="AJ245" s="15" t="s">
        <v>9</v>
      </c>
      <c r="AK245" s="15" t="s">
        <v>9</v>
      </c>
      <c r="AL245" s="25" t="s">
        <v>9</v>
      </c>
      <c r="AM245" s="23">
        <v>3</v>
      </c>
      <c r="AN245" s="20" t="s">
        <v>9</v>
      </c>
      <c r="AO245" s="20" t="s">
        <v>9</v>
      </c>
      <c r="AP245" s="15" t="s">
        <v>9</v>
      </c>
      <c r="AQ245" s="15" t="s">
        <v>9</v>
      </c>
      <c r="AR245" s="15" t="s">
        <v>9</v>
      </c>
      <c r="AS245" s="26" t="s">
        <v>9</v>
      </c>
      <c r="AT245" s="26" t="s">
        <v>9</v>
      </c>
      <c r="AU245" s="26" t="s">
        <v>9</v>
      </c>
      <c r="AV245" s="26" t="s">
        <v>9</v>
      </c>
      <c r="AW245" s="26" t="s">
        <v>9</v>
      </c>
      <c r="AX245" s="26" t="s">
        <v>9</v>
      </c>
      <c r="AY245" s="26" t="s">
        <v>9</v>
      </c>
      <c r="AZ245" s="26" t="s">
        <v>9</v>
      </c>
      <c r="BA245" s="23">
        <v>3</v>
      </c>
      <c r="BB245" s="24" t="s">
        <v>9</v>
      </c>
    </row>
    <row r="246" spans="1:54" x14ac:dyDescent="0.2">
      <c r="A246" s="19">
        <v>311</v>
      </c>
      <c r="B246" s="27" t="s">
        <v>9</v>
      </c>
      <c r="C246" s="27" t="s">
        <v>9</v>
      </c>
      <c r="D246" s="27" t="s">
        <v>9</v>
      </c>
      <c r="E246" s="27" t="s">
        <v>9</v>
      </c>
      <c r="F246" s="27" t="s">
        <v>9</v>
      </c>
      <c r="G246" s="27" t="s">
        <v>9</v>
      </c>
      <c r="H246" s="27" t="s">
        <v>9</v>
      </c>
      <c r="I246" s="27" t="s">
        <v>9</v>
      </c>
      <c r="J246" s="27" t="s">
        <v>9</v>
      </c>
      <c r="K246" s="27" t="s">
        <v>9</v>
      </c>
      <c r="L246" s="27" t="s">
        <v>9</v>
      </c>
      <c r="M246" s="27" t="s">
        <v>9</v>
      </c>
      <c r="N246" s="27" t="s">
        <v>9</v>
      </c>
      <c r="O246" s="27" t="s">
        <v>9</v>
      </c>
      <c r="P246" s="27" t="s">
        <v>9</v>
      </c>
      <c r="Q246" s="27" t="s">
        <v>9</v>
      </c>
      <c r="R246" s="27" t="s">
        <v>9</v>
      </c>
      <c r="S246" s="27" t="s">
        <v>9</v>
      </c>
      <c r="T246" s="27" t="s">
        <v>9</v>
      </c>
      <c r="U246" s="27" t="s">
        <v>9</v>
      </c>
      <c r="V246" s="20" t="s">
        <v>1</v>
      </c>
      <c r="W246" s="20">
        <v>5</v>
      </c>
      <c r="X246" s="20">
        <v>3</v>
      </c>
      <c r="Y246" s="20">
        <v>2</v>
      </c>
      <c r="Z246" s="20">
        <v>4</v>
      </c>
      <c r="AA246" s="23">
        <v>3</v>
      </c>
      <c r="AB246" s="15" t="s">
        <v>9</v>
      </c>
      <c r="AC246" s="15" t="s">
        <v>9</v>
      </c>
      <c r="AD246" s="15" t="s">
        <v>9</v>
      </c>
      <c r="AE246" s="15" t="s">
        <v>9</v>
      </c>
      <c r="AF246" s="20" t="s">
        <v>9</v>
      </c>
      <c r="AG246" s="20" t="s">
        <v>9</v>
      </c>
      <c r="AH246" s="24" t="s">
        <v>9</v>
      </c>
      <c r="AI246" s="23">
        <v>3</v>
      </c>
      <c r="AJ246" s="15" t="s">
        <v>9</v>
      </c>
      <c r="AK246" s="15" t="s">
        <v>9</v>
      </c>
      <c r="AL246" s="25" t="s">
        <v>9</v>
      </c>
      <c r="AM246" s="23">
        <v>3</v>
      </c>
      <c r="AN246" s="20" t="s">
        <v>9</v>
      </c>
      <c r="AO246" s="20" t="s">
        <v>9</v>
      </c>
      <c r="AP246" s="15" t="s">
        <v>9</v>
      </c>
      <c r="AQ246" s="15" t="s">
        <v>9</v>
      </c>
      <c r="AR246" s="15" t="s">
        <v>9</v>
      </c>
      <c r="AS246" s="26" t="s">
        <v>9</v>
      </c>
      <c r="AT246" s="26" t="s">
        <v>9</v>
      </c>
      <c r="AU246" s="26" t="s">
        <v>9</v>
      </c>
      <c r="AV246" s="26" t="s">
        <v>9</v>
      </c>
      <c r="AW246" s="26" t="s">
        <v>9</v>
      </c>
      <c r="AX246" s="26" t="s">
        <v>9</v>
      </c>
      <c r="AY246" s="26" t="s">
        <v>9</v>
      </c>
      <c r="AZ246" s="26" t="s">
        <v>9</v>
      </c>
      <c r="BA246" s="23">
        <v>3</v>
      </c>
      <c r="BB246" s="24" t="s">
        <v>9</v>
      </c>
    </row>
    <row r="247" spans="1:54" x14ac:dyDescent="0.2">
      <c r="A247" s="19">
        <v>318</v>
      </c>
      <c r="B247" s="27" t="s">
        <v>9</v>
      </c>
      <c r="C247" s="27" t="s">
        <v>9</v>
      </c>
      <c r="D247" s="27" t="s">
        <v>9</v>
      </c>
      <c r="E247" s="27" t="s">
        <v>9</v>
      </c>
      <c r="F247" s="27" t="s">
        <v>9</v>
      </c>
      <c r="G247" s="27" t="s">
        <v>9</v>
      </c>
      <c r="H247" s="27" t="s">
        <v>9</v>
      </c>
      <c r="I247" s="27" t="s">
        <v>9</v>
      </c>
      <c r="J247" s="27" t="s">
        <v>9</v>
      </c>
      <c r="K247" s="27" t="s">
        <v>9</v>
      </c>
      <c r="L247" s="27" t="s">
        <v>9</v>
      </c>
      <c r="M247" s="27" t="s">
        <v>9</v>
      </c>
      <c r="N247" s="27" t="s">
        <v>9</v>
      </c>
      <c r="O247" s="27" t="s">
        <v>9</v>
      </c>
      <c r="P247" s="27" t="s">
        <v>9</v>
      </c>
      <c r="Q247" s="27" t="s">
        <v>9</v>
      </c>
      <c r="R247" s="27" t="s">
        <v>9</v>
      </c>
      <c r="S247" s="27" t="s">
        <v>9</v>
      </c>
      <c r="T247" s="27" t="s">
        <v>9</v>
      </c>
      <c r="U247" s="27" t="s">
        <v>9</v>
      </c>
      <c r="V247" s="20" t="s">
        <v>1</v>
      </c>
      <c r="W247" s="20">
        <v>5</v>
      </c>
      <c r="X247" s="20">
        <v>3</v>
      </c>
      <c r="Y247" s="20">
        <v>2</v>
      </c>
      <c r="Z247" s="20">
        <v>4</v>
      </c>
      <c r="AA247" s="23">
        <v>3</v>
      </c>
      <c r="AB247" s="15" t="s">
        <v>9</v>
      </c>
      <c r="AC247" s="15" t="s">
        <v>9</v>
      </c>
      <c r="AD247" s="15" t="s">
        <v>9</v>
      </c>
      <c r="AE247" s="15" t="s">
        <v>9</v>
      </c>
      <c r="AF247" s="20" t="s">
        <v>9</v>
      </c>
      <c r="AG247" s="20" t="s">
        <v>9</v>
      </c>
      <c r="AH247" s="24" t="s">
        <v>9</v>
      </c>
      <c r="AI247" s="23">
        <v>3</v>
      </c>
      <c r="AJ247" s="15" t="s">
        <v>9</v>
      </c>
      <c r="AK247" s="15" t="s">
        <v>9</v>
      </c>
      <c r="AL247" s="25" t="s">
        <v>9</v>
      </c>
      <c r="AM247" s="23">
        <v>3</v>
      </c>
      <c r="AN247" s="20" t="s">
        <v>9</v>
      </c>
      <c r="AO247" s="20" t="s">
        <v>9</v>
      </c>
      <c r="AP247" s="15" t="s">
        <v>9</v>
      </c>
      <c r="AQ247" s="15" t="s">
        <v>9</v>
      </c>
      <c r="AR247" s="15" t="s">
        <v>9</v>
      </c>
      <c r="AS247" s="26" t="s">
        <v>9</v>
      </c>
      <c r="AT247" s="26" t="s">
        <v>9</v>
      </c>
      <c r="AU247" s="26" t="s">
        <v>9</v>
      </c>
      <c r="AV247" s="26" t="s">
        <v>9</v>
      </c>
      <c r="AW247" s="26" t="s">
        <v>9</v>
      </c>
      <c r="AX247" s="26" t="s">
        <v>9</v>
      </c>
      <c r="AY247" s="26" t="s">
        <v>9</v>
      </c>
      <c r="AZ247" s="26" t="s">
        <v>9</v>
      </c>
      <c r="BA247" s="23">
        <v>3</v>
      </c>
      <c r="BB247" s="24" t="s">
        <v>9</v>
      </c>
    </row>
    <row r="248" spans="1:54" x14ac:dyDescent="0.2">
      <c r="A248" s="19">
        <v>324</v>
      </c>
      <c r="B248" s="27" t="s">
        <v>9</v>
      </c>
      <c r="C248" s="27" t="s">
        <v>9</v>
      </c>
      <c r="D248" s="27" t="s">
        <v>9</v>
      </c>
      <c r="E248" s="27" t="s">
        <v>9</v>
      </c>
      <c r="F248" s="27" t="s">
        <v>9</v>
      </c>
      <c r="G248" s="27" t="s">
        <v>9</v>
      </c>
      <c r="H248" s="27" t="s">
        <v>9</v>
      </c>
      <c r="I248" s="27" t="s">
        <v>9</v>
      </c>
      <c r="J248" s="27" t="s">
        <v>9</v>
      </c>
      <c r="K248" s="27" t="s">
        <v>9</v>
      </c>
      <c r="L248" s="27" t="s">
        <v>9</v>
      </c>
      <c r="M248" s="27" t="s">
        <v>9</v>
      </c>
      <c r="N248" s="27" t="s">
        <v>9</v>
      </c>
      <c r="O248" s="27" t="s">
        <v>9</v>
      </c>
      <c r="P248" s="27" t="s">
        <v>9</v>
      </c>
      <c r="Q248" s="27" t="s">
        <v>9</v>
      </c>
      <c r="R248" s="27" t="s">
        <v>9</v>
      </c>
      <c r="S248" s="27" t="s">
        <v>9</v>
      </c>
      <c r="T248" s="27" t="s">
        <v>9</v>
      </c>
      <c r="U248" s="27" t="s">
        <v>9</v>
      </c>
      <c r="V248" s="20" t="s">
        <v>1</v>
      </c>
      <c r="W248" s="20">
        <v>5</v>
      </c>
      <c r="X248" s="20">
        <v>3</v>
      </c>
      <c r="Y248" s="20">
        <v>2</v>
      </c>
      <c r="Z248" s="20">
        <v>4</v>
      </c>
      <c r="AA248" s="23">
        <v>3</v>
      </c>
      <c r="AB248" s="15" t="s">
        <v>9</v>
      </c>
      <c r="AC248" s="15" t="s">
        <v>9</v>
      </c>
      <c r="AD248" s="15" t="s">
        <v>9</v>
      </c>
      <c r="AE248" s="15" t="s">
        <v>9</v>
      </c>
      <c r="AF248" s="20" t="s">
        <v>9</v>
      </c>
      <c r="AG248" s="20" t="s">
        <v>9</v>
      </c>
      <c r="AH248" s="24" t="s">
        <v>9</v>
      </c>
      <c r="AI248" s="23">
        <v>3</v>
      </c>
      <c r="AJ248" s="15" t="s">
        <v>9</v>
      </c>
      <c r="AK248" s="15" t="s">
        <v>9</v>
      </c>
      <c r="AL248" s="25" t="s">
        <v>9</v>
      </c>
      <c r="AM248" s="23">
        <v>3</v>
      </c>
      <c r="AN248" s="20" t="s">
        <v>9</v>
      </c>
      <c r="AO248" s="20" t="s">
        <v>9</v>
      </c>
      <c r="AP248" s="15" t="s">
        <v>9</v>
      </c>
      <c r="AQ248" s="15" t="s">
        <v>9</v>
      </c>
      <c r="AR248" s="15" t="s">
        <v>9</v>
      </c>
      <c r="AS248" s="26" t="s">
        <v>9</v>
      </c>
      <c r="AT248" s="26" t="s">
        <v>9</v>
      </c>
      <c r="AU248" s="26" t="s">
        <v>9</v>
      </c>
      <c r="AV248" s="26" t="s">
        <v>9</v>
      </c>
      <c r="AW248" s="26" t="s">
        <v>9</v>
      </c>
      <c r="AX248" s="26" t="s">
        <v>9</v>
      </c>
      <c r="AY248" s="26" t="s">
        <v>9</v>
      </c>
      <c r="AZ248" s="26" t="s">
        <v>9</v>
      </c>
      <c r="BA248" s="23">
        <v>3</v>
      </c>
      <c r="BB248" s="24" t="s">
        <v>9</v>
      </c>
    </row>
    <row r="249" spans="1:54" x14ac:dyDescent="0.2">
      <c r="A249" s="19">
        <v>349</v>
      </c>
      <c r="B249" s="27" t="s">
        <v>9</v>
      </c>
      <c r="C249" s="27" t="s">
        <v>9</v>
      </c>
      <c r="D249" s="27" t="s">
        <v>9</v>
      </c>
      <c r="E249" s="27" t="s">
        <v>9</v>
      </c>
      <c r="F249" s="27" t="s">
        <v>9</v>
      </c>
      <c r="G249" s="27" t="s">
        <v>9</v>
      </c>
      <c r="H249" s="27" t="s">
        <v>9</v>
      </c>
      <c r="I249" s="27" t="s">
        <v>9</v>
      </c>
      <c r="J249" s="27" t="s">
        <v>9</v>
      </c>
      <c r="K249" s="27" t="s">
        <v>9</v>
      </c>
      <c r="L249" s="27" t="s">
        <v>9</v>
      </c>
      <c r="M249" s="27" t="s">
        <v>9</v>
      </c>
      <c r="N249" s="27" t="s">
        <v>9</v>
      </c>
      <c r="O249" s="27" t="s">
        <v>9</v>
      </c>
      <c r="P249" s="27" t="s">
        <v>9</v>
      </c>
      <c r="Q249" s="27" t="s">
        <v>9</v>
      </c>
      <c r="R249" s="27" t="s">
        <v>9</v>
      </c>
      <c r="S249" s="27" t="s">
        <v>9</v>
      </c>
      <c r="T249" s="27" t="s">
        <v>9</v>
      </c>
      <c r="U249" s="27" t="s">
        <v>9</v>
      </c>
      <c r="V249" s="20" t="s">
        <v>1</v>
      </c>
      <c r="W249" s="20">
        <v>5</v>
      </c>
      <c r="X249" s="20">
        <v>3</v>
      </c>
      <c r="Y249" s="20">
        <v>2</v>
      </c>
      <c r="Z249" s="20">
        <v>4</v>
      </c>
      <c r="AA249" s="23">
        <v>3</v>
      </c>
      <c r="AB249" s="15" t="s">
        <v>9</v>
      </c>
      <c r="AC249" s="15" t="s">
        <v>9</v>
      </c>
      <c r="AD249" s="15" t="s">
        <v>9</v>
      </c>
      <c r="AE249" s="15" t="s">
        <v>9</v>
      </c>
      <c r="AF249" s="20" t="s">
        <v>9</v>
      </c>
      <c r="AG249" s="20" t="s">
        <v>9</v>
      </c>
      <c r="AH249" s="24" t="s">
        <v>9</v>
      </c>
      <c r="AI249" s="23">
        <v>3</v>
      </c>
      <c r="AJ249" s="15" t="s">
        <v>9</v>
      </c>
      <c r="AK249" s="15" t="s">
        <v>9</v>
      </c>
      <c r="AL249" s="25" t="s">
        <v>9</v>
      </c>
      <c r="AM249" s="23">
        <v>3</v>
      </c>
      <c r="AN249" s="20" t="s">
        <v>9</v>
      </c>
      <c r="AO249" s="20" t="s">
        <v>9</v>
      </c>
      <c r="AP249" s="15" t="s">
        <v>9</v>
      </c>
      <c r="AQ249" s="15" t="s">
        <v>9</v>
      </c>
      <c r="AR249" s="15" t="s">
        <v>9</v>
      </c>
      <c r="AS249" s="26" t="s">
        <v>9</v>
      </c>
      <c r="AT249" s="26" t="s">
        <v>9</v>
      </c>
      <c r="AU249" s="26" t="s">
        <v>9</v>
      </c>
      <c r="AV249" s="26" t="s">
        <v>9</v>
      </c>
      <c r="AW249" s="26" t="s">
        <v>9</v>
      </c>
      <c r="AX249" s="26" t="s">
        <v>9</v>
      </c>
      <c r="AY249" s="26" t="s">
        <v>9</v>
      </c>
      <c r="AZ249" s="26" t="s">
        <v>9</v>
      </c>
      <c r="BA249" s="23">
        <v>3</v>
      </c>
      <c r="BB249" s="24" t="s">
        <v>9</v>
      </c>
    </row>
    <row r="250" spans="1:54" x14ac:dyDescent="0.2">
      <c r="A250" s="19">
        <v>376</v>
      </c>
      <c r="B250" s="27" t="s">
        <v>9</v>
      </c>
      <c r="C250" s="27" t="s">
        <v>9</v>
      </c>
      <c r="D250" s="27" t="s">
        <v>9</v>
      </c>
      <c r="E250" s="27" t="s">
        <v>9</v>
      </c>
      <c r="F250" s="27" t="s">
        <v>9</v>
      </c>
      <c r="G250" s="27" t="s">
        <v>9</v>
      </c>
      <c r="H250" s="27" t="s">
        <v>9</v>
      </c>
      <c r="I250" s="27" t="s">
        <v>9</v>
      </c>
      <c r="J250" s="27" t="s">
        <v>9</v>
      </c>
      <c r="K250" s="27" t="s">
        <v>9</v>
      </c>
      <c r="L250" s="27" t="s">
        <v>9</v>
      </c>
      <c r="M250" s="27" t="s">
        <v>9</v>
      </c>
      <c r="N250" s="27" t="s">
        <v>9</v>
      </c>
      <c r="O250" s="27" t="s">
        <v>9</v>
      </c>
      <c r="P250" s="27" t="s">
        <v>9</v>
      </c>
      <c r="Q250" s="27" t="s">
        <v>9</v>
      </c>
      <c r="R250" s="27" t="s">
        <v>9</v>
      </c>
      <c r="S250" s="27" t="s">
        <v>9</v>
      </c>
      <c r="T250" s="27" t="s">
        <v>9</v>
      </c>
      <c r="U250" s="27" t="s">
        <v>9</v>
      </c>
      <c r="V250" s="20" t="s">
        <v>1</v>
      </c>
      <c r="W250" s="20">
        <v>5</v>
      </c>
      <c r="X250" s="20">
        <v>3</v>
      </c>
      <c r="Y250" s="20">
        <v>2</v>
      </c>
      <c r="Z250" s="20">
        <v>4</v>
      </c>
      <c r="AA250" s="23">
        <v>3</v>
      </c>
      <c r="AB250" s="15" t="s">
        <v>9</v>
      </c>
      <c r="AC250" s="15" t="s">
        <v>9</v>
      </c>
      <c r="AD250" s="15" t="s">
        <v>9</v>
      </c>
      <c r="AE250" s="15" t="s">
        <v>9</v>
      </c>
      <c r="AF250" s="20" t="s">
        <v>9</v>
      </c>
      <c r="AG250" s="20" t="s">
        <v>9</v>
      </c>
      <c r="AH250" s="24" t="s">
        <v>9</v>
      </c>
      <c r="AI250" s="23">
        <v>3</v>
      </c>
      <c r="AJ250" s="15" t="s">
        <v>9</v>
      </c>
      <c r="AK250" s="15" t="s">
        <v>9</v>
      </c>
      <c r="AL250" s="25" t="s">
        <v>9</v>
      </c>
      <c r="AM250" s="23">
        <v>3</v>
      </c>
      <c r="AN250" s="20" t="s">
        <v>9</v>
      </c>
      <c r="AO250" s="20" t="s">
        <v>9</v>
      </c>
      <c r="AP250" s="15" t="s">
        <v>9</v>
      </c>
      <c r="AQ250" s="15" t="s">
        <v>9</v>
      </c>
      <c r="AR250" s="15" t="s">
        <v>9</v>
      </c>
      <c r="AS250" s="26" t="s">
        <v>9</v>
      </c>
      <c r="AT250" s="26" t="s">
        <v>9</v>
      </c>
      <c r="AU250" s="26" t="s">
        <v>9</v>
      </c>
      <c r="AV250" s="26" t="s">
        <v>9</v>
      </c>
      <c r="AW250" s="26" t="s">
        <v>9</v>
      </c>
      <c r="AX250" s="26" t="s">
        <v>9</v>
      </c>
      <c r="AY250" s="26" t="s">
        <v>9</v>
      </c>
      <c r="AZ250" s="26" t="s">
        <v>9</v>
      </c>
      <c r="BA250" s="23">
        <v>3</v>
      </c>
      <c r="BB250" s="24" t="s">
        <v>9</v>
      </c>
    </row>
    <row r="251" spans="1:54" x14ac:dyDescent="0.2">
      <c r="A251" s="19">
        <v>381</v>
      </c>
      <c r="B251" s="27" t="s">
        <v>9</v>
      </c>
      <c r="C251" s="27" t="s">
        <v>9</v>
      </c>
      <c r="D251" s="27" t="s">
        <v>9</v>
      </c>
      <c r="E251" s="27" t="s">
        <v>9</v>
      </c>
      <c r="F251" s="27" t="s">
        <v>9</v>
      </c>
      <c r="G251" s="27" t="s">
        <v>9</v>
      </c>
      <c r="H251" s="27" t="s">
        <v>9</v>
      </c>
      <c r="I251" s="27" t="s">
        <v>9</v>
      </c>
      <c r="J251" s="27" t="s">
        <v>9</v>
      </c>
      <c r="K251" s="27" t="s">
        <v>9</v>
      </c>
      <c r="L251" s="27" t="s">
        <v>9</v>
      </c>
      <c r="M251" s="27" t="s">
        <v>9</v>
      </c>
      <c r="N251" s="27" t="s">
        <v>9</v>
      </c>
      <c r="O251" s="27" t="s">
        <v>9</v>
      </c>
      <c r="P251" s="27" t="s">
        <v>9</v>
      </c>
      <c r="Q251" s="27" t="s">
        <v>9</v>
      </c>
      <c r="R251" s="27" t="s">
        <v>9</v>
      </c>
      <c r="S251" s="27" t="s">
        <v>9</v>
      </c>
      <c r="T251" s="27" t="s">
        <v>9</v>
      </c>
      <c r="U251" s="27" t="s">
        <v>9</v>
      </c>
      <c r="V251" s="20" t="s">
        <v>1</v>
      </c>
      <c r="W251" s="20">
        <v>5</v>
      </c>
      <c r="X251" s="20">
        <v>3</v>
      </c>
      <c r="Y251" s="20">
        <v>2</v>
      </c>
      <c r="Z251" s="20">
        <v>4</v>
      </c>
      <c r="AA251" s="23">
        <v>3</v>
      </c>
      <c r="AB251" s="15" t="s">
        <v>9</v>
      </c>
      <c r="AC251" s="15" t="s">
        <v>9</v>
      </c>
      <c r="AD251" s="15" t="s">
        <v>9</v>
      </c>
      <c r="AE251" s="15" t="s">
        <v>9</v>
      </c>
      <c r="AF251" s="20" t="s">
        <v>9</v>
      </c>
      <c r="AG251" s="20" t="s">
        <v>9</v>
      </c>
      <c r="AH251" s="24" t="s">
        <v>9</v>
      </c>
      <c r="AI251" s="23">
        <v>3</v>
      </c>
      <c r="AJ251" s="15" t="s">
        <v>9</v>
      </c>
      <c r="AK251" s="15" t="s">
        <v>9</v>
      </c>
      <c r="AL251" s="25" t="s">
        <v>9</v>
      </c>
      <c r="AM251" s="23">
        <v>3</v>
      </c>
      <c r="AN251" s="20" t="s">
        <v>9</v>
      </c>
      <c r="AO251" s="20" t="s">
        <v>9</v>
      </c>
      <c r="AP251" s="15" t="s">
        <v>9</v>
      </c>
      <c r="AQ251" s="15" t="s">
        <v>9</v>
      </c>
      <c r="AR251" s="15" t="s">
        <v>9</v>
      </c>
      <c r="AS251" s="26" t="s">
        <v>9</v>
      </c>
      <c r="AT251" s="26" t="s">
        <v>9</v>
      </c>
      <c r="AU251" s="26" t="s">
        <v>9</v>
      </c>
      <c r="AV251" s="26" t="s">
        <v>9</v>
      </c>
      <c r="AW251" s="26" t="s">
        <v>9</v>
      </c>
      <c r="AX251" s="26" t="s">
        <v>9</v>
      </c>
      <c r="AY251" s="26" t="s">
        <v>9</v>
      </c>
      <c r="AZ251" s="26" t="s">
        <v>9</v>
      </c>
      <c r="BA251" s="23">
        <v>3</v>
      </c>
      <c r="BB251" s="24" t="s">
        <v>9</v>
      </c>
    </row>
    <row r="252" spans="1:54" x14ac:dyDescent="0.2">
      <c r="A252" s="19">
        <v>408</v>
      </c>
      <c r="B252" s="27" t="s">
        <v>9</v>
      </c>
      <c r="C252" s="27" t="s">
        <v>9</v>
      </c>
      <c r="D252" s="27" t="s">
        <v>9</v>
      </c>
      <c r="E252" s="27" t="s">
        <v>9</v>
      </c>
      <c r="F252" s="27" t="s">
        <v>9</v>
      </c>
      <c r="G252" s="27" t="s">
        <v>9</v>
      </c>
      <c r="H252" s="27" t="s">
        <v>9</v>
      </c>
      <c r="I252" s="27" t="s">
        <v>9</v>
      </c>
      <c r="J252" s="27" t="s">
        <v>9</v>
      </c>
      <c r="K252" s="27" t="s">
        <v>9</v>
      </c>
      <c r="L252" s="27" t="s">
        <v>9</v>
      </c>
      <c r="M252" s="27" t="s">
        <v>9</v>
      </c>
      <c r="N252" s="27" t="s">
        <v>9</v>
      </c>
      <c r="O252" s="27" t="s">
        <v>9</v>
      </c>
      <c r="P252" s="27" t="s">
        <v>9</v>
      </c>
      <c r="Q252" s="27" t="s">
        <v>9</v>
      </c>
      <c r="R252" s="27" t="s">
        <v>9</v>
      </c>
      <c r="S252" s="27" t="s">
        <v>9</v>
      </c>
      <c r="T252" s="27" t="s">
        <v>9</v>
      </c>
      <c r="U252" s="27" t="s">
        <v>9</v>
      </c>
      <c r="V252" s="20" t="s">
        <v>1</v>
      </c>
      <c r="W252" s="20">
        <v>5</v>
      </c>
      <c r="X252" s="20">
        <v>3</v>
      </c>
      <c r="Y252" s="20">
        <v>2</v>
      </c>
      <c r="Z252" s="20">
        <v>4</v>
      </c>
      <c r="AA252" s="23">
        <v>3</v>
      </c>
      <c r="AB252" s="15" t="s">
        <v>9</v>
      </c>
      <c r="AC252" s="15" t="s">
        <v>9</v>
      </c>
      <c r="AD252" s="15" t="s">
        <v>9</v>
      </c>
      <c r="AE252" s="15" t="s">
        <v>9</v>
      </c>
      <c r="AF252" s="20" t="s">
        <v>9</v>
      </c>
      <c r="AG252" s="20" t="s">
        <v>9</v>
      </c>
      <c r="AH252" s="24" t="s">
        <v>9</v>
      </c>
      <c r="AI252" s="23">
        <v>3</v>
      </c>
      <c r="AJ252" s="15" t="s">
        <v>9</v>
      </c>
      <c r="AK252" s="15" t="s">
        <v>9</v>
      </c>
      <c r="AL252" s="25" t="s">
        <v>9</v>
      </c>
      <c r="AM252" s="23">
        <v>3</v>
      </c>
      <c r="AN252" s="20" t="s">
        <v>9</v>
      </c>
      <c r="AO252" s="20" t="s">
        <v>9</v>
      </c>
      <c r="AP252" s="15" t="s">
        <v>9</v>
      </c>
      <c r="AQ252" s="15" t="s">
        <v>9</v>
      </c>
      <c r="AR252" s="15" t="s">
        <v>9</v>
      </c>
      <c r="AS252" s="26" t="s">
        <v>9</v>
      </c>
      <c r="AT252" s="26" t="s">
        <v>9</v>
      </c>
      <c r="AU252" s="26" t="s">
        <v>9</v>
      </c>
      <c r="AV252" s="26" t="s">
        <v>9</v>
      </c>
      <c r="AW252" s="26" t="s">
        <v>9</v>
      </c>
      <c r="AX252" s="26" t="s">
        <v>9</v>
      </c>
      <c r="AY252" s="26" t="s">
        <v>9</v>
      </c>
      <c r="AZ252" s="26" t="s">
        <v>9</v>
      </c>
      <c r="BA252" s="23">
        <v>3</v>
      </c>
      <c r="BB252" s="24" t="s">
        <v>9</v>
      </c>
    </row>
    <row r="253" spans="1:54" x14ac:dyDescent="0.2">
      <c r="A253" s="19">
        <v>409</v>
      </c>
      <c r="B253" s="27" t="s">
        <v>9</v>
      </c>
      <c r="C253" s="27" t="s">
        <v>9</v>
      </c>
      <c r="D253" s="27" t="s">
        <v>9</v>
      </c>
      <c r="E253" s="27" t="s">
        <v>9</v>
      </c>
      <c r="F253" s="27" t="s">
        <v>9</v>
      </c>
      <c r="G253" s="27" t="s">
        <v>9</v>
      </c>
      <c r="H253" s="27" t="s">
        <v>9</v>
      </c>
      <c r="I253" s="27" t="s">
        <v>9</v>
      </c>
      <c r="J253" s="27" t="s">
        <v>9</v>
      </c>
      <c r="K253" s="27" t="s">
        <v>9</v>
      </c>
      <c r="L253" s="27" t="s">
        <v>9</v>
      </c>
      <c r="M253" s="27" t="s">
        <v>9</v>
      </c>
      <c r="N253" s="27" t="s">
        <v>9</v>
      </c>
      <c r="O253" s="27" t="s">
        <v>9</v>
      </c>
      <c r="P253" s="27" t="s">
        <v>9</v>
      </c>
      <c r="Q253" s="27" t="s">
        <v>9</v>
      </c>
      <c r="R253" s="27" t="s">
        <v>9</v>
      </c>
      <c r="S253" s="27" t="s">
        <v>9</v>
      </c>
      <c r="T253" s="27" t="s">
        <v>9</v>
      </c>
      <c r="U253" s="27" t="s">
        <v>9</v>
      </c>
      <c r="V253" s="20" t="s">
        <v>1</v>
      </c>
      <c r="W253" s="20">
        <v>5</v>
      </c>
      <c r="X253" s="20">
        <v>3</v>
      </c>
      <c r="Y253" s="20">
        <v>2</v>
      </c>
      <c r="Z253" s="20">
        <v>4</v>
      </c>
      <c r="AA253" s="23">
        <v>3</v>
      </c>
      <c r="AB253" s="15" t="s">
        <v>9</v>
      </c>
      <c r="AC253" s="15" t="s">
        <v>9</v>
      </c>
      <c r="AD253" s="15" t="s">
        <v>9</v>
      </c>
      <c r="AE253" s="15" t="s">
        <v>9</v>
      </c>
      <c r="AF253" s="20" t="s">
        <v>9</v>
      </c>
      <c r="AG253" s="20" t="s">
        <v>9</v>
      </c>
      <c r="AH253" s="24" t="s">
        <v>9</v>
      </c>
      <c r="AI253" s="23">
        <v>3</v>
      </c>
      <c r="AJ253" s="15" t="s">
        <v>9</v>
      </c>
      <c r="AK253" s="15" t="s">
        <v>9</v>
      </c>
      <c r="AL253" s="25" t="s">
        <v>9</v>
      </c>
      <c r="AM253" s="23">
        <v>3</v>
      </c>
      <c r="AN253" s="20" t="s">
        <v>9</v>
      </c>
      <c r="AO253" s="20" t="s">
        <v>9</v>
      </c>
      <c r="AP253" s="15" t="s">
        <v>9</v>
      </c>
      <c r="AQ253" s="15" t="s">
        <v>9</v>
      </c>
      <c r="AR253" s="15" t="s">
        <v>9</v>
      </c>
      <c r="AS253" s="26" t="s">
        <v>9</v>
      </c>
      <c r="AT253" s="26" t="s">
        <v>9</v>
      </c>
      <c r="AU253" s="26" t="s">
        <v>9</v>
      </c>
      <c r="AV253" s="26" t="s">
        <v>9</v>
      </c>
      <c r="AW253" s="26" t="s">
        <v>9</v>
      </c>
      <c r="AX253" s="26" t="s">
        <v>9</v>
      </c>
      <c r="AY253" s="26" t="s">
        <v>9</v>
      </c>
      <c r="AZ253" s="26" t="s">
        <v>9</v>
      </c>
      <c r="BA253" s="23">
        <v>3</v>
      </c>
      <c r="BB253" s="24" t="s">
        <v>9</v>
      </c>
    </row>
    <row r="254" spans="1:54" x14ac:dyDescent="0.2">
      <c r="A254" s="19">
        <v>419</v>
      </c>
      <c r="B254" s="27" t="s">
        <v>9</v>
      </c>
      <c r="C254" s="27" t="s">
        <v>9</v>
      </c>
      <c r="D254" s="27" t="s">
        <v>9</v>
      </c>
      <c r="E254" s="27" t="s">
        <v>9</v>
      </c>
      <c r="F254" s="27" t="s">
        <v>9</v>
      </c>
      <c r="G254" s="27" t="s">
        <v>9</v>
      </c>
      <c r="H254" s="27" t="s">
        <v>9</v>
      </c>
      <c r="I254" s="27" t="s">
        <v>9</v>
      </c>
      <c r="J254" s="27" t="s">
        <v>9</v>
      </c>
      <c r="K254" s="27" t="s">
        <v>9</v>
      </c>
      <c r="L254" s="27" t="s">
        <v>9</v>
      </c>
      <c r="M254" s="27" t="s">
        <v>9</v>
      </c>
      <c r="N254" s="27" t="s">
        <v>9</v>
      </c>
      <c r="O254" s="27" t="s">
        <v>9</v>
      </c>
      <c r="P254" s="27" t="s">
        <v>9</v>
      </c>
      <c r="Q254" s="27" t="s">
        <v>9</v>
      </c>
      <c r="R254" s="27" t="s">
        <v>9</v>
      </c>
      <c r="S254" s="27" t="s">
        <v>9</v>
      </c>
      <c r="T254" s="27" t="s">
        <v>9</v>
      </c>
      <c r="U254" s="27" t="s">
        <v>9</v>
      </c>
      <c r="V254" s="20" t="s">
        <v>1</v>
      </c>
      <c r="W254" s="20">
        <v>5</v>
      </c>
      <c r="X254" s="20">
        <v>3</v>
      </c>
      <c r="Y254" s="20">
        <v>2</v>
      </c>
      <c r="Z254" s="20">
        <v>4</v>
      </c>
      <c r="AA254" s="23">
        <v>3</v>
      </c>
      <c r="AB254" s="15" t="s">
        <v>9</v>
      </c>
      <c r="AC254" s="15" t="s">
        <v>9</v>
      </c>
      <c r="AD254" s="15" t="s">
        <v>9</v>
      </c>
      <c r="AE254" s="15" t="s">
        <v>9</v>
      </c>
      <c r="AF254" s="20" t="s">
        <v>9</v>
      </c>
      <c r="AG254" s="20" t="s">
        <v>9</v>
      </c>
      <c r="AH254" s="24" t="s">
        <v>9</v>
      </c>
      <c r="AI254" s="23">
        <v>3</v>
      </c>
      <c r="AJ254" s="15" t="s">
        <v>9</v>
      </c>
      <c r="AK254" s="15" t="s">
        <v>9</v>
      </c>
      <c r="AL254" s="25" t="s">
        <v>9</v>
      </c>
      <c r="AM254" s="23">
        <v>3</v>
      </c>
      <c r="AN254" s="20" t="s">
        <v>9</v>
      </c>
      <c r="AO254" s="20" t="s">
        <v>9</v>
      </c>
      <c r="AP254" s="15" t="s">
        <v>9</v>
      </c>
      <c r="AQ254" s="15" t="s">
        <v>9</v>
      </c>
      <c r="AR254" s="15" t="s">
        <v>9</v>
      </c>
      <c r="AS254" s="26" t="s">
        <v>9</v>
      </c>
      <c r="AT254" s="26" t="s">
        <v>9</v>
      </c>
      <c r="AU254" s="26" t="s">
        <v>9</v>
      </c>
      <c r="AV254" s="26" t="s">
        <v>9</v>
      </c>
      <c r="AW254" s="26" t="s">
        <v>9</v>
      </c>
      <c r="AX254" s="26" t="s">
        <v>9</v>
      </c>
      <c r="AY254" s="26" t="s">
        <v>9</v>
      </c>
      <c r="AZ254" s="26" t="s">
        <v>9</v>
      </c>
      <c r="BA254" s="23">
        <v>3</v>
      </c>
      <c r="BB254" s="24" t="s">
        <v>9</v>
      </c>
    </row>
    <row r="255" spans="1:54" x14ac:dyDescent="0.2">
      <c r="A255" s="19">
        <v>474</v>
      </c>
      <c r="B255" s="27" t="s">
        <v>9</v>
      </c>
      <c r="C255" s="27" t="s">
        <v>9</v>
      </c>
      <c r="D255" s="27" t="s">
        <v>9</v>
      </c>
      <c r="E255" s="27" t="s">
        <v>9</v>
      </c>
      <c r="F255" s="27" t="s">
        <v>9</v>
      </c>
      <c r="G255" s="27" t="s">
        <v>9</v>
      </c>
      <c r="H255" s="27" t="s">
        <v>9</v>
      </c>
      <c r="I255" s="27" t="s">
        <v>9</v>
      </c>
      <c r="J255" s="27" t="s">
        <v>9</v>
      </c>
      <c r="K255" s="27" t="s">
        <v>9</v>
      </c>
      <c r="L255" s="27" t="s">
        <v>9</v>
      </c>
      <c r="M255" s="27" t="s">
        <v>9</v>
      </c>
      <c r="N255" s="27" t="s">
        <v>9</v>
      </c>
      <c r="O255" s="27" t="s">
        <v>9</v>
      </c>
      <c r="P255" s="27" t="s">
        <v>9</v>
      </c>
      <c r="Q255" s="27" t="s">
        <v>9</v>
      </c>
      <c r="R255" s="27" t="s">
        <v>9</v>
      </c>
      <c r="S255" s="27" t="s">
        <v>9</v>
      </c>
      <c r="T255" s="27" t="s">
        <v>9</v>
      </c>
      <c r="U255" s="27" t="s">
        <v>9</v>
      </c>
      <c r="V255" s="20" t="s">
        <v>1</v>
      </c>
      <c r="W255" s="20">
        <v>5</v>
      </c>
      <c r="X255" s="20">
        <v>3</v>
      </c>
      <c r="Y255" s="20">
        <v>2</v>
      </c>
      <c r="Z255" s="20">
        <v>4</v>
      </c>
      <c r="AA255" s="23">
        <v>3</v>
      </c>
      <c r="AB255" s="15" t="s">
        <v>9</v>
      </c>
      <c r="AC255" s="15" t="s">
        <v>9</v>
      </c>
      <c r="AD255" s="15" t="s">
        <v>9</v>
      </c>
      <c r="AE255" s="15" t="s">
        <v>9</v>
      </c>
      <c r="AF255" s="20" t="s">
        <v>9</v>
      </c>
      <c r="AG255" s="20" t="s">
        <v>9</v>
      </c>
      <c r="AH255" s="24" t="s">
        <v>9</v>
      </c>
      <c r="AI255" s="23">
        <v>3</v>
      </c>
      <c r="AJ255" s="15" t="s">
        <v>9</v>
      </c>
      <c r="AK255" s="15" t="s">
        <v>9</v>
      </c>
      <c r="AL255" s="25" t="s">
        <v>9</v>
      </c>
      <c r="AM255" s="23">
        <v>3</v>
      </c>
      <c r="AN255" s="20" t="s">
        <v>9</v>
      </c>
      <c r="AO255" s="20" t="s">
        <v>9</v>
      </c>
      <c r="AP255" s="15" t="s">
        <v>9</v>
      </c>
      <c r="AQ255" s="15" t="s">
        <v>9</v>
      </c>
      <c r="AR255" s="15" t="s">
        <v>9</v>
      </c>
      <c r="AS255" s="26" t="s">
        <v>9</v>
      </c>
      <c r="AT255" s="26" t="s">
        <v>9</v>
      </c>
      <c r="AU255" s="26" t="s">
        <v>9</v>
      </c>
      <c r="AV255" s="26" t="s">
        <v>9</v>
      </c>
      <c r="AW255" s="26" t="s">
        <v>9</v>
      </c>
      <c r="AX255" s="26" t="s">
        <v>9</v>
      </c>
      <c r="AY255" s="26" t="s">
        <v>9</v>
      </c>
      <c r="AZ255" s="26" t="s">
        <v>9</v>
      </c>
      <c r="BA255" s="23">
        <v>3</v>
      </c>
      <c r="BB255" s="24" t="s">
        <v>9</v>
      </c>
    </row>
    <row r="256" spans="1:54" x14ac:dyDescent="0.2">
      <c r="A256" s="19">
        <v>476</v>
      </c>
      <c r="B256" s="27" t="s">
        <v>9</v>
      </c>
      <c r="C256" s="27" t="s">
        <v>9</v>
      </c>
      <c r="D256" s="27" t="s">
        <v>9</v>
      </c>
      <c r="E256" s="27" t="s">
        <v>9</v>
      </c>
      <c r="F256" s="27" t="s">
        <v>9</v>
      </c>
      <c r="G256" s="27" t="s">
        <v>9</v>
      </c>
      <c r="H256" s="27" t="s">
        <v>9</v>
      </c>
      <c r="I256" s="27" t="s">
        <v>9</v>
      </c>
      <c r="J256" s="27" t="s">
        <v>9</v>
      </c>
      <c r="K256" s="27" t="s">
        <v>9</v>
      </c>
      <c r="L256" s="27" t="s">
        <v>9</v>
      </c>
      <c r="M256" s="27" t="s">
        <v>9</v>
      </c>
      <c r="N256" s="27" t="s">
        <v>9</v>
      </c>
      <c r="O256" s="27" t="s">
        <v>9</v>
      </c>
      <c r="P256" s="27" t="s">
        <v>9</v>
      </c>
      <c r="Q256" s="27" t="s">
        <v>9</v>
      </c>
      <c r="R256" s="27" t="s">
        <v>9</v>
      </c>
      <c r="S256" s="27" t="s">
        <v>9</v>
      </c>
      <c r="T256" s="27" t="s">
        <v>9</v>
      </c>
      <c r="U256" s="27" t="s">
        <v>9</v>
      </c>
      <c r="V256" s="20" t="s">
        <v>1</v>
      </c>
      <c r="W256" s="20">
        <v>5</v>
      </c>
      <c r="X256" s="20">
        <v>3</v>
      </c>
      <c r="Y256" s="20">
        <v>2</v>
      </c>
      <c r="Z256" s="20">
        <v>4</v>
      </c>
      <c r="AA256" s="23">
        <v>3</v>
      </c>
      <c r="AB256" s="15" t="s">
        <v>9</v>
      </c>
      <c r="AC256" s="15" t="s">
        <v>9</v>
      </c>
      <c r="AD256" s="15" t="s">
        <v>9</v>
      </c>
      <c r="AE256" s="15" t="s">
        <v>9</v>
      </c>
      <c r="AF256" s="20" t="s">
        <v>9</v>
      </c>
      <c r="AG256" s="20" t="s">
        <v>9</v>
      </c>
      <c r="AH256" s="24" t="s">
        <v>9</v>
      </c>
      <c r="AI256" s="23">
        <v>3</v>
      </c>
      <c r="AJ256" s="15" t="s">
        <v>9</v>
      </c>
      <c r="AK256" s="15" t="s">
        <v>9</v>
      </c>
      <c r="AL256" s="25" t="s">
        <v>9</v>
      </c>
      <c r="AM256" s="23">
        <v>3</v>
      </c>
      <c r="AN256" s="20" t="s">
        <v>9</v>
      </c>
      <c r="AO256" s="20" t="s">
        <v>9</v>
      </c>
      <c r="AP256" s="15" t="s">
        <v>9</v>
      </c>
      <c r="AQ256" s="15" t="s">
        <v>9</v>
      </c>
      <c r="AR256" s="15" t="s">
        <v>9</v>
      </c>
      <c r="AS256" s="26" t="s">
        <v>9</v>
      </c>
      <c r="AT256" s="26" t="s">
        <v>9</v>
      </c>
      <c r="AU256" s="26" t="s">
        <v>9</v>
      </c>
      <c r="AV256" s="26" t="s">
        <v>9</v>
      </c>
      <c r="AW256" s="26" t="s">
        <v>9</v>
      </c>
      <c r="AX256" s="26" t="s">
        <v>9</v>
      </c>
      <c r="AY256" s="26" t="s">
        <v>9</v>
      </c>
      <c r="AZ256" s="26" t="s">
        <v>9</v>
      </c>
      <c r="BA256" s="23">
        <v>3</v>
      </c>
      <c r="BB256" s="24" t="s">
        <v>9</v>
      </c>
    </row>
    <row r="257" spans="1:54" x14ac:dyDescent="0.2">
      <c r="A257" s="19">
        <v>483</v>
      </c>
      <c r="B257" s="27" t="s">
        <v>9</v>
      </c>
      <c r="C257" s="27" t="s">
        <v>9</v>
      </c>
      <c r="D257" s="27" t="s">
        <v>9</v>
      </c>
      <c r="E257" s="27" t="s">
        <v>9</v>
      </c>
      <c r="F257" s="27" t="s">
        <v>9</v>
      </c>
      <c r="G257" s="27" t="s">
        <v>9</v>
      </c>
      <c r="H257" s="27" t="s">
        <v>9</v>
      </c>
      <c r="I257" s="27" t="s">
        <v>9</v>
      </c>
      <c r="J257" s="27" t="s">
        <v>9</v>
      </c>
      <c r="K257" s="27" t="s">
        <v>9</v>
      </c>
      <c r="L257" s="27" t="s">
        <v>9</v>
      </c>
      <c r="M257" s="27" t="s">
        <v>9</v>
      </c>
      <c r="N257" s="27" t="s">
        <v>9</v>
      </c>
      <c r="O257" s="27" t="s">
        <v>9</v>
      </c>
      <c r="P257" s="27" t="s">
        <v>9</v>
      </c>
      <c r="Q257" s="27" t="s">
        <v>9</v>
      </c>
      <c r="R257" s="27" t="s">
        <v>9</v>
      </c>
      <c r="S257" s="27" t="s">
        <v>9</v>
      </c>
      <c r="T257" s="27" t="s">
        <v>9</v>
      </c>
      <c r="U257" s="27" t="s">
        <v>9</v>
      </c>
      <c r="V257" s="20" t="s">
        <v>1</v>
      </c>
      <c r="W257" s="20">
        <v>5</v>
      </c>
      <c r="X257" s="20">
        <v>3</v>
      </c>
      <c r="Y257" s="20">
        <v>2</v>
      </c>
      <c r="Z257" s="20">
        <v>4</v>
      </c>
      <c r="AA257" s="23">
        <v>3</v>
      </c>
      <c r="AB257" s="15" t="s">
        <v>9</v>
      </c>
      <c r="AC257" s="15" t="s">
        <v>9</v>
      </c>
      <c r="AD257" s="15" t="s">
        <v>9</v>
      </c>
      <c r="AE257" s="15" t="s">
        <v>9</v>
      </c>
      <c r="AF257" s="20" t="s">
        <v>9</v>
      </c>
      <c r="AG257" s="20" t="s">
        <v>9</v>
      </c>
      <c r="AH257" s="24" t="s">
        <v>9</v>
      </c>
      <c r="AI257" s="23">
        <v>3</v>
      </c>
      <c r="AJ257" s="15" t="s">
        <v>9</v>
      </c>
      <c r="AK257" s="15" t="s">
        <v>9</v>
      </c>
      <c r="AL257" s="25" t="s">
        <v>9</v>
      </c>
      <c r="AM257" s="23">
        <v>3</v>
      </c>
      <c r="AN257" s="20" t="s">
        <v>9</v>
      </c>
      <c r="AO257" s="20" t="s">
        <v>9</v>
      </c>
      <c r="AP257" s="15" t="s">
        <v>9</v>
      </c>
      <c r="AQ257" s="15" t="s">
        <v>9</v>
      </c>
      <c r="AR257" s="15" t="s">
        <v>9</v>
      </c>
      <c r="AS257" s="26" t="s">
        <v>9</v>
      </c>
      <c r="AT257" s="26" t="s">
        <v>9</v>
      </c>
      <c r="AU257" s="26" t="s">
        <v>9</v>
      </c>
      <c r="AV257" s="26" t="s">
        <v>9</v>
      </c>
      <c r="AW257" s="26" t="s">
        <v>9</v>
      </c>
      <c r="AX257" s="26" t="s">
        <v>9</v>
      </c>
      <c r="AY257" s="26" t="s">
        <v>9</v>
      </c>
      <c r="AZ257" s="26" t="s">
        <v>9</v>
      </c>
      <c r="BA257" s="23">
        <v>3</v>
      </c>
      <c r="BB257" s="24" t="s">
        <v>9</v>
      </c>
    </row>
    <row r="258" spans="1:54" x14ac:dyDescent="0.2">
      <c r="A258" s="19">
        <v>495</v>
      </c>
      <c r="B258" s="27" t="s">
        <v>9</v>
      </c>
      <c r="C258" s="27" t="s">
        <v>9</v>
      </c>
      <c r="D258" s="27" t="s">
        <v>9</v>
      </c>
      <c r="E258" s="27" t="s">
        <v>9</v>
      </c>
      <c r="F258" s="27" t="s">
        <v>9</v>
      </c>
      <c r="G258" s="27" t="s">
        <v>9</v>
      </c>
      <c r="H258" s="27" t="s">
        <v>9</v>
      </c>
      <c r="I258" s="27" t="s">
        <v>9</v>
      </c>
      <c r="J258" s="27" t="s">
        <v>9</v>
      </c>
      <c r="K258" s="27" t="s">
        <v>9</v>
      </c>
      <c r="L258" s="27" t="s">
        <v>9</v>
      </c>
      <c r="M258" s="27" t="s">
        <v>9</v>
      </c>
      <c r="N258" s="27" t="s">
        <v>9</v>
      </c>
      <c r="O258" s="27" t="s">
        <v>9</v>
      </c>
      <c r="P258" s="27" t="s">
        <v>9</v>
      </c>
      <c r="Q258" s="27" t="s">
        <v>9</v>
      </c>
      <c r="R258" s="27" t="s">
        <v>9</v>
      </c>
      <c r="S258" s="27" t="s">
        <v>9</v>
      </c>
      <c r="T258" s="27" t="s">
        <v>9</v>
      </c>
      <c r="U258" s="27" t="s">
        <v>9</v>
      </c>
      <c r="V258" s="20" t="s">
        <v>1</v>
      </c>
      <c r="W258" s="20">
        <v>5</v>
      </c>
      <c r="X258" s="20">
        <v>3</v>
      </c>
      <c r="Y258" s="20">
        <v>2</v>
      </c>
      <c r="Z258" s="20">
        <v>4</v>
      </c>
      <c r="AA258" s="23">
        <v>3</v>
      </c>
      <c r="AB258" s="15" t="s">
        <v>9</v>
      </c>
      <c r="AC258" s="15" t="s">
        <v>9</v>
      </c>
      <c r="AD258" s="15" t="s">
        <v>9</v>
      </c>
      <c r="AE258" s="15" t="s">
        <v>9</v>
      </c>
      <c r="AF258" s="20" t="s">
        <v>9</v>
      </c>
      <c r="AG258" s="20" t="s">
        <v>9</v>
      </c>
      <c r="AH258" s="24" t="s">
        <v>9</v>
      </c>
      <c r="AI258" s="23">
        <v>3</v>
      </c>
      <c r="AJ258" s="15" t="s">
        <v>9</v>
      </c>
      <c r="AK258" s="15" t="s">
        <v>9</v>
      </c>
      <c r="AL258" s="25" t="s">
        <v>9</v>
      </c>
      <c r="AM258" s="23">
        <v>3</v>
      </c>
      <c r="AN258" s="20" t="s">
        <v>9</v>
      </c>
      <c r="AO258" s="20" t="s">
        <v>9</v>
      </c>
      <c r="AP258" s="15" t="s">
        <v>9</v>
      </c>
      <c r="AQ258" s="15" t="s">
        <v>9</v>
      </c>
      <c r="AR258" s="15" t="s">
        <v>9</v>
      </c>
      <c r="AS258" s="26" t="s">
        <v>9</v>
      </c>
      <c r="AT258" s="26" t="s">
        <v>9</v>
      </c>
      <c r="AU258" s="26" t="s">
        <v>9</v>
      </c>
      <c r="AV258" s="26" t="s">
        <v>9</v>
      </c>
      <c r="AW258" s="26" t="s">
        <v>9</v>
      </c>
      <c r="AX258" s="26" t="s">
        <v>9</v>
      </c>
      <c r="AY258" s="26" t="s">
        <v>9</v>
      </c>
      <c r="AZ258" s="26" t="s">
        <v>9</v>
      </c>
      <c r="BA258" s="23">
        <v>3</v>
      </c>
      <c r="BB258" s="24" t="s">
        <v>9</v>
      </c>
    </row>
    <row r="259" spans="1:54" x14ac:dyDescent="0.2">
      <c r="A259" s="19">
        <v>520</v>
      </c>
      <c r="B259" s="27" t="s">
        <v>9</v>
      </c>
      <c r="C259" s="27" t="s">
        <v>9</v>
      </c>
      <c r="D259" s="27" t="s">
        <v>9</v>
      </c>
      <c r="E259" s="27" t="s">
        <v>9</v>
      </c>
      <c r="F259" s="27" t="s">
        <v>9</v>
      </c>
      <c r="G259" s="27" t="s">
        <v>9</v>
      </c>
      <c r="H259" s="27" t="s">
        <v>9</v>
      </c>
      <c r="I259" s="27" t="s">
        <v>9</v>
      </c>
      <c r="J259" s="27" t="s">
        <v>9</v>
      </c>
      <c r="K259" s="27" t="s">
        <v>9</v>
      </c>
      <c r="L259" s="27" t="s">
        <v>9</v>
      </c>
      <c r="M259" s="27" t="s">
        <v>9</v>
      </c>
      <c r="N259" s="27" t="s">
        <v>9</v>
      </c>
      <c r="O259" s="27" t="s">
        <v>9</v>
      </c>
      <c r="P259" s="27" t="s">
        <v>9</v>
      </c>
      <c r="Q259" s="27" t="s">
        <v>9</v>
      </c>
      <c r="R259" s="27" t="s">
        <v>9</v>
      </c>
      <c r="S259" s="27" t="s">
        <v>9</v>
      </c>
      <c r="T259" s="27" t="s">
        <v>9</v>
      </c>
      <c r="U259" s="27" t="s">
        <v>9</v>
      </c>
      <c r="V259" s="20" t="s">
        <v>1</v>
      </c>
      <c r="W259" s="20">
        <v>5</v>
      </c>
      <c r="X259" s="20">
        <v>3</v>
      </c>
      <c r="Y259" s="20">
        <v>2</v>
      </c>
      <c r="Z259" s="20">
        <v>4</v>
      </c>
      <c r="AA259" s="23">
        <v>3</v>
      </c>
      <c r="AB259" s="15" t="s">
        <v>9</v>
      </c>
      <c r="AC259" s="15" t="s">
        <v>9</v>
      </c>
      <c r="AD259" s="15" t="s">
        <v>9</v>
      </c>
      <c r="AE259" s="15" t="s">
        <v>9</v>
      </c>
      <c r="AF259" s="20" t="s">
        <v>9</v>
      </c>
      <c r="AG259" s="20" t="s">
        <v>9</v>
      </c>
      <c r="AH259" s="24" t="s">
        <v>9</v>
      </c>
      <c r="AI259" s="23">
        <v>3</v>
      </c>
      <c r="AJ259" s="15" t="s">
        <v>9</v>
      </c>
      <c r="AK259" s="15" t="s">
        <v>9</v>
      </c>
      <c r="AL259" s="25" t="s">
        <v>9</v>
      </c>
      <c r="AM259" s="23">
        <v>3</v>
      </c>
      <c r="AN259" s="20" t="s">
        <v>9</v>
      </c>
      <c r="AO259" s="20" t="s">
        <v>9</v>
      </c>
      <c r="AP259" s="15" t="s">
        <v>9</v>
      </c>
      <c r="AQ259" s="15" t="s">
        <v>9</v>
      </c>
      <c r="AR259" s="15" t="s">
        <v>9</v>
      </c>
      <c r="AS259" s="26" t="s">
        <v>9</v>
      </c>
      <c r="AT259" s="26" t="s">
        <v>9</v>
      </c>
      <c r="AU259" s="26" t="s">
        <v>9</v>
      </c>
      <c r="AV259" s="26" t="s">
        <v>9</v>
      </c>
      <c r="AW259" s="26" t="s">
        <v>9</v>
      </c>
      <c r="AX259" s="26" t="s">
        <v>9</v>
      </c>
      <c r="AY259" s="26" t="s">
        <v>9</v>
      </c>
      <c r="AZ259" s="26" t="s">
        <v>9</v>
      </c>
      <c r="BA259" s="23">
        <v>3</v>
      </c>
      <c r="BB259" s="24" t="s">
        <v>9</v>
      </c>
    </row>
    <row r="260" spans="1:54" x14ac:dyDescent="0.2">
      <c r="A260" s="19">
        <v>528</v>
      </c>
      <c r="B260" s="27" t="s">
        <v>9</v>
      </c>
      <c r="C260" s="27" t="s">
        <v>9</v>
      </c>
      <c r="D260" s="27" t="s">
        <v>9</v>
      </c>
      <c r="E260" s="27" t="s">
        <v>9</v>
      </c>
      <c r="F260" s="27" t="s">
        <v>9</v>
      </c>
      <c r="G260" s="27" t="s">
        <v>9</v>
      </c>
      <c r="H260" s="27" t="s">
        <v>9</v>
      </c>
      <c r="I260" s="27" t="s">
        <v>9</v>
      </c>
      <c r="J260" s="27" t="s">
        <v>9</v>
      </c>
      <c r="K260" s="27" t="s">
        <v>9</v>
      </c>
      <c r="L260" s="27" t="s">
        <v>9</v>
      </c>
      <c r="M260" s="27" t="s">
        <v>9</v>
      </c>
      <c r="N260" s="27" t="s">
        <v>9</v>
      </c>
      <c r="O260" s="27" t="s">
        <v>9</v>
      </c>
      <c r="P260" s="27" t="s">
        <v>9</v>
      </c>
      <c r="Q260" s="27" t="s">
        <v>9</v>
      </c>
      <c r="R260" s="27" t="s">
        <v>9</v>
      </c>
      <c r="S260" s="27" t="s">
        <v>9</v>
      </c>
      <c r="T260" s="27" t="s">
        <v>9</v>
      </c>
      <c r="U260" s="27" t="s">
        <v>9</v>
      </c>
      <c r="V260" s="20" t="s">
        <v>1</v>
      </c>
      <c r="W260" s="20">
        <v>5</v>
      </c>
      <c r="X260" s="20">
        <v>3</v>
      </c>
      <c r="Y260" s="20">
        <v>2</v>
      </c>
      <c r="Z260" s="20">
        <v>4</v>
      </c>
      <c r="AA260" s="23">
        <v>3</v>
      </c>
      <c r="AB260" s="15" t="s">
        <v>9</v>
      </c>
      <c r="AC260" s="15" t="s">
        <v>9</v>
      </c>
      <c r="AD260" s="15" t="s">
        <v>9</v>
      </c>
      <c r="AE260" s="15" t="s">
        <v>9</v>
      </c>
      <c r="AF260" s="20" t="s">
        <v>9</v>
      </c>
      <c r="AG260" s="20" t="s">
        <v>9</v>
      </c>
      <c r="AH260" s="24" t="s">
        <v>9</v>
      </c>
      <c r="AI260" s="23">
        <v>3</v>
      </c>
      <c r="AJ260" s="15" t="s">
        <v>9</v>
      </c>
      <c r="AK260" s="15" t="s">
        <v>9</v>
      </c>
      <c r="AL260" s="25" t="s">
        <v>9</v>
      </c>
      <c r="AM260" s="23">
        <v>3</v>
      </c>
      <c r="AN260" s="20" t="s">
        <v>9</v>
      </c>
      <c r="AO260" s="20" t="s">
        <v>9</v>
      </c>
      <c r="AP260" s="15" t="s">
        <v>9</v>
      </c>
      <c r="AQ260" s="15" t="s">
        <v>9</v>
      </c>
      <c r="AR260" s="15" t="s">
        <v>9</v>
      </c>
      <c r="AS260" s="26" t="s">
        <v>9</v>
      </c>
      <c r="AT260" s="26" t="s">
        <v>9</v>
      </c>
      <c r="AU260" s="26" t="s">
        <v>9</v>
      </c>
      <c r="AV260" s="26" t="s">
        <v>9</v>
      </c>
      <c r="AW260" s="26" t="s">
        <v>9</v>
      </c>
      <c r="AX260" s="26" t="s">
        <v>9</v>
      </c>
      <c r="AY260" s="26" t="s">
        <v>9</v>
      </c>
      <c r="AZ260" s="26" t="s">
        <v>9</v>
      </c>
      <c r="BA260" s="23">
        <v>3</v>
      </c>
      <c r="BB260" s="24" t="s">
        <v>9</v>
      </c>
    </row>
    <row r="261" spans="1:54" x14ac:dyDescent="0.2">
      <c r="A261" s="19">
        <v>532</v>
      </c>
      <c r="B261" s="27" t="s">
        <v>9</v>
      </c>
      <c r="C261" s="27" t="s">
        <v>9</v>
      </c>
      <c r="D261" s="27" t="s">
        <v>9</v>
      </c>
      <c r="E261" s="27" t="s">
        <v>9</v>
      </c>
      <c r="F261" s="27" t="s">
        <v>9</v>
      </c>
      <c r="G261" s="27" t="s">
        <v>9</v>
      </c>
      <c r="H261" s="27" t="s">
        <v>9</v>
      </c>
      <c r="I261" s="27" t="s">
        <v>9</v>
      </c>
      <c r="J261" s="27" t="s">
        <v>9</v>
      </c>
      <c r="K261" s="27" t="s">
        <v>9</v>
      </c>
      <c r="L261" s="27" t="s">
        <v>9</v>
      </c>
      <c r="M261" s="27" t="s">
        <v>9</v>
      </c>
      <c r="N261" s="27" t="s">
        <v>9</v>
      </c>
      <c r="O261" s="27" t="s">
        <v>9</v>
      </c>
      <c r="P261" s="27" t="s">
        <v>9</v>
      </c>
      <c r="Q261" s="27" t="s">
        <v>9</v>
      </c>
      <c r="R261" s="27" t="s">
        <v>9</v>
      </c>
      <c r="S261" s="27" t="s">
        <v>9</v>
      </c>
      <c r="T261" s="27" t="s">
        <v>9</v>
      </c>
      <c r="U261" s="27" t="s">
        <v>9</v>
      </c>
      <c r="V261" s="20" t="s">
        <v>1</v>
      </c>
      <c r="W261" s="20">
        <v>5</v>
      </c>
      <c r="X261" s="20">
        <v>3</v>
      </c>
      <c r="Y261" s="20">
        <v>2</v>
      </c>
      <c r="Z261" s="20">
        <v>4</v>
      </c>
      <c r="AA261" s="23">
        <v>3</v>
      </c>
      <c r="AB261" s="15" t="s">
        <v>9</v>
      </c>
      <c r="AC261" s="15" t="s">
        <v>9</v>
      </c>
      <c r="AD261" s="15" t="s">
        <v>9</v>
      </c>
      <c r="AE261" s="15" t="s">
        <v>9</v>
      </c>
      <c r="AF261" s="20" t="s">
        <v>9</v>
      </c>
      <c r="AG261" s="20" t="s">
        <v>9</v>
      </c>
      <c r="AH261" s="24" t="s">
        <v>9</v>
      </c>
      <c r="AI261" s="23">
        <v>3</v>
      </c>
      <c r="AJ261" s="15" t="s">
        <v>9</v>
      </c>
      <c r="AK261" s="15" t="s">
        <v>9</v>
      </c>
      <c r="AL261" s="25" t="s">
        <v>9</v>
      </c>
      <c r="AM261" s="23">
        <v>3</v>
      </c>
      <c r="AN261" s="20" t="s">
        <v>9</v>
      </c>
      <c r="AO261" s="20" t="s">
        <v>9</v>
      </c>
      <c r="AP261" s="15" t="s">
        <v>9</v>
      </c>
      <c r="AQ261" s="15" t="s">
        <v>9</v>
      </c>
      <c r="AR261" s="15" t="s">
        <v>9</v>
      </c>
      <c r="AS261" s="26" t="s">
        <v>9</v>
      </c>
      <c r="AT261" s="26" t="s">
        <v>9</v>
      </c>
      <c r="AU261" s="26" t="s">
        <v>9</v>
      </c>
      <c r="AV261" s="26" t="s">
        <v>9</v>
      </c>
      <c r="AW261" s="26" t="s">
        <v>9</v>
      </c>
      <c r="AX261" s="26" t="s">
        <v>9</v>
      </c>
      <c r="AY261" s="26" t="s">
        <v>9</v>
      </c>
      <c r="AZ261" s="26" t="s">
        <v>9</v>
      </c>
      <c r="BA261" s="23">
        <v>3</v>
      </c>
      <c r="BB261" s="24" t="s">
        <v>9</v>
      </c>
    </row>
    <row r="262" spans="1:54" x14ac:dyDescent="0.2">
      <c r="A262" s="19">
        <v>543</v>
      </c>
      <c r="B262" s="27" t="s">
        <v>9</v>
      </c>
      <c r="C262" s="27" t="s">
        <v>9</v>
      </c>
      <c r="D262" s="27" t="s">
        <v>9</v>
      </c>
      <c r="E262" s="27" t="s">
        <v>9</v>
      </c>
      <c r="F262" s="27" t="s">
        <v>9</v>
      </c>
      <c r="G262" s="27" t="s">
        <v>9</v>
      </c>
      <c r="H262" s="27" t="s">
        <v>9</v>
      </c>
      <c r="I262" s="27" t="s">
        <v>9</v>
      </c>
      <c r="J262" s="27" t="s">
        <v>9</v>
      </c>
      <c r="K262" s="27" t="s">
        <v>9</v>
      </c>
      <c r="L262" s="27" t="s">
        <v>9</v>
      </c>
      <c r="M262" s="27" t="s">
        <v>9</v>
      </c>
      <c r="N262" s="27" t="s">
        <v>9</v>
      </c>
      <c r="O262" s="27" t="s">
        <v>9</v>
      </c>
      <c r="P262" s="27" t="s">
        <v>9</v>
      </c>
      <c r="Q262" s="27" t="s">
        <v>9</v>
      </c>
      <c r="R262" s="27" t="s">
        <v>9</v>
      </c>
      <c r="S262" s="27" t="s">
        <v>9</v>
      </c>
      <c r="T262" s="27" t="s">
        <v>9</v>
      </c>
      <c r="U262" s="27" t="s">
        <v>9</v>
      </c>
      <c r="V262" s="20" t="s">
        <v>1</v>
      </c>
      <c r="W262" s="20">
        <v>5</v>
      </c>
      <c r="X262" s="20">
        <v>3</v>
      </c>
      <c r="Y262" s="20">
        <v>2</v>
      </c>
      <c r="Z262" s="20">
        <v>4</v>
      </c>
      <c r="AA262" s="23">
        <v>3</v>
      </c>
      <c r="AB262" s="15" t="s">
        <v>9</v>
      </c>
      <c r="AC262" s="15" t="s">
        <v>9</v>
      </c>
      <c r="AD262" s="15" t="s">
        <v>9</v>
      </c>
      <c r="AE262" s="15" t="s">
        <v>9</v>
      </c>
      <c r="AF262" s="20" t="s">
        <v>9</v>
      </c>
      <c r="AG262" s="20" t="s">
        <v>9</v>
      </c>
      <c r="AH262" s="24" t="s">
        <v>9</v>
      </c>
      <c r="AI262" s="23">
        <v>3</v>
      </c>
      <c r="AJ262" s="15" t="s">
        <v>9</v>
      </c>
      <c r="AK262" s="15" t="s">
        <v>9</v>
      </c>
      <c r="AL262" s="25" t="s">
        <v>9</v>
      </c>
      <c r="AM262" s="23">
        <v>3</v>
      </c>
      <c r="AN262" s="20" t="s">
        <v>9</v>
      </c>
      <c r="AO262" s="20" t="s">
        <v>9</v>
      </c>
      <c r="AP262" s="15" t="s">
        <v>9</v>
      </c>
      <c r="AQ262" s="15" t="s">
        <v>9</v>
      </c>
      <c r="AR262" s="15" t="s">
        <v>9</v>
      </c>
      <c r="AS262" s="26" t="s">
        <v>9</v>
      </c>
      <c r="AT262" s="26" t="s">
        <v>9</v>
      </c>
      <c r="AU262" s="26" t="s">
        <v>9</v>
      </c>
      <c r="AV262" s="26" t="s">
        <v>9</v>
      </c>
      <c r="AW262" s="26" t="s">
        <v>9</v>
      </c>
      <c r="AX262" s="26" t="s">
        <v>9</v>
      </c>
      <c r="AY262" s="26" t="s">
        <v>9</v>
      </c>
      <c r="AZ262" s="26" t="s">
        <v>9</v>
      </c>
      <c r="BA262" s="23">
        <v>3</v>
      </c>
      <c r="BB262" s="24" t="s">
        <v>9</v>
      </c>
    </row>
    <row r="263" spans="1:54" x14ac:dyDescent="0.2">
      <c r="A263" s="19">
        <v>567</v>
      </c>
      <c r="B263" s="27" t="s">
        <v>9</v>
      </c>
      <c r="C263" s="27" t="s">
        <v>9</v>
      </c>
      <c r="D263" s="27" t="s">
        <v>9</v>
      </c>
      <c r="E263" s="27" t="s">
        <v>9</v>
      </c>
      <c r="F263" s="27" t="s">
        <v>9</v>
      </c>
      <c r="G263" s="27" t="s">
        <v>9</v>
      </c>
      <c r="H263" s="27" t="s">
        <v>9</v>
      </c>
      <c r="I263" s="27" t="s">
        <v>9</v>
      </c>
      <c r="J263" s="27" t="s">
        <v>9</v>
      </c>
      <c r="K263" s="27" t="s">
        <v>9</v>
      </c>
      <c r="L263" s="27" t="s">
        <v>9</v>
      </c>
      <c r="M263" s="27" t="s">
        <v>9</v>
      </c>
      <c r="N263" s="27" t="s">
        <v>9</v>
      </c>
      <c r="O263" s="27" t="s">
        <v>9</v>
      </c>
      <c r="P263" s="27" t="s">
        <v>9</v>
      </c>
      <c r="Q263" s="27" t="s">
        <v>9</v>
      </c>
      <c r="R263" s="27" t="s">
        <v>9</v>
      </c>
      <c r="S263" s="27" t="s">
        <v>9</v>
      </c>
      <c r="T263" s="27" t="s">
        <v>9</v>
      </c>
      <c r="U263" s="27" t="s">
        <v>9</v>
      </c>
      <c r="V263" s="20" t="s">
        <v>1</v>
      </c>
      <c r="W263" s="20">
        <v>5</v>
      </c>
      <c r="X263" s="20">
        <v>3</v>
      </c>
      <c r="Y263" s="20">
        <v>2</v>
      </c>
      <c r="Z263" s="20">
        <v>4</v>
      </c>
      <c r="AA263" s="23">
        <v>3</v>
      </c>
      <c r="AB263" s="15" t="s">
        <v>9</v>
      </c>
      <c r="AC263" s="15" t="s">
        <v>9</v>
      </c>
      <c r="AD263" s="15" t="s">
        <v>9</v>
      </c>
      <c r="AE263" s="15" t="s">
        <v>9</v>
      </c>
      <c r="AF263" s="20" t="s">
        <v>9</v>
      </c>
      <c r="AG263" s="20" t="s">
        <v>9</v>
      </c>
      <c r="AH263" s="24" t="s">
        <v>9</v>
      </c>
      <c r="AI263" s="23">
        <v>3</v>
      </c>
      <c r="AJ263" s="15" t="s">
        <v>9</v>
      </c>
      <c r="AK263" s="15" t="s">
        <v>9</v>
      </c>
      <c r="AL263" s="25" t="s">
        <v>9</v>
      </c>
      <c r="AM263" s="23">
        <v>3</v>
      </c>
      <c r="AN263" s="20" t="s">
        <v>9</v>
      </c>
      <c r="AO263" s="20" t="s">
        <v>9</v>
      </c>
      <c r="AP263" s="15" t="s">
        <v>9</v>
      </c>
      <c r="AQ263" s="15" t="s">
        <v>9</v>
      </c>
      <c r="AR263" s="15" t="s">
        <v>9</v>
      </c>
      <c r="AS263" s="26" t="s">
        <v>9</v>
      </c>
      <c r="AT263" s="26" t="s">
        <v>9</v>
      </c>
      <c r="AU263" s="26" t="s">
        <v>9</v>
      </c>
      <c r="AV263" s="26" t="s">
        <v>9</v>
      </c>
      <c r="AW263" s="26" t="s">
        <v>9</v>
      </c>
      <c r="AX263" s="26" t="s">
        <v>9</v>
      </c>
      <c r="AY263" s="26" t="s">
        <v>9</v>
      </c>
      <c r="AZ263" s="26" t="s">
        <v>9</v>
      </c>
      <c r="BA263" s="23">
        <v>3</v>
      </c>
      <c r="BB263" s="24" t="s">
        <v>9</v>
      </c>
    </row>
    <row r="264" spans="1:54" x14ac:dyDescent="0.2">
      <c r="A264" s="19">
        <v>580</v>
      </c>
      <c r="B264" s="27" t="s">
        <v>9</v>
      </c>
      <c r="C264" s="27" t="s">
        <v>9</v>
      </c>
      <c r="D264" s="27" t="s">
        <v>9</v>
      </c>
      <c r="E264" s="27" t="s">
        <v>9</v>
      </c>
      <c r="F264" s="27" t="s">
        <v>9</v>
      </c>
      <c r="G264" s="27" t="s">
        <v>9</v>
      </c>
      <c r="H264" s="27" t="s">
        <v>9</v>
      </c>
      <c r="I264" s="27" t="s">
        <v>9</v>
      </c>
      <c r="J264" s="27" t="s">
        <v>9</v>
      </c>
      <c r="K264" s="27" t="s">
        <v>9</v>
      </c>
      <c r="L264" s="27" t="s">
        <v>9</v>
      </c>
      <c r="M264" s="27" t="s">
        <v>9</v>
      </c>
      <c r="N264" s="27" t="s">
        <v>9</v>
      </c>
      <c r="O264" s="27" t="s">
        <v>9</v>
      </c>
      <c r="P264" s="27" t="s">
        <v>9</v>
      </c>
      <c r="Q264" s="27" t="s">
        <v>9</v>
      </c>
      <c r="R264" s="27" t="s">
        <v>9</v>
      </c>
      <c r="S264" s="27" t="s">
        <v>9</v>
      </c>
      <c r="T264" s="27" t="s">
        <v>9</v>
      </c>
      <c r="U264" s="27" t="s">
        <v>9</v>
      </c>
      <c r="V264" s="20" t="s">
        <v>1</v>
      </c>
      <c r="W264" s="20">
        <v>5</v>
      </c>
      <c r="X264" s="20">
        <v>3</v>
      </c>
      <c r="Y264" s="20">
        <v>2</v>
      </c>
      <c r="Z264" s="20">
        <v>4</v>
      </c>
      <c r="AA264" s="23">
        <v>3</v>
      </c>
      <c r="AB264" s="15" t="s">
        <v>9</v>
      </c>
      <c r="AC264" s="15" t="s">
        <v>9</v>
      </c>
      <c r="AD264" s="15" t="s">
        <v>9</v>
      </c>
      <c r="AE264" s="15" t="s">
        <v>9</v>
      </c>
      <c r="AF264" s="20" t="s">
        <v>9</v>
      </c>
      <c r="AG264" s="20" t="s">
        <v>9</v>
      </c>
      <c r="AH264" s="24" t="s">
        <v>9</v>
      </c>
      <c r="AI264" s="23">
        <v>3</v>
      </c>
      <c r="AJ264" s="15" t="s">
        <v>9</v>
      </c>
      <c r="AK264" s="15" t="s">
        <v>9</v>
      </c>
      <c r="AL264" s="25" t="s">
        <v>9</v>
      </c>
      <c r="AM264" s="23">
        <v>3</v>
      </c>
      <c r="AN264" s="20" t="s">
        <v>9</v>
      </c>
      <c r="AO264" s="20" t="s">
        <v>9</v>
      </c>
      <c r="AP264" s="15" t="s">
        <v>9</v>
      </c>
      <c r="AQ264" s="15" t="s">
        <v>9</v>
      </c>
      <c r="AR264" s="15" t="s">
        <v>9</v>
      </c>
      <c r="AS264" s="26" t="s">
        <v>9</v>
      </c>
      <c r="AT264" s="26" t="s">
        <v>9</v>
      </c>
      <c r="AU264" s="26" t="s">
        <v>9</v>
      </c>
      <c r="AV264" s="26" t="s">
        <v>9</v>
      </c>
      <c r="AW264" s="26" t="s">
        <v>9</v>
      </c>
      <c r="AX264" s="26" t="s">
        <v>9</v>
      </c>
      <c r="AY264" s="26" t="s">
        <v>9</v>
      </c>
      <c r="AZ264" s="26" t="s">
        <v>9</v>
      </c>
      <c r="BA264" s="23">
        <v>3</v>
      </c>
      <c r="BB264" s="24" t="s">
        <v>9</v>
      </c>
    </row>
    <row r="265" spans="1:54" x14ac:dyDescent="0.2">
      <c r="A265" s="19">
        <v>584</v>
      </c>
      <c r="B265" s="27" t="s">
        <v>9</v>
      </c>
      <c r="C265" s="27" t="s">
        <v>9</v>
      </c>
      <c r="D265" s="27" t="s">
        <v>9</v>
      </c>
      <c r="E265" s="27" t="s">
        <v>9</v>
      </c>
      <c r="F265" s="27" t="s">
        <v>9</v>
      </c>
      <c r="G265" s="27" t="s">
        <v>9</v>
      </c>
      <c r="H265" s="27" t="s">
        <v>9</v>
      </c>
      <c r="I265" s="27" t="s">
        <v>9</v>
      </c>
      <c r="J265" s="27" t="s">
        <v>9</v>
      </c>
      <c r="K265" s="27" t="s">
        <v>9</v>
      </c>
      <c r="L265" s="27" t="s">
        <v>9</v>
      </c>
      <c r="M265" s="27" t="s">
        <v>9</v>
      </c>
      <c r="N265" s="27" t="s">
        <v>9</v>
      </c>
      <c r="O265" s="27" t="s">
        <v>9</v>
      </c>
      <c r="P265" s="27" t="s">
        <v>9</v>
      </c>
      <c r="Q265" s="27" t="s">
        <v>9</v>
      </c>
      <c r="R265" s="27" t="s">
        <v>9</v>
      </c>
      <c r="S265" s="27" t="s">
        <v>9</v>
      </c>
      <c r="T265" s="27" t="s">
        <v>9</v>
      </c>
      <c r="U265" s="27" t="s">
        <v>9</v>
      </c>
      <c r="V265" s="20" t="s">
        <v>1</v>
      </c>
      <c r="W265" s="20">
        <v>5</v>
      </c>
      <c r="X265" s="20">
        <v>3</v>
      </c>
      <c r="Y265" s="20">
        <v>2</v>
      </c>
      <c r="Z265" s="20">
        <v>4</v>
      </c>
      <c r="AA265" s="23">
        <v>3</v>
      </c>
      <c r="AB265" s="15" t="s">
        <v>9</v>
      </c>
      <c r="AC265" s="15" t="s">
        <v>9</v>
      </c>
      <c r="AD265" s="15" t="s">
        <v>9</v>
      </c>
      <c r="AE265" s="15" t="s">
        <v>9</v>
      </c>
      <c r="AF265" s="20" t="s">
        <v>9</v>
      </c>
      <c r="AG265" s="20" t="s">
        <v>9</v>
      </c>
      <c r="AH265" s="24" t="s">
        <v>9</v>
      </c>
      <c r="AI265" s="23">
        <v>3</v>
      </c>
      <c r="AJ265" s="15" t="s">
        <v>9</v>
      </c>
      <c r="AK265" s="15" t="s">
        <v>9</v>
      </c>
      <c r="AL265" s="25" t="s">
        <v>9</v>
      </c>
      <c r="AM265" s="23">
        <v>3</v>
      </c>
      <c r="AN265" s="20" t="s">
        <v>9</v>
      </c>
      <c r="AO265" s="20" t="s">
        <v>9</v>
      </c>
      <c r="AP265" s="15" t="s">
        <v>9</v>
      </c>
      <c r="AQ265" s="15" t="s">
        <v>9</v>
      </c>
      <c r="AR265" s="15" t="s">
        <v>9</v>
      </c>
      <c r="AS265" s="26" t="s">
        <v>9</v>
      </c>
      <c r="AT265" s="26" t="s">
        <v>9</v>
      </c>
      <c r="AU265" s="26" t="s">
        <v>9</v>
      </c>
      <c r="AV265" s="26" t="s">
        <v>9</v>
      </c>
      <c r="AW265" s="26" t="s">
        <v>9</v>
      </c>
      <c r="AX265" s="26" t="s">
        <v>9</v>
      </c>
      <c r="AY265" s="26" t="s">
        <v>9</v>
      </c>
      <c r="AZ265" s="26" t="s">
        <v>9</v>
      </c>
      <c r="BA265" s="23">
        <v>3</v>
      </c>
      <c r="BB265" s="24" t="s">
        <v>9</v>
      </c>
    </row>
    <row r="266" spans="1:54" x14ac:dyDescent="0.2">
      <c r="A266" s="19">
        <v>587</v>
      </c>
      <c r="B266" s="27" t="s">
        <v>9</v>
      </c>
      <c r="C266" s="27" t="s">
        <v>9</v>
      </c>
      <c r="D266" s="27" t="s">
        <v>9</v>
      </c>
      <c r="E266" s="27" t="s">
        <v>9</v>
      </c>
      <c r="F266" s="27" t="s">
        <v>9</v>
      </c>
      <c r="G266" s="27" t="s">
        <v>9</v>
      </c>
      <c r="H266" s="27" t="s">
        <v>9</v>
      </c>
      <c r="I266" s="27" t="s">
        <v>9</v>
      </c>
      <c r="J266" s="27" t="s">
        <v>9</v>
      </c>
      <c r="K266" s="27" t="s">
        <v>9</v>
      </c>
      <c r="L266" s="27" t="s">
        <v>9</v>
      </c>
      <c r="M266" s="27" t="s">
        <v>9</v>
      </c>
      <c r="N266" s="27" t="s">
        <v>9</v>
      </c>
      <c r="O266" s="27" t="s">
        <v>9</v>
      </c>
      <c r="P266" s="27" t="s">
        <v>9</v>
      </c>
      <c r="Q266" s="27" t="s">
        <v>9</v>
      </c>
      <c r="R266" s="27" t="s">
        <v>9</v>
      </c>
      <c r="S266" s="27" t="s">
        <v>9</v>
      </c>
      <c r="T266" s="27" t="s">
        <v>9</v>
      </c>
      <c r="U266" s="27" t="s">
        <v>9</v>
      </c>
      <c r="V266" s="20" t="s">
        <v>1</v>
      </c>
      <c r="W266" s="20">
        <v>5</v>
      </c>
      <c r="X266" s="20">
        <v>3</v>
      </c>
      <c r="Y266" s="20">
        <v>2</v>
      </c>
      <c r="Z266" s="20">
        <v>4</v>
      </c>
      <c r="AA266" s="23">
        <v>3</v>
      </c>
      <c r="AB266" s="15" t="s">
        <v>9</v>
      </c>
      <c r="AC266" s="15" t="s">
        <v>9</v>
      </c>
      <c r="AD266" s="15" t="s">
        <v>9</v>
      </c>
      <c r="AE266" s="15" t="s">
        <v>9</v>
      </c>
      <c r="AF266" s="20" t="s">
        <v>9</v>
      </c>
      <c r="AG266" s="20" t="s">
        <v>9</v>
      </c>
      <c r="AH266" s="24" t="s">
        <v>9</v>
      </c>
      <c r="AI266" s="23">
        <v>3</v>
      </c>
      <c r="AJ266" s="15" t="s">
        <v>9</v>
      </c>
      <c r="AK266" s="15" t="s">
        <v>9</v>
      </c>
      <c r="AL266" s="25" t="s">
        <v>9</v>
      </c>
      <c r="AM266" s="23">
        <v>3</v>
      </c>
      <c r="AN266" s="20" t="s">
        <v>9</v>
      </c>
      <c r="AO266" s="20" t="s">
        <v>9</v>
      </c>
      <c r="AP266" s="15" t="s">
        <v>9</v>
      </c>
      <c r="AQ266" s="15" t="s">
        <v>9</v>
      </c>
      <c r="AR266" s="15" t="s">
        <v>9</v>
      </c>
      <c r="AS266" s="26" t="s">
        <v>9</v>
      </c>
      <c r="AT266" s="26" t="s">
        <v>9</v>
      </c>
      <c r="AU266" s="26" t="s">
        <v>9</v>
      </c>
      <c r="AV266" s="26" t="s">
        <v>9</v>
      </c>
      <c r="AW266" s="26" t="s">
        <v>9</v>
      </c>
      <c r="AX266" s="26" t="s">
        <v>9</v>
      </c>
      <c r="AY266" s="26" t="s">
        <v>9</v>
      </c>
      <c r="AZ266" s="26" t="s">
        <v>9</v>
      </c>
      <c r="BA266" s="23">
        <v>3</v>
      </c>
      <c r="BB266" s="24" t="s">
        <v>9</v>
      </c>
    </row>
    <row r="267" spans="1:54" x14ac:dyDescent="0.2">
      <c r="A267" s="19">
        <v>599</v>
      </c>
      <c r="B267" s="27" t="s">
        <v>9</v>
      </c>
      <c r="C267" s="27" t="s">
        <v>9</v>
      </c>
      <c r="D267" s="27" t="s">
        <v>9</v>
      </c>
      <c r="E267" s="27" t="s">
        <v>9</v>
      </c>
      <c r="F267" s="27" t="s">
        <v>9</v>
      </c>
      <c r="G267" s="27" t="s">
        <v>9</v>
      </c>
      <c r="H267" s="27" t="s">
        <v>9</v>
      </c>
      <c r="I267" s="27" t="s">
        <v>9</v>
      </c>
      <c r="J267" s="27" t="s">
        <v>9</v>
      </c>
      <c r="K267" s="27" t="s">
        <v>9</v>
      </c>
      <c r="L267" s="27" t="s">
        <v>9</v>
      </c>
      <c r="M267" s="27" t="s">
        <v>9</v>
      </c>
      <c r="N267" s="27" t="s">
        <v>9</v>
      </c>
      <c r="O267" s="27" t="s">
        <v>9</v>
      </c>
      <c r="P267" s="27" t="s">
        <v>9</v>
      </c>
      <c r="Q267" s="27" t="s">
        <v>9</v>
      </c>
      <c r="R267" s="27" t="s">
        <v>9</v>
      </c>
      <c r="S267" s="27" t="s">
        <v>9</v>
      </c>
      <c r="T267" s="27" t="s">
        <v>9</v>
      </c>
      <c r="U267" s="27" t="s">
        <v>9</v>
      </c>
      <c r="V267" s="20" t="s">
        <v>1</v>
      </c>
      <c r="W267" s="20">
        <v>5</v>
      </c>
      <c r="X267" s="20">
        <v>3</v>
      </c>
      <c r="Y267" s="20">
        <v>2</v>
      </c>
      <c r="Z267" s="20">
        <v>4</v>
      </c>
      <c r="AA267" s="23">
        <v>3</v>
      </c>
      <c r="AB267" s="15" t="s">
        <v>9</v>
      </c>
      <c r="AC267" s="15" t="s">
        <v>9</v>
      </c>
      <c r="AD267" s="15" t="s">
        <v>9</v>
      </c>
      <c r="AE267" s="15" t="s">
        <v>9</v>
      </c>
      <c r="AF267" s="20" t="s">
        <v>9</v>
      </c>
      <c r="AG267" s="20" t="s">
        <v>9</v>
      </c>
      <c r="AH267" s="24" t="s">
        <v>9</v>
      </c>
      <c r="AI267" s="23">
        <v>3</v>
      </c>
      <c r="AJ267" s="15" t="s">
        <v>9</v>
      </c>
      <c r="AK267" s="15" t="s">
        <v>9</v>
      </c>
      <c r="AL267" s="25" t="s">
        <v>9</v>
      </c>
      <c r="AM267" s="23">
        <v>3</v>
      </c>
      <c r="AN267" s="20" t="s">
        <v>9</v>
      </c>
      <c r="AO267" s="20" t="s">
        <v>9</v>
      </c>
      <c r="AP267" s="15" t="s">
        <v>9</v>
      </c>
      <c r="AQ267" s="15" t="s">
        <v>9</v>
      </c>
      <c r="AR267" s="15" t="s">
        <v>9</v>
      </c>
      <c r="AS267" s="26" t="s">
        <v>9</v>
      </c>
      <c r="AT267" s="26" t="s">
        <v>9</v>
      </c>
      <c r="AU267" s="26" t="s">
        <v>9</v>
      </c>
      <c r="AV267" s="26" t="s">
        <v>9</v>
      </c>
      <c r="AW267" s="26" t="s">
        <v>9</v>
      </c>
      <c r="AX267" s="26" t="s">
        <v>9</v>
      </c>
      <c r="AY267" s="26" t="s">
        <v>9</v>
      </c>
      <c r="AZ267" s="26" t="s">
        <v>9</v>
      </c>
      <c r="BA267" s="23">
        <v>3</v>
      </c>
      <c r="BB267" s="24" t="s">
        <v>9</v>
      </c>
    </row>
    <row r="268" spans="1:54" x14ac:dyDescent="0.2">
      <c r="A268" s="19">
        <v>606</v>
      </c>
      <c r="B268" s="27" t="s">
        <v>9</v>
      </c>
      <c r="C268" s="27" t="s">
        <v>9</v>
      </c>
      <c r="D268" s="27" t="s">
        <v>9</v>
      </c>
      <c r="E268" s="27" t="s">
        <v>9</v>
      </c>
      <c r="F268" s="27" t="s">
        <v>9</v>
      </c>
      <c r="G268" s="27" t="s">
        <v>9</v>
      </c>
      <c r="H268" s="27" t="s">
        <v>9</v>
      </c>
      <c r="I268" s="27" t="s">
        <v>9</v>
      </c>
      <c r="J268" s="27" t="s">
        <v>9</v>
      </c>
      <c r="K268" s="27" t="s">
        <v>9</v>
      </c>
      <c r="L268" s="27" t="s">
        <v>9</v>
      </c>
      <c r="M268" s="27" t="s">
        <v>9</v>
      </c>
      <c r="N268" s="27" t="s">
        <v>9</v>
      </c>
      <c r="O268" s="27" t="s">
        <v>9</v>
      </c>
      <c r="P268" s="27" t="s">
        <v>9</v>
      </c>
      <c r="Q268" s="27" t="s">
        <v>9</v>
      </c>
      <c r="R268" s="27" t="s">
        <v>9</v>
      </c>
      <c r="S268" s="27" t="s">
        <v>9</v>
      </c>
      <c r="T268" s="27" t="s">
        <v>9</v>
      </c>
      <c r="U268" s="27" t="s">
        <v>9</v>
      </c>
      <c r="V268" s="20" t="s">
        <v>1</v>
      </c>
      <c r="W268" s="20">
        <v>5</v>
      </c>
      <c r="X268" s="20">
        <v>3</v>
      </c>
      <c r="Y268" s="20">
        <v>2</v>
      </c>
      <c r="Z268" s="20">
        <v>4</v>
      </c>
      <c r="AA268" s="23">
        <v>3</v>
      </c>
      <c r="AB268" s="15" t="s">
        <v>9</v>
      </c>
      <c r="AC268" s="15" t="s">
        <v>9</v>
      </c>
      <c r="AD268" s="15" t="s">
        <v>9</v>
      </c>
      <c r="AE268" s="15" t="s">
        <v>9</v>
      </c>
      <c r="AF268" s="20" t="s">
        <v>9</v>
      </c>
      <c r="AG268" s="20" t="s">
        <v>9</v>
      </c>
      <c r="AH268" s="24" t="s">
        <v>9</v>
      </c>
      <c r="AI268" s="23">
        <v>3</v>
      </c>
      <c r="AJ268" s="15" t="s">
        <v>9</v>
      </c>
      <c r="AK268" s="15" t="s">
        <v>9</v>
      </c>
      <c r="AL268" s="25" t="s">
        <v>9</v>
      </c>
      <c r="AM268" s="23">
        <v>3</v>
      </c>
      <c r="AN268" s="20" t="s">
        <v>9</v>
      </c>
      <c r="AO268" s="20" t="s">
        <v>9</v>
      </c>
      <c r="AP268" s="15" t="s">
        <v>9</v>
      </c>
      <c r="AQ268" s="15" t="s">
        <v>9</v>
      </c>
      <c r="AR268" s="15" t="s">
        <v>9</v>
      </c>
      <c r="AS268" s="26" t="s">
        <v>9</v>
      </c>
      <c r="AT268" s="26" t="s">
        <v>9</v>
      </c>
      <c r="AU268" s="26" t="s">
        <v>9</v>
      </c>
      <c r="AV268" s="26" t="s">
        <v>9</v>
      </c>
      <c r="AW268" s="26" t="s">
        <v>9</v>
      </c>
      <c r="AX268" s="26" t="s">
        <v>9</v>
      </c>
      <c r="AY268" s="26" t="s">
        <v>9</v>
      </c>
      <c r="AZ268" s="26" t="s">
        <v>9</v>
      </c>
      <c r="BA268" s="23">
        <v>3</v>
      </c>
      <c r="BB268" s="24" t="s">
        <v>9</v>
      </c>
    </row>
    <row r="269" spans="1:54" x14ac:dyDescent="0.2">
      <c r="A269" s="19">
        <v>609</v>
      </c>
      <c r="B269" s="27" t="s">
        <v>9</v>
      </c>
      <c r="C269" s="27" t="s">
        <v>9</v>
      </c>
      <c r="D269" s="27" t="s">
        <v>9</v>
      </c>
      <c r="E269" s="27" t="s">
        <v>9</v>
      </c>
      <c r="F269" s="27" t="s">
        <v>9</v>
      </c>
      <c r="G269" s="27" t="s">
        <v>9</v>
      </c>
      <c r="H269" s="27" t="s">
        <v>9</v>
      </c>
      <c r="I269" s="27" t="s">
        <v>9</v>
      </c>
      <c r="J269" s="27" t="s">
        <v>9</v>
      </c>
      <c r="K269" s="27" t="s">
        <v>9</v>
      </c>
      <c r="L269" s="27" t="s">
        <v>9</v>
      </c>
      <c r="M269" s="27" t="s">
        <v>9</v>
      </c>
      <c r="N269" s="27" t="s">
        <v>9</v>
      </c>
      <c r="O269" s="27" t="s">
        <v>9</v>
      </c>
      <c r="P269" s="27" t="s">
        <v>9</v>
      </c>
      <c r="Q269" s="27" t="s">
        <v>9</v>
      </c>
      <c r="R269" s="27" t="s">
        <v>9</v>
      </c>
      <c r="S269" s="27" t="s">
        <v>9</v>
      </c>
      <c r="T269" s="27" t="s">
        <v>9</v>
      </c>
      <c r="U269" s="27" t="s">
        <v>9</v>
      </c>
      <c r="V269" s="20" t="s">
        <v>1</v>
      </c>
      <c r="W269" s="20">
        <v>5</v>
      </c>
      <c r="X269" s="20">
        <v>3</v>
      </c>
      <c r="Y269" s="20">
        <v>2</v>
      </c>
      <c r="Z269" s="20">
        <v>4</v>
      </c>
      <c r="AA269" s="23">
        <v>3</v>
      </c>
      <c r="AB269" s="15" t="s">
        <v>9</v>
      </c>
      <c r="AC269" s="15" t="s">
        <v>9</v>
      </c>
      <c r="AD269" s="15" t="s">
        <v>9</v>
      </c>
      <c r="AE269" s="15" t="s">
        <v>9</v>
      </c>
      <c r="AF269" s="20" t="s">
        <v>9</v>
      </c>
      <c r="AG269" s="20" t="s">
        <v>9</v>
      </c>
      <c r="AH269" s="24" t="s">
        <v>9</v>
      </c>
      <c r="AI269" s="23">
        <v>3</v>
      </c>
      <c r="AJ269" s="15" t="s">
        <v>9</v>
      </c>
      <c r="AK269" s="15" t="s">
        <v>9</v>
      </c>
      <c r="AL269" s="25" t="s">
        <v>9</v>
      </c>
      <c r="AM269" s="23">
        <v>3</v>
      </c>
      <c r="AN269" s="20" t="s">
        <v>9</v>
      </c>
      <c r="AO269" s="20" t="s">
        <v>9</v>
      </c>
      <c r="AP269" s="15" t="s">
        <v>9</v>
      </c>
      <c r="AQ269" s="15" t="s">
        <v>9</v>
      </c>
      <c r="AR269" s="15" t="s">
        <v>9</v>
      </c>
      <c r="AS269" s="26" t="s">
        <v>9</v>
      </c>
      <c r="AT269" s="26" t="s">
        <v>9</v>
      </c>
      <c r="AU269" s="26" t="s">
        <v>9</v>
      </c>
      <c r="AV269" s="26" t="s">
        <v>9</v>
      </c>
      <c r="AW269" s="26" t="s">
        <v>9</v>
      </c>
      <c r="AX269" s="26" t="s">
        <v>9</v>
      </c>
      <c r="AY269" s="26" t="s">
        <v>9</v>
      </c>
      <c r="AZ269" s="26" t="s">
        <v>9</v>
      </c>
      <c r="BA269" s="23">
        <v>3</v>
      </c>
      <c r="BB269" s="24" t="s">
        <v>9</v>
      </c>
    </row>
    <row r="270" spans="1:54" x14ac:dyDescent="0.2">
      <c r="A270" s="19">
        <v>612</v>
      </c>
      <c r="B270" s="27" t="s">
        <v>9</v>
      </c>
      <c r="C270" s="27" t="s">
        <v>9</v>
      </c>
      <c r="D270" s="27" t="s">
        <v>9</v>
      </c>
      <c r="E270" s="27" t="s">
        <v>9</v>
      </c>
      <c r="F270" s="27" t="s">
        <v>9</v>
      </c>
      <c r="G270" s="27" t="s">
        <v>9</v>
      </c>
      <c r="H270" s="27" t="s">
        <v>9</v>
      </c>
      <c r="I270" s="27" t="s">
        <v>9</v>
      </c>
      <c r="J270" s="27" t="s">
        <v>9</v>
      </c>
      <c r="K270" s="27" t="s">
        <v>9</v>
      </c>
      <c r="L270" s="27" t="s">
        <v>9</v>
      </c>
      <c r="M270" s="27" t="s">
        <v>9</v>
      </c>
      <c r="N270" s="27" t="s">
        <v>9</v>
      </c>
      <c r="O270" s="27" t="s">
        <v>9</v>
      </c>
      <c r="P270" s="27" t="s">
        <v>9</v>
      </c>
      <c r="Q270" s="27" t="s">
        <v>9</v>
      </c>
      <c r="R270" s="27" t="s">
        <v>9</v>
      </c>
      <c r="S270" s="27" t="s">
        <v>9</v>
      </c>
      <c r="T270" s="27" t="s">
        <v>9</v>
      </c>
      <c r="U270" s="27" t="s">
        <v>9</v>
      </c>
      <c r="V270" s="20" t="s">
        <v>1</v>
      </c>
      <c r="W270" s="20">
        <v>5</v>
      </c>
      <c r="X270" s="20">
        <v>3</v>
      </c>
      <c r="Y270" s="20">
        <v>2</v>
      </c>
      <c r="Z270" s="20">
        <v>4</v>
      </c>
      <c r="AA270" s="23">
        <v>3</v>
      </c>
      <c r="AB270" s="15" t="s">
        <v>9</v>
      </c>
      <c r="AC270" s="15" t="s">
        <v>9</v>
      </c>
      <c r="AD270" s="15" t="s">
        <v>9</v>
      </c>
      <c r="AE270" s="15" t="s">
        <v>9</v>
      </c>
      <c r="AF270" s="20" t="s">
        <v>9</v>
      </c>
      <c r="AG270" s="20" t="s">
        <v>9</v>
      </c>
      <c r="AH270" s="24" t="s">
        <v>9</v>
      </c>
      <c r="AI270" s="23">
        <v>3</v>
      </c>
      <c r="AJ270" s="15" t="s">
        <v>9</v>
      </c>
      <c r="AK270" s="15" t="s">
        <v>9</v>
      </c>
      <c r="AL270" s="25" t="s">
        <v>9</v>
      </c>
      <c r="AM270" s="23">
        <v>3</v>
      </c>
      <c r="AN270" s="20" t="s">
        <v>9</v>
      </c>
      <c r="AO270" s="20" t="s">
        <v>9</v>
      </c>
      <c r="AP270" s="15" t="s">
        <v>9</v>
      </c>
      <c r="AQ270" s="15" t="s">
        <v>9</v>
      </c>
      <c r="AR270" s="15" t="s">
        <v>9</v>
      </c>
      <c r="AS270" s="26" t="s">
        <v>9</v>
      </c>
      <c r="AT270" s="26" t="s">
        <v>9</v>
      </c>
      <c r="AU270" s="26" t="s">
        <v>9</v>
      </c>
      <c r="AV270" s="26" t="s">
        <v>9</v>
      </c>
      <c r="AW270" s="26" t="s">
        <v>9</v>
      </c>
      <c r="AX270" s="26" t="s">
        <v>9</v>
      </c>
      <c r="AY270" s="26" t="s">
        <v>9</v>
      </c>
      <c r="AZ270" s="26" t="s">
        <v>9</v>
      </c>
      <c r="BA270" s="23">
        <v>3</v>
      </c>
      <c r="BB270" s="24" t="s">
        <v>9</v>
      </c>
    </row>
    <row r="271" spans="1:54" x14ac:dyDescent="0.2">
      <c r="A271" s="19">
        <v>615</v>
      </c>
      <c r="B271" s="27" t="s">
        <v>9</v>
      </c>
      <c r="C271" s="27" t="s">
        <v>9</v>
      </c>
      <c r="D271" s="27" t="s">
        <v>9</v>
      </c>
      <c r="E271" s="27" t="s">
        <v>9</v>
      </c>
      <c r="F271" s="27" t="s">
        <v>9</v>
      </c>
      <c r="G271" s="27" t="s">
        <v>9</v>
      </c>
      <c r="H271" s="27" t="s">
        <v>9</v>
      </c>
      <c r="I271" s="27" t="s">
        <v>9</v>
      </c>
      <c r="J271" s="27" t="s">
        <v>9</v>
      </c>
      <c r="K271" s="27" t="s">
        <v>9</v>
      </c>
      <c r="L271" s="27" t="s">
        <v>9</v>
      </c>
      <c r="M271" s="27" t="s">
        <v>9</v>
      </c>
      <c r="N271" s="27" t="s">
        <v>9</v>
      </c>
      <c r="O271" s="27" t="s">
        <v>9</v>
      </c>
      <c r="P271" s="27" t="s">
        <v>9</v>
      </c>
      <c r="Q271" s="27" t="s">
        <v>9</v>
      </c>
      <c r="R271" s="27" t="s">
        <v>9</v>
      </c>
      <c r="S271" s="27" t="s">
        <v>9</v>
      </c>
      <c r="T271" s="27" t="s">
        <v>9</v>
      </c>
      <c r="U271" s="27" t="s">
        <v>9</v>
      </c>
      <c r="V271" s="20" t="s">
        <v>1</v>
      </c>
      <c r="W271" s="20">
        <v>5</v>
      </c>
      <c r="X271" s="20">
        <v>3</v>
      </c>
      <c r="Y271" s="20">
        <v>2</v>
      </c>
      <c r="Z271" s="20">
        <v>4</v>
      </c>
      <c r="AA271" s="23">
        <v>3</v>
      </c>
      <c r="AB271" s="15" t="s">
        <v>9</v>
      </c>
      <c r="AC271" s="15" t="s">
        <v>9</v>
      </c>
      <c r="AD271" s="15" t="s">
        <v>9</v>
      </c>
      <c r="AE271" s="15" t="s">
        <v>9</v>
      </c>
      <c r="AF271" s="20" t="s">
        <v>9</v>
      </c>
      <c r="AG271" s="20" t="s">
        <v>9</v>
      </c>
      <c r="AH271" s="24" t="s">
        <v>9</v>
      </c>
      <c r="AI271" s="23">
        <v>3</v>
      </c>
      <c r="AJ271" s="15" t="s">
        <v>9</v>
      </c>
      <c r="AK271" s="15" t="s">
        <v>9</v>
      </c>
      <c r="AL271" s="25" t="s">
        <v>9</v>
      </c>
      <c r="AM271" s="23">
        <v>3</v>
      </c>
      <c r="AN271" s="20" t="s">
        <v>9</v>
      </c>
      <c r="AO271" s="20" t="s">
        <v>9</v>
      </c>
      <c r="AP271" s="15" t="s">
        <v>9</v>
      </c>
      <c r="AQ271" s="15" t="s">
        <v>9</v>
      </c>
      <c r="AR271" s="15" t="s">
        <v>9</v>
      </c>
      <c r="AS271" s="26" t="s">
        <v>9</v>
      </c>
      <c r="AT271" s="26" t="s">
        <v>9</v>
      </c>
      <c r="AU271" s="26" t="s">
        <v>9</v>
      </c>
      <c r="AV271" s="26" t="s">
        <v>9</v>
      </c>
      <c r="AW271" s="26" t="s">
        <v>9</v>
      </c>
      <c r="AX271" s="26" t="s">
        <v>9</v>
      </c>
      <c r="AY271" s="26" t="s">
        <v>9</v>
      </c>
      <c r="AZ271" s="26" t="s">
        <v>9</v>
      </c>
      <c r="BA271" s="23">
        <v>3</v>
      </c>
      <c r="BB271" s="24" t="s">
        <v>9</v>
      </c>
    </row>
    <row r="272" spans="1:54" x14ac:dyDescent="0.2">
      <c r="A272" s="19">
        <v>616</v>
      </c>
      <c r="B272" s="27" t="s">
        <v>9</v>
      </c>
      <c r="C272" s="27" t="s">
        <v>9</v>
      </c>
      <c r="D272" s="27" t="s">
        <v>9</v>
      </c>
      <c r="E272" s="27" t="s">
        <v>9</v>
      </c>
      <c r="F272" s="27" t="s">
        <v>9</v>
      </c>
      <c r="G272" s="27" t="s">
        <v>9</v>
      </c>
      <c r="H272" s="27" t="s">
        <v>9</v>
      </c>
      <c r="I272" s="27" t="s">
        <v>9</v>
      </c>
      <c r="J272" s="27" t="s">
        <v>9</v>
      </c>
      <c r="K272" s="27" t="s">
        <v>9</v>
      </c>
      <c r="L272" s="27" t="s">
        <v>9</v>
      </c>
      <c r="M272" s="27" t="s">
        <v>9</v>
      </c>
      <c r="N272" s="27" t="s">
        <v>9</v>
      </c>
      <c r="O272" s="27" t="s">
        <v>9</v>
      </c>
      <c r="P272" s="27" t="s">
        <v>9</v>
      </c>
      <c r="Q272" s="27" t="s">
        <v>9</v>
      </c>
      <c r="R272" s="27" t="s">
        <v>9</v>
      </c>
      <c r="S272" s="27" t="s">
        <v>9</v>
      </c>
      <c r="T272" s="27" t="s">
        <v>9</v>
      </c>
      <c r="U272" s="27" t="s">
        <v>9</v>
      </c>
      <c r="V272" s="20" t="s">
        <v>1</v>
      </c>
      <c r="W272" s="20">
        <v>5</v>
      </c>
      <c r="X272" s="20">
        <v>3</v>
      </c>
      <c r="Y272" s="20">
        <v>2</v>
      </c>
      <c r="Z272" s="20">
        <v>4</v>
      </c>
      <c r="AA272" s="23">
        <v>3</v>
      </c>
      <c r="AB272" s="15" t="s">
        <v>9</v>
      </c>
      <c r="AC272" s="15" t="s">
        <v>9</v>
      </c>
      <c r="AD272" s="15" t="s">
        <v>9</v>
      </c>
      <c r="AE272" s="15" t="s">
        <v>9</v>
      </c>
      <c r="AF272" s="20" t="s">
        <v>9</v>
      </c>
      <c r="AG272" s="20" t="s">
        <v>9</v>
      </c>
      <c r="AH272" s="24" t="s">
        <v>9</v>
      </c>
      <c r="AI272" s="23">
        <v>3</v>
      </c>
      <c r="AJ272" s="15" t="s">
        <v>9</v>
      </c>
      <c r="AK272" s="15" t="s">
        <v>9</v>
      </c>
      <c r="AL272" s="25" t="s">
        <v>9</v>
      </c>
      <c r="AM272" s="23">
        <v>3</v>
      </c>
      <c r="AN272" s="20" t="s">
        <v>9</v>
      </c>
      <c r="AO272" s="20" t="s">
        <v>9</v>
      </c>
      <c r="AP272" s="15" t="s">
        <v>9</v>
      </c>
      <c r="AQ272" s="15" t="s">
        <v>9</v>
      </c>
      <c r="AR272" s="15" t="s">
        <v>9</v>
      </c>
      <c r="AS272" s="26" t="s">
        <v>9</v>
      </c>
      <c r="AT272" s="26" t="s">
        <v>9</v>
      </c>
      <c r="AU272" s="26" t="s">
        <v>9</v>
      </c>
      <c r="AV272" s="26" t="s">
        <v>9</v>
      </c>
      <c r="AW272" s="26" t="s">
        <v>9</v>
      </c>
      <c r="AX272" s="26" t="s">
        <v>9</v>
      </c>
      <c r="AY272" s="26" t="s">
        <v>9</v>
      </c>
      <c r="AZ272" s="26" t="s">
        <v>9</v>
      </c>
      <c r="BA272" s="23">
        <v>3</v>
      </c>
      <c r="BB272" s="24" t="s">
        <v>9</v>
      </c>
    </row>
    <row r="273" spans="1:54" x14ac:dyDescent="0.2">
      <c r="A273" s="19">
        <v>639</v>
      </c>
      <c r="B273" s="27" t="s">
        <v>9</v>
      </c>
      <c r="C273" s="27" t="s">
        <v>9</v>
      </c>
      <c r="D273" s="27" t="s">
        <v>9</v>
      </c>
      <c r="E273" s="27" t="s">
        <v>9</v>
      </c>
      <c r="F273" s="27" t="s">
        <v>9</v>
      </c>
      <c r="G273" s="27" t="s">
        <v>9</v>
      </c>
      <c r="H273" s="27" t="s">
        <v>9</v>
      </c>
      <c r="I273" s="27" t="s">
        <v>9</v>
      </c>
      <c r="J273" s="27" t="s">
        <v>9</v>
      </c>
      <c r="K273" s="27" t="s">
        <v>9</v>
      </c>
      <c r="L273" s="27" t="s">
        <v>9</v>
      </c>
      <c r="M273" s="27" t="s">
        <v>9</v>
      </c>
      <c r="N273" s="27" t="s">
        <v>9</v>
      </c>
      <c r="O273" s="27" t="s">
        <v>9</v>
      </c>
      <c r="P273" s="27" t="s">
        <v>9</v>
      </c>
      <c r="Q273" s="27" t="s">
        <v>9</v>
      </c>
      <c r="R273" s="27" t="s">
        <v>9</v>
      </c>
      <c r="S273" s="27" t="s">
        <v>9</v>
      </c>
      <c r="T273" s="27" t="s">
        <v>9</v>
      </c>
      <c r="U273" s="27" t="s">
        <v>9</v>
      </c>
      <c r="V273" s="20" t="s">
        <v>1</v>
      </c>
      <c r="W273" s="20">
        <v>5</v>
      </c>
      <c r="X273" s="20">
        <v>3</v>
      </c>
      <c r="Y273" s="20">
        <v>2</v>
      </c>
      <c r="Z273" s="20">
        <v>4</v>
      </c>
      <c r="AA273" s="23">
        <v>3</v>
      </c>
      <c r="AB273" s="15" t="s">
        <v>9</v>
      </c>
      <c r="AC273" s="15" t="s">
        <v>9</v>
      </c>
      <c r="AD273" s="15" t="s">
        <v>9</v>
      </c>
      <c r="AE273" s="15" t="s">
        <v>9</v>
      </c>
      <c r="AF273" s="20" t="s">
        <v>9</v>
      </c>
      <c r="AG273" s="20" t="s">
        <v>9</v>
      </c>
      <c r="AH273" s="24" t="s">
        <v>9</v>
      </c>
      <c r="AI273" s="23">
        <v>3</v>
      </c>
      <c r="AJ273" s="15" t="s">
        <v>9</v>
      </c>
      <c r="AK273" s="15" t="s">
        <v>9</v>
      </c>
      <c r="AL273" s="25" t="s">
        <v>9</v>
      </c>
      <c r="AM273" s="23">
        <v>3</v>
      </c>
      <c r="AN273" s="20" t="s">
        <v>9</v>
      </c>
      <c r="AO273" s="20" t="s">
        <v>9</v>
      </c>
      <c r="AP273" s="15" t="s">
        <v>9</v>
      </c>
      <c r="AQ273" s="15" t="s">
        <v>9</v>
      </c>
      <c r="AR273" s="15" t="s">
        <v>9</v>
      </c>
      <c r="AS273" s="26" t="s">
        <v>9</v>
      </c>
      <c r="AT273" s="26" t="s">
        <v>9</v>
      </c>
      <c r="AU273" s="26" t="s">
        <v>9</v>
      </c>
      <c r="AV273" s="26" t="s">
        <v>9</v>
      </c>
      <c r="AW273" s="26" t="s">
        <v>9</v>
      </c>
      <c r="AX273" s="26" t="s">
        <v>9</v>
      </c>
      <c r="AY273" s="26" t="s">
        <v>9</v>
      </c>
      <c r="AZ273" s="26" t="s">
        <v>9</v>
      </c>
      <c r="BA273" s="23">
        <v>3</v>
      </c>
      <c r="BB273" s="24" t="s">
        <v>9</v>
      </c>
    </row>
    <row r="274" spans="1:54" x14ac:dyDescent="0.2">
      <c r="A274" s="19">
        <v>665</v>
      </c>
      <c r="B274" s="27" t="s">
        <v>9</v>
      </c>
      <c r="C274" s="27" t="s">
        <v>9</v>
      </c>
      <c r="D274" s="27" t="s">
        <v>9</v>
      </c>
      <c r="E274" s="27" t="s">
        <v>9</v>
      </c>
      <c r="F274" s="27" t="s">
        <v>9</v>
      </c>
      <c r="G274" s="27" t="s">
        <v>9</v>
      </c>
      <c r="H274" s="27" t="s">
        <v>9</v>
      </c>
      <c r="I274" s="27" t="s">
        <v>9</v>
      </c>
      <c r="J274" s="27" t="s">
        <v>9</v>
      </c>
      <c r="K274" s="27" t="s">
        <v>9</v>
      </c>
      <c r="L274" s="27" t="s">
        <v>9</v>
      </c>
      <c r="M274" s="27" t="s">
        <v>9</v>
      </c>
      <c r="N274" s="27" t="s">
        <v>9</v>
      </c>
      <c r="O274" s="27" t="s">
        <v>9</v>
      </c>
      <c r="P274" s="27" t="s">
        <v>9</v>
      </c>
      <c r="Q274" s="27" t="s">
        <v>9</v>
      </c>
      <c r="R274" s="27" t="s">
        <v>9</v>
      </c>
      <c r="S274" s="27" t="s">
        <v>9</v>
      </c>
      <c r="T274" s="27" t="s">
        <v>9</v>
      </c>
      <c r="U274" s="27" t="s">
        <v>9</v>
      </c>
      <c r="V274" s="20" t="s">
        <v>1</v>
      </c>
      <c r="W274" s="20">
        <v>5</v>
      </c>
      <c r="X274" s="20">
        <v>3</v>
      </c>
      <c r="Y274" s="20">
        <v>2</v>
      </c>
      <c r="Z274" s="20">
        <v>4</v>
      </c>
      <c r="AA274" s="23">
        <v>3</v>
      </c>
      <c r="AB274" s="15" t="s">
        <v>9</v>
      </c>
      <c r="AC274" s="15" t="s">
        <v>9</v>
      </c>
      <c r="AD274" s="15" t="s">
        <v>9</v>
      </c>
      <c r="AE274" s="15" t="s">
        <v>9</v>
      </c>
      <c r="AF274" s="20" t="s">
        <v>9</v>
      </c>
      <c r="AG274" s="20" t="s">
        <v>9</v>
      </c>
      <c r="AH274" s="24" t="s">
        <v>9</v>
      </c>
      <c r="AI274" s="23">
        <v>3</v>
      </c>
      <c r="AJ274" s="15" t="s">
        <v>9</v>
      </c>
      <c r="AK274" s="15" t="s">
        <v>9</v>
      </c>
      <c r="AL274" s="25" t="s">
        <v>9</v>
      </c>
      <c r="AM274" s="23">
        <v>3</v>
      </c>
      <c r="AN274" s="20" t="s">
        <v>9</v>
      </c>
      <c r="AO274" s="20" t="s">
        <v>9</v>
      </c>
      <c r="AP274" s="15" t="s">
        <v>9</v>
      </c>
      <c r="AQ274" s="15" t="s">
        <v>9</v>
      </c>
      <c r="AR274" s="15" t="s">
        <v>9</v>
      </c>
      <c r="AS274" s="26" t="s">
        <v>9</v>
      </c>
      <c r="AT274" s="26" t="s">
        <v>9</v>
      </c>
      <c r="AU274" s="26" t="s">
        <v>9</v>
      </c>
      <c r="AV274" s="26" t="s">
        <v>9</v>
      </c>
      <c r="AW274" s="26" t="s">
        <v>9</v>
      </c>
      <c r="AX274" s="26" t="s">
        <v>9</v>
      </c>
      <c r="AY274" s="26" t="s">
        <v>9</v>
      </c>
      <c r="AZ274" s="26" t="s">
        <v>9</v>
      </c>
      <c r="BA274" s="23">
        <v>3</v>
      </c>
      <c r="BB274" s="24" t="s">
        <v>9</v>
      </c>
    </row>
    <row r="275" spans="1:54" x14ac:dyDescent="0.2">
      <c r="A275" s="19">
        <v>671</v>
      </c>
      <c r="B275" s="27" t="s">
        <v>9</v>
      </c>
      <c r="C275" s="27" t="s">
        <v>9</v>
      </c>
      <c r="D275" s="27" t="s">
        <v>9</v>
      </c>
      <c r="E275" s="27" t="s">
        <v>9</v>
      </c>
      <c r="F275" s="27" t="s">
        <v>9</v>
      </c>
      <c r="G275" s="27" t="s">
        <v>9</v>
      </c>
      <c r="H275" s="27" t="s">
        <v>9</v>
      </c>
      <c r="I275" s="27" t="s">
        <v>9</v>
      </c>
      <c r="J275" s="27" t="s">
        <v>9</v>
      </c>
      <c r="K275" s="27" t="s">
        <v>9</v>
      </c>
      <c r="L275" s="27" t="s">
        <v>9</v>
      </c>
      <c r="M275" s="27" t="s">
        <v>9</v>
      </c>
      <c r="N275" s="27" t="s">
        <v>9</v>
      </c>
      <c r="O275" s="27" t="s">
        <v>9</v>
      </c>
      <c r="P275" s="27" t="s">
        <v>9</v>
      </c>
      <c r="Q275" s="27" t="s">
        <v>9</v>
      </c>
      <c r="R275" s="27" t="s">
        <v>9</v>
      </c>
      <c r="S275" s="27" t="s">
        <v>9</v>
      </c>
      <c r="T275" s="27" t="s">
        <v>9</v>
      </c>
      <c r="U275" s="27" t="s">
        <v>9</v>
      </c>
      <c r="V275" s="20" t="s">
        <v>1</v>
      </c>
      <c r="W275" s="20">
        <v>5</v>
      </c>
      <c r="X275" s="20">
        <v>3</v>
      </c>
      <c r="Y275" s="20">
        <v>2</v>
      </c>
      <c r="Z275" s="20">
        <v>4</v>
      </c>
      <c r="AA275" s="23">
        <v>3</v>
      </c>
      <c r="AB275" s="15" t="s">
        <v>9</v>
      </c>
      <c r="AC275" s="15" t="s">
        <v>9</v>
      </c>
      <c r="AD275" s="15" t="s">
        <v>9</v>
      </c>
      <c r="AE275" s="15" t="s">
        <v>9</v>
      </c>
      <c r="AF275" s="20" t="s">
        <v>9</v>
      </c>
      <c r="AG275" s="20" t="s">
        <v>9</v>
      </c>
      <c r="AH275" s="24" t="s">
        <v>9</v>
      </c>
      <c r="AI275" s="23">
        <v>3</v>
      </c>
      <c r="AJ275" s="15" t="s">
        <v>9</v>
      </c>
      <c r="AK275" s="15" t="s">
        <v>9</v>
      </c>
      <c r="AL275" s="25" t="s">
        <v>9</v>
      </c>
      <c r="AM275" s="23">
        <v>3</v>
      </c>
      <c r="AN275" s="20" t="s">
        <v>9</v>
      </c>
      <c r="AO275" s="20" t="s">
        <v>9</v>
      </c>
      <c r="AP275" s="15" t="s">
        <v>9</v>
      </c>
      <c r="AQ275" s="15" t="s">
        <v>9</v>
      </c>
      <c r="AR275" s="15" t="s">
        <v>9</v>
      </c>
      <c r="AS275" s="26" t="s">
        <v>9</v>
      </c>
      <c r="AT275" s="26" t="s">
        <v>9</v>
      </c>
      <c r="AU275" s="26" t="s">
        <v>9</v>
      </c>
      <c r="AV275" s="26" t="s">
        <v>9</v>
      </c>
      <c r="AW275" s="26" t="s">
        <v>9</v>
      </c>
      <c r="AX275" s="26" t="s">
        <v>9</v>
      </c>
      <c r="AY275" s="26" t="s">
        <v>9</v>
      </c>
      <c r="AZ275" s="26" t="s">
        <v>9</v>
      </c>
      <c r="BA275" s="23">
        <v>3</v>
      </c>
      <c r="BB275" s="24" t="s">
        <v>9</v>
      </c>
    </row>
    <row r="276" spans="1:54" x14ac:dyDescent="0.2">
      <c r="A276" s="19">
        <v>676</v>
      </c>
      <c r="B276" s="27" t="s">
        <v>9</v>
      </c>
      <c r="C276" s="27" t="s">
        <v>9</v>
      </c>
      <c r="D276" s="27" t="s">
        <v>9</v>
      </c>
      <c r="E276" s="27" t="s">
        <v>9</v>
      </c>
      <c r="F276" s="27" t="s">
        <v>9</v>
      </c>
      <c r="G276" s="27" t="s">
        <v>9</v>
      </c>
      <c r="H276" s="27" t="s">
        <v>9</v>
      </c>
      <c r="I276" s="27" t="s">
        <v>9</v>
      </c>
      <c r="J276" s="27" t="s">
        <v>9</v>
      </c>
      <c r="K276" s="27" t="s">
        <v>9</v>
      </c>
      <c r="L276" s="27" t="s">
        <v>9</v>
      </c>
      <c r="M276" s="27" t="s">
        <v>9</v>
      </c>
      <c r="N276" s="27" t="s">
        <v>9</v>
      </c>
      <c r="O276" s="27" t="s">
        <v>9</v>
      </c>
      <c r="P276" s="27" t="s">
        <v>9</v>
      </c>
      <c r="Q276" s="27" t="s">
        <v>9</v>
      </c>
      <c r="R276" s="27" t="s">
        <v>9</v>
      </c>
      <c r="S276" s="27" t="s">
        <v>9</v>
      </c>
      <c r="T276" s="27" t="s">
        <v>9</v>
      </c>
      <c r="U276" s="27" t="s">
        <v>9</v>
      </c>
      <c r="V276" s="20" t="s">
        <v>1</v>
      </c>
      <c r="W276" s="20">
        <v>5</v>
      </c>
      <c r="X276" s="20">
        <v>3</v>
      </c>
      <c r="Y276" s="20">
        <v>2</v>
      </c>
      <c r="Z276" s="20">
        <v>4</v>
      </c>
      <c r="AA276" s="23">
        <v>3</v>
      </c>
      <c r="AB276" s="15" t="s">
        <v>9</v>
      </c>
      <c r="AC276" s="15" t="s">
        <v>9</v>
      </c>
      <c r="AD276" s="15" t="s">
        <v>9</v>
      </c>
      <c r="AE276" s="15" t="s">
        <v>9</v>
      </c>
      <c r="AF276" s="20" t="s">
        <v>9</v>
      </c>
      <c r="AG276" s="20" t="s">
        <v>9</v>
      </c>
      <c r="AH276" s="24" t="s">
        <v>9</v>
      </c>
      <c r="AI276" s="23">
        <v>3</v>
      </c>
      <c r="AJ276" s="15" t="s">
        <v>9</v>
      </c>
      <c r="AK276" s="15" t="s">
        <v>9</v>
      </c>
      <c r="AL276" s="25" t="s">
        <v>9</v>
      </c>
      <c r="AM276" s="23">
        <v>3</v>
      </c>
      <c r="AN276" s="20" t="s">
        <v>9</v>
      </c>
      <c r="AO276" s="20" t="s">
        <v>9</v>
      </c>
      <c r="AP276" s="15" t="s">
        <v>9</v>
      </c>
      <c r="AQ276" s="15" t="s">
        <v>9</v>
      </c>
      <c r="AR276" s="15" t="s">
        <v>9</v>
      </c>
      <c r="AS276" s="26" t="s">
        <v>9</v>
      </c>
      <c r="AT276" s="26" t="s">
        <v>9</v>
      </c>
      <c r="AU276" s="26" t="s">
        <v>9</v>
      </c>
      <c r="AV276" s="26" t="s">
        <v>9</v>
      </c>
      <c r="AW276" s="26" t="s">
        <v>9</v>
      </c>
      <c r="AX276" s="26" t="s">
        <v>9</v>
      </c>
      <c r="AY276" s="26" t="s">
        <v>9</v>
      </c>
      <c r="AZ276" s="26" t="s">
        <v>9</v>
      </c>
      <c r="BA276" s="23">
        <v>3</v>
      </c>
      <c r="BB276" s="24" t="s">
        <v>9</v>
      </c>
    </row>
    <row r="277" spans="1:54" x14ac:dyDescent="0.2">
      <c r="A277" s="19">
        <v>752</v>
      </c>
      <c r="B277" s="27" t="s">
        <v>9</v>
      </c>
      <c r="C277" s="27" t="s">
        <v>9</v>
      </c>
      <c r="D277" s="27" t="s">
        <v>9</v>
      </c>
      <c r="E277" s="27" t="s">
        <v>9</v>
      </c>
      <c r="F277" s="27" t="s">
        <v>9</v>
      </c>
      <c r="G277" s="27" t="s">
        <v>9</v>
      </c>
      <c r="H277" s="27" t="s">
        <v>9</v>
      </c>
      <c r="I277" s="27" t="s">
        <v>9</v>
      </c>
      <c r="J277" s="27" t="s">
        <v>9</v>
      </c>
      <c r="K277" s="27" t="s">
        <v>9</v>
      </c>
      <c r="L277" s="27" t="s">
        <v>9</v>
      </c>
      <c r="M277" s="27" t="s">
        <v>9</v>
      </c>
      <c r="N277" s="27" t="s">
        <v>9</v>
      </c>
      <c r="O277" s="27" t="s">
        <v>9</v>
      </c>
      <c r="P277" s="27" t="s">
        <v>9</v>
      </c>
      <c r="Q277" s="27" t="s">
        <v>9</v>
      </c>
      <c r="R277" s="27" t="s">
        <v>9</v>
      </c>
      <c r="S277" s="27" t="s">
        <v>9</v>
      </c>
      <c r="T277" s="27" t="s">
        <v>9</v>
      </c>
      <c r="U277" s="27" t="s">
        <v>9</v>
      </c>
      <c r="V277" s="20" t="s">
        <v>1</v>
      </c>
      <c r="W277" s="20">
        <v>5</v>
      </c>
      <c r="X277" s="20">
        <v>3</v>
      </c>
      <c r="Y277" s="20">
        <v>2</v>
      </c>
      <c r="Z277" s="20">
        <v>4</v>
      </c>
      <c r="AA277" s="23">
        <v>3</v>
      </c>
      <c r="AB277" s="15" t="s">
        <v>9</v>
      </c>
      <c r="AC277" s="15" t="s">
        <v>9</v>
      </c>
      <c r="AD277" s="15" t="s">
        <v>9</v>
      </c>
      <c r="AE277" s="15" t="s">
        <v>9</v>
      </c>
      <c r="AF277" s="20" t="s">
        <v>9</v>
      </c>
      <c r="AG277" s="20" t="s">
        <v>9</v>
      </c>
      <c r="AH277" s="24" t="s">
        <v>9</v>
      </c>
      <c r="AI277" s="23">
        <v>3</v>
      </c>
      <c r="AJ277" s="15" t="s">
        <v>9</v>
      </c>
      <c r="AK277" s="15" t="s">
        <v>9</v>
      </c>
      <c r="AL277" s="25" t="s">
        <v>9</v>
      </c>
      <c r="AM277" s="23">
        <v>3</v>
      </c>
      <c r="AN277" s="20" t="s">
        <v>9</v>
      </c>
      <c r="AO277" s="20" t="s">
        <v>9</v>
      </c>
      <c r="AP277" s="15" t="s">
        <v>9</v>
      </c>
      <c r="AQ277" s="15" t="s">
        <v>9</v>
      </c>
      <c r="AR277" s="15" t="s">
        <v>9</v>
      </c>
      <c r="AS277" s="26" t="s">
        <v>9</v>
      </c>
      <c r="AT277" s="26" t="s">
        <v>9</v>
      </c>
      <c r="AU277" s="26" t="s">
        <v>9</v>
      </c>
      <c r="AV277" s="26" t="s">
        <v>9</v>
      </c>
      <c r="AW277" s="26" t="s">
        <v>9</v>
      </c>
      <c r="AX277" s="26" t="s">
        <v>9</v>
      </c>
      <c r="AY277" s="26" t="s">
        <v>9</v>
      </c>
      <c r="AZ277" s="26" t="s">
        <v>9</v>
      </c>
      <c r="BA277" s="23">
        <v>3</v>
      </c>
      <c r="BB277" s="24" t="s">
        <v>9</v>
      </c>
    </row>
    <row r="278" spans="1:54" x14ac:dyDescent="0.2">
      <c r="A278" s="19">
        <v>754</v>
      </c>
      <c r="B278" s="27" t="s">
        <v>9</v>
      </c>
      <c r="C278" s="27" t="s">
        <v>9</v>
      </c>
      <c r="D278" s="27" t="s">
        <v>9</v>
      </c>
      <c r="E278" s="27" t="s">
        <v>9</v>
      </c>
      <c r="F278" s="27" t="s">
        <v>9</v>
      </c>
      <c r="G278" s="27" t="s">
        <v>9</v>
      </c>
      <c r="H278" s="27" t="s">
        <v>9</v>
      </c>
      <c r="I278" s="27" t="s">
        <v>9</v>
      </c>
      <c r="J278" s="27" t="s">
        <v>9</v>
      </c>
      <c r="K278" s="27" t="s">
        <v>9</v>
      </c>
      <c r="L278" s="27" t="s">
        <v>9</v>
      </c>
      <c r="M278" s="27" t="s">
        <v>9</v>
      </c>
      <c r="N278" s="27" t="s">
        <v>9</v>
      </c>
      <c r="O278" s="27" t="s">
        <v>9</v>
      </c>
      <c r="P278" s="27" t="s">
        <v>9</v>
      </c>
      <c r="Q278" s="27" t="s">
        <v>9</v>
      </c>
      <c r="R278" s="27" t="s">
        <v>9</v>
      </c>
      <c r="S278" s="27" t="s">
        <v>9</v>
      </c>
      <c r="T278" s="27" t="s">
        <v>9</v>
      </c>
      <c r="U278" s="27" t="s">
        <v>9</v>
      </c>
      <c r="V278" s="20" t="s">
        <v>1</v>
      </c>
      <c r="W278" s="20">
        <v>5</v>
      </c>
      <c r="X278" s="20">
        <v>3</v>
      </c>
      <c r="Y278" s="20">
        <v>2</v>
      </c>
      <c r="Z278" s="20">
        <v>4</v>
      </c>
      <c r="AA278" s="23">
        <v>3</v>
      </c>
      <c r="AB278" s="15" t="s">
        <v>9</v>
      </c>
      <c r="AC278" s="15" t="s">
        <v>9</v>
      </c>
      <c r="AD278" s="15" t="s">
        <v>9</v>
      </c>
      <c r="AE278" s="15" t="s">
        <v>9</v>
      </c>
      <c r="AF278" s="20" t="s">
        <v>9</v>
      </c>
      <c r="AG278" s="20" t="s">
        <v>9</v>
      </c>
      <c r="AH278" s="24" t="s">
        <v>9</v>
      </c>
      <c r="AI278" s="23">
        <v>3</v>
      </c>
      <c r="AJ278" s="15" t="s">
        <v>9</v>
      </c>
      <c r="AK278" s="15" t="s">
        <v>9</v>
      </c>
      <c r="AL278" s="25" t="s">
        <v>9</v>
      </c>
      <c r="AM278" s="23">
        <v>3</v>
      </c>
      <c r="AN278" s="20" t="s">
        <v>9</v>
      </c>
      <c r="AO278" s="20" t="s">
        <v>9</v>
      </c>
      <c r="AP278" s="15" t="s">
        <v>9</v>
      </c>
      <c r="AQ278" s="15" t="s">
        <v>9</v>
      </c>
      <c r="AR278" s="15" t="s">
        <v>9</v>
      </c>
      <c r="AS278" s="26" t="s">
        <v>9</v>
      </c>
      <c r="AT278" s="26" t="s">
        <v>9</v>
      </c>
      <c r="AU278" s="26" t="s">
        <v>9</v>
      </c>
      <c r="AV278" s="26" t="s">
        <v>9</v>
      </c>
      <c r="AW278" s="26" t="s">
        <v>9</v>
      </c>
      <c r="AX278" s="26" t="s">
        <v>9</v>
      </c>
      <c r="AY278" s="26" t="s">
        <v>9</v>
      </c>
      <c r="AZ278" s="26" t="s">
        <v>9</v>
      </c>
      <c r="BA278" s="23">
        <v>3</v>
      </c>
      <c r="BB278" s="24" t="s">
        <v>9</v>
      </c>
    </row>
    <row r="279" spans="1:54" x14ac:dyDescent="0.2">
      <c r="A279" s="19">
        <v>760</v>
      </c>
      <c r="B279" s="27" t="s">
        <v>9</v>
      </c>
      <c r="C279" s="27" t="s">
        <v>9</v>
      </c>
      <c r="D279" s="27" t="s">
        <v>9</v>
      </c>
      <c r="E279" s="27" t="s">
        <v>9</v>
      </c>
      <c r="F279" s="27" t="s">
        <v>9</v>
      </c>
      <c r="G279" s="27" t="s">
        <v>9</v>
      </c>
      <c r="H279" s="27" t="s">
        <v>9</v>
      </c>
      <c r="I279" s="27" t="s">
        <v>9</v>
      </c>
      <c r="J279" s="27" t="s">
        <v>9</v>
      </c>
      <c r="K279" s="27" t="s">
        <v>9</v>
      </c>
      <c r="L279" s="27" t="s">
        <v>9</v>
      </c>
      <c r="M279" s="27" t="s">
        <v>9</v>
      </c>
      <c r="N279" s="27" t="s">
        <v>9</v>
      </c>
      <c r="O279" s="27" t="s">
        <v>9</v>
      </c>
      <c r="P279" s="27" t="s">
        <v>9</v>
      </c>
      <c r="Q279" s="27" t="s">
        <v>9</v>
      </c>
      <c r="R279" s="27" t="s">
        <v>9</v>
      </c>
      <c r="S279" s="27" t="s">
        <v>9</v>
      </c>
      <c r="T279" s="27" t="s">
        <v>9</v>
      </c>
      <c r="U279" s="27" t="s">
        <v>9</v>
      </c>
      <c r="V279" s="20" t="s">
        <v>1</v>
      </c>
      <c r="W279" s="20">
        <v>5</v>
      </c>
      <c r="X279" s="20">
        <v>3</v>
      </c>
      <c r="Y279" s="20">
        <v>2</v>
      </c>
      <c r="Z279" s="20">
        <v>4</v>
      </c>
      <c r="AA279" s="23">
        <v>3</v>
      </c>
      <c r="AB279" s="15" t="s">
        <v>9</v>
      </c>
      <c r="AC279" s="15" t="s">
        <v>9</v>
      </c>
      <c r="AD279" s="15" t="s">
        <v>9</v>
      </c>
      <c r="AE279" s="15" t="s">
        <v>9</v>
      </c>
      <c r="AF279" s="20" t="s">
        <v>9</v>
      </c>
      <c r="AG279" s="20" t="s">
        <v>9</v>
      </c>
      <c r="AH279" s="24" t="s">
        <v>9</v>
      </c>
      <c r="AI279" s="23">
        <v>3</v>
      </c>
      <c r="AJ279" s="15" t="s">
        <v>9</v>
      </c>
      <c r="AK279" s="15" t="s">
        <v>9</v>
      </c>
      <c r="AL279" s="25" t="s">
        <v>9</v>
      </c>
      <c r="AM279" s="23">
        <v>3</v>
      </c>
      <c r="AN279" s="20" t="s">
        <v>9</v>
      </c>
      <c r="AO279" s="20" t="s">
        <v>9</v>
      </c>
      <c r="AP279" s="15" t="s">
        <v>9</v>
      </c>
      <c r="AQ279" s="15" t="s">
        <v>9</v>
      </c>
      <c r="AR279" s="15" t="s">
        <v>9</v>
      </c>
      <c r="AS279" s="26" t="s">
        <v>9</v>
      </c>
      <c r="AT279" s="26" t="s">
        <v>9</v>
      </c>
      <c r="AU279" s="26" t="s">
        <v>9</v>
      </c>
      <c r="AV279" s="26" t="s">
        <v>9</v>
      </c>
      <c r="AW279" s="26" t="s">
        <v>9</v>
      </c>
      <c r="AX279" s="26" t="s">
        <v>9</v>
      </c>
      <c r="AY279" s="26" t="s">
        <v>9</v>
      </c>
      <c r="AZ279" s="26" t="s">
        <v>9</v>
      </c>
      <c r="BA279" s="23">
        <v>3</v>
      </c>
      <c r="BB279" s="24" t="s">
        <v>9</v>
      </c>
    </row>
    <row r="280" spans="1:54" x14ac:dyDescent="0.2">
      <c r="A280" s="21">
        <v>770</v>
      </c>
      <c r="B280" s="27" t="s">
        <v>9</v>
      </c>
      <c r="C280" s="27" t="s">
        <v>9</v>
      </c>
      <c r="D280" s="27" t="s">
        <v>9</v>
      </c>
      <c r="E280" s="27" t="s">
        <v>9</v>
      </c>
      <c r="F280" s="27" t="s">
        <v>9</v>
      </c>
      <c r="G280" s="27" t="s">
        <v>9</v>
      </c>
      <c r="H280" s="27" t="s">
        <v>9</v>
      </c>
      <c r="I280" s="27" t="s">
        <v>9</v>
      </c>
      <c r="J280" s="27" t="s">
        <v>9</v>
      </c>
      <c r="K280" s="27" t="s">
        <v>9</v>
      </c>
      <c r="L280" s="27" t="s">
        <v>9</v>
      </c>
      <c r="M280" s="27" t="s">
        <v>9</v>
      </c>
      <c r="N280" s="27" t="s">
        <v>9</v>
      </c>
      <c r="O280" s="27" t="s">
        <v>9</v>
      </c>
      <c r="P280" s="27" t="s">
        <v>9</v>
      </c>
      <c r="Q280" s="27" t="s">
        <v>9</v>
      </c>
      <c r="R280" s="27" t="s">
        <v>9</v>
      </c>
      <c r="S280" s="27" t="s">
        <v>9</v>
      </c>
      <c r="T280" s="27" t="s">
        <v>9</v>
      </c>
      <c r="U280" s="27" t="s">
        <v>9</v>
      </c>
      <c r="V280" s="20" t="s">
        <v>1</v>
      </c>
      <c r="W280" s="20">
        <v>5</v>
      </c>
      <c r="X280" s="20">
        <v>3</v>
      </c>
      <c r="Y280" s="5">
        <v>2</v>
      </c>
      <c r="Z280" s="20">
        <v>4</v>
      </c>
      <c r="AA280" s="23">
        <v>3</v>
      </c>
      <c r="AB280" s="15" t="s">
        <v>9</v>
      </c>
      <c r="AC280" s="15" t="s">
        <v>9</v>
      </c>
      <c r="AD280" s="15" t="s">
        <v>9</v>
      </c>
      <c r="AE280" s="15" t="s">
        <v>9</v>
      </c>
      <c r="AF280" s="20" t="s">
        <v>9</v>
      </c>
      <c r="AG280" s="20" t="s">
        <v>9</v>
      </c>
      <c r="AH280" s="24" t="s">
        <v>9</v>
      </c>
      <c r="AI280" s="23">
        <v>3</v>
      </c>
      <c r="AJ280" s="15" t="s">
        <v>9</v>
      </c>
      <c r="AK280" s="15" t="s">
        <v>9</v>
      </c>
      <c r="AL280" s="25" t="s">
        <v>9</v>
      </c>
      <c r="AM280" s="23">
        <v>3</v>
      </c>
      <c r="AN280" s="20" t="s">
        <v>9</v>
      </c>
      <c r="AO280" s="20" t="s">
        <v>9</v>
      </c>
      <c r="AP280" s="15" t="s">
        <v>9</v>
      </c>
      <c r="AQ280" s="15" t="s">
        <v>9</v>
      </c>
      <c r="AR280" s="15" t="s">
        <v>9</v>
      </c>
      <c r="AS280" s="26" t="s">
        <v>9</v>
      </c>
      <c r="AT280" s="26" t="s">
        <v>9</v>
      </c>
      <c r="AU280" s="26" t="s">
        <v>9</v>
      </c>
      <c r="AV280" s="26" t="s">
        <v>9</v>
      </c>
      <c r="AW280" s="26" t="s">
        <v>9</v>
      </c>
      <c r="AX280" s="26" t="s">
        <v>9</v>
      </c>
      <c r="AY280" s="26" t="s">
        <v>9</v>
      </c>
      <c r="AZ280" s="26" t="s">
        <v>9</v>
      </c>
      <c r="BA280" s="23">
        <v>3</v>
      </c>
      <c r="BB280" s="24" t="s">
        <v>9</v>
      </c>
    </row>
    <row r="281" spans="1:54" x14ac:dyDescent="0.2">
      <c r="A281" s="21">
        <v>801</v>
      </c>
      <c r="B281" s="27" t="s">
        <v>9</v>
      </c>
      <c r="C281" s="27" t="s">
        <v>9</v>
      </c>
      <c r="D281" s="27" t="s">
        <v>9</v>
      </c>
      <c r="E281" s="27" t="s">
        <v>9</v>
      </c>
      <c r="F281" s="27" t="s">
        <v>9</v>
      </c>
      <c r="G281" s="27" t="s">
        <v>9</v>
      </c>
      <c r="H281" s="27" t="s">
        <v>9</v>
      </c>
      <c r="I281" s="27" t="s">
        <v>9</v>
      </c>
      <c r="J281" s="27" t="s">
        <v>9</v>
      </c>
      <c r="K281" s="27" t="s">
        <v>9</v>
      </c>
      <c r="L281" s="27" t="s">
        <v>9</v>
      </c>
      <c r="M281" s="27" t="s">
        <v>9</v>
      </c>
      <c r="N281" s="27" t="s">
        <v>9</v>
      </c>
      <c r="O281" s="27" t="s">
        <v>9</v>
      </c>
      <c r="P281" s="27" t="s">
        <v>9</v>
      </c>
      <c r="Q281" s="27" t="s">
        <v>9</v>
      </c>
      <c r="R281" s="27" t="s">
        <v>9</v>
      </c>
      <c r="S281" s="27" t="s">
        <v>9</v>
      </c>
      <c r="T281" s="27" t="s">
        <v>9</v>
      </c>
      <c r="U281" s="27" t="s">
        <v>9</v>
      </c>
      <c r="V281" s="20" t="s">
        <v>1</v>
      </c>
      <c r="W281" s="20">
        <v>5</v>
      </c>
      <c r="X281" s="20">
        <v>3</v>
      </c>
      <c r="Y281" s="5">
        <v>2</v>
      </c>
      <c r="Z281" s="20">
        <v>4</v>
      </c>
      <c r="AA281" s="23">
        <v>3</v>
      </c>
      <c r="AB281" s="15" t="s">
        <v>9</v>
      </c>
      <c r="AC281" s="15" t="s">
        <v>9</v>
      </c>
      <c r="AD281" s="15" t="s">
        <v>9</v>
      </c>
      <c r="AE281" s="15" t="s">
        <v>9</v>
      </c>
      <c r="AF281" s="20" t="s">
        <v>9</v>
      </c>
      <c r="AG281" s="20" t="s">
        <v>9</v>
      </c>
      <c r="AH281" s="24" t="s">
        <v>9</v>
      </c>
      <c r="AI281" s="23">
        <v>3</v>
      </c>
      <c r="AJ281" s="15" t="s">
        <v>9</v>
      </c>
      <c r="AK281" s="15" t="s">
        <v>9</v>
      </c>
      <c r="AL281" s="25" t="s">
        <v>9</v>
      </c>
      <c r="AM281" s="23">
        <v>3</v>
      </c>
      <c r="AN281" s="20" t="s">
        <v>9</v>
      </c>
      <c r="AO281" s="20" t="s">
        <v>9</v>
      </c>
      <c r="AP281" s="15" t="s">
        <v>9</v>
      </c>
      <c r="AQ281" s="15" t="s">
        <v>9</v>
      </c>
      <c r="AR281" s="15" t="s">
        <v>9</v>
      </c>
      <c r="AS281" s="26" t="s">
        <v>9</v>
      </c>
      <c r="AT281" s="26" t="s">
        <v>9</v>
      </c>
      <c r="AU281" s="26" t="s">
        <v>9</v>
      </c>
      <c r="AV281" s="26" t="s">
        <v>9</v>
      </c>
      <c r="AW281" s="26" t="s">
        <v>9</v>
      </c>
      <c r="AX281" s="26" t="s">
        <v>9</v>
      </c>
      <c r="AY281" s="26" t="s">
        <v>9</v>
      </c>
      <c r="AZ281" s="26" t="s">
        <v>9</v>
      </c>
      <c r="BA281" s="23">
        <v>3</v>
      </c>
      <c r="BB281" s="24" t="s">
        <v>9</v>
      </c>
    </row>
    <row r="282" spans="1:54" x14ac:dyDescent="0.2">
      <c r="A282" s="19">
        <v>818</v>
      </c>
      <c r="B282" s="27" t="s">
        <v>9</v>
      </c>
      <c r="C282" s="27" t="s">
        <v>9</v>
      </c>
      <c r="D282" s="27" t="s">
        <v>9</v>
      </c>
      <c r="E282" s="27" t="s">
        <v>9</v>
      </c>
      <c r="F282" s="27" t="s">
        <v>9</v>
      </c>
      <c r="G282" s="27" t="s">
        <v>9</v>
      </c>
      <c r="H282" s="27" t="s">
        <v>9</v>
      </c>
      <c r="I282" s="27" t="s">
        <v>9</v>
      </c>
      <c r="J282" s="27" t="s">
        <v>9</v>
      </c>
      <c r="K282" s="27" t="s">
        <v>9</v>
      </c>
      <c r="L282" s="27" t="s">
        <v>9</v>
      </c>
      <c r="M282" s="27" t="s">
        <v>9</v>
      </c>
      <c r="N282" s="27" t="s">
        <v>9</v>
      </c>
      <c r="O282" s="27" t="s">
        <v>9</v>
      </c>
      <c r="P282" s="27" t="s">
        <v>9</v>
      </c>
      <c r="Q282" s="27" t="s">
        <v>9</v>
      </c>
      <c r="R282" s="27" t="s">
        <v>9</v>
      </c>
      <c r="S282" s="27" t="s">
        <v>9</v>
      </c>
      <c r="T282" s="27" t="s">
        <v>9</v>
      </c>
      <c r="U282" s="27" t="s">
        <v>9</v>
      </c>
      <c r="V282" s="20" t="s">
        <v>1</v>
      </c>
      <c r="W282" s="20">
        <v>5</v>
      </c>
      <c r="X282" s="20">
        <v>3</v>
      </c>
      <c r="Y282" s="20">
        <v>2</v>
      </c>
      <c r="Z282" s="20">
        <v>4</v>
      </c>
      <c r="AA282" s="23">
        <v>3</v>
      </c>
      <c r="AB282" s="15" t="s">
        <v>9</v>
      </c>
      <c r="AC282" s="15" t="s">
        <v>9</v>
      </c>
      <c r="AD282" s="15" t="s">
        <v>9</v>
      </c>
      <c r="AE282" s="15" t="s">
        <v>9</v>
      </c>
      <c r="AF282" s="20" t="s">
        <v>9</v>
      </c>
      <c r="AG282" s="20" t="s">
        <v>9</v>
      </c>
      <c r="AH282" s="24" t="s">
        <v>9</v>
      </c>
      <c r="AI282" s="23">
        <v>3</v>
      </c>
      <c r="AJ282" s="15" t="s">
        <v>9</v>
      </c>
      <c r="AK282" s="15" t="s">
        <v>9</v>
      </c>
      <c r="AL282" s="25" t="s">
        <v>9</v>
      </c>
      <c r="AM282" s="23">
        <v>3</v>
      </c>
      <c r="AN282" s="20" t="s">
        <v>9</v>
      </c>
      <c r="AO282" s="20" t="s">
        <v>9</v>
      </c>
      <c r="AP282" s="15" t="s">
        <v>9</v>
      </c>
      <c r="AQ282" s="15" t="s">
        <v>9</v>
      </c>
      <c r="AR282" s="15" t="s">
        <v>9</v>
      </c>
      <c r="AS282" s="26" t="s">
        <v>9</v>
      </c>
      <c r="AT282" s="26" t="s">
        <v>9</v>
      </c>
      <c r="AU282" s="26" t="s">
        <v>9</v>
      </c>
      <c r="AV282" s="26" t="s">
        <v>9</v>
      </c>
      <c r="AW282" s="26" t="s">
        <v>9</v>
      </c>
      <c r="AX282" s="26" t="s">
        <v>9</v>
      </c>
      <c r="AY282" s="26" t="s">
        <v>9</v>
      </c>
      <c r="AZ282" s="26" t="s">
        <v>9</v>
      </c>
      <c r="BA282" s="23">
        <v>3</v>
      </c>
      <c r="BB282" s="24" t="s">
        <v>9</v>
      </c>
    </row>
    <row r="283" spans="1:54" x14ac:dyDescent="0.2">
      <c r="A283" s="19">
        <v>819</v>
      </c>
      <c r="B283" s="27" t="s">
        <v>9</v>
      </c>
      <c r="C283" s="27" t="s">
        <v>9</v>
      </c>
      <c r="D283" s="27" t="s">
        <v>9</v>
      </c>
      <c r="E283" s="27" t="s">
        <v>9</v>
      </c>
      <c r="F283" s="27" t="s">
        <v>9</v>
      </c>
      <c r="G283" s="27" t="s">
        <v>9</v>
      </c>
      <c r="H283" s="27" t="s">
        <v>9</v>
      </c>
      <c r="I283" s="27" t="s">
        <v>9</v>
      </c>
      <c r="J283" s="27" t="s">
        <v>9</v>
      </c>
      <c r="K283" s="27" t="s">
        <v>9</v>
      </c>
      <c r="L283" s="27" t="s">
        <v>9</v>
      </c>
      <c r="M283" s="27" t="s">
        <v>9</v>
      </c>
      <c r="N283" s="27" t="s">
        <v>9</v>
      </c>
      <c r="O283" s="27" t="s">
        <v>9</v>
      </c>
      <c r="P283" s="27" t="s">
        <v>9</v>
      </c>
      <c r="Q283" s="27" t="s">
        <v>9</v>
      </c>
      <c r="R283" s="27" t="s">
        <v>9</v>
      </c>
      <c r="S283" s="27" t="s">
        <v>9</v>
      </c>
      <c r="T283" s="27" t="s">
        <v>9</v>
      </c>
      <c r="U283" s="27" t="s">
        <v>9</v>
      </c>
      <c r="V283" s="20" t="s">
        <v>1</v>
      </c>
      <c r="W283" s="20">
        <v>5</v>
      </c>
      <c r="X283" s="20">
        <v>3</v>
      </c>
      <c r="Y283" s="20">
        <v>2</v>
      </c>
      <c r="Z283" s="20">
        <v>4</v>
      </c>
      <c r="AA283" s="23">
        <v>3</v>
      </c>
      <c r="AB283" s="15" t="s">
        <v>9</v>
      </c>
      <c r="AC283" s="15" t="s">
        <v>9</v>
      </c>
      <c r="AD283" s="15" t="s">
        <v>9</v>
      </c>
      <c r="AE283" s="15" t="s">
        <v>9</v>
      </c>
      <c r="AF283" s="20" t="s">
        <v>9</v>
      </c>
      <c r="AG283" s="20" t="s">
        <v>9</v>
      </c>
      <c r="AH283" s="24" t="s">
        <v>9</v>
      </c>
      <c r="AI283" s="23">
        <v>3</v>
      </c>
      <c r="AJ283" s="15" t="s">
        <v>9</v>
      </c>
      <c r="AK283" s="15" t="s">
        <v>9</v>
      </c>
      <c r="AL283" s="25" t="s">
        <v>9</v>
      </c>
      <c r="AM283" s="23">
        <v>3</v>
      </c>
      <c r="AN283" s="20" t="s">
        <v>9</v>
      </c>
      <c r="AO283" s="20" t="s">
        <v>9</v>
      </c>
      <c r="AP283" s="15" t="s">
        <v>9</v>
      </c>
      <c r="AQ283" s="15" t="s">
        <v>9</v>
      </c>
      <c r="AR283" s="15" t="s">
        <v>9</v>
      </c>
      <c r="AS283" s="26" t="s">
        <v>9</v>
      </c>
      <c r="AT283" s="26" t="s">
        <v>9</v>
      </c>
      <c r="AU283" s="26" t="s">
        <v>9</v>
      </c>
      <c r="AV283" s="26" t="s">
        <v>9</v>
      </c>
      <c r="AW283" s="26" t="s">
        <v>9</v>
      </c>
      <c r="AX283" s="26" t="s">
        <v>9</v>
      </c>
      <c r="AY283" s="26" t="s">
        <v>9</v>
      </c>
      <c r="AZ283" s="26" t="s">
        <v>9</v>
      </c>
      <c r="BA283" s="23">
        <v>3</v>
      </c>
      <c r="BB283" s="24" t="s">
        <v>9</v>
      </c>
    </row>
    <row r="284" spans="1:54" x14ac:dyDescent="0.2">
      <c r="A284" s="19">
        <v>832</v>
      </c>
      <c r="B284" s="27" t="s">
        <v>9</v>
      </c>
      <c r="C284" s="27" t="s">
        <v>9</v>
      </c>
      <c r="D284" s="27" t="s">
        <v>9</v>
      </c>
      <c r="E284" s="27" t="s">
        <v>9</v>
      </c>
      <c r="F284" s="27" t="s">
        <v>9</v>
      </c>
      <c r="G284" s="27" t="s">
        <v>9</v>
      </c>
      <c r="H284" s="27" t="s">
        <v>9</v>
      </c>
      <c r="I284" s="27" t="s">
        <v>9</v>
      </c>
      <c r="J284" s="27" t="s">
        <v>9</v>
      </c>
      <c r="K284" s="27" t="s">
        <v>9</v>
      </c>
      <c r="L284" s="27" t="s">
        <v>9</v>
      </c>
      <c r="M284" s="27" t="s">
        <v>9</v>
      </c>
      <c r="N284" s="27" t="s">
        <v>9</v>
      </c>
      <c r="O284" s="27" t="s">
        <v>9</v>
      </c>
      <c r="P284" s="27" t="s">
        <v>9</v>
      </c>
      <c r="Q284" s="27" t="s">
        <v>9</v>
      </c>
      <c r="R284" s="27" t="s">
        <v>9</v>
      </c>
      <c r="S284" s="27" t="s">
        <v>9</v>
      </c>
      <c r="T284" s="27" t="s">
        <v>9</v>
      </c>
      <c r="U284" s="27" t="s">
        <v>9</v>
      </c>
      <c r="V284" s="20" t="s">
        <v>1</v>
      </c>
      <c r="W284" s="20">
        <v>5</v>
      </c>
      <c r="X284" s="20">
        <v>3</v>
      </c>
      <c r="Y284" s="20">
        <v>2</v>
      </c>
      <c r="Z284" s="20">
        <v>4</v>
      </c>
      <c r="AA284" s="23">
        <v>3</v>
      </c>
      <c r="AB284" s="15" t="s">
        <v>9</v>
      </c>
      <c r="AC284" s="15" t="s">
        <v>9</v>
      </c>
      <c r="AD284" s="15" t="s">
        <v>9</v>
      </c>
      <c r="AE284" s="15" t="s">
        <v>9</v>
      </c>
      <c r="AF284" s="20" t="s">
        <v>9</v>
      </c>
      <c r="AG284" s="20" t="s">
        <v>9</v>
      </c>
      <c r="AH284" s="24" t="s">
        <v>9</v>
      </c>
      <c r="AI284" s="23">
        <v>3</v>
      </c>
      <c r="AJ284" s="15" t="s">
        <v>9</v>
      </c>
      <c r="AK284" s="15" t="s">
        <v>9</v>
      </c>
      <c r="AL284" s="25" t="s">
        <v>9</v>
      </c>
      <c r="AM284" s="23">
        <v>3</v>
      </c>
      <c r="AN284" s="20" t="s">
        <v>9</v>
      </c>
      <c r="AO284" s="20" t="s">
        <v>9</v>
      </c>
      <c r="AP284" s="15" t="s">
        <v>9</v>
      </c>
      <c r="AQ284" s="15" t="s">
        <v>9</v>
      </c>
      <c r="AR284" s="15" t="s">
        <v>9</v>
      </c>
      <c r="AS284" s="26" t="s">
        <v>9</v>
      </c>
      <c r="AT284" s="26" t="s">
        <v>9</v>
      </c>
      <c r="AU284" s="26" t="s">
        <v>9</v>
      </c>
      <c r="AV284" s="26" t="s">
        <v>9</v>
      </c>
      <c r="AW284" s="26" t="s">
        <v>9</v>
      </c>
      <c r="AX284" s="26" t="s">
        <v>9</v>
      </c>
      <c r="AY284" s="26" t="s">
        <v>9</v>
      </c>
      <c r="AZ284" s="26" t="s">
        <v>9</v>
      </c>
      <c r="BA284" s="23">
        <v>3</v>
      </c>
      <c r="BB284" s="24" t="s">
        <v>9</v>
      </c>
    </row>
    <row r="285" spans="1:54" x14ac:dyDescent="0.2">
      <c r="A285" s="19">
        <v>836</v>
      </c>
      <c r="B285" s="27" t="s">
        <v>9</v>
      </c>
      <c r="C285" s="27" t="s">
        <v>9</v>
      </c>
      <c r="D285" s="27" t="s">
        <v>9</v>
      </c>
      <c r="E285" s="27" t="s">
        <v>9</v>
      </c>
      <c r="F285" s="27" t="s">
        <v>9</v>
      </c>
      <c r="G285" s="27" t="s">
        <v>9</v>
      </c>
      <c r="H285" s="27" t="s">
        <v>9</v>
      </c>
      <c r="I285" s="27" t="s">
        <v>9</v>
      </c>
      <c r="J285" s="27" t="s">
        <v>9</v>
      </c>
      <c r="K285" s="27" t="s">
        <v>9</v>
      </c>
      <c r="L285" s="27" t="s">
        <v>9</v>
      </c>
      <c r="M285" s="27" t="s">
        <v>9</v>
      </c>
      <c r="N285" s="27" t="s">
        <v>9</v>
      </c>
      <c r="O285" s="27" t="s">
        <v>9</v>
      </c>
      <c r="P285" s="27" t="s">
        <v>9</v>
      </c>
      <c r="Q285" s="27" t="s">
        <v>9</v>
      </c>
      <c r="R285" s="27" t="s">
        <v>9</v>
      </c>
      <c r="S285" s="27" t="s">
        <v>9</v>
      </c>
      <c r="T285" s="27" t="s">
        <v>9</v>
      </c>
      <c r="U285" s="27" t="s">
        <v>9</v>
      </c>
      <c r="V285" s="20" t="s">
        <v>1</v>
      </c>
      <c r="W285" s="20">
        <v>5</v>
      </c>
      <c r="X285" s="20">
        <v>3</v>
      </c>
      <c r="Y285" s="20">
        <v>2</v>
      </c>
      <c r="Z285" s="20">
        <v>4</v>
      </c>
      <c r="AA285" s="23">
        <v>3</v>
      </c>
      <c r="AB285" s="15" t="s">
        <v>9</v>
      </c>
      <c r="AC285" s="15" t="s">
        <v>9</v>
      </c>
      <c r="AD285" s="15" t="s">
        <v>9</v>
      </c>
      <c r="AE285" s="15" t="s">
        <v>9</v>
      </c>
      <c r="AF285" s="20" t="s">
        <v>9</v>
      </c>
      <c r="AG285" s="20" t="s">
        <v>9</v>
      </c>
      <c r="AH285" s="24" t="s">
        <v>9</v>
      </c>
      <c r="AI285" s="23">
        <v>3</v>
      </c>
      <c r="AJ285" s="15" t="s">
        <v>9</v>
      </c>
      <c r="AK285" s="15" t="s">
        <v>9</v>
      </c>
      <c r="AL285" s="25" t="s">
        <v>9</v>
      </c>
      <c r="AM285" s="23">
        <v>3</v>
      </c>
      <c r="AN285" s="20" t="s">
        <v>9</v>
      </c>
      <c r="AO285" s="20" t="s">
        <v>9</v>
      </c>
      <c r="AP285" s="15" t="s">
        <v>9</v>
      </c>
      <c r="AQ285" s="15" t="s">
        <v>9</v>
      </c>
      <c r="AR285" s="15" t="s">
        <v>9</v>
      </c>
      <c r="AS285" s="26" t="s">
        <v>9</v>
      </c>
      <c r="AT285" s="26" t="s">
        <v>9</v>
      </c>
      <c r="AU285" s="26" t="s">
        <v>9</v>
      </c>
      <c r="AV285" s="26" t="s">
        <v>9</v>
      </c>
      <c r="AW285" s="26" t="s">
        <v>9</v>
      </c>
      <c r="AX285" s="26" t="s">
        <v>9</v>
      </c>
      <c r="AY285" s="26" t="s">
        <v>9</v>
      </c>
      <c r="AZ285" s="26" t="s">
        <v>9</v>
      </c>
      <c r="BA285" s="23">
        <v>3</v>
      </c>
      <c r="BB285" s="24" t="s">
        <v>9</v>
      </c>
    </row>
    <row r="286" spans="1:54" x14ac:dyDescent="0.2">
      <c r="A286" s="19">
        <v>843</v>
      </c>
      <c r="B286" s="27" t="s">
        <v>9</v>
      </c>
      <c r="C286" s="27" t="s">
        <v>9</v>
      </c>
      <c r="D286" s="27" t="s">
        <v>9</v>
      </c>
      <c r="E286" s="27" t="s">
        <v>9</v>
      </c>
      <c r="F286" s="27" t="s">
        <v>9</v>
      </c>
      <c r="G286" s="27" t="s">
        <v>9</v>
      </c>
      <c r="H286" s="27" t="s">
        <v>9</v>
      </c>
      <c r="I286" s="27" t="s">
        <v>9</v>
      </c>
      <c r="J286" s="27" t="s">
        <v>9</v>
      </c>
      <c r="K286" s="27" t="s">
        <v>9</v>
      </c>
      <c r="L286" s="27" t="s">
        <v>9</v>
      </c>
      <c r="M286" s="27" t="s">
        <v>9</v>
      </c>
      <c r="N286" s="27" t="s">
        <v>9</v>
      </c>
      <c r="O286" s="27" t="s">
        <v>9</v>
      </c>
      <c r="P286" s="27" t="s">
        <v>9</v>
      </c>
      <c r="Q286" s="27" t="s">
        <v>9</v>
      </c>
      <c r="R286" s="27" t="s">
        <v>9</v>
      </c>
      <c r="S286" s="27" t="s">
        <v>9</v>
      </c>
      <c r="T286" s="27" t="s">
        <v>9</v>
      </c>
      <c r="U286" s="27" t="s">
        <v>9</v>
      </c>
      <c r="V286" s="20" t="s">
        <v>1</v>
      </c>
      <c r="W286" s="20">
        <v>5</v>
      </c>
      <c r="X286" s="20">
        <v>3</v>
      </c>
      <c r="Y286" s="20">
        <v>2</v>
      </c>
      <c r="Z286" s="20">
        <v>4</v>
      </c>
      <c r="AA286" s="23">
        <v>3</v>
      </c>
      <c r="AB286" s="15" t="s">
        <v>9</v>
      </c>
      <c r="AC286" s="15" t="s">
        <v>9</v>
      </c>
      <c r="AD286" s="15" t="s">
        <v>9</v>
      </c>
      <c r="AE286" s="15" t="s">
        <v>9</v>
      </c>
      <c r="AF286" s="20" t="s">
        <v>9</v>
      </c>
      <c r="AG286" s="20" t="s">
        <v>9</v>
      </c>
      <c r="AH286" s="24" t="s">
        <v>9</v>
      </c>
      <c r="AI286" s="23">
        <v>3</v>
      </c>
      <c r="AJ286" s="15" t="s">
        <v>9</v>
      </c>
      <c r="AK286" s="15" t="s">
        <v>9</v>
      </c>
      <c r="AL286" s="25" t="s">
        <v>9</v>
      </c>
      <c r="AM286" s="23">
        <v>3</v>
      </c>
      <c r="AN286" s="20" t="s">
        <v>9</v>
      </c>
      <c r="AO286" s="20" t="s">
        <v>9</v>
      </c>
      <c r="AP286" s="15" t="s">
        <v>9</v>
      </c>
      <c r="AQ286" s="15" t="s">
        <v>9</v>
      </c>
      <c r="AR286" s="15" t="s">
        <v>9</v>
      </c>
      <c r="AS286" s="26" t="s">
        <v>9</v>
      </c>
      <c r="AT286" s="26" t="s">
        <v>9</v>
      </c>
      <c r="AU286" s="26" t="s">
        <v>9</v>
      </c>
      <c r="AV286" s="26" t="s">
        <v>9</v>
      </c>
      <c r="AW286" s="26" t="s">
        <v>9</v>
      </c>
      <c r="AX286" s="26" t="s">
        <v>9</v>
      </c>
      <c r="AY286" s="26" t="s">
        <v>9</v>
      </c>
      <c r="AZ286" s="26" t="s">
        <v>9</v>
      </c>
      <c r="BA286" s="23">
        <v>3</v>
      </c>
      <c r="BB286" s="24" t="s">
        <v>9</v>
      </c>
    </row>
    <row r="287" spans="1:54" x14ac:dyDescent="0.2">
      <c r="A287" s="19">
        <v>865</v>
      </c>
      <c r="B287" s="27" t="s">
        <v>9</v>
      </c>
      <c r="C287" s="27" t="s">
        <v>9</v>
      </c>
      <c r="D287" s="27" t="s">
        <v>9</v>
      </c>
      <c r="E287" s="27" t="s">
        <v>9</v>
      </c>
      <c r="F287" s="27" t="s">
        <v>9</v>
      </c>
      <c r="G287" s="27" t="s">
        <v>9</v>
      </c>
      <c r="H287" s="27" t="s">
        <v>9</v>
      </c>
      <c r="I287" s="27" t="s">
        <v>9</v>
      </c>
      <c r="J287" s="27" t="s">
        <v>9</v>
      </c>
      <c r="K287" s="27" t="s">
        <v>9</v>
      </c>
      <c r="L287" s="27" t="s">
        <v>9</v>
      </c>
      <c r="M287" s="27" t="s">
        <v>9</v>
      </c>
      <c r="N287" s="27" t="s">
        <v>9</v>
      </c>
      <c r="O287" s="27" t="s">
        <v>9</v>
      </c>
      <c r="P287" s="27" t="s">
        <v>9</v>
      </c>
      <c r="Q287" s="27" t="s">
        <v>9</v>
      </c>
      <c r="R287" s="27" t="s">
        <v>9</v>
      </c>
      <c r="S287" s="27" t="s">
        <v>9</v>
      </c>
      <c r="T287" s="27" t="s">
        <v>9</v>
      </c>
      <c r="U287" s="27" t="s">
        <v>9</v>
      </c>
      <c r="V287" s="20" t="s">
        <v>1</v>
      </c>
      <c r="W287" s="20">
        <v>5</v>
      </c>
      <c r="X287" s="20">
        <v>3</v>
      </c>
      <c r="Y287" s="20">
        <v>2</v>
      </c>
      <c r="Z287" s="20">
        <v>4</v>
      </c>
      <c r="AA287" s="23">
        <v>3</v>
      </c>
      <c r="AB287" s="15" t="s">
        <v>9</v>
      </c>
      <c r="AC287" s="15" t="s">
        <v>9</v>
      </c>
      <c r="AD287" s="15" t="s">
        <v>9</v>
      </c>
      <c r="AE287" s="15" t="s">
        <v>9</v>
      </c>
      <c r="AF287" s="20" t="s">
        <v>9</v>
      </c>
      <c r="AG287" s="20" t="s">
        <v>9</v>
      </c>
      <c r="AH287" s="24" t="s">
        <v>9</v>
      </c>
      <c r="AI287" s="23">
        <v>3</v>
      </c>
      <c r="AJ287" s="15" t="s">
        <v>9</v>
      </c>
      <c r="AK287" s="15" t="s">
        <v>9</v>
      </c>
      <c r="AL287" s="25" t="s">
        <v>9</v>
      </c>
      <c r="AM287" s="23">
        <v>3</v>
      </c>
      <c r="AN287" s="20" t="s">
        <v>9</v>
      </c>
      <c r="AO287" s="20" t="s">
        <v>9</v>
      </c>
      <c r="AP287" s="15" t="s">
        <v>9</v>
      </c>
      <c r="AQ287" s="15" t="s">
        <v>9</v>
      </c>
      <c r="AR287" s="15" t="s">
        <v>9</v>
      </c>
      <c r="AS287" s="26" t="s">
        <v>9</v>
      </c>
      <c r="AT287" s="26" t="s">
        <v>9</v>
      </c>
      <c r="AU287" s="26" t="s">
        <v>9</v>
      </c>
      <c r="AV287" s="26" t="s">
        <v>9</v>
      </c>
      <c r="AW287" s="26" t="s">
        <v>9</v>
      </c>
      <c r="AX287" s="26" t="s">
        <v>9</v>
      </c>
      <c r="AY287" s="26" t="s">
        <v>9</v>
      </c>
      <c r="AZ287" s="26" t="s">
        <v>9</v>
      </c>
      <c r="BA287" s="23">
        <v>3</v>
      </c>
      <c r="BB287" s="24" t="s">
        <v>9</v>
      </c>
    </row>
    <row r="288" spans="1:54" x14ac:dyDescent="0.2">
      <c r="A288" s="19">
        <v>867</v>
      </c>
      <c r="B288" s="27" t="s">
        <v>9</v>
      </c>
      <c r="C288" s="27" t="s">
        <v>9</v>
      </c>
      <c r="D288" s="27" t="s">
        <v>9</v>
      </c>
      <c r="E288" s="27" t="s">
        <v>9</v>
      </c>
      <c r="F288" s="27" t="s">
        <v>9</v>
      </c>
      <c r="G288" s="27" t="s">
        <v>9</v>
      </c>
      <c r="H288" s="27" t="s">
        <v>9</v>
      </c>
      <c r="I288" s="27" t="s">
        <v>9</v>
      </c>
      <c r="J288" s="27" t="s">
        <v>9</v>
      </c>
      <c r="K288" s="27" t="s">
        <v>9</v>
      </c>
      <c r="L288" s="27" t="s">
        <v>9</v>
      </c>
      <c r="M288" s="27" t="s">
        <v>9</v>
      </c>
      <c r="N288" s="27" t="s">
        <v>9</v>
      </c>
      <c r="O288" s="27" t="s">
        <v>9</v>
      </c>
      <c r="P288" s="27" t="s">
        <v>9</v>
      </c>
      <c r="Q288" s="27" t="s">
        <v>9</v>
      </c>
      <c r="R288" s="27" t="s">
        <v>9</v>
      </c>
      <c r="S288" s="27" t="s">
        <v>9</v>
      </c>
      <c r="T288" s="27" t="s">
        <v>9</v>
      </c>
      <c r="U288" s="27" t="s">
        <v>9</v>
      </c>
      <c r="V288" s="20" t="s">
        <v>1</v>
      </c>
      <c r="W288" s="20">
        <v>5</v>
      </c>
      <c r="X288" s="20">
        <v>3</v>
      </c>
      <c r="Y288" s="20">
        <v>2</v>
      </c>
      <c r="Z288" s="20">
        <v>4</v>
      </c>
      <c r="AA288" s="23">
        <v>3</v>
      </c>
      <c r="AB288" s="15" t="s">
        <v>9</v>
      </c>
      <c r="AC288" s="15" t="s">
        <v>9</v>
      </c>
      <c r="AD288" s="15" t="s">
        <v>9</v>
      </c>
      <c r="AE288" s="15" t="s">
        <v>9</v>
      </c>
      <c r="AF288" s="20" t="s">
        <v>9</v>
      </c>
      <c r="AG288" s="20" t="s">
        <v>9</v>
      </c>
      <c r="AH288" s="24" t="s">
        <v>9</v>
      </c>
      <c r="AI288" s="23">
        <v>3</v>
      </c>
      <c r="AJ288" s="15" t="s">
        <v>9</v>
      </c>
      <c r="AK288" s="15" t="s">
        <v>9</v>
      </c>
      <c r="AL288" s="25" t="s">
        <v>9</v>
      </c>
      <c r="AM288" s="23">
        <v>3</v>
      </c>
      <c r="AN288" s="20" t="s">
        <v>9</v>
      </c>
      <c r="AO288" s="20" t="s">
        <v>9</v>
      </c>
      <c r="AP288" s="15" t="s">
        <v>9</v>
      </c>
      <c r="AQ288" s="15" t="s">
        <v>9</v>
      </c>
      <c r="AR288" s="15" t="s">
        <v>9</v>
      </c>
      <c r="AS288" s="26" t="s">
        <v>9</v>
      </c>
      <c r="AT288" s="26" t="s">
        <v>9</v>
      </c>
      <c r="AU288" s="26" t="s">
        <v>9</v>
      </c>
      <c r="AV288" s="26" t="s">
        <v>9</v>
      </c>
      <c r="AW288" s="26" t="s">
        <v>9</v>
      </c>
      <c r="AX288" s="26" t="s">
        <v>9</v>
      </c>
      <c r="AY288" s="26" t="s">
        <v>9</v>
      </c>
      <c r="AZ288" s="26" t="s">
        <v>9</v>
      </c>
      <c r="BA288" s="23">
        <v>3</v>
      </c>
      <c r="BB288" s="24" t="s">
        <v>9</v>
      </c>
    </row>
    <row r="289" spans="1:54" x14ac:dyDescent="0.2">
      <c r="A289" s="19">
        <v>881</v>
      </c>
      <c r="B289" s="27" t="s">
        <v>9</v>
      </c>
      <c r="C289" s="27" t="s">
        <v>9</v>
      </c>
      <c r="D289" s="27" t="s">
        <v>9</v>
      </c>
      <c r="E289" s="27" t="s">
        <v>9</v>
      </c>
      <c r="F289" s="27" t="s">
        <v>9</v>
      </c>
      <c r="G289" s="27" t="s">
        <v>9</v>
      </c>
      <c r="H289" s="27" t="s">
        <v>9</v>
      </c>
      <c r="I289" s="27" t="s">
        <v>9</v>
      </c>
      <c r="J289" s="27" t="s">
        <v>9</v>
      </c>
      <c r="K289" s="27" t="s">
        <v>9</v>
      </c>
      <c r="L289" s="27" t="s">
        <v>9</v>
      </c>
      <c r="M289" s="27" t="s">
        <v>9</v>
      </c>
      <c r="N289" s="27" t="s">
        <v>9</v>
      </c>
      <c r="O289" s="27" t="s">
        <v>9</v>
      </c>
      <c r="P289" s="27" t="s">
        <v>9</v>
      </c>
      <c r="Q289" s="27" t="s">
        <v>9</v>
      </c>
      <c r="R289" s="27" t="s">
        <v>9</v>
      </c>
      <c r="S289" s="27" t="s">
        <v>9</v>
      </c>
      <c r="T289" s="27" t="s">
        <v>9</v>
      </c>
      <c r="U289" s="27" t="s">
        <v>9</v>
      </c>
      <c r="V289" s="20" t="s">
        <v>1</v>
      </c>
      <c r="W289" s="20">
        <v>5</v>
      </c>
      <c r="X289" s="20">
        <v>3</v>
      </c>
      <c r="Y289" s="20">
        <v>2</v>
      </c>
      <c r="Z289" s="20">
        <v>4</v>
      </c>
      <c r="AA289" s="23">
        <v>3</v>
      </c>
      <c r="AB289" s="15" t="s">
        <v>9</v>
      </c>
      <c r="AC289" s="15" t="s">
        <v>9</v>
      </c>
      <c r="AD289" s="15" t="s">
        <v>9</v>
      </c>
      <c r="AE289" s="15" t="s">
        <v>9</v>
      </c>
      <c r="AF289" s="20" t="s">
        <v>9</v>
      </c>
      <c r="AG289" s="20" t="s">
        <v>9</v>
      </c>
      <c r="AH289" s="24" t="s">
        <v>9</v>
      </c>
      <c r="AI289" s="23">
        <v>3</v>
      </c>
      <c r="AJ289" s="15" t="s">
        <v>9</v>
      </c>
      <c r="AK289" s="15" t="s">
        <v>9</v>
      </c>
      <c r="AL289" s="25" t="s">
        <v>9</v>
      </c>
      <c r="AM289" s="23">
        <v>3</v>
      </c>
      <c r="AN289" s="20" t="s">
        <v>9</v>
      </c>
      <c r="AO289" s="20" t="s">
        <v>9</v>
      </c>
      <c r="AP289" s="15" t="s">
        <v>9</v>
      </c>
      <c r="AQ289" s="15" t="s">
        <v>9</v>
      </c>
      <c r="AR289" s="15" t="s">
        <v>9</v>
      </c>
      <c r="AS289" s="26" t="s">
        <v>9</v>
      </c>
      <c r="AT289" s="26" t="s">
        <v>9</v>
      </c>
      <c r="AU289" s="26" t="s">
        <v>9</v>
      </c>
      <c r="AV289" s="26" t="s">
        <v>9</v>
      </c>
      <c r="AW289" s="26" t="s">
        <v>9</v>
      </c>
      <c r="AX289" s="26" t="s">
        <v>9</v>
      </c>
      <c r="AY289" s="26" t="s">
        <v>9</v>
      </c>
      <c r="AZ289" s="26" t="s">
        <v>9</v>
      </c>
      <c r="BA289" s="23">
        <v>3</v>
      </c>
      <c r="BB289" s="24" t="s">
        <v>9</v>
      </c>
    </row>
    <row r="290" spans="1:54" x14ac:dyDescent="0.2">
      <c r="A290" s="19">
        <v>883</v>
      </c>
      <c r="B290" s="27" t="s">
        <v>9</v>
      </c>
      <c r="C290" s="27" t="s">
        <v>9</v>
      </c>
      <c r="D290" s="27" t="s">
        <v>9</v>
      </c>
      <c r="E290" s="27" t="s">
        <v>9</v>
      </c>
      <c r="F290" s="27" t="s">
        <v>9</v>
      </c>
      <c r="G290" s="27" t="s">
        <v>9</v>
      </c>
      <c r="H290" s="27" t="s">
        <v>9</v>
      </c>
      <c r="I290" s="27" t="s">
        <v>9</v>
      </c>
      <c r="J290" s="27" t="s">
        <v>9</v>
      </c>
      <c r="K290" s="27" t="s">
        <v>9</v>
      </c>
      <c r="L290" s="27" t="s">
        <v>9</v>
      </c>
      <c r="M290" s="27" t="s">
        <v>9</v>
      </c>
      <c r="N290" s="27" t="s">
        <v>9</v>
      </c>
      <c r="O290" s="27" t="s">
        <v>9</v>
      </c>
      <c r="P290" s="27" t="s">
        <v>9</v>
      </c>
      <c r="Q290" s="27" t="s">
        <v>9</v>
      </c>
      <c r="R290" s="27" t="s">
        <v>9</v>
      </c>
      <c r="S290" s="27" t="s">
        <v>9</v>
      </c>
      <c r="T290" s="27" t="s">
        <v>9</v>
      </c>
      <c r="U290" s="27" t="s">
        <v>9</v>
      </c>
      <c r="V290" s="20" t="s">
        <v>1</v>
      </c>
      <c r="W290" s="20">
        <v>5</v>
      </c>
      <c r="X290" s="20">
        <v>3</v>
      </c>
      <c r="Y290" s="20">
        <v>2</v>
      </c>
      <c r="Z290" s="20">
        <v>4</v>
      </c>
      <c r="AA290" s="23">
        <v>3</v>
      </c>
      <c r="AB290" s="15" t="s">
        <v>9</v>
      </c>
      <c r="AC290" s="15" t="s">
        <v>9</v>
      </c>
      <c r="AD290" s="15" t="s">
        <v>9</v>
      </c>
      <c r="AE290" s="15" t="s">
        <v>9</v>
      </c>
      <c r="AF290" s="20" t="s">
        <v>9</v>
      </c>
      <c r="AG290" s="20" t="s">
        <v>9</v>
      </c>
      <c r="AH290" s="24" t="s">
        <v>9</v>
      </c>
      <c r="AI290" s="23">
        <v>3</v>
      </c>
      <c r="AJ290" s="15" t="s">
        <v>9</v>
      </c>
      <c r="AK290" s="15" t="s">
        <v>9</v>
      </c>
      <c r="AL290" s="25" t="s">
        <v>9</v>
      </c>
      <c r="AM290" s="23">
        <v>3</v>
      </c>
      <c r="AN290" s="20" t="s">
        <v>9</v>
      </c>
      <c r="AO290" s="20" t="s">
        <v>9</v>
      </c>
      <c r="AP290" s="15" t="s">
        <v>9</v>
      </c>
      <c r="AQ290" s="15" t="s">
        <v>9</v>
      </c>
      <c r="AR290" s="15" t="s">
        <v>9</v>
      </c>
      <c r="AS290" s="26" t="s">
        <v>9</v>
      </c>
      <c r="AT290" s="26" t="s">
        <v>9</v>
      </c>
      <c r="AU290" s="26" t="s">
        <v>9</v>
      </c>
      <c r="AV290" s="26" t="s">
        <v>9</v>
      </c>
      <c r="AW290" s="26" t="s">
        <v>9</v>
      </c>
      <c r="AX290" s="26" t="s">
        <v>9</v>
      </c>
      <c r="AY290" s="26" t="s">
        <v>9</v>
      </c>
      <c r="AZ290" s="26" t="s">
        <v>9</v>
      </c>
      <c r="BA290" s="23">
        <v>3</v>
      </c>
      <c r="BB290" s="24" t="s">
        <v>9</v>
      </c>
    </row>
    <row r="291" spans="1:54" x14ac:dyDescent="0.2">
      <c r="A291" s="19">
        <v>890</v>
      </c>
      <c r="B291" s="27" t="s">
        <v>9</v>
      </c>
      <c r="C291" s="27" t="s">
        <v>9</v>
      </c>
      <c r="D291" s="27" t="s">
        <v>9</v>
      </c>
      <c r="E291" s="27" t="s">
        <v>9</v>
      </c>
      <c r="F291" s="27" t="s">
        <v>9</v>
      </c>
      <c r="G291" s="27" t="s">
        <v>9</v>
      </c>
      <c r="H291" s="27" t="s">
        <v>9</v>
      </c>
      <c r="I291" s="27" t="s">
        <v>9</v>
      </c>
      <c r="J291" s="27" t="s">
        <v>9</v>
      </c>
      <c r="K291" s="27" t="s">
        <v>9</v>
      </c>
      <c r="L291" s="27" t="s">
        <v>9</v>
      </c>
      <c r="M291" s="27" t="s">
        <v>9</v>
      </c>
      <c r="N291" s="27" t="s">
        <v>9</v>
      </c>
      <c r="O291" s="27" t="s">
        <v>9</v>
      </c>
      <c r="P291" s="27" t="s">
        <v>9</v>
      </c>
      <c r="Q291" s="27" t="s">
        <v>9</v>
      </c>
      <c r="R291" s="27" t="s">
        <v>9</v>
      </c>
      <c r="S291" s="27" t="s">
        <v>9</v>
      </c>
      <c r="T291" s="27" t="s">
        <v>9</v>
      </c>
      <c r="U291" s="27" t="s">
        <v>9</v>
      </c>
      <c r="V291" s="20" t="s">
        <v>1</v>
      </c>
      <c r="W291" s="20">
        <v>5</v>
      </c>
      <c r="X291" s="20">
        <v>3</v>
      </c>
      <c r="Y291" s="20">
        <v>2</v>
      </c>
      <c r="Z291" s="20">
        <v>4</v>
      </c>
      <c r="AA291" s="23">
        <v>3</v>
      </c>
      <c r="AB291" s="15" t="s">
        <v>9</v>
      </c>
      <c r="AC291" s="15" t="s">
        <v>9</v>
      </c>
      <c r="AD291" s="15" t="s">
        <v>9</v>
      </c>
      <c r="AE291" s="15" t="s">
        <v>9</v>
      </c>
      <c r="AF291" s="20" t="s">
        <v>9</v>
      </c>
      <c r="AG291" s="20" t="s">
        <v>9</v>
      </c>
      <c r="AH291" s="24" t="s">
        <v>9</v>
      </c>
      <c r="AI291" s="23">
        <v>3</v>
      </c>
      <c r="AJ291" s="15" t="s">
        <v>9</v>
      </c>
      <c r="AK291" s="15" t="s">
        <v>9</v>
      </c>
      <c r="AL291" s="25" t="s">
        <v>9</v>
      </c>
      <c r="AM291" s="23">
        <v>3</v>
      </c>
      <c r="AN291" s="20" t="s">
        <v>9</v>
      </c>
      <c r="AO291" s="20" t="s">
        <v>9</v>
      </c>
      <c r="AP291" s="15" t="s">
        <v>9</v>
      </c>
      <c r="AQ291" s="15" t="s">
        <v>9</v>
      </c>
      <c r="AR291" s="15" t="s">
        <v>9</v>
      </c>
      <c r="AS291" s="26" t="s">
        <v>9</v>
      </c>
      <c r="AT291" s="26" t="s">
        <v>9</v>
      </c>
      <c r="AU291" s="26" t="s">
        <v>9</v>
      </c>
      <c r="AV291" s="26" t="s">
        <v>9</v>
      </c>
      <c r="AW291" s="26" t="s">
        <v>9</v>
      </c>
      <c r="AX291" s="26" t="s">
        <v>9</v>
      </c>
      <c r="AY291" s="26" t="s">
        <v>9</v>
      </c>
      <c r="AZ291" s="26" t="s">
        <v>9</v>
      </c>
      <c r="BA291" s="23">
        <v>3</v>
      </c>
      <c r="BB291" s="24" t="s">
        <v>9</v>
      </c>
    </row>
    <row r="292" spans="1:54" x14ac:dyDescent="0.2">
      <c r="A292" s="19">
        <v>929</v>
      </c>
      <c r="B292" s="27" t="s">
        <v>9</v>
      </c>
      <c r="C292" s="27" t="s">
        <v>9</v>
      </c>
      <c r="D292" s="27" t="s">
        <v>9</v>
      </c>
      <c r="E292" s="27" t="s">
        <v>9</v>
      </c>
      <c r="F292" s="27" t="s">
        <v>9</v>
      </c>
      <c r="G292" s="27" t="s">
        <v>9</v>
      </c>
      <c r="H292" s="27" t="s">
        <v>9</v>
      </c>
      <c r="I292" s="27" t="s">
        <v>9</v>
      </c>
      <c r="J292" s="27" t="s">
        <v>9</v>
      </c>
      <c r="K292" s="27" t="s">
        <v>9</v>
      </c>
      <c r="L292" s="27" t="s">
        <v>9</v>
      </c>
      <c r="M292" s="27" t="s">
        <v>9</v>
      </c>
      <c r="N292" s="27" t="s">
        <v>9</v>
      </c>
      <c r="O292" s="27" t="s">
        <v>9</v>
      </c>
      <c r="P292" s="27" t="s">
        <v>9</v>
      </c>
      <c r="Q292" s="27" t="s">
        <v>9</v>
      </c>
      <c r="R292" s="27" t="s">
        <v>9</v>
      </c>
      <c r="S292" s="27" t="s">
        <v>9</v>
      </c>
      <c r="T292" s="27" t="s">
        <v>9</v>
      </c>
      <c r="U292" s="27" t="s">
        <v>9</v>
      </c>
      <c r="V292" s="20" t="s">
        <v>1</v>
      </c>
      <c r="W292" s="20">
        <v>5</v>
      </c>
      <c r="X292" s="20">
        <v>3</v>
      </c>
      <c r="Y292" s="20">
        <v>2</v>
      </c>
      <c r="Z292" s="20">
        <v>4</v>
      </c>
      <c r="AA292" s="23">
        <v>3</v>
      </c>
      <c r="AB292" s="15" t="s">
        <v>9</v>
      </c>
      <c r="AC292" s="15" t="s">
        <v>9</v>
      </c>
      <c r="AD292" s="15" t="s">
        <v>9</v>
      </c>
      <c r="AE292" s="15" t="s">
        <v>9</v>
      </c>
      <c r="AF292" s="20" t="s">
        <v>9</v>
      </c>
      <c r="AG292" s="20" t="s">
        <v>9</v>
      </c>
      <c r="AH292" s="24" t="s">
        <v>9</v>
      </c>
      <c r="AI292" s="23">
        <v>3</v>
      </c>
      <c r="AJ292" s="15" t="s">
        <v>9</v>
      </c>
      <c r="AK292" s="15" t="s">
        <v>9</v>
      </c>
      <c r="AL292" s="25" t="s">
        <v>9</v>
      </c>
      <c r="AM292" s="23">
        <v>3</v>
      </c>
      <c r="AN292" s="20" t="s">
        <v>9</v>
      </c>
      <c r="AO292" s="20" t="s">
        <v>9</v>
      </c>
      <c r="AP292" s="15" t="s">
        <v>9</v>
      </c>
      <c r="AQ292" s="15" t="s">
        <v>9</v>
      </c>
      <c r="AR292" s="15" t="s">
        <v>9</v>
      </c>
      <c r="AS292" s="26" t="s">
        <v>9</v>
      </c>
      <c r="AT292" s="26" t="s">
        <v>9</v>
      </c>
      <c r="AU292" s="26" t="s">
        <v>9</v>
      </c>
      <c r="AV292" s="26" t="s">
        <v>9</v>
      </c>
      <c r="AW292" s="26" t="s">
        <v>9</v>
      </c>
      <c r="AX292" s="26" t="s">
        <v>9</v>
      </c>
      <c r="AY292" s="26" t="s">
        <v>9</v>
      </c>
      <c r="AZ292" s="26" t="s">
        <v>9</v>
      </c>
      <c r="BA292" s="23">
        <v>3</v>
      </c>
      <c r="BB292" s="24" t="s">
        <v>9</v>
      </c>
    </row>
    <row r="293" spans="1:54" x14ac:dyDescent="0.2">
      <c r="A293" s="19">
        <v>935</v>
      </c>
      <c r="B293" s="27" t="s">
        <v>9</v>
      </c>
      <c r="C293" s="27" t="s">
        <v>9</v>
      </c>
      <c r="D293" s="27" t="s">
        <v>9</v>
      </c>
      <c r="E293" s="27" t="s">
        <v>9</v>
      </c>
      <c r="F293" s="27" t="s">
        <v>9</v>
      </c>
      <c r="G293" s="27" t="s">
        <v>9</v>
      </c>
      <c r="H293" s="27" t="s">
        <v>9</v>
      </c>
      <c r="I293" s="27" t="s">
        <v>9</v>
      </c>
      <c r="J293" s="27" t="s">
        <v>9</v>
      </c>
      <c r="K293" s="27" t="s">
        <v>9</v>
      </c>
      <c r="L293" s="27" t="s">
        <v>9</v>
      </c>
      <c r="M293" s="27" t="s">
        <v>9</v>
      </c>
      <c r="N293" s="27" t="s">
        <v>9</v>
      </c>
      <c r="O293" s="27" t="s">
        <v>9</v>
      </c>
      <c r="P293" s="27" t="s">
        <v>9</v>
      </c>
      <c r="Q293" s="27" t="s">
        <v>9</v>
      </c>
      <c r="R293" s="27" t="s">
        <v>9</v>
      </c>
      <c r="S293" s="27" t="s">
        <v>9</v>
      </c>
      <c r="T293" s="27" t="s">
        <v>9</v>
      </c>
      <c r="U293" s="27" t="s">
        <v>9</v>
      </c>
      <c r="V293" s="20" t="s">
        <v>1</v>
      </c>
      <c r="W293" s="20">
        <v>5</v>
      </c>
      <c r="X293" s="20">
        <v>3</v>
      </c>
      <c r="Y293" s="20">
        <v>2</v>
      </c>
      <c r="Z293" s="20">
        <v>4</v>
      </c>
      <c r="AA293" s="23">
        <v>3</v>
      </c>
      <c r="AB293" s="15" t="s">
        <v>9</v>
      </c>
      <c r="AC293" s="15" t="s">
        <v>9</v>
      </c>
      <c r="AD293" s="15" t="s">
        <v>9</v>
      </c>
      <c r="AE293" s="15" t="s">
        <v>9</v>
      </c>
      <c r="AF293" s="20" t="s">
        <v>9</v>
      </c>
      <c r="AG293" s="20" t="s">
        <v>9</v>
      </c>
      <c r="AH293" s="24" t="s">
        <v>9</v>
      </c>
      <c r="AI293" s="23">
        <v>3</v>
      </c>
      <c r="AJ293" s="15" t="s">
        <v>9</v>
      </c>
      <c r="AK293" s="15" t="s">
        <v>9</v>
      </c>
      <c r="AL293" s="25" t="s">
        <v>9</v>
      </c>
      <c r="AM293" s="23">
        <v>3</v>
      </c>
      <c r="AN293" s="20" t="s">
        <v>9</v>
      </c>
      <c r="AO293" s="20" t="s">
        <v>9</v>
      </c>
      <c r="AP293" s="15" t="s">
        <v>9</v>
      </c>
      <c r="AQ293" s="15" t="s">
        <v>9</v>
      </c>
      <c r="AR293" s="15" t="s">
        <v>9</v>
      </c>
      <c r="AS293" s="26" t="s">
        <v>9</v>
      </c>
      <c r="AT293" s="26" t="s">
        <v>9</v>
      </c>
      <c r="AU293" s="26" t="s">
        <v>9</v>
      </c>
      <c r="AV293" s="26" t="s">
        <v>9</v>
      </c>
      <c r="AW293" s="26" t="s">
        <v>9</v>
      </c>
      <c r="AX293" s="26" t="s">
        <v>9</v>
      </c>
      <c r="AY293" s="26" t="s">
        <v>9</v>
      </c>
      <c r="AZ293" s="26" t="s">
        <v>9</v>
      </c>
      <c r="BA293" s="23">
        <v>3</v>
      </c>
      <c r="BB293" s="24" t="s">
        <v>9</v>
      </c>
    </row>
    <row r="294" spans="1:54" x14ac:dyDescent="0.2">
      <c r="A294" s="19">
        <v>943</v>
      </c>
      <c r="B294" s="27" t="s">
        <v>9</v>
      </c>
      <c r="C294" s="27" t="s">
        <v>9</v>
      </c>
      <c r="D294" s="27" t="s">
        <v>9</v>
      </c>
      <c r="E294" s="27" t="s">
        <v>9</v>
      </c>
      <c r="F294" s="27" t="s">
        <v>9</v>
      </c>
      <c r="G294" s="27" t="s">
        <v>9</v>
      </c>
      <c r="H294" s="27" t="s">
        <v>9</v>
      </c>
      <c r="I294" s="27" t="s">
        <v>9</v>
      </c>
      <c r="J294" s="27" t="s">
        <v>9</v>
      </c>
      <c r="K294" s="27" t="s">
        <v>9</v>
      </c>
      <c r="L294" s="27" t="s">
        <v>9</v>
      </c>
      <c r="M294" s="27" t="s">
        <v>9</v>
      </c>
      <c r="N294" s="27" t="s">
        <v>9</v>
      </c>
      <c r="O294" s="27" t="s">
        <v>9</v>
      </c>
      <c r="P294" s="27" t="s">
        <v>9</v>
      </c>
      <c r="Q294" s="27" t="s">
        <v>9</v>
      </c>
      <c r="R294" s="27" t="s">
        <v>9</v>
      </c>
      <c r="S294" s="27" t="s">
        <v>9</v>
      </c>
      <c r="T294" s="27" t="s">
        <v>9</v>
      </c>
      <c r="U294" s="27" t="s">
        <v>9</v>
      </c>
      <c r="V294" s="20" t="s">
        <v>1</v>
      </c>
      <c r="W294" s="20">
        <v>5</v>
      </c>
      <c r="X294" s="20">
        <v>3</v>
      </c>
      <c r="Y294" s="20">
        <v>2</v>
      </c>
      <c r="Z294" s="20">
        <v>4</v>
      </c>
      <c r="AA294" s="23">
        <v>3</v>
      </c>
      <c r="AB294" s="15" t="s">
        <v>9</v>
      </c>
      <c r="AC294" s="15" t="s">
        <v>9</v>
      </c>
      <c r="AD294" s="15" t="s">
        <v>9</v>
      </c>
      <c r="AE294" s="15" t="s">
        <v>9</v>
      </c>
      <c r="AF294" s="20" t="s">
        <v>9</v>
      </c>
      <c r="AG294" s="20" t="s">
        <v>9</v>
      </c>
      <c r="AH294" s="24" t="s">
        <v>9</v>
      </c>
      <c r="AI294" s="23">
        <v>3</v>
      </c>
      <c r="AJ294" s="15" t="s">
        <v>9</v>
      </c>
      <c r="AK294" s="15" t="s">
        <v>9</v>
      </c>
      <c r="AL294" s="25" t="s">
        <v>9</v>
      </c>
      <c r="AM294" s="23">
        <v>3</v>
      </c>
      <c r="AN294" s="20" t="s">
        <v>9</v>
      </c>
      <c r="AO294" s="20" t="s">
        <v>9</v>
      </c>
      <c r="AP294" s="15" t="s">
        <v>9</v>
      </c>
      <c r="AQ294" s="15" t="s">
        <v>9</v>
      </c>
      <c r="AR294" s="15" t="s">
        <v>9</v>
      </c>
      <c r="AS294" s="26" t="s">
        <v>9</v>
      </c>
      <c r="AT294" s="26" t="s">
        <v>9</v>
      </c>
      <c r="AU294" s="26" t="s">
        <v>9</v>
      </c>
      <c r="AV294" s="26" t="s">
        <v>9</v>
      </c>
      <c r="AW294" s="26" t="s">
        <v>9</v>
      </c>
      <c r="AX294" s="26" t="s">
        <v>9</v>
      </c>
      <c r="AY294" s="26" t="s">
        <v>9</v>
      </c>
      <c r="AZ294" s="26" t="s">
        <v>9</v>
      </c>
      <c r="BA294" s="23">
        <v>3</v>
      </c>
      <c r="BB294" s="24" t="s">
        <v>9</v>
      </c>
    </row>
    <row r="295" spans="1:54" x14ac:dyDescent="0.2">
      <c r="A295" s="19">
        <v>953</v>
      </c>
      <c r="B295" s="27" t="s">
        <v>9</v>
      </c>
      <c r="C295" s="27" t="s">
        <v>9</v>
      </c>
      <c r="D295" s="27" t="s">
        <v>9</v>
      </c>
      <c r="E295" s="27" t="s">
        <v>9</v>
      </c>
      <c r="F295" s="27" t="s">
        <v>9</v>
      </c>
      <c r="G295" s="27" t="s">
        <v>9</v>
      </c>
      <c r="H295" s="27" t="s">
        <v>9</v>
      </c>
      <c r="I295" s="27" t="s">
        <v>9</v>
      </c>
      <c r="J295" s="27" t="s">
        <v>9</v>
      </c>
      <c r="K295" s="27" t="s">
        <v>9</v>
      </c>
      <c r="L295" s="27" t="s">
        <v>9</v>
      </c>
      <c r="M295" s="27" t="s">
        <v>9</v>
      </c>
      <c r="N295" s="27" t="s">
        <v>9</v>
      </c>
      <c r="O295" s="27" t="s">
        <v>9</v>
      </c>
      <c r="P295" s="27" t="s">
        <v>9</v>
      </c>
      <c r="Q295" s="27" t="s">
        <v>9</v>
      </c>
      <c r="R295" s="27" t="s">
        <v>9</v>
      </c>
      <c r="S295" s="27" t="s">
        <v>9</v>
      </c>
      <c r="T295" s="27" t="s">
        <v>9</v>
      </c>
      <c r="U295" s="27" t="s">
        <v>9</v>
      </c>
      <c r="V295" s="20" t="s">
        <v>1</v>
      </c>
      <c r="W295" s="20">
        <v>5</v>
      </c>
      <c r="X295" s="20">
        <v>3</v>
      </c>
      <c r="Y295" s="20">
        <v>2</v>
      </c>
      <c r="Z295" s="20">
        <v>4</v>
      </c>
      <c r="AA295" s="23">
        <v>3</v>
      </c>
      <c r="AB295" s="15" t="s">
        <v>9</v>
      </c>
      <c r="AC295" s="15" t="s">
        <v>9</v>
      </c>
      <c r="AD295" s="15" t="s">
        <v>9</v>
      </c>
      <c r="AE295" s="15" t="s">
        <v>9</v>
      </c>
      <c r="AF295" s="20" t="s">
        <v>9</v>
      </c>
      <c r="AG295" s="20" t="s">
        <v>9</v>
      </c>
      <c r="AH295" s="24" t="s">
        <v>9</v>
      </c>
      <c r="AI295" s="23">
        <v>3</v>
      </c>
      <c r="AJ295" s="15" t="s">
        <v>9</v>
      </c>
      <c r="AK295" s="15" t="s">
        <v>9</v>
      </c>
      <c r="AL295" s="25" t="s">
        <v>9</v>
      </c>
      <c r="AM295" s="23">
        <v>3</v>
      </c>
      <c r="AN295" s="20" t="s">
        <v>9</v>
      </c>
      <c r="AO295" s="20" t="s">
        <v>9</v>
      </c>
      <c r="AP295" s="15" t="s">
        <v>9</v>
      </c>
      <c r="AQ295" s="15" t="s">
        <v>9</v>
      </c>
      <c r="AR295" s="15" t="s">
        <v>9</v>
      </c>
      <c r="AS295" s="26" t="s">
        <v>9</v>
      </c>
      <c r="AT295" s="26" t="s">
        <v>9</v>
      </c>
      <c r="AU295" s="26" t="s">
        <v>9</v>
      </c>
      <c r="AV295" s="26" t="s">
        <v>9</v>
      </c>
      <c r="AW295" s="26" t="s">
        <v>9</v>
      </c>
      <c r="AX295" s="26" t="s">
        <v>9</v>
      </c>
      <c r="AY295" s="26" t="s">
        <v>9</v>
      </c>
      <c r="AZ295" s="26" t="s">
        <v>9</v>
      </c>
      <c r="BA295" s="23">
        <v>3</v>
      </c>
      <c r="BB295" s="24" t="s">
        <v>9</v>
      </c>
    </row>
    <row r="296" spans="1:54" x14ac:dyDescent="0.2">
      <c r="A296" s="19">
        <v>961</v>
      </c>
      <c r="B296" s="27" t="s">
        <v>9</v>
      </c>
      <c r="C296" s="27" t="s">
        <v>9</v>
      </c>
      <c r="D296" s="27" t="s">
        <v>9</v>
      </c>
      <c r="E296" s="27" t="s">
        <v>9</v>
      </c>
      <c r="F296" s="27" t="s">
        <v>9</v>
      </c>
      <c r="G296" s="27" t="s">
        <v>9</v>
      </c>
      <c r="H296" s="27" t="s">
        <v>9</v>
      </c>
      <c r="I296" s="27" t="s">
        <v>9</v>
      </c>
      <c r="J296" s="27" t="s">
        <v>9</v>
      </c>
      <c r="K296" s="27" t="s">
        <v>9</v>
      </c>
      <c r="L296" s="27" t="s">
        <v>9</v>
      </c>
      <c r="M296" s="27" t="s">
        <v>9</v>
      </c>
      <c r="N296" s="27" t="s">
        <v>9</v>
      </c>
      <c r="O296" s="27" t="s">
        <v>9</v>
      </c>
      <c r="P296" s="27" t="s">
        <v>9</v>
      </c>
      <c r="Q296" s="27" t="s">
        <v>9</v>
      </c>
      <c r="R296" s="27" t="s">
        <v>9</v>
      </c>
      <c r="S296" s="27" t="s">
        <v>9</v>
      </c>
      <c r="T296" s="27" t="s">
        <v>9</v>
      </c>
      <c r="U296" s="27" t="s">
        <v>9</v>
      </c>
      <c r="V296" s="20" t="s">
        <v>1</v>
      </c>
      <c r="W296" s="20">
        <v>5</v>
      </c>
      <c r="X296" s="20">
        <v>3</v>
      </c>
      <c r="Y296" s="20">
        <v>2</v>
      </c>
      <c r="Z296" s="20">
        <v>4</v>
      </c>
      <c r="AA296" s="23">
        <v>3</v>
      </c>
      <c r="AB296" s="15" t="s">
        <v>9</v>
      </c>
      <c r="AC296" s="15" t="s">
        <v>9</v>
      </c>
      <c r="AD296" s="15" t="s">
        <v>9</v>
      </c>
      <c r="AE296" s="15" t="s">
        <v>9</v>
      </c>
      <c r="AF296" s="20" t="s">
        <v>9</v>
      </c>
      <c r="AG296" s="20" t="s">
        <v>9</v>
      </c>
      <c r="AH296" s="24" t="s">
        <v>9</v>
      </c>
      <c r="AI296" s="23">
        <v>3</v>
      </c>
      <c r="AJ296" s="15" t="s">
        <v>9</v>
      </c>
      <c r="AK296" s="15" t="s">
        <v>9</v>
      </c>
      <c r="AL296" s="25" t="s">
        <v>9</v>
      </c>
      <c r="AM296" s="23">
        <v>3</v>
      </c>
      <c r="AN296" s="20" t="s">
        <v>9</v>
      </c>
      <c r="AO296" s="20" t="s">
        <v>9</v>
      </c>
      <c r="AP296" s="15" t="s">
        <v>9</v>
      </c>
      <c r="AQ296" s="15" t="s">
        <v>9</v>
      </c>
      <c r="AR296" s="15" t="s">
        <v>9</v>
      </c>
      <c r="AS296" s="26" t="s">
        <v>9</v>
      </c>
      <c r="AT296" s="26" t="s">
        <v>9</v>
      </c>
      <c r="AU296" s="26" t="s">
        <v>9</v>
      </c>
      <c r="AV296" s="26" t="s">
        <v>9</v>
      </c>
      <c r="AW296" s="26" t="s">
        <v>9</v>
      </c>
      <c r="AX296" s="26" t="s">
        <v>9</v>
      </c>
      <c r="AY296" s="26" t="s">
        <v>9</v>
      </c>
      <c r="AZ296" s="26" t="s">
        <v>9</v>
      </c>
      <c r="BA296" s="23">
        <v>3</v>
      </c>
      <c r="BB296" s="24" t="s">
        <v>9</v>
      </c>
    </row>
    <row r="297" spans="1:54" x14ac:dyDescent="0.2">
      <c r="A297" s="19">
        <v>965</v>
      </c>
      <c r="B297" s="27" t="s">
        <v>9</v>
      </c>
      <c r="C297" s="27" t="s">
        <v>9</v>
      </c>
      <c r="D297" s="27" t="s">
        <v>9</v>
      </c>
      <c r="E297" s="27" t="s">
        <v>9</v>
      </c>
      <c r="F297" s="27" t="s">
        <v>9</v>
      </c>
      <c r="G297" s="27" t="s">
        <v>9</v>
      </c>
      <c r="H297" s="27" t="s">
        <v>9</v>
      </c>
      <c r="I297" s="27" t="s">
        <v>9</v>
      </c>
      <c r="J297" s="27" t="s">
        <v>9</v>
      </c>
      <c r="K297" s="27" t="s">
        <v>9</v>
      </c>
      <c r="L297" s="27" t="s">
        <v>9</v>
      </c>
      <c r="M297" s="27" t="s">
        <v>9</v>
      </c>
      <c r="N297" s="27" t="s">
        <v>9</v>
      </c>
      <c r="O297" s="27" t="s">
        <v>9</v>
      </c>
      <c r="P297" s="27" t="s">
        <v>9</v>
      </c>
      <c r="Q297" s="27" t="s">
        <v>9</v>
      </c>
      <c r="R297" s="27" t="s">
        <v>9</v>
      </c>
      <c r="S297" s="27" t="s">
        <v>9</v>
      </c>
      <c r="T297" s="27" t="s">
        <v>9</v>
      </c>
      <c r="U297" s="27" t="s">
        <v>9</v>
      </c>
      <c r="V297" s="20" t="s">
        <v>1</v>
      </c>
      <c r="W297" s="20">
        <v>5</v>
      </c>
      <c r="X297" s="20">
        <v>3</v>
      </c>
      <c r="Y297" s="20">
        <v>2</v>
      </c>
      <c r="Z297" s="20">
        <v>4</v>
      </c>
      <c r="AA297" s="23">
        <v>3</v>
      </c>
      <c r="AB297" s="15" t="s">
        <v>9</v>
      </c>
      <c r="AC297" s="15" t="s">
        <v>9</v>
      </c>
      <c r="AD297" s="15" t="s">
        <v>9</v>
      </c>
      <c r="AE297" s="15" t="s">
        <v>9</v>
      </c>
      <c r="AF297" s="20" t="s">
        <v>9</v>
      </c>
      <c r="AG297" s="20" t="s">
        <v>9</v>
      </c>
      <c r="AH297" s="24" t="s">
        <v>9</v>
      </c>
      <c r="AI297" s="23">
        <v>3</v>
      </c>
      <c r="AJ297" s="15" t="s">
        <v>9</v>
      </c>
      <c r="AK297" s="15" t="s">
        <v>9</v>
      </c>
      <c r="AL297" s="25" t="s">
        <v>9</v>
      </c>
      <c r="AM297" s="23">
        <v>3</v>
      </c>
      <c r="AN297" s="20" t="s">
        <v>9</v>
      </c>
      <c r="AO297" s="20" t="s">
        <v>9</v>
      </c>
      <c r="AP297" s="15" t="s">
        <v>9</v>
      </c>
      <c r="AQ297" s="15" t="s">
        <v>9</v>
      </c>
      <c r="AR297" s="15" t="s">
        <v>9</v>
      </c>
      <c r="AS297" s="26" t="s">
        <v>9</v>
      </c>
      <c r="AT297" s="26" t="s">
        <v>9</v>
      </c>
      <c r="AU297" s="26" t="s">
        <v>9</v>
      </c>
      <c r="AV297" s="26" t="s">
        <v>9</v>
      </c>
      <c r="AW297" s="26" t="s">
        <v>9</v>
      </c>
      <c r="AX297" s="26" t="s">
        <v>9</v>
      </c>
      <c r="AY297" s="26" t="s">
        <v>9</v>
      </c>
      <c r="AZ297" s="26" t="s">
        <v>9</v>
      </c>
      <c r="BA297" s="23">
        <v>3</v>
      </c>
      <c r="BB297" s="24" t="s">
        <v>9</v>
      </c>
    </row>
    <row r="298" spans="1:54" x14ac:dyDescent="0.2">
      <c r="A298" s="21">
        <v>974</v>
      </c>
      <c r="B298" s="27" t="s">
        <v>9</v>
      </c>
      <c r="C298" s="27" t="s">
        <v>9</v>
      </c>
      <c r="D298" s="27" t="s">
        <v>9</v>
      </c>
      <c r="E298" s="27" t="s">
        <v>9</v>
      </c>
      <c r="F298" s="27" t="s">
        <v>9</v>
      </c>
      <c r="G298" s="27" t="s">
        <v>9</v>
      </c>
      <c r="H298" s="27" t="s">
        <v>9</v>
      </c>
      <c r="I298" s="27" t="s">
        <v>9</v>
      </c>
      <c r="J298" s="27" t="s">
        <v>9</v>
      </c>
      <c r="K298" s="27" t="s">
        <v>9</v>
      </c>
      <c r="L298" s="27" t="s">
        <v>9</v>
      </c>
      <c r="M298" s="27" t="s">
        <v>9</v>
      </c>
      <c r="N298" s="27" t="s">
        <v>9</v>
      </c>
      <c r="O298" s="27" t="s">
        <v>9</v>
      </c>
      <c r="P298" s="27" t="s">
        <v>9</v>
      </c>
      <c r="Q298" s="27" t="s">
        <v>9</v>
      </c>
      <c r="R298" s="27" t="s">
        <v>9</v>
      </c>
      <c r="S298" s="27" t="s">
        <v>9</v>
      </c>
      <c r="T298" s="27" t="s">
        <v>9</v>
      </c>
      <c r="U298" s="27" t="s">
        <v>9</v>
      </c>
      <c r="V298" s="20" t="s">
        <v>1</v>
      </c>
      <c r="W298" s="20">
        <v>5</v>
      </c>
      <c r="X298" s="20">
        <v>3</v>
      </c>
      <c r="Y298" s="5">
        <v>2</v>
      </c>
      <c r="Z298" s="20">
        <v>4</v>
      </c>
      <c r="AA298" s="23">
        <v>3</v>
      </c>
      <c r="AB298" s="15" t="s">
        <v>9</v>
      </c>
      <c r="AC298" s="15" t="s">
        <v>9</v>
      </c>
      <c r="AD298" s="15" t="s">
        <v>9</v>
      </c>
      <c r="AE298" s="15" t="s">
        <v>9</v>
      </c>
      <c r="AF298" s="20" t="s">
        <v>9</v>
      </c>
      <c r="AG298" s="20" t="s">
        <v>9</v>
      </c>
      <c r="AH298" s="24" t="s">
        <v>9</v>
      </c>
      <c r="AI298" s="23">
        <v>3</v>
      </c>
      <c r="AJ298" s="15" t="s">
        <v>9</v>
      </c>
      <c r="AK298" s="15" t="s">
        <v>9</v>
      </c>
      <c r="AL298" s="25" t="s">
        <v>9</v>
      </c>
      <c r="AM298" s="23">
        <v>3</v>
      </c>
      <c r="AN298" s="20" t="s">
        <v>9</v>
      </c>
      <c r="AO298" s="20" t="s">
        <v>9</v>
      </c>
      <c r="AP298" s="15" t="s">
        <v>9</v>
      </c>
      <c r="AQ298" s="15" t="s">
        <v>9</v>
      </c>
      <c r="AR298" s="15" t="s">
        <v>9</v>
      </c>
      <c r="AS298" s="26" t="s">
        <v>9</v>
      </c>
      <c r="AT298" s="26" t="s">
        <v>9</v>
      </c>
      <c r="AU298" s="26" t="s">
        <v>9</v>
      </c>
      <c r="AV298" s="26" t="s">
        <v>9</v>
      </c>
      <c r="AW298" s="26" t="s">
        <v>9</v>
      </c>
      <c r="AX298" s="26" t="s">
        <v>9</v>
      </c>
      <c r="AY298" s="26" t="s">
        <v>9</v>
      </c>
      <c r="AZ298" s="26" t="s">
        <v>9</v>
      </c>
      <c r="BA298" s="23">
        <v>3</v>
      </c>
      <c r="BB298" s="24" t="s">
        <v>9</v>
      </c>
    </row>
    <row r="299" spans="1:54" x14ac:dyDescent="0.2">
      <c r="A299" s="19">
        <v>978</v>
      </c>
      <c r="B299" s="27" t="s">
        <v>9</v>
      </c>
      <c r="C299" s="27" t="s">
        <v>9</v>
      </c>
      <c r="D299" s="27" t="s">
        <v>9</v>
      </c>
      <c r="E299" s="27" t="s">
        <v>9</v>
      </c>
      <c r="F299" s="27" t="s">
        <v>9</v>
      </c>
      <c r="G299" s="27" t="s">
        <v>9</v>
      </c>
      <c r="H299" s="27" t="s">
        <v>9</v>
      </c>
      <c r="I299" s="27" t="s">
        <v>9</v>
      </c>
      <c r="J299" s="27" t="s">
        <v>9</v>
      </c>
      <c r="K299" s="27" t="s">
        <v>9</v>
      </c>
      <c r="L299" s="27" t="s">
        <v>9</v>
      </c>
      <c r="M299" s="27" t="s">
        <v>9</v>
      </c>
      <c r="N299" s="27" t="s">
        <v>9</v>
      </c>
      <c r="O299" s="27" t="s">
        <v>9</v>
      </c>
      <c r="P299" s="27" t="s">
        <v>9</v>
      </c>
      <c r="Q299" s="27" t="s">
        <v>9</v>
      </c>
      <c r="R299" s="27" t="s">
        <v>9</v>
      </c>
      <c r="S299" s="27" t="s">
        <v>9</v>
      </c>
      <c r="T299" s="27" t="s">
        <v>9</v>
      </c>
      <c r="U299" s="27" t="s">
        <v>9</v>
      </c>
      <c r="V299" s="20" t="s">
        <v>1</v>
      </c>
      <c r="W299" s="20">
        <v>5</v>
      </c>
      <c r="X299" s="20">
        <v>3</v>
      </c>
      <c r="Y299" s="20">
        <v>2</v>
      </c>
      <c r="Z299" s="20">
        <v>4</v>
      </c>
      <c r="AA299" s="23">
        <v>3</v>
      </c>
      <c r="AB299" s="15" t="s">
        <v>9</v>
      </c>
      <c r="AC299" s="15" t="s">
        <v>9</v>
      </c>
      <c r="AD299" s="15" t="s">
        <v>9</v>
      </c>
      <c r="AE299" s="15" t="s">
        <v>9</v>
      </c>
      <c r="AF299" s="20" t="s">
        <v>9</v>
      </c>
      <c r="AG299" s="20" t="s">
        <v>9</v>
      </c>
      <c r="AH299" s="24" t="s">
        <v>9</v>
      </c>
      <c r="AI299" s="23">
        <v>3</v>
      </c>
      <c r="AJ299" s="15" t="s">
        <v>9</v>
      </c>
      <c r="AK299" s="15" t="s">
        <v>9</v>
      </c>
      <c r="AL299" s="25" t="s">
        <v>9</v>
      </c>
      <c r="AM299" s="23">
        <v>3</v>
      </c>
      <c r="AN299" s="20" t="s">
        <v>9</v>
      </c>
      <c r="AO299" s="20" t="s">
        <v>9</v>
      </c>
      <c r="AP299" s="15" t="s">
        <v>9</v>
      </c>
      <c r="AQ299" s="15" t="s">
        <v>9</v>
      </c>
      <c r="AR299" s="15" t="s">
        <v>9</v>
      </c>
      <c r="AS299" s="26" t="s">
        <v>9</v>
      </c>
      <c r="AT299" s="26" t="s">
        <v>9</v>
      </c>
      <c r="AU299" s="26" t="s">
        <v>9</v>
      </c>
      <c r="AV299" s="26" t="s">
        <v>9</v>
      </c>
      <c r="AW299" s="26" t="s">
        <v>9</v>
      </c>
      <c r="AX299" s="26" t="s">
        <v>9</v>
      </c>
      <c r="AY299" s="26" t="s">
        <v>9</v>
      </c>
      <c r="AZ299" s="26" t="s">
        <v>9</v>
      </c>
      <c r="BA299" s="23">
        <v>3</v>
      </c>
      <c r="BB299" s="24" t="s">
        <v>9</v>
      </c>
    </row>
    <row r="300" spans="1:54" x14ac:dyDescent="0.2">
      <c r="A300" s="19">
        <v>980</v>
      </c>
      <c r="B300" s="27" t="s">
        <v>9</v>
      </c>
      <c r="C300" s="27" t="s">
        <v>9</v>
      </c>
      <c r="D300" s="27" t="s">
        <v>9</v>
      </c>
      <c r="E300" s="27" t="s">
        <v>9</v>
      </c>
      <c r="F300" s="27" t="s">
        <v>9</v>
      </c>
      <c r="G300" s="27" t="s">
        <v>9</v>
      </c>
      <c r="H300" s="27" t="s">
        <v>9</v>
      </c>
      <c r="I300" s="27" t="s">
        <v>9</v>
      </c>
      <c r="J300" s="27" t="s">
        <v>9</v>
      </c>
      <c r="K300" s="27" t="s">
        <v>9</v>
      </c>
      <c r="L300" s="27" t="s">
        <v>9</v>
      </c>
      <c r="M300" s="27" t="s">
        <v>9</v>
      </c>
      <c r="N300" s="27" t="s">
        <v>9</v>
      </c>
      <c r="O300" s="27" t="s">
        <v>9</v>
      </c>
      <c r="P300" s="27" t="s">
        <v>9</v>
      </c>
      <c r="Q300" s="27" t="s">
        <v>9</v>
      </c>
      <c r="R300" s="27" t="s">
        <v>9</v>
      </c>
      <c r="S300" s="27" t="s">
        <v>9</v>
      </c>
      <c r="T300" s="27" t="s">
        <v>9</v>
      </c>
      <c r="U300" s="27" t="s">
        <v>9</v>
      </c>
      <c r="V300" s="20" t="s">
        <v>1</v>
      </c>
      <c r="W300" s="20">
        <v>5</v>
      </c>
      <c r="X300" s="20">
        <v>3</v>
      </c>
      <c r="Y300" s="20">
        <v>2</v>
      </c>
      <c r="Z300" s="20">
        <v>4</v>
      </c>
      <c r="AA300" s="23">
        <v>3</v>
      </c>
      <c r="AB300" s="15" t="s">
        <v>9</v>
      </c>
      <c r="AC300" s="15" t="s">
        <v>9</v>
      </c>
      <c r="AD300" s="15" t="s">
        <v>9</v>
      </c>
      <c r="AE300" s="15" t="s">
        <v>9</v>
      </c>
      <c r="AF300" s="20" t="s">
        <v>9</v>
      </c>
      <c r="AG300" s="20" t="s">
        <v>9</v>
      </c>
      <c r="AH300" s="24" t="s">
        <v>9</v>
      </c>
      <c r="AI300" s="23">
        <v>3</v>
      </c>
      <c r="AJ300" s="15" t="s">
        <v>9</v>
      </c>
      <c r="AK300" s="15" t="s">
        <v>9</v>
      </c>
      <c r="AL300" s="25" t="s">
        <v>9</v>
      </c>
      <c r="AM300" s="23">
        <v>3</v>
      </c>
      <c r="AN300" s="20" t="s">
        <v>9</v>
      </c>
      <c r="AO300" s="20" t="s">
        <v>9</v>
      </c>
      <c r="AP300" s="15" t="s">
        <v>9</v>
      </c>
      <c r="AQ300" s="15" t="s">
        <v>9</v>
      </c>
      <c r="AR300" s="15" t="s">
        <v>9</v>
      </c>
      <c r="AS300" s="26" t="s">
        <v>9</v>
      </c>
      <c r="AT300" s="26" t="s">
        <v>9</v>
      </c>
      <c r="AU300" s="26" t="s">
        <v>9</v>
      </c>
      <c r="AV300" s="26" t="s">
        <v>9</v>
      </c>
      <c r="AW300" s="26" t="s">
        <v>9</v>
      </c>
      <c r="AX300" s="26" t="s">
        <v>9</v>
      </c>
      <c r="AY300" s="26" t="s">
        <v>9</v>
      </c>
      <c r="AZ300" s="26" t="s">
        <v>9</v>
      </c>
      <c r="BA300" s="23">
        <v>3</v>
      </c>
      <c r="BB300" s="24" t="s">
        <v>9</v>
      </c>
    </row>
    <row r="301" spans="1:54" x14ac:dyDescent="0.2">
      <c r="A301" s="19">
        <v>998</v>
      </c>
      <c r="B301" s="27" t="s">
        <v>9</v>
      </c>
      <c r="C301" s="27" t="s">
        <v>9</v>
      </c>
      <c r="D301" s="27" t="s">
        <v>9</v>
      </c>
      <c r="E301" s="27" t="s">
        <v>9</v>
      </c>
      <c r="F301" s="27" t="s">
        <v>9</v>
      </c>
      <c r="G301" s="27" t="s">
        <v>9</v>
      </c>
      <c r="H301" s="27" t="s">
        <v>9</v>
      </c>
      <c r="I301" s="27" t="s">
        <v>9</v>
      </c>
      <c r="J301" s="27" t="s">
        <v>9</v>
      </c>
      <c r="K301" s="27" t="s">
        <v>9</v>
      </c>
      <c r="L301" s="27" t="s">
        <v>9</v>
      </c>
      <c r="M301" s="27" t="s">
        <v>9</v>
      </c>
      <c r="N301" s="27" t="s">
        <v>9</v>
      </c>
      <c r="O301" s="27" t="s">
        <v>9</v>
      </c>
      <c r="P301" s="27" t="s">
        <v>9</v>
      </c>
      <c r="Q301" s="27" t="s">
        <v>9</v>
      </c>
      <c r="R301" s="27" t="s">
        <v>9</v>
      </c>
      <c r="S301" s="27" t="s">
        <v>9</v>
      </c>
      <c r="T301" s="27" t="s">
        <v>9</v>
      </c>
      <c r="U301" s="27" t="s">
        <v>9</v>
      </c>
      <c r="V301" s="20" t="s">
        <v>1</v>
      </c>
      <c r="W301" s="20">
        <v>5</v>
      </c>
      <c r="X301" s="20">
        <v>3</v>
      </c>
      <c r="Y301" s="20">
        <v>2</v>
      </c>
      <c r="Z301" s="20">
        <v>4</v>
      </c>
      <c r="AA301" s="23">
        <v>3</v>
      </c>
      <c r="AB301" s="15" t="s">
        <v>9</v>
      </c>
      <c r="AC301" s="15" t="s">
        <v>9</v>
      </c>
      <c r="AD301" s="15" t="s">
        <v>9</v>
      </c>
      <c r="AE301" s="15" t="s">
        <v>9</v>
      </c>
      <c r="AF301" s="20" t="s">
        <v>9</v>
      </c>
      <c r="AG301" s="20" t="s">
        <v>9</v>
      </c>
      <c r="AH301" s="24" t="s">
        <v>9</v>
      </c>
      <c r="AI301" s="23">
        <v>3</v>
      </c>
      <c r="AJ301" s="15" t="s">
        <v>9</v>
      </c>
      <c r="AK301" s="15" t="s">
        <v>9</v>
      </c>
      <c r="AL301" s="25" t="s">
        <v>9</v>
      </c>
      <c r="AM301" s="23">
        <v>3</v>
      </c>
      <c r="AN301" s="20" t="s">
        <v>9</v>
      </c>
      <c r="AO301" s="20" t="s">
        <v>9</v>
      </c>
      <c r="AP301" s="15" t="s">
        <v>9</v>
      </c>
      <c r="AQ301" s="15" t="s">
        <v>9</v>
      </c>
      <c r="AR301" s="15" t="s">
        <v>9</v>
      </c>
      <c r="AS301" s="26" t="s">
        <v>9</v>
      </c>
      <c r="AT301" s="26" t="s">
        <v>9</v>
      </c>
      <c r="AU301" s="26" t="s">
        <v>9</v>
      </c>
      <c r="AV301" s="26" t="s">
        <v>9</v>
      </c>
      <c r="AW301" s="26" t="s">
        <v>9</v>
      </c>
      <c r="AX301" s="26" t="s">
        <v>9</v>
      </c>
      <c r="AY301" s="26" t="s">
        <v>9</v>
      </c>
      <c r="AZ301" s="26" t="s">
        <v>9</v>
      </c>
      <c r="BA301" s="23">
        <v>3</v>
      </c>
      <c r="BB301" s="24" t="s">
        <v>9</v>
      </c>
    </row>
    <row r="302" spans="1:54" x14ac:dyDescent="0.2">
      <c r="A302" s="19">
        <v>1008</v>
      </c>
      <c r="B302" s="27" t="s">
        <v>9</v>
      </c>
      <c r="C302" s="27" t="s">
        <v>9</v>
      </c>
      <c r="D302" s="27" t="s">
        <v>9</v>
      </c>
      <c r="E302" s="27" t="s">
        <v>9</v>
      </c>
      <c r="F302" s="27" t="s">
        <v>9</v>
      </c>
      <c r="G302" s="27" t="s">
        <v>9</v>
      </c>
      <c r="H302" s="27" t="s">
        <v>9</v>
      </c>
      <c r="I302" s="27" t="s">
        <v>9</v>
      </c>
      <c r="J302" s="27" t="s">
        <v>9</v>
      </c>
      <c r="K302" s="27" t="s">
        <v>9</v>
      </c>
      <c r="L302" s="27" t="s">
        <v>9</v>
      </c>
      <c r="M302" s="27" t="s">
        <v>9</v>
      </c>
      <c r="N302" s="27" t="s">
        <v>9</v>
      </c>
      <c r="O302" s="27" t="s">
        <v>9</v>
      </c>
      <c r="P302" s="27" t="s">
        <v>9</v>
      </c>
      <c r="Q302" s="27" t="s">
        <v>9</v>
      </c>
      <c r="R302" s="27" t="s">
        <v>9</v>
      </c>
      <c r="S302" s="27" t="s">
        <v>9</v>
      </c>
      <c r="T302" s="27" t="s">
        <v>9</v>
      </c>
      <c r="U302" s="27" t="s">
        <v>9</v>
      </c>
      <c r="V302" s="20" t="s">
        <v>1</v>
      </c>
      <c r="W302" s="20">
        <v>5</v>
      </c>
      <c r="X302" s="20">
        <v>3</v>
      </c>
      <c r="Y302" s="20">
        <v>2</v>
      </c>
      <c r="Z302" s="20">
        <v>4</v>
      </c>
      <c r="AA302" s="23">
        <v>3</v>
      </c>
      <c r="AB302" s="15" t="s">
        <v>9</v>
      </c>
      <c r="AC302" s="15" t="s">
        <v>9</v>
      </c>
      <c r="AD302" s="15" t="s">
        <v>9</v>
      </c>
      <c r="AE302" s="15" t="s">
        <v>9</v>
      </c>
      <c r="AF302" s="20" t="s">
        <v>9</v>
      </c>
      <c r="AG302" s="20" t="s">
        <v>9</v>
      </c>
      <c r="AH302" s="24" t="s">
        <v>9</v>
      </c>
      <c r="AI302" s="23">
        <v>3</v>
      </c>
      <c r="AJ302" s="15" t="s">
        <v>9</v>
      </c>
      <c r="AK302" s="15" t="s">
        <v>9</v>
      </c>
      <c r="AL302" s="25" t="s">
        <v>9</v>
      </c>
      <c r="AM302" s="23">
        <v>3</v>
      </c>
      <c r="AN302" s="20" t="s">
        <v>9</v>
      </c>
      <c r="AO302" s="20" t="s">
        <v>9</v>
      </c>
      <c r="AP302" s="15" t="s">
        <v>9</v>
      </c>
      <c r="AQ302" s="15" t="s">
        <v>9</v>
      </c>
      <c r="AR302" s="15" t="s">
        <v>9</v>
      </c>
      <c r="AS302" s="26" t="s">
        <v>9</v>
      </c>
      <c r="AT302" s="26" t="s">
        <v>9</v>
      </c>
      <c r="AU302" s="26" t="s">
        <v>9</v>
      </c>
      <c r="AV302" s="26" t="s">
        <v>9</v>
      </c>
      <c r="AW302" s="26" t="s">
        <v>9</v>
      </c>
      <c r="AX302" s="26" t="s">
        <v>9</v>
      </c>
      <c r="AY302" s="26" t="s">
        <v>9</v>
      </c>
      <c r="AZ302" s="26" t="s">
        <v>9</v>
      </c>
      <c r="BA302" s="23">
        <v>3</v>
      </c>
      <c r="BB302" s="24" t="s">
        <v>9</v>
      </c>
    </row>
    <row r="303" spans="1:54" x14ac:dyDescent="0.2">
      <c r="A303" s="19">
        <v>1011</v>
      </c>
      <c r="B303" s="27" t="s">
        <v>9</v>
      </c>
      <c r="C303" s="27" t="s">
        <v>9</v>
      </c>
      <c r="D303" s="27" t="s">
        <v>9</v>
      </c>
      <c r="E303" s="27" t="s">
        <v>9</v>
      </c>
      <c r="F303" s="27" t="s">
        <v>9</v>
      </c>
      <c r="G303" s="27" t="s">
        <v>9</v>
      </c>
      <c r="H303" s="27" t="s">
        <v>9</v>
      </c>
      <c r="I303" s="27" t="s">
        <v>9</v>
      </c>
      <c r="J303" s="27" t="s">
        <v>9</v>
      </c>
      <c r="K303" s="27" t="s">
        <v>9</v>
      </c>
      <c r="L303" s="27" t="s">
        <v>9</v>
      </c>
      <c r="M303" s="27" t="s">
        <v>9</v>
      </c>
      <c r="N303" s="27" t="s">
        <v>9</v>
      </c>
      <c r="O303" s="27" t="s">
        <v>9</v>
      </c>
      <c r="P303" s="27" t="s">
        <v>9</v>
      </c>
      <c r="Q303" s="27" t="s">
        <v>9</v>
      </c>
      <c r="R303" s="27" t="s">
        <v>9</v>
      </c>
      <c r="S303" s="27" t="s">
        <v>9</v>
      </c>
      <c r="T303" s="27" t="s">
        <v>9</v>
      </c>
      <c r="U303" s="27" t="s">
        <v>9</v>
      </c>
      <c r="V303" s="20" t="s">
        <v>1</v>
      </c>
      <c r="W303" s="20">
        <v>5</v>
      </c>
      <c r="X303" s="20">
        <v>3</v>
      </c>
      <c r="Y303" s="20">
        <v>2</v>
      </c>
      <c r="Z303" s="20">
        <v>4</v>
      </c>
      <c r="AA303" s="23">
        <v>3</v>
      </c>
      <c r="AB303" s="15" t="s">
        <v>9</v>
      </c>
      <c r="AC303" s="15" t="s">
        <v>9</v>
      </c>
      <c r="AD303" s="15" t="s">
        <v>9</v>
      </c>
      <c r="AE303" s="15" t="s">
        <v>9</v>
      </c>
      <c r="AF303" s="20" t="s">
        <v>9</v>
      </c>
      <c r="AG303" s="20" t="s">
        <v>9</v>
      </c>
      <c r="AH303" s="24" t="s">
        <v>9</v>
      </c>
      <c r="AI303" s="23">
        <v>3</v>
      </c>
      <c r="AJ303" s="15" t="s">
        <v>9</v>
      </c>
      <c r="AK303" s="15" t="s">
        <v>9</v>
      </c>
      <c r="AL303" s="25" t="s">
        <v>9</v>
      </c>
      <c r="AM303" s="23">
        <v>3</v>
      </c>
      <c r="AN303" s="20" t="s">
        <v>9</v>
      </c>
      <c r="AO303" s="20" t="s">
        <v>9</v>
      </c>
      <c r="AP303" s="15" t="s">
        <v>9</v>
      </c>
      <c r="AQ303" s="15" t="s">
        <v>9</v>
      </c>
      <c r="AR303" s="15" t="s">
        <v>9</v>
      </c>
      <c r="AS303" s="26" t="s">
        <v>9</v>
      </c>
      <c r="AT303" s="26" t="s">
        <v>9</v>
      </c>
      <c r="AU303" s="26" t="s">
        <v>9</v>
      </c>
      <c r="AV303" s="26" t="s">
        <v>9</v>
      </c>
      <c r="AW303" s="26" t="s">
        <v>9</v>
      </c>
      <c r="AX303" s="26" t="s">
        <v>9</v>
      </c>
      <c r="AY303" s="26" t="s">
        <v>9</v>
      </c>
      <c r="AZ303" s="26" t="s">
        <v>9</v>
      </c>
      <c r="BA303" s="23">
        <v>3</v>
      </c>
      <c r="BB303" s="24" t="s">
        <v>9</v>
      </c>
    </row>
    <row r="304" spans="1:54" x14ac:dyDescent="0.2">
      <c r="A304" s="19">
        <v>1041</v>
      </c>
      <c r="B304" s="27" t="s">
        <v>9</v>
      </c>
      <c r="C304" s="27" t="s">
        <v>9</v>
      </c>
      <c r="D304" s="27" t="s">
        <v>9</v>
      </c>
      <c r="E304" s="27" t="s">
        <v>9</v>
      </c>
      <c r="F304" s="27" t="s">
        <v>9</v>
      </c>
      <c r="G304" s="27" t="s">
        <v>9</v>
      </c>
      <c r="H304" s="27" t="s">
        <v>9</v>
      </c>
      <c r="I304" s="27" t="s">
        <v>9</v>
      </c>
      <c r="J304" s="27" t="s">
        <v>9</v>
      </c>
      <c r="K304" s="27" t="s">
        <v>9</v>
      </c>
      <c r="L304" s="27" t="s">
        <v>9</v>
      </c>
      <c r="M304" s="27" t="s">
        <v>9</v>
      </c>
      <c r="N304" s="27" t="s">
        <v>9</v>
      </c>
      <c r="O304" s="27" t="s">
        <v>9</v>
      </c>
      <c r="P304" s="27" t="s">
        <v>9</v>
      </c>
      <c r="Q304" s="27" t="s">
        <v>9</v>
      </c>
      <c r="R304" s="27" t="s">
        <v>9</v>
      </c>
      <c r="S304" s="27" t="s">
        <v>9</v>
      </c>
      <c r="T304" s="27" t="s">
        <v>9</v>
      </c>
      <c r="U304" s="27" t="s">
        <v>9</v>
      </c>
      <c r="V304" s="20" t="s">
        <v>1</v>
      </c>
      <c r="W304" s="20">
        <v>5</v>
      </c>
      <c r="X304" s="20">
        <v>3</v>
      </c>
      <c r="Y304" s="20">
        <v>2</v>
      </c>
      <c r="Z304" s="20">
        <v>4</v>
      </c>
      <c r="AA304" s="23">
        <v>3</v>
      </c>
      <c r="AB304" s="15" t="s">
        <v>9</v>
      </c>
      <c r="AC304" s="15" t="s">
        <v>9</v>
      </c>
      <c r="AD304" s="15" t="s">
        <v>9</v>
      </c>
      <c r="AE304" s="15" t="s">
        <v>9</v>
      </c>
      <c r="AF304" s="20" t="s">
        <v>9</v>
      </c>
      <c r="AG304" s="20" t="s">
        <v>9</v>
      </c>
      <c r="AH304" s="24" t="s">
        <v>9</v>
      </c>
      <c r="AI304" s="23">
        <v>3</v>
      </c>
      <c r="AJ304" s="15" t="s">
        <v>9</v>
      </c>
      <c r="AK304" s="15" t="s">
        <v>9</v>
      </c>
      <c r="AL304" s="25" t="s">
        <v>9</v>
      </c>
      <c r="AM304" s="23">
        <v>3</v>
      </c>
      <c r="AN304" s="20" t="s">
        <v>9</v>
      </c>
      <c r="AO304" s="20" t="s">
        <v>9</v>
      </c>
      <c r="AP304" s="15" t="s">
        <v>9</v>
      </c>
      <c r="AQ304" s="15" t="s">
        <v>9</v>
      </c>
      <c r="AR304" s="15" t="s">
        <v>9</v>
      </c>
      <c r="AS304" s="26" t="s">
        <v>9</v>
      </c>
      <c r="AT304" s="26" t="s">
        <v>9</v>
      </c>
      <c r="AU304" s="26" t="s">
        <v>9</v>
      </c>
      <c r="AV304" s="26" t="s">
        <v>9</v>
      </c>
      <c r="AW304" s="26" t="s">
        <v>9</v>
      </c>
      <c r="AX304" s="26" t="s">
        <v>9</v>
      </c>
      <c r="AY304" s="26" t="s">
        <v>9</v>
      </c>
      <c r="AZ304" s="26" t="s">
        <v>9</v>
      </c>
      <c r="BA304" s="23">
        <v>3</v>
      </c>
      <c r="BB304" s="24" t="s">
        <v>9</v>
      </c>
    </row>
    <row r="305" spans="1:54" x14ac:dyDescent="0.2">
      <c r="A305" s="19">
        <v>1043</v>
      </c>
      <c r="B305" s="27" t="s">
        <v>9</v>
      </c>
      <c r="C305" s="27" t="s">
        <v>9</v>
      </c>
      <c r="D305" s="27" t="s">
        <v>9</v>
      </c>
      <c r="E305" s="27" t="s">
        <v>9</v>
      </c>
      <c r="F305" s="27" t="s">
        <v>9</v>
      </c>
      <c r="G305" s="27" t="s">
        <v>9</v>
      </c>
      <c r="H305" s="27" t="s">
        <v>9</v>
      </c>
      <c r="I305" s="27" t="s">
        <v>9</v>
      </c>
      <c r="J305" s="27" t="s">
        <v>9</v>
      </c>
      <c r="K305" s="27" t="s">
        <v>9</v>
      </c>
      <c r="L305" s="27" t="s">
        <v>9</v>
      </c>
      <c r="M305" s="27" t="s">
        <v>9</v>
      </c>
      <c r="N305" s="27" t="s">
        <v>9</v>
      </c>
      <c r="O305" s="27" t="s">
        <v>9</v>
      </c>
      <c r="P305" s="27" t="s">
        <v>9</v>
      </c>
      <c r="Q305" s="27" t="s">
        <v>9</v>
      </c>
      <c r="R305" s="27" t="s">
        <v>9</v>
      </c>
      <c r="S305" s="27" t="s">
        <v>9</v>
      </c>
      <c r="T305" s="27" t="s">
        <v>9</v>
      </c>
      <c r="U305" s="27" t="s">
        <v>9</v>
      </c>
      <c r="V305" s="20" t="s">
        <v>1</v>
      </c>
      <c r="W305" s="20">
        <v>5</v>
      </c>
      <c r="X305" s="20">
        <v>3</v>
      </c>
      <c r="Y305" s="20">
        <v>2</v>
      </c>
      <c r="Z305" s="20">
        <v>4</v>
      </c>
      <c r="AA305" s="23">
        <v>3</v>
      </c>
      <c r="AB305" s="15" t="s">
        <v>9</v>
      </c>
      <c r="AC305" s="15" t="s">
        <v>9</v>
      </c>
      <c r="AD305" s="15" t="s">
        <v>9</v>
      </c>
      <c r="AE305" s="15" t="s">
        <v>9</v>
      </c>
      <c r="AF305" s="20" t="s">
        <v>9</v>
      </c>
      <c r="AG305" s="20" t="s">
        <v>9</v>
      </c>
      <c r="AH305" s="24" t="s">
        <v>9</v>
      </c>
      <c r="AI305" s="23">
        <v>3</v>
      </c>
      <c r="AJ305" s="15" t="s">
        <v>9</v>
      </c>
      <c r="AK305" s="15" t="s">
        <v>9</v>
      </c>
      <c r="AL305" s="25" t="s">
        <v>9</v>
      </c>
      <c r="AM305" s="23">
        <v>3</v>
      </c>
      <c r="AN305" s="20" t="s">
        <v>9</v>
      </c>
      <c r="AO305" s="20" t="s">
        <v>9</v>
      </c>
      <c r="AP305" s="15" t="s">
        <v>9</v>
      </c>
      <c r="AQ305" s="15" t="s">
        <v>9</v>
      </c>
      <c r="AR305" s="15" t="s">
        <v>9</v>
      </c>
      <c r="AS305" s="26" t="s">
        <v>9</v>
      </c>
      <c r="AT305" s="26" t="s">
        <v>9</v>
      </c>
      <c r="AU305" s="26" t="s">
        <v>9</v>
      </c>
      <c r="AV305" s="26" t="s">
        <v>9</v>
      </c>
      <c r="AW305" s="26" t="s">
        <v>9</v>
      </c>
      <c r="AX305" s="26" t="s">
        <v>9</v>
      </c>
      <c r="AY305" s="26" t="s">
        <v>9</v>
      </c>
      <c r="AZ305" s="26" t="s">
        <v>9</v>
      </c>
      <c r="BA305" s="23">
        <v>3</v>
      </c>
      <c r="BB305" s="24" t="s">
        <v>9</v>
      </c>
    </row>
    <row r="306" spans="1:54" x14ac:dyDescent="0.2">
      <c r="A306" s="19">
        <v>1108</v>
      </c>
      <c r="B306" s="27" t="s">
        <v>9</v>
      </c>
      <c r="C306" s="27" t="s">
        <v>9</v>
      </c>
      <c r="D306" s="27" t="s">
        <v>9</v>
      </c>
      <c r="E306" s="27" t="s">
        <v>9</v>
      </c>
      <c r="F306" s="27" t="s">
        <v>9</v>
      </c>
      <c r="G306" s="27" t="s">
        <v>9</v>
      </c>
      <c r="H306" s="27" t="s">
        <v>9</v>
      </c>
      <c r="I306" s="27" t="s">
        <v>9</v>
      </c>
      <c r="J306" s="27" t="s">
        <v>9</v>
      </c>
      <c r="K306" s="27" t="s">
        <v>9</v>
      </c>
      <c r="L306" s="27" t="s">
        <v>9</v>
      </c>
      <c r="M306" s="27" t="s">
        <v>9</v>
      </c>
      <c r="N306" s="27" t="s">
        <v>9</v>
      </c>
      <c r="O306" s="27" t="s">
        <v>9</v>
      </c>
      <c r="P306" s="27" t="s">
        <v>9</v>
      </c>
      <c r="Q306" s="27" t="s">
        <v>9</v>
      </c>
      <c r="R306" s="27" t="s">
        <v>9</v>
      </c>
      <c r="S306" s="27" t="s">
        <v>9</v>
      </c>
      <c r="T306" s="27" t="s">
        <v>9</v>
      </c>
      <c r="U306" s="27" t="s">
        <v>9</v>
      </c>
      <c r="V306" s="20" t="s">
        <v>1</v>
      </c>
      <c r="W306" s="20">
        <v>5</v>
      </c>
      <c r="X306" s="20">
        <v>3</v>
      </c>
      <c r="Y306" s="20">
        <v>2</v>
      </c>
      <c r="Z306" s="20">
        <v>4</v>
      </c>
      <c r="AA306" s="23">
        <v>3</v>
      </c>
      <c r="AB306" s="15" t="s">
        <v>9</v>
      </c>
      <c r="AC306" s="15" t="s">
        <v>9</v>
      </c>
      <c r="AD306" s="15" t="s">
        <v>9</v>
      </c>
      <c r="AE306" s="15" t="s">
        <v>9</v>
      </c>
      <c r="AF306" s="20" t="s">
        <v>9</v>
      </c>
      <c r="AG306" s="20" t="s">
        <v>9</v>
      </c>
      <c r="AH306" s="24" t="s">
        <v>9</v>
      </c>
      <c r="AI306" s="23">
        <v>3</v>
      </c>
      <c r="AJ306" s="15" t="s">
        <v>9</v>
      </c>
      <c r="AK306" s="15" t="s">
        <v>9</v>
      </c>
      <c r="AL306" s="25" t="s">
        <v>9</v>
      </c>
      <c r="AM306" s="23">
        <v>3</v>
      </c>
      <c r="AN306" s="20" t="s">
        <v>9</v>
      </c>
      <c r="AO306" s="20" t="s">
        <v>9</v>
      </c>
      <c r="AP306" s="15" t="s">
        <v>9</v>
      </c>
      <c r="AQ306" s="15" t="s">
        <v>9</v>
      </c>
      <c r="AR306" s="15" t="s">
        <v>9</v>
      </c>
      <c r="AS306" s="26" t="s">
        <v>9</v>
      </c>
      <c r="AT306" s="26" t="s">
        <v>9</v>
      </c>
      <c r="AU306" s="26" t="s">
        <v>9</v>
      </c>
      <c r="AV306" s="26" t="s">
        <v>9</v>
      </c>
      <c r="AW306" s="26" t="s">
        <v>9</v>
      </c>
      <c r="AX306" s="26" t="s">
        <v>9</v>
      </c>
      <c r="AY306" s="26" t="s">
        <v>9</v>
      </c>
      <c r="AZ306" s="26" t="s">
        <v>9</v>
      </c>
      <c r="BA306" s="23">
        <v>3</v>
      </c>
      <c r="BB306" s="24" t="s">
        <v>9</v>
      </c>
    </row>
    <row r="307" spans="1:54" x14ac:dyDescent="0.2">
      <c r="A307" s="19">
        <v>1123</v>
      </c>
      <c r="B307" s="27" t="s">
        <v>9</v>
      </c>
      <c r="C307" s="27" t="s">
        <v>9</v>
      </c>
      <c r="D307" s="27" t="s">
        <v>9</v>
      </c>
      <c r="E307" s="27" t="s">
        <v>9</v>
      </c>
      <c r="F307" s="27" t="s">
        <v>9</v>
      </c>
      <c r="G307" s="27" t="s">
        <v>9</v>
      </c>
      <c r="H307" s="27" t="s">
        <v>9</v>
      </c>
      <c r="I307" s="27" t="s">
        <v>9</v>
      </c>
      <c r="J307" s="27" t="s">
        <v>9</v>
      </c>
      <c r="K307" s="27" t="s">
        <v>9</v>
      </c>
      <c r="L307" s="27" t="s">
        <v>9</v>
      </c>
      <c r="M307" s="27" t="s">
        <v>9</v>
      </c>
      <c r="N307" s="27" t="s">
        <v>9</v>
      </c>
      <c r="O307" s="27" t="s">
        <v>9</v>
      </c>
      <c r="P307" s="27" t="s">
        <v>9</v>
      </c>
      <c r="Q307" s="27" t="s">
        <v>9</v>
      </c>
      <c r="R307" s="27" t="s">
        <v>9</v>
      </c>
      <c r="S307" s="27" t="s">
        <v>9</v>
      </c>
      <c r="T307" s="27" t="s">
        <v>9</v>
      </c>
      <c r="U307" s="27" t="s">
        <v>9</v>
      </c>
      <c r="V307" s="20" t="s">
        <v>1</v>
      </c>
      <c r="W307" s="20">
        <v>5</v>
      </c>
      <c r="X307" s="20">
        <v>3</v>
      </c>
      <c r="Y307" s="20">
        <v>2</v>
      </c>
      <c r="Z307" s="20">
        <v>4</v>
      </c>
      <c r="AA307" s="23">
        <v>3</v>
      </c>
      <c r="AB307" s="15" t="s">
        <v>9</v>
      </c>
      <c r="AC307" s="15" t="s">
        <v>9</v>
      </c>
      <c r="AD307" s="15" t="s">
        <v>9</v>
      </c>
      <c r="AE307" s="15" t="s">
        <v>9</v>
      </c>
      <c r="AF307" s="20" t="s">
        <v>9</v>
      </c>
      <c r="AG307" s="20" t="s">
        <v>9</v>
      </c>
      <c r="AH307" s="24" t="s">
        <v>9</v>
      </c>
      <c r="AI307" s="23">
        <v>3</v>
      </c>
      <c r="AJ307" s="15" t="s">
        <v>9</v>
      </c>
      <c r="AK307" s="15" t="s">
        <v>9</v>
      </c>
      <c r="AL307" s="25" t="s">
        <v>9</v>
      </c>
      <c r="AM307" s="23">
        <v>3</v>
      </c>
      <c r="AN307" s="20" t="s">
        <v>9</v>
      </c>
      <c r="AO307" s="20" t="s">
        <v>9</v>
      </c>
      <c r="AP307" s="15" t="s">
        <v>9</v>
      </c>
      <c r="AQ307" s="15" t="s">
        <v>9</v>
      </c>
      <c r="AR307" s="15" t="s">
        <v>9</v>
      </c>
      <c r="AS307" s="26" t="s">
        <v>9</v>
      </c>
      <c r="AT307" s="26" t="s">
        <v>9</v>
      </c>
      <c r="AU307" s="26" t="s">
        <v>9</v>
      </c>
      <c r="AV307" s="26" t="s">
        <v>9</v>
      </c>
      <c r="AW307" s="26" t="s">
        <v>9</v>
      </c>
      <c r="AX307" s="26" t="s">
        <v>9</v>
      </c>
      <c r="AY307" s="26" t="s">
        <v>9</v>
      </c>
      <c r="AZ307" s="26" t="s">
        <v>9</v>
      </c>
      <c r="BA307" s="23">
        <v>3</v>
      </c>
      <c r="BB307" s="24" t="s">
        <v>9</v>
      </c>
    </row>
    <row r="308" spans="1:54" x14ac:dyDescent="0.2">
      <c r="A308" s="19">
        <v>1124</v>
      </c>
      <c r="B308" s="27" t="s">
        <v>9</v>
      </c>
      <c r="C308" s="27" t="s">
        <v>9</v>
      </c>
      <c r="D308" s="27" t="s">
        <v>9</v>
      </c>
      <c r="E308" s="27" t="s">
        <v>9</v>
      </c>
      <c r="F308" s="27" t="s">
        <v>9</v>
      </c>
      <c r="G308" s="27" t="s">
        <v>9</v>
      </c>
      <c r="H308" s="27" t="s">
        <v>9</v>
      </c>
      <c r="I308" s="27" t="s">
        <v>9</v>
      </c>
      <c r="J308" s="27" t="s">
        <v>9</v>
      </c>
      <c r="K308" s="27" t="s">
        <v>9</v>
      </c>
      <c r="L308" s="27" t="s">
        <v>9</v>
      </c>
      <c r="M308" s="27" t="s">
        <v>9</v>
      </c>
      <c r="N308" s="27" t="s">
        <v>9</v>
      </c>
      <c r="O308" s="27" t="s">
        <v>9</v>
      </c>
      <c r="P308" s="27" t="s">
        <v>9</v>
      </c>
      <c r="Q308" s="27" t="s">
        <v>9</v>
      </c>
      <c r="R308" s="27" t="s">
        <v>9</v>
      </c>
      <c r="S308" s="27" t="s">
        <v>9</v>
      </c>
      <c r="T308" s="27" t="s">
        <v>9</v>
      </c>
      <c r="U308" s="27" t="s">
        <v>9</v>
      </c>
      <c r="V308" s="20" t="s">
        <v>1</v>
      </c>
      <c r="W308" s="20">
        <v>5</v>
      </c>
      <c r="X308" s="20">
        <v>3</v>
      </c>
      <c r="Y308" s="20">
        <v>2</v>
      </c>
      <c r="Z308" s="20">
        <v>4</v>
      </c>
      <c r="AA308" s="23">
        <v>3</v>
      </c>
      <c r="AB308" s="15" t="s">
        <v>9</v>
      </c>
      <c r="AC308" s="15" t="s">
        <v>9</v>
      </c>
      <c r="AD308" s="15" t="s">
        <v>9</v>
      </c>
      <c r="AE308" s="15" t="s">
        <v>9</v>
      </c>
      <c r="AF308" s="20" t="s">
        <v>9</v>
      </c>
      <c r="AG308" s="20" t="s">
        <v>9</v>
      </c>
      <c r="AH308" s="24" t="s">
        <v>9</v>
      </c>
      <c r="AI308" s="23">
        <v>3</v>
      </c>
      <c r="AJ308" s="15" t="s">
        <v>9</v>
      </c>
      <c r="AK308" s="15" t="s">
        <v>9</v>
      </c>
      <c r="AL308" s="25" t="s">
        <v>9</v>
      </c>
      <c r="AM308" s="23">
        <v>3</v>
      </c>
      <c r="AN308" s="20" t="s">
        <v>9</v>
      </c>
      <c r="AO308" s="20" t="s">
        <v>9</v>
      </c>
      <c r="AP308" s="15" t="s">
        <v>9</v>
      </c>
      <c r="AQ308" s="15" t="s">
        <v>9</v>
      </c>
      <c r="AR308" s="15" t="s">
        <v>9</v>
      </c>
      <c r="AS308" s="26" t="s">
        <v>9</v>
      </c>
      <c r="AT308" s="26" t="s">
        <v>9</v>
      </c>
      <c r="AU308" s="26" t="s">
        <v>9</v>
      </c>
      <c r="AV308" s="26" t="s">
        <v>9</v>
      </c>
      <c r="AW308" s="26" t="s">
        <v>9</v>
      </c>
      <c r="AX308" s="26" t="s">
        <v>9</v>
      </c>
      <c r="AY308" s="26" t="s">
        <v>9</v>
      </c>
      <c r="AZ308" s="26" t="s">
        <v>9</v>
      </c>
      <c r="BA308" s="23">
        <v>3</v>
      </c>
      <c r="BB308" s="24" t="s">
        <v>9</v>
      </c>
    </row>
    <row r="309" spans="1:54" x14ac:dyDescent="0.2">
      <c r="A309" s="19">
        <v>1136</v>
      </c>
      <c r="B309" s="27" t="s">
        <v>9</v>
      </c>
      <c r="C309" s="27" t="s">
        <v>9</v>
      </c>
      <c r="D309" s="27" t="s">
        <v>9</v>
      </c>
      <c r="E309" s="27" t="s">
        <v>9</v>
      </c>
      <c r="F309" s="27" t="s">
        <v>9</v>
      </c>
      <c r="G309" s="27" t="s">
        <v>9</v>
      </c>
      <c r="H309" s="27" t="s">
        <v>9</v>
      </c>
      <c r="I309" s="27" t="s">
        <v>9</v>
      </c>
      <c r="J309" s="27" t="s">
        <v>9</v>
      </c>
      <c r="K309" s="27" t="s">
        <v>9</v>
      </c>
      <c r="L309" s="27" t="s">
        <v>9</v>
      </c>
      <c r="M309" s="27" t="s">
        <v>9</v>
      </c>
      <c r="N309" s="27" t="s">
        <v>9</v>
      </c>
      <c r="O309" s="27" t="s">
        <v>9</v>
      </c>
      <c r="P309" s="27" t="s">
        <v>9</v>
      </c>
      <c r="Q309" s="27" t="s">
        <v>9</v>
      </c>
      <c r="R309" s="27" t="s">
        <v>9</v>
      </c>
      <c r="S309" s="27" t="s">
        <v>9</v>
      </c>
      <c r="T309" s="27" t="s">
        <v>9</v>
      </c>
      <c r="U309" s="27" t="s">
        <v>9</v>
      </c>
      <c r="V309" s="20" t="s">
        <v>1</v>
      </c>
      <c r="W309" s="20">
        <v>5</v>
      </c>
      <c r="X309" s="20">
        <v>3</v>
      </c>
      <c r="Y309" s="20">
        <v>2</v>
      </c>
      <c r="Z309" s="20">
        <v>4</v>
      </c>
      <c r="AA309" s="23">
        <v>3</v>
      </c>
      <c r="AB309" s="15" t="s">
        <v>9</v>
      </c>
      <c r="AC309" s="15" t="s">
        <v>9</v>
      </c>
      <c r="AD309" s="15" t="s">
        <v>9</v>
      </c>
      <c r="AE309" s="15" t="s">
        <v>9</v>
      </c>
      <c r="AF309" s="20" t="s">
        <v>9</v>
      </c>
      <c r="AG309" s="20" t="s">
        <v>9</v>
      </c>
      <c r="AH309" s="24" t="s">
        <v>9</v>
      </c>
      <c r="AI309" s="23">
        <v>3</v>
      </c>
      <c r="AJ309" s="15" t="s">
        <v>9</v>
      </c>
      <c r="AK309" s="15" t="s">
        <v>9</v>
      </c>
      <c r="AL309" s="25" t="s">
        <v>9</v>
      </c>
      <c r="AM309" s="23">
        <v>3</v>
      </c>
      <c r="AN309" s="20" t="s">
        <v>9</v>
      </c>
      <c r="AO309" s="20" t="s">
        <v>9</v>
      </c>
      <c r="AP309" s="15" t="s">
        <v>9</v>
      </c>
      <c r="AQ309" s="15" t="s">
        <v>9</v>
      </c>
      <c r="AR309" s="15" t="s">
        <v>9</v>
      </c>
      <c r="AS309" s="26" t="s">
        <v>9</v>
      </c>
      <c r="AT309" s="26" t="s">
        <v>9</v>
      </c>
      <c r="AU309" s="26" t="s">
        <v>9</v>
      </c>
      <c r="AV309" s="26" t="s">
        <v>9</v>
      </c>
      <c r="AW309" s="26" t="s">
        <v>9</v>
      </c>
      <c r="AX309" s="26" t="s">
        <v>9</v>
      </c>
      <c r="AY309" s="26" t="s">
        <v>9</v>
      </c>
      <c r="AZ309" s="26" t="s">
        <v>9</v>
      </c>
      <c r="BA309" s="23">
        <v>3</v>
      </c>
      <c r="BB309" s="24" t="s">
        <v>9</v>
      </c>
    </row>
    <row r="310" spans="1:54" x14ac:dyDescent="0.2">
      <c r="A310" s="19">
        <v>1154</v>
      </c>
      <c r="B310" s="27" t="s">
        <v>9</v>
      </c>
      <c r="C310" s="27" t="s">
        <v>9</v>
      </c>
      <c r="D310" s="27" t="s">
        <v>9</v>
      </c>
      <c r="E310" s="27" t="s">
        <v>9</v>
      </c>
      <c r="F310" s="27" t="s">
        <v>9</v>
      </c>
      <c r="G310" s="27" t="s">
        <v>9</v>
      </c>
      <c r="H310" s="27" t="s">
        <v>9</v>
      </c>
      <c r="I310" s="27" t="s">
        <v>9</v>
      </c>
      <c r="J310" s="27" t="s">
        <v>9</v>
      </c>
      <c r="K310" s="27" t="s">
        <v>9</v>
      </c>
      <c r="L310" s="27" t="s">
        <v>9</v>
      </c>
      <c r="M310" s="27" t="s">
        <v>9</v>
      </c>
      <c r="N310" s="27" t="s">
        <v>9</v>
      </c>
      <c r="O310" s="27" t="s">
        <v>9</v>
      </c>
      <c r="P310" s="27" t="s">
        <v>9</v>
      </c>
      <c r="Q310" s="27" t="s">
        <v>9</v>
      </c>
      <c r="R310" s="27" t="s">
        <v>9</v>
      </c>
      <c r="S310" s="27" t="s">
        <v>9</v>
      </c>
      <c r="T310" s="27" t="s">
        <v>9</v>
      </c>
      <c r="U310" s="27" t="s">
        <v>9</v>
      </c>
      <c r="V310" s="20" t="s">
        <v>1</v>
      </c>
      <c r="W310" s="20">
        <v>5</v>
      </c>
      <c r="X310" s="20">
        <v>3</v>
      </c>
      <c r="Y310" s="20">
        <v>2</v>
      </c>
      <c r="Z310" s="20">
        <v>4</v>
      </c>
      <c r="AA310" s="23">
        <v>3</v>
      </c>
      <c r="AB310" s="15" t="s">
        <v>9</v>
      </c>
      <c r="AC310" s="15" t="s">
        <v>9</v>
      </c>
      <c r="AD310" s="15" t="s">
        <v>9</v>
      </c>
      <c r="AE310" s="15" t="s">
        <v>9</v>
      </c>
      <c r="AF310" s="20" t="s">
        <v>9</v>
      </c>
      <c r="AG310" s="20" t="s">
        <v>9</v>
      </c>
      <c r="AH310" s="24" t="s">
        <v>9</v>
      </c>
      <c r="AI310" s="23">
        <v>3</v>
      </c>
      <c r="AJ310" s="15" t="s">
        <v>9</v>
      </c>
      <c r="AK310" s="15" t="s">
        <v>9</v>
      </c>
      <c r="AL310" s="25" t="s">
        <v>9</v>
      </c>
      <c r="AM310" s="23">
        <v>3</v>
      </c>
      <c r="AN310" s="20" t="s">
        <v>9</v>
      </c>
      <c r="AO310" s="20" t="s">
        <v>9</v>
      </c>
      <c r="AP310" s="15" t="s">
        <v>9</v>
      </c>
      <c r="AQ310" s="15" t="s">
        <v>9</v>
      </c>
      <c r="AR310" s="15" t="s">
        <v>9</v>
      </c>
      <c r="AS310" s="26" t="s">
        <v>9</v>
      </c>
      <c r="AT310" s="26" t="s">
        <v>9</v>
      </c>
      <c r="AU310" s="26" t="s">
        <v>9</v>
      </c>
      <c r="AV310" s="26" t="s">
        <v>9</v>
      </c>
      <c r="AW310" s="26" t="s">
        <v>9</v>
      </c>
      <c r="AX310" s="26" t="s">
        <v>9</v>
      </c>
      <c r="AY310" s="26" t="s">
        <v>9</v>
      </c>
      <c r="AZ310" s="26" t="s">
        <v>9</v>
      </c>
      <c r="BA310" s="23">
        <v>3</v>
      </c>
      <c r="BB310" s="24" t="s">
        <v>9</v>
      </c>
    </row>
    <row r="311" spans="1:54" x14ac:dyDescent="0.2">
      <c r="A311" s="19">
        <v>1158</v>
      </c>
      <c r="B311" s="27" t="s">
        <v>9</v>
      </c>
      <c r="C311" s="27" t="s">
        <v>9</v>
      </c>
      <c r="D311" s="27" t="s">
        <v>9</v>
      </c>
      <c r="E311" s="27" t="s">
        <v>9</v>
      </c>
      <c r="F311" s="27" t="s">
        <v>9</v>
      </c>
      <c r="G311" s="27" t="s">
        <v>9</v>
      </c>
      <c r="H311" s="27" t="s">
        <v>9</v>
      </c>
      <c r="I311" s="27" t="s">
        <v>9</v>
      </c>
      <c r="J311" s="27" t="s">
        <v>9</v>
      </c>
      <c r="K311" s="27" t="s">
        <v>9</v>
      </c>
      <c r="L311" s="27" t="s">
        <v>9</v>
      </c>
      <c r="M311" s="27" t="s">
        <v>9</v>
      </c>
      <c r="N311" s="27" t="s">
        <v>9</v>
      </c>
      <c r="O311" s="27" t="s">
        <v>9</v>
      </c>
      <c r="P311" s="27" t="s">
        <v>9</v>
      </c>
      <c r="Q311" s="27" t="s">
        <v>9</v>
      </c>
      <c r="R311" s="27" t="s">
        <v>9</v>
      </c>
      <c r="S311" s="27" t="s">
        <v>9</v>
      </c>
      <c r="T311" s="27" t="s">
        <v>9</v>
      </c>
      <c r="U311" s="27" t="s">
        <v>9</v>
      </c>
      <c r="V311" s="20" t="s">
        <v>1</v>
      </c>
      <c r="W311" s="20">
        <v>5</v>
      </c>
      <c r="X311" s="20">
        <v>3</v>
      </c>
      <c r="Y311" s="20">
        <v>2</v>
      </c>
      <c r="Z311" s="20">
        <v>4</v>
      </c>
      <c r="AA311" s="23">
        <v>3</v>
      </c>
      <c r="AB311" s="15" t="s">
        <v>9</v>
      </c>
      <c r="AC311" s="15" t="s">
        <v>9</v>
      </c>
      <c r="AD311" s="15" t="s">
        <v>9</v>
      </c>
      <c r="AE311" s="15" t="s">
        <v>9</v>
      </c>
      <c r="AF311" s="20" t="s">
        <v>9</v>
      </c>
      <c r="AG311" s="20" t="s">
        <v>9</v>
      </c>
      <c r="AH311" s="24" t="s">
        <v>9</v>
      </c>
      <c r="AI311" s="23">
        <v>3</v>
      </c>
      <c r="AJ311" s="15" t="s">
        <v>9</v>
      </c>
      <c r="AK311" s="15" t="s">
        <v>9</v>
      </c>
      <c r="AL311" s="25" t="s">
        <v>9</v>
      </c>
      <c r="AM311" s="23">
        <v>3</v>
      </c>
      <c r="AN311" s="20" t="s">
        <v>9</v>
      </c>
      <c r="AO311" s="20" t="s">
        <v>9</v>
      </c>
      <c r="AP311" s="15" t="s">
        <v>9</v>
      </c>
      <c r="AQ311" s="15" t="s">
        <v>9</v>
      </c>
      <c r="AR311" s="15" t="s">
        <v>9</v>
      </c>
      <c r="AS311" s="26" t="s">
        <v>9</v>
      </c>
      <c r="AT311" s="26" t="s">
        <v>9</v>
      </c>
      <c r="AU311" s="26" t="s">
        <v>9</v>
      </c>
      <c r="AV311" s="26" t="s">
        <v>9</v>
      </c>
      <c r="AW311" s="26" t="s">
        <v>9</v>
      </c>
      <c r="AX311" s="26" t="s">
        <v>9</v>
      </c>
      <c r="AY311" s="26" t="s">
        <v>9</v>
      </c>
      <c r="AZ311" s="26" t="s">
        <v>9</v>
      </c>
      <c r="BA311" s="23">
        <v>3</v>
      </c>
      <c r="BB311" s="24" t="s">
        <v>9</v>
      </c>
    </row>
    <row r="312" spans="1:54" x14ac:dyDescent="0.2">
      <c r="A312" s="19">
        <v>1159</v>
      </c>
      <c r="B312" s="27" t="s">
        <v>9</v>
      </c>
      <c r="C312" s="27" t="s">
        <v>9</v>
      </c>
      <c r="D312" s="27" t="s">
        <v>9</v>
      </c>
      <c r="E312" s="27" t="s">
        <v>9</v>
      </c>
      <c r="F312" s="27" t="s">
        <v>9</v>
      </c>
      <c r="G312" s="27" t="s">
        <v>9</v>
      </c>
      <c r="H312" s="27" t="s">
        <v>9</v>
      </c>
      <c r="I312" s="27" t="s">
        <v>9</v>
      </c>
      <c r="J312" s="27" t="s">
        <v>9</v>
      </c>
      <c r="K312" s="27" t="s">
        <v>9</v>
      </c>
      <c r="L312" s="27" t="s">
        <v>9</v>
      </c>
      <c r="M312" s="27" t="s">
        <v>9</v>
      </c>
      <c r="N312" s="27" t="s">
        <v>9</v>
      </c>
      <c r="O312" s="27" t="s">
        <v>9</v>
      </c>
      <c r="P312" s="27" t="s">
        <v>9</v>
      </c>
      <c r="Q312" s="27" t="s">
        <v>9</v>
      </c>
      <c r="R312" s="27" t="s">
        <v>9</v>
      </c>
      <c r="S312" s="27" t="s">
        <v>9</v>
      </c>
      <c r="T312" s="27" t="s">
        <v>9</v>
      </c>
      <c r="U312" s="27" t="s">
        <v>9</v>
      </c>
      <c r="V312" s="20" t="s">
        <v>1</v>
      </c>
      <c r="W312" s="20">
        <v>5</v>
      </c>
      <c r="X312" s="20">
        <v>3</v>
      </c>
      <c r="Y312" s="20">
        <v>2</v>
      </c>
      <c r="Z312" s="20">
        <v>4</v>
      </c>
      <c r="AA312" s="23">
        <v>3</v>
      </c>
      <c r="AB312" s="15" t="s">
        <v>9</v>
      </c>
      <c r="AC312" s="15" t="s">
        <v>9</v>
      </c>
      <c r="AD312" s="15" t="s">
        <v>9</v>
      </c>
      <c r="AE312" s="15" t="s">
        <v>9</v>
      </c>
      <c r="AF312" s="20" t="s">
        <v>9</v>
      </c>
      <c r="AG312" s="20" t="s">
        <v>9</v>
      </c>
      <c r="AH312" s="24" t="s">
        <v>9</v>
      </c>
      <c r="AI312" s="23">
        <v>3</v>
      </c>
      <c r="AJ312" s="15" t="s">
        <v>9</v>
      </c>
      <c r="AK312" s="15" t="s">
        <v>9</v>
      </c>
      <c r="AL312" s="25" t="s">
        <v>9</v>
      </c>
      <c r="AM312" s="23">
        <v>3</v>
      </c>
      <c r="AN312" s="20" t="s">
        <v>9</v>
      </c>
      <c r="AO312" s="20" t="s">
        <v>9</v>
      </c>
      <c r="AP312" s="15" t="s">
        <v>9</v>
      </c>
      <c r="AQ312" s="15" t="s">
        <v>9</v>
      </c>
      <c r="AR312" s="15" t="s">
        <v>9</v>
      </c>
      <c r="AS312" s="26" t="s">
        <v>9</v>
      </c>
      <c r="AT312" s="26" t="s">
        <v>9</v>
      </c>
      <c r="AU312" s="26" t="s">
        <v>9</v>
      </c>
      <c r="AV312" s="26" t="s">
        <v>9</v>
      </c>
      <c r="AW312" s="26" t="s">
        <v>9</v>
      </c>
      <c r="AX312" s="26" t="s">
        <v>9</v>
      </c>
      <c r="AY312" s="26" t="s">
        <v>9</v>
      </c>
      <c r="AZ312" s="26" t="s">
        <v>9</v>
      </c>
      <c r="BA312" s="23">
        <v>3</v>
      </c>
      <c r="BB312" s="24" t="s">
        <v>9</v>
      </c>
    </row>
    <row r="313" spans="1:54" x14ac:dyDescent="0.2">
      <c r="A313" s="19">
        <v>1165</v>
      </c>
      <c r="B313" s="27" t="s">
        <v>9</v>
      </c>
      <c r="C313" s="27" t="s">
        <v>9</v>
      </c>
      <c r="D313" s="27" t="s">
        <v>9</v>
      </c>
      <c r="E313" s="27" t="s">
        <v>9</v>
      </c>
      <c r="F313" s="27" t="s">
        <v>9</v>
      </c>
      <c r="G313" s="27" t="s">
        <v>9</v>
      </c>
      <c r="H313" s="27" t="s">
        <v>9</v>
      </c>
      <c r="I313" s="27" t="s">
        <v>9</v>
      </c>
      <c r="J313" s="27" t="s">
        <v>9</v>
      </c>
      <c r="K313" s="27" t="s">
        <v>9</v>
      </c>
      <c r="L313" s="27" t="s">
        <v>9</v>
      </c>
      <c r="M313" s="27" t="s">
        <v>9</v>
      </c>
      <c r="N313" s="27" t="s">
        <v>9</v>
      </c>
      <c r="O313" s="27" t="s">
        <v>9</v>
      </c>
      <c r="P313" s="27" t="s">
        <v>9</v>
      </c>
      <c r="Q313" s="27" t="s">
        <v>9</v>
      </c>
      <c r="R313" s="27" t="s">
        <v>9</v>
      </c>
      <c r="S313" s="27" t="s">
        <v>9</v>
      </c>
      <c r="T313" s="27" t="s">
        <v>9</v>
      </c>
      <c r="U313" s="27" t="s">
        <v>9</v>
      </c>
      <c r="V313" s="20" t="s">
        <v>1</v>
      </c>
      <c r="W313" s="20">
        <v>5</v>
      </c>
      <c r="X313" s="20">
        <v>3</v>
      </c>
      <c r="Y313" s="20">
        <v>2</v>
      </c>
      <c r="Z313" s="20">
        <v>4</v>
      </c>
      <c r="AA313" s="23">
        <v>3</v>
      </c>
      <c r="AB313" s="15" t="s">
        <v>9</v>
      </c>
      <c r="AC313" s="15" t="s">
        <v>9</v>
      </c>
      <c r="AD313" s="15" t="s">
        <v>9</v>
      </c>
      <c r="AE313" s="15" t="s">
        <v>9</v>
      </c>
      <c r="AF313" s="20" t="s">
        <v>9</v>
      </c>
      <c r="AG313" s="20" t="s">
        <v>9</v>
      </c>
      <c r="AH313" s="24" t="s">
        <v>9</v>
      </c>
      <c r="AI313" s="23">
        <v>3</v>
      </c>
      <c r="AJ313" s="15" t="s">
        <v>9</v>
      </c>
      <c r="AK313" s="15" t="s">
        <v>9</v>
      </c>
      <c r="AL313" s="25" t="s">
        <v>9</v>
      </c>
      <c r="AM313" s="23">
        <v>3</v>
      </c>
      <c r="AN313" s="20" t="s">
        <v>9</v>
      </c>
      <c r="AO313" s="20" t="s">
        <v>9</v>
      </c>
      <c r="AP313" s="15" t="s">
        <v>9</v>
      </c>
      <c r="AQ313" s="15" t="s">
        <v>9</v>
      </c>
      <c r="AR313" s="15" t="s">
        <v>9</v>
      </c>
      <c r="AS313" s="26" t="s">
        <v>9</v>
      </c>
      <c r="AT313" s="26" t="s">
        <v>9</v>
      </c>
      <c r="AU313" s="26" t="s">
        <v>9</v>
      </c>
      <c r="AV313" s="26" t="s">
        <v>9</v>
      </c>
      <c r="AW313" s="26" t="s">
        <v>9</v>
      </c>
      <c r="AX313" s="26" t="s">
        <v>9</v>
      </c>
      <c r="AY313" s="26" t="s">
        <v>9</v>
      </c>
      <c r="AZ313" s="26" t="s">
        <v>9</v>
      </c>
      <c r="BA313" s="23">
        <v>3</v>
      </c>
      <c r="BB313" s="24" t="s">
        <v>9</v>
      </c>
    </row>
    <row r="314" spans="1:54" x14ac:dyDescent="0.2">
      <c r="A314" s="19">
        <v>1168</v>
      </c>
      <c r="B314" s="27" t="s">
        <v>9</v>
      </c>
      <c r="C314" s="27" t="s">
        <v>9</v>
      </c>
      <c r="D314" s="27" t="s">
        <v>9</v>
      </c>
      <c r="E314" s="27" t="s">
        <v>9</v>
      </c>
      <c r="F314" s="27" t="s">
        <v>9</v>
      </c>
      <c r="G314" s="27" t="s">
        <v>9</v>
      </c>
      <c r="H314" s="27" t="s">
        <v>9</v>
      </c>
      <c r="I314" s="27" t="s">
        <v>9</v>
      </c>
      <c r="J314" s="27" t="s">
        <v>9</v>
      </c>
      <c r="K314" s="27" t="s">
        <v>9</v>
      </c>
      <c r="L314" s="27" t="s">
        <v>9</v>
      </c>
      <c r="M314" s="27" t="s">
        <v>9</v>
      </c>
      <c r="N314" s="27" t="s">
        <v>9</v>
      </c>
      <c r="O314" s="27" t="s">
        <v>9</v>
      </c>
      <c r="P314" s="27" t="s">
        <v>9</v>
      </c>
      <c r="Q314" s="27" t="s">
        <v>9</v>
      </c>
      <c r="R314" s="27" t="s">
        <v>9</v>
      </c>
      <c r="S314" s="27" t="s">
        <v>9</v>
      </c>
      <c r="T314" s="27" t="s">
        <v>9</v>
      </c>
      <c r="U314" s="27" t="s">
        <v>9</v>
      </c>
      <c r="V314" s="20" t="s">
        <v>1</v>
      </c>
      <c r="W314" s="20">
        <v>5</v>
      </c>
      <c r="X314" s="20">
        <v>3</v>
      </c>
      <c r="Y314" s="20">
        <v>2</v>
      </c>
      <c r="Z314" s="20">
        <v>4</v>
      </c>
      <c r="AA314" s="23">
        <v>3</v>
      </c>
      <c r="AB314" s="15" t="s">
        <v>9</v>
      </c>
      <c r="AC314" s="15" t="s">
        <v>9</v>
      </c>
      <c r="AD314" s="15" t="s">
        <v>9</v>
      </c>
      <c r="AE314" s="15" t="s">
        <v>9</v>
      </c>
      <c r="AF314" s="20" t="s">
        <v>9</v>
      </c>
      <c r="AG314" s="20" t="s">
        <v>9</v>
      </c>
      <c r="AH314" s="24" t="s">
        <v>9</v>
      </c>
      <c r="AI314" s="23">
        <v>3</v>
      </c>
      <c r="AJ314" s="15" t="s">
        <v>9</v>
      </c>
      <c r="AK314" s="15" t="s">
        <v>9</v>
      </c>
      <c r="AL314" s="25" t="s">
        <v>9</v>
      </c>
      <c r="AM314" s="23">
        <v>3</v>
      </c>
      <c r="AN314" s="20" t="s">
        <v>9</v>
      </c>
      <c r="AO314" s="20" t="s">
        <v>9</v>
      </c>
      <c r="AP314" s="15" t="s">
        <v>9</v>
      </c>
      <c r="AQ314" s="15" t="s">
        <v>9</v>
      </c>
      <c r="AR314" s="15" t="s">
        <v>9</v>
      </c>
      <c r="AS314" s="26" t="s">
        <v>9</v>
      </c>
      <c r="AT314" s="26" t="s">
        <v>9</v>
      </c>
      <c r="AU314" s="26" t="s">
        <v>9</v>
      </c>
      <c r="AV314" s="26" t="s">
        <v>9</v>
      </c>
      <c r="AW314" s="26" t="s">
        <v>9</v>
      </c>
      <c r="AX314" s="26" t="s">
        <v>9</v>
      </c>
      <c r="AY314" s="26" t="s">
        <v>9</v>
      </c>
      <c r="AZ314" s="26" t="s">
        <v>9</v>
      </c>
      <c r="BA314" s="23">
        <v>3</v>
      </c>
      <c r="BB314" s="24" t="s">
        <v>9</v>
      </c>
    </row>
    <row r="315" spans="1:54" x14ac:dyDescent="0.2">
      <c r="A315" s="19">
        <v>1169</v>
      </c>
      <c r="B315" s="27" t="s">
        <v>9</v>
      </c>
      <c r="C315" s="27" t="s">
        <v>9</v>
      </c>
      <c r="D315" s="27" t="s">
        <v>9</v>
      </c>
      <c r="E315" s="27" t="s">
        <v>9</v>
      </c>
      <c r="F315" s="27" t="s">
        <v>9</v>
      </c>
      <c r="G315" s="27" t="s">
        <v>9</v>
      </c>
      <c r="H315" s="27" t="s">
        <v>9</v>
      </c>
      <c r="I315" s="27" t="s">
        <v>9</v>
      </c>
      <c r="J315" s="27" t="s">
        <v>9</v>
      </c>
      <c r="K315" s="27" t="s">
        <v>9</v>
      </c>
      <c r="L315" s="27" t="s">
        <v>9</v>
      </c>
      <c r="M315" s="27" t="s">
        <v>9</v>
      </c>
      <c r="N315" s="27" t="s">
        <v>9</v>
      </c>
      <c r="O315" s="27" t="s">
        <v>9</v>
      </c>
      <c r="P315" s="27" t="s">
        <v>9</v>
      </c>
      <c r="Q315" s="27" t="s">
        <v>9</v>
      </c>
      <c r="R315" s="27" t="s">
        <v>9</v>
      </c>
      <c r="S315" s="27" t="s">
        <v>9</v>
      </c>
      <c r="T315" s="27" t="s">
        <v>9</v>
      </c>
      <c r="U315" s="27" t="s">
        <v>9</v>
      </c>
      <c r="V315" s="20" t="s">
        <v>1</v>
      </c>
      <c r="W315" s="20">
        <v>5</v>
      </c>
      <c r="X315" s="20">
        <v>3</v>
      </c>
      <c r="Y315" s="20">
        <v>2</v>
      </c>
      <c r="Z315" s="20">
        <v>4</v>
      </c>
      <c r="AA315" s="23">
        <v>3</v>
      </c>
      <c r="AB315" s="15" t="s">
        <v>9</v>
      </c>
      <c r="AC315" s="15" t="s">
        <v>9</v>
      </c>
      <c r="AD315" s="15" t="s">
        <v>9</v>
      </c>
      <c r="AE315" s="15" t="s">
        <v>9</v>
      </c>
      <c r="AF315" s="20" t="s">
        <v>9</v>
      </c>
      <c r="AG315" s="20" t="s">
        <v>9</v>
      </c>
      <c r="AH315" s="24" t="s">
        <v>9</v>
      </c>
      <c r="AI315" s="23">
        <v>3</v>
      </c>
      <c r="AJ315" s="15" t="s">
        <v>9</v>
      </c>
      <c r="AK315" s="15" t="s">
        <v>9</v>
      </c>
      <c r="AL315" s="25" t="s">
        <v>9</v>
      </c>
      <c r="AM315" s="23">
        <v>3</v>
      </c>
      <c r="AN315" s="20" t="s">
        <v>9</v>
      </c>
      <c r="AO315" s="20" t="s">
        <v>9</v>
      </c>
      <c r="AP315" s="15" t="s">
        <v>9</v>
      </c>
      <c r="AQ315" s="15" t="s">
        <v>9</v>
      </c>
      <c r="AR315" s="15" t="s">
        <v>9</v>
      </c>
      <c r="AS315" s="26" t="s">
        <v>9</v>
      </c>
      <c r="AT315" s="26" t="s">
        <v>9</v>
      </c>
      <c r="AU315" s="26" t="s">
        <v>9</v>
      </c>
      <c r="AV315" s="26" t="s">
        <v>9</v>
      </c>
      <c r="AW315" s="26" t="s">
        <v>9</v>
      </c>
      <c r="AX315" s="26" t="s">
        <v>9</v>
      </c>
      <c r="AY315" s="26" t="s">
        <v>9</v>
      </c>
      <c r="AZ315" s="26" t="s">
        <v>9</v>
      </c>
      <c r="BA315" s="23">
        <v>3</v>
      </c>
      <c r="BB315" s="24" t="s">
        <v>9</v>
      </c>
    </row>
    <row r="316" spans="1:54" x14ac:dyDescent="0.2">
      <c r="A316" s="19">
        <v>1178</v>
      </c>
      <c r="B316" s="27" t="s">
        <v>9</v>
      </c>
      <c r="C316" s="27" t="s">
        <v>9</v>
      </c>
      <c r="D316" s="27" t="s">
        <v>9</v>
      </c>
      <c r="E316" s="27" t="s">
        <v>9</v>
      </c>
      <c r="F316" s="27" t="s">
        <v>9</v>
      </c>
      <c r="G316" s="27" t="s">
        <v>9</v>
      </c>
      <c r="H316" s="27" t="s">
        <v>9</v>
      </c>
      <c r="I316" s="27" t="s">
        <v>9</v>
      </c>
      <c r="J316" s="27" t="s">
        <v>9</v>
      </c>
      <c r="K316" s="27" t="s">
        <v>9</v>
      </c>
      <c r="L316" s="27" t="s">
        <v>9</v>
      </c>
      <c r="M316" s="27" t="s">
        <v>9</v>
      </c>
      <c r="N316" s="27" t="s">
        <v>9</v>
      </c>
      <c r="O316" s="27" t="s">
        <v>9</v>
      </c>
      <c r="P316" s="27" t="s">
        <v>9</v>
      </c>
      <c r="Q316" s="27" t="s">
        <v>9</v>
      </c>
      <c r="R316" s="27" t="s">
        <v>9</v>
      </c>
      <c r="S316" s="27" t="s">
        <v>9</v>
      </c>
      <c r="T316" s="27" t="s">
        <v>9</v>
      </c>
      <c r="U316" s="27" t="s">
        <v>9</v>
      </c>
      <c r="V316" s="20" t="s">
        <v>1</v>
      </c>
      <c r="W316" s="20">
        <v>5</v>
      </c>
      <c r="X316" s="20">
        <v>3</v>
      </c>
      <c r="Y316" s="20">
        <v>2</v>
      </c>
      <c r="Z316" s="20">
        <v>4</v>
      </c>
      <c r="AA316" s="23">
        <v>3</v>
      </c>
      <c r="AB316" s="15" t="s">
        <v>9</v>
      </c>
      <c r="AC316" s="15" t="s">
        <v>9</v>
      </c>
      <c r="AD316" s="15" t="s">
        <v>9</v>
      </c>
      <c r="AE316" s="15" t="s">
        <v>9</v>
      </c>
      <c r="AF316" s="20" t="s">
        <v>9</v>
      </c>
      <c r="AG316" s="20" t="s">
        <v>9</v>
      </c>
      <c r="AH316" s="24" t="s">
        <v>9</v>
      </c>
      <c r="AI316" s="23">
        <v>3</v>
      </c>
      <c r="AJ316" s="15" t="s">
        <v>9</v>
      </c>
      <c r="AK316" s="15" t="s">
        <v>9</v>
      </c>
      <c r="AL316" s="25" t="s">
        <v>9</v>
      </c>
      <c r="AM316" s="23">
        <v>3</v>
      </c>
      <c r="AN316" s="20" t="s">
        <v>9</v>
      </c>
      <c r="AO316" s="20" t="s">
        <v>9</v>
      </c>
      <c r="AP316" s="15" t="s">
        <v>9</v>
      </c>
      <c r="AQ316" s="15" t="s">
        <v>9</v>
      </c>
      <c r="AR316" s="15" t="s">
        <v>9</v>
      </c>
      <c r="AS316" s="26" t="s">
        <v>9</v>
      </c>
      <c r="AT316" s="26" t="s">
        <v>9</v>
      </c>
      <c r="AU316" s="26" t="s">
        <v>9</v>
      </c>
      <c r="AV316" s="26" t="s">
        <v>9</v>
      </c>
      <c r="AW316" s="26" t="s">
        <v>9</v>
      </c>
      <c r="AX316" s="26" t="s">
        <v>9</v>
      </c>
      <c r="AY316" s="26" t="s">
        <v>9</v>
      </c>
      <c r="AZ316" s="26" t="s">
        <v>9</v>
      </c>
      <c r="BA316" s="23">
        <v>3</v>
      </c>
      <c r="BB316" s="24" t="s">
        <v>9</v>
      </c>
    </row>
    <row r="317" spans="1:54" x14ac:dyDescent="0.2">
      <c r="A317" s="19">
        <v>1195</v>
      </c>
      <c r="B317" s="27" t="s">
        <v>9</v>
      </c>
      <c r="C317" s="27" t="s">
        <v>9</v>
      </c>
      <c r="D317" s="27" t="s">
        <v>9</v>
      </c>
      <c r="E317" s="27" t="s">
        <v>9</v>
      </c>
      <c r="F317" s="27" t="s">
        <v>9</v>
      </c>
      <c r="G317" s="27" t="s">
        <v>9</v>
      </c>
      <c r="H317" s="27" t="s">
        <v>9</v>
      </c>
      <c r="I317" s="27" t="s">
        <v>9</v>
      </c>
      <c r="J317" s="27" t="s">
        <v>9</v>
      </c>
      <c r="K317" s="27" t="s">
        <v>9</v>
      </c>
      <c r="L317" s="27" t="s">
        <v>9</v>
      </c>
      <c r="M317" s="27" t="s">
        <v>9</v>
      </c>
      <c r="N317" s="27" t="s">
        <v>9</v>
      </c>
      <c r="O317" s="27" t="s">
        <v>9</v>
      </c>
      <c r="P317" s="27" t="s">
        <v>9</v>
      </c>
      <c r="Q317" s="27" t="s">
        <v>9</v>
      </c>
      <c r="R317" s="27" t="s">
        <v>9</v>
      </c>
      <c r="S317" s="27" t="s">
        <v>9</v>
      </c>
      <c r="T317" s="27" t="s">
        <v>9</v>
      </c>
      <c r="U317" s="27" t="s">
        <v>9</v>
      </c>
      <c r="V317" s="20" t="s">
        <v>1</v>
      </c>
      <c r="W317" s="20">
        <v>5</v>
      </c>
      <c r="X317" s="20">
        <v>3</v>
      </c>
      <c r="Y317" s="20">
        <v>2</v>
      </c>
      <c r="Z317" s="20">
        <v>4</v>
      </c>
      <c r="AA317" s="23">
        <v>3</v>
      </c>
      <c r="AB317" s="15" t="s">
        <v>9</v>
      </c>
      <c r="AC317" s="15" t="s">
        <v>9</v>
      </c>
      <c r="AD317" s="15" t="s">
        <v>9</v>
      </c>
      <c r="AE317" s="15" t="s">
        <v>9</v>
      </c>
      <c r="AF317" s="20" t="s">
        <v>9</v>
      </c>
      <c r="AG317" s="20" t="s">
        <v>9</v>
      </c>
      <c r="AH317" s="24" t="s">
        <v>9</v>
      </c>
      <c r="AI317" s="23">
        <v>3</v>
      </c>
      <c r="AJ317" s="15" t="s">
        <v>9</v>
      </c>
      <c r="AK317" s="15" t="s">
        <v>9</v>
      </c>
      <c r="AL317" s="25" t="s">
        <v>9</v>
      </c>
      <c r="AM317" s="23">
        <v>3</v>
      </c>
      <c r="AN317" s="20" t="s">
        <v>9</v>
      </c>
      <c r="AO317" s="20" t="s">
        <v>9</v>
      </c>
      <c r="AP317" s="15" t="s">
        <v>9</v>
      </c>
      <c r="AQ317" s="15" t="s">
        <v>9</v>
      </c>
      <c r="AR317" s="15" t="s">
        <v>9</v>
      </c>
      <c r="AS317" s="26" t="s">
        <v>9</v>
      </c>
      <c r="AT317" s="26" t="s">
        <v>9</v>
      </c>
      <c r="AU317" s="26" t="s">
        <v>9</v>
      </c>
      <c r="AV317" s="26" t="s">
        <v>9</v>
      </c>
      <c r="AW317" s="26" t="s">
        <v>9</v>
      </c>
      <c r="AX317" s="26" t="s">
        <v>9</v>
      </c>
      <c r="AY317" s="26" t="s">
        <v>9</v>
      </c>
      <c r="AZ317" s="26" t="s">
        <v>9</v>
      </c>
      <c r="BA317" s="23">
        <v>3</v>
      </c>
      <c r="BB317" s="24" t="s">
        <v>9</v>
      </c>
    </row>
    <row r="318" spans="1:54" x14ac:dyDescent="0.2">
      <c r="A318" s="19">
        <v>1196</v>
      </c>
      <c r="B318" s="27" t="s">
        <v>9</v>
      </c>
      <c r="C318" s="27" t="s">
        <v>9</v>
      </c>
      <c r="D318" s="27" t="s">
        <v>9</v>
      </c>
      <c r="E318" s="27" t="s">
        <v>9</v>
      </c>
      <c r="F318" s="27" t="s">
        <v>9</v>
      </c>
      <c r="G318" s="27" t="s">
        <v>9</v>
      </c>
      <c r="H318" s="27" t="s">
        <v>9</v>
      </c>
      <c r="I318" s="27" t="s">
        <v>9</v>
      </c>
      <c r="J318" s="27" t="s">
        <v>9</v>
      </c>
      <c r="K318" s="27" t="s">
        <v>9</v>
      </c>
      <c r="L318" s="27" t="s">
        <v>9</v>
      </c>
      <c r="M318" s="27" t="s">
        <v>9</v>
      </c>
      <c r="N318" s="27" t="s">
        <v>9</v>
      </c>
      <c r="O318" s="27" t="s">
        <v>9</v>
      </c>
      <c r="P318" s="27" t="s">
        <v>9</v>
      </c>
      <c r="Q318" s="27" t="s">
        <v>9</v>
      </c>
      <c r="R318" s="27" t="s">
        <v>9</v>
      </c>
      <c r="S318" s="27" t="s">
        <v>9</v>
      </c>
      <c r="T318" s="27" t="s">
        <v>9</v>
      </c>
      <c r="U318" s="27" t="s">
        <v>9</v>
      </c>
      <c r="V318" s="20" t="s">
        <v>1</v>
      </c>
      <c r="W318" s="20">
        <v>5</v>
      </c>
      <c r="X318" s="20">
        <v>3</v>
      </c>
      <c r="Y318" s="20">
        <v>2</v>
      </c>
      <c r="Z318" s="20">
        <v>4</v>
      </c>
      <c r="AA318" s="23">
        <v>3</v>
      </c>
      <c r="AB318" s="15" t="s">
        <v>9</v>
      </c>
      <c r="AC318" s="15" t="s">
        <v>9</v>
      </c>
      <c r="AD318" s="15" t="s">
        <v>9</v>
      </c>
      <c r="AE318" s="15" t="s">
        <v>9</v>
      </c>
      <c r="AF318" s="20" t="s">
        <v>9</v>
      </c>
      <c r="AG318" s="20" t="s">
        <v>9</v>
      </c>
      <c r="AH318" s="24" t="s">
        <v>9</v>
      </c>
      <c r="AI318" s="23">
        <v>3</v>
      </c>
      <c r="AJ318" s="15" t="s">
        <v>9</v>
      </c>
      <c r="AK318" s="15" t="s">
        <v>9</v>
      </c>
      <c r="AL318" s="25" t="s">
        <v>9</v>
      </c>
      <c r="AM318" s="23">
        <v>3</v>
      </c>
      <c r="AN318" s="20" t="s">
        <v>9</v>
      </c>
      <c r="AO318" s="20" t="s">
        <v>9</v>
      </c>
      <c r="AP318" s="15" t="s">
        <v>9</v>
      </c>
      <c r="AQ318" s="15" t="s">
        <v>9</v>
      </c>
      <c r="AR318" s="15" t="s">
        <v>9</v>
      </c>
      <c r="AS318" s="26" t="s">
        <v>9</v>
      </c>
      <c r="AT318" s="26" t="s">
        <v>9</v>
      </c>
      <c r="AU318" s="26" t="s">
        <v>9</v>
      </c>
      <c r="AV318" s="26" t="s">
        <v>9</v>
      </c>
      <c r="AW318" s="26" t="s">
        <v>9</v>
      </c>
      <c r="AX318" s="26" t="s">
        <v>9</v>
      </c>
      <c r="AY318" s="26" t="s">
        <v>9</v>
      </c>
      <c r="AZ318" s="26" t="s">
        <v>9</v>
      </c>
      <c r="BA318" s="23">
        <v>3</v>
      </c>
      <c r="BB318" s="24" t="s">
        <v>9</v>
      </c>
    </row>
    <row r="319" spans="1:54" x14ac:dyDescent="0.2">
      <c r="A319" s="19">
        <v>1199</v>
      </c>
      <c r="B319" s="27" t="s">
        <v>9</v>
      </c>
      <c r="C319" s="27" t="s">
        <v>9</v>
      </c>
      <c r="D319" s="27" t="s">
        <v>9</v>
      </c>
      <c r="E319" s="27" t="s">
        <v>9</v>
      </c>
      <c r="F319" s="27" t="s">
        <v>9</v>
      </c>
      <c r="G319" s="27" t="s">
        <v>9</v>
      </c>
      <c r="H319" s="27" t="s">
        <v>9</v>
      </c>
      <c r="I319" s="27" t="s">
        <v>9</v>
      </c>
      <c r="J319" s="27" t="s">
        <v>9</v>
      </c>
      <c r="K319" s="27" t="s">
        <v>9</v>
      </c>
      <c r="L319" s="27" t="s">
        <v>9</v>
      </c>
      <c r="M319" s="27" t="s">
        <v>9</v>
      </c>
      <c r="N319" s="27" t="s">
        <v>9</v>
      </c>
      <c r="O319" s="27" t="s">
        <v>9</v>
      </c>
      <c r="P319" s="27" t="s">
        <v>9</v>
      </c>
      <c r="Q319" s="27" t="s">
        <v>9</v>
      </c>
      <c r="R319" s="27" t="s">
        <v>9</v>
      </c>
      <c r="S319" s="27" t="s">
        <v>9</v>
      </c>
      <c r="T319" s="27" t="s">
        <v>9</v>
      </c>
      <c r="U319" s="27" t="s">
        <v>9</v>
      </c>
      <c r="V319" s="20" t="s">
        <v>1</v>
      </c>
      <c r="W319" s="20">
        <v>5</v>
      </c>
      <c r="X319" s="20">
        <v>3</v>
      </c>
      <c r="Y319" s="20">
        <v>2</v>
      </c>
      <c r="Z319" s="20">
        <v>4</v>
      </c>
      <c r="AA319" s="23">
        <v>3</v>
      </c>
      <c r="AB319" s="15" t="s">
        <v>9</v>
      </c>
      <c r="AC319" s="15" t="s">
        <v>9</v>
      </c>
      <c r="AD319" s="15" t="s">
        <v>9</v>
      </c>
      <c r="AE319" s="15" t="s">
        <v>9</v>
      </c>
      <c r="AF319" s="20" t="s">
        <v>9</v>
      </c>
      <c r="AG319" s="20" t="s">
        <v>9</v>
      </c>
      <c r="AH319" s="24" t="s">
        <v>9</v>
      </c>
      <c r="AI319" s="23">
        <v>3</v>
      </c>
      <c r="AJ319" s="15" t="s">
        <v>9</v>
      </c>
      <c r="AK319" s="15" t="s">
        <v>9</v>
      </c>
      <c r="AL319" s="25" t="s">
        <v>9</v>
      </c>
      <c r="AM319" s="23">
        <v>3</v>
      </c>
      <c r="AN319" s="20" t="s">
        <v>9</v>
      </c>
      <c r="AO319" s="20" t="s">
        <v>9</v>
      </c>
      <c r="AP319" s="15" t="s">
        <v>9</v>
      </c>
      <c r="AQ319" s="15" t="s">
        <v>9</v>
      </c>
      <c r="AR319" s="15" t="s">
        <v>9</v>
      </c>
      <c r="AS319" s="26" t="s">
        <v>9</v>
      </c>
      <c r="AT319" s="26" t="s">
        <v>9</v>
      </c>
      <c r="AU319" s="26" t="s">
        <v>9</v>
      </c>
      <c r="AV319" s="26" t="s">
        <v>9</v>
      </c>
      <c r="AW319" s="26" t="s">
        <v>9</v>
      </c>
      <c r="AX319" s="26" t="s">
        <v>9</v>
      </c>
      <c r="AY319" s="26" t="s">
        <v>9</v>
      </c>
      <c r="AZ319" s="26" t="s">
        <v>9</v>
      </c>
      <c r="BA319" s="23">
        <v>3</v>
      </c>
      <c r="BB319" s="24" t="s">
        <v>9</v>
      </c>
    </row>
    <row r="320" spans="1:54" x14ac:dyDescent="0.2">
      <c r="A320" s="19">
        <v>1225</v>
      </c>
      <c r="B320" s="27" t="s">
        <v>9</v>
      </c>
      <c r="C320" s="27" t="s">
        <v>9</v>
      </c>
      <c r="D320" s="27" t="s">
        <v>9</v>
      </c>
      <c r="E320" s="27" t="s">
        <v>9</v>
      </c>
      <c r="F320" s="27" t="s">
        <v>9</v>
      </c>
      <c r="G320" s="27" t="s">
        <v>9</v>
      </c>
      <c r="H320" s="27" t="s">
        <v>9</v>
      </c>
      <c r="I320" s="27" t="s">
        <v>9</v>
      </c>
      <c r="J320" s="27" t="s">
        <v>9</v>
      </c>
      <c r="K320" s="27" t="s">
        <v>9</v>
      </c>
      <c r="L320" s="27" t="s">
        <v>9</v>
      </c>
      <c r="M320" s="27" t="s">
        <v>9</v>
      </c>
      <c r="N320" s="27" t="s">
        <v>9</v>
      </c>
      <c r="O320" s="27" t="s">
        <v>9</v>
      </c>
      <c r="P320" s="27" t="s">
        <v>9</v>
      </c>
      <c r="Q320" s="27" t="s">
        <v>9</v>
      </c>
      <c r="R320" s="27" t="s">
        <v>9</v>
      </c>
      <c r="S320" s="27" t="s">
        <v>9</v>
      </c>
      <c r="T320" s="27" t="s">
        <v>9</v>
      </c>
      <c r="U320" s="27" t="s">
        <v>9</v>
      </c>
      <c r="V320" s="20" t="s">
        <v>1</v>
      </c>
      <c r="W320" s="20">
        <v>5</v>
      </c>
      <c r="X320" s="20">
        <v>3</v>
      </c>
      <c r="Y320" s="20">
        <v>2</v>
      </c>
      <c r="Z320" s="20">
        <v>4</v>
      </c>
      <c r="AA320" s="23">
        <v>3</v>
      </c>
      <c r="AB320" s="15" t="s">
        <v>9</v>
      </c>
      <c r="AC320" s="15" t="s">
        <v>9</v>
      </c>
      <c r="AD320" s="15" t="s">
        <v>9</v>
      </c>
      <c r="AE320" s="15" t="s">
        <v>9</v>
      </c>
      <c r="AF320" s="20" t="s">
        <v>9</v>
      </c>
      <c r="AG320" s="20" t="s">
        <v>9</v>
      </c>
      <c r="AH320" s="24" t="s">
        <v>9</v>
      </c>
      <c r="AI320" s="23">
        <v>3</v>
      </c>
      <c r="AJ320" s="15" t="s">
        <v>9</v>
      </c>
      <c r="AK320" s="15" t="s">
        <v>9</v>
      </c>
      <c r="AL320" s="25" t="s">
        <v>9</v>
      </c>
      <c r="AM320" s="23">
        <v>3</v>
      </c>
      <c r="AN320" s="20" t="s">
        <v>9</v>
      </c>
      <c r="AO320" s="20" t="s">
        <v>9</v>
      </c>
      <c r="AP320" s="15" t="s">
        <v>9</v>
      </c>
      <c r="AQ320" s="15" t="s">
        <v>9</v>
      </c>
      <c r="AR320" s="15" t="s">
        <v>9</v>
      </c>
      <c r="AS320" s="26" t="s">
        <v>9</v>
      </c>
      <c r="AT320" s="26" t="s">
        <v>9</v>
      </c>
      <c r="AU320" s="26" t="s">
        <v>9</v>
      </c>
      <c r="AV320" s="26" t="s">
        <v>9</v>
      </c>
      <c r="AW320" s="26" t="s">
        <v>9</v>
      </c>
      <c r="AX320" s="26" t="s">
        <v>9</v>
      </c>
      <c r="AY320" s="26" t="s">
        <v>9</v>
      </c>
      <c r="AZ320" s="26" t="s">
        <v>9</v>
      </c>
      <c r="BA320" s="23">
        <v>3</v>
      </c>
      <c r="BB320" s="24" t="s">
        <v>9</v>
      </c>
    </row>
    <row r="321" spans="1:54" x14ac:dyDescent="0.2">
      <c r="A321" s="19">
        <v>1247</v>
      </c>
      <c r="B321" s="27" t="s">
        <v>9</v>
      </c>
      <c r="C321" s="27" t="s">
        <v>9</v>
      </c>
      <c r="D321" s="27" t="s">
        <v>9</v>
      </c>
      <c r="E321" s="27" t="s">
        <v>9</v>
      </c>
      <c r="F321" s="27" t="s">
        <v>9</v>
      </c>
      <c r="G321" s="27" t="s">
        <v>9</v>
      </c>
      <c r="H321" s="27" t="s">
        <v>9</v>
      </c>
      <c r="I321" s="27" t="s">
        <v>9</v>
      </c>
      <c r="J321" s="27" t="s">
        <v>9</v>
      </c>
      <c r="K321" s="27" t="s">
        <v>9</v>
      </c>
      <c r="L321" s="27" t="s">
        <v>9</v>
      </c>
      <c r="M321" s="27" t="s">
        <v>9</v>
      </c>
      <c r="N321" s="27" t="s">
        <v>9</v>
      </c>
      <c r="O321" s="27" t="s">
        <v>9</v>
      </c>
      <c r="P321" s="27" t="s">
        <v>9</v>
      </c>
      <c r="Q321" s="27" t="s">
        <v>9</v>
      </c>
      <c r="R321" s="27" t="s">
        <v>9</v>
      </c>
      <c r="S321" s="27" t="s">
        <v>9</v>
      </c>
      <c r="T321" s="27" t="s">
        <v>9</v>
      </c>
      <c r="U321" s="27" t="s">
        <v>9</v>
      </c>
      <c r="V321" s="20" t="s">
        <v>1</v>
      </c>
      <c r="W321" s="20">
        <v>5</v>
      </c>
      <c r="X321" s="20">
        <v>3</v>
      </c>
      <c r="Y321" s="20">
        <v>2</v>
      </c>
      <c r="Z321" s="20">
        <v>4</v>
      </c>
      <c r="AA321" s="23">
        <v>3</v>
      </c>
      <c r="AB321" s="15" t="s">
        <v>9</v>
      </c>
      <c r="AC321" s="15" t="s">
        <v>9</v>
      </c>
      <c r="AD321" s="15" t="s">
        <v>9</v>
      </c>
      <c r="AE321" s="15" t="s">
        <v>9</v>
      </c>
      <c r="AF321" s="20" t="s">
        <v>9</v>
      </c>
      <c r="AG321" s="20" t="s">
        <v>9</v>
      </c>
      <c r="AH321" s="24" t="s">
        <v>9</v>
      </c>
      <c r="AI321" s="23">
        <v>3</v>
      </c>
      <c r="AJ321" s="15" t="s">
        <v>9</v>
      </c>
      <c r="AK321" s="15" t="s">
        <v>9</v>
      </c>
      <c r="AL321" s="25" t="s">
        <v>9</v>
      </c>
      <c r="AM321" s="23">
        <v>3</v>
      </c>
      <c r="AN321" s="20" t="s">
        <v>9</v>
      </c>
      <c r="AO321" s="20" t="s">
        <v>9</v>
      </c>
      <c r="AP321" s="15" t="s">
        <v>9</v>
      </c>
      <c r="AQ321" s="15" t="s">
        <v>9</v>
      </c>
      <c r="AR321" s="15" t="s">
        <v>9</v>
      </c>
      <c r="AS321" s="26" t="s">
        <v>9</v>
      </c>
      <c r="AT321" s="26" t="s">
        <v>9</v>
      </c>
      <c r="AU321" s="26" t="s">
        <v>9</v>
      </c>
      <c r="AV321" s="26" t="s">
        <v>9</v>
      </c>
      <c r="AW321" s="26" t="s">
        <v>9</v>
      </c>
      <c r="AX321" s="26" t="s">
        <v>9</v>
      </c>
      <c r="AY321" s="26" t="s">
        <v>9</v>
      </c>
      <c r="AZ321" s="26" t="s">
        <v>9</v>
      </c>
      <c r="BA321" s="23">
        <v>3</v>
      </c>
      <c r="BB321" s="24" t="s">
        <v>9</v>
      </c>
    </row>
    <row r="322" spans="1:54" x14ac:dyDescent="0.2">
      <c r="A322" s="19">
        <v>1251</v>
      </c>
      <c r="B322" s="27" t="s">
        <v>9</v>
      </c>
      <c r="C322" s="27" t="s">
        <v>9</v>
      </c>
      <c r="D322" s="27" t="s">
        <v>9</v>
      </c>
      <c r="E322" s="27" t="s">
        <v>9</v>
      </c>
      <c r="F322" s="27" t="s">
        <v>9</v>
      </c>
      <c r="G322" s="27" t="s">
        <v>9</v>
      </c>
      <c r="H322" s="27" t="s">
        <v>9</v>
      </c>
      <c r="I322" s="27" t="s">
        <v>9</v>
      </c>
      <c r="J322" s="27" t="s">
        <v>9</v>
      </c>
      <c r="K322" s="27" t="s">
        <v>9</v>
      </c>
      <c r="L322" s="27" t="s">
        <v>9</v>
      </c>
      <c r="M322" s="27" t="s">
        <v>9</v>
      </c>
      <c r="N322" s="27" t="s">
        <v>9</v>
      </c>
      <c r="O322" s="27" t="s">
        <v>9</v>
      </c>
      <c r="P322" s="27" t="s">
        <v>9</v>
      </c>
      <c r="Q322" s="27" t="s">
        <v>9</v>
      </c>
      <c r="R322" s="27" t="s">
        <v>9</v>
      </c>
      <c r="S322" s="27" t="s">
        <v>9</v>
      </c>
      <c r="T322" s="27" t="s">
        <v>9</v>
      </c>
      <c r="U322" s="27" t="s">
        <v>9</v>
      </c>
      <c r="V322" s="20" t="s">
        <v>1</v>
      </c>
      <c r="W322" s="20">
        <v>5</v>
      </c>
      <c r="X322" s="20">
        <v>3</v>
      </c>
      <c r="Y322" s="20">
        <v>2</v>
      </c>
      <c r="Z322" s="20">
        <v>4</v>
      </c>
      <c r="AA322" s="23">
        <v>3</v>
      </c>
      <c r="AB322" s="15" t="s">
        <v>9</v>
      </c>
      <c r="AC322" s="15" t="s">
        <v>9</v>
      </c>
      <c r="AD322" s="15" t="s">
        <v>9</v>
      </c>
      <c r="AE322" s="15" t="s">
        <v>9</v>
      </c>
      <c r="AF322" s="20" t="s">
        <v>9</v>
      </c>
      <c r="AG322" s="20" t="s">
        <v>9</v>
      </c>
      <c r="AH322" s="24" t="s">
        <v>9</v>
      </c>
      <c r="AI322" s="23">
        <v>3</v>
      </c>
      <c r="AJ322" s="15" t="s">
        <v>9</v>
      </c>
      <c r="AK322" s="15" t="s">
        <v>9</v>
      </c>
      <c r="AL322" s="25" t="s">
        <v>9</v>
      </c>
      <c r="AM322" s="23">
        <v>3</v>
      </c>
      <c r="AN322" s="20" t="s">
        <v>9</v>
      </c>
      <c r="AO322" s="20" t="s">
        <v>9</v>
      </c>
      <c r="AP322" s="15" t="s">
        <v>9</v>
      </c>
      <c r="AQ322" s="15" t="s">
        <v>9</v>
      </c>
      <c r="AR322" s="15" t="s">
        <v>9</v>
      </c>
      <c r="AS322" s="26" t="s">
        <v>9</v>
      </c>
      <c r="AT322" s="26" t="s">
        <v>9</v>
      </c>
      <c r="AU322" s="26" t="s">
        <v>9</v>
      </c>
      <c r="AV322" s="26" t="s">
        <v>9</v>
      </c>
      <c r="AW322" s="26" t="s">
        <v>9</v>
      </c>
      <c r="AX322" s="26" t="s">
        <v>9</v>
      </c>
      <c r="AY322" s="26" t="s">
        <v>9</v>
      </c>
      <c r="AZ322" s="26" t="s">
        <v>9</v>
      </c>
      <c r="BA322" s="23">
        <v>3</v>
      </c>
      <c r="BB322" s="24" t="s">
        <v>9</v>
      </c>
    </row>
    <row r="323" spans="1:54" x14ac:dyDescent="0.2">
      <c r="A323" s="19">
        <v>1267</v>
      </c>
      <c r="B323" s="27" t="s">
        <v>9</v>
      </c>
      <c r="C323" s="27" t="s">
        <v>9</v>
      </c>
      <c r="D323" s="27" t="s">
        <v>9</v>
      </c>
      <c r="E323" s="27" t="s">
        <v>9</v>
      </c>
      <c r="F323" s="27" t="s">
        <v>9</v>
      </c>
      <c r="G323" s="27" t="s">
        <v>9</v>
      </c>
      <c r="H323" s="27" t="s">
        <v>9</v>
      </c>
      <c r="I323" s="27" t="s">
        <v>9</v>
      </c>
      <c r="J323" s="27" t="s">
        <v>9</v>
      </c>
      <c r="K323" s="27" t="s">
        <v>9</v>
      </c>
      <c r="L323" s="27" t="s">
        <v>9</v>
      </c>
      <c r="M323" s="27" t="s">
        <v>9</v>
      </c>
      <c r="N323" s="27" t="s">
        <v>9</v>
      </c>
      <c r="O323" s="27" t="s">
        <v>9</v>
      </c>
      <c r="P323" s="27" t="s">
        <v>9</v>
      </c>
      <c r="Q323" s="27" t="s">
        <v>9</v>
      </c>
      <c r="R323" s="27" t="s">
        <v>9</v>
      </c>
      <c r="S323" s="27" t="s">
        <v>9</v>
      </c>
      <c r="T323" s="27" t="s">
        <v>9</v>
      </c>
      <c r="U323" s="27" t="s">
        <v>9</v>
      </c>
      <c r="V323" s="20" t="s">
        <v>1</v>
      </c>
      <c r="W323" s="20">
        <v>5</v>
      </c>
      <c r="X323" s="20">
        <v>3</v>
      </c>
      <c r="Y323" s="20">
        <v>2</v>
      </c>
      <c r="Z323" s="20">
        <v>4</v>
      </c>
      <c r="AA323" s="23">
        <v>3</v>
      </c>
      <c r="AB323" s="15" t="s">
        <v>9</v>
      </c>
      <c r="AC323" s="15" t="s">
        <v>9</v>
      </c>
      <c r="AD323" s="15" t="s">
        <v>9</v>
      </c>
      <c r="AE323" s="15" t="s">
        <v>9</v>
      </c>
      <c r="AF323" s="20" t="s">
        <v>9</v>
      </c>
      <c r="AG323" s="20" t="s">
        <v>9</v>
      </c>
      <c r="AH323" s="24" t="s">
        <v>9</v>
      </c>
      <c r="AI323" s="23">
        <v>3</v>
      </c>
      <c r="AJ323" s="15" t="s">
        <v>9</v>
      </c>
      <c r="AK323" s="15" t="s">
        <v>9</v>
      </c>
      <c r="AL323" s="25" t="s">
        <v>9</v>
      </c>
      <c r="AM323" s="23">
        <v>3</v>
      </c>
      <c r="AN323" s="20" t="s">
        <v>9</v>
      </c>
      <c r="AO323" s="20" t="s">
        <v>9</v>
      </c>
      <c r="AP323" s="15" t="s">
        <v>9</v>
      </c>
      <c r="AQ323" s="15" t="s">
        <v>9</v>
      </c>
      <c r="AR323" s="15" t="s">
        <v>9</v>
      </c>
      <c r="AS323" s="26" t="s">
        <v>9</v>
      </c>
      <c r="AT323" s="26" t="s">
        <v>9</v>
      </c>
      <c r="AU323" s="26" t="s">
        <v>9</v>
      </c>
      <c r="AV323" s="26" t="s">
        <v>9</v>
      </c>
      <c r="AW323" s="26" t="s">
        <v>9</v>
      </c>
      <c r="AX323" s="26" t="s">
        <v>9</v>
      </c>
      <c r="AY323" s="26" t="s">
        <v>9</v>
      </c>
      <c r="AZ323" s="26" t="s">
        <v>9</v>
      </c>
      <c r="BA323" s="23">
        <v>3</v>
      </c>
      <c r="BB323" s="24" t="s">
        <v>9</v>
      </c>
    </row>
    <row r="324" spans="1:54" x14ac:dyDescent="0.2">
      <c r="A324" s="19">
        <v>1272</v>
      </c>
      <c r="B324" s="27" t="s">
        <v>9</v>
      </c>
      <c r="C324" s="27" t="s">
        <v>9</v>
      </c>
      <c r="D324" s="27" t="s">
        <v>9</v>
      </c>
      <c r="E324" s="27" t="s">
        <v>9</v>
      </c>
      <c r="F324" s="27" t="s">
        <v>9</v>
      </c>
      <c r="G324" s="27" t="s">
        <v>9</v>
      </c>
      <c r="H324" s="27" t="s">
        <v>9</v>
      </c>
      <c r="I324" s="27" t="s">
        <v>9</v>
      </c>
      <c r="J324" s="27" t="s">
        <v>9</v>
      </c>
      <c r="K324" s="27" t="s">
        <v>9</v>
      </c>
      <c r="L324" s="27" t="s">
        <v>9</v>
      </c>
      <c r="M324" s="27" t="s">
        <v>9</v>
      </c>
      <c r="N324" s="27" t="s">
        <v>9</v>
      </c>
      <c r="O324" s="27" t="s">
        <v>9</v>
      </c>
      <c r="P324" s="27" t="s">
        <v>9</v>
      </c>
      <c r="Q324" s="27" t="s">
        <v>9</v>
      </c>
      <c r="R324" s="27" t="s">
        <v>9</v>
      </c>
      <c r="S324" s="27" t="s">
        <v>9</v>
      </c>
      <c r="T324" s="27" t="s">
        <v>9</v>
      </c>
      <c r="U324" s="27" t="s">
        <v>9</v>
      </c>
      <c r="V324" s="20" t="s">
        <v>1</v>
      </c>
      <c r="W324" s="20">
        <v>5</v>
      </c>
      <c r="X324" s="20">
        <v>3</v>
      </c>
      <c r="Y324" s="20">
        <v>2</v>
      </c>
      <c r="Z324" s="20">
        <v>4</v>
      </c>
      <c r="AA324" s="23">
        <v>3</v>
      </c>
      <c r="AB324" s="15" t="s">
        <v>9</v>
      </c>
      <c r="AC324" s="15" t="s">
        <v>9</v>
      </c>
      <c r="AD324" s="15" t="s">
        <v>9</v>
      </c>
      <c r="AE324" s="15" t="s">
        <v>9</v>
      </c>
      <c r="AF324" s="20" t="s">
        <v>9</v>
      </c>
      <c r="AG324" s="20" t="s">
        <v>9</v>
      </c>
      <c r="AH324" s="24" t="s">
        <v>9</v>
      </c>
      <c r="AI324" s="23">
        <v>3</v>
      </c>
      <c r="AJ324" s="15" t="s">
        <v>9</v>
      </c>
      <c r="AK324" s="15" t="s">
        <v>9</v>
      </c>
      <c r="AL324" s="25" t="s">
        <v>9</v>
      </c>
      <c r="AM324" s="23">
        <v>3</v>
      </c>
      <c r="AN324" s="20" t="s">
        <v>9</v>
      </c>
      <c r="AO324" s="20" t="s">
        <v>9</v>
      </c>
      <c r="AP324" s="15" t="s">
        <v>9</v>
      </c>
      <c r="AQ324" s="15" t="s">
        <v>9</v>
      </c>
      <c r="AR324" s="15" t="s">
        <v>9</v>
      </c>
      <c r="AS324" s="26" t="s">
        <v>9</v>
      </c>
      <c r="AT324" s="26" t="s">
        <v>9</v>
      </c>
      <c r="AU324" s="26" t="s">
        <v>9</v>
      </c>
      <c r="AV324" s="26" t="s">
        <v>9</v>
      </c>
      <c r="AW324" s="26" t="s">
        <v>9</v>
      </c>
      <c r="AX324" s="26" t="s">
        <v>9</v>
      </c>
      <c r="AY324" s="26" t="s">
        <v>9</v>
      </c>
      <c r="AZ324" s="26" t="s">
        <v>9</v>
      </c>
      <c r="BA324" s="23">
        <v>3</v>
      </c>
      <c r="BB324" s="24" t="s">
        <v>9</v>
      </c>
    </row>
    <row r="325" spans="1:54" x14ac:dyDescent="0.2">
      <c r="A325" s="19">
        <v>1309</v>
      </c>
      <c r="B325" s="27" t="s">
        <v>9</v>
      </c>
      <c r="C325" s="27" t="s">
        <v>9</v>
      </c>
      <c r="D325" s="27" t="s">
        <v>9</v>
      </c>
      <c r="E325" s="27" t="s">
        <v>9</v>
      </c>
      <c r="F325" s="27" t="s">
        <v>9</v>
      </c>
      <c r="G325" s="27" t="s">
        <v>9</v>
      </c>
      <c r="H325" s="27" t="s">
        <v>9</v>
      </c>
      <c r="I325" s="27" t="s">
        <v>9</v>
      </c>
      <c r="J325" s="27" t="s">
        <v>9</v>
      </c>
      <c r="K325" s="27" t="s">
        <v>9</v>
      </c>
      <c r="L325" s="27" t="s">
        <v>9</v>
      </c>
      <c r="M325" s="27" t="s">
        <v>9</v>
      </c>
      <c r="N325" s="27" t="s">
        <v>9</v>
      </c>
      <c r="O325" s="27" t="s">
        <v>9</v>
      </c>
      <c r="P325" s="27" t="s">
        <v>9</v>
      </c>
      <c r="Q325" s="27" t="s">
        <v>9</v>
      </c>
      <c r="R325" s="27" t="s">
        <v>9</v>
      </c>
      <c r="S325" s="27" t="s">
        <v>9</v>
      </c>
      <c r="T325" s="27" t="s">
        <v>9</v>
      </c>
      <c r="U325" s="27" t="s">
        <v>9</v>
      </c>
      <c r="V325" s="20" t="s">
        <v>1</v>
      </c>
      <c r="W325" s="20">
        <v>5</v>
      </c>
      <c r="X325" s="20">
        <v>3</v>
      </c>
      <c r="Y325" s="20">
        <v>2</v>
      </c>
      <c r="Z325" s="20">
        <v>4</v>
      </c>
      <c r="AA325" s="23">
        <v>3</v>
      </c>
      <c r="AB325" s="15" t="s">
        <v>9</v>
      </c>
      <c r="AC325" s="15" t="s">
        <v>9</v>
      </c>
      <c r="AD325" s="15" t="s">
        <v>9</v>
      </c>
      <c r="AE325" s="15" t="s">
        <v>9</v>
      </c>
      <c r="AF325" s="20" t="s">
        <v>9</v>
      </c>
      <c r="AG325" s="20" t="s">
        <v>9</v>
      </c>
      <c r="AH325" s="24" t="s">
        <v>9</v>
      </c>
      <c r="AI325" s="23">
        <v>3</v>
      </c>
      <c r="AJ325" s="15" t="s">
        <v>9</v>
      </c>
      <c r="AK325" s="15" t="s">
        <v>9</v>
      </c>
      <c r="AL325" s="25" t="s">
        <v>9</v>
      </c>
      <c r="AM325" s="23">
        <v>3</v>
      </c>
      <c r="AN325" s="20" t="s">
        <v>9</v>
      </c>
      <c r="AO325" s="20" t="s">
        <v>9</v>
      </c>
      <c r="AP325" s="15" t="s">
        <v>9</v>
      </c>
      <c r="AQ325" s="15" t="s">
        <v>9</v>
      </c>
      <c r="AR325" s="15" t="s">
        <v>9</v>
      </c>
      <c r="AS325" s="26" t="s">
        <v>9</v>
      </c>
      <c r="AT325" s="26" t="s">
        <v>9</v>
      </c>
      <c r="AU325" s="26" t="s">
        <v>9</v>
      </c>
      <c r="AV325" s="26" t="s">
        <v>9</v>
      </c>
      <c r="AW325" s="26" t="s">
        <v>9</v>
      </c>
      <c r="AX325" s="26" t="s">
        <v>9</v>
      </c>
      <c r="AY325" s="26" t="s">
        <v>9</v>
      </c>
      <c r="AZ325" s="26" t="s">
        <v>9</v>
      </c>
      <c r="BA325" s="23">
        <v>3</v>
      </c>
      <c r="BB325" s="24" t="s">
        <v>9</v>
      </c>
    </row>
    <row r="326" spans="1:54" x14ac:dyDescent="0.2">
      <c r="A326" s="19">
        <v>1372</v>
      </c>
      <c r="B326" s="27" t="s">
        <v>9</v>
      </c>
      <c r="C326" s="27" t="s">
        <v>9</v>
      </c>
      <c r="D326" s="27" t="s">
        <v>9</v>
      </c>
      <c r="E326" s="27" t="s">
        <v>9</v>
      </c>
      <c r="F326" s="27" t="s">
        <v>9</v>
      </c>
      <c r="G326" s="27" t="s">
        <v>9</v>
      </c>
      <c r="H326" s="27" t="s">
        <v>9</v>
      </c>
      <c r="I326" s="27" t="s">
        <v>9</v>
      </c>
      <c r="J326" s="27" t="s">
        <v>9</v>
      </c>
      <c r="K326" s="27" t="s">
        <v>9</v>
      </c>
      <c r="L326" s="27" t="s">
        <v>9</v>
      </c>
      <c r="M326" s="27" t="s">
        <v>9</v>
      </c>
      <c r="N326" s="27" t="s">
        <v>9</v>
      </c>
      <c r="O326" s="27" t="s">
        <v>9</v>
      </c>
      <c r="P326" s="27" t="s">
        <v>9</v>
      </c>
      <c r="Q326" s="27" t="s">
        <v>9</v>
      </c>
      <c r="R326" s="27" t="s">
        <v>9</v>
      </c>
      <c r="S326" s="27" t="s">
        <v>9</v>
      </c>
      <c r="T326" s="27" t="s">
        <v>9</v>
      </c>
      <c r="U326" s="27" t="s">
        <v>9</v>
      </c>
      <c r="V326" s="20" t="s">
        <v>1</v>
      </c>
      <c r="W326" s="20">
        <v>5</v>
      </c>
      <c r="X326" s="20">
        <v>3</v>
      </c>
      <c r="Y326" s="20">
        <v>2</v>
      </c>
      <c r="Z326" s="20">
        <v>4</v>
      </c>
      <c r="AA326" s="23">
        <v>3</v>
      </c>
      <c r="AB326" s="15" t="s">
        <v>9</v>
      </c>
      <c r="AC326" s="15" t="s">
        <v>9</v>
      </c>
      <c r="AD326" s="15" t="s">
        <v>9</v>
      </c>
      <c r="AE326" s="15" t="s">
        <v>9</v>
      </c>
      <c r="AF326" s="20" t="s">
        <v>9</v>
      </c>
      <c r="AG326" s="20" t="s">
        <v>9</v>
      </c>
      <c r="AH326" s="24" t="s">
        <v>9</v>
      </c>
      <c r="AI326" s="23">
        <v>3</v>
      </c>
      <c r="AJ326" s="15" t="s">
        <v>9</v>
      </c>
      <c r="AK326" s="15" t="s">
        <v>9</v>
      </c>
      <c r="AL326" s="25" t="s">
        <v>9</v>
      </c>
      <c r="AM326" s="23">
        <v>3</v>
      </c>
      <c r="AN326" s="20" t="s">
        <v>9</v>
      </c>
      <c r="AO326" s="20" t="s">
        <v>9</v>
      </c>
      <c r="AP326" s="15" t="s">
        <v>9</v>
      </c>
      <c r="AQ326" s="15" t="s">
        <v>9</v>
      </c>
      <c r="AR326" s="15" t="s">
        <v>9</v>
      </c>
      <c r="AS326" s="26" t="s">
        <v>9</v>
      </c>
      <c r="AT326" s="26" t="s">
        <v>9</v>
      </c>
      <c r="AU326" s="26" t="s">
        <v>9</v>
      </c>
      <c r="AV326" s="26" t="s">
        <v>9</v>
      </c>
      <c r="AW326" s="26" t="s">
        <v>9</v>
      </c>
      <c r="AX326" s="26" t="s">
        <v>9</v>
      </c>
      <c r="AY326" s="26" t="s">
        <v>9</v>
      </c>
      <c r="AZ326" s="26" t="s">
        <v>9</v>
      </c>
      <c r="BA326" s="23">
        <v>3</v>
      </c>
      <c r="BB326" s="24" t="s">
        <v>9</v>
      </c>
    </row>
    <row r="327" spans="1:54" x14ac:dyDescent="0.2">
      <c r="A327" s="19">
        <v>1421</v>
      </c>
      <c r="B327" s="27" t="s">
        <v>9</v>
      </c>
      <c r="C327" s="27" t="s">
        <v>9</v>
      </c>
      <c r="D327" s="27" t="s">
        <v>9</v>
      </c>
      <c r="E327" s="27" t="s">
        <v>9</v>
      </c>
      <c r="F327" s="27" t="s">
        <v>9</v>
      </c>
      <c r="G327" s="27" t="s">
        <v>9</v>
      </c>
      <c r="H327" s="27" t="s">
        <v>9</v>
      </c>
      <c r="I327" s="27" t="s">
        <v>9</v>
      </c>
      <c r="J327" s="27" t="s">
        <v>9</v>
      </c>
      <c r="K327" s="27" t="s">
        <v>9</v>
      </c>
      <c r="L327" s="27" t="s">
        <v>9</v>
      </c>
      <c r="M327" s="27" t="s">
        <v>9</v>
      </c>
      <c r="N327" s="27" t="s">
        <v>9</v>
      </c>
      <c r="O327" s="27" t="s">
        <v>9</v>
      </c>
      <c r="P327" s="27" t="s">
        <v>9</v>
      </c>
      <c r="Q327" s="27" t="s">
        <v>9</v>
      </c>
      <c r="R327" s="27" t="s">
        <v>9</v>
      </c>
      <c r="S327" s="27" t="s">
        <v>9</v>
      </c>
      <c r="T327" s="27" t="s">
        <v>9</v>
      </c>
      <c r="U327" s="27" t="s">
        <v>9</v>
      </c>
      <c r="V327" s="20" t="s">
        <v>1</v>
      </c>
      <c r="W327" s="20">
        <v>5</v>
      </c>
      <c r="X327" s="20">
        <v>3</v>
      </c>
      <c r="Y327" s="20">
        <v>2</v>
      </c>
      <c r="Z327" s="20">
        <v>4</v>
      </c>
      <c r="AA327" s="23">
        <v>3</v>
      </c>
      <c r="AB327" s="15" t="s">
        <v>9</v>
      </c>
      <c r="AC327" s="15" t="s">
        <v>9</v>
      </c>
      <c r="AD327" s="15" t="s">
        <v>9</v>
      </c>
      <c r="AE327" s="15" t="s">
        <v>9</v>
      </c>
      <c r="AF327" s="20" t="s">
        <v>9</v>
      </c>
      <c r="AG327" s="20" t="s">
        <v>9</v>
      </c>
      <c r="AH327" s="24" t="s">
        <v>9</v>
      </c>
      <c r="AI327" s="23">
        <v>3</v>
      </c>
      <c r="AJ327" s="15" t="s">
        <v>9</v>
      </c>
      <c r="AK327" s="15" t="s">
        <v>9</v>
      </c>
      <c r="AL327" s="25" t="s">
        <v>9</v>
      </c>
      <c r="AM327" s="23">
        <v>3</v>
      </c>
      <c r="AN327" s="20" t="s">
        <v>9</v>
      </c>
      <c r="AO327" s="20" t="s">
        <v>9</v>
      </c>
      <c r="AP327" s="15" t="s">
        <v>9</v>
      </c>
      <c r="AQ327" s="15" t="s">
        <v>9</v>
      </c>
      <c r="AR327" s="15" t="s">
        <v>9</v>
      </c>
      <c r="AS327" s="26" t="s">
        <v>9</v>
      </c>
      <c r="AT327" s="26" t="s">
        <v>9</v>
      </c>
      <c r="AU327" s="26" t="s">
        <v>9</v>
      </c>
      <c r="AV327" s="26" t="s">
        <v>9</v>
      </c>
      <c r="AW327" s="26" t="s">
        <v>9</v>
      </c>
      <c r="AX327" s="26" t="s">
        <v>9</v>
      </c>
      <c r="AY327" s="26" t="s">
        <v>9</v>
      </c>
      <c r="AZ327" s="26" t="s">
        <v>9</v>
      </c>
      <c r="BA327" s="23">
        <v>3</v>
      </c>
      <c r="BB327" s="24" t="s">
        <v>9</v>
      </c>
    </row>
    <row r="328" spans="1:54" x14ac:dyDescent="0.2">
      <c r="A328" s="19">
        <v>1432</v>
      </c>
      <c r="B328" s="27" t="s">
        <v>9</v>
      </c>
      <c r="C328" s="27" t="s">
        <v>9</v>
      </c>
      <c r="D328" s="27" t="s">
        <v>9</v>
      </c>
      <c r="E328" s="27" t="s">
        <v>9</v>
      </c>
      <c r="F328" s="27" t="s">
        <v>9</v>
      </c>
      <c r="G328" s="27" t="s">
        <v>9</v>
      </c>
      <c r="H328" s="27" t="s">
        <v>9</v>
      </c>
      <c r="I328" s="27" t="s">
        <v>9</v>
      </c>
      <c r="J328" s="27" t="s">
        <v>9</v>
      </c>
      <c r="K328" s="27" t="s">
        <v>9</v>
      </c>
      <c r="L328" s="27" t="s">
        <v>9</v>
      </c>
      <c r="M328" s="27" t="s">
        <v>9</v>
      </c>
      <c r="N328" s="27" t="s">
        <v>9</v>
      </c>
      <c r="O328" s="27" t="s">
        <v>9</v>
      </c>
      <c r="P328" s="27" t="s">
        <v>9</v>
      </c>
      <c r="Q328" s="27" t="s">
        <v>9</v>
      </c>
      <c r="R328" s="27" t="s">
        <v>9</v>
      </c>
      <c r="S328" s="27" t="s">
        <v>9</v>
      </c>
      <c r="T328" s="27" t="s">
        <v>9</v>
      </c>
      <c r="U328" s="27" t="s">
        <v>9</v>
      </c>
      <c r="V328" s="20" t="s">
        <v>1</v>
      </c>
      <c r="W328" s="20">
        <v>5</v>
      </c>
      <c r="X328" s="20">
        <v>3</v>
      </c>
      <c r="Y328" s="20">
        <v>2</v>
      </c>
      <c r="Z328" s="20">
        <v>4</v>
      </c>
      <c r="AA328" s="23">
        <v>3</v>
      </c>
      <c r="AB328" s="15" t="s">
        <v>9</v>
      </c>
      <c r="AC328" s="15" t="s">
        <v>9</v>
      </c>
      <c r="AD328" s="15" t="s">
        <v>9</v>
      </c>
      <c r="AE328" s="15" t="s">
        <v>9</v>
      </c>
      <c r="AF328" s="20" t="s">
        <v>9</v>
      </c>
      <c r="AG328" s="20" t="s">
        <v>9</v>
      </c>
      <c r="AH328" s="24" t="s">
        <v>9</v>
      </c>
      <c r="AI328" s="23">
        <v>3</v>
      </c>
      <c r="AJ328" s="15" t="s">
        <v>9</v>
      </c>
      <c r="AK328" s="15" t="s">
        <v>9</v>
      </c>
      <c r="AL328" s="25" t="s">
        <v>9</v>
      </c>
      <c r="AM328" s="23">
        <v>3</v>
      </c>
      <c r="AN328" s="20" t="s">
        <v>9</v>
      </c>
      <c r="AO328" s="20" t="s">
        <v>9</v>
      </c>
      <c r="AP328" s="15" t="s">
        <v>9</v>
      </c>
      <c r="AQ328" s="15" t="s">
        <v>9</v>
      </c>
      <c r="AR328" s="15" t="s">
        <v>9</v>
      </c>
      <c r="AS328" s="26" t="s">
        <v>9</v>
      </c>
      <c r="AT328" s="26" t="s">
        <v>9</v>
      </c>
      <c r="AU328" s="26" t="s">
        <v>9</v>
      </c>
      <c r="AV328" s="26" t="s">
        <v>9</v>
      </c>
      <c r="AW328" s="26" t="s">
        <v>9</v>
      </c>
      <c r="AX328" s="26" t="s">
        <v>9</v>
      </c>
      <c r="AY328" s="26" t="s">
        <v>9</v>
      </c>
      <c r="AZ328" s="26" t="s">
        <v>9</v>
      </c>
      <c r="BA328" s="23">
        <v>3</v>
      </c>
      <c r="BB328" s="24" t="s">
        <v>9</v>
      </c>
    </row>
    <row r="329" spans="1:54" x14ac:dyDescent="0.2">
      <c r="A329" s="19">
        <v>1444</v>
      </c>
      <c r="B329" s="27" t="s">
        <v>9</v>
      </c>
      <c r="C329" s="27" t="s">
        <v>9</v>
      </c>
      <c r="D329" s="27" t="s">
        <v>9</v>
      </c>
      <c r="E329" s="27" t="s">
        <v>9</v>
      </c>
      <c r="F329" s="27" t="s">
        <v>9</v>
      </c>
      <c r="G329" s="27" t="s">
        <v>9</v>
      </c>
      <c r="H329" s="27" t="s">
        <v>9</v>
      </c>
      <c r="I329" s="27" t="s">
        <v>9</v>
      </c>
      <c r="J329" s="27" t="s">
        <v>9</v>
      </c>
      <c r="K329" s="27" t="s">
        <v>9</v>
      </c>
      <c r="L329" s="27" t="s">
        <v>9</v>
      </c>
      <c r="M329" s="27" t="s">
        <v>9</v>
      </c>
      <c r="N329" s="27" t="s">
        <v>9</v>
      </c>
      <c r="O329" s="27" t="s">
        <v>9</v>
      </c>
      <c r="P329" s="27" t="s">
        <v>9</v>
      </c>
      <c r="Q329" s="27" t="s">
        <v>9</v>
      </c>
      <c r="R329" s="27" t="s">
        <v>9</v>
      </c>
      <c r="S329" s="27" t="s">
        <v>9</v>
      </c>
      <c r="T329" s="27" t="s">
        <v>9</v>
      </c>
      <c r="U329" s="27" t="s">
        <v>9</v>
      </c>
      <c r="V329" s="20" t="s">
        <v>1</v>
      </c>
      <c r="W329" s="20">
        <v>5</v>
      </c>
      <c r="X329" s="20">
        <v>3</v>
      </c>
      <c r="Y329" s="20">
        <v>2</v>
      </c>
      <c r="Z329" s="20">
        <v>4</v>
      </c>
      <c r="AA329" s="23">
        <v>3</v>
      </c>
      <c r="AB329" s="15" t="s">
        <v>9</v>
      </c>
      <c r="AC329" s="15" t="s">
        <v>9</v>
      </c>
      <c r="AD329" s="15" t="s">
        <v>9</v>
      </c>
      <c r="AE329" s="15" t="s">
        <v>9</v>
      </c>
      <c r="AF329" s="20" t="s">
        <v>9</v>
      </c>
      <c r="AG329" s="20" t="s">
        <v>9</v>
      </c>
      <c r="AH329" s="24" t="s">
        <v>9</v>
      </c>
      <c r="AI329" s="23">
        <v>3</v>
      </c>
      <c r="AJ329" s="15" t="s">
        <v>9</v>
      </c>
      <c r="AK329" s="15" t="s">
        <v>9</v>
      </c>
      <c r="AL329" s="25" t="s">
        <v>9</v>
      </c>
      <c r="AM329" s="23">
        <v>3</v>
      </c>
      <c r="AN329" s="20" t="s">
        <v>9</v>
      </c>
      <c r="AO329" s="20" t="s">
        <v>9</v>
      </c>
      <c r="AP329" s="15" t="s">
        <v>9</v>
      </c>
      <c r="AQ329" s="15" t="s">
        <v>9</v>
      </c>
      <c r="AR329" s="15" t="s">
        <v>9</v>
      </c>
      <c r="AS329" s="26" t="s">
        <v>9</v>
      </c>
      <c r="AT329" s="26" t="s">
        <v>9</v>
      </c>
      <c r="AU329" s="26" t="s">
        <v>9</v>
      </c>
      <c r="AV329" s="26" t="s">
        <v>9</v>
      </c>
      <c r="AW329" s="26" t="s">
        <v>9</v>
      </c>
      <c r="AX329" s="26" t="s">
        <v>9</v>
      </c>
      <c r="AY329" s="26" t="s">
        <v>9</v>
      </c>
      <c r="AZ329" s="26" t="s">
        <v>9</v>
      </c>
      <c r="BA329" s="23">
        <v>3</v>
      </c>
      <c r="BB329" s="24" t="s">
        <v>9</v>
      </c>
    </row>
    <row r="330" spans="1:54" x14ac:dyDescent="0.2">
      <c r="A330" s="19">
        <v>1451</v>
      </c>
      <c r="B330" s="27" t="s">
        <v>9</v>
      </c>
      <c r="C330" s="27" t="s">
        <v>9</v>
      </c>
      <c r="D330" s="27" t="s">
        <v>9</v>
      </c>
      <c r="E330" s="27" t="s">
        <v>9</v>
      </c>
      <c r="F330" s="27" t="s">
        <v>9</v>
      </c>
      <c r="G330" s="27" t="s">
        <v>9</v>
      </c>
      <c r="H330" s="27" t="s">
        <v>9</v>
      </c>
      <c r="I330" s="27" t="s">
        <v>9</v>
      </c>
      <c r="J330" s="27" t="s">
        <v>9</v>
      </c>
      <c r="K330" s="27" t="s">
        <v>9</v>
      </c>
      <c r="L330" s="27" t="s">
        <v>9</v>
      </c>
      <c r="M330" s="27" t="s">
        <v>9</v>
      </c>
      <c r="N330" s="27" t="s">
        <v>9</v>
      </c>
      <c r="O330" s="27" t="s">
        <v>9</v>
      </c>
      <c r="P330" s="27" t="s">
        <v>9</v>
      </c>
      <c r="Q330" s="27" t="s">
        <v>9</v>
      </c>
      <c r="R330" s="27" t="s">
        <v>9</v>
      </c>
      <c r="S330" s="27" t="s">
        <v>9</v>
      </c>
      <c r="T330" s="27" t="s">
        <v>9</v>
      </c>
      <c r="U330" s="27" t="s">
        <v>9</v>
      </c>
      <c r="V330" s="20" t="s">
        <v>1</v>
      </c>
      <c r="W330" s="20">
        <v>5</v>
      </c>
      <c r="X330" s="20">
        <v>3</v>
      </c>
      <c r="Y330" s="20">
        <v>2</v>
      </c>
      <c r="Z330" s="20">
        <v>4</v>
      </c>
      <c r="AA330" s="23">
        <v>3</v>
      </c>
      <c r="AB330" s="15" t="s">
        <v>9</v>
      </c>
      <c r="AC330" s="15" t="s">
        <v>9</v>
      </c>
      <c r="AD330" s="15" t="s">
        <v>9</v>
      </c>
      <c r="AE330" s="15" t="s">
        <v>9</v>
      </c>
      <c r="AF330" s="20" t="s">
        <v>9</v>
      </c>
      <c r="AG330" s="20" t="s">
        <v>9</v>
      </c>
      <c r="AH330" s="24" t="s">
        <v>9</v>
      </c>
      <c r="AI330" s="23">
        <v>3</v>
      </c>
      <c r="AJ330" s="15" t="s">
        <v>9</v>
      </c>
      <c r="AK330" s="15" t="s">
        <v>9</v>
      </c>
      <c r="AL330" s="25" t="s">
        <v>9</v>
      </c>
      <c r="AM330" s="23">
        <v>3</v>
      </c>
      <c r="AN330" s="20" t="s">
        <v>9</v>
      </c>
      <c r="AO330" s="20" t="s">
        <v>9</v>
      </c>
      <c r="AP330" s="15" t="s">
        <v>9</v>
      </c>
      <c r="AQ330" s="15" t="s">
        <v>9</v>
      </c>
      <c r="AR330" s="15" t="s">
        <v>9</v>
      </c>
      <c r="AS330" s="26" t="s">
        <v>9</v>
      </c>
      <c r="AT330" s="26" t="s">
        <v>9</v>
      </c>
      <c r="AU330" s="26" t="s">
        <v>9</v>
      </c>
      <c r="AV330" s="26" t="s">
        <v>9</v>
      </c>
      <c r="AW330" s="26" t="s">
        <v>9</v>
      </c>
      <c r="AX330" s="26" t="s">
        <v>9</v>
      </c>
      <c r="AY330" s="26" t="s">
        <v>9</v>
      </c>
      <c r="AZ330" s="26" t="s">
        <v>9</v>
      </c>
      <c r="BA330" s="23">
        <v>3</v>
      </c>
      <c r="BB330" s="24" t="s">
        <v>9</v>
      </c>
    </row>
    <row r="331" spans="1:54" x14ac:dyDescent="0.2">
      <c r="A331" s="19">
        <v>1457</v>
      </c>
      <c r="B331" s="27" t="s">
        <v>9</v>
      </c>
      <c r="C331" s="27" t="s">
        <v>9</v>
      </c>
      <c r="D331" s="27" t="s">
        <v>9</v>
      </c>
      <c r="E331" s="27" t="s">
        <v>9</v>
      </c>
      <c r="F331" s="27" t="s">
        <v>9</v>
      </c>
      <c r="G331" s="27" t="s">
        <v>9</v>
      </c>
      <c r="H331" s="27" t="s">
        <v>9</v>
      </c>
      <c r="I331" s="27" t="s">
        <v>9</v>
      </c>
      <c r="J331" s="27" t="s">
        <v>9</v>
      </c>
      <c r="K331" s="27" t="s">
        <v>9</v>
      </c>
      <c r="L331" s="27" t="s">
        <v>9</v>
      </c>
      <c r="M331" s="27" t="s">
        <v>9</v>
      </c>
      <c r="N331" s="27" t="s">
        <v>9</v>
      </c>
      <c r="O331" s="27" t="s">
        <v>9</v>
      </c>
      <c r="P331" s="27" t="s">
        <v>9</v>
      </c>
      <c r="Q331" s="27" t="s">
        <v>9</v>
      </c>
      <c r="R331" s="27" t="s">
        <v>9</v>
      </c>
      <c r="S331" s="27" t="s">
        <v>9</v>
      </c>
      <c r="T331" s="27" t="s">
        <v>9</v>
      </c>
      <c r="U331" s="27" t="s">
        <v>9</v>
      </c>
      <c r="V331" s="20" t="s">
        <v>1</v>
      </c>
      <c r="W331" s="20">
        <v>5</v>
      </c>
      <c r="X331" s="20">
        <v>3</v>
      </c>
      <c r="Y331" s="20">
        <v>2</v>
      </c>
      <c r="Z331" s="20">
        <v>4</v>
      </c>
      <c r="AA331" s="23">
        <v>3</v>
      </c>
      <c r="AB331" s="15" t="s">
        <v>9</v>
      </c>
      <c r="AC331" s="15" t="s">
        <v>9</v>
      </c>
      <c r="AD331" s="15" t="s">
        <v>9</v>
      </c>
      <c r="AE331" s="15" t="s">
        <v>9</v>
      </c>
      <c r="AF331" s="20" t="s">
        <v>9</v>
      </c>
      <c r="AG331" s="20" t="s">
        <v>9</v>
      </c>
      <c r="AH331" s="24" t="s">
        <v>9</v>
      </c>
      <c r="AI331" s="23">
        <v>3</v>
      </c>
      <c r="AJ331" s="15" t="s">
        <v>9</v>
      </c>
      <c r="AK331" s="15" t="s">
        <v>9</v>
      </c>
      <c r="AL331" s="25" t="s">
        <v>9</v>
      </c>
      <c r="AM331" s="23">
        <v>3</v>
      </c>
      <c r="AN331" s="20" t="s">
        <v>9</v>
      </c>
      <c r="AO331" s="20" t="s">
        <v>9</v>
      </c>
      <c r="AP331" s="15" t="s">
        <v>9</v>
      </c>
      <c r="AQ331" s="15" t="s">
        <v>9</v>
      </c>
      <c r="AR331" s="15" t="s">
        <v>9</v>
      </c>
      <c r="AS331" s="26" t="s">
        <v>9</v>
      </c>
      <c r="AT331" s="26" t="s">
        <v>9</v>
      </c>
      <c r="AU331" s="26" t="s">
        <v>9</v>
      </c>
      <c r="AV331" s="26" t="s">
        <v>9</v>
      </c>
      <c r="AW331" s="26" t="s">
        <v>9</v>
      </c>
      <c r="AX331" s="26" t="s">
        <v>9</v>
      </c>
      <c r="AY331" s="26" t="s">
        <v>9</v>
      </c>
      <c r="AZ331" s="26" t="s">
        <v>9</v>
      </c>
      <c r="BA331" s="23">
        <v>3</v>
      </c>
      <c r="BB331" s="24" t="s">
        <v>9</v>
      </c>
    </row>
    <row r="332" spans="1:54" x14ac:dyDescent="0.2">
      <c r="A332" s="19">
        <v>1531</v>
      </c>
      <c r="B332" s="27" t="s">
        <v>9</v>
      </c>
      <c r="C332" s="27" t="s">
        <v>9</v>
      </c>
      <c r="D332" s="27" t="s">
        <v>9</v>
      </c>
      <c r="E332" s="27" t="s">
        <v>9</v>
      </c>
      <c r="F332" s="27" t="s">
        <v>9</v>
      </c>
      <c r="G332" s="27" t="s">
        <v>9</v>
      </c>
      <c r="H332" s="27" t="s">
        <v>9</v>
      </c>
      <c r="I332" s="27" t="s">
        <v>9</v>
      </c>
      <c r="J332" s="27" t="s">
        <v>9</v>
      </c>
      <c r="K332" s="27" t="s">
        <v>9</v>
      </c>
      <c r="L332" s="27" t="s">
        <v>9</v>
      </c>
      <c r="M332" s="27" t="s">
        <v>9</v>
      </c>
      <c r="N332" s="27" t="s">
        <v>9</v>
      </c>
      <c r="O332" s="27" t="s">
        <v>9</v>
      </c>
      <c r="P332" s="27" t="s">
        <v>9</v>
      </c>
      <c r="Q332" s="27" t="s">
        <v>9</v>
      </c>
      <c r="R332" s="27" t="s">
        <v>9</v>
      </c>
      <c r="S332" s="27" t="s">
        <v>9</v>
      </c>
      <c r="T332" s="27" t="s">
        <v>9</v>
      </c>
      <c r="U332" s="27" t="s">
        <v>9</v>
      </c>
      <c r="V332" s="20" t="s">
        <v>1</v>
      </c>
      <c r="W332" s="20">
        <v>5</v>
      </c>
      <c r="X332" s="20">
        <v>3</v>
      </c>
      <c r="Y332" s="20">
        <v>2</v>
      </c>
      <c r="Z332" s="20">
        <v>4</v>
      </c>
      <c r="AA332" s="23">
        <v>3</v>
      </c>
      <c r="AB332" s="15" t="s">
        <v>9</v>
      </c>
      <c r="AC332" s="15" t="s">
        <v>9</v>
      </c>
      <c r="AD332" s="15" t="s">
        <v>9</v>
      </c>
      <c r="AE332" s="15" t="s">
        <v>9</v>
      </c>
      <c r="AF332" s="20" t="s">
        <v>9</v>
      </c>
      <c r="AG332" s="20" t="s">
        <v>9</v>
      </c>
      <c r="AH332" s="24" t="s">
        <v>9</v>
      </c>
      <c r="AI332" s="23">
        <v>3</v>
      </c>
      <c r="AJ332" s="15" t="s">
        <v>9</v>
      </c>
      <c r="AK332" s="15" t="s">
        <v>9</v>
      </c>
      <c r="AL332" s="25" t="s">
        <v>9</v>
      </c>
      <c r="AM332" s="23">
        <v>3</v>
      </c>
      <c r="AN332" s="20" t="s">
        <v>9</v>
      </c>
      <c r="AO332" s="20" t="s">
        <v>9</v>
      </c>
      <c r="AP332" s="15" t="s">
        <v>9</v>
      </c>
      <c r="AQ332" s="15" t="s">
        <v>9</v>
      </c>
      <c r="AR332" s="15" t="s">
        <v>9</v>
      </c>
      <c r="AS332" s="26" t="s">
        <v>9</v>
      </c>
      <c r="AT332" s="26" t="s">
        <v>9</v>
      </c>
      <c r="AU332" s="26" t="s">
        <v>9</v>
      </c>
      <c r="AV332" s="26" t="s">
        <v>9</v>
      </c>
      <c r="AW332" s="26" t="s">
        <v>9</v>
      </c>
      <c r="AX332" s="26" t="s">
        <v>9</v>
      </c>
      <c r="AY332" s="26" t="s">
        <v>9</v>
      </c>
      <c r="AZ332" s="26" t="s">
        <v>9</v>
      </c>
      <c r="BA332" s="23">
        <v>3</v>
      </c>
      <c r="BB332" s="24" t="s">
        <v>9</v>
      </c>
    </row>
    <row r="333" spans="1:54" x14ac:dyDescent="0.2">
      <c r="A333" s="19">
        <v>1600</v>
      </c>
      <c r="B333" s="27" t="s">
        <v>9</v>
      </c>
      <c r="C333" s="27" t="s">
        <v>9</v>
      </c>
      <c r="D333" s="27" t="s">
        <v>9</v>
      </c>
      <c r="E333" s="27" t="s">
        <v>9</v>
      </c>
      <c r="F333" s="27" t="s">
        <v>9</v>
      </c>
      <c r="G333" s="27" t="s">
        <v>9</v>
      </c>
      <c r="H333" s="27" t="s">
        <v>9</v>
      </c>
      <c r="I333" s="27" t="s">
        <v>9</v>
      </c>
      <c r="J333" s="27" t="s">
        <v>9</v>
      </c>
      <c r="K333" s="27" t="s">
        <v>9</v>
      </c>
      <c r="L333" s="27" t="s">
        <v>9</v>
      </c>
      <c r="M333" s="27" t="s">
        <v>9</v>
      </c>
      <c r="N333" s="27" t="s">
        <v>9</v>
      </c>
      <c r="O333" s="27" t="s">
        <v>9</v>
      </c>
      <c r="P333" s="27" t="s">
        <v>9</v>
      </c>
      <c r="Q333" s="27" t="s">
        <v>9</v>
      </c>
      <c r="R333" s="27" t="s">
        <v>9</v>
      </c>
      <c r="S333" s="27" t="s">
        <v>9</v>
      </c>
      <c r="T333" s="27" t="s">
        <v>9</v>
      </c>
      <c r="U333" s="27" t="s">
        <v>9</v>
      </c>
      <c r="V333" s="20" t="s">
        <v>1</v>
      </c>
      <c r="W333" s="20">
        <v>5</v>
      </c>
      <c r="X333" s="20">
        <v>3</v>
      </c>
      <c r="Y333" s="20">
        <v>2</v>
      </c>
      <c r="Z333" s="20">
        <v>4</v>
      </c>
      <c r="AA333" s="23">
        <v>3</v>
      </c>
      <c r="AB333" s="15" t="s">
        <v>9</v>
      </c>
      <c r="AC333" s="15" t="s">
        <v>9</v>
      </c>
      <c r="AD333" s="15" t="s">
        <v>9</v>
      </c>
      <c r="AE333" s="15" t="s">
        <v>9</v>
      </c>
      <c r="AF333" s="20" t="s">
        <v>9</v>
      </c>
      <c r="AG333" s="20" t="s">
        <v>9</v>
      </c>
      <c r="AH333" s="24" t="s">
        <v>9</v>
      </c>
      <c r="AI333" s="23">
        <v>3</v>
      </c>
      <c r="AJ333" s="15" t="s">
        <v>9</v>
      </c>
      <c r="AK333" s="15" t="s">
        <v>9</v>
      </c>
      <c r="AL333" s="25" t="s">
        <v>9</v>
      </c>
      <c r="AM333" s="23">
        <v>3</v>
      </c>
      <c r="AN333" s="20" t="s">
        <v>9</v>
      </c>
      <c r="AO333" s="20" t="s">
        <v>9</v>
      </c>
      <c r="AP333" s="15" t="s">
        <v>9</v>
      </c>
      <c r="AQ333" s="15" t="s">
        <v>9</v>
      </c>
      <c r="AR333" s="15" t="s">
        <v>9</v>
      </c>
      <c r="AS333" s="26" t="s">
        <v>9</v>
      </c>
      <c r="AT333" s="26" t="s">
        <v>9</v>
      </c>
      <c r="AU333" s="26" t="s">
        <v>9</v>
      </c>
      <c r="AV333" s="26" t="s">
        <v>9</v>
      </c>
      <c r="AW333" s="26" t="s">
        <v>9</v>
      </c>
      <c r="AX333" s="26" t="s">
        <v>9</v>
      </c>
      <c r="AY333" s="26" t="s">
        <v>9</v>
      </c>
      <c r="AZ333" s="26" t="s">
        <v>9</v>
      </c>
      <c r="BA333" s="23">
        <v>3</v>
      </c>
      <c r="BB333" s="24" t="s">
        <v>9</v>
      </c>
    </row>
    <row r="334" spans="1:54" x14ac:dyDescent="0.2">
      <c r="A334" s="19">
        <v>1626</v>
      </c>
      <c r="B334" s="27" t="s">
        <v>9</v>
      </c>
      <c r="C334" s="27" t="s">
        <v>9</v>
      </c>
      <c r="D334" s="27" t="s">
        <v>9</v>
      </c>
      <c r="E334" s="27" t="s">
        <v>9</v>
      </c>
      <c r="F334" s="27" t="s">
        <v>9</v>
      </c>
      <c r="G334" s="27" t="s">
        <v>9</v>
      </c>
      <c r="H334" s="27" t="s">
        <v>9</v>
      </c>
      <c r="I334" s="27" t="s">
        <v>9</v>
      </c>
      <c r="J334" s="27" t="s">
        <v>9</v>
      </c>
      <c r="K334" s="27" t="s">
        <v>9</v>
      </c>
      <c r="L334" s="27" t="s">
        <v>9</v>
      </c>
      <c r="M334" s="27" t="s">
        <v>9</v>
      </c>
      <c r="N334" s="27" t="s">
        <v>9</v>
      </c>
      <c r="O334" s="27" t="s">
        <v>9</v>
      </c>
      <c r="P334" s="27" t="s">
        <v>9</v>
      </c>
      <c r="Q334" s="27" t="s">
        <v>9</v>
      </c>
      <c r="R334" s="27" t="s">
        <v>9</v>
      </c>
      <c r="S334" s="27" t="s">
        <v>9</v>
      </c>
      <c r="T334" s="27" t="s">
        <v>9</v>
      </c>
      <c r="U334" s="27" t="s">
        <v>9</v>
      </c>
      <c r="V334" s="20" t="s">
        <v>1</v>
      </c>
      <c r="W334" s="20">
        <v>5</v>
      </c>
      <c r="X334" s="20">
        <v>3</v>
      </c>
      <c r="Y334" s="20">
        <v>2</v>
      </c>
      <c r="Z334" s="20">
        <v>4</v>
      </c>
      <c r="AA334" s="23">
        <v>3</v>
      </c>
      <c r="AB334" s="15" t="s">
        <v>9</v>
      </c>
      <c r="AC334" s="15" t="s">
        <v>9</v>
      </c>
      <c r="AD334" s="15" t="s">
        <v>9</v>
      </c>
      <c r="AE334" s="15" t="s">
        <v>9</v>
      </c>
      <c r="AF334" s="20" t="s">
        <v>9</v>
      </c>
      <c r="AG334" s="20" t="s">
        <v>9</v>
      </c>
      <c r="AH334" s="24" t="s">
        <v>9</v>
      </c>
      <c r="AI334" s="23">
        <v>3</v>
      </c>
      <c r="AJ334" s="15" t="s">
        <v>9</v>
      </c>
      <c r="AK334" s="15" t="s">
        <v>9</v>
      </c>
      <c r="AL334" s="25" t="s">
        <v>9</v>
      </c>
      <c r="AM334" s="23">
        <v>3</v>
      </c>
      <c r="AN334" s="20" t="s">
        <v>9</v>
      </c>
      <c r="AO334" s="20" t="s">
        <v>9</v>
      </c>
      <c r="AP334" s="15" t="s">
        <v>9</v>
      </c>
      <c r="AQ334" s="15" t="s">
        <v>9</v>
      </c>
      <c r="AR334" s="15" t="s">
        <v>9</v>
      </c>
      <c r="AS334" s="26" t="s">
        <v>9</v>
      </c>
      <c r="AT334" s="26" t="s">
        <v>9</v>
      </c>
      <c r="AU334" s="26" t="s">
        <v>9</v>
      </c>
      <c r="AV334" s="26" t="s">
        <v>9</v>
      </c>
      <c r="AW334" s="26" t="s">
        <v>9</v>
      </c>
      <c r="AX334" s="26" t="s">
        <v>9</v>
      </c>
      <c r="AY334" s="26" t="s">
        <v>9</v>
      </c>
      <c r="AZ334" s="26" t="s">
        <v>9</v>
      </c>
      <c r="BA334" s="23">
        <v>3</v>
      </c>
      <c r="BB334" s="24" t="s">
        <v>9</v>
      </c>
    </row>
    <row r="335" spans="1:54" x14ac:dyDescent="0.2">
      <c r="A335" s="19">
        <v>1637</v>
      </c>
      <c r="B335" s="27" t="s">
        <v>9</v>
      </c>
      <c r="C335" s="27" t="s">
        <v>9</v>
      </c>
      <c r="D335" s="27" t="s">
        <v>9</v>
      </c>
      <c r="E335" s="27" t="s">
        <v>9</v>
      </c>
      <c r="F335" s="27" t="s">
        <v>9</v>
      </c>
      <c r="G335" s="27" t="s">
        <v>9</v>
      </c>
      <c r="H335" s="27" t="s">
        <v>9</v>
      </c>
      <c r="I335" s="27" t="s">
        <v>9</v>
      </c>
      <c r="J335" s="27" t="s">
        <v>9</v>
      </c>
      <c r="K335" s="27" t="s">
        <v>9</v>
      </c>
      <c r="L335" s="27" t="s">
        <v>9</v>
      </c>
      <c r="M335" s="27" t="s">
        <v>9</v>
      </c>
      <c r="N335" s="27" t="s">
        <v>9</v>
      </c>
      <c r="O335" s="27" t="s">
        <v>9</v>
      </c>
      <c r="P335" s="27" t="s">
        <v>9</v>
      </c>
      <c r="Q335" s="27" t="s">
        <v>9</v>
      </c>
      <c r="R335" s="27" t="s">
        <v>9</v>
      </c>
      <c r="S335" s="27" t="s">
        <v>9</v>
      </c>
      <c r="T335" s="27" t="s">
        <v>9</v>
      </c>
      <c r="U335" s="27" t="s">
        <v>9</v>
      </c>
      <c r="V335" s="20" t="s">
        <v>1</v>
      </c>
      <c r="W335" s="20">
        <v>5</v>
      </c>
      <c r="X335" s="20">
        <v>3</v>
      </c>
      <c r="Y335" s="20">
        <v>2</v>
      </c>
      <c r="Z335" s="20">
        <v>4</v>
      </c>
      <c r="AA335" s="23">
        <v>3</v>
      </c>
      <c r="AB335" s="15" t="s">
        <v>9</v>
      </c>
      <c r="AC335" s="15" t="s">
        <v>9</v>
      </c>
      <c r="AD335" s="15" t="s">
        <v>9</v>
      </c>
      <c r="AE335" s="15" t="s">
        <v>9</v>
      </c>
      <c r="AF335" s="20" t="s">
        <v>9</v>
      </c>
      <c r="AG335" s="20" t="s">
        <v>9</v>
      </c>
      <c r="AH335" s="24" t="s">
        <v>9</v>
      </c>
      <c r="AI335" s="23">
        <v>3</v>
      </c>
      <c r="AJ335" s="15" t="s">
        <v>9</v>
      </c>
      <c r="AK335" s="15" t="s">
        <v>9</v>
      </c>
      <c r="AL335" s="25" t="s">
        <v>9</v>
      </c>
      <c r="AM335" s="23">
        <v>3</v>
      </c>
      <c r="AN335" s="20" t="s">
        <v>9</v>
      </c>
      <c r="AO335" s="20" t="s">
        <v>9</v>
      </c>
      <c r="AP335" s="15" t="s">
        <v>9</v>
      </c>
      <c r="AQ335" s="15" t="s">
        <v>9</v>
      </c>
      <c r="AR335" s="15" t="s">
        <v>9</v>
      </c>
      <c r="AS335" s="26" t="s">
        <v>9</v>
      </c>
      <c r="AT335" s="26" t="s">
        <v>9</v>
      </c>
      <c r="AU335" s="26" t="s">
        <v>9</v>
      </c>
      <c r="AV335" s="26" t="s">
        <v>9</v>
      </c>
      <c r="AW335" s="26" t="s">
        <v>9</v>
      </c>
      <c r="AX335" s="26" t="s">
        <v>9</v>
      </c>
      <c r="AY335" s="26" t="s">
        <v>9</v>
      </c>
      <c r="AZ335" s="26" t="s">
        <v>9</v>
      </c>
      <c r="BA335" s="23">
        <v>3</v>
      </c>
      <c r="BB335" s="24" t="s">
        <v>9</v>
      </c>
    </row>
    <row r="336" spans="1:54" x14ac:dyDescent="0.2">
      <c r="A336" s="19">
        <v>1665</v>
      </c>
      <c r="B336" s="27" t="s">
        <v>9</v>
      </c>
      <c r="C336" s="27" t="s">
        <v>9</v>
      </c>
      <c r="D336" s="27" t="s">
        <v>9</v>
      </c>
      <c r="E336" s="27" t="s">
        <v>9</v>
      </c>
      <c r="F336" s="27" t="s">
        <v>9</v>
      </c>
      <c r="G336" s="27" t="s">
        <v>9</v>
      </c>
      <c r="H336" s="27" t="s">
        <v>9</v>
      </c>
      <c r="I336" s="27" t="s">
        <v>9</v>
      </c>
      <c r="J336" s="27" t="s">
        <v>9</v>
      </c>
      <c r="K336" s="27" t="s">
        <v>9</v>
      </c>
      <c r="L336" s="27" t="s">
        <v>9</v>
      </c>
      <c r="M336" s="27" t="s">
        <v>9</v>
      </c>
      <c r="N336" s="27" t="s">
        <v>9</v>
      </c>
      <c r="O336" s="27" t="s">
        <v>9</v>
      </c>
      <c r="P336" s="27" t="s">
        <v>9</v>
      </c>
      <c r="Q336" s="27" t="s">
        <v>9</v>
      </c>
      <c r="R336" s="27" t="s">
        <v>9</v>
      </c>
      <c r="S336" s="27" t="s">
        <v>9</v>
      </c>
      <c r="T336" s="27" t="s">
        <v>9</v>
      </c>
      <c r="U336" s="27" t="s">
        <v>9</v>
      </c>
      <c r="V336" s="20" t="s">
        <v>1</v>
      </c>
      <c r="W336" s="20">
        <v>5</v>
      </c>
      <c r="X336" s="20">
        <v>3</v>
      </c>
      <c r="Y336" s="20">
        <v>2</v>
      </c>
      <c r="Z336" s="20">
        <v>4</v>
      </c>
      <c r="AA336" s="23">
        <v>3</v>
      </c>
      <c r="AB336" s="15" t="s">
        <v>9</v>
      </c>
      <c r="AC336" s="15" t="s">
        <v>9</v>
      </c>
      <c r="AD336" s="15" t="s">
        <v>9</v>
      </c>
      <c r="AE336" s="15" t="s">
        <v>9</v>
      </c>
      <c r="AF336" s="20" t="s">
        <v>9</v>
      </c>
      <c r="AG336" s="20" t="s">
        <v>9</v>
      </c>
      <c r="AH336" s="24" t="s">
        <v>9</v>
      </c>
      <c r="AI336" s="23">
        <v>3</v>
      </c>
      <c r="AJ336" s="15" t="s">
        <v>9</v>
      </c>
      <c r="AK336" s="15" t="s">
        <v>9</v>
      </c>
      <c r="AL336" s="25" t="s">
        <v>9</v>
      </c>
      <c r="AM336" s="23">
        <v>3</v>
      </c>
      <c r="AN336" s="20" t="s">
        <v>9</v>
      </c>
      <c r="AO336" s="20" t="s">
        <v>9</v>
      </c>
      <c r="AP336" s="15" t="s">
        <v>9</v>
      </c>
      <c r="AQ336" s="15" t="s">
        <v>9</v>
      </c>
      <c r="AR336" s="15" t="s">
        <v>9</v>
      </c>
      <c r="AS336" s="26" t="s">
        <v>9</v>
      </c>
      <c r="AT336" s="26" t="s">
        <v>9</v>
      </c>
      <c r="AU336" s="26" t="s">
        <v>9</v>
      </c>
      <c r="AV336" s="26" t="s">
        <v>9</v>
      </c>
      <c r="AW336" s="26" t="s">
        <v>9</v>
      </c>
      <c r="AX336" s="26" t="s">
        <v>9</v>
      </c>
      <c r="AY336" s="26" t="s">
        <v>9</v>
      </c>
      <c r="AZ336" s="26" t="s">
        <v>9</v>
      </c>
      <c r="BA336" s="23">
        <v>3</v>
      </c>
      <c r="BB336" s="24" t="s">
        <v>9</v>
      </c>
    </row>
    <row r="337" spans="1:54" x14ac:dyDescent="0.2">
      <c r="A337" s="19">
        <v>1781</v>
      </c>
      <c r="B337" s="27" t="s">
        <v>9</v>
      </c>
      <c r="C337" s="27" t="s">
        <v>9</v>
      </c>
      <c r="D337" s="27" t="s">
        <v>9</v>
      </c>
      <c r="E337" s="27" t="s">
        <v>9</v>
      </c>
      <c r="F337" s="27" t="s">
        <v>9</v>
      </c>
      <c r="G337" s="27" t="s">
        <v>9</v>
      </c>
      <c r="H337" s="27" t="s">
        <v>9</v>
      </c>
      <c r="I337" s="27" t="s">
        <v>9</v>
      </c>
      <c r="J337" s="27" t="s">
        <v>9</v>
      </c>
      <c r="K337" s="27" t="s">
        <v>9</v>
      </c>
      <c r="L337" s="27" t="s">
        <v>9</v>
      </c>
      <c r="M337" s="27" t="s">
        <v>9</v>
      </c>
      <c r="N337" s="27" t="s">
        <v>9</v>
      </c>
      <c r="O337" s="27" t="s">
        <v>9</v>
      </c>
      <c r="P337" s="27" t="s">
        <v>9</v>
      </c>
      <c r="Q337" s="27" t="s">
        <v>9</v>
      </c>
      <c r="R337" s="27" t="s">
        <v>9</v>
      </c>
      <c r="S337" s="27" t="s">
        <v>9</v>
      </c>
      <c r="T337" s="27" t="s">
        <v>9</v>
      </c>
      <c r="U337" s="27" t="s">
        <v>9</v>
      </c>
      <c r="V337" s="20" t="s">
        <v>1</v>
      </c>
      <c r="W337" s="20">
        <v>5</v>
      </c>
      <c r="X337" s="20">
        <v>3</v>
      </c>
      <c r="Y337" s="20">
        <v>2</v>
      </c>
      <c r="Z337" s="20">
        <v>4</v>
      </c>
      <c r="AA337" s="23">
        <v>3</v>
      </c>
      <c r="AB337" s="15" t="s">
        <v>9</v>
      </c>
      <c r="AC337" s="15" t="s">
        <v>9</v>
      </c>
      <c r="AD337" s="15" t="s">
        <v>9</v>
      </c>
      <c r="AE337" s="15" t="s">
        <v>9</v>
      </c>
      <c r="AF337" s="20" t="s">
        <v>9</v>
      </c>
      <c r="AG337" s="20" t="s">
        <v>9</v>
      </c>
      <c r="AH337" s="24" t="s">
        <v>9</v>
      </c>
      <c r="AI337" s="23">
        <v>3</v>
      </c>
      <c r="AJ337" s="15" t="s">
        <v>9</v>
      </c>
      <c r="AK337" s="15" t="s">
        <v>9</v>
      </c>
      <c r="AL337" s="25" t="s">
        <v>9</v>
      </c>
      <c r="AM337" s="23">
        <v>3</v>
      </c>
      <c r="AN337" s="20" t="s">
        <v>9</v>
      </c>
      <c r="AO337" s="20" t="s">
        <v>9</v>
      </c>
      <c r="AP337" s="15" t="s">
        <v>9</v>
      </c>
      <c r="AQ337" s="15" t="s">
        <v>9</v>
      </c>
      <c r="AR337" s="15" t="s">
        <v>9</v>
      </c>
      <c r="AS337" s="26" t="s">
        <v>9</v>
      </c>
      <c r="AT337" s="26" t="s">
        <v>9</v>
      </c>
      <c r="AU337" s="26" t="s">
        <v>9</v>
      </c>
      <c r="AV337" s="26" t="s">
        <v>9</v>
      </c>
      <c r="AW337" s="26" t="s">
        <v>9</v>
      </c>
      <c r="AX337" s="26" t="s">
        <v>9</v>
      </c>
      <c r="AY337" s="26" t="s">
        <v>9</v>
      </c>
      <c r="AZ337" s="26" t="s">
        <v>9</v>
      </c>
      <c r="BA337" s="23">
        <v>3</v>
      </c>
      <c r="BB337" s="24" t="s">
        <v>9</v>
      </c>
    </row>
    <row r="338" spans="1:54" x14ac:dyDescent="0.2">
      <c r="A338" s="19">
        <v>1784</v>
      </c>
      <c r="B338" s="27" t="s">
        <v>9</v>
      </c>
      <c r="C338" s="27" t="s">
        <v>9</v>
      </c>
      <c r="D338" s="27" t="s">
        <v>9</v>
      </c>
      <c r="E338" s="27" t="s">
        <v>9</v>
      </c>
      <c r="F338" s="27" t="s">
        <v>9</v>
      </c>
      <c r="G338" s="27" t="s">
        <v>9</v>
      </c>
      <c r="H338" s="27" t="s">
        <v>9</v>
      </c>
      <c r="I338" s="27" t="s">
        <v>9</v>
      </c>
      <c r="J338" s="27" t="s">
        <v>9</v>
      </c>
      <c r="K338" s="27" t="s">
        <v>9</v>
      </c>
      <c r="L338" s="27" t="s">
        <v>9</v>
      </c>
      <c r="M338" s="27" t="s">
        <v>9</v>
      </c>
      <c r="N338" s="27" t="s">
        <v>9</v>
      </c>
      <c r="O338" s="27" t="s">
        <v>9</v>
      </c>
      <c r="P338" s="27" t="s">
        <v>9</v>
      </c>
      <c r="Q338" s="27" t="s">
        <v>9</v>
      </c>
      <c r="R338" s="27" t="s">
        <v>9</v>
      </c>
      <c r="S338" s="27" t="s">
        <v>9</v>
      </c>
      <c r="T338" s="27" t="s">
        <v>9</v>
      </c>
      <c r="U338" s="27" t="s">
        <v>9</v>
      </c>
      <c r="V338" s="20" t="s">
        <v>1</v>
      </c>
      <c r="W338" s="20">
        <v>5</v>
      </c>
      <c r="X338" s="20">
        <v>3</v>
      </c>
      <c r="Y338" s="20">
        <v>2</v>
      </c>
      <c r="Z338" s="20">
        <v>4</v>
      </c>
      <c r="AA338" s="23">
        <v>3</v>
      </c>
      <c r="AB338" s="15" t="s">
        <v>9</v>
      </c>
      <c r="AC338" s="15" t="s">
        <v>9</v>
      </c>
      <c r="AD338" s="15" t="s">
        <v>9</v>
      </c>
      <c r="AE338" s="15" t="s">
        <v>9</v>
      </c>
      <c r="AF338" s="20" t="s">
        <v>9</v>
      </c>
      <c r="AG338" s="20" t="s">
        <v>9</v>
      </c>
      <c r="AH338" s="24" t="s">
        <v>9</v>
      </c>
      <c r="AI338" s="23">
        <v>3</v>
      </c>
      <c r="AJ338" s="15" t="s">
        <v>9</v>
      </c>
      <c r="AK338" s="15" t="s">
        <v>9</v>
      </c>
      <c r="AL338" s="25" t="s">
        <v>9</v>
      </c>
      <c r="AM338" s="23">
        <v>3</v>
      </c>
      <c r="AN338" s="20" t="s">
        <v>9</v>
      </c>
      <c r="AO338" s="20" t="s">
        <v>9</v>
      </c>
      <c r="AP338" s="15" t="s">
        <v>9</v>
      </c>
      <c r="AQ338" s="15" t="s">
        <v>9</v>
      </c>
      <c r="AR338" s="15" t="s">
        <v>9</v>
      </c>
      <c r="AS338" s="26" t="s">
        <v>9</v>
      </c>
      <c r="AT338" s="26" t="s">
        <v>9</v>
      </c>
      <c r="AU338" s="26" t="s">
        <v>9</v>
      </c>
      <c r="AV338" s="26" t="s">
        <v>9</v>
      </c>
      <c r="AW338" s="26" t="s">
        <v>9</v>
      </c>
      <c r="AX338" s="26" t="s">
        <v>9</v>
      </c>
      <c r="AY338" s="26" t="s">
        <v>9</v>
      </c>
      <c r="AZ338" s="26" t="s">
        <v>9</v>
      </c>
      <c r="BA338" s="23">
        <v>3</v>
      </c>
      <c r="BB338" s="24" t="s">
        <v>9</v>
      </c>
    </row>
    <row r="339" spans="1:54" x14ac:dyDescent="0.2">
      <c r="A339" s="19">
        <v>1797</v>
      </c>
      <c r="B339" s="27" t="s">
        <v>9</v>
      </c>
      <c r="C339" s="27" t="s">
        <v>9</v>
      </c>
      <c r="D339" s="27" t="s">
        <v>9</v>
      </c>
      <c r="E339" s="27" t="s">
        <v>9</v>
      </c>
      <c r="F339" s="27" t="s">
        <v>9</v>
      </c>
      <c r="G339" s="27" t="s">
        <v>9</v>
      </c>
      <c r="H339" s="27" t="s">
        <v>9</v>
      </c>
      <c r="I339" s="27" t="s">
        <v>9</v>
      </c>
      <c r="J339" s="27" t="s">
        <v>9</v>
      </c>
      <c r="K339" s="27" t="s">
        <v>9</v>
      </c>
      <c r="L339" s="27" t="s">
        <v>9</v>
      </c>
      <c r="M339" s="27" t="s">
        <v>9</v>
      </c>
      <c r="N339" s="27" t="s">
        <v>9</v>
      </c>
      <c r="O339" s="27" t="s">
        <v>9</v>
      </c>
      <c r="P339" s="27" t="s">
        <v>9</v>
      </c>
      <c r="Q339" s="27" t="s">
        <v>9</v>
      </c>
      <c r="R339" s="27" t="s">
        <v>9</v>
      </c>
      <c r="S339" s="27" t="s">
        <v>9</v>
      </c>
      <c r="T339" s="27" t="s">
        <v>9</v>
      </c>
      <c r="U339" s="27" t="s">
        <v>9</v>
      </c>
      <c r="V339" s="20" t="s">
        <v>1</v>
      </c>
      <c r="W339" s="20">
        <v>5</v>
      </c>
      <c r="X339" s="20">
        <v>3</v>
      </c>
      <c r="Y339" s="20">
        <v>2</v>
      </c>
      <c r="Z339" s="20">
        <v>4</v>
      </c>
      <c r="AA339" s="23">
        <v>3</v>
      </c>
      <c r="AB339" s="15" t="s">
        <v>9</v>
      </c>
      <c r="AC339" s="15" t="s">
        <v>9</v>
      </c>
      <c r="AD339" s="15" t="s">
        <v>9</v>
      </c>
      <c r="AE339" s="15" t="s">
        <v>9</v>
      </c>
      <c r="AF339" s="20" t="s">
        <v>9</v>
      </c>
      <c r="AG339" s="20" t="s">
        <v>9</v>
      </c>
      <c r="AH339" s="24" t="s">
        <v>9</v>
      </c>
      <c r="AI339" s="23">
        <v>3</v>
      </c>
      <c r="AJ339" s="15" t="s">
        <v>9</v>
      </c>
      <c r="AK339" s="15" t="s">
        <v>9</v>
      </c>
      <c r="AL339" s="25" t="s">
        <v>9</v>
      </c>
      <c r="AM339" s="23">
        <v>3</v>
      </c>
      <c r="AN339" s="20" t="s">
        <v>9</v>
      </c>
      <c r="AO339" s="20" t="s">
        <v>9</v>
      </c>
      <c r="AP339" s="15" t="s">
        <v>9</v>
      </c>
      <c r="AQ339" s="15" t="s">
        <v>9</v>
      </c>
      <c r="AR339" s="15" t="s">
        <v>9</v>
      </c>
      <c r="AS339" s="26" t="s">
        <v>9</v>
      </c>
      <c r="AT339" s="26" t="s">
        <v>9</v>
      </c>
      <c r="AU339" s="26" t="s">
        <v>9</v>
      </c>
      <c r="AV339" s="26" t="s">
        <v>9</v>
      </c>
      <c r="AW339" s="26" t="s">
        <v>9</v>
      </c>
      <c r="AX339" s="26" t="s">
        <v>9</v>
      </c>
      <c r="AY339" s="26" t="s">
        <v>9</v>
      </c>
      <c r="AZ339" s="26" t="s">
        <v>9</v>
      </c>
      <c r="BA339" s="23">
        <v>3</v>
      </c>
      <c r="BB339" s="24" t="s">
        <v>9</v>
      </c>
    </row>
    <row r="340" spans="1:54" x14ac:dyDescent="0.2">
      <c r="A340" s="19">
        <v>1800</v>
      </c>
      <c r="B340" s="27" t="s">
        <v>9</v>
      </c>
      <c r="C340" s="27" t="s">
        <v>9</v>
      </c>
      <c r="D340" s="27" t="s">
        <v>9</v>
      </c>
      <c r="E340" s="27" t="s">
        <v>9</v>
      </c>
      <c r="F340" s="27" t="s">
        <v>9</v>
      </c>
      <c r="G340" s="27" t="s">
        <v>9</v>
      </c>
      <c r="H340" s="27" t="s">
        <v>9</v>
      </c>
      <c r="I340" s="27" t="s">
        <v>9</v>
      </c>
      <c r="J340" s="27" t="s">
        <v>9</v>
      </c>
      <c r="K340" s="27" t="s">
        <v>9</v>
      </c>
      <c r="L340" s="27" t="s">
        <v>9</v>
      </c>
      <c r="M340" s="27" t="s">
        <v>9</v>
      </c>
      <c r="N340" s="27" t="s">
        <v>9</v>
      </c>
      <c r="O340" s="27" t="s">
        <v>9</v>
      </c>
      <c r="P340" s="27" t="s">
        <v>9</v>
      </c>
      <c r="Q340" s="27" t="s">
        <v>9</v>
      </c>
      <c r="R340" s="27" t="s">
        <v>9</v>
      </c>
      <c r="S340" s="27" t="s">
        <v>9</v>
      </c>
      <c r="T340" s="27" t="s">
        <v>9</v>
      </c>
      <c r="U340" s="27" t="s">
        <v>9</v>
      </c>
      <c r="V340" s="20" t="s">
        <v>1</v>
      </c>
      <c r="W340" s="20">
        <v>5</v>
      </c>
      <c r="X340" s="20">
        <v>3</v>
      </c>
      <c r="Y340" s="20">
        <v>2</v>
      </c>
      <c r="Z340" s="20">
        <v>4</v>
      </c>
      <c r="AA340" s="23">
        <v>3</v>
      </c>
      <c r="AB340" s="15" t="s">
        <v>9</v>
      </c>
      <c r="AC340" s="15" t="s">
        <v>9</v>
      </c>
      <c r="AD340" s="15" t="s">
        <v>9</v>
      </c>
      <c r="AE340" s="15" t="s">
        <v>9</v>
      </c>
      <c r="AF340" s="20" t="s">
        <v>9</v>
      </c>
      <c r="AG340" s="20" t="s">
        <v>9</v>
      </c>
      <c r="AH340" s="24" t="s">
        <v>9</v>
      </c>
      <c r="AI340" s="23">
        <v>3</v>
      </c>
      <c r="AJ340" s="15" t="s">
        <v>9</v>
      </c>
      <c r="AK340" s="15" t="s">
        <v>9</v>
      </c>
      <c r="AL340" s="25" t="s">
        <v>9</v>
      </c>
      <c r="AM340" s="23">
        <v>3</v>
      </c>
      <c r="AN340" s="20" t="s">
        <v>9</v>
      </c>
      <c r="AO340" s="20" t="s">
        <v>9</v>
      </c>
      <c r="AP340" s="15" t="s">
        <v>9</v>
      </c>
      <c r="AQ340" s="15" t="s">
        <v>9</v>
      </c>
      <c r="AR340" s="15" t="s">
        <v>9</v>
      </c>
      <c r="AS340" s="26" t="s">
        <v>9</v>
      </c>
      <c r="AT340" s="26" t="s">
        <v>9</v>
      </c>
      <c r="AU340" s="26" t="s">
        <v>9</v>
      </c>
      <c r="AV340" s="26" t="s">
        <v>9</v>
      </c>
      <c r="AW340" s="26" t="s">
        <v>9</v>
      </c>
      <c r="AX340" s="26" t="s">
        <v>9</v>
      </c>
      <c r="AY340" s="26" t="s">
        <v>9</v>
      </c>
      <c r="AZ340" s="26" t="s">
        <v>9</v>
      </c>
      <c r="BA340" s="23">
        <v>3</v>
      </c>
      <c r="BB340" s="24" t="s">
        <v>9</v>
      </c>
    </row>
    <row r="341" spans="1:54" x14ac:dyDescent="0.2">
      <c r="A341" s="19">
        <v>1854</v>
      </c>
      <c r="B341" s="27" t="s">
        <v>9</v>
      </c>
      <c r="C341" s="27" t="s">
        <v>9</v>
      </c>
      <c r="D341" s="27" t="s">
        <v>9</v>
      </c>
      <c r="E341" s="27" t="s">
        <v>9</v>
      </c>
      <c r="F341" s="27" t="s">
        <v>9</v>
      </c>
      <c r="G341" s="27" t="s">
        <v>9</v>
      </c>
      <c r="H341" s="27" t="s">
        <v>9</v>
      </c>
      <c r="I341" s="27" t="s">
        <v>9</v>
      </c>
      <c r="J341" s="27" t="s">
        <v>9</v>
      </c>
      <c r="K341" s="27" t="s">
        <v>9</v>
      </c>
      <c r="L341" s="27" t="s">
        <v>9</v>
      </c>
      <c r="M341" s="27" t="s">
        <v>9</v>
      </c>
      <c r="N341" s="27" t="s">
        <v>9</v>
      </c>
      <c r="O341" s="27" t="s">
        <v>9</v>
      </c>
      <c r="P341" s="27" t="s">
        <v>9</v>
      </c>
      <c r="Q341" s="27" t="s">
        <v>9</v>
      </c>
      <c r="R341" s="27" t="s">
        <v>9</v>
      </c>
      <c r="S341" s="27" t="s">
        <v>9</v>
      </c>
      <c r="T341" s="27" t="s">
        <v>9</v>
      </c>
      <c r="U341" s="27" t="s">
        <v>9</v>
      </c>
      <c r="V341" s="20" t="s">
        <v>1</v>
      </c>
      <c r="W341" s="20">
        <v>5</v>
      </c>
      <c r="X341" s="20">
        <v>3</v>
      </c>
      <c r="Y341" s="20">
        <v>2</v>
      </c>
      <c r="Z341" s="20">
        <v>4</v>
      </c>
      <c r="AA341" s="23">
        <v>3</v>
      </c>
      <c r="AB341" s="15" t="s">
        <v>9</v>
      </c>
      <c r="AC341" s="15" t="s">
        <v>9</v>
      </c>
      <c r="AD341" s="15" t="s">
        <v>9</v>
      </c>
      <c r="AE341" s="15" t="s">
        <v>9</v>
      </c>
      <c r="AF341" s="20" t="s">
        <v>9</v>
      </c>
      <c r="AG341" s="20" t="s">
        <v>9</v>
      </c>
      <c r="AH341" s="24" t="s">
        <v>9</v>
      </c>
      <c r="AI341" s="23">
        <v>3</v>
      </c>
      <c r="AJ341" s="15" t="s">
        <v>9</v>
      </c>
      <c r="AK341" s="15" t="s">
        <v>9</v>
      </c>
      <c r="AL341" s="25" t="s">
        <v>9</v>
      </c>
      <c r="AM341" s="23">
        <v>3</v>
      </c>
      <c r="AN341" s="20" t="s">
        <v>9</v>
      </c>
      <c r="AO341" s="20" t="s">
        <v>9</v>
      </c>
      <c r="AP341" s="15" t="s">
        <v>9</v>
      </c>
      <c r="AQ341" s="15" t="s">
        <v>9</v>
      </c>
      <c r="AR341" s="15" t="s">
        <v>9</v>
      </c>
      <c r="AS341" s="26" t="s">
        <v>9</v>
      </c>
      <c r="AT341" s="26" t="s">
        <v>9</v>
      </c>
      <c r="AU341" s="26" t="s">
        <v>9</v>
      </c>
      <c r="AV341" s="26" t="s">
        <v>9</v>
      </c>
      <c r="AW341" s="26" t="s">
        <v>9</v>
      </c>
      <c r="AX341" s="26" t="s">
        <v>9</v>
      </c>
      <c r="AY341" s="26" t="s">
        <v>9</v>
      </c>
      <c r="AZ341" s="26" t="s">
        <v>9</v>
      </c>
      <c r="BA341" s="23">
        <v>3</v>
      </c>
      <c r="BB341" s="24" t="s">
        <v>9</v>
      </c>
    </row>
    <row r="342" spans="1:54" x14ac:dyDescent="0.2">
      <c r="A342" s="19">
        <v>1856</v>
      </c>
      <c r="B342" s="27" t="s">
        <v>9</v>
      </c>
      <c r="C342" s="27" t="s">
        <v>9</v>
      </c>
      <c r="D342" s="27" t="s">
        <v>9</v>
      </c>
      <c r="E342" s="27" t="s">
        <v>9</v>
      </c>
      <c r="F342" s="27" t="s">
        <v>9</v>
      </c>
      <c r="G342" s="27" t="s">
        <v>9</v>
      </c>
      <c r="H342" s="27" t="s">
        <v>9</v>
      </c>
      <c r="I342" s="27" t="s">
        <v>9</v>
      </c>
      <c r="J342" s="27" t="s">
        <v>9</v>
      </c>
      <c r="K342" s="27" t="s">
        <v>9</v>
      </c>
      <c r="L342" s="27" t="s">
        <v>9</v>
      </c>
      <c r="M342" s="27" t="s">
        <v>9</v>
      </c>
      <c r="N342" s="27" t="s">
        <v>9</v>
      </c>
      <c r="O342" s="27" t="s">
        <v>9</v>
      </c>
      <c r="P342" s="27" t="s">
        <v>9</v>
      </c>
      <c r="Q342" s="27" t="s">
        <v>9</v>
      </c>
      <c r="R342" s="27" t="s">
        <v>9</v>
      </c>
      <c r="S342" s="27" t="s">
        <v>9</v>
      </c>
      <c r="T342" s="27" t="s">
        <v>9</v>
      </c>
      <c r="U342" s="27" t="s">
        <v>9</v>
      </c>
      <c r="V342" s="20" t="s">
        <v>1</v>
      </c>
      <c r="W342" s="20">
        <v>5</v>
      </c>
      <c r="X342" s="20">
        <v>3</v>
      </c>
      <c r="Y342" s="20">
        <v>2</v>
      </c>
      <c r="Z342" s="20">
        <v>4</v>
      </c>
      <c r="AA342" s="23">
        <v>3</v>
      </c>
      <c r="AB342" s="15" t="s">
        <v>9</v>
      </c>
      <c r="AC342" s="15" t="s">
        <v>9</v>
      </c>
      <c r="AD342" s="15" t="s">
        <v>9</v>
      </c>
      <c r="AE342" s="15" t="s">
        <v>9</v>
      </c>
      <c r="AF342" s="20" t="s">
        <v>9</v>
      </c>
      <c r="AG342" s="20" t="s">
        <v>9</v>
      </c>
      <c r="AH342" s="24" t="s">
        <v>9</v>
      </c>
      <c r="AI342" s="23">
        <v>3</v>
      </c>
      <c r="AJ342" s="15" t="s">
        <v>9</v>
      </c>
      <c r="AK342" s="15" t="s">
        <v>9</v>
      </c>
      <c r="AL342" s="25" t="s">
        <v>9</v>
      </c>
      <c r="AM342" s="23">
        <v>3</v>
      </c>
      <c r="AN342" s="20" t="s">
        <v>9</v>
      </c>
      <c r="AO342" s="20" t="s">
        <v>9</v>
      </c>
      <c r="AP342" s="15" t="s">
        <v>9</v>
      </c>
      <c r="AQ342" s="15" t="s">
        <v>9</v>
      </c>
      <c r="AR342" s="15" t="s">
        <v>9</v>
      </c>
      <c r="AS342" s="26" t="s">
        <v>9</v>
      </c>
      <c r="AT342" s="26" t="s">
        <v>9</v>
      </c>
      <c r="AU342" s="26" t="s">
        <v>9</v>
      </c>
      <c r="AV342" s="26" t="s">
        <v>9</v>
      </c>
      <c r="AW342" s="26" t="s">
        <v>9</v>
      </c>
      <c r="AX342" s="26" t="s">
        <v>9</v>
      </c>
      <c r="AY342" s="26" t="s">
        <v>9</v>
      </c>
      <c r="AZ342" s="26" t="s">
        <v>9</v>
      </c>
      <c r="BA342" s="23">
        <v>3</v>
      </c>
      <c r="BB342" s="24" t="s">
        <v>9</v>
      </c>
    </row>
    <row r="343" spans="1:54" x14ac:dyDescent="0.2">
      <c r="A343" s="19">
        <v>1860</v>
      </c>
      <c r="B343" s="27" t="s">
        <v>9</v>
      </c>
      <c r="C343" s="27" t="s">
        <v>9</v>
      </c>
      <c r="D343" s="27" t="s">
        <v>9</v>
      </c>
      <c r="E343" s="27" t="s">
        <v>9</v>
      </c>
      <c r="F343" s="27" t="s">
        <v>9</v>
      </c>
      <c r="G343" s="27" t="s">
        <v>9</v>
      </c>
      <c r="H343" s="27" t="s">
        <v>9</v>
      </c>
      <c r="I343" s="27" t="s">
        <v>9</v>
      </c>
      <c r="J343" s="27" t="s">
        <v>9</v>
      </c>
      <c r="K343" s="27" t="s">
        <v>9</v>
      </c>
      <c r="L343" s="27" t="s">
        <v>9</v>
      </c>
      <c r="M343" s="27" t="s">
        <v>9</v>
      </c>
      <c r="N343" s="27" t="s">
        <v>9</v>
      </c>
      <c r="O343" s="27" t="s">
        <v>9</v>
      </c>
      <c r="P343" s="27" t="s">
        <v>9</v>
      </c>
      <c r="Q343" s="27" t="s">
        <v>9</v>
      </c>
      <c r="R343" s="27" t="s">
        <v>9</v>
      </c>
      <c r="S343" s="27" t="s">
        <v>9</v>
      </c>
      <c r="T343" s="27" t="s">
        <v>9</v>
      </c>
      <c r="U343" s="27" t="s">
        <v>9</v>
      </c>
      <c r="V343" s="20" t="s">
        <v>1</v>
      </c>
      <c r="W343" s="20">
        <v>5</v>
      </c>
      <c r="X343" s="20">
        <v>3</v>
      </c>
      <c r="Y343" s="20">
        <v>2</v>
      </c>
      <c r="Z343" s="20">
        <v>4</v>
      </c>
      <c r="AA343" s="23">
        <v>3</v>
      </c>
      <c r="AB343" s="15" t="s">
        <v>9</v>
      </c>
      <c r="AC343" s="15" t="s">
        <v>9</v>
      </c>
      <c r="AD343" s="15" t="s">
        <v>9</v>
      </c>
      <c r="AE343" s="15" t="s">
        <v>9</v>
      </c>
      <c r="AF343" s="20" t="s">
        <v>9</v>
      </c>
      <c r="AG343" s="20" t="s">
        <v>9</v>
      </c>
      <c r="AH343" s="24" t="s">
        <v>9</v>
      </c>
      <c r="AI343" s="23">
        <v>3</v>
      </c>
      <c r="AJ343" s="15" t="s">
        <v>9</v>
      </c>
      <c r="AK343" s="15" t="s">
        <v>9</v>
      </c>
      <c r="AL343" s="25" t="s">
        <v>9</v>
      </c>
      <c r="AM343" s="23">
        <v>3</v>
      </c>
      <c r="AN343" s="20" t="s">
        <v>9</v>
      </c>
      <c r="AO343" s="20" t="s">
        <v>9</v>
      </c>
      <c r="AP343" s="15" t="s">
        <v>9</v>
      </c>
      <c r="AQ343" s="15" t="s">
        <v>9</v>
      </c>
      <c r="AR343" s="15" t="s">
        <v>9</v>
      </c>
      <c r="AS343" s="26" t="s">
        <v>9</v>
      </c>
      <c r="AT343" s="26" t="s">
        <v>9</v>
      </c>
      <c r="AU343" s="26" t="s">
        <v>9</v>
      </c>
      <c r="AV343" s="26" t="s">
        <v>9</v>
      </c>
      <c r="AW343" s="26" t="s">
        <v>9</v>
      </c>
      <c r="AX343" s="26" t="s">
        <v>9</v>
      </c>
      <c r="AY343" s="26" t="s">
        <v>9</v>
      </c>
      <c r="AZ343" s="26" t="s">
        <v>9</v>
      </c>
      <c r="BA343" s="23">
        <v>3</v>
      </c>
      <c r="BB343" s="24" t="s">
        <v>9</v>
      </c>
    </row>
    <row r="344" spans="1:54" x14ac:dyDescent="0.2">
      <c r="A344" s="19">
        <v>1862</v>
      </c>
      <c r="B344" s="27" t="s">
        <v>9</v>
      </c>
      <c r="C344" s="27" t="s">
        <v>9</v>
      </c>
      <c r="D344" s="27" t="s">
        <v>9</v>
      </c>
      <c r="E344" s="27" t="s">
        <v>9</v>
      </c>
      <c r="F344" s="27" t="s">
        <v>9</v>
      </c>
      <c r="G344" s="27" t="s">
        <v>9</v>
      </c>
      <c r="H344" s="27" t="s">
        <v>9</v>
      </c>
      <c r="I344" s="27" t="s">
        <v>9</v>
      </c>
      <c r="J344" s="27" t="s">
        <v>9</v>
      </c>
      <c r="K344" s="27" t="s">
        <v>9</v>
      </c>
      <c r="L344" s="27" t="s">
        <v>9</v>
      </c>
      <c r="M344" s="27" t="s">
        <v>9</v>
      </c>
      <c r="N344" s="27" t="s">
        <v>9</v>
      </c>
      <c r="O344" s="27" t="s">
        <v>9</v>
      </c>
      <c r="P344" s="27" t="s">
        <v>9</v>
      </c>
      <c r="Q344" s="27" t="s">
        <v>9</v>
      </c>
      <c r="R344" s="27" t="s">
        <v>9</v>
      </c>
      <c r="S344" s="27" t="s">
        <v>9</v>
      </c>
      <c r="T344" s="27" t="s">
        <v>9</v>
      </c>
      <c r="U344" s="27" t="s">
        <v>9</v>
      </c>
      <c r="V344" s="20" t="s">
        <v>1</v>
      </c>
      <c r="W344" s="20">
        <v>5</v>
      </c>
      <c r="X344" s="20">
        <v>3</v>
      </c>
      <c r="Y344" s="20">
        <v>2</v>
      </c>
      <c r="Z344" s="20">
        <v>4</v>
      </c>
      <c r="AA344" s="23">
        <v>3</v>
      </c>
      <c r="AB344" s="15" t="s">
        <v>9</v>
      </c>
      <c r="AC344" s="15" t="s">
        <v>9</v>
      </c>
      <c r="AD344" s="15" t="s">
        <v>9</v>
      </c>
      <c r="AE344" s="15" t="s">
        <v>9</v>
      </c>
      <c r="AF344" s="20" t="s">
        <v>9</v>
      </c>
      <c r="AG344" s="20" t="s">
        <v>9</v>
      </c>
      <c r="AH344" s="24" t="s">
        <v>9</v>
      </c>
      <c r="AI344" s="23">
        <v>3</v>
      </c>
      <c r="AJ344" s="15" t="s">
        <v>9</v>
      </c>
      <c r="AK344" s="15" t="s">
        <v>9</v>
      </c>
      <c r="AL344" s="25" t="s">
        <v>9</v>
      </c>
      <c r="AM344" s="23">
        <v>3</v>
      </c>
      <c r="AN344" s="20" t="s">
        <v>9</v>
      </c>
      <c r="AO344" s="20" t="s">
        <v>9</v>
      </c>
      <c r="AP344" s="15" t="s">
        <v>9</v>
      </c>
      <c r="AQ344" s="15" t="s">
        <v>9</v>
      </c>
      <c r="AR344" s="15" t="s">
        <v>9</v>
      </c>
      <c r="AS344" s="26" t="s">
        <v>9</v>
      </c>
      <c r="AT344" s="26" t="s">
        <v>9</v>
      </c>
      <c r="AU344" s="26" t="s">
        <v>9</v>
      </c>
      <c r="AV344" s="26" t="s">
        <v>9</v>
      </c>
      <c r="AW344" s="26" t="s">
        <v>9</v>
      </c>
      <c r="AX344" s="26" t="s">
        <v>9</v>
      </c>
      <c r="AY344" s="26" t="s">
        <v>9</v>
      </c>
      <c r="AZ344" s="26" t="s">
        <v>9</v>
      </c>
      <c r="BA344" s="23">
        <v>3</v>
      </c>
      <c r="BB344" s="24" t="s">
        <v>9</v>
      </c>
    </row>
    <row r="345" spans="1:54" x14ac:dyDescent="0.2">
      <c r="A345" s="19">
        <v>1864</v>
      </c>
      <c r="B345" s="27" t="s">
        <v>9</v>
      </c>
      <c r="C345" s="27" t="s">
        <v>9</v>
      </c>
      <c r="D345" s="27" t="s">
        <v>9</v>
      </c>
      <c r="E345" s="27" t="s">
        <v>9</v>
      </c>
      <c r="F345" s="27" t="s">
        <v>9</v>
      </c>
      <c r="G345" s="27" t="s">
        <v>9</v>
      </c>
      <c r="H345" s="27" t="s">
        <v>9</v>
      </c>
      <c r="I345" s="27" t="s">
        <v>9</v>
      </c>
      <c r="J345" s="27" t="s">
        <v>9</v>
      </c>
      <c r="K345" s="27" t="s">
        <v>9</v>
      </c>
      <c r="L345" s="27" t="s">
        <v>9</v>
      </c>
      <c r="M345" s="27" t="s">
        <v>9</v>
      </c>
      <c r="N345" s="27" t="s">
        <v>9</v>
      </c>
      <c r="O345" s="27" t="s">
        <v>9</v>
      </c>
      <c r="P345" s="27" t="s">
        <v>9</v>
      </c>
      <c r="Q345" s="27" t="s">
        <v>9</v>
      </c>
      <c r="R345" s="27" t="s">
        <v>9</v>
      </c>
      <c r="S345" s="27" t="s">
        <v>9</v>
      </c>
      <c r="T345" s="27" t="s">
        <v>9</v>
      </c>
      <c r="U345" s="27" t="s">
        <v>9</v>
      </c>
      <c r="V345" s="20" t="s">
        <v>1</v>
      </c>
      <c r="W345" s="20">
        <v>5</v>
      </c>
      <c r="X345" s="20">
        <v>3</v>
      </c>
      <c r="Y345" s="20">
        <v>2</v>
      </c>
      <c r="Z345" s="20">
        <v>4</v>
      </c>
      <c r="AA345" s="23">
        <v>3</v>
      </c>
      <c r="AB345" s="15" t="s">
        <v>9</v>
      </c>
      <c r="AC345" s="15" t="s">
        <v>9</v>
      </c>
      <c r="AD345" s="15" t="s">
        <v>9</v>
      </c>
      <c r="AE345" s="15" t="s">
        <v>9</v>
      </c>
      <c r="AF345" s="20" t="s">
        <v>9</v>
      </c>
      <c r="AG345" s="20" t="s">
        <v>9</v>
      </c>
      <c r="AH345" s="24" t="s">
        <v>9</v>
      </c>
      <c r="AI345" s="23">
        <v>3</v>
      </c>
      <c r="AJ345" s="15" t="s">
        <v>9</v>
      </c>
      <c r="AK345" s="15" t="s">
        <v>9</v>
      </c>
      <c r="AL345" s="25" t="s">
        <v>9</v>
      </c>
      <c r="AM345" s="23">
        <v>3</v>
      </c>
      <c r="AN345" s="20" t="s">
        <v>9</v>
      </c>
      <c r="AO345" s="20" t="s">
        <v>9</v>
      </c>
      <c r="AP345" s="15" t="s">
        <v>9</v>
      </c>
      <c r="AQ345" s="15" t="s">
        <v>9</v>
      </c>
      <c r="AR345" s="15" t="s">
        <v>9</v>
      </c>
      <c r="AS345" s="26" t="s">
        <v>9</v>
      </c>
      <c r="AT345" s="26" t="s">
        <v>9</v>
      </c>
      <c r="AU345" s="26" t="s">
        <v>9</v>
      </c>
      <c r="AV345" s="26" t="s">
        <v>9</v>
      </c>
      <c r="AW345" s="26" t="s">
        <v>9</v>
      </c>
      <c r="AX345" s="26" t="s">
        <v>9</v>
      </c>
      <c r="AY345" s="26" t="s">
        <v>9</v>
      </c>
      <c r="AZ345" s="26" t="s">
        <v>9</v>
      </c>
      <c r="BA345" s="23">
        <v>3</v>
      </c>
      <c r="BB345" s="24" t="s">
        <v>9</v>
      </c>
    </row>
    <row r="346" spans="1:54" x14ac:dyDescent="0.2">
      <c r="A346" s="19">
        <v>1866</v>
      </c>
      <c r="B346" s="27" t="s">
        <v>9</v>
      </c>
      <c r="C346" s="27" t="s">
        <v>9</v>
      </c>
      <c r="D346" s="27" t="s">
        <v>9</v>
      </c>
      <c r="E346" s="27" t="s">
        <v>9</v>
      </c>
      <c r="F346" s="27" t="s">
        <v>9</v>
      </c>
      <c r="G346" s="27" t="s">
        <v>9</v>
      </c>
      <c r="H346" s="27" t="s">
        <v>9</v>
      </c>
      <c r="I346" s="27" t="s">
        <v>9</v>
      </c>
      <c r="J346" s="27" t="s">
        <v>9</v>
      </c>
      <c r="K346" s="27" t="s">
        <v>9</v>
      </c>
      <c r="L346" s="27" t="s">
        <v>9</v>
      </c>
      <c r="M346" s="27" t="s">
        <v>9</v>
      </c>
      <c r="N346" s="27" t="s">
        <v>9</v>
      </c>
      <c r="O346" s="27" t="s">
        <v>9</v>
      </c>
      <c r="P346" s="27" t="s">
        <v>9</v>
      </c>
      <c r="Q346" s="27" t="s">
        <v>9</v>
      </c>
      <c r="R346" s="27" t="s">
        <v>9</v>
      </c>
      <c r="S346" s="27" t="s">
        <v>9</v>
      </c>
      <c r="T346" s="27" t="s">
        <v>9</v>
      </c>
      <c r="U346" s="27" t="s">
        <v>9</v>
      </c>
      <c r="V346" s="20" t="s">
        <v>1</v>
      </c>
      <c r="W346" s="20">
        <v>5</v>
      </c>
      <c r="X346" s="20">
        <v>3</v>
      </c>
      <c r="Y346" s="20">
        <v>2</v>
      </c>
      <c r="Z346" s="20">
        <v>4</v>
      </c>
      <c r="AA346" s="23">
        <v>3</v>
      </c>
      <c r="AB346" s="15" t="s">
        <v>9</v>
      </c>
      <c r="AC346" s="15" t="s">
        <v>9</v>
      </c>
      <c r="AD346" s="15" t="s">
        <v>9</v>
      </c>
      <c r="AE346" s="15" t="s">
        <v>9</v>
      </c>
      <c r="AF346" s="20" t="s">
        <v>9</v>
      </c>
      <c r="AG346" s="20" t="s">
        <v>9</v>
      </c>
      <c r="AH346" s="24" t="s">
        <v>9</v>
      </c>
      <c r="AI346" s="23">
        <v>3</v>
      </c>
      <c r="AJ346" s="15" t="s">
        <v>9</v>
      </c>
      <c r="AK346" s="15" t="s">
        <v>9</v>
      </c>
      <c r="AL346" s="25" t="s">
        <v>9</v>
      </c>
      <c r="AM346" s="23">
        <v>3</v>
      </c>
      <c r="AN346" s="20" t="s">
        <v>9</v>
      </c>
      <c r="AO346" s="20" t="s">
        <v>9</v>
      </c>
      <c r="AP346" s="15" t="s">
        <v>9</v>
      </c>
      <c r="AQ346" s="15" t="s">
        <v>9</v>
      </c>
      <c r="AR346" s="15" t="s">
        <v>9</v>
      </c>
      <c r="AS346" s="26" t="s">
        <v>9</v>
      </c>
      <c r="AT346" s="26" t="s">
        <v>9</v>
      </c>
      <c r="AU346" s="26" t="s">
        <v>9</v>
      </c>
      <c r="AV346" s="26" t="s">
        <v>9</v>
      </c>
      <c r="AW346" s="26" t="s">
        <v>9</v>
      </c>
      <c r="AX346" s="26" t="s">
        <v>9</v>
      </c>
      <c r="AY346" s="26" t="s">
        <v>9</v>
      </c>
      <c r="AZ346" s="26" t="s">
        <v>9</v>
      </c>
      <c r="BA346" s="23">
        <v>3</v>
      </c>
      <c r="BB346" s="24" t="s">
        <v>9</v>
      </c>
    </row>
    <row r="347" spans="1:54" x14ac:dyDescent="0.2">
      <c r="A347" s="19">
        <v>1868</v>
      </c>
      <c r="B347" s="27" t="s">
        <v>9</v>
      </c>
      <c r="C347" s="27" t="s">
        <v>9</v>
      </c>
      <c r="D347" s="27" t="s">
        <v>9</v>
      </c>
      <c r="E347" s="27" t="s">
        <v>9</v>
      </c>
      <c r="F347" s="27" t="s">
        <v>9</v>
      </c>
      <c r="G347" s="27" t="s">
        <v>9</v>
      </c>
      <c r="H347" s="27" t="s">
        <v>9</v>
      </c>
      <c r="I347" s="27" t="s">
        <v>9</v>
      </c>
      <c r="J347" s="27" t="s">
        <v>9</v>
      </c>
      <c r="K347" s="27" t="s">
        <v>9</v>
      </c>
      <c r="L347" s="27" t="s">
        <v>9</v>
      </c>
      <c r="M347" s="27" t="s">
        <v>9</v>
      </c>
      <c r="N347" s="27" t="s">
        <v>9</v>
      </c>
      <c r="O347" s="27" t="s">
        <v>9</v>
      </c>
      <c r="P347" s="27" t="s">
        <v>9</v>
      </c>
      <c r="Q347" s="27" t="s">
        <v>9</v>
      </c>
      <c r="R347" s="27" t="s">
        <v>9</v>
      </c>
      <c r="S347" s="27" t="s">
        <v>9</v>
      </c>
      <c r="T347" s="27" t="s">
        <v>9</v>
      </c>
      <c r="U347" s="27" t="s">
        <v>9</v>
      </c>
      <c r="V347" s="20" t="s">
        <v>1</v>
      </c>
      <c r="W347" s="20">
        <v>5</v>
      </c>
      <c r="X347" s="20">
        <v>3</v>
      </c>
      <c r="Y347" s="20">
        <v>2</v>
      </c>
      <c r="Z347" s="20">
        <v>4</v>
      </c>
      <c r="AA347" s="23">
        <v>3</v>
      </c>
      <c r="AB347" s="15" t="s">
        <v>9</v>
      </c>
      <c r="AC347" s="15" t="s">
        <v>9</v>
      </c>
      <c r="AD347" s="15" t="s">
        <v>9</v>
      </c>
      <c r="AE347" s="15" t="s">
        <v>9</v>
      </c>
      <c r="AF347" s="20" t="s">
        <v>9</v>
      </c>
      <c r="AG347" s="20" t="s">
        <v>9</v>
      </c>
      <c r="AH347" s="24" t="s">
        <v>9</v>
      </c>
      <c r="AI347" s="23">
        <v>3</v>
      </c>
      <c r="AJ347" s="15" t="s">
        <v>9</v>
      </c>
      <c r="AK347" s="15" t="s">
        <v>9</v>
      </c>
      <c r="AL347" s="25" t="s">
        <v>9</v>
      </c>
      <c r="AM347" s="23">
        <v>3</v>
      </c>
      <c r="AN347" s="20" t="s">
        <v>9</v>
      </c>
      <c r="AO347" s="20" t="s">
        <v>9</v>
      </c>
      <c r="AP347" s="15" t="s">
        <v>9</v>
      </c>
      <c r="AQ347" s="15" t="s">
        <v>9</v>
      </c>
      <c r="AR347" s="15" t="s">
        <v>9</v>
      </c>
      <c r="AS347" s="26" t="s">
        <v>9</v>
      </c>
      <c r="AT347" s="26" t="s">
        <v>9</v>
      </c>
      <c r="AU347" s="26" t="s">
        <v>9</v>
      </c>
      <c r="AV347" s="26" t="s">
        <v>9</v>
      </c>
      <c r="AW347" s="26" t="s">
        <v>9</v>
      </c>
      <c r="AX347" s="26" t="s">
        <v>9</v>
      </c>
      <c r="AY347" s="26" t="s">
        <v>9</v>
      </c>
      <c r="AZ347" s="26" t="s">
        <v>9</v>
      </c>
      <c r="BA347" s="23">
        <v>3</v>
      </c>
      <c r="BB347" s="24" t="s">
        <v>9</v>
      </c>
    </row>
    <row r="348" spans="1:54" x14ac:dyDescent="0.2">
      <c r="A348" s="19">
        <v>1869</v>
      </c>
      <c r="B348" s="27" t="s">
        <v>9</v>
      </c>
      <c r="C348" s="27" t="s">
        <v>9</v>
      </c>
      <c r="D348" s="27" t="s">
        <v>9</v>
      </c>
      <c r="E348" s="27" t="s">
        <v>9</v>
      </c>
      <c r="F348" s="27" t="s">
        <v>9</v>
      </c>
      <c r="G348" s="27" t="s">
        <v>9</v>
      </c>
      <c r="H348" s="27" t="s">
        <v>9</v>
      </c>
      <c r="I348" s="27" t="s">
        <v>9</v>
      </c>
      <c r="J348" s="27" t="s">
        <v>9</v>
      </c>
      <c r="K348" s="27" t="s">
        <v>9</v>
      </c>
      <c r="L348" s="27" t="s">
        <v>9</v>
      </c>
      <c r="M348" s="27" t="s">
        <v>9</v>
      </c>
      <c r="N348" s="27" t="s">
        <v>9</v>
      </c>
      <c r="O348" s="27" t="s">
        <v>9</v>
      </c>
      <c r="P348" s="27" t="s">
        <v>9</v>
      </c>
      <c r="Q348" s="27" t="s">
        <v>9</v>
      </c>
      <c r="R348" s="27" t="s">
        <v>9</v>
      </c>
      <c r="S348" s="27" t="s">
        <v>9</v>
      </c>
      <c r="T348" s="27" t="s">
        <v>9</v>
      </c>
      <c r="U348" s="27" t="s">
        <v>9</v>
      </c>
      <c r="V348" s="20" t="s">
        <v>1</v>
      </c>
      <c r="W348" s="20">
        <v>5</v>
      </c>
      <c r="X348" s="20">
        <v>3</v>
      </c>
      <c r="Y348" s="20">
        <v>2</v>
      </c>
      <c r="Z348" s="20">
        <v>4</v>
      </c>
      <c r="AA348" s="23">
        <v>3</v>
      </c>
      <c r="AB348" s="15" t="s">
        <v>9</v>
      </c>
      <c r="AC348" s="15" t="s">
        <v>9</v>
      </c>
      <c r="AD348" s="15" t="s">
        <v>9</v>
      </c>
      <c r="AE348" s="15" t="s">
        <v>9</v>
      </c>
      <c r="AF348" s="20" t="s">
        <v>9</v>
      </c>
      <c r="AG348" s="20" t="s">
        <v>9</v>
      </c>
      <c r="AH348" s="24" t="s">
        <v>9</v>
      </c>
      <c r="AI348" s="23">
        <v>3</v>
      </c>
      <c r="AJ348" s="15" t="s">
        <v>9</v>
      </c>
      <c r="AK348" s="15" t="s">
        <v>9</v>
      </c>
      <c r="AL348" s="25" t="s">
        <v>9</v>
      </c>
      <c r="AM348" s="23">
        <v>3</v>
      </c>
      <c r="AN348" s="20" t="s">
        <v>9</v>
      </c>
      <c r="AO348" s="20" t="s">
        <v>9</v>
      </c>
      <c r="AP348" s="15" t="s">
        <v>9</v>
      </c>
      <c r="AQ348" s="15" t="s">
        <v>9</v>
      </c>
      <c r="AR348" s="15" t="s">
        <v>9</v>
      </c>
      <c r="AS348" s="26" t="s">
        <v>9</v>
      </c>
      <c r="AT348" s="26" t="s">
        <v>9</v>
      </c>
      <c r="AU348" s="26" t="s">
        <v>9</v>
      </c>
      <c r="AV348" s="26" t="s">
        <v>9</v>
      </c>
      <c r="AW348" s="26" t="s">
        <v>9</v>
      </c>
      <c r="AX348" s="26" t="s">
        <v>9</v>
      </c>
      <c r="AY348" s="26" t="s">
        <v>9</v>
      </c>
      <c r="AZ348" s="26" t="s">
        <v>9</v>
      </c>
      <c r="BA348" s="23">
        <v>3</v>
      </c>
      <c r="BB348" s="24" t="s">
        <v>9</v>
      </c>
    </row>
    <row r="349" spans="1:54" x14ac:dyDescent="0.2">
      <c r="A349" s="19">
        <v>1874</v>
      </c>
      <c r="B349" s="27" t="s">
        <v>9</v>
      </c>
      <c r="C349" s="27" t="s">
        <v>9</v>
      </c>
      <c r="D349" s="27" t="s">
        <v>9</v>
      </c>
      <c r="E349" s="27" t="s">
        <v>9</v>
      </c>
      <c r="F349" s="27" t="s">
        <v>9</v>
      </c>
      <c r="G349" s="27" t="s">
        <v>9</v>
      </c>
      <c r="H349" s="27" t="s">
        <v>9</v>
      </c>
      <c r="I349" s="27" t="s">
        <v>9</v>
      </c>
      <c r="J349" s="27" t="s">
        <v>9</v>
      </c>
      <c r="K349" s="27" t="s">
        <v>9</v>
      </c>
      <c r="L349" s="27" t="s">
        <v>9</v>
      </c>
      <c r="M349" s="27" t="s">
        <v>9</v>
      </c>
      <c r="N349" s="27" t="s">
        <v>9</v>
      </c>
      <c r="O349" s="27" t="s">
        <v>9</v>
      </c>
      <c r="P349" s="27" t="s">
        <v>9</v>
      </c>
      <c r="Q349" s="27" t="s">
        <v>9</v>
      </c>
      <c r="R349" s="27" t="s">
        <v>9</v>
      </c>
      <c r="S349" s="27" t="s">
        <v>9</v>
      </c>
      <c r="T349" s="27" t="s">
        <v>9</v>
      </c>
      <c r="U349" s="27" t="s">
        <v>9</v>
      </c>
      <c r="V349" s="20" t="s">
        <v>1</v>
      </c>
      <c r="W349" s="20">
        <v>5</v>
      </c>
      <c r="X349" s="20">
        <v>3</v>
      </c>
      <c r="Y349" s="20">
        <v>2</v>
      </c>
      <c r="Z349" s="20">
        <v>4</v>
      </c>
      <c r="AA349" s="23">
        <v>3</v>
      </c>
      <c r="AB349" s="15" t="s">
        <v>9</v>
      </c>
      <c r="AC349" s="15" t="s">
        <v>9</v>
      </c>
      <c r="AD349" s="15" t="s">
        <v>9</v>
      </c>
      <c r="AE349" s="15" t="s">
        <v>9</v>
      </c>
      <c r="AF349" s="20" t="s">
        <v>9</v>
      </c>
      <c r="AG349" s="20" t="s">
        <v>9</v>
      </c>
      <c r="AH349" s="24" t="s">
        <v>9</v>
      </c>
      <c r="AI349" s="23">
        <v>3</v>
      </c>
      <c r="AJ349" s="15" t="s">
        <v>9</v>
      </c>
      <c r="AK349" s="15" t="s">
        <v>9</v>
      </c>
      <c r="AL349" s="25" t="s">
        <v>9</v>
      </c>
      <c r="AM349" s="23">
        <v>3</v>
      </c>
      <c r="AN349" s="20" t="s">
        <v>9</v>
      </c>
      <c r="AO349" s="20" t="s">
        <v>9</v>
      </c>
      <c r="AP349" s="15" t="s">
        <v>9</v>
      </c>
      <c r="AQ349" s="15" t="s">
        <v>9</v>
      </c>
      <c r="AR349" s="15" t="s">
        <v>9</v>
      </c>
      <c r="AS349" s="26" t="s">
        <v>9</v>
      </c>
      <c r="AT349" s="26" t="s">
        <v>9</v>
      </c>
      <c r="AU349" s="26" t="s">
        <v>9</v>
      </c>
      <c r="AV349" s="26" t="s">
        <v>9</v>
      </c>
      <c r="AW349" s="26" t="s">
        <v>9</v>
      </c>
      <c r="AX349" s="26" t="s">
        <v>9</v>
      </c>
      <c r="AY349" s="26" t="s">
        <v>9</v>
      </c>
      <c r="AZ349" s="26" t="s">
        <v>9</v>
      </c>
      <c r="BA349" s="23">
        <v>3</v>
      </c>
      <c r="BB349" s="24" t="s">
        <v>9</v>
      </c>
    </row>
    <row r="350" spans="1:54" x14ac:dyDescent="0.2">
      <c r="A350" s="19">
        <v>1882</v>
      </c>
      <c r="B350" s="27" t="s">
        <v>9</v>
      </c>
      <c r="C350" s="27" t="s">
        <v>9</v>
      </c>
      <c r="D350" s="27" t="s">
        <v>9</v>
      </c>
      <c r="E350" s="27" t="s">
        <v>9</v>
      </c>
      <c r="F350" s="27" t="s">
        <v>9</v>
      </c>
      <c r="G350" s="27" t="s">
        <v>9</v>
      </c>
      <c r="H350" s="27" t="s">
        <v>9</v>
      </c>
      <c r="I350" s="27" t="s">
        <v>9</v>
      </c>
      <c r="J350" s="27" t="s">
        <v>9</v>
      </c>
      <c r="K350" s="27" t="s">
        <v>9</v>
      </c>
      <c r="L350" s="27" t="s">
        <v>9</v>
      </c>
      <c r="M350" s="27" t="s">
        <v>9</v>
      </c>
      <c r="N350" s="27" t="s">
        <v>9</v>
      </c>
      <c r="O350" s="27" t="s">
        <v>9</v>
      </c>
      <c r="P350" s="27" t="s">
        <v>9</v>
      </c>
      <c r="Q350" s="27" t="s">
        <v>9</v>
      </c>
      <c r="R350" s="27" t="s">
        <v>9</v>
      </c>
      <c r="S350" s="27" t="s">
        <v>9</v>
      </c>
      <c r="T350" s="27" t="s">
        <v>9</v>
      </c>
      <c r="U350" s="27" t="s">
        <v>9</v>
      </c>
      <c r="V350" s="20" t="s">
        <v>1</v>
      </c>
      <c r="W350" s="20">
        <v>5</v>
      </c>
      <c r="X350" s="20">
        <v>3</v>
      </c>
      <c r="Y350" s="20">
        <v>2</v>
      </c>
      <c r="Z350" s="20">
        <v>4</v>
      </c>
      <c r="AA350" s="23">
        <v>3</v>
      </c>
      <c r="AB350" s="15" t="s">
        <v>9</v>
      </c>
      <c r="AC350" s="15" t="s">
        <v>9</v>
      </c>
      <c r="AD350" s="15" t="s">
        <v>9</v>
      </c>
      <c r="AE350" s="15" t="s">
        <v>9</v>
      </c>
      <c r="AF350" s="20" t="s">
        <v>9</v>
      </c>
      <c r="AG350" s="20" t="s">
        <v>9</v>
      </c>
      <c r="AH350" s="24" t="s">
        <v>9</v>
      </c>
      <c r="AI350" s="23">
        <v>3</v>
      </c>
      <c r="AJ350" s="15" t="s">
        <v>9</v>
      </c>
      <c r="AK350" s="15" t="s">
        <v>9</v>
      </c>
      <c r="AL350" s="25" t="s">
        <v>9</v>
      </c>
      <c r="AM350" s="23">
        <v>3</v>
      </c>
      <c r="AN350" s="20" t="s">
        <v>9</v>
      </c>
      <c r="AO350" s="20" t="s">
        <v>9</v>
      </c>
      <c r="AP350" s="15" t="s">
        <v>9</v>
      </c>
      <c r="AQ350" s="15" t="s">
        <v>9</v>
      </c>
      <c r="AR350" s="15" t="s">
        <v>9</v>
      </c>
      <c r="AS350" s="26" t="s">
        <v>9</v>
      </c>
      <c r="AT350" s="26" t="s">
        <v>9</v>
      </c>
      <c r="AU350" s="26" t="s">
        <v>9</v>
      </c>
      <c r="AV350" s="26" t="s">
        <v>9</v>
      </c>
      <c r="AW350" s="26" t="s">
        <v>9</v>
      </c>
      <c r="AX350" s="26" t="s">
        <v>9</v>
      </c>
      <c r="AY350" s="26" t="s">
        <v>9</v>
      </c>
      <c r="AZ350" s="26" t="s">
        <v>9</v>
      </c>
      <c r="BA350" s="23">
        <v>3</v>
      </c>
      <c r="BB350" s="24" t="s">
        <v>9</v>
      </c>
    </row>
    <row r="351" spans="1:54" x14ac:dyDescent="0.2">
      <c r="A351" s="19">
        <v>1886</v>
      </c>
      <c r="B351" s="27" t="s">
        <v>9</v>
      </c>
      <c r="C351" s="27" t="s">
        <v>9</v>
      </c>
      <c r="D351" s="27" t="s">
        <v>9</v>
      </c>
      <c r="E351" s="27" t="s">
        <v>9</v>
      </c>
      <c r="F351" s="27" t="s">
        <v>9</v>
      </c>
      <c r="G351" s="27" t="s">
        <v>9</v>
      </c>
      <c r="H351" s="27" t="s">
        <v>9</v>
      </c>
      <c r="I351" s="27" t="s">
        <v>9</v>
      </c>
      <c r="J351" s="27" t="s">
        <v>9</v>
      </c>
      <c r="K351" s="27" t="s">
        <v>9</v>
      </c>
      <c r="L351" s="27" t="s">
        <v>9</v>
      </c>
      <c r="M351" s="27" t="s">
        <v>9</v>
      </c>
      <c r="N351" s="27" t="s">
        <v>9</v>
      </c>
      <c r="O351" s="27" t="s">
        <v>9</v>
      </c>
      <c r="P351" s="27" t="s">
        <v>9</v>
      </c>
      <c r="Q351" s="27" t="s">
        <v>9</v>
      </c>
      <c r="R351" s="27" t="s">
        <v>9</v>
      </c>
      <c r="S351" s="27" t="s">
        <v>9</v>
      </c>
      <c r="T351" s="27" t="s">
        <v>9</v>
      </c>
      <c r="U351" s="27" t="s">
        <v>9</v>
      </c>
      <c r="V351" s="20" t="s">
        <v>1</v>
      </c>
      <c r="W351" s="20">
        <v>5</v>
      </c>
      <c r="X351" s="20">
        <v>3</v>
      </c>
      <c r="Y351" s="20">
        <v>2</v>
      </c>
      <c r="Z351" s="20">
        <v>4</v>
      </c>
      <c r="AA351" s="23">
        <v>3</v>
      </c>
      <c r="AB351" s="15" t="s">
        <v>9</v>
      </c>
      <c r="AC351" s="15" t="s">
        <v>9</v>
      </c>
      <c r="AD351" s="15" t="s">
        <v>9</v>
      </c>
      <c r="AE351" s="15" t="s">
        <v>9</v>
      </c>
      <c r="AF351" s="20" t="s">
        <v>9</v>
      </c>
      <c r="AG351" s="20" t="s">
        <v>9</v>
      </c>
      <c r="AH351" s="24" t="s">
        <v>9</v>
      </c>
      <c r="AI351" s="23">
        <v>3</v>
      </c>
      <c r="AJ351" s="15" t="s">
        <v>9</v>
      </c>
      <c r="AK351" s="15" t="s">
        <v>9</v>
      </c>
      <c r="AL351" s="25" t="s">
        <v>9</v>
      </c>
      <c r="AM351" s="23">
        <v>3</v>
      </c>
      <c r="AN351" s="20" t="s">
        <v>9</v>
      </c>
      <c r="AO351" s="20" t="s">
        <v>9</v>
      </c>
      <c r="AP351" s="15" t="s">
        <v>9</v>
      </c>
      <c r="AQ351" s="15" t="s">
        <v>9</v>
      </c>
      <c r="AR351" s="15" t="s">
        <v>9</v>
      </c>
      <c r="AS351" s="26" t="s">
        <v>9</v>
      </c>
      <c r="AT351" s="26" t="s">
        <v>9</v>
      </c>
      <c r="AU351" s="26" t="s">
        <v>9</v>
      </c>
      <c r="AV351" s="26" t="s">
        <v>9</v>
      </c>
      <c r="AW351" s="26" t="s">
        <v>9</v>
      </c>
      <c r="AX351" s="26" t="s">
        <v>9</v>
      </c>
      <c r="AY351" s="26" t="s">
        <v>9</v>
      </c>
      <c r="AZ351" s="26" t="s">
        <v>9</v>
      </c>
      <c r="BA351" s="23">
        <v>3</v>
      </c>
      <c r="BB351" s="24" t="s">
        <v>9</v>
      </c>
    </row>
    <row r="352" spans="1:54" x14ac:dyDescent="0.2">
      <c r="A352" s="19">
        <v>1915</v>
      </c>
      <c r="B352" s="27" t="s">
        <v>9</v>
      </c>
      <c r="C352" s="27" t="s">
        <v>9</v>
      </c>
      <c r="D352" s="27" t="s">
        <v>9</v>
      </c>
      <c r="E352" s="27" t="s">
        <v>9</v>
      </c>
      <c r="F352" s="27" t="s">
        <v>9</v>
      </c>
      <c r="G352" s="27" t="s">
        <v>9</v>
      </c>
      <c r="H352" s="27" t="s">
        <v>9</v>
      </c>
      <c r="I352" s="27" t="s">
        <v>9</v>
      </c>
      <c r="J352" s="27" t="s">
        <v>9</v>
      </c>
      <c r="K352" s="27" t="s">
        <v>9</v>
      </c>
      <c r="L352" s="27" t="s">
        <v>9</v>
      </c>
      <c r="M352" s="27" t="s">
        <v>9</v>
      </c>
      <c r="N352" s="27" t="s">
        <v>9</v>
      </c>
      <c r="O352" s="27" t="s">
        <v>9</v>
      </c>
      <c r="P352" s="27" t="s">
        <v>9</v>
      </c>
      <c r="Q352" s="27" t="s">
        <v>9</v>
      </c>
      <c r="R352" s="27" t="s">
        <v>9</v>
      </c>
      <c r="S352" s="27" t="s">
        <v>9</v>
      </c>
      <c r="T352" s="27" t="s">
        <v>9</v>
      </c>
      <c r="U352" s="27" t="s">
        <v>9</v>
      </c>
      <c r="V352" s="20" t="s">
        <v>1</v>
      </c>
      <c r="W352" s="20">
        <v>5</v>
      </c>
      <c r="X352" s="20">
        <v>3</v>
      </c>
      <c r="Y352" s="20">
        <v>2</v>
      </c>
      <c r="Z352" s="20">
        <v>4</v>
      </c>
      <c r="AA352" s="23">
        <v>3</v>
      </c>
      <c r="AB352" s="15" t="s">
        <v>9</v>
      </c>
      <c r="AC352" s="15" t="s">
        <v>9</v>
      </c>
      <c r="AD352" s="15" t="s">
        <v>9</v>
      </c>
      <c r="AE352" s="15" t="s">
        <v>9</v>
      </c>
      <c r="AF352" s="20" t="s">
        <v>9</v>
      </c>
      <c r="AG352" s="20" t="s">
        <v>9</v>
      </c>
      <c r="AH352" s="24" t="s">
        <v>9</v>
      </c>
      <c r="AI352" s="23">
        <v>3</v>
      </c>
      <c r="AJ352" s="15" t="s">
        <v>9</v>
      </c>
      <c r="AK352" s="15" t="s">
        <v>9</v>
      </c>
      <c r="AL352" s="25" t="s">
        <v>9</v>
      </c>
      <c r="AM352" s="23">
        <v>3</v>
      </c>
      <c r="AN352" s="20" t="s">
        <v>9</v>
      </c>
      <c r="AO352" s="20" t="s">
        <v>9</v>
      </c>
      <c r="AP352" s="15" t="s">
        <v>9</v>
      </c>
      <c r="AQ352" s="15" t="s">
        <v>9</v>
      </c>
      <c r="AR352" s="15" t="s">
        <v>9</v>
      </c>
      <c r="AS352" s="26" t="s">
        <v>9</v>
      </c>
      <c r="AT352" s="26" t="s">
        <v>9</v>
      </c>
      <c r="AU352" s="26" t="s">
        <v>9</v>
      </c>
      <c r="AV352" s="26" t="s">
        <v>9</v>
      </c>
      <c r="AW352" s="26" t="s">
        <v>9</v>
      </c>
      <c r="AX352" s="26" t="s">
        <v>9</v>
      </c>
      <c r="AY352" s="26" t="s">
        <v>9</v>
      </c>
      <c r="AZ352" s="26" t="s">
        <v>9</v>
      </c>
      <c r="BA352" s="23">
        <v>3</v>
      </c>
      <c r="BB352" s="24" t="s">
        <v>9</v>
      </c>
    </row>
    <row r="353" spans="1:54" x14ac:dyDescent="0.2">
      <c r="A353" s="19">
        <v>1919</v>
      </c>
      <c r="B353" s="27" t="s">
        <v>9</v>
      </c>
      <c r="C353" s="27" t="s">
        <v>9</v>
      </c>
      <c r="D353" s="27" t="s">
        <v>9</v>
      </c>
      <c r="E353" s="27" t="s">
        <v>9</v>
      </c>
      <c r="F353" s="27" t="s">
        <v>9</v>
      </c>
      <c r="G353" s="27" t="s">
        <v>9</v>
      </c>
      <c r="H353" s="27" t="s">
        <v>9</v>
      </c>
      <c r="I353" s="27" t="s">
        <v>9</v>
      </c>
      <c r="J353" s="27" t="s">
        <v>9</v>
      </c>
      <c r="K353" s="27" t="s">
        <v>9</v>
      </c>
      <c r="L353" s="27" t="s">
        <v>9</v>
      </c>
      <c r="M353" s="27" t="s">
        <v>9</v>
      </c>
      <c r="N353" s="27" t="s">
        <v>9</v>
      </c>
      <c r="O353" s="27" t="s">
        <v>9</v>
      </c>
      <c r="P353" s="27" t="s">
        <v>9</v>
      </c>
      <c r="Q353" s="27" t="s">
        <v>9</v>
      </c>
      <c r="R353" s="27" t="s">
        <v>9</v>
      </c>
      <c r="S353" s="27" t="s">
        <v>9</v>
      </c>
      <c r="T353" s="27" t="s">
        <v>9</v>
      </c>
      <c r="U353" s="27" t="s">
        <v>9</v>
      </c>
      <c r="V353" s="20" t="s">
        <v>1</v>
      </c>
      <c r="W353" s="20">
        <v>5</v>
      </c>
      <c r="X353" s="20">
        <v>3</v>
      </c>
      <c r="Y353" s="20">
        <v>2</v>
      </c>
      <c r="Z353" s="20">
        <v>4</v>
      </c>
      <c r="AA353" s="23">
        <v>3</v>
      </c>
      <c r="AB353" s="15" t="s">
        <v>9</v>
      </c>
      <c r="AC353" s="15" t="s">
        <v>9</v>
      </c>
      <c r="AD353" s="15" t="s">
        <v>9</v>
      </c>
      <c r="AE353" s="15" t="s">
        <v>9</v>
      </c>
      <c r="AF353" s="20" t="s">
        <v>9</v>
      </c>
      <c r="AG353" s="20" t="s">
        <v>9</v>
      </c>
      <c r="AH353" s="24" t="s">
        <v>9</v>
      </c>
      <c r="AI353" s="23">
        <v>3</v>
      </c>
      <c r="AJ353" s="15" t="s">
        <v>9</v>
      </c>
      <c r="AK353" s="15" t="s">
        <v>9</v>
      </c>
      <c r="AL353" s="25" t="s">
        <v>9</v>
      </c>
      <c r="AM353" s="23">
        <v>3</v>
      </c>
      <c r="AN353" s="20" t="s">
        <v>9</v>
      </c>
      <c r="AO353" s="20" t="s">
        <v>9</v>
      </c>
      <c r="AP353" s="15" t="s">
        <v>9</v>
      </c>
      <c r="AQ353" s="15" t="s">
        <v>9</v>
      </c>
      <c r="AR353" s="15" t="s">
        <v>9</v>
      </c>
      <c r="AS353" s="26" t="s">
        <v>9</v>
      </c>
      <c r="AT353" s="26" t="s">
        <v>9</v>
      </c>
      <c r="AU353" s="26" t="s">
        <v>9</v>
      </c>
      <c r="AV353" s="26" t="s">
        <v>9</v>
      </c>
      <c r="AW353" s="26" t="s">
        <v>9</v>
      </c>
      <c r="AX353" s="26" t="s">
        <v>9</v>
      </c>
      <c r="AY353" s="26" t="s">
        <v>9</v>
      </c>
      <c r="AZ353" s="26" t="s">
        <v>9</v>
      </c>
      <c r="BA353" s="23">
        <v>3</v>
      </c>
      <c r="BB353" s="24" t="s">
        <v>9</v>
      </c>
    </row>
    <row r="354" spans="1:54" x14ac:dyDescent="0.2">
      <c r="A354" s="19">
        <v>1926</v>
      </c>
      <c r="B354" s="27" t="s">
        <v>9</v>
      </c>
      <c r="C354" s="27" t="s">
        <v>9</v>
      </c>
      <c r="D354" s="27" t="s">
        <v>9</v>
      </c>
      <c r="E354" s="27" t="s">
        <v>9</v>
      </c>
      <c r="F354" s="27" t="s">
        <v>9</v>
      </c>
      <c r="G354" s="27" t="s">
        <v>9</v>
      </c>
      <c r="H354" s="27" t="s">
        <v>9</v>
      </c>
      <c r="I354" s="27" t="s">
        <v>9</v>
      </c>
      <c r="J354" s="27" t="s">
        <v>9</v>
      </c>
      <c r="K354" s="27" t="s">
        <v>9</v>
      </c>
      <c r="L354" s="27" t="s">
        <v>9</v>
      </c>
      <c r="M354" s="27" t="s">
        <v>9</v>
      </c>
      <c r="N354" s="27" t="s">
        <v>9</v>
      </c>
      <c r="O354" s="27" t="s">
        <v>9</v>
      </c>
      <c r="P354" s="27" t="s">
        <v>9</v>
      </c>
      <c r="Q354" s="27" t="s">
        <v>9</v>
      </c>
      <c r="R354" s="27" t="s">
        <v>9</v>
      </c>
      <c r="S354" s="27" t="s">
        <v>9</v>
      </c>
      <c r="T354" s="27" t="s">
        <v>9</v>
      </c>
      <c r="U354" s="27" t="s">
        <v>9</v>
      </c>
      <c r="V354" s="20" t="s">
        <v>1</v>
      </c>
      <c r="W354" s="20">
        <v>5</v>
      </c>
      <c r="X354" s="20">
        <v>3</v>
      </c>
      <c r="Y354" s="20">
        <v>2</v>
      </c>
      <c r="Z354" s="20">
        <v>4</v>
      </c>
      <c r="AA354" s="23">
        <v>3</v>
      </c>
      <c r="AB354" s="15" t="s">
        <v>9</v>
      </c>
      <c r="AC354" s="15" t="s">
        <v>9</v>
      </c>
      <c r="AD354" s="15" t="s">
        <v>9</v>
      </c>
      <c r="AE354" s="15" t="s">
        <v>9</v>
      </c>
      <c r="AF354" s="20" t="s">
        <v>9</v>
      </c>
      <c r="AG354" s="20" t="s">
        <v>9</v>
      </c>
      <c r="AH354" s="24" t="s">
        <v>9</v>
      </c>
      <c r="AI354" s="23">
        <v>3</v>
      </c>
      <c r="AJ354" s="15" t="s">
        <v>9</v>
      </c>
      <c r="AK354" s="15" t="s">
        <v>9</v>
      </c>
      <c r="AL354" s="25" t="s">
        <v>9</v>
      </c>
      <c r="AM354" s="23">
        <v>3</v>
      </c>
      <c r="AN354" s="20" t="s">
        <v>9</v>
      </c>
      <c r="AO354" s="20" t="s">
        <v>9</v>
      </c>
      <c r="AP354" s="15" t="s">
        <v>9</v>
      </c>
      <c r="AQ354" s="15" t="s">
        <v>9</v>
      </c>
      <c r="AR354" s="15" t="s">
        <v>9</v>
      </c>
      <c r="AS354" s="26" t="s">
        <v>9</v>
      </c>
      <c r="AT354" s="26" t="s">
        <v>9</v>
      </c>
      <c r="AU354" s="26" t="s">
        <v>9</v>
      </c>
      <c r="AV354" s="26" t="s">
        <v>9</v>
      </c>
      <c r="AW354" s="26" t="s">
        <v>9</v>
      </c>
      <c r="AX354" s="26" t="s">
        <v>9</v>
      </c>
      <c r="AY354" s="26" t="s">
        <v>9</v>
      </c>
      <c r="AZ354" s="26" t="s">
        <v>9</v>
      </c>
      <c r="BA354" s="23">
        <v>3</v>
      </c>
      <c r="BB354" s="24" t="s">
        <v>9</v>
      </c>
    </row>
    <row r="355" spans="1:54" x14ac:dyDescent="0.2">
      <c r="A355" s="19">
        <v>1928</v>
      </c>
      <c r="B355" s="27" t="s">
        <v>9</v>
      </c>
      <c r="C355" s="27" t="s">
        <v>9</v>
      </c>
      <c r="D355" s="27" t="s">
        <v>9</v>
      </c>
      <c r="E355" s="27" t="s">
        <v>9</v>
      </c>
      <c r="F355" s="27" t="s">
        <v>9</v>
      </c>
      <c r="G355" s="27" t="s">
        <v>9</v>
      </c>
      <c r="H355" s="27" t="s">
        <v>9</v>
      </c>
      <c r="I355" s="27" t="s">
        <v>9</v>
      </c>
      <c r="J355" s="27" t="s">
        <v>9</v>
      </c>
      <c r="K355" s="27" t="s">
        <v>9</v>
      </c>
      <c r="L355" s="27" t="s">
        <v>9</v>
      </c>
      <c r="M355" s="27" t="s">
        <v>9</v>
      </c>
      <c r="N355" s="27" t="s">
        <v>9</v>
      </c>
      <c r="O355" s="27" t="s">
        <v>9</v>
      </c>
      <c r="P355" s="27" t="s">
        <v>9</v>
      </c>
      <c r="Q355" s="27" t="s">
        <v>9</v>
      </c>
      <c r="R355" s="27" t="s">
        <v>9</v>
      </c>
      <c r="S355" s="27" t="s">
        <v>9</v>
      </c>
      <c r="T355" s="27" t="s">
        <v>9</v>
      </c>
      <c r="U355" s="27" t="s">
        <v>9</v>
      </c>
      <c r="V355" s="20" t="s">
        <v>1</v>
      </c>
      <c r="W355" s="20">
        <v>5</v>
      </c>
      <c r="X355" s="20">
        <v>3</v>
      </c>
      <c r="Y355" s="20">
        <v>2</v>
      </c>
      <c r="Z355" s="20">
        <v>4</v>
      </c>
      <c r="AA355" s="23">
        <v>3</v>
      </c>
      <c r="AB355" s="15" t="s">
        <v>9</v>
      </c>
      <c r="AC355" s="15" t="s">
        <v>9</v>
      </c>
      <c r="AD355" s="15" t="s">
        <v>9</v>
      </c>
      <c r="AE355" s="15" t="s">
        <v>9</v>
      </c>
      <c r="AF355" s="20" t="s">
        <v>9</v>
      </c>
      <c r="AG355" s="20" t="s">
        <v>9</v>
      </c>
      <c r="AH355" s="24" t="s">
        <v>9</v>
      </c>
      <c r="AI355" s="23">
        <v>3</v>
      </c>
      <c r="AJ355" s="15" t="s">
        <v>9</v>
      </c>
      <c r="AK355" s="15" t="s">
        <v>9</v>
      </c>
      <c r="AL355" s="25" t="s">
        <v>9</v>
      </c>
      <c r="AM355" s="23">
        <v>3</v>
      </c>
      <c r="AN355" s="20" t="s">
        <v>9</v>
      </c>
      <c r="AO355" s="20" t="s">
        <v>9</v>
      </c>
      <c r="AP355" s="15" t="s">
        <v>9</v>
      </c>
      <c r="AQ355" s="15" t="s">
        <v>9</v>
      </c>
      <c r="AR355" s="15" t="s">
        <v>9</v>
      </c>
      <c r="AS355" s="26" t="s">
        <v>9</v>
      </c>
      <c r="AT355" s="26" t="s">
        <v>9</v>
      </c>
      <c r="AU355" s="26" t="s">
        <v>9</v>
      </c>
      <c r="AV355" s="26" t="s">
        <v>9</v>
      </c>
      <c r="AW355" s="26" t="s">
        <v>9</v>
      </c>
      <c r="AX355" s="26" t="s">
        <v>9</v>
      </c>
      <c r="AY355" s="26" t="s">
        <v>9</v>
      </c>
      <c r="AZ355" s="26" t="s">
        <v>9</v>
      </c>
      <c r="BA355" s="23">
        <v>3</v>
      </c>
      <c r="BB355" s="24" t="s">
        <v>9</v>
      </c>
    </row>
    <row r="356" spans="1:54" x14ac:dyDescent="0.2">
      <c r="A356" s="19">
        <v>1933</v>
      </c>
      <c r="B356" s="27" t="s">
        <v>9</v>
      </c>
      <c r="C356" s="27" t="s">
        <v>9</v>
      </c>
      <c r="D356" s="27" t="s">
        <v>9</v>
      </c>
      <c r="E356" s="27" t="s">
        <v>9</v>
      </c>
      <c r="F356" s="27" t="s">
        <v>9</v>
      </c>
      <c r="G356" s="27" t="s">
        <v>9</v>
      </c>
      <c r="H356" s="27" t="s">
        <v>9</v>
      </c>
      <c r="I356" s="27" t="s">
        <v>9</v>
      </c>
      <c r="J356" s="27" t="s">
        <v>9</v>
      </c>
      <c r="K356" s="27" t="s">
        <v>9</v>
      </c>
      <c r="L356" s="27" t="s">
        <v>9</v>
      </c>
      <c r="M356" s="27" t="s">
        <v>9</v>
      </c>
      <c r="N356" s="27" t="s">
        <v>9</v>
      </c>
      <c r="O356" s="27" t="s">
        <v>9</v>
      </c>
      <c r="P356" s="27" t="s">
        <v>9</v>
      </c>
      <c r="Q356" s="27" t="s">
        <v>9</v>
      </c>
      <c r="R356" s="27" t="s">
        <v>9</v>
      </c>
      <c r="S356" s="27" t="s">
        <v>9</v>
      </c>
      <c r="T356" s="27" t="s">
        <v>9</v>
      </c>
      <c r="U356" s="27" t="s">
        <v>9</v>
      </c>
      <c r="V356" s="20" t="s">
        <v>1</v>
      </c>
      <c r="W356" s="20">
        <v>5</v>
      </c>
      <c r="X356" s="20">
        <v>3</v>
      </c>
      <c r="Y356" s="20">
        <v>2</v>
      </c>
      <c r="Z356" s="20">
        <v>4</v>
      </c>
      <c r="AA356" s="23">
        <v>3</v>
      </c>
      <c r="AB356" s="15" t="s">
        <v>9</v>
      </c>
      <c r="AC356" s="15" t="s">
        <v>9</v>
      </c>
      <c r="AD356" s="15" t="s">
        <v>9</v>
      </c>
      <c r="AE356" s="15" t="s">
        <v>9</v>
      </c>
      <c r="AF356" s="20" t="s">
        <v>9</v>
      </c>
      <c r="AG356" s="20" t="s">
        <v>9</v>
      </c>
      <c r="AH356" s="24" t="s">
        <v>9</v>
      </c>
      <c r="AI356" s="23">
        <v>3</v>
      </c>
      <c r="AJ356" s="15" t="s">
        <v>9</v>
      </c>
      <c r="AK356" s="15" t="s">
        <v>9</v>
      </c>
      <c r="AL356" s="25" t="s">
        <v>9</v>
      </c>
      <c r="AM356" s="23">
        <v>3</v>
      </c>
      <c r="AN356" s="20" t="s">
        <v>9</v>
      </c>
      <c r="AO356" s="20" t="s">
        <v>9</v>
      </c>
      <c r="AP356" s="15" t="s">
        <v>9</v>
      </c>
      <c r="AQ356" s="15" t="s">
        <v>9</v>
      </c>
      <c r="AR356" s="15" t="s">
        <v>9</v>
      </c>
      <c r="AS356" s="26" t="s">
        <v>9</v>
      </c>
      <c r="AT356" s="26" t="s">
        <v>9</v>
      </c>
      <c r="AU356" s="26" t="s">
        <v>9</v>
      </c>
      <c r="AV356" s="26" t="s">
        <v>9</v>
      </c>
      <c r="AW356" s="26" t="s">
        <v>9</v>
      </c>
      <c r="AX356" s="26" t="s">
        <v>9</v>
      </c>
      <c r="AY356" s="26" t="s">
        <v>9</v>
      </c>
      <c r="AZ356" s="26" t="s">
        <v>9</v>
      </c>
      <c r="BA356" s="23">
        <v>3</v>
      </c>
      <c r="BB356" s="24" t="s">
        <v>9</v>
      </c>
    </row>
    <row r="357" spans="1:54" x14ac:dyDescent="0.2">
      <c r="A357" s="19">
        <v>1978</v>
      </c>
      <c r="B357" s="27" t="s">
        <v>9</v>
      </c>
      <c r="C357" s="27" t="s">
        <v>9</v>
      </c>
      <c r="D357" s="27" t="s">
        <v>9</v>
      </c>
      <c r="E357" s="27" t="s">
        <v>9</v>
      </c>
      <c r="F357" s="27" t="s">
        <v>9</v>
      </c>
      <c r="G357" s="27" t="s">
        <v>9</v>
      </c>
      <c r="H357" s="27" t="s">
        <v>9</v>
      </c>
      <c r="I357" s="27" t="s">
        <v>9</v>
      </c>
      <c r="J357" s="27" t="s">
        <v>9</v>
      </c>
      <c r="K357" s="27" t="s">
        <v>9</v>
      </c>
      <c r="L357" s="27" t="s">
        <v>9</v>
      </c>
      <c r="M357" s="27" t="s">
        <v>9</v>
      </c>
      <c r="N357" s="27" t="s">
        <v>9</v>
      </c>
      <c r="O357" s="27" t="s">
        <v>9</v>
      </c>
      <c r="P357" s="27" t="s">
        <v>9</v>
      </c>
      <c r="Q357" s="27" t="s">
        <v>9</v>
      </c>
      <c r="R357" s="27" t="s">
        <v>9</v>
      </c>
      <c r="S357" s="27" t="s">
        <v>9</v>
      </c>
      <c r="T357" s="27" t="s">
        <v>9</v>
      </c>
      <c r="U357" s="27" t="s">
        <v>9</v>
      </c>
      <c r="V357" s="20" t="s">
        <v>1</v>
      </c>
      <c r="W357" s="20">
        <v>5</v>
      </c>
      <c r="X357" s="20">
        <v>3</v>
      </c>
      <c r="Y357" s="20">
        <v>2</v>
      </c>
      <c r="Z357" s="20">
        <v>4</v>
      </c>
      <c r="AA357" s="23">
        <v>3</v>
      </c>
      <c r="AB357" s="15" t="s">
        <v>9</v>
      </c>
      <c r="AC357" s="15" t="s">
        <v>9</v>
      </c>
      <c r="AD357" s="15" t="s">
        <v>9</v>
      </c>
      <c r="AE357" s="15" t="s">
        <v>9</v>
      </c>
      <c r="AF357" s="20" t="s">
        <v>9</v>
      </c>
      <c r="AG357" s="20" t="s">
        <v>9</v>
      </c>
      <c r="AH357" s="24" t="s">
        <v>9</v>
      </c>
      <c r="AI357" s="23">
        <v>3</v>
      </c>
      <c r="AJ357" s="15" t="s">
        <v>9</v>
      </c>
      <c r="AK357" s="15" t="s">
        <v>9</v>
      </c>
      <c r="AL357" s="25" t="s">
        <v>9</v>
      </c>
      <c r="AM357" s="23">
        <v>3</v>
      </c>
      <c r="AN357" s="20" t="s">
        <v>9</v>
      </c>
      <c r="AO357" s="20" t="s">
        <v>9</v>
      </c>
      <c r="AP357" s="15" t="s">
        <v>9</v>
      </c>
      <c r="AQ357" s="15" t="s">
        <v>9</v>
      </c>
      <c r="AR357" s="15" t="s">
        <v>9</v>
      </c>
      <c r="AS357" s="26" t="s">
        <v>9</v>
      </c>
      <c r="AT357" s="26" t="s">
        <v>9</v>
      </c>
      <c r="AU357" s="26" t="s">
        <v>9</v>
      </c>
      <c r="AV357" s="26" t="s">
        <v>9</v>
      </c>
      <c r="AW357" s="26" t="s">
        <v>9</v>
      </c>
      <c r="AX357" s="26" t="s">
        <v>9</v>
      </c>
      <c r="AY357" s="26" t="s">
        <v>9</v>
      </c>
      <c r="AZ357" s="26" t="s">
        <v>9</v>
      </c>
      <c r="BA357" s="23">
        <v>3</v>
      </c>
      <c r="BB357" s="24" t="s">
        <v>9</v>
      </c>
    </row>
    <row r="358" spans="1:54" x14ac:dyDescent="0.2">
      <c r="A358" s="19">
        <v>2031</v>
      </c>
      <c r="B358" s="27" t="s">
        <v>9</v>
      </c>
      <c r="C358" s="27" t="s">
        <v>9</v>
      </c>
      <c r="D358" s="27" t="s">
        <v>9</v>
      </c>
      <c r="E358" s="27" t="s">
        <v>9</v>
      </c>
      <c r="F358" s="27" t="s">
        <v>9</v>
      </c>
      <c r="G358" s="27" t="s">
        <v>9</v>
      </c>
      <c r="H358" s="27" t="s">
        <v>9</v>
      </c>
      <c r="I358" s="27" t="s">
        <v>9</v>
      </c>
      <c r="J358" s="27" t="s">
        <v>9</v>
      </c>
      <c r="K358" s="27" t="s">
        <v>9</v>
      </c>
      <c r="L358" s="27" t="s">
        <v>9</v>
      </c>
      <c r="M358" s="27" t="s">
        <v>9</v>
      </c>
      <c r="N358" s="27" t="s">
        <v>9</v>
      </c>
      <c r="O358" s="27" t="s">
        <v>9</v>
      </c>
      <c r="P358" s="27" t="s">
        <v>9</v>
      </c>
      <c r="Q358" s="27" t="s">
        <v>9</v>
      </c>
      <c r="R358" s="27" t="s">
        <v>9</v>
      </c>
      <c r="S358" s="27" t="s">
        <v>9</v>
      </c>
      <c r="T358" s="27" t="s">
        <v>9</v>
      </c>
      <c r="U358" s="27" t="s">
        <v>9</v>
      </c>
      <c r="V358" s="20" t="s">
        <v>1</v>
      </c>
      <c r="W358" s="20">
        <v>5</v>
      </c>
      <c r="X358" s="20">
        <v>3</v>
      </c>
      <c r="Y358" s="20">
        <v>2</v>
      </c>
      <c r="Z358" s="20">
        <v>4</v>
      </c>
      <c r="AA358" s="23">
        <v>3</v>
      </c>
      <c r="AB358" s="15" t="s">
        <v>9</v>
      </c>
      <c r="AC358" s="15" t="s">
        <v>9</v>
      </c>
      <c r="AD358" s="15" t="s">
        <v>9</v>
      </c>
      <c r="AE358" s="15" t="s">
        <v>9</v>
      </c>
      <c r="AF358" s="20" t="s">
        <v>9</v>
      </c>
      <c r="AG358" s="20" t="s">
        <v>9</v>
      </c>
      <c r="AH358" s="24" t="s">
        <v>9</v>
      </c>
      <c r="AI358" s="23">
        <v>3</v>
      </c>
      <c r="AJ358" s="15" t="s">
        <v>9</v>
      </c>
      <c r="AK358" s="15" t="s">
        <v>9</v>
      </c>
      <c r="AL358" s="25" t="s">
        <v>9</v>
      </c>
      <c r="AM358" s="23">
        <v>3</v>
      </c>
      <c r="AN358" s="20" t="s">
        <v>9</v>
      </c>
      <c r="AO358" s="20" t="s">
        <v>9</v>
      </c>
      <c r="AP358" s="15" t="s">
        <v>9</v>
      </c>
      <c r="AQ358" s="15" t="s">
        <v>9</v>
      </c>
      <c r="AR358" s="15" t="s">
        <v>9</v>
      </c>
      <c r="AS358" s="26" t="s">
        <v>9</v>
      </c>
      <c r="AT358" s="26" t="s">
        <v>9</v>
      </c>
      <c r="AU358" s="26" t="s">
        <v>9</v>
      </c>
      <c r="AV358" s="26" t="s">
        <v>9</v>
      </c>
      <c r="AW358" s="26" t="s">
        <v>9</v>
      </c>
      <c r="AX358" s="26" t="s">
        <v>9</v>
      </c>
      <c r="AY358" s="26" t="s">
        <v>9</v>
      </c>
      <c r="AZ358" s="26" t="s">
        <v>9</v>
      </c>
      <c r="BA358" s="23">
        <v>3</v>
      </c>
      <c r="BB358" s="24" t="s">
        <v>9</v>
      </c>
    </row>
    <row r="359" spans="1:54" x14ac:dyDescent="0.2">
      <c r="A359" s="19">
        <v>2034</v>
      </c>
      <c r="B359" s="27" t="s">
        <v>9</v>
      </c>
      <c r="C359" s="27" t="s">
        <v>9</v>
      </c>
      <c r="D359" s="27" t="s">
        <v>9</v>
      </c>
      <c r="E359" s="27" t="s">
        <v>9</v>
      </c>
      <c r="F359" s="27" t="s">
        <v>9</v>
      </c>
      <c r="G359" s="27" t="s">
        <v>9</v>
      </c>
      <c r="H359" s="27" t="s">
        <v>9</v>
      </c>
      <c r="I359" s="27" t="s">
        <v>9</v>
      </c>
      <c r="J359" s="27" t="s">
        <v>9</v>
      </c>
      <c r="K359" s="27" t="s">
        <v>9</v>
      </c>
      <c r="L359" s="27" t="s">
        <v>9</v>
      </c>
      <c r="M359" s="27" t="s">
        <v>9</v>
      </c>
      <c r="N359" s="27" t="s">
        <v>9</v>
      </c>
      <c r="O359" s="27" t="s">
        <v>9</v>
      </c>
      <c r="P359" s="27" t="s">
        <v>9</v>
      </c>
      <c r="Q359" s="27" t="s">
        <v>9</v>
      </c>
      <c r="R359" s="27" t="s">
        <v>9</v>
      </c>
      <c r="S359" s="27" t="s">
        <v>9</v>
      </c>
      <c r="T359" s="27" t="s">
        <v>9</v>
      </c>
      <c r="U359" s="27" t="s">
        <v>9</v>
      </c>
      <c r="V359" s="20" t="s">
        <v>1</v>
      </c>
      <c r="W359" s="20">
        <v>5</v>
      </c>
      <c r="X359" s="20">
        <v>3</v>
      </c>
      <c r="Y359" s="20">
        <v>2</v>
      </c>
      <c r="Z359" s="20">
        <v>4</v>
      </c>
      <c r="AA359" s="23">
        <v>3</v>
      </c>
      <c r="AB359" s="15" t="s">
        <v>9</v>
      </c>
      <c r="AC359" s="15" t="s">
        <v>9</v>
      </c>
      <c r="AD359" s="15" t="s">
        <v>9</v>
      </c>
      <c r="AE359" s="15" t="s">
        <v>9</v>
      </c>
      <c r="AF359" s="20" t="s">
        <v>9</v>
      </c>
      <c r="AG359" s="20" t="s">
        <v>9</v>
      </c>
      <c r="AH359" s="24" t="s">
        <v>9</v>
      </c>
      <c r="AI359" s="23">
        <v>3</v>
      </c>
      <c r="AJ359" s="15" t="s">
        <v>9</v>
      </c>
      <c r="AK359" s="15" t="s">
        <v>9</v>
      </c>
      <c r="AL359" s="25" t="s">
        <v>9</v>
      </c>
      <c r="AM359" s="23">
        <v>3</v>
      </c>
      <c r="AN359" s="20" t="s">
        <v>9</v>
      </c>
      <c r="AO359" s="20" t="s">
        <v>9</v>
      </c>
      <c r="AP359" s="15" t="s">
        <v>9</v>
      </c>
      <c r="AQ359" s="15" t="s">
        <v>9</v>
      </c>
      <c r="AR359" s="15" t="s">
        <v>9</v>
      </c>
      <c r="AS359" s="26" t="s">
        <v>9</v>
      </c>
      <c r="AT359" s="26" t="s">
        <v>9</v>
      </c>
      <c r="AU359" s="26" t="s">
        <v>9</v>
      </c>
      <c r="AV359" s="26" t="s">
        <v>9</v>
      </c>
      <c r="AW359" s="26" t="s">
        <v>9</v>
      </c>
      <c r="AX359" s="26" t="s">
        <v>9</v>
      </c>
      <c r="AY359" s="26" t="s">
        <v>9</v>
      </c>
      <c r="AZ359" s="26" t="s">
        <v>9</v>
      </c>
      <c r="BA359" s="23">
        <v>3</v>
      </c>
      <c r="BB359" s="24" t="s">
        <v>9</v>
      </c>
    </row>
    <row r="360" spans="1:54" x14ac:dyDescent="0.2">
      <c r="A360" s="19">
        <v>2044</v>
      </c>
      <c r="B360" s="27" t="s">
        <v>9</v>
      </c>
      <c r="C360" s="27" t="s">
        <v>9</v>
      </c>
      <c r="D360" s="27" t="s">
        <v>9</v>
      </c>
      <c r="E360" s="27" t="s">
        <v>9</v>
      </c>
      <c r="F360" s="27" t="s">
        <v>9</v>
      </c>
      <c r="G360" s="27" t="s">
        <v>9</v>
      </c>
      <c r="H360" s="27" t="s">
        <v>9</v>
      </c>
      <c r="I360" s="27" t="s">
        <v>9</v>
      </c>
      <c r="J360" s="27" t="s">
        <v>9</v>
      </c>
      <c r="K360" s="27" t="s">
        <v>9</v>
      </c>
      <c r="L360" s="27" t="s">
        <v>9</v>
      </c>
      <c r="M360" s="27" t="s">
        <v>9</v>
      </c>
      <c r="N360" s="27" t="s">
        <v>9</v>
      </c>
      <c r="O360" s="27" t="s">
        <v>9</v>
      </c>
      <c r="P360" s="27" t="s">
        <v>9</v>
      </c>
      <c r="Q360" s="27" t="s">
        <v>9</v>
      </c>
      <c r="R360" s="27" t="s">
        <v>9</v>
      </c>
      <c r="S360" s="27" t="s">
        <v>9</v>
      </c>
      <c r="T360" s="27" t="s">
        <v>9</v>
      </c>
      <c r="U360" s="27" t="s">
        <v>9</v>
      </c>
      <c r="V360" s="20" t="s">
        <v>1</v>
      </c>
      <c r="W360" s="20">
        <v>5</v>
      </c>
      <c r="X360" s="20">
        <v>3</v>
      </c>
      <c r="Y360" s="20">
        <v>2</v>
      </c>
      <c r="Z360" s="20">
        <v>4</v>
      </c>
      <c r="AA360" s="23">
        <v>3</v>
      </c>
      <c r="AB360" s="15" t="s">
        <v>9</v>
      </c>
      <c r="AC360" s="15" t="s">
        <v>9</v>
      </c>
      <c r="AD360" s="15" t="s">
        <v>9</v>
      </c>
      <c r="AE360" s="15" t="s">
        <v>9</v>
      </c>
      <c r="AF360" s="20" t="s">
        <v>9</v>
      </c>
      <c r="AG360" s="20" t="s">
        <v>9</v>
      </c>
      <c r="AH360" s="24" t="s">
        <v>9</v>
      </c>
      <c r="AI360" s="23">
        <v>3</v>
      </c>
      <c r="AJ360" s="15" t="s">
        <v>9</v>
      </c>
      <c r="AK360" s="15" t="s">
        <v>9</v>
      </c>
      <c r="AL360" s="25" t="s">
        <v>9</v>
      </c>
      <c r="AM360" s="23">
        <v>3</v>
      </c>
      <c r="AN360" s="20" t="s">
        <v>9</v>
      </c>
      <c r="AO360" s="20" t="s">
        <v>9</v>
      </c>
      <c r="AP360" s="15" t="s">
        <v>9</v>
      </c>
      <c r="AQ360" s="15" t="s">
        <v>9</v>
      </c>
      <c r="AR360" s="15" t="s">
        <v>9</v>
      </c>
      <c r="AS360" s="26" t="s">
        <v>9</v>
      </c>
      <c r="AT360" s="26" t="s">
        <v>9</v>
      </c>
      <c r="AU360" s="26" t="s">
        <v>9</v>
      </c>
      <c r="AV360" s="26" t="s">
        <v>9</v>
      </c>
      <c r="AW360" s="26" t="s">
        <v>9</v>
      </c>
      <c r="AX360" s="26" t="s">
        <v>9</v>
      </c>
      <c r="AY360" s="26" t="s">
        <v>9</v>
      </c>
      <c r="AZ360" s="26" t="s">
        <v>9</v>
      </c>
      <c r="BA360" s="23">
        <v>3</v>
      </c>
      <c r="BB360" s="24" t="s">
        <v>9</v>
      </c>
    </row>
    <row r="361" spans="1:54" x14ac:dyDescent="0.2">
      <c r="A361" s="19">
        <v>2053</v>
      </c>
      <c r="B361" s="27" t="s">
        <v>9</v>
      </c>
      <c r="C361" s="27" t="s">
        <v>9</v>
      </c>
      <c r="D361" s="27" t="s">
        <v>9</v>
      </c>
      <c r="E361" s="27" t="s">
        <v>9</v>
      </c>
      <c r="F361" s="27" t="s">
        <v>9</v>
      </c>
      <c r="G361" s="27" t="s">
        <v>9</v>
      </c>
      <c r="H361" s="27" t="s">
        <v>9</v>
      </c>
      <c r="I361" s="27" t="s">
        <v>9</v>
      </c>
      <c r="J361" s="27" t="s">
        <v>9</v>
      </c>
      <c r="K361" s="27" t="s">
        <v>9</v>
      </c>
      <c r="L361" s="27" t="s">
        <v>9</v>
      </c>
      <c r="M361" s="27" t="s">
        <v>9</v>
      </c>
      <c r="N361" s="27" t="s">
        <v>9</v>
      </c>
      <c r="O361" s="27" t="s">
        <v>9</v>
      </c>
      <c r="P361" s="27" t="s">
        <v>9</v>
      </c>
      <c r="Q361" s="27" t="s">
        <v>9</v>
      </c>
      <c r="R361" s="27" t="s">
        <v>9</v>
      </c>
      <c r="S361" s="27" t="s">
        <v>9</v>
      </c>
      <c r="T361" s="27" t="s">
        <v>9</v>
      </c>
      <c r="U361" s="27" t="s">
        <v>9</v>
      </c>
      <c r="V361" s="20" t="s">
        <v>1</v>
      </c>
      <c r="W361" s="20">
        <v>5</v>
      </c>
      <c r="X361" s="20">
        <v>3</v>
      </c>
      <c r="Y361" s="20">
        <v>2</v>
      </c>
      <c r="Z361" s="20">
        <v>4</v>
      </c>
      <c r="AA361" s="23">
        <v>3</v>
      </c>
      <c r="AB361" s="15" t="s">
        <v>9</v>
      </c>
      <c r="AC361" s="15" t="s">
        <v>9</v>
      </c>
      <c r="AD361" s="15" t="s">
        <v>9</v>
      </c>
      <c r="AE361" s="15" t="s">
        <v>9</v>
      </c>
      <c r="AF361" s="20" t="s">
        <v>9</v>
      </c>
      <c r="AG361" s="20" t="s">
        <v>9</v>
      </c>
      <c r="AH361" s="24" t="s">
        <v>9</v>
      </c>
      <c r="AI361" s="23">
        <v>3</v>
      </c>
      <c r="AJ361" s="15" t="s">
        <v>9</v>
      </c>
      <c r="AK361" s="15" t="s">
        <v>9</v>
      </c>
      <c r="AL361" s="25" t="s">
        <v>9</v>
      </c>
      <c r="AM361" s="23">
        <v>3</v>
      </c>
      <c r="AN361" s="20" t="s">
        <v>9</v>
      </c>
      <c r="AO361" s="20" t="s">
        <v>9</v>
      </c>
      <c r="AP361" s="15" t="s">
        <v>9</v>
      </c>
      <c r="AQ361" s="15" t="s">
        <v>9</v>
      </c>
      <c r="AR361" s="15" t="s">
        <v>9</v>
      </c>
      <c r="AS361" s="26" t="s">
        <v>9</v>
      </c>
      <c r="AT361" s="26" t="s">
        <v>9</v>
      </c>
      <c r="AU361" s="26" t="s">
        <v>9</v>
      </c>
      <c r="AV361" s="26" t="s">
        <v>9</v>
      </c>
      <c r="AW361" s="26" t="s">
        <v>9</v>
      </c>
      <c r="AX361" s="26" t="s">
        <v>9</v>
      </c>
      <c r="AY361" s="26" t="s">
        <v>9</v>
      </c>
      <c r="AZ361" s="26" t="s">
        <v>9</v>
      </c>
      <c r="BA361" s="23">
        <v>3</v>
      </c>
      <c r="BB361" s="24" t="s">
        <v>9</v>
      </c>
    </row>
    <row r="362" spans="1:54" x14ac:dyDescent="0.2">
      <c r="A362" s="19">
        <v>2054</v>
      </c>
      <c r="B362" s="27" t="s">
        <v>9</v>
      </c>
      <c r="C362" s="27" t="s">
        <v>9</v>
      </c>
      <c r="D362" s="27" t="s">
        <v>9</v>
      </c>
      <c r="E362" s="27" t="s">
        <v>9</v>
      </c>
      <c r="F362" s="27" t="s">
        <v>9</v>
      </c>
      <c r="G362" s="27" t="s">
        <v>9</v>
      </c>
      <c r="H362" s="27" t="s">
        <v>9</v>
      </c>
      <c r="I362" s="27" t="s">
        <v>9</v>
      </c>
      <c r="J362" s="27" t="s">
        <v>9</v>
      </c>
      <c r="K362" s="27" t="s">
        <v>9</v>
      </c>
      <c r="L362" s="27" t="s">
        <v>9</v>
      </c>
      <c r="M362" s="27" t="s">
        <v>9</v>
      </c>
      <c r="N362" s="27" t="s">
        <v>9</v>
      </c>
      <c r="O362" s="27" t="s">
        <v>9</v>
      </c>
      <c r="P362" s="27" t="s">
        <v>9</v>
      </c>
      <c r="Q362" s="27" t="s">
        <v>9</v>
      </c>
      <c r="R362" s="27" t="s">
        <v>9</v>
      </c>
      <c r="S362" s="27" t="s">
        <v>9</v>
      </c>
      <c r="T362" s="27" t="s">
        <v>9</v>
      </c>
      <c r="U362" s="27" t="s">
        <v>9</v>
      </c>
      <c r="V362" s="20" t="s">
        <v>1</v>
      </c>
      <c r="W362" s="20">
        <v>5</v>
      </c>
      <c r="X362" s="20">
        <v>3</v>
      </c>
      <c r="Y362" s="20">
        <v>2</v>
      </c>
      <c r="Z362" s="20">
        <v>4</v>
      </c>
      <c r="AA362" s="23">
        <v>3</v>
      </c>
      <c r="AB362" s="15" t="s">
        <v>9</v>
      </c>
      <c r="AC362" s="15" t="s">
        <v>9</v>
      </c>
      <c r="AD362" s="15" t="s">
        <v>9</v>
      </c>
      <c r="AE362" s="15" t="s">
        <v>9</v>
      </c>
      <c r="AF362" s="20" t="s">
        <v>9</v>
      </c>
      <c r="AG362" s="20" t="s">
        <v>9</v>
      </c>
      <c r="AH362" s="24" t="s">
        <v>9</v>
      </c>
      <c r="AI362" s="23">
        <v>3</v>
      </c>
      <c r="AJ362" s="15" t="s">
        <v>9</v>
      </c>
      <c r="AK362" s="15" t="s">
        <v>9</v>
      </c>
      <c r="AL362" s="25" t="s">
        <v>9</v>
      </c>
      <c r="AM362" s="23">
        <v>3</v>
      </c>
      <c r="AN362" s="20" t="s">
        <v>9</v>
      </c>
      <c r="AO362" s="20" t="s">
        <v>9</v>
      </c>
      <c r="AP362" s="15" t="s">
        <v>9</v>
      </c>
      <c r="AQ362" s="15" t="s">
        <v>9</v>
      </c>
      <c r="AR362" s="15" t="s">
        <v>9</v>
      </c>
      <c r="AS362" s="26" t="s">
        <v>9</v>
      </c>
      <c r="AT362" s="26" t="s">
        <v>9</v>
      </c>
      <c r="AU362" s="26" t="s">
        <v>9</v>
      </c>
      <c r="AV362" s="26" t="s">
        <v>9</v>
      </c>
      <c r="AW362" s="26" t="s">
        <v>9</v>
      </c>
      <c r="AX362" s="26" t="s">
        <v>9</v>
      </c>
      <c r="AY362" s="26" t="s">
        <v>9</v>
      </c>
      <c r="AZ362" s="26" t="s">
        <v>9</v>
      </c>
      <c r="BA362" s="23">
        <v>3</v>
      </c>
      <c r="BB362" s="24" t="s">
        <v>9</v>
      </c>
    </row>
    <row r="363" spans="1:54" x14ac:dyDescent="0.2">
      <c r="A363" s="19">
        <v>2058</v>
      </c>
      <c r="B363" s="27" t="s">
        <v>9</v>
      </c>
      <c r="C363" s="27" t="s">
        <v>9</v>
      </c>
      <c r="D363" s="27" t="s">
        <v>9</v>
      </c>
      <c r="E363" s="27" t="s">
        <v>9</v>
      </c>
      <c r="F363" s="27" t="s">
        <v>9</v>
      </c>
      <c r="G363" s="27" t="s">
        <v>9</v>
      </c>
      <c r="H363" s="27" t="s">
        <v>9</v>
      </c>
      <c r="I363" s="27" t="s">
        <v>9</v>
      </c>
      <c r="J363" s="27" t="s">
        <v>9</v>
      </c>
      <c r="K363" s="27" t="s">
        <v>9</v>
      </c>
      <c r="L363" s="27" t="s">
        <v>9</v>
      </c>
      <c r="M363" s="27" t="s">
        <v>9</v>
      </c>
      <c r="N363" s="27" t="s">
        <v>9</v>
      </c>
      <c r="O363" s="27" t="s">
        <v>9</v>
      </c>
      <c r="P363" s="27" t="s">
        <v>9</v>
      </c>
      <c r="Q363" s="27" t="s">
        <v>9</v>
      </c>
      <c r="R363" s="27" t="s">
        <v>9</v>
      </c>
      <c r="S363" s="27" t="s">
        <v>9</v>
      </c>
      <c r="T363" s="27" t="s">
        <v>9</v>
      </c>
      <c r="U363" s="27" t="s">
        <v>9</v>
      </c>
      <c r="V363" s="20" t="s">
        <v>1</v>
      </c>
      <c r="W363" s="20">
        <v>5</v>
      </c>
      <c r="X363" s="20">
        <v>3</v>
      </c>
      <c r="Y363" s="20">
        <v>2</v>
      </c>
      <c r="Z363" s="20">
        <v>4</v>
      </c>
      <c r="AA363" s="23">
        <v>3</v>
      </c>
      <c r="AB363" s="15" t="s">
        <v>9</v>
      </c>
      <c r="AC363" s="15" t="s">
        <v>9</v>
      </c>
      <c r="AD363" s="15" t="s">
        <v>9</v>
      </c>
      <c r="AE363" s="15" t="s">
        <v>9</v>
      </c>
      <c r="AF363" s="20" t="s">
        <v>9</v>
      </c>
      <c r="AG363" s="20" t="s">
        <v>9</v>
      </c>
      <c r="AH363" s="24" t="s">
        <v>9</v>
      </c>
      <c r="AI363" s="23">
        <v>3</v>
      </c>
      <c r="AJ363" s="15" t="s">
        <v>9</v>
      </c>
      <c r="AK363" s="15" t="s">
        <v>9</v>
      </c>
      <c r="AL363" s="25" t="s">
        <v>9</v>
      </c>
      <c r="AM363" s="23">
        <v>3</v>
      </c>
      <c r="AN363" s="20" t="s">
        <v>9</v>
      </c>
      <c r="AO363" s="20" t="s">
        <v>9</v>
      </c>
      <c r="AP363" s="15" t="s">
        <v>9</v>
      </c>
      <c r="AQ363" s="15" t="s">
        <v>9</v>
      </c>
      <c r="AR363" s="15" t="s">
        <v>9</v>
      </c>
      <c r="AS363" s="26" t="s">
        <v>9</v>
      </c>
      <c r="AT363" s="26" t="s">
        <v>9</v>
      </c>
      <c r="AU363" s="26" t="s">
        <v>9</v>
      </c>
      <c r="AV363" s="26" t="s">
        <v>9</v>
      </c>
      <c r="AW363" s="26" t="s">
        <v>9</v>
      </c>
      <c r="AX363" s="26" t="s">
        <v>9</v>
      </c>
      <c r="AY363" s="26" t="s">
        <v>9</v>
      </c>
      <c r="AZ363" s="26" t="s">
        <v>9</v>
      </c>
      <c r="BA363" s="23">
        <v>3</v>
      </c>
      <c r="BB363" s="24" t="s">
        <v>9</v>
      </c>
    </row>
    <row r="364" spans="1:54" x14ac:dyDescent="0.2">
      <c r="A364" s="19">
        <v>2062</v>
      </c>
      <c r="B364" s="27" t="s">
        <v>9</v>
      </c>
      <c r="C364" s="27" t="s">
        <v>9</v>
      </c>
      <c r="D364" s="27" t="s">
        <v>9</v>
      </c>
      <c r="E364" s="27" t="s">
        <v>9</v>
      </c>
      <c r="F364" s="27" t="s">
        <v>9</v>
      </c>
      <c r="G364" s="27" t="s">
        <v>9</v>
      </c>
      <c r="H364" s="27" t="s">
        <v>9</v>
      </c>
      <c r="I364" s="27" t="s">
        <v>9</v>
      </c>
      <c r="J364" s="27" t="s">
        <v>9</v>
      </c>
      <c r="K364" s="27" t="s">
        <v>9</v>
      </c>
      <c r="L364" s="27" t="s">
        <v>9</v>
      </c>
      <c r="M364" s="27" t="s">
        <v>9</v>
      </c>
      <c r="N364" s="27" t="s">
        <v>9</v>
      </c>
      <c r="O364" s="27" t="s">
        <v>9</v>
      </c>
      <c r="P364" s="27" t="s">
        <v>9</v>
      </c>
      <c r="Q364" s="27" t="s">
        <v>9</v>
      </c>
      <c r="R364" s="27" t="s">
        <v>9</v>
      </c>
      <c r="S364" s="27" t="s">
        <v>9</v>
      </c>
      <c r="T364" s="27" t="s">
        <v>9</v>
      </c>
      <c r="U364" s="27" t="s">
        <v>9</v>
      </c>
      <c r="V364" s="20" t="s">
        <v>1</v>
      </c>
      <c r="W364" s="20">
        <v>5</v>
      </c>
      <c r="X364" s="20">
        <v>3</v>
      </c>
      <c r="Y364" s="20">
        <v>2</v>
      </c>
      <c r="Z364" s="20">
        <v>4</v>
      </c>
      <c r="AA364" s="23">
        <v>3</v>
      </c>
      <c r="AB364" s="15" t="s">
        <v>9</v>
      </c>
      <c r="AC364" s="15" t="s">
        <v>9</v>
      </c>
      <c r="AD364" s="15" t="s">
        <v>9</v>
      </c>
      <c r="AE364" s="15" t="s">
        <v>9</v>
      </c>
      <c r="AF364" s="20" t="s">
        <v>9</v>
      </c>
      <c r="AG364" s="20" t="s">
        <v>9</v>
      </c>
      <c r="AH364" s="24" t="s">
        <v>9</v>
      </c>
      <c r="AI364" s="23">
        <v>3</v>
      </c>
      <c r="AJ364" s="15" t="s">
        <v>9</v>
      </c>
      <c r="AK364" s="15" t="s">
        <v>9</v>
      </c>
      <c r="AL364" s="25" t="s">
        <v>9</v>
      </c>
      <c r="AM364" s="23">
        <v>3</v>
      </c>
      <c r="AN364" s="20" t="s">
        <v>9</v>
      </c>
      <c r="AO364" s="20" t="s">
        <v>9</v>
      </c>
      <c r="AP364" s="15" t="s">
        <v>9</v>
      </c>
      <c r="AQ364" s="15" t="s">
        <v>9</v>
      </c>
      <c r="AR364" s="15" t="s">
        <v>9</v>
      </c>
      <c r="AS364" s="26" t="s">
        <v>9</v>
      </c>
      <c r="AT364" s="26" t="s">
        <v>9</v>
      </c>
      <c r="AU364" s="26" t="s">
        <v>9</v>
      </c>
      <c r="AV364" s="26" t="s">
        <v>9</v>
      </c>
      <c r="AW364" s="26" t="s">
        <v>9</v>
      </c>
      <c r="AX364" s="26" t="s">
        <v>9</v>
      </c>
      <c r="AY364" s="26" t="s">
        <v>9</v>
      </c>
      <c r="AZ364" s="26" t="s">
        <v>9</v>
      </c>
      <c r="BA364" s="23">
        <v>3</v>
      </c>
      <c r="BB364" s="24" t="s">
        <v>9</v>
      </c>
    </row>
    <row r="365" spans="1:54" x14ac:dyDescent="0.2">
      <c r="A365" s="19">
        <v>2064</v>
      </c>
      <c r="B365" s="27" t="s">
        <v>9</v>
      </c>
      <c r="C365" s="27" t="s">
        <v>9</v>
      </c>
      <c r="D365" s="27" t="s">
        <v>9</v>
      </c>
      <c r="E365" s="27" t="s">
        <v>9</v>
      </c>
      <c r="F365" s="27" t="s">
        <v>9</v>
      </c>
      <c r="G365" s="27" t="s">
        <v>9</v>
      </c>
      <c r="H365" s="27" t="s">
        <v>9</v>
      </c>
      <c r="I365" s="27" t="s">
        <v>9</v>
      </c>
      <c r="J365" s="27" t="s">
        <v>9</v>
      </c>
      <c r="K365" s="27" t="s">
        <v>9</v>
      </c>
      <c r="L365" s="27" t="s">
        <v>9</v>
      </c>
      <c r="M365" s="27" t="s">
        <v>9</v>
      </c>
      <c r="N365" s="27" t="s">
        <v>9</v>
      </c>
      <c r="O365" s="27" t="s">
        <v>9</v>
      </c>
      <c r="P365" s="27" t="s">
        <v>9</v>
      </c>
      <c r="Q365" s="27" t="s">
        <v>9</v>
      </c>
      <c r="R365" s="27" t="s">
        <v>9</v>
      </c>
      <c r="S365" s="27" t="s">
        <v>9</v>
      </c>
      <c r="T365" s="27" t="s">
        <v>9</v>
      </c>
      <c r="U365" s="27" t="s">
        <v>9</v>
      </c>
      <c r="V365" s="20" t="s">
        <v>1</v>
      </c>
      <c r="W365" s="20">
        <v>5</v>
      </c>
      <c r="X365" s="20">
        <v>3</v>
      </c>
      <c r="Y365" s="20">
        <v>2</v>
      </c>
      <c r="Z365" s="20">
        <v>4</v>
      </c>
      <c r="AA365" s="23">
        <v>3</v>
      </c>
      <c r="AB365" s="15" t="s">
        <v>9</v>
      </c>
      <c r="AC365" s="15" t="s">
        <v>9</v>
      </c>
      <c r="AD365" s="15" t="s">
        <v>9</v>
      </c>
      <c r="AE365" s="15" t="s">
        <v>9</v>
      </c>
      <c r="AF365" s="20" t="s">
        <v>9</v>
      </c>
      <c r="AG365" s="20" t="s">
        <v>9</v>
      </c>
      <c r="AH365" s="24" t="s">
        <v>9</v>
      </c>
      <c r="AI365" s="23">
        <v>3</v>
      </c>
      <c r="AJ365" s="15" t="s">
        <v>9</v>
      </c>
      <c r="AK365" s="15" t="s">
        <v>9</v>
      </c>
      <c r="AL365" s="25" t="s">
        <v>9</v>
      </c>
      <c r="AM365" s="23">
        <v>3</v>
      </c>
      <c r="AN365" s="20" t="s">
        <v>9</v>
      </c>
      <c r="AO365" s="20" t="s">
        <v>9</v>
      </c>
      <c r="AP365" s="15" t="s">
        <v>9</v>
      </c>
      <c r="AQ365" s="15" t="s">
        <v>9</v>
      </c>
      <c r="AR365" s="15" t="s">
        <v>9</v>
      </c>
      <c r="AS365" s="26" t="s">
        <v>9</v>
      </c>
      <c r="AT365" s="26" t="s">
        <v>9</v>
      </c>
      <c r="AU365" s="26" t="s">
        <v>9</v>
      </c>
      <c r="AV365" s="26" t="s">
        <v>9</v>
      </c>
      <c r="AW365" s="26" t="s">
        <v>9</v>
      </c>
      <c r="AX365" s="26" t="s">
        <v>9</v>
      </c>
      <c r="AY365" s="26" t="s">
        <v>9</v>
      </c>
      <c r="AZ365" s="26" t="s">
        <v>9</v>
      </c>
      <c r="BA365" s="23">
        <v>3</v>
      </c>
      <c r="BB365" s="24" t="s">
        <v>9</v>
      </c>
    </row>
    <row r="366" spans="1:54" x14ac:dyDescent="0.2">
      <c r="A366" s="19">
        <v>2067</v>
      </c>
      <c r="B366" s="27" t="s">
        <v>9</v>
      </c>
      <c r="C366" s="27" t="s">
        <v>9</v>
      </c>
      <c r="D366" s="27" t="s">
        <v>9</v>
      </c>
      <c r="E366" s="27" t="s">
        <v>9</v>
      </c>
      <c r="F366" s="27" t="s">
        <v>9</v>
      </c>
      <c r="G366" s="27" t="s">
        <v>9</v>
      </c>
      <c r="H366" s="27" t="s">
        <v>9</v>
      </c>
      <c r="I366" s="27" t="s">
        <v>9</v>
      </c>
      <c r="J366" s="27" t="s">
        <v>9</v>
      </c>
      <c r="K366" s="27" t="s">
        <v>9</v>
      </c>
      <c r="L366" s="27" t="s">
        <v>9</v>
      </c>
      <c r="M366" s="27" t="s">
        <v>9</v>
      </c>
      <c r="N366" s="27" t="s">
        <v>9</v>
      </c>
      <c r="O366" s="27" t="s">
        <v>9</v>
      </c>
      <c r="P366" s="27" t="s">
        <v>9</v>
      </c>
      <c r="Q366" s="27" t="s">
        <v>9</v>
      </c>
      <c r="R366" s="27" t="s">
        <v>9</v>
      </c>
      <c r="S366" s="27" t="s">
        <v>9</v>
      </c>
      <c r="T366" s="27" t="s">
        <v>9</v>
      </c>
      <c r="U366" s="27" t="s">
        <v>9</v>
      </c>
      <c r="V366" s="20" t="s">
        <v>1</v>
      </c>
      <c r="W366" s="20">
        <v>5</v>
      </c>
      <c r="X366" s="20">
        <v>3</v>
      </c>
      <c r="Y366" s="20">
        <v>2</v>
      </c>
      <c r="Z366" s="20">
        <v>4</v>
      </c>
      <c r="AA366" s="23">
        <v>3</v>
      </c>
      <c r="AB366" s="15" t="s">
        <v>9</v>
      </c>
      <c r="AC366" s="15" t="s">
        <v>9</v>
      </c>
      <c r="AD366" s="15" t="s">
        <v>9</v>
      </c>
      <c r="AE366" s="15" t="s">
        <v>9</v>
      </c>
      <c r="AF366" s="20" t="s">
        <v>9</v>
      </c>
      <c r="AG366" s="20" t="s">
        <v>9</v>
      </c>
      <c r="AH366" s="24" t="s">
        <v>9</v>
      </c>
      <c r="AI366" s="23">
        <v>3</v>
      </c>
      <c r="AJ366" s="15" t="s">
        <v>9</v>
      </c>
      <c r="AK366" s="15" t="s">
        <v>9</v>
      </c>
      <c r="AL366" s="25" t="s">
        <v>9</v>
      </c>
      <c r="AM366" s="23">
        <v>3</v>
      </c>
      <c r="AN366" s="20" t="s">
        <v>9</v>
      </c>
      <c r="AO366" s="20" t="s">
        <v>9</v>
      </c>
      <c r="AP366" s="15" t="s">
        <v>9</v>
      </c>
      <c r="AQ366" s="15" t="s">
        <v>9</v>
      </c>
      <c r="AR366" s="15" t="s">
        <v>9</v>
      </c>
      <c r="AS366" s="26" t="s">
        <v>9</v>
      </c>
      <c r="AT366" s="26" t="s">
        <v>9</v>
      </c>
      <c r="AU366" s="26" t="s">
        <v>9</v>
      </c>
      <c r="AV366" s="26" t="s">
        <v>9</v>
      </c>
      <c r="AW366" s="26" t="s">
        <v>9</v>
      </c>
      <c r="AX366" s="26" t="s">
        <v>9</v>
      </c>
      <c r="AY366" s="26" t="s">
        <v>9</v>
      </c>
      <c r="AZ366" s="26" t="s">
        <v>9</v>
      </c>
      <c r="BA366" s="23">
        <v>3</v>
      </c>
      <c r="BB366" s="24" t="s">
        <v>9</v>
      </c>
    </row>
    <row r="367" spans="1:54" x14ac:dyDescent="0.2">
      <c r="A367" s="19">
        <v>2085</v>
      </c>
      <c r="B367" s="27" t="s">
        <v>9</v>
      </c>
      <c r="C367" s="27" t="s">
        <v>9</v>
      </c>
      <c r="D367" s="27" t="s">
        <v>9</v>
      </c>
      <c r="E367" s="27" t="s">
        <v>9</v>
      </c>
      <c r="F367" s="27" t="s">
        <v>9</v>
      </c>
      <c r="G367" s="27" t="s">
        <v>9</v>
      </c>
      <c r="H367" s="27" t="s">
        <v>9</v>
      </c>
      <c r="I367" s="27" t="s">
        <v>9</v>
      </c>
      <c r="J367" s="27" t="s">
        <v>9</v>
      </c>
      <c r="K367" s="27" t="s">
        <v>9</v>
      </c>
      <c r="L367" s="27" t="s">
        <v>9</v>
      </c>
      <c r="M367" s="27" t="s">
        <v>9</v>
      </c>
      <c r="N367" s="27" t="s">
        <v>9</v>
      </c>
      <c r="O367" s="27" t="s">
        <v>9</v>
      </c>
      <c r="P367" s="27" t="s">
        <v>9</v>
      </c>
      <c r="Q367" s="27" t="s">
        <v>9</v>
      </c>
      <c r="R367" s="27" t="s">
        <v>9</v>
      </c>
      <c r="S367" s="27" t="s">
        <v>9</v>
      </c>
      <c r="T367" s="27" t="s">
        <v>9</v>
      </c>
      <c r="U367" s="27" t="s">
        <v>9</v>
      </c>
      <c r="V367" s="20" t="s">
        <v>1</v>
      </c>
      <c r="W367" s="20">
        <v>5</v>
      </c>
      <c r="X367" s="20">
        <v>3</v>
      </c>
      <c r="Y367" s="20">
        <v>2</v>
      </c>
      <c r="Z367" s="20">
        <v>4</v>
      </c>
      <c r="AA367" s="23">
        <v>3</v>
      </c>
      <c r="AB367" s="15" t="s">
        <v>9</v>
      </c>
      <c r="AC367" s="15" t="s">
        <v>9</v>
      </c>
      <c r="AD367" s="15" t="s">
        <v>9</v>
      </c>
      <c r="AE367" s="15" t="s">
        <v>9</v>
      </c>
      <c r="AF367" s="20" t="s">
        <v>9</v>
      </c>
      <c r="AG367" s="20" t="s">
        <v>9</v>
      </c>
      <c r="AH367" s="24" t="s">
        <v>9</v>
      </c>
      <c r="AI367" s="23">
        <v>3</v>
      </c>
      <c r="AJ367" s="15" t="s">
        <v>9</v>
      </c>
      <c r="AK367" s="15" t="s">
        <v>9</v>
      </c>
      <c r="AL367" s="25" t="s">
        <v>9</v>
      </c>
      <c r="AM367" s="23">
        <v>3</v>
      </c>
      <c r="AN367" s="20" t="s">
        <v>9</v>
      </c>
      <c r="AO367" s="20" t="s">
        <v>9</v>
      </c>
      <c r="AP367" s="15" t="s">
        <v>9</v>
      </c>
      <c r="AQ367" s="15" t="s">
        <v>9</v>
      </c>
      <c r="AR367" s="15" t="s">
        <v>9</v>
      </c>
      <c r="AS367" s="26" t="s">
        <v>9</v>
      </c>
      <c r="AT367" s="26" t="s">
        <v>9</v>
      </c>
      <c r="AU367" s="26" t="s">
        <v>9</v>
      </c>
      <c r="AV367" s="26" t="s">
        <v>9</v>
      </c>
      <c r="AW367" s="26" t="s">
        <v>9</v>
      </c>
      <c r="AX367" s="26" t="s">
        <v>9</v>
      </c>
      <c r="AY367" s="26" t="s">
        <v>9</v>
      </c>
      <c r="AZ367" s="26" t="s">
        <v>9</v>
      </c>
      <c r="BA367" s="23">
        <v>3</v>
      </c>
      <c r="BB367" s="24" t="s">
        <v>9</v>
      </c>
    </row>
    <row r="368" spans="1:54" x14ac:dyDescent="0.2">
      <c r="A368" s="19">
        <v>2126</v>
      </c>
      <c r="B368" s="27" t="s">
        <v>9</v>
      </c>
      <c r="C368" s="27" t="s">
        <v>9</v>
      </c>
      <c r="D368" s="27" t="s">
        <v>9</v>
      </c>
      <c r="E368" s="27" t="s">
        <v>9</v>
      </c>
      <c r="F368" s="27" t="s">
        <v>9</v>
      </c>
      <c r="G368" s="27" t="s">
        <v>9</v>
      </c>
      <c r="H368" s="27" t="s">
        <v>9</v>
      </c>
      <c r="I368" s="27" t="s">
        <v>9</v>
      </c>
      <c r="J368" s="27" t="s">
        <v>9</v>
      </c>
      <c r="K368" s="27" t="s">
        <v>9</v>
      </c>
      <c r="L368" s="27" t="s">
        <v>9</v>
      </c>
      <c r="M368" s="27" t="s">
        <v>9</v>
      </c>
      <c r="N368" s="27" t="s">
        <v>9</v>
      </c>
      <c r="O368" s="27" t="s">
        <v>9</v>
      </c>
      <c r="P368" s="27" t="s">
        <v>9</v>
      </c>
      <c r="Q368" s="27" t="s">
        <v>9</v>
      </c>
      <c r="R368" s="27" t="s">
        <v>9</v>
      </c>
      <c r="S368" s="27" t="s">
        <v>9</v>
      </c>
      <c r="T368" s="27" t="s">
        <v>9</v>
      </c>
      <c r="U368" s="27" t="s">
        <v>9</v>
      </c>
      <c r="V368" s="20" t="s">
        <v>1</v>
      </c>
      <c r="W368" s="20">
        <v>5</v>
      </c>
      <c r="X368" s="20">
        <v>3</v>
      </c>
      <c r="Y368" s="20">
        <v>2</v>
      </c>
      <c r="Z368" s="20">
        <v>4</v>
      </c>
      <c r="AA368" s="23">
        <v>3</v>
      </c>
      <c r="AB368" s="15" t="s">
        <v>9</v>
      </c>
      <c r="AC368" s="15" t="s">
        <v>9</v>
      </c>
      <c r="AD368" s="15" t="s">
        <v>9</v>
      </c>
      <c r="AE368" s="15" t="s">
        <v>9</v>
      </c>
      <c r="AF368" s="20" t="s">
        <v>9</v>
      </c>
      <c r="AG368" s="20" t="s">
        <v>9</v>
      </c>
      <c r="AH368" s="24" t="s">
        <v>9</v>
      </c>
      <c r="AI368" s="23">
        <v>3</v>
      </c>
      <c r="AJ368" s="15" t="s">
        <v>9</v>
      </c>
      <c r="AK368" s="15" t="s">
        <v>9</v>
      </c>
      <c r="AL368" s="25" t="s">
        <v>9</v>
      </c>
      <c r="AM368" s="23">
        <v>3</v>
      </c>
      <c r="AN368" s="20" t="s">
        <v>9</v>
      </c>
      <c r="AO368" s="20" t="s">
        <v>9</v>
      </c>
      <c r="AP368" s="15" t="s">
        <v>9</v>
      </c>
      <c r="AQ368" s="15" t="s">
        <v>9</v>
      </c>
      <c r="AR368" s="15" t="s">
        <v>9</v>
      </c>
      <c r="AS368" s="26" t="s">
        <v>9</v>
      </c>
      <c r="AT368" s="26" t="s">
        <v>9</v>
      </c>
      <c r="AU368" s="26" t="s">
        <v>9</v>
      </c>
      <c r="AV368" s="26" t="s">
        <v>9</v>
      </c>
      <c r="AW368" s="26" t="s">
        <v>9</v>
      </c>
      <c r="AX368" s="26" t="s">
        <v>9</v>
      </c>
      <c r="AY368" s="26" t="s">
        <v>9</v>
      </c>
      <c r="AZ368" s="26" t="s">
        <v>9</v>
      </c>
      <c r="BA368" s="23">
        <v>3</v>
      </c>
      <c r="BB368" s="24" t="s">
        <v>9</v>
      </c>
    </row>
    <row r="369" spans="1:54" x14ac:dyDescent="0.2">
      <c r="A369" s="19">
        <v>2127</v>
      </c>
      <c r="B369" s="27" t="s">
        <v>9</v>
      </c>
      <c r="C369" s="27" t="s">
        <v>9</v>
      </c>
      <c r="D369" s="27" t="s">
        <v>9</v>
      </c>
      <c r="E369" s="27" t="s">
        <v>9</v>
      </c>
      <c r="F369" s="27" t="s">
        <v>9</v>
      </c>
      <c r="G369" s="27" t="s">
        <v>9</v>
      </c>
      <c r="H369" s="27" t="s">
        <v>9</v>
      </c>
      <c r="I369" s="27" t="s">
        <v>9</v>
      </c>
      <c r="J369" s="27" t="s">
        <v>9</v>
      </c>
      <c r="K369" s="27" t="s">
        <v>9</v>
      </c>
      <c r="L369" s="27" t="s">
        <v>9</v>
      </c>
      <c r="M369" s="27" t="s">
        <v>9</v>
      </c>
      <c r="N369" s="27" t="s">
        <v>9</v>
      </c>
      <c r="O369" s="27" t="s">
        <v>9</v>
      </c>
      <c r="P369" s="27" t="s">
        <v>9</v>
      </c>
      <c r="Q369" s="27" t="s">
        <v>9</v>
      </c>
      <c r="R369" s="27" t="s">
        <v>9</v>
      </c>
      <c r="S369" s="27" t="s">
        <v>9</v>
      </c>
      <c r="T369" s="27" t="s">
        <v>9</v>
      </c>
      <c r="U369" s="27" t="s">
        <v>9</v>
      </c>
      <c r="V369" s="20" t="s">
        <v>1</v>
      </c>
      <c r="W369" s="20">
        <v>5</v>
      </c>
      <c r="X369" s="20">
        <v>3</v>
      </c>
      <c r="Y369" s="20">
        <v>2</v>
      </c>
      <c r="Z369" s="20">
        <v>4</v>
      </c>
      <c r="AA369" s="23">
        <v>3</v>
      </c>
      <c r="AB369" s="15" t="s">
        <v>9</v>
      </c>
      <c r="AC369" s="15" t="s">
        <v>9</v>
      </c>
      <c r="AD369" s="15" t="s">
        <v>9</v>
      </c>
      <c r="AE369" s="15" t="s">
        <v>9</v>
      </c>
      <c r="AF369" s="20" t="s">
        <v>9</v>
      </c>
      <c r="AG369" s="20" t="s">
        <v>9</v>
      </c>
      <c r="AH369" s="24" t="s">
        <v>9</v>
      </c>
      <c r="AI369" s="23">
        <v>3</v>
      </c>
      <c r="AJ369" s="15" t="s">
        <v>9</v>
      </c>
      <c r="AK369" s="15" t="s">
        <v>9</v>
      </c>
      <c r="AL369" s="25" t="s">
        <v>9</v>
      </c>
      <c r="AM369" s="23">
        <v>3</v>
      </c>
      <c r="AN369" s="20" t="s">
        <v>9</v>
      </c>
      <c r="AO369" s="20" t="s">
        <v>9</v>
      </c>
      <c r="AP369" s="15" t="s">
        <v>9</v>
      </c>
      <c r="AQ369" s="15" t="s">
        <v>9</v>
      </c>
      <c r="AR369" s="15" t="s">
        <v>9</v>
      </c>
      <c r="AS369" s="26" t="s">
        <v>9</v>
      </c>
      <c r="AT369" s="26" t="s">
        <v>9</v>
      </c>
      <c r="AU369" s="26" t="s">
        <v>9</v>
      </c>
      <c r="AV369" s="26" t="s">
        <v>9</v>
      </c>
      <c r="AW369" s="26" t="s">
        <v>9</v>
      </c>
      <c r="AX369" s="26" t="s">
        <v>9</v>
      </c>
      <c r="AY369" s="26" t="s">
        <v>9</v>
      </c>
      <c r="AZ369" s="26" t="s">
        <v>9</v>
      </c>
      <c r="BA369" s="23">
        <v>3</v>
      </c>
      <c r="BB369" s="24" t="s">
        <v>9</v>
      </c>
    </row>
    <row r="370" spans="1:54" x14ac:dyDescent="0.2">
      <c r="A370" s="19">
        <v>2133</v>
      </c>
      <c r="B370" s="27" t="s">
        <v>9</v>
      </c>
      <c r="C370" s="27" t="s">
        <v>9</v>
      </c>
      <c r="D370" s="27" t="s">
        <v>9</v>
      </c>
      <c r="E370" s="27" t="s">
        <v>9</v>
      </c>
      <c r="F370" s="27" t="s">
        <v>9</v>
      </c>
      <c r="G370" s="27" t="s">
        <v>9</v>
      </c>
      <c r="H370" s="27" t="s">
        <v>9</v>
      </c>
      <c r="I370" s="27" t="s">
        <v>9</v>
      </c>
      <c r="J370" s="27" t="s">
        <v>9</v>
      </c>
      <c r="K370" s="27" t="s">
        <v>9</v>
      </c>
      <c r="L370" s="27" t="s">
        <v>9</v>
      </c>
      <c r="M370" s="27" t="s">
        <v>9</v>
      </c>
      <c r="N370" s="27" t="s">
        <v>9</v>
      </c>
      <c r="O370" s="27" t="s">
        <v>9</v>
      </c>
      <c r="P370" s="27" t="s">
        <v>9</v>
      </c>
      <c r="Q370" s="27" t="s">
        <v>9</v>
      </c>
      <c r="R370" s="27" t="s">
        <v>9</v>
      </c>
      <c r="S370" s="27" t="s">
        <v>9</v>
      </c>
      <c r="T370" s="27" t="s">
        <v>9</v>
      </c>
      <c r="U370" s="27" t="s">
        <v>9</v>
      </c>
      <c r="V370" s="20" t="s">
        <v>1</v>
      </c>
      <c r="W370" s="20">
        <v>5</v>
      </c>
      <c r="X370" s="20">
        <v>3</v>
      </c>
      <c r="Y370" s="20">
        <v>2</v>
      </c>
      <c r="Z370" s="20">
        <v>4</v>
      </c>
      <c r="AA370" s="23">
        <v>3</v>
      </c>
      <c r="AB370" s="15" t="s">
        <v>9</v>
      </c>
      <c r="AC370" s="15" t="s">
        <v>9</v>
      </c>
      <c r="AD370" s="15" t="s">
        <v>9</v>
      </c>
      <c r="AE370" s="15" t="s">
        <v>9</v>
      </c>
      <c r="AF370" s="20" t="s">
        <v>9</v>
      </c>
      <c r="AG370" s="20" t="s">
        <v>9</v>
      </c>
      <c r="AH370" s="24" t="s">
        <v>9</v>
      </c>
      <c r="AI370" s="23">
        <v>3</v>
      </c>
      <c r="AJ370" s="15" t="s">
        <v>9</v>
      </c>
      <c r="AK370" s="15" t="s">
        <v>9</v>
      </c>
      <c r="AL370" s="25" t="s">
        <v>9</v>
      </c>
      <c r="AM370" s="23">
        <v>3</v>
      </c>
      <c r="AN370" s="20" t="s">
        <v>9</v>
      </c>
      <c r="AO370" s="20" t="s">
        <v>9</v>
      </c>
      <c r="AP370" s="15" t="s">
        <v>9</v>
      </c>
      <c r="AQ370" s="15" t="s">
        <v>9</v>
      </c>
      <c r="AR370" s="15" t="s">
        <v>9</v>
      </c>
      <c r="AS370" s="26" t="s">
        <v>9</v>
      </c>
      <c r="AT370" s="26" t="s">
        <v>9</v>
      </c>
      <c r="AU370" s="26" t="s">
        <v>9</v>
      </c>
      <c r="AV370" s="26" t="s">
        <v>9</v>
      </c>
      <c r="AW370" s="26" t="s">
        <v>9</v>
      </c>
      <c r="AX370" s="26" t="s">
        <v>9</v>
      </c>
      <c r="AY370" s="26" t="s">
        <v>9</v>
      </c>
      <c r="AZ370" s="26" t="s">
        <v>9</v>
      </c>
      <c r="BA370" s="23">
        <v>3</v>
      </c>
      <c r="BB370" s="24" t="s">
        <v>9</v>
      </c>
    </row>
    <row r="371" spans="1:54" x14ac:dyDescent="0.2">
      <c r="A371" s="19">
        <v>2152</v>
      </c>
      <c r="B371" s="27" t="s">
        <v>9</v>
      </c>
      <c r="C371" s="27" t="s">
        <v>9</v>
      </c>
      <c r="D371" s="27" t="s">
        <v>9</v>
      </c>
      <c r="E371" s="27" t="s">
        <v>9</v>
      </c>
      <c r="F371" s="27" t="s">
        <v>9</v>
      </c>
      <c r="G371" s="27" t="s">
        <v>9</v>
      </c>
      <c r="H371" s="27" t="s">
        <v>9</v>
      </c>
      <c r="I371" s="27" t="s">
        <v>9</v>
      </c>
      <c r="J371" s="27" t="s">
        <v>9</v>
      </c>
      <c r="K371" s="27" t="s">
        <v>9</v>
      </c>
      <c r="L371" s="27" t="s">
        <v>9</v>
      </c>
      <c r="M371" s="27" t="s">
        <v>9</v>
      </c>
      <c r="N371" s="27" t="s">
        <v>9</v>
      </c>
      <c r="O371" s="27" t="s">
        <v>9</v>
      </c>
      <c r="P371" s="27" t="s">
        <v>9</v>
      </c>
      <c r="Q371" s="27" t="s">
        <v>9</v>
      </c>
      <c r="R371" s="27" t="s">
        <v>9</v>
      </c>
      <c r="S371" s="27" t="s">
        <v>9</v>
      </c>
      <c r="T371" s="27" t="s">
        <v>9</v>
      </c>
      <c r="U371" s="27" t="s">
        <v>9</v>
      </c>
      <c r="V371" s="20" t="s">
        <v>1</v>
      </c>
      <c r="W371" s="20">
        <v>5</v>
      </c>
      <c r="X371" s="20">
        <v>3</v>
      </c>
      <c r="Y371" s="20">
        <v>2</v>
      </c>
      <c r="Z371" s="20">
        <v>4</v>
      </c>
      <c r="AA371" s="23">
        <v>3</v>
      </c>
      <c r="AB371" s="15" t="s">
        <v>9</v>
      </c>
      <c r="AC371" s="15" t="s">
        <v>9</v>
      </c>
      <c r="AD371" s="15" t="s">
        <v>9</v>
      </c>
      <c r="AE371" s="15" t="s">
        <v>9</v>
      </c>
      <c r="AF371" s="20" t="s">
        <v>9</v>
      </c>
      <c r="AG371" s="20" t="s">
        <v>9</v>
      </c>
      <c r="AH371" s="24" t="s">
        <v>9</v>
      </c>
      <c r="AI371" s="23">
        <v>3</v>
      </c>
      <c r="AJ371" s="15" t="s">
        <v>9</v>
      </c>
      <c r="AK371" s="15" t="s">
        <v>9</v>
      </c>
      <c r="AL371" s="25" t="s">
        <v>9</v>
      </c>
      <c r="AM371" s="23">
        <v>3</v>
      </c>
      <c r="AN371" s="20" t="s">
        <v>9</v>
      </c>
      <c r="AO371" s="20" t="s">
        <v>9</v>
      </c>
      <c r="AP371" s="15" t="s">
        <v>9</v>
      </c>
      <c r="AQ371" s="15" t="s">
        <v>9</v>
      </c>
      <c r="AR371" s="15" t="s">
        <v>9</v>
      </c>
      <c r="AS371" s="26" t="s">
        <v>9</v>
      </c>
      <c r="AT371" s="26" t="s">
        <v>9</v>
      </c>
      <c r="AU371" s="26" t="s">
        <v>9</v>
      </c>
      <c r="AV371" s="26" t="s">
        <v>9</v>
      </c>
      <c r="AW371" s="26" t="s">
        <v>9</v>
      </c>
      <c r="AX371" s="26" t="s">
        <v>9</v>
      </c>
      <c r="AY371" s="26" t="s">
        <v>9</v>
      </c>
      <c r="AZ371" s="26" t="s">
        <v>9</v>
      </c>
      <c r="BA371" s="23">
        <v>3</v>
      </c>
      <c r="BB371" s="24" t="s">
        <v>9</v>
      </c>
    </row>
    <row r="372" spans="1:54" x14ac:dyDescent="0.2">
      <c r="A372" s="19">
        <v>2205</v>
      </c>
      <c r="B372" s="27" t="s">
        <v>9</v>
      </c>
      <c r="C372" s="27" t="s">
        <v>9</v>
      </c>
      <c r="D372" s="27" t="s">
        <v>9</v>
      </c>
      <c r="E372" s="27" t="s">
        <v>9</v>
      </c>
      <c r="F372" s="27" t="s">
        <v>9</v>
      </c>
      <c r="G372" s="27" t="s">
        <v>9</v>
      </c>
      <c r="H372" s="27" t="s">
        <v>9</v>
      </c>
      <c r="I372" s="27" t="s">
        <v>9</v>
      </c>
      <c r="J372" s="27" t="s">
        <v>9</v>
      </c>
      <c r="K372" s="27" t="s">
        <v>9</v>
      </c>
      <c r="L372" s="27" t="s">
        <v>9</v>
      </c>
      <c r="M372" s="27" t="s">
        <v>9</v>
      </c>
      <c r="N372" s="27" t="s">
        <v>9</v>
      </c>
      <c r="O372" s="27" t="s">
        <v>9</v>
      </c>
      <c r="P372" s="27" t="s">
        <v>9</v>
      </c>
      <c r="Q372" s="27" t="s">
        <v>9</v>
      </c>
      <c r="R372" s="27" t="s">
        <v>9</v>
      </c>
      <c r="S372" s="27" t="s">
        <v>9</v>
      </c>
      <c r="T372" s="27" t="s">
        <v>9</v>
      </c>
      <c r="U372" s="27" t="s">
        <v>9</v>
      </c>
      <c r="V372" s="20" t="s">
        <v>1</v>
      </c>
      <c r="W372" s="20">
        <v>5</v>
      </c>
      <c r="X372" s="20">
        <v>3</v>
      </c>
      <c r="Y372" s="20">
        <v>2</v>
      </c>
      <c r="Z372" s="20">
        <v>4</v>
      </c>
      <c r="AA372" s="23">
        <v>3</v>
      </c>
      <c r="AB372" s="15" t="s">
        <v>9</v>
      </c>
      <c r="AC372" s="15" t="s">
        <v>9</v>
      </c>
      <c r="AD372" s="15" t="s">
        <v>9</v>
      </c>
      <c r="AE372" s="15" t="s">
        <v>9</v>
      </c>
      <c r="AF372" s="20" t="s">
        <v>9</v>
      </c>
      <c r="AG372" s="20" t="s">
        <v>9</v>
      </c>
      <c r="AH372" s="24" t="s">
        <v>9</v>
      </c>
      <c r="AI372" s="23">
        <v>3</v>
      </c>
      <c r="AJ372" s="15" t="s">
        <v>9</v>
      </c>
      <c r="AK372" s="15" t="s">
        <v>9</v>
      </c>
      <c r="AL372" s="25" t="s">
        <v>9</v>
      </c>
      <c r="AM372" s="23">
        <v>3</v>
      </c>
      <c r="AN372" s="20" t="s">
        <v>9</v>
      </c>
      <c r="AO372" s="20" t="s">
        <v>9</v>
      </c>
      <c r="AP372" s="15" t="s">
        <v>9</v>
      </c>
      <c r="AQ372" s="15" t="s">
        <v>9</v>
      </c>
      <c r="AR372" s="15" t="s">
        <v>9</v>
      </c>
      <c r="AS372" s="26" t="s">
        <v>9</v>
      </c>
      <c r="AT372" s="26" t="s">
        <v>9</v>
      </c>
      <c r="AU372" s="26" t="s">
        <v>9</v>
      </c>
      <c r="AV372" s="26" t="s">
        <v>9</v>
      </c>
      <c r="AW372" s="26" t="s">
        <v>9</v>
      </c>
      <c r="AX372" s="26" t="s">
        <v>9</v>
      </c>
      <c r="AY372" s="26" t="s">
        <v>9</v>
      </c>
      <c r="AZ372" s="26" t="s">
        <v>9</v>
      </c>
      <c r="BA372" s="23">
        <v>3</v>
      </c>
      <c r="BB372" s="24" t="s">
        <v>9</v>
      </c>
    </row>
    <row r="373" spans="1:54" x14ac:dyDescent="0.2">
      <c r="A373" s="19">
        <v>2210</v>
      </c>
      <c r="B373" s="27" t="s">
        <v>9</v>
      </c>
      <c r="C373" s="27" t="s">
        <v>9</v>
      </c>
      <c r="D373" s="27" t="s">
        <v>9</v>
      </c>
      <c r="E373" s="27" t="s">
        <v>9</v>
      </c>
      <c r="F373" s="27" t="s">
        <v>9</v>
      </c>
      <c r="G373" s="27" t="s">
        <v>9</v>
      </c>
      <c r="H373" s="27" t="s">
        <v>9</v>
      </c>
      <c r="I373" s="27" t="s">
        <v>9</v>
      </c>
      <c r="J373" s="27" t="s">
        <v>9</v>
      </c>
      <c r="K373" s="27" t="s">
        <v>9</v>
      </c>
      <c r="L373" s="27" t="s">
        <v>9</v>
      </c>
      <c r="M373" s="27" t="s">
        <v>9</v>
      </c>
      <c r="N373" s="27" t="s">
        <v>9</v>
      </c>
      <c r="O373" s="27" t="s">
        <v>9</v>
      </c>
      <c r="P373" s="27" t="s">
        <v>9</v>
      </c>
      <c r="Q373" s="27" t="s">
        <v>9</v>
      </c>
      <c r="R373" s="27" t="s">
        <v>9</v>
      </c>
      <c r="S373" s="27" t="s">
        <v>9</v>
      </c>
      <c r="T373" s="27" t="s">
        <v>9</v>
      </c>
      <c r="U373" s="27" t="s">
        <v>9</v>
      </c>
      <c r="V373" s="20" t="s">
        <v>1</v>
      </c>
      <c r="W373" s="20">
        <v>5</v>
      </c>
      <c r="X373" s="20">
        <v>3</v>
      </c>
      <c r="Y373" s="20">
        <v>2</v>
      </c>
      <c r="Z373" s="20">
        <v>4</v>
      </c>
      <c r="AA373" s="23">
        <v>3</v>
      </c>
      <c r="AB373" s="15" t="s">
        <v>9</v>
      </c>
      <c r="AC373" s="15" t="s">
        <v>9</v>
      </c>
      <c r="AD373" s="15" t="s">
        <v>9</v>
      </c>
      <c r="AE373" s="15" t="s">
        <v>9</v>
      </c>
      <c r="AF373" s="20" t="s">
        <v>9</v>
      </c>
      <c r="AG373" s="20" t="s">
        <v>9</v>
      </c>
      <c r="AH373" s="24" t="s">
        <v>9</v>
      </c>
      <c r="AI373" s="23">
        <v>3</v>
      </c>
      <c r="AJ373" s="15" t="s">
        <v>9</v>
      </c>
      <c r="AK373" s="15" t="s">
        <v>9</v>
      </c>
      <c r="AL373" s="25" t="s">
        <v>9</v>
      </c>
      <c r="AM373" s="23">
        <v>3</v>
      </c>
      <c r="AN373" s="20" t="s">
        <v>9</v>
      </c>
      <c r="AO373" s="20" t="s">
        <v>9</v>
      </c>
      <c r="AP373" s="15" t="s">
        <v>9</v>
      </c>
      <c r="AQ373" s="15" t="s">
        <v>9</v>
      </c>
      <c r="AR373" s="15" t="s">
        <v>9</v>
      </c>
      <c r="AS373" s="26" t="s">
        <v>9</v>
      </c>
      <c r="AT373" s="26" t="s">
        <v>9</v>
      </c>
      <c r="AU373" s="26" t="s">
        <v>9</v>
      </c>
      <c r="AV373" s="26" t="s">
        <v>9</v>
      </c>
      <c r="AW373" s="26" t="s">
        <v>9</v>
      </c>
      <c r="AX373" s="26" t="s">
        <v>9</v>
      </c>
      <c r="AY373" s="26" t="s">
        <v>9</v>
      </c>
      <c r="AZ373" s="26" t="s">
        <v>9</v>
      </c>
      <c r="BA373" s="23">
        <v>3</v>
      </c>
      <c r="BB373" s="24" t="s">
        <v>9</v>
      </c>
    </row>
    <row r="374" spans="1:54" x14ac:dyDescent="0.2">
      <c r="A374" s="19">
        <v>2220</v>
      </c>
      <c r="B374" s="27" t="s">
        <v>9</v>
      </c>
      <c r="C374" s="27" t="s">
        <v>9</v>
      </c>
      <c r="D374" s="27" t="s">
        <v>9</v>
      </c>
      <c r="E374" s="27" t="s">
        <v>9</v>
      </c>
      <c r="F374" s="27" t="s">
        <v>9</v>
      </c>
      <c r="G374" s="27" t="s">
        <v>9</v>
      </c>
      <c r="H374" s="27" t="s">
        <v>9</v>
      </c>
      <c r="I374" s="27" t="s">
        <v>9</v>
      </c>
      <c r="J374" s="27" t="s">
        <v>9</v>
      </c>
      <c r="K374" s="27" t="s">
        <v>9</v>
      </c>
      <c r="L374" s="27" t="s">
        <v>9</v>
      </c>
      <c r="M374" s="27" t="s">
        <v>9</v>
      </c>
      <c r="N374" s="27" t="s">
        <v>9</v>
      </c>
      <c r="O374" s="27" t="s">
        <v>9</v>
      </c>
      <c r="P374" s="27" t="s">
        <v>9</v>
      </c>
      <c r="Q374" s="27" t="s">
        <v>9</v>
      </c>
      <c r="R374" s="27" t="s">
        <v>9</v>
      </c>
      <c r="S374" s="27" t="s">
        <v>9</v>
      </c>
      <c r="T374" s="27" t="s">
        <v>9</v>
      </c>
      <c r="U374" s="27" t="s">
        <v>9</v>
      </c>
      <c r="V374" s="20" t="s">
        <v>1</v>
      </c>
      <c r="W374" s="20">
        <v>5</v>
      </c>
      <c r="X374" s="20">
        <v>3</v>
      </c>
      <c r="Y374" s="20">
        <v>2</v>
      </c>
      <c r="Z374" s="20">
        <v>4</v>
      </c>
      <c r="AA374" s="23">
        <v>3</v>
      </c>
      <c r="AB374" s="15" t="s">
        <v>9</v>
      </c>
      <c r="AC374" s="15" t="s">
        <v>9</v>
      </c>
      <c r="AD374" s="15" t="s">
        <v>9</v>
      </c>
      <c r="AE374" s="15" t="s">
        <v>9</v>
      </c>
      <c r="AF374" s="20" t="s">
        <v>9</v>
      </c>
      <c r="AG374" s="20" t="s">
        <v>9</v>
      </c>
      <c r="AH374" s="24" t="s">
        <v>9</v>
      </c>
      <c r="AI374" s="23">
        <v>3</v>
      </c>
      <c r="AJ374" s="15" t="s">
        <v>9</v>
      </c>
      <c r="AK374" s="15" t="s">
        <v>9</v>
      </c>
      <c r="AL374" s="25" t="s">
        <v>9</v>
      </c>
      <c r="AM374" s="23">
        <v>3</v>
      </c>
      <c r="AN374" s="20" t="s">
        <v>9</v>
      </c>
      <c r="AO374" s="20" t="s">
        <v>9</v>
      </c>
      <c r="AP374" s="15" t="s">
        <v>9</v>
      </c>
      <c r="AQ374" s="15" t="s">
        <v>9</v>
      </c>
      <c r="AR374" s="15" t="s">
        <v>9</v>
      </c>
      <c r="AS374" s="26" t="s">
        <v>9</v>
      </c>
      <c r="AT374" s="26" t="s">
        <v>9</v>
      </c>
      <c r="AU374" s="26" t="s">
        <v>9</v>
      </c>
      <c r="AV374" s="26" t="s">
        <v>9</v>
      </c>
      <c r="AW374" s="26" t="s">
        <v>9</v>
      </c>
      <c r="AX374" s="26" t="s">
        <v>9</v>
      </c>
      <c r="AY374" s="26" t="s">
        <v>9</v>
      </c>
      <c r="AZ374" s="26" t="s">
        <v>9</v>
      </c>
      <c r="BA374" s="23">
        <v>3</v>
      </c>
      <c r="BB374" s="24" t="s">
        <v>9</v>
      </c>
    </row>
    <row r="375" spans="1:54" x14ac:dyDescent="0.2">
      <c r="A375" s="19">
        <v>2231</v>
      </c>
      <c r="B375" s="27" t="s">
        <v>9</v>
      </c>
      <c r="C375" s="27" t="s">
        <v>9</v>
      </c>
      <c r="D375" s="27" t="s">
        <v>9</v>
      </c>
      <c r="E375" s="27" t="s">
        <v>9</v>
      </c>
      <c r="F375" s="27" t="s">
        <v>9</v>
      </c>
      <c r="G375" s="27" t="s">
        <v>9</v>
      </c>
      <c r="H375" s="27" t="s">
        <v>9</v>
      </c>
      <c r="I375" s="27" t="s">
        <v>9</v>
      </c>
      <c r="J375" s="27" t="s">
        <v>9</v>
      </c>
      <c r="K375" s="27" t="s">
        <v>9</v>
      </c>
      <c r="L375" s="27" t="s">
        <v>9</v>
      </c>
      <c r="M375" s="27" t="s">
        <v>9</v>
      </c>
      <c r="N375" s="27" t="s">
        <v>9</v>
      </c>
      <c r="O375" s="27" t="s">
        <v>9</v>
      </c>
      <c r="P375" s="27" t="s">
        <v>9</v>
      </c>
      <c r="Q375" s="27" t="s">
        <v>9</v>
      </c>
      <c r="R375" s="27" t="s">
        <v>9</v>
      </c>
      <c r="S375" s="27" t="s">
        <v>9</v>
      </c>
      <c r="T375" s="27" t="s">
        <v>9</v>
      </c>
      <c r="U375" s="27" t="s">
        <v>9</v>
      </c>
      <c r="V375" s="20" t="s">
        <v>1</v>
      </c>
      <c r="W375" s="20">
        <v>5</v>
      </c>
      <c r="X375" s="20">
        <v>3</v>
      </c>
      <c r="Y375" s="20">
        <v>2</v>
      </c>
      <c r="Z375" s="20">
        <v>4</v>
      </c>
      <c r="AA375" s="23">
        <v>3</v>
      </c>
      <c r="AB375" s="15" t="s">
        <v>9</v>
      </c>
      <c r="AC375" s="15" t="s">
        <v>9</v>
      </c>
      <c r="AD375" s="15" t="s">
        <v>9</v>
      </c>
      <c r="AE375" s="15" t="s">
        <v>9</v>
      </c>
      <c r="AF375" s="20" t="s">
        <v>9</v>
      </c>
      <c r="AG375" s="20" t="s">
        <v>9</v>
      </c>
      <c r="AH375" s="24" t="s">
        <v>9</v>
      </c>
      <c r="AI375" s="23">
        <v>3</v>
      </c>
      <c r="AJ375" s="15" t="s">
        <v>9</v>
      </c>
      <c r="AK375" s="15" t="s">
        <v>9</v>
      </c>
      <c r="AL375" s="25" t="s">
        <v>9</v>
      </c>
      <c r="AM375" s="23">
        <v>3</v>
      </c>
      <c r="AN375" s="20" t="s">
        <v>9</v>
      </c>
      <c r="AO375" s="20" t="s">
        <v>9</v>
      </c>
      <c r="AP375" s="15" t="s">
        <v>9</v>
      </c>
      <c r="AQ375" s="15" t="s">
        <v>9</v>
      </c>
      <c r="AR375" s="15" t="s">
        <v>9</v>
      </c>
      <c r="AS375" s="26" t="s">
        <v>9</v>
      </c>
      <c r="AT375" s="26" t="s">
        <v>9</v>
      </c>
      <c r="AU375" s="26" t="s">
        <v>9</v>
      </c>
      <c r="AV375" s="26" t="s">
        <v>9</v>
      </c>
      <c r="AW375" s="26" t="s">
        <v>9</v>
      </c>
      <c r="AX375" s="26" t="s">
        <v>9</v>
      </c>
      <c r="AY375" s="26" t="s">
        <v>9</v>
      </c>
      <c r="AZ375" s="26" t="s">
        <v>9</v>
      </c>
      <c r="BA375" s="23">
        <v>3</v>
      </c>
      <c r="BB375" s="24" t="s">
        <v>9</v>
      </c>
    </row>
    <row r="376" spans="1:54" x14ac:dyDescent="0.2">
      <c r="A376" s="19">
        <v>2327</v>
      </c>
      <c r="B376" s="27" t="s">
        <v>9</v>
      </c>
      <c r="C376" s="27" t="s">
        <v>9</v>
      </c>
      <c r="D376" s="27" t="s">
        <v>9</v>
      </c>
      <c r="E376" s="27" t="s">
        <v>9</v>
      </c>
      <c r="F376" s="27" t="s">
        <v>9</v>
      </c>
      <c r="G376" s="27" t="s">
        <v>9</v>
      </c>
      <c r="H376" s="27" t="s">
        <v>9</v>
      </c>
      <c r="I376" s="27" t="s">
        <v>9</v>
      </c>
      <c r="J376" s="27" t="s">
        <v>9</v>
      </c>
      <c r="K376" s="27" t="s">
        <v>9</v>
      </c>
      <c r="L376" s="27" t="s">
        <v>9</v>
      </c>
      <c r="M376" s="27" t="s">
        <v>9</v>
      </c>
      <c r="N376" s="27" t="s">
        <v>9</v>
      </c>
      <c r="O376" s="27" t="s">
        <v>9</v>
      </c>
      <c r="P376" s="27" t="s">
        <v>9</v>
      </c>
      <c r="Q376" s="27" t="s">
        <v>9</v>
      </c>
      <c r="R376" s="27" t="s">
        <v>9</v>
      </c>
      <c r="S376" s="27" t="s">
        <v>9</v>
      </c>
      <c r="T376" s="27" t="s">
        <v>9</v>
      </c>
      <c r="U376" s="27" t="s">
        <v>9</v>
      </c>
      <c r="V376" s="20" t="s">
        <v>1</v>
      </c>
      <c r="W376" s="20">
        <v>5</v>
      </c>
      <c r="X376" s="20">
        <v>3</v>
      </c>
      <c r="Y376" s="20">
        <v>2</v>
      </c>
      <c r="Z376" s="20">
        <v>4</v>
      </c>
      <c r="AA376" s="23">
        <v>3</v>
      </c>
      <c r="AB376" s="15" t="s">
        <v>9</v>
      </c>
      <c r="AC376" s="15" t="s">
        <v>9</v>
      </c>
      <c r="AD376" s="15" t="s">
        <v>9</v>
      </c>
      <c r="AE376" s="15" t="s">
        <v>9</v>
      </c>
      <c r="AF376" s="20" t="s">
        <v>9</v>
      </c>
      <c r="AG376" s="20" t="s">
        <v>9</v>
      </c>
      <c r="AH376" s="24" t="s">
        <v>9</v>
      </c>
      <c r="AI376" s="23">
        <v>3</v>
      </c>
      <c r="AJ376" s="15" t="s">
        <v>9</v>
      </c>
      <c r="AK376" s="15" t="s">
        <v>9</v>
      </c>
      <c r="AL376" s="25" t="s">
        <v>9</v>
      </c>
      <c r="AM376" s="23">
        <v>3</v>
      </c>
      <c r="AN376" s="20" t="s">
        <v>9</v>
      </c>
      <c r="AO376" s="20" t="s">
        <v>9</v>
      </c>
      <c r="AP376" s="15" t="s">
        <v>9</v>
      </c>
      <c r="AQ376" s="15" t="s">
        <v>9</v>
      </c>
      <c r="AR376" s="15" t="s">
        <v>9</v>
      </c>
      <c r="AS376" s="26" t="s">
        <v>9</v>
      </c>
      <c r="AT376" s="26" t="s">
        <v>9</v>
      </c>
      <c r="AU376" s="26" t="s">
        <v>9</v>
      </c>
      <c r="AV376" s="26" t="s">
        <v>9</v>
      </c>
      <c r="AW376" s="26" t="s">
        <v>9</v>
      </c>
      <c r="AX376" s="26" t="s">
        <v>9</v>
      </c>
      <c r="AY376" s="26" t="s">
        <v>9</v>
      </c>
      <c r="AZ376" s="26" t="s">
        <v>9</v>
      </c>
      <c r="BA376" s="23">
        <v>3</v>
      </c>
      <c r="BB376" s="24" t="s">
        <v>9</v>
      </c>
    </row>
    <row r="377" spans="1:54" x14ac:dyDescent="0.2">
      <c r="A377" s="19">
        <v>2543</v>
      </c>
      <c r="B377" s="27" t="s">
        <v>9</v>
      </c>
      <c r="C377" s="27" t="s">
        <v>9</v>
      </c>
      <c r="D377" s="27" t="s">
        <v>9</v>
      </c>
      <c r="E377" s="27" t="s">
        <v>9</v>
      </c>
      <c r="F377" s="27" t="s">
        <v>9</v>
      </c>
      <c r="G377" s="27" t="s">
        <v>9</v>
      </c>
      <c r="H377" s="27" t="s">
        <v>9</v>
      </c>
      <c r="I377" s="27" t="s">
        <v>9</v>
      </c>
      <c r="J377" s="27" t="s">
        <v>9</v>
      </c>
      <c r="K377" s="27" t="s">
        <v>9</v>
      </c>
      <c r="L377" s="27" t="s">
        <v>9</v>
      </c>
      <c r="M377" s="27" t="s">
        <v>9</v>
      </c>
      <c r="N377" s="27" t="s">
        <v>9</v>
      </c>
      <c r="O377" s="27" t="s">
        <v>9</v>
      </c>
      <c r="P377" s="27" t="s">
        <v>9</v>
      </c>
      <c r="Q377" s="27" t="s">
        <v>9</v>
      </c>
      <c r="R377" s="27" t="s">
        <v>9</v>
      </c>
      <c r="S377" s="27" t="s">
        <v>9</v>
      </c>
      <c r="T377" s="27" t="s">
        <v>9</v>
      </c>
      <c r="U377" s="27" t="s">
        <v>9</v>
      </c>
      <c r="V377" s="20" t="s">
        <v>1</v>
      </c>
      <c r="W377" s="20">
        <v>5</v>
      </c>
      <c r="X377" s="20">
        <v>3</v>
      </c>
      <c r="Y377" s="20">
        <v>2</v>
      </c>
      <c r="Z377" s="20">
        <v>4</v>
      </c>
      <c r="AA377" s="23">
        <v>3</v>
      </c>
      <c r="AB377" s="15" t="s">
        <v>9</v>
      </c>
      <c r="AC377" s="15" t="s">
        <v>9</v>
      </c>
      <c r="AD377" s="15" t="s">
        <v>9</v>
      </c>
      <c r="AE377" s="15" t="s">
        <v>9</v>
      </c>
      <c r="AF377" s="20" t="s">
        <v>9</v>
      </c>
      <c r="AG377" s="20" t="s">
        <v>9</v>
      </c>
      <c r="AH377" s="24" t="s">
        <v>9</v>
      </c>
      <c r="AI377" s="23">
        <v>3</v>
      </c>
      <c r="AJ377" s="15" t="s">
        <v>9</v>
      </c>
      <c r="AK377" s="15" t="s">
        <v>9</v>
      </c>
      <c r="AL377" s="25" t="s">
        <v>9</v>
      </c>
      <c r="AM377" s="23">
        <v>3</v>
      </c>
      <c r="AN377" s="20" t="s">
        <v>9</v>
      </c>
      <c r="AO377" s="20" t="s">
        <v>9</v>
      </c>
      <c r="AP377" s="15" t="s">
        <v>9</v>
      </c>
      <c r="AQ377" s="15" t="s">
        <v>9</v>
      </c>
      <c r="AR377" s="15" t="s">
        <v>9</v>
      </c>
      <c r="AS377" s="26" t="s">
        <v>9</v>
      </c>
      <c r="AT377" s="26" t="s">
        <v>9</v>
      </c>
      <c r="AU377" s="26" t="s">
        <v>9</v>
      </c>
      <c r="AV377" s="26" t="s">
        <v>9</v>
      </c>
      <c r="AW377" s="26" t="s">
        <v>9</v>
      </c>
      <c r="AX377" s="26" t="s">
        <v>9</v>
      </c>
      <c r="AY377" s="26" t="s">
        <v>9</v>
      </c>
      <c r="AZ377" s="26" t="s">
        <v>9</v>
      </c>
      <c r="BA377" s="23">
        <v>3</v>
      </c>
      <c r="BB377" s="24" t="s">
        <v>9</v>
      </c>
    </row>
    <row r="378" spans="1:54" x14ac:dyDescent="0.2">
      <c r="A378" s="19">
        <v>2740</v>
      </c>
      <c r="B378" s="27" t="s">
        <v>9</v>
      </c>
      <c r="C378" s="27" t="s">
        <v>9</v>
      </c>
      <c r="D378" s="27" t="s">
        <v>9</v>
      </c>
      <c r="E378" s="27" t="s">
        <v>9</v>
      </c>
      <c r="F378" s="27" t="s">
        <v>9</v>
      </c>
      <c r="G378" s="27" t="s">
        <v>9</v>
      </c>
      <c r="H378" s="27" t="s">
        <v>9</v>
      </c>
      <c r="I378" s="27" t="s">
        <v>9</v>
      </c>
      <c r="J378" s="27" t="s">
        <v>9</v>
      </c>
      <c r="K378" s="27" t="s">
        <v>9</v>
      </c>
      <c r="L378" s="27" t="s">
        <v>9</v>
      </c>
      <c r="M378" s="27" t="s">
        <v>9</v>
      </c>
      <c r="N378" s="27" t="s">
        <v>9</v>
      </c>
      <c r="O378" s="27" t="s">
        <v>9</v>
      </c>
      <c r="P378" s="27" t="s">
        <v>9</v>
      </c>
      <c r="Q378" s="27" t="s">
        <v>9</v>
      </c>
      <c r="R378" s="27" t="s">
        <v>9</v>
      </c>
      <c r="S378" s="27" t="s">
        <v>9</v>
      </c>
      <c r="T378" s="27" t="s">
        <v>9</v>
      </c>
      <c r="U378" s="27" t="s">
        <v>9</v>
      </c>
      <c r="V378" s="20" t="s">
        <v>1</v>
      </c>
      <c r="W378" s="20">
        <v>5</v>
      </c>
      <c r="X378" s="20">
        <v>3</v>
      </c>
      <c r="Y378" s="20">
        <v>2</v>
      </c>
      <c r="Z378" s="20">
        <v>4</v>
      </c>
      <c r="AA378" s="23">
        <v>3</v>
      </c>
      <c r="AB378" s="15" t="s">
        <v>9</v>
      </c>
      <c r="AC378" s="15" t="s">
        <v>9</v>
      </c>
      <c r="AD378" s="15" t="s">
        <v>9</v>
      </c>
      <c r="AE378" s="15" t="s">
        <v>9</v>
      </c>
      <c r="AF378" s="20" t="s">
        <v>9</v>
      </c>
      <c r="AG378" s="20" t="s">
        <v>9</v>
      </c>
      <c r="AH378" s="24" t="s">
        <v>9</v>
      </c>
      <c r="AI378" s="23">
        <v>3</v>
      </c>
      <c r="AJ378" s="15" t="s">
        <v>9</v>
      </c>
      <c r="AK378" s="15" t="s">
        <v>9</v>
      </c>
      <c r="AL378" s="25" t="s">
        <v>9</v>
      </c>
      <c r="AM378" s="23">
        <v>3</v>
      </c>
      <c r="AN378" s="20" t="s">
        <v>9</v>
      </c>
      <c r="AO378" s="20" t="s">
        <v>9</v>
      </c>
      <c r="AP378" s="15" t="s">
        <v>9</v>
      </c>
      <c r="AQ378" s="15" t="s">
        <v>9</v>
      </c>
      <c r="AR378" s="15" t="s">
        <v>9</v>
      </c>
      <c r="AS378" s="26" t="s">
        <v>9</v>
      </c>
      <c r="AT378" s="26" t="s">
        <v>9</v>
      </c>
      <c r="AU378" s="26" t="s">
        <v>9</v>
      </c>
      <c r="AV378" s="26" t="s">
        <v>9</v>
      </c>
      <c r="AW378" s="26" t="s">
        <v>9</v>
      </c>
      <c r="AX378" s="26" t="s">
        <v>9</v>
      </c>
      <c r="AY378" s="26" t="s">
        <v>9</v>
      </c>
      <c r="AZ378" s="26" t="s">
        <v>9</v>
      </c>
      <c r="BA378" s="23">
        <v>3</v>
      </c>
      <c r="BB378" s="24" t="s">
        <v>9</v>
      </c>
    </row>
    <row r="379" spans="1:54" x14ac:dyDescent="0.2">
      <c r="A379" s="19">
        <v>2743</v>
      </c>
      <c r="B379" s="27" t="s">
        <v>9</v>
      </c>
      <c r="C379" s="27" t="s">
        <v>9</v>
      </c>
      <c r="D379" s="27" t="s">
        <v>9</v>
      </c>
      <c r="E379" s="27" t="s">
        <v>9</v>
      </c>
      <c r="F379" s="27" t="s">
        <v>9</v>
      </c>
      <c r="G379" s="27" t="s">
        <v>9</v>
      </c>
      <c r="H379" s="27" t="s">
        <v>9</v>
      </c>
      <c r="I379" s="27" t="s">
        <v>9</v>
      </c>
      <c r="J379" s="27" t="s">
        <v>9</v>
      </c>
      <c r="K379" s="27" t="s">
        <v>9</v>
      </c>
      <c r="L379" s="27" t="s">
        <v>9</v>
      </c>
      <c r="M379" s="27" t="s">
        <v>9</v>
      </c>
      <c r="N379" s="27" t="s">
        <v>9</v>
      </c>
      <c r="O379" s="27" t="s">
        <v>9</v>
      </c>
      <c r="P379" s="27" t="s">
        <v>9</v>
      </c>
      <c r="Q379" s="27" t="s">
        <v>9</v>
      </c>
      <c r="R379" s="27" t="s">
        <v>9</v>
      </c>
      <c r="S379" s="27" t="s">
        <v>9</v>
      </c>
      <c r="T379" s="27" t="s">
        <v>9</v>
      </c>
      <c r="U379" s="27" t="s">
        <v>9</v>
      </c>
      <c r="V379" s="20" t="s">
        <v>1</v>
      </c>
      <c r="W379" s="20">
        <v>5</v>
      </c>
      <c r="X379" s="20">
        <v>3</v>
      </c>
      <c r="Y379" s="20">
        <v>2</v>
      </c>
      <c r="Z379" s="20">
        <v>4</v>
      </c>
      <c r="AA379" s="23">
        <v>3</v>
      </c>
      <c r="AB379" s="15" t="s">
        <v>9</v>
      </c>
      <c r="AC379" s="15" t="s">
        <v>9</v>
      </c>
      <c r="AD379" s="15" t="s">
        <v>9</v>
      </c>
      <c r="AE379" s="15" t="s">
        <v>9</v>
      </c>
      <c r="AF379" s="20" t="s">
        <v>9</v>
      </c>
      <c r="AG379" s="20" t="s">
        <v>9</v>
      </c>
      <c r="AH379" s="24" t="s">
        <v>9</v>
      </c>
      <c r="AI379" s="23">
        <v>3</v>
      </c>
      <c r="AJ379" s="15" t="s">
        <v>9</v>
      </c>
      <c r="AK379" s="15" t="s">
        <v>9</v>
      </c>
      <c r="AL379" s="25" t="s">
        <v>9</v>
      </c>
      <c r="AM379" s="23">
        <v>3</v>
      </c>
      <c r="AN379" s="20" t="s">
        <v>9</v>
      </c>
      <c r="AO379" s="20" t="s">
        <v>9</v>
      </c>
      <c r="AP379" s="15" t="s">
        <v>9</v>
      </c>
      <c r="AQ379" s="15" t="s">
        <v>9</v>
      </c>
      <c r="AR379" s="15" t="s">
        <v>9</v>
      </c>
      <c r="AS379" s="26" t="s">
        <v>9</v>
      </c>
      <c r="AT379" s="26" t="s">
        <v>9</v>
      </c>
      <c r="AU379" s="26" t="s">
        <v>9</v>
      </c>
      <c r="AV379" s="26" t="s">
        <v>9</v>
      </c>
      <c r="AW379" s="26" t="s">
        <v>9</v>
      </c>
      <c r="AX379" s="26" t="s">
        <v>9</v>
      </c>
      <c r="AY379" s="26" t="s">
        <v>9</v>
      </c>
      <c r="AZ379" s="26" t="s">
        <v>9</v>
      </c>
      <c r="BA379" s="23">
        <v>3</v>
      </c>
      <c r="BB379" s="24" t="s">
        <v>9</v>
      </c>
    </row>
    <row r="380" spans="1:54" x14ac:dyDescent="0.2">
      <c r="A380" s="19">
        <v>2813</v>
      </c>
      <c r="B380" s="27" t="s">
        <v>9</v>
      </c>
      <c r="C380" s="27" t="s">
        <v>9</v>
      </c>
      <c r="D380" s="27" t="s">
        <v>9</v>
      </c>
      <c r="E380" s="27" t="s">
        <v>9</v>
      </c>
      <c r="F380" s="27" t="s">
        <v>9</v>
      </c>
      <c r="G380" s="27" t="s">
        <v>9</v>
      </c>
      <c r="H380" s="27" t="s">
        <v>9</v>
      </c>
      <c r="I380" s="27" t="s">
        <v>9</v>
      </c>
      <c r="J380" s="27" t="s">
        <v>9</v>
      </c>
      <c r="K380" s="27" t="s">
        <v>9</v>
      </c>
      <c r="L380" s="27" t="s">
        <v>9</v>
      </c>
      <c r="M380" s="27" t="s">
        <v>9</v>
      </c>
      <c r="N380" s="27" t="s">
        <v>9</v>
      </c>
      <c r="O380" s="27" t="s">
        <v>9</v>
      </c>
      <c r="P380" s="27" t="s">
        <v>9</v>
      </c>
      <c r="Q380" s="27" t="s">
        <v>9</v>
      </c>
      <c r="R380" s="27" t="s">
        <v>9</v>
      </c>
      <c r="S380" s="27" t="s">
        <v>9</v>
      </c>
      <c r="T380" s="27" t="s">
        <v>9</v>
      </c>
      <c r="U380" s="27" t="s">
        <v>9</v>
      </c>
      <c r="V380" s="20" t="s">
        <v>1</v>
      </c>
      <c r="W380" s="20">
        <v>5</v>
      </c>
      <c r="X380" s="20">
        <v>3</v>
      </c>
      <c r="Y380" s="20">
        <v>2</v>
      </c>
      <c r="Z380" s="20">
        <v>4</v>
      </c>
      <c r="AA380" s="23">
        <v>3</v>
      </c>
      <c r="AB380" s="15" t="s">
        <v>9</v>
      </c>
      <c r="AC380" s="15" t="s">
        <v>9</v>
      </c>
      <c r="AD380" s="15" t="s">
        <v>9</v>
      </c>
      <c r="AE380" s="15" t="s">
        <v>9</v>
      </c>
      <c r="AF380" s="20" t="s">
        <v>9</v>
      </c>
      <c r="AG380" s="20" t="s">
        <v>9</v>
      </c>
      <c r="AH380" s="24" t="s">
        <v>9</v>
      </c>
      <c r="AI380" s="23">
        <v>3</v>
      </c>
      <c r="AJ380" s="15" t="s">
        <v>9</v>
      </c>
      <c r="AK380" s="15" t="s">
        <v>9</v>
      </c>
      <c r="AL380" s="25" t="s">
        <v>9</v>
      </c>
      <c r="AM380" s="23">
        <v>3</v>
      </c>
      <c r="AN380" s="20" t="s">
        <v>9</v>
      </c>
      <c r="AO380" s="20" t="s">
        <v>9</v>
      </c>
      <c r="AP380" s="15" t="s">
        <v>9</v>
      </c>
      <c r="AQ380" s="15" t="s">
        <v>9</v>
      </c>
      <c r="AR380" s="15" t="s">
        <v>9</v>
      </c>
      <c r="AS380" s="26" t="s">
        <v>9</v>
      </c>
      <c r="AT380" s="26" t="s">
        <v>9</v>
      </c>
      <c r="AU380" s="26" t="s">
        <v>9</v>
      </c>
      <c r="AV380" s="26" t="s">
        <v>9</v>
      </c>
      <c r="AW380" s="26" t="s">
        <v>9</v>
      </c>
      <c r="AX380" s="26" t="s">
        <v>9</v>
      </c>
      <c r="AY380" s="26" t="s">
        <v>9</v>
      </c>
      <c r="AZ380" s="26" t="s">
        <v>9</v>
      </c>
      <c r="BA380" s="23">
        <v>3</v>
      </c>
      <c r="BB380" s="24" t="s">
        <v>9</v>
      </c>
    </row>
    <row r="381" spans="1:54" x14ac:dyDescent="0.2">
      <c r="A381" s="19">
        <v>2819</v>
      </c>
      <c r="B381" s="27" t="s">
        <v>9</v>
      </c>
      <c r="C381" s="27" t="s">
        <v>9</v>
      </c>
      <c r="D381" s="27" t="s">
        <v>9</v>
      </c>
      <c r="E381" s="27" t="s">
        <v>9</v>
      </c>
      <c r="F381" s="27" t="s">
        <v>9</v>
      </c>
      <c r="G381" s="27" t="s">
        <v>9</v>
      </c>
      <c r="H381" s="27" t="s">
        <v>9</v>
      </c>
      <c r="I381" s="27" t="s">
        <v>9</v>
      </c>
      <c r="J381" s="27" t="s">
        <v>9</v>
      </c>
      <c r="K381" s="27" t="s">
        <v>9</v>
      </c>
      <c r="L381" s="27" t="s">
        <v>9</v>
      </c>
      <c r="M381" s="27" t="s">
        <v>9</v>
      </c>
      <c r="N381" s="27" t="s">
        <v>9</v>
      </c>
      <c r="O381" s="27" t="s">
        <v>9</v>
      </c>
      <c r="P381" s="27" t="s">
        <v>9</v>
      </c>
      <c r="Q381" s="27" t="s">
        <v>9</v>
      </c>
      <c r="R381" s="27" t="s">
        <v>9</v>
      </c>
      <c r="S381" s="27" t="s">
        <v>9</v>
      </c>
      <c r="T381" s="27" t="s">
        <v>9</v>
      </c>
      <c r="U381" s="27" t="s">
        <v>9</v>
      </c>
      <c r="V381" s="20" t="s">
        <v>1</v>
      </c>
      <c r="W381" s="20">
        <v>5</v>
      </c>
      <c r="X381" s="20">
        <v>3</v>
      </c>
      <c r="Y381" s="20">
        <v>2</v>
      </c>
      <c r="Z381" s="20">
        <v>4</v>
      </c>
      <c r="AA381" s="23">
        <v>3</v>
      </c>
      <c r="AB381" s="15" t="s">
        <v>9</v>
      </c>
      <c r="AC381" s="15" t="s">
        <v>9</v>
      </c>
      <c r="AD381" s="15" t="s">
        <v>9</v>
      </c>
      <c r="AE381" s="15" t="s">
        <v>9</v>
      </c>
      <c r="AF381" s="20" t="s">
        <v>9</v>
      </c>
      <c r="AG381" s="20" t="s">
        <v>9</v>
      </c>
      <c r="AH381" s="24" t="s">
        <v>9</v>
      </c>
      <c r="AI381" s="23">
        <v>3</v>
      </c>
      <c r="AJ381" s="15" t="s">
        <v>9</v>
      </c>
      <c r="AK381" s="15" t="s">
        <v>9</v>
      </c>
      <c r="AL381" s="25" t="s">
        <v>9</v>
      </c>
      <c r="AM381" s="23">
        <v>3</v>
      </c>
      <c r="AN381" s="20" t="s">
        <v>9</v>
      </c>
      <c r="AO381" s="20" t="s">
        <v>9</v>
      </c>
      <c r="AP381" s="15" t="s">
        <v>9</v>
      </c>
      <c r="AQ381" s="15" t="s">
        <v>9</v>
      </c>
      <c r="AR381" s="15" t="s">
        <v>9</v>
      </c>
      <c r="AS381" s="26" t="s">
        <v>9</v>
      </c>
      <c r="AT381" s="26" t="s">
        <v>9</v>
      </c>
      <c r="AU381" s="26" t="s">
        <v>9</v>
      </c>
      <c r="AV381" s="26" t="s">
        <v>9</v>
      </c>
      <c r="AW381" s="26" t="s">
        <v>9</v>
      </c>
      <c r="AX381" s="26" t="s">
        <v>9</v>
      </c>
      <c r="AY381" s="26" t="s">
        <v>9</v>
      </c>
      <c r="AZ381" s="26" t="s">
        <v>9</v>
      </c>
      <c r="BA381" s="23">
        <v>3</v>
      </c>
      <c r="BB381" s="24" t="s">
        <v>9</v>
      </c>
    </row>
    <row r="382" spans="1:54" x14ac:dyDescent="0.2">
      <c r="A382" s="19">
        <v>2852</v>
      </c>
      <c r="B382" s="27" t="s">
        <v>9</v>
      </c>
      <c r="C382" s="27" t="s">
        <v>9</v>
      </c>
      <c r="D382" s="27" t="s">
        <v>9</v>
      </c>
      <c r="E382" s="27" t="s">
        <v>9</v>
      </c>
      <c r="F382" s="27" t="s">
        <v>9</v>
      </c>
      <c r="G382" s="27" t="s">
        <v>9</v>
      </c>
      <c r="H382" s="27" t="s">
        <v>9</v>
      </c>
      <c r="I382" s="27" t="s">
        <v>9</v>
      </c>
      <c r="J382" s="27" t="s">
        <v>9</v>
      </c>
      <c r="K382" s="27" t="s">
        <v>9</v>
      </c>
      <c r="L382" s="27" t="s">
        <v>9</v>
      </c>
      <c r="M382" s="27" t="s">
        <v>9</v>
      </c>
      <c r="N382" s="27" t="s">
        <v>9</v>
      </c>
      <c r="O382" s="27" t="s">
        <v>9</v>
      </c>
      <c r="P382" s="27" t="s">
        <v>9</v>
      </c>
      <c r="Q382" s="27" t="s">
        <v>9</v>
      </c>
      <c r="R382" s="27" t="s">
        <v>9</v>
      </c>
      <c r="S382" s="27" t="s">
        <v>9</v>
      </c>
      <c r="T382" s="27" t="s">
        <v>9</v>
      </c>
      <c r="U382" s="27" t="s">
        <v>9</v>
      </c>
      <c r="V382" s="20" t="s">
        <v>1</v>
      </c>
      <c r="W382" s="20">
        <v>5</v>
      </c>
      <c r="X382" s="20">
        <v>3</v>
      </c>
      <c r="Y382" s="20">
        <v>2</v>
      </c>
      <c r="Z382" s="20">
        <v>4</v>
      </c>
      <c r="AA382" s="23">
        <v>3</v>
      </c>
      <c r="AB382" s="15" t="s">
        <v>9</v>
      </c>
      <c r="AC382" s="15" t="s">
        <v>9</v>
      </c>
      <c r="AD382" s="15" t="s">
        <v>9</v>
      </c>
      <c r="AE382" s="15" t="s">
        <v>9</v>
      </c>
      <c r="AF382" s="20" t="s">
        <v>9</v>
      </c>
      <c r="AG382" s="20" t="s">
        <v>9</v>
      </c>
      <c r="AH382" s="24" t="s">
        <v>9</v>
      </c>
      <c r="AI382" s="23">
        <v>3</v>
      </c>
      <c r="AJ382" s="15" t="s">
        <v>9</v>
      </c>
      <c r="AK382" s="15" t="s">
        <v>9</v>
      </c>
      <c r="AL382" s="25" t="s">
        <v>9</v>
      </c>
      <c r="AM382" s="23">
        <v>3</v>
      </c>
      <c r="AN382" s="20" t="s">
        <v>9</v>
      </c>
      <c r="AO382" s="20" t="s">
        <v>9</v>
      </c>
      <c r="AP382" s="15" t="s">
        <v>9</v>
      </c>
      <c r="AQ382" s="15" t="s">
        <v>9</v>
      </c>
      <c r="AR382" s="15" t="s">
        <v>9</v>
      </c>
      <c r="AS382" s="26" t="s">
        <v>9</v>
      </c>
      <c r="AT382" s="26" t="s">
        <v>9</v>
      </c>
      <c r="AU382" s="26" t="s">
        <v>9</v>
      </c>
      <c r="AV382" s="26" t="s">
        <v>9</v>
      </c>
      <c r="AW382" s="26" t="s">
        <v>9</v>
      </c>
      <c r="AX382" s="26" t="s">
        <v>9</v>
      </c>
      <c r="AY382" s="26" t="s">
        <v>9</v>
      </c>
      <c r="AZ382" s="26" t="s">
        <v>9</v>
      </c>
      <c r="BA382" s="23">
        <v>3</v>
      </c>
      <c r="BB382" s="24" t="s">
        <v>9</v>
      </c>
    </row>
    <row r="383" spans="1:54" x14ac:dyDescent="0.2">
      <c r="A383" s="21">
        <v>2872</v>
      </c>
      <c r="B383" s="27" t="s">
        <v>9</v>
      </c>
      <c r="C383" s="27" t="s">
        <v>9</v>
      </c>
      <c r="D383" s="27" t="s">
        <v>9</v>
      </c>
      <c r="E383" s="27" t="s">
        <v>9</v>
      </c>
      <c r="F383" s="27" t="s">
        <v>9</v>
      </c>
      <c r="G383" s="27" t="s">
        <v>9</v>
      </c>
      <c r="H383" s="27" t="s">
        <v>9</v>
      </c>
      <c r="I383" s="27" t="s">
        <v>9</v>
      </c>
      <c r="J383" s="27" t="s">
        <v>9</v>
      </c>
      <c r="K383" s="27" t="s">
        <v>9</v>
      </c>
      <c r="L383" s="27" t="s">
        <v>9</v>
      </c>
      <c r="M383" s="27" t="s">
        <v>9</v>
      </c>
      <c r="N383" s="27" t="s">
        <v>9</v>
      </c>
      <c r="O383" s="27" t="s">
        <v>9</v>
      </c>
      <c r="P383" s="27" t="s">
        <v>9</v>
      </c>
      <c r="Q383" s="27" t="s">
        <v>9</v>
      </c>
      <c r="R383" s="27" t="s">
        <v>9</v>
      </c>
      <c r="S383" s="27" t="s">
        <v>9</v>
      </c>
      <c r="T383" s="27" t="s">
        <v>9</v>
      </c>
      <c r="U383" s="27" t="s">
        <v>9</v>
      </c>
      <c r="V383" s="20" t="s">
        <v>1</v>
      </c>
      <c r="W383" s="20">
        <v>5</v>
      </c>
      <c r="X383" s="20">
        <v>3</v>
      </c>
      <c r="Y383" s="5">
        <v>2</v>
      </c>
      <c r="Z383" s="20">
        <v>4</v>
      </c>
      <c r="AA383" s="23">
        <v>3</v>
      </c>
      <c r="AB383" s="15" t="s">
        <v>9</v>
      </c>
      <c r="AC383" s="15" t="s">
        <v>9</v>
      </c>
      <c r="AD383" s="15" t="s">
        <v>9</v>
      </c>
      <c r="AE383" s="15" t="s">
        <v>9</v>
      </c>
      <c r="AF383" s="20" t="s">
        <v>9</v>
      </c>
      <c r="AG383" s="20" t="s">
        <v>9</v>
      </c>
      <c r="AH383" s="24" t="s">
        <v>9</v>
      </c>
      <c r="AI383" s="23">
        <v>3</v>
      </c>
      <c r="AJ383" s="15" t="s">
        <v>9</v>
      </c>
      <c r="AK383" s="15" t="s">
        <v>9</v>
      </c>
      <c r="AL383" s="25" t="s">
        <v>9</v>
      </c>
      <c r="AM383" s="23">
        <v>3</v>
      </c>
      <c r="AN383" s="20" t="s">
        <v>9</v>
      </c>
      <c r="AO383" s="20" t="s">
        <v>9</v>
      </c>
      <c r="AP383" s="15" t="s">
        <v>9</v>
      </c>
      <c r="AQ383" s="15" t="s">
        <v>9</v>
      </c>
      <c r="AR383" s="15" t="s">
        <v>9</v>
      </c>
      <c r="AS383" s="26" t="s">
        <v>9</v>
      </c>
      <c r="AT383" s="26" t="s">
        <v>9</v>
      </c>
      <c r="AU383" s="26" t="s">
        <v>9</v>
      </c>
      <c r="AV383" s="26" t="s">
        <v>9</v>
      </c>
      <c r="AW383" s="26" t="s">
        <v>9</v>
      </c>
      <c r="AX383" s="26" t="s">
        <v>9</v>
      </c>
      <c r="AY383" s="26" t="s">
        <v>9</v>
      </c>
      <c r="AZ383" s="26" t="s">
        <v>9</v>
      </c>
      <c r="BA383" s="23">
        <v>3</v>
      </c>
      <c r="BB383" s="24" t="s">
        <v>9</v>
      </c>
    </row>
    <row r="384" spans="1:54" x14ac:dyDescent="0.2">
      <c r="A384" s="19">
        <v>2889</v>
      </c>
      <c r="B384" s="27" t="s">
        <v>9</v>
      </c>
      <c r="C384" s="27" t="s">
        <v>9</v>
      </c>
      <c r="D384" s="27" t="s">
        <v>9</v>
      </c>
      <c r="E384" s="27" t="s">
        <v>9</v>
      </c>
      <c r="F384" s="27" t="s">
        <v>9</v>
      </c>
      <c r="G384" s="27" t="s">
        <v>9</v>
      </c>
      <c r="H384" s="27" t="s">
        <v>9</v>
      </c>
      <c r="I384" s="27" t="s">
        <v>9</v>
      </c>
      <c r="J384" s="27" t="s">
        <v>9</v>
      </c>
      <c r="K384" s="27" t="s">
        <v>9</v>
      </c>
      <c r="L384" s="27" t="s">
        <v>9</v>
      </c>
      <c r="M384" s="27" t="s">
        <v>9</v>
      </c>
      <c r="N384" s="27" t="s">
        <v>9</v>
      </c>
      <c r="O384" s="27" t="s">
        <v>9</v>
      </c>
      <c r="P384" s="27" t="s">
        <v>9</v>
      </c>
      <c r="Q384" s="27" t="s">
        <v>9</v>
      </c>
      <c r="R384" s="27" t="s">
        <v>9</v>
      </c>
      <c r="S384" s="27" t="s">
        <v>9</v>
      </c>
      <c r="T384" s="27" t="s">
        <v>9</v>
      </c>
      <c r="U384" s="27" t="s">
        <v>9</v>
      </c>
      <c r="V384" s="20" t="s">
        <v>1</v>
      </c>
      <c r="W384" s="20">
        <v>5</v>
      </c>
      <c r="X384" s="20">
        <v>3</v>
      </c>
      <c r="Y384" s="20">
        <v>2</v>
      </c>
      <c r="Z384" s="20">
        <v>4</v>
      </c>
      <c r="AA384" s="23">
        <v>3</v>
      </c>
      <c r="AB384" s="15" t="s">
        <v>9</v>
      </c>
      <c r="AC384" s="15" t="s">
        <v>9</v>
      </c>
      <c r="AD384" s="15" t="s">
        <v>9</v>
      </c>
      <c r="AE384" s="15" t="s">
        <v>9</v>
      </c>
      <c r="AF384" s="20" t="s">
        <v>9</v>
      </c>
      <c r="AG384" s="20" t="s">
        <v>9</v>
      </c>
      <c r="AH384" s="24" t="s">
        <v>9</v>
      </c>
      <c r="AI384" s="23">
        <v>3</v>
      </c>
      <c r="AJ384" s="15" t="s">
        <v>9</v>
      </c>
      <c r="AK384" s="15" t="s">
        <v>9</v>
      </c>
      <c r="AL384" s="25" t="s">
        <v>9</v>
      </c>
      <c r="AM384" s="23">
        <v>3</v>
      </c>
      <c r="AN384" s="20" t="s">
        <v>9</v>
      </c>
      <c r="AO384" s="20" t="s">
        <v>9</v>
      </c>
      <c r="AP384" s="15" t="s">
        <v>9</v>
      </c>
      <c r="AQ384" s="15" t="s">
        <v>9</v>
      </c>
      <c r="AR384" s="15" t="s">
        <v>9</v>
      </c>
      <c r="AS384" s="26" t="s">
        <v>9</v>
      </c>
      <c r="AT384" s="26" t="s">
        <v>9</v>
      </c>
      <c r="AU384" s="26" t="s">
        <v>9</v>
      </c>
      <c r="AV384" s="26" t="s">
        <v>9</v>
      </c>
      <c r="AW384" s="26" t="s">
        <v>9</v>
      </c>
      <c r="AX384" s="26" t="s">
        <v>9</v>
      </c>
      <c r="AY384" s="26" t="s">
        <v>9</v>
      </c>
      <c r="AZ384" s="26" t="s">
        <v>9</v>
      </c>
      <c r="BA384" s="23">
        <v>3</v>
      </c>
      <c r="BB384" s="24" t="s">
        <v>9</v>
      </c>
    </row>
    <row r="385" spans="1:54" x14ac:dyDescent="0.2">
      <c r="A385" s="19">
        <v>2893</v>
      </c>
      <c r="B385" s="27" t="s">
        <v>9</v>
      </c>
      <c r="C385" s="27" t="s">
        <v>9</v>
      </c>
      <c r="D385" s="27" t="s">
        <v>9</v>
      </c>
      <c r="E385" s="27" t="s">
        <v>9</v>
      </c>
      <c r="F385" s="27" t="s">
        <v>9</v>
      </c>
      <c r="G385" s="27" t="s">
        <v>9</v>
      </c>
      <c r="H385" s="27" t="s">
        <v>9</v>
      </c>
      <c r="I385" s="27" t="s">
        <v>9</v>
      </c>
      <c r="J385" s="27" t="s">
        <v>9</v>
      </c>
      <c r="K385" s="27" t="s">
        <v>9</v>
      </c>
      <c r="L385" s="27" t="s">
        <v>9</v>
      </c>
      <c r="M385" s="27" t="s">
        <v>9</v>
      </c>
      <c r="N385" s="27" t="s">
        <v>9</v>
      </c>
      <c r="O385" s="27" t="s">
        <v>9</v>
      </c>
      <c r="P385" s="27" t="s">
        <v>9</v>
      </c>
      <c r="Q385" s="27" t="s">
        <v>9</v>
      </c>
      <c r="R385" s="27" t="s">
        <v>9</v>
      </c>
      <c r="S385" s="27" t="s">
        <v>9</v>
      </c>
      <c r="T385" s="27" t="s">
        <v>9</v>
      </c>
      <c r="U385" s="27" t="s">
        <v>9</v>
      </c>
      <c r="V385" s="20" t="s">
        <v>1</v>
      </c>
      <c r="W385" s="20">
        <v>5</v>
      </c>
      <c r="X385" s="20">
        <v>3</v>
      </c>
      <c r="Y385" s="20">
        <v>2</v>
      </c>
      <c r="Z385" s="20">
        <v>4</v>
      </c>
      <c r="AA385" s="23">
        <v>3</v>
      </c>
      <c r="AB385" s="15" t="s">
        <v>9</v>
      </c>
      <c r="AC385" s="15" t="s">
        <v>9</v>
      </c>
      <c r="AD385" s="15" t="s">
        <v>9</v>
      </c>
      <c r="AE385" s="15" t="s">
        <v>9</v>
      </c>
      <c r="AF385" s="20" t="s">
        <v>9</v>
      </c>
      <c r="AG385" s="20" t="s">
        <v>9</v>
      </c>
      <c r="AH385" s="24" t="s">
        <v>9</v>
      </c>
      <c r="AI385" s="23">
        <v>3</v>
      </c>
      <c r="AJ385" s="15" t="s">
        <v>9</v>
      </c>
      <c r="AK385" s="15" t="s">
        <v>9</v>
      </c>
      <c r="AL385" s="25" t="s">
        <v>9</v>
      </c>
      <c r="AM385" s="23">
        <v>3</v>
      </c>
      <c r="AN385" s="20" t="s">
        <v>9</v>
      </c>
      <c r="AO385" s="20" t="s">
        <v>9</v>
      </c>
      <c r="AP385" s="15" t="s">
        <v>9</v>
      </c>
      <c r="AQ385" s="15" t="s">
        <v>9</v>
      </c>
      <c r="AR385" s="15" t="s">
        <v>9</v>
      </c>
      <c r="AS385" s="26" t="s">
        <v>9</v>
      </c>
      <c r="AT385" s="26" t="s">
        <v>9</v>
      </c>
      <c r="AU385" s="26" t="s">
        <v>9</v>
      </c>
      <c r="AV385" s="26" t="s">
        <v>9</v>
      </c>
      <c r="AW385" s="26" t="s">
        <v>9</v>
      </c>
      <c r="AX385" s="26" t="s">
        <v>9</v>
      </c>
      <c r="AY385" s="26" t="s">
        <v>9</v>
      </c>
      <c r="AZ385" s="26" t="s">
        <v>9</v>
      </c>
      <c r="BA385" s="23">
        <v>3</v>
      </c>
      <c r="BB385" s="24" t="s">
        <v>9</v>
      </c>
    </row>
    <row r="386" spans="1:54" x14ac:dyDescent="0.2">
      <c r="A386" s="21">
        <v>2909</v>
      </c>
      <c r="B386" s="27" t="s">
        <v>9</v>
      </c>
      <c r="C386" s="27" t="s">
        <v>9</v>
      </c>
      <c r="D386" s="27" t="s">
        <v>9</v>
      </c>
      <c r="E386" s="27" t="s">
        <v>9</v>
      </c>
      <c r="F386" s="27" t="s">
        <v>9</v>
      </c>
      <c r="G386" s="27" t="s">
        <v>9</v>
      </c>
      <c r="H386" s="27" t="s">
        <v>9</v>
      </c>
      <c r="I386" s="27" t="s">
        <v>9</v>
      </c>
      <c r="J386" s="27" t="s">
        <v>9</v>
      </c>
      <c r="K386" s="27" t="s">
        <v>9</v>
      </c>
      <c r="L386" s="27" t="s">
        <v>9</v>
      </c>
      <c r="M386" s="27" t="s">
        <v>9</v>
      </c>
      <c r="N386" s="27" t="s">
        <v>9</v>
      </c>
      <c r="O386" s="27" t="s">
        <v>9</v>
      </c>
      <c r="P386" s="27" t="s">
        <v>9</v>
      </c>
      <c r="Q386" s="27" t="s">
        <v>9</v>
      </c>
      <c r="R386" s="27" t="s">
        <v>9</v>
      </c>
      <c r="S386" s="27" t="s">
        <v>9</v>
      </c>
      <c r="T386" s="27" t="s">
        <v>9</v>
      </c>
      <c r="U386" s="27" t="s">
        <v>9</v>
      </c>
      <c r="V386" s="20" t="s">
        <v>1</v>
      </c>
      <c r="W386" s="20">
        <v>5</v>
      </c>
      <c r="X386" s="20">
        <v>3</v>
      </c>
      <c r="Y386" s="5">
        <v>2</v>
      </c>
      <c r="Z386" s="20">
        <v>4</v>
      </c>
      <c r="AA386" s="23">
        <v>3</v>
      </c>
      <c r="AB386" s="15" t="s">
        <v>9</v>
      </c>
      <c r="AC386" s="15" t="s">
        <v>9</v>
      </c>
      <c r="AD386" s="15" t="s">
        <v>9</v>
      </c>
      <c r="AE386" s="15" t="s">
        <v>9</v>
      </c>
      <c r="AF386" s="20" t="s">
        <v>9</v>
      </c>
      <c r="AG386" s="20" t="s">
        <v>9</v>
      </c>
      <c r="AH386" s="24" t="s">
        <v>9</v>
      </c>
      <c r="AI386" s="23">
        <v>3</v>
      </c>
      <c r="AJ386" s="15" t="s">
        <v>9</v>
      </c>
      <c r="AK386" s="15" t="s">
        <v>9</v>
      </c>
      <c r="AL386" s="25" t="s">
        <v>9</v>
      </c>
      <c r="AM386" s="23">
        <v>3</v>
      </c>
      <c r="AN386" s="20" t="s">
        <v>9</v>
      </c>
      <c r="AO386" s="20" t="s">
        <v>9</v>
      </c>
      <c r="AP386" s="15" t="s">
        <v>9</v>
      </c>
      <c r="AQ386" s="15" t="s">
        <v>9</v>
      </c>
      <c r="AR386" s="15" t="s">
        <v>9</v>
      </c>
      <c r="AS386" s="26" t="s">
        <v>9</v>
      </c>
      <c r="AT386" s="26" t="s">
        <v>9</v>
      </c>
      <c r="AU386" s="26" t="s">
        <v>9</v>
      </c>
      <c r="AV386" s="26" t="s">
        <v>9</v>
      </c>
      <c r="AW386" s="26" t="s">
        <v>9</v>
      </c>
      <c r="AX386" s="26" t="s">
        <v>9</v>
      </c>
      <c r="AY386" s="26" t="s">
        <v>9</v>
      </c>
      <c r="AZ386" s="26" t="s">
        <v>9</v>
      </c>
      <c r="BA386" s="23">
        <v>3</v>
      </c>
      <c r="BB386" s="24" t="s">
        <v>9</v>
      </c>
    </row>
    <row r="387" spans="1:54" x14ac:dyDescent="0.2">
      <c r="A387" s="19">
        <v>2939</v>
      </c>
      <c r="B387" s="27" t="s">
        <v>9</v>
      </c>
      <c r="C387" s="27" t="s">
        <v>9</v>
      </c>
      <c r="D387" s="27" t="s">
        <v>9</v>
      </c>
      <c r="E387" s="27" t="s">
        <v>9</v>
      </c>
      <c r="F387" s="27" t="s">
        <v>9</v>
      </c>
      <c r="G387" s="27" t="s">
        <v>9</v>
      </c>
      <c r="H387" s="27" t="s">
        <v>9</v>
      </c>
      <c r="I387" s="27" t="s">
        <v>9</v>
      </c>
      <c r="J387" s="27" t="s">
        <v>9</v>
      </c>
      <c r="K387" s="27" t="s">
        <v>9</v>
      </c>
      <c r="L387" s="27" t="s">
        <v>9</v>
      </c>
      <c r="M387" s="27" t="s">
        <v>9</v>
      </c>
      <c r="N387" s="27" t="s">
        <v>9</v>
      </c>
      <c r="O387" s="27" t="s">
        <v>9</v>
      </c>
      <c r="P387" s="27" t="s">
        <v>9</v>
      </c>
      <c r="Q387" s="27" t="s">
        <v>9</v>
      </c>
      <c r="R387" s="27" t="s">
        <v>9</v>
      </c>
      <c r="S387" s="27" t="s">
        <v>9</v>
      </c>
      <c r="T387" s="27" t="s">
        <v>9</v>
      </c>
      <c r="U387" s="27" t="s">
        <v>9</v>
      </c>
      <c r="V387" s="20" t="s">
        <v>1</v>
      </c>
      <c r="W387" s="20">
        <v>5</v>
      </c>
      <c r="X387" s="20">
        <v>3</v>
      </c>
      <c r="Y387" s="20">
        <v>2</v>
      </c>
      <c r="Z387" s="20">
        <v>4</v>
      </c>
      <c r="AA387" s="23">
        <v>3</v>
      </c>
      <c r="AB387" s="15" t="s">
        <v>9</v>
      </c>
      <c r="AC387" s="15" t="s">
        <v>9</v>
      </c>
      <c r="AD387" s="15" t="s">
        <v>9</v>
      </c>
      <c r="AE387" s="15" t="s">
        <v>9</v>
      </c>
      <c r="AF387" s="20" t="s">
        <v>9</v>
      </c>
      <c r="AG387" s="20" t="s">
        <v>9</v>
      </c>
      <c r="AH387" s="24" t="s">
        <v>9</v>
      </c>
      <c r="AI387" s="23">
        <v>3</v>
      </c>
      <c r="AJ387" s="15" t="s">
        <v>9</v>
      </c>
      <c r="AK387" s="15" t="s">
        <v>9</v>
      </c>
      <c r="AL387" s="25" t="s">
        <v>9</v>
      </c>
      <c r="AM387" s="23">
        <v>3</v>
      </c>
      <c r="AN387" s="20" t="s">
        <v>9</v>
      </c>
      <c r="AO387" s="20" t="s">
        <v>9</v>
      </c>
      <c r="AP387" s="15" t="s">
        <v>9</v>
      </c>
      <c r="AQ387" s="15" t="s">
        <v>9</v>
      </c>
      <c r="AR387" s="15" t="s">
        <v>9</v>
      </c>
      <c r="AS387" s="26" t="s">
        <v>9</v>
      </c>
      <c r="AT387" s="26" t="s">
        <v>9</v>
      </c>
      <c r="AU387" s="26" t="s">
        <v>9</v>
      </c>
      <c r="AV387" s="26" t="s">
        <v>9</v>
      </c>
      <c r="AW387" s="26" t="s">
        <v>9</v>
      </c>
      <c r="AX387" s="26" t="s">
        <v>9</v>
      </c>
      <c r="AY387" s="26" t="s">
        <v>9</v>
      </c>
      <c r="AZ387" s="26" t="s">
        <v>9</v>
      </c>
      <c r="BA387" s="23">
        <v>3</v>
      </c>
      <c r="BB387" s="24" t="s">
        <v>9</v>
      </c>
    </row>
    <row r="388" spans="1:54" x14ac:dyDescent="0.2">
      <c r="A388" s="19">
        <v>2974</v>
      </c>
      <c r="B388" s="27" t="s">
        <v>9</v>
      </c>
      <c r="C388" s="27" t="s">
        <v>9</v>
      </c>
      <c r="D388" s="27" t="s">
        <v>9</v>
      </c>
      <c r="E388" s="27" t="s">
        <v>9</v>
      </c>
      <c r="F388" s="27" t="s">
        <v>9</v>
      </c>
      <c r="G388" s="27" t="s">
        <v>9</v>
      </c>
      <c r="H388" s="27" t="s">
        <v>9</v>
      </c>
      <c r="I388" s="27" t="s">
        <v>9</v>
      </c>
      <c r="J388" s="27" t="s">
        <v>9</v>
      </c>
      <c r="K388" s="27" t="s">
        <v>9</v>
      </c>
      <c r="L388" s="27" t="s">
        <v>9</v>
      </c>
      <c r="M388" s="27" t="s">
        <v>9</v>
      </c>
      <c r="N388" s="27" t="s">
        <v>9</v>
      </c>
      <c r="O388" s="27" t="s">
        <v>9</v>
      </c>
      <c r="P388" s="27" t="s">
        <v>9</v>
      </c>
      <c r="Q388" s="27" t="s">
        <v>9</v>
      </c>
      <c r="R388" s="27" t="s">
        <v>9</v>
      </c>
      <c r="S388" s="27" t="s">
        <v>9</v>
      </c>
      <c r="T388" s="27" t="s">
        <v>9</v>
      </c>
      <c r="U388" s="27" t="s">
        <v>9</v>
      </c>
      <c r="V388" s="20" t="s">
        <v>1</v>
      </c>
      <c r="W388" s="20">
        <v>5</v>
      </c>
      <c r="X388" s="20">
        <v>3</v>
      </c>
      <c r="Y388" s="20">
        <v>2</v>
      </c>
      <c r="Z388" s="20">
        <v>4</v>
      </c>
      <c r="AA388" s="23">
        <v>3</v>
      </c>
      <c r="AB388" s="15" t="s">
        <v>9</v>
      </c>
      <c r="AC388" s="15" t="s">
        <v>9</v>
      </c>
      <c r="AD388" s="15" t="s">
        <v>9</v>
      </c>
      <c r="AE388" s="15" t="s">
        <v>9</v>
      </c>
      <c r="AF388" s="20" t="s">
        <v>9</v>
      </c>
      <c r="AG388" s="20" t="s">
        <v>9</v>
      </c>
      <c r="AH388" s="24" t="s">
        <v>9</v>
      </c>
      <c r="AI388" s="23">
        <v>3</v>
      </c>
      <c r="AJ388" s="15" t="s">
        <v>9</v>
      </c>
      <c r="AK388" s="15" t="s">
        <v>9</v>
      </c>
      <c r="AL388" s="25" t="s">
        <v>9</v>
      </c>
      <c r="AM388" s="23">
        <v>3</v>
      </c>
      <c r="AN388" s="20" t="s">
        <v>9</v>
      </c>
      <c r="AO388" s="20" t="s">
        <v>9</v>
      </c>
      <c r="AP388" s="15" t="s">
        <v>9</v>
      </c>
      <c r="AQ388" s="15" t="s">
        <v>9</v>
      </c>
      <c r="AR388" s="15" t="s">
        <v>9</v>
      </c>
      <c r="AS388" s="26" t="s">
        <v>9</v>
      </c>
      <c r="AT388" s="26" t="s">
        <v>9</v>
      </c>
      <c r="AU388" s="26" t="s">
        <v>9</v>
      </c>
      <c r="AV388" s="26" t="s">
        <v>9</v>
      </c>
      <c r="AW388" s="26" t="s">
        <v>9</v>
      </c>
      <c r="AX388" s="26" t="s">
        <v>9</v>
      </c>
      <c r="AY388" s="26" t="s">
        <v>9</v>
      </c>
      <c r="AZ388" s="26" t="s">
        <v>9</v>
      </c>
      <c r="BA388" s="23">
        <v>3</v>
      </c>
      <c r="BB388" s="24" t="s">
        <v>9</v>
      </c>
    </row>
    <row r="389" spans="1:54" x14ac:dyDescent="0.2">
      <c r="A389" s="19">
        <v>3003</v>
      </c>
      <c r="B389" s="27" t="s">
        <v>9</v>
      </c>
      <c r="C389" s="27" t="s">
        <v>9</v>
      </c>
      <c r="D389" s="27" t="s">
        <v>9</v>
      </c>
      <c r="E389" s="27" t="s">
        <v>9</v>
      </c>
      <c r="F389" s="27" t="s">
        <v>9</v>
      </c>
      <c r="G389" s="27" t="s">
        <v>9</v>
      </c>
      <c r="H389" s="27" t="s">
        <v>9</v>
      </c>
      <c r="I389" s="27" t="s">
        <v>9</v>
      </c>
      <c r="J389" s="27" t="s">
        <v>9</v>
      </c>
      <c r="K389" s="27" t="s">
        <v>9</v>
      </c>
      <c r="L389" s="27" t="s">
        <v>9</v>
      </c>
      <c r="M389" s="27" t="s">
        <v>9</v>
      </c>
      <c r="N389" s="27" t="s">
        <v>9</v>
      </c>
      <c r="O389" s="27" t="s">
        <v>9</v>
      </c>
      <c r="P389" s="27" t="s">
        <v>9</v>
      </c>
      <c r="Q389" s="27" t="s">
        <v>9</v>
      </c>
      <c r="R389" s="27" t="s">
        <v>9</v>
      </c>
      <c r="S389" s="27" t="s">
        <v>9</v>
      </c>
      <c r="T389" s="27" t="s">
        <v>9</v>
      </c>
      <c r="U389" s="27" t="s">
        <v>9</v>
      </c>
      <c r="V389" s="20" t="s">
        <v>1</v>
      </c>
      <c r="W389" s="20">
        <v>5</v>
      </c>
      <c r="X389" s="20">
        <v>3</v>
      </c>
      <c r="Y389" s="20">
        <v>2</v>
      </c>
      <c r="Z389" s="20">
        <v>4</v>
      </c>
      <c r="AA389" s="23">
        <v>3</v>
      </c>
      <c r="AB389" s="15" t="s">
        <v>9</v>
      </c>
      <c r="AC389" s="15" t="s">
        <v>9</v>
      </c>
      <c r="AD389" s="15" t="s">
        <v>9</v>
      </c>
      <c r="AE389" s="15" t="s">
        <v>9</v>
      </c>
      <c r="AF389" s="20" t="s">
        <v>9</v>
      </c>
      <c r="AG389" s="20" t="s">
        <v>9</v>
      </c>
      <c r="AH389" s="24" t="s">
        <v>9</v>
      </c>
      <c r="AI389" s="23">
        <v>3</v>
      </c>
      <c r="AJ389" s="15" t="s">
        <v>9</v>
      </c>
      <c r="AK389" s="15" t="s">
        <v>9</v>
      </c>
      <c r="AL389" s="25" t="s">
        <v>9</v>
      </c>
      <c r="AM389" s="23">
        <v>3</v>
      </c>
      <c r="AN389" s="20" t="s">
        <v>9</v>
      </c>
      <c r="AO389" s="20" t="s">
        <v>9</v>
      </c>
      <c r="AP389" s="15" t="s">
        <v>9</v>
      </c>
      <c r="AQ389" s="15" t="s">
        <v>9</v>
      </c>
      <c r="AR389" s="15" t="s">
        <v>9</v>
      </c>
      <c r="AS389" s="26" t="s">
        <v>9</v>
      </c>
      <c r="AT389" s="26" t="s">
        <v>9</v>
      </c>
      <c r="AU389" s="26" t="s">
        <v>9</v>
      </c>
      <c r="AV389" s="26" t="s">
        <v>9</v>
      </c>
      <c r="AW389" s="26" t="s">
        <v>9</v>
      </c>
      <c r="AX389" s="26" t="s">
        <v>9</v>
      </c>
      <c r="AY389" s="26" t="s">
        <v>9</v>
      </c>
      <c r="AZ389" s="26" t="s">
        <v>9</v>
      </c>
      <c r="BA389" s="23">
        <v>3</v>
      </c>
      <c r="BB389" s="24" t="s">
        <v>9</v>
      </c>
    </row>
    <row r="390" spans="1:54" x14ac:dyDescent="0.2">
      <c r="A390" s="19">
        <v>3005</v>
      </c>
      <c r="B390" s="27" t="s">
        <v>9</v>
      </c>
      <c r="C390" s="27" t="s">
        <v>9</v>
      </c>
      <c r="D390" s="27" t="s">
        <v>9</v>
      </c>
      <c r="E390" s="27" t="s">
        <v>9</v>
      </c>
      <c r="F390" s="27" t="s">
        <v>9</v>
      </c>
      <c r="G390" s="27" t="s">
        <v>9</v>
      </c>
      <c r="H390" s="27" t="s">
        <v>9</v>
      </c>
      <c r="I390" s="27" t="s">
        <v>9</v>
      </c>
      <c r="J390" s="27" t="s">
        <v>9</v>
      </c>
      <c r="K390" s="27" t="s">
        <v>9</v>
      </c>
      <c r="L390" s="27" t="s">
        <v>9</v>
      </c>
      <c r="M390" s="27" t="s">
        <v>9</v>
      </c>
      <c r="N390" s="27" t="s">
        <v>9</v>
      </c>
      <c r="O390" s="27" t="s">
        <v>9</v>
      </c>
      <c r="P390" s="27" t="s">
        <v>9</v>
      </c>
      <c r="Q390" s="27" t="s">
        <v>9</v>
      </c>
      <c r="R390" s="27" t="s">
        <v>9</v>
      </c>
      <c r="S390" s="27" t="s">
        <v>9</v>
      </c>
      <c r="T390" s="27" t="s">
        <v>9</v>
      </c>
      <c r="U390" s="27" t="s">
        <v>9</v>
      </c>
      <c r="V390" s="20" t="s">
        <v>1</v>
      </c>
      <c r="W390" s="20">
        <v>5</v>
      </c>
      <c r="X390" s="20">
        <v>3</v>
      </c>
      <c r="Y390" s="20">
        <v>2</v>
      </c>
      <c r="Z390" s="20">
        <v>4</v>
      </c>
      <c r="AA390" s="23">
        <v>3</v>
      </c>
      <c r="AB390" s="15" t="s">
        <v>9</v>
      </c>
      <c r="AC390" s="15" t="s">
        <v>9</v>
      </c>
      <c r="AD390" s="15" t="s">
        <v>9</v>
      </c>
      <c r="AE390" s="15" t="s">
        <v>9</v>
      </c>
      <c r="AF390" s="20" t="s">
        <v>9</v>
      </c>
      <c r="AG390" s="20" t="s">
        <v>9</v>
      </c>
      <c r="AH390" s="24" t="s">
        <v>9</v>
      </c>
      <c r="AI390" s="23">
        <v>3</v>
      </c>
      <c r="AJ390" s="15" t="s">
        <v>9</v>
      </c>
      <c r="AK390" s="15" t="s">
        <v>9</v>
      </c>
      <c r="AL390" s="25" t="s">
        <v>9</v>
      </c>
      <c r="AM390" s="23">
        <v>3</v>
      </c>
      <c r="AN390" s="20" t="s">
        <v>9</v>
      </c>
      <c r="AO390" s="20" t="s">
        <v>9</v>
      </c>
      <c r="AP390" s="15" t="s">
        <v>9</v>
      </c>
      <c r="AQ390" s="15" t="s">
        <v>9</v>
      </c>
      <c r="AR390" s="15" t="s">
        <v>9</v>
      </c>
      <c r="AS390" s="26" t="s">
        <v>9</v>
      </c>
      <c r="AT390" s="26" t="s">
        <v>9</v>
      </c>
      <c r="AU390" s="26" t="s">
        <v>9</v>
      </c>
      <c r="AV390" s="26" t="s">
        <v>9</v>
      </c>
      <c r="AW390" s="26" t="s">
        <v>9</v>
      </c>
      <c r="AX390" s="26" t="s">
        <v>9</v>
      </c>
      <c r="AY390" s="26" t="s">
        <v>9</v>
      </c>
      <c r="AZ390" s="26" t="s">
        <v>9</v>
      </c>
      <c r="BA390" s="23">
        <v>3</v>
      </c>
      <c r="BB390" s="24" t="s">
        <v>9</v>
      </c>
    </row>
    <row r="391" spans="1:54" x14ac:dyDescent="0.2">
      <c r="A391" s="19">
        <v>3006</v>
      </c>
      <c r="B391" s="27" t="s">
        <v>9</v>
      </c>
      <c r="C391" s="27" t="s">
        <v>9</v>
      </c>
      <c r="D391" s="27" t="s">
        <v>9</v>
      </c>
      <c r="E391" s="27" t="s">
        <v>9</v>
      </c>
      <c r="F391" s="27" t="s">
        <v>9</v>
      </c>
      <c r="G391" s="27" t="s">
        <v>9</v>
      </c>
      <c r="H391" s="27" t="s">
        <v>9</v>
      </c>
      <c r="I391" s="27" t="s">
        <v>9</v>
      </c>
      <c r="J391" s="27" t="s">
        <v>9</v>
      </c>
      <c r="K391" s="27" t="s">
        <v>9</v>
      </c>
      <c r="L391" s="27" t="s">
        <v>9</v>
      </c>
      <c r="M391" s="27" t="s">
        <v>9</v>
      </c>
      <c r="N391" s="27" t="s">
        <v>9</v>
      </c>
      <c r="O391" s="27" t="s">
        <v>9</v>
      </c>
      <c r="P391" s="27" t="s">
        <v>9</v>
      </c>
      <c r="Q391" s="27" t="s">
        <v>9</v>
      </c>
      <c r="R391" s="27" t="s">
        <v>9</v>
      </c>
      <c r="S391" s="27" t="s">
        <v>9</v>
      </c>
      <c r="T391" s="27" t="s">
        <v>9</v>
      </c>
      <c r="U391" s="27" t="s">
        <v>9</v>
      </c>
      <c r="V391" s="20" t="s">
        <v>1</v>
      </c>
      <c r="W391" s="20">
        <v>5</v>
      </c>
      <c r="X391" s="20">
        <v>3</v>
      </c>
      <c r="Y391" s="20">
        <v>2</v>
      </c>
      <c r="Z391" s="20">
        <v>4</v>
      </c>
      <c r="AA391" s="23">
        <v>3</v>
      </c>
      <c r="AB391" s="15" t="s">
        <v>9</v>
      </c>
      <c r="AC391" s="15" t="s">
        <v>9</v>
      </c>
      <c r="AD391" s="15" t="s">
        <v>9</v>
      </c>
      <c r="AE391" s="15" t="s">
        <v>9</v>
      </c>
      <c r="AF391" s="20" t="s">
        <v>9</v>
      </c>
      <c r="AG391" s="20" t="s">
        <v>9</v>
      </c>
      <c r="AH391" s="24" t="s">
        <v>9</v>
      </c>
      <c r="AI391" s="23">
        <v>3</v>
      </c>
      <c r="AJ391" s="15" t="s">
        <v>9</v>
      </c>
      <c r="AK391" s="15" t="s">
        <v>9</v>
      </c>
      <c r="AL391" s="25" t="s">
        <v>9</v>
      </c>
      <c r="AM391" s="23">
        <v>3</v>
      </c>
      <c r="AN391" s="20" t="s">
        <v>9</v>
      </c>
      <c r="AO391" s="20" t="s">
        <v>9</v>
      </c>
      <c r="AP391" s="15" t="s">
        <v>9</v>
      </c>
      <c r="AQ391" s="15" t="s">
        <v>9</v>
      </c>
      <c r="AR391" s="15" t="s">
        <v>9</v>
      </c>
      <c r="AS391" s="26" t="s">
        <v>9</v>
      </c>
      <c r="AT391" s="26" t="s">
        <v>9</v>
      </c>
      <c r="AU391" s="26" t="s">
        <v>9</v>
      </c>
      <c r="AV391" s="26" t="s">
        <v>9</v>
      </c>
      <c r="AW391" s="26" t="s">
        <v>9</v>
      </c>
      <c r="AX391" s="26" t="s">
        <v>9</v>
      </c>
      <c r="AY391" s="26" t="s">
        <v>9</v>
      </c>
      <c r="AZ391" s="26" t="s">
        <v>9</v>
      </c>
      <c r="BA391" s="23">
        <v>3</v>
      </c>
      <c r="BB391" s="24" t="s">
        <v>9</v>
      </c>
    </row>
    <row r="392" spans="1:54" x14ac:dyDescent="0.2">
      <c r="A392" s="19">
        <v>3010</v>
      </c>
      <c r="B392" s="27" t="s">
        <v>9</v>
      </c>
      <c r="C392" s="27" t="s">
        <v>9</v>
      </c>
      <c r="D392" s="27" t="s">
        <v>9</v>
      </c>
      <c r="E392" s="27" t="s">
        <v>9</v>
      </c>
      <c r="F392" s="27" t="s">
        <v>9</v>
      </c>
      <c r="G392" s="27" t="s">
        <v>9</v>
      </c>
      <c r="H392" s="27" t="s">
        <v>9</v>
      </c>
      <c r="I392" s="27" t="s">
        <v>9</v>
      </c>
      <c r="J392" s="27" t="s">
        <v>9</v>
      </c>
      <c r="K392" s="27" t="s">
        <v>9</v>
      </c>
      <c r="L392" s="27" t="s">
        <v>9</v>
      </c>
      <c r="M392" s="27" t="s">
        <v>9</v>
      </c>
      <c r="N392" s="27" t="s">
        <v>9</v>
      </c>
      <c r="O392" s="27" t="s">
        <v>9</v>
      </c>
      <c r="P392" s="27" t="s">
        <v>9</v>
      </c>
      <c r="Q392" s="27" t="s">
        <v>9</v>
      </c>
      <c r="R392" s="27" t="s">
        <v>9</v>
      </c>
      <c r="S392" s="27" t="s">
        <v>9</v>
      </c>
      <c r="T392" s="27" t="s">
        <v>9</v>
      </c>
      <c r="U392" s="27" t="s">
        <v>9</v>
      </c>
      <c r="V392" s="20" t="s">
        <v>1</v>
      </c>
      <c r="W392" s="20">
        <v>5</v>
      </c>
      <c r="X392" s="20">
        <v>3</v>
      </c>
      <c r="Y392" s="20">
        <v>2</v>
      </c>
      <c r="Z392" s="20">
        <v>4</v>
      </c>
      <c r="AA392" s="23">
        <v>3</v>
      </c>
      <c r="AB392" s="15" t="s">
        <v>9</v>
      </c>
      <c r="AC392" s="15" t="s">
        <v>9</v>
      </c>
      <c r="AD392" s="15" t="s">
        <v>9</v>
      </c>
      <c r="AE392" s="15" t="s">
        <v>9</v>
      </c>
      <c r="AF392" s="20" t="s">
        <v>9</v>
      </c>
      <c r="AG392" s="20" t="s">
        <v>9</v>
      </c>
      <c r="AH392" s="24" t="s">
        <v>9</v>
      </c>
      <c r="AI392" s="23">
        <v>3</v>
      </c>
      <c r="AJ392" s="15" t="s">
        <v>9</v>
      </c>
      <c r="AK392" s="15" t="s">
        <v>9</v>
      </c>
      <c r="AL392" s="25" t="s">
        <v>9</v>
      </c>
      <c r="AM392" s="23">
        <v>3</v>
      </c>
      <c r="AN392" s="20" t="s">
        <v>9</v>
      </c>
      <c r="AO392" s="20" t="s">
        <v>9</v>
      </c>
      <c r="AP392" s="15" t="s">
        <v>9</v>
      </c>
      <c r="AQ392" s="15" t="s">
        <v>9</v>
      </c>
      <c r="AR392" s="15" t="s">
        <v>9</v>
      </c>
      <c r="AS392" s="26" t="s">
        <v>9</v>
      </c>
      <c r="AT392" s="26" t="s">
        <v>9</v>
      </c>
      <c r="AU392" s="26" t="s">
        <v>9</v>
      </c>
      <c r="AV392" s="26" t="s">
        <v>9</v>
      </c>
      <c r="AW392" s="26" t="s">
        <v>9</v>
      </c>
      <c r="AX392" s="26" t="s">
        <v>9</v>
      </c>
      <c r="AY392" s="26" t="s">
        <v>9</v>
      </c>
      <c r="AZ392" s="26" t="s">
        <v>9</v>
      </c>
      <c r="BA392" s="23">
        <v>3</v>
      </c>
      <c r="BB392" s="24" t="s">
        <v>9</v>
      </c>
    </row>
    <row r="393" spans="1:54" x14ac:dyDescent="0.2">
      <c r="A393" s="19">
        <v>3053</v>
      </c>
      <c r="B393" s="27" t="s">
        <v>9</v>
      </c>
      <c r="C393" s="27" t="s">
        <v>9</v>
      </c>
      <c r="D393" s="27" t="s">
        <v>9</v>
      </c>
      <c r="E393" s="27" t="s">
        <v>9</v>
      </c>
      <c r="F393" s="27" t="s">
        <v>9</v>
      </c>
      <c r="G393" s="27" t="s">
        <v>9</v>
      </c>
      <c r="H393" s="27" t="s">
        <v>9</v>
      </c>
      <c r="I393" s="27" t="s">
        <v>9</v>
      </c>
      <c r="J393" s="27" t="s">
        <v>9</v>
      </c>
      <c r="K393" s="27" t="s">
        <v>9</v>
      </c>
      <c r="L393" s="27" t="s">
        <v>9</v>
      </c>
      <c r="M393" s="27" t="s">
        <v>9</v>
      </c>
      <c r="N393" s="27" t="s">
        <v>9</v>
      </c>
      <c r="O393" s="27" t="s">
        <v>9</v>
      </c>
      <c r="P393" s="27" t="s">
        <v>9</v>
      </c>
      <c r="Q393" s="27" t="s">
        <v>9</v>
      </c>
      <c r="R393" s="27" t="s">
        <v>9</v>
      </c>
      <c r="S393" s="27" t="s">
        <v>9</v>
      </c>
      <c r="T393" s="27" t="s">
        <v>9</v>
      </c>
      <c r="U393" s="27" t="s">
        <v>9</v>
      </c>
      <c r="V393" s="20" t="s">
        <v>1</v>
      </c>
      <c r="W393" s="20">
        <v>5</v>
      </c>
      <c r="X393" s="20">
        <v>3</v>
      </c>
      <c r="Y393" s="20">
        <v>2</v>
      </c>
      <c r="Z393" s="20">
        <v>4</v>
      </c>
      <c r="AA393" s="23">
        <v>3</v>
      </c>
      <c r="AB393" s="15" t="s">
        <v>9</v>
      </c>
      <c r="AC393" s="15" t="s">
        <v>9</v>
      </c>
      <c r="AD393" s="15" t="s">
        <v>9</v>
      </c>
      <c r="AE393" s="15" t="s">
        <v>9</v>
      </c>
      <c r="AF393" s="20" t="s">
        <v>9</v>
      </c>
      <c r="AG393" s="20" t="s">
        <v>9</v>
      </c>
      <c r="AH393" s="24" t="s">
        <v>9</v>
      </c>
      <c r="AI393" s="23">
        <v>3</v>
      </c>
      <c r="AJ393" s="15" t="s">
        <v>9</v>
      </c>
      <c r="AK393" s="15" t="s">
        <v>9</v>
      </c>
      <c r="AL393" s="25" t="s">
        <v>9</v>
      </c>
      <c r="AM393" s="23">
        <v>3</v>
      </c>
      <c r="AN393" s="20" t="s">
        <v>9</v>
      </c>
      <c r="AO393" s="20" t="s">
        <v>9</v>
      </c>
      <c r="AP393" s="15" t="s">
        <v>9</v>
      </c>
      <c r="AQ393" s="15" t="s">
        <v>9</v>
      </c>
      <c r="AR393" s="15" t="s">
        <v>9</v>
      </c>
      <c r="AS393" s="26" t="s">
        <v>9</v>
      </c>
      <c r="AT393" s="26" t="s">
        <v>9</v>
      </c>
      <c r="AU393" s="26" t="s">
        <v>9</v>
      </c>
      <c r="AV393" s="26" t="s">
        <v>9</v>
      </c>
      <c r="AW393" s="26" t="s">
        <v>9</v>
      </c>
      <c r="AX393" s="26" t="s">
        <v>9</v>
      </c>
      <c r="AY393" s="26" t="s">
        <v>9</v>
      </c>
      <c r="AZ393" s="26" t="s">
        <v>9</v>
      </c>
      <c r="BA393" s="23">
        <v>3</v>
      </c>
      <c r="BB393" s="24" t="s">
        <v>9</v>
      </c>
    </row>
    <row r="394" spans="1:54" x14ac:dyDescent="0.2">
      <c r="A394" s="19">
        <v>3086</v>
      </c>
      <c r="B394" s="27" t="s">
        <v>9</v>
      </c>
      <c r="C394" s="27" t="s">
        <v>9</v>
      </c>
      <c r="D394" s="27" t="s">
        <v>9</v>
      </c>
      <c r="E394" s="27" t="s">
        <v>9</v>
      </c>
      <c r="F394" s="27" t="s">
        <v>9</v>
      </c>
      <c r="G394" s="27" t="s">
        <v>9</v>
      </c>
      <c r="H394" s="27" t="s">
        <v>9</v>
      </c>
      <c r="I394" s="27" t="s">
        <v>9</v>
      </c>
      <c r="J394" s="27" t="s">
        <v>9</v>
      </c>
      <c r="K394" s="27" t="s">
        <v>9</v>
      </c>
      <c r="L394" s="27" t="s">
        <v>9</v>
      </c>
      <c r="M394" s="27" t="s">
        <v>9</v>
      </c>
      <c r="N394" s="27" t="s">
        <v>9</v>
      </c>
      <c r="O394" s="27" t="s">
        <v>9</v>
      </c>
      <c r="P394" s="27" t="s">
        <v>9</v>
      </c>
      <c r="Q394" s="27" t="s">
        <v>9</v>
      </c>
      <c r="R394" s="27" t="s">
        <v>9</v>
      </c>
      <c r="S394" s="27" t="s">
        <v>9</v>
      </c>
      <c r="T394" s="27" t="s">
        <v>9</v>
      </c>
      <c r="U394" s="27" t="s">
        <v>9</v>
      </c>
      <c r="V394" s="20" t="s">
        <v>1</v>
      </c>
      <c r="W394" s="20">
        <v>5</v>
      </c>
      <c r="X394" s="20">
        <v>3</v>
      </c>
      <c r="Y394" s="20">
        <v>2</v>
      </c>
      <c r="Z394" s="20">
        <v>4</v>
      </c>
      <c r="AA394" s="23">
        <v>3</v>
      </c>
      <c r="AB394" s="15" t="s">
        <v>9</v>
      </c>
      <c r="AC394" s="15" t="s">
        <v>9</v>
      </c>
      <c r="AD394" s="15" t="s">
        <v>9</v>
      </c>
      <c r="AE394" s="15" t="s">
        <v>9</v>
      </c>
      <c r="AF394" s="20" t="s">
        <v>9</v>
      </c>
      <c r="AG394" s="20" t="s">
        <v>9</v>
      </c>
      <c r="AH394" s="24" t="s">
        <v>9</v>
      </c>
      <c r="AI394" s="23">
        <v>3</v>
      </c>
      <c r="AJ394" s="15" t="s">
        <v>9</v>
      </c>
      <c r="AK394" s="15" t="s">
        <v>9</v>
      </c>
      <c r="AL394" s="25" t="s">
        <v>9</v>
      </c>
      <c r="AM394" s="23">
        <v>3</v>
      </c>
      <c r="AN394" s="20" t="s">
        <v>9</v>
      </c>
      <c r="AO394" s="20" t="s">
        <v>9</v>
      </c>
      <c r="AP394" s="15" t="s">
        <v>9</v>
      </c>
      <c r="AQ394" s="15" t="s">
        <v>9</v>
      </c>
      <c r="AR394" s="15" t="s">
        <v>9</v>
      </c>
      <c r="AS394" s="26" t="s">
        <v>9</v>
      </c>
      <c r="AT394" s="26" t="s">
        <v>9</v>
      </c>
      <c r="AU394" s="26" t="s">
        <v>9</v>
      </c>
      <c r="AV394" s="26" t="s">
        <v>9</v>
      </c>
      <c r="AW394" s="26" t="s">
        <v>9</v>
      </c>
      <c r="AX394" s="26" t="s">
        <v>9</v>
      </c>
      <c r="AY394" s="26" t="s">
        <v>9</v>
      </c>
      <c r="AZ394" s="26" t="s">
        <v>9</v>
      </c>
      <c r="BA394" s="23">
        <v>3</v>
      </c>
      <c r="BB394" s="24" t="s">
        <v>9</v>
      </c>
    </row>
    <row r="395" spans="1:54" x14ac:dyDescent="0.2">
      <c r="A395" s="19">
        <v>3108</v>
      </c>
      <c r="B395" s="27" t="s">
        <v>9</v>
      </c>
      <c r="C395" s="27" t="s">
        <v>9</v>
      </c>
      <c r="D395" s="27" t="s">
        <v>9</v>
      </c>
      <c r="E395" s="27" t="s">
        <v>9</v>
      </c>
      <c r="F395" s="27" t="s">
        <v>9</v>
      </c>
      <c r="G395" s="27" t="s">
        <v>9</v>
      </c>
      <c r="H395" s="27" t="s">
        <v>9</v>
      </c>
      <c r="I395" s="27" t="s">
        <v>9</v>
      </c>
      <c r="J395" s="27" t="s">
        <v>9</v>
      </c>
      <c r="K395" s="27" t="s">
        <v>9</v>
      </c>
      <c r="L395" s="27" t="s">
        <v>9</v>
      </c>
      <c r="M395" s="27" t="s">
        <v>9</v>
      </c>
      <c r="N395" s="27" t="s">
        <v>9</v>
      </c>
      <c r="O395" s="27" t="s">
        <v>9</v>
      </c>
      <c r="P395" s="27" t="s">
        <v>9</v>
      </c>
      <c r="Q395" s="27" t="s">
        <v>9</v>
      </c>
      <c r="R395" s="27" t="s">
        <v>9</v>
      </c>
      <c r="S395" s="27" t="s">
        <v>9</v>
      </c>
      <c r="T395" s="27" t="s">
        <v>9</v>
      </c>
      <c r="U395" s="27" t="s">
        <v>9</v>
      </c>
      <c r="V395" s="20" t="s">
        <v>1</v>
      </c>
      <c r="W395" s="20">
        <v>5</v>
      </c>
      <c r="X395" s="20">
        <v>3</v>
      </c>
      <c r="Y395" s="20">
        <v>2</v>
      </c>
      <c r="Z395" s="20">
        <v>4</v>
      </c>
      <c r="AA395" s="23">
        <v>3</v>
      </c>
      <c r="AB395" s="15" t="s">
        <v>9</v>
      </c>
      <c r="AC395" s="15" t="s">
        <v>9</v>
      </c>
      <c r="AD395" s="15" t="s">
        <v>9</v>
      </c>
      <c r="AE395" s="15" t="s">
        <v>9</v>
      </c>
      <c r="AF395" s="20" t="s">
        <v>9</v>
      </c>
      <c r="AG395" s="20" t="s">
        <v>9</v>
      </c>
      <c r="AH395" s="24" t="s">
        <v>9</v>
      </c>
      <c r="AI395" s="23">
        <v>3</v>
      </c>
      <c r="AJ395" s="15" t="s">
        <v>9</v>
      </c>
      <c r="AK395" s="15" t="s">
        <v>9</v>
      </c>
      <c r="AL395" s="25" t="s">
        <v>9</v>
      </c>
      <c r="AM395" s="23">
        <v>3</v>
      </c>
      <c r="AN395" s="20" t="s">
        <v>9</v>
      </c>
      <c r="AO395" s="20" t="s">
        <v>9</v>
      </c>
      <c r="AP395" s="15" t="s">
        <v>9</v>
      </c>
      <c r="AQ395" s="15" t="s">
        <v>9</v>
      </c>
      <c r="AR395" s="15" t="s">
        <v>9</v>
      </c>
      <c r="AS395" s="26" t="s">
        <v>9</v>
      </c>
      <c r="AT395" s="26" t="s">
        <v>9</v>
      </c>
      <c r="AU395" s="26" t="s">
        <v>9</v>
      </c>
      <c r="AV395" s="26" t="s">
        <v>9</v>
      </c>
      <c r="AW395" s="26" t="s">
        <v>9</v>
      </c>
      <c r="AX395" s="26" t="s">
        <v>9</v>
      </c>
      <c r="AY395" s="26" t="s">
        <v>9</v>
      </c>
      <c r="AZ395" s="26" t="s">
        <v>9</v>
      </c>
      <c r="BA395" s="23">
        <v>3</v>
      </c>
      <c r="BB395" s="24" t="s">
        <v>9</v>
      </c>
    </row>
    <row r="396" spans="1:54" x14ac:dyDescent="0.2">
      <c r="A396" s="19">
        <v>3137</v>
      </c>
      <c r="B396" s="27" t="s">
        <v>9</v>
      </c>
      <c r="C396" s="27" t="s">
        <v>9</v>
      </c>
      <c r="D396" s="27" t="s">
        <v>9</v>
      </c>
      <c r="E396" s="27" t="s">
        <v>9</v>
      </c>
      <c r="F396" s="27" t="s">
        <v>9</v>
      </c>
      <c r="G396" s="27" t="s">
        <v>9</v>
      </c>
      <c r="H396" s="27" t="s">
        <v>9</v>
      </c>
      <c r="I396" s="27" t="s">
        <v>9</v>
      </c>
      <c r="J396" s="27" t="s">
        <v>9</v>
      </c>
      <c r="K396" s="27" t="s">
        <v>9</v>
      </c>
      <c r="L396" s="27" t="s">
        <v>9</v>
      </c>
      <c r="M396" s="27" t="s">
        <v>9</v>
      </c>
      <c r="N396" s="27" t="s">
        <v>9</v>
      </c>
      <c r="O396" s="27" t="s">
        <v>9</v>
      </c>
      <c r="P396" s="27" t="s">
        <v>9</v>
      </c>
      <c r="Q396" s="27" t="s">
        <v>9</v>
      </c>
      <c r="R396" s="27" t="s">
        <v>9</v>
      </c>
      <c r="S396" s="27" t="s">
        <v>9</v>
      </c>
      <c r="T396" s="27" t="s">
        <v>9</v>
      </c>
      <c r="U396" s="27" t="s">
        <v>9</v>
      </c>
      <c r="V396" s="20" t="s">
        <v>1</v>
      </c>
      <c r="W396" s="20">
        <v>5</v>
      </c>
      <c r="X396" s="20">
        <v>3</v>
      </c>
      <c r="Y396" s="20">
        <v>2</v>
      </c>
      <c r="Z396" s="20">
        <v>4</v>
      </c>
      <c r="AA396" s="23">
        <v>3</v>
      </c>
      <c r="AB396" s="15" t="s">
        <v>9</v>
      </c>
      <c r="AC396" s="15" t="s">
        <v>9</v>
      </c>
      <c r="AD396" s="15" t="s">
        <v>9</v>
      </c>
      <c r="AE396" s="15" t="s">
        <v>9</v>
      </c>
      <c r="AF396" s="20" t="s">
        <v>9</v>
      </c>
      <c r="AG396" s="20" t="s">
        <v>9</v>
      </c>
      <c r="AH396" s="24" t="s">
        <v>9</v>
      </c>
      <c r="AI396" s="23">
        <v>3</v>
      </c>
      <c r="AJ396" s="15" t="s">
        <v>9</v>
      </c>
      <c r="AK396" s="15" t="s">
        <v>9</v>
      </c>
      <c r="AL396" s="25" t="s">
        <v>9</v>
      </c>
      <c r="AM396" s="23">
        <v>3</v>
      </c>
      <c r="AN396" s="20" t="s">
        <v>9</v>
      </c>
      <c r="AO396" s="20" t="s">
        <v>9</v>
      </c>
      <c r="AP396" s="15" t="s">
        <v>9</v>
      </c>
      <c r="AQ396" s="15" t="s">
        <v>9</v>
      </c>
      <c r="AR396" s="15" t="s">
        <v>9</v>
      </c>
      <c r="AS396" s="26" t="s">
        <v>9</v>
      </c>
      <c r="AT396" s="26" t="s">
        <v>9</v>
      </c>
      <c r="AU396" s="26" t="s">
        <v>9</v>
      </c>
      <c r="AV396" s="26" t="s">
        <v>9</v>
      </c>
      <c r="AW396" s="26" t="s">
        <v>9</v>
      </c>
      <c r="AX396" s="26" t="s">
        <v>9</v>
      </c>
      <c r="AY396" s="26" t="s">
        <v>9</v>
      </c>
      <c r="AZ396" s="26" t="s">
        <v>9</v>
      </c>
      <c r="BA396" s="23">
        <v>3</v>
      </c>
      <c r="BB396" s="24" t="s">
        <v>9</v>
      </c>
    </row>
    <row r="397" spans="1:54" x14ac:dyDescent="0.2">
      <c r="A397" s="19">
        <v>3182</v>
      </c>
      <c r="B397" s="27" t="s">
        <v>9</v>
      </c>
      <c r="C397" s="27" t="s">
        <v>9</v>
      </c>
      <c r="D397" s="27" t="s">
        <v>9</v>
      </c>
      <c r="E397" s="27" t="s">
        <v>9</v>
      </c>
      <c r="F397" s="27" t="s">
        <v>9</v>
      </c>
      <c r="G397" s="27" t="s">
        <v>9</v>
      </c>
      <c r="H397" s="27" t="s">
        <v>9</v>
      </c>
      <c r="I397" s="27" t="s">
        <v>9</v>
      </c>
      <c r="J397" s="27" t="s">
        <v>9</v>
      </c>
      <c r="K397" s="27" t="s">
        <v>9</v>
      </c>
      <c r="L397" s="27" t="s">
        <v>9</v>
      </c>
      <c r="M397" s="27" t="s">
        <v>9</v>
      </c>
      <c r="N397" s="27" t="s">
        <v>9</v>
      </c>
      <c r="O397" s="27" t="s">
        <v>9</v>
      </c>
      <c r="P397" s="27" t="s">
        <v>9</v>
      </c>
      <c r="Q397" s="27" t="s">
        <v>9</v>
      </c>
      <c r="R397" s="27" t="s">
        <v>9</v>
      </c>
      <c r="S397" s="27" t="s">
        <v>9</v>
      </c>
      <c r="T397" s="27" t="s">
        <v>9</v>
      </c>
      <c r="U397" s="27" t="s">
        <v>9</v>
      </c>
      <c r="V397" s="20" t="s">
        <v>1</v>
      </c>
      <c r="W397" s="20">
        <v>5</v>
      </c>
      <c r="X397" s="20">
        <v>3</v>
      </c>
      <c r="Y397" s="20">
        <v>2</v>
      </c>
      <c r="Z397" s="20">
        <v>4</v>
      </c>
      <c r="AA397" s="23">
        <v>3</v>
      </c>
      <c r="AB397" s="15" t="s">
        <v>9</v>
      </c>
      <c r="AC397" s="15" t="s">
        <v>9</v>
      </c>
      <c r="AD397" s="15" t="s">
        <v>9</v>
      </c>
      <c r="AE397" s="15" t="s">
        <v>9</v>
      </c>
      <c r="AF397" s="20" t="s">
        <v>9</v>
      </c>
      <c r="AG397" s="20" t="s">
        <v>9</v>
      </c>
      <c r="AH397" s="24" t="s">
        <v>9</v>
      </c>
      <c r="AI397" s="23">
        <v>3</v>
      </c>
      <c r="AJ397" s="15" t="s">
        <v>9</v>
      </c>
      <c r="AK397" s="15" t="s">
        <v>9</v>
      </c>
      <c r="AL397" s="25" t="s">
        <v>9</v>
      </c>
      <c r="AM397" s="23">
        <v>3</v>
      </c>
      <c r="AN397" s="20" t="s">
        <v>9</v>
      </c>
      <c r="AO397" s="20" t="s">
        <v>9</v>
      </c>
      <c r="AP397" s="15" t="s">
        <v>9</v>
      </c>
      <c r="AQ397" s="15" t="s">
        <v>9</v>
      </c>
      <c r="AR397" s="15" t="s">
        <v>9</v>
      </c>
      <c r="AS397" s="26" t="s">
        <v>9</v>
      </c>
      <c r="AT397" s="26" t="s">
        <v>9</v>
      </c>
      <c r="AU397" s="26" t="s">
        <v>9</v>
      </c>
      <c r="AV397" s="26" t="s">
        <v>9</v>
      </c>
      <c r="AW397" s="26" t="s">
        <v>9</v>
      </c>
      <c r="AX397" s="26" t="s">
        <v>9</v>
      </c>
      <c r="AY397" s="26" t="s">
        <v>9</v>
      </c>
      <c r="AZ397" s="26" t="s">
        <v>9</v>
      </c>
      <c r="BA397" s="23">
        <v>3</v>
      </c>
      <c r="BB397" s="24" t="s">
        <v>9</v>
      </c>
    </row>
    <row r="398" spans="1:54" x14ac:dyDescent="0.2">
      <c r="A398" s="19">
        <v>3212</v>
      </c>
      <c r="B398" s="27" t="s">
        <v>9</v>
      </c>
      <c r="C398" s="27" t="s">
        <v>9</v>
      </c>
      <c r="D398" s="27" t="s">
        <v>9</v>
      </c>
      <c r="E398" s="27" t="s">
        <v>9</v>
      </c>
      <c r="F398" s="27" t="s">
        <v>9</v>
      </c>
      <c r="G398" s="27" t="s">
        <v>9</v>
      </c>
      <c r="H398" s="27" t="s">
        <v>9</v>
      </c>
      <c r="I398" s="27" t="s">
        <v>9</v>
      </c>
      <c r="J398" s="27" t="s">
        <v>9</v>
      </c>
      <c r="K398" s="27" t="s">
        <v>9</v>
      </c>
      <c r="L398" s="27" t="s">
        <v>9</v>
      </c>
      <c r="M398" s="27" t="s">
        <v>9</v>
      </c>
      <c r="N398" s="27" t="s">
        <v>9</v>
      </c>
      <c r="O398" s="27" t="s">
        <v>9</v>
      </c>
      <c r="P398" s="27" t="s">
        <v>9</v>
      </c>
      <c r="Q398" s="27" t="s">
        <v>9</v>
      </c>
      <c r="R398" s="27" t="s">
        <v>9</v>
      </c>
      <c r="S398" s="27" t="s">
        <v>9</v>
      </c>
      <c r="T398" s="27" t="s">
        <v>9</v>
      </c>
      <c r="U398" s="27" t="s">
        <v>9</v>
      </c>
      <c r="V398" s="20" t="s">
        <v>1</v>
      </c>
      <c r="W398" s="20">
        <v>5</v>
      </c>
      <c r="X398" s="20">
        <v>3</v>
      </c>
      <c r="Y398" s="20">
        <v>2</v>
      </c>
      <c r="Z398" s="20">
        <v>4</v>
      </c>
      <c r="AA398" s="23">
        <v>3</v>
      </c>
      <c r="AB398" s="15" t="s">
        <v>9</v>
      </c>
      <c r="AC398" s="15" t="s">
        <v>9</v>
      </c>
      <c r="AD398" s="15" t="s">
        <v>9</v>
      </c>
      <c r="AE398" s="15" t="s">
        <v>9</v>
      </c>
      <c r="AF398" s="20" t="s">
        <v>9</v>
      </c>
      <c r="AG398" s="20" t="s">
        <v>9</v>
      </c>
      <c r="AH398" s="24" t="s">
        <v>9</v>
      </c>
      <c r="AI398" s="23">
        <v>3</v>
      </c>
      <c r="AJ398" s="15" t="s">
        <v>9</v>
      </c>
      <c r="AK398" s="15" t="s">
        <v>9</v>
      </c>
      <c r="AL398" s="25" t="s">
        <v>9</v>
      </c>
      <c r="AM398" s="23">
        <v>3</v>
      </c>
      <c r="AN398" s="20" t="s">
        <v>9</v>
      </c>
      <c r="AO398" s="20" t="s">
        <v>9</v>
      </c>
      <c r="AP398" s="15" t="s">
        <v>9</v>
      </c>
      <c r="AQ398" s="15" t="s">
        <v>9</v>
      </c>
      <c r="AR398" s="15" t="s">
        <v>9</v>
      </c>
      <c r="AS398" s="26" t="s">
        <v>9</v>
      </c>
      <c r="AT398" s="26" t="s">
        <v>9</v>
      </c>
      <c r="AU398" s="26" t="s">
        <v>9</v>
      </c>
      <c r="AV398" s="26" t="s">
        <v>9</v>
      </c>
      <c r="AW398" s="26" t="s">
        <v>9</v>
      </c>
      <c r="AX398" s="26" t="s">
        <v>9</v>
      </c>
      <c r="AY398" s="26" t="s">
        <v>9</v>
      </c>
      <c r="AZ398" s="26" t="s">
        <v>9</v>
      </c>
      <c r="BA398" s="23">
        <v>3</v>
      </c>
      <c r="BB398" s="24" t="s">
        <v>9</v>
      </c>
    </row>
    <row r="399" spans="1:54" x14ac:dyDescent="0.2">
      <c r="A399" s="19">
        <v>3242</v>
      </c>
      <c r="B399" s="27" t="s">
        <v>9</v>
      </c>
      <c r="C399" s="27" t="s">
        <v>9</v>
      </c>
      <c r="D399" s="27" t="s">
        <v>9</v>
      </c>
      <c r="E399" s="27" t="s">
        <v>9</v>
      </c>
      <c r="F399" s="27" t="s">
        <v>9</v>
      </c>
      <c r="G399" s="27" t="s">
        <v>9</v>
      </c>
      <c r="H399" s="27" t="s">
        <v>9</v>
      </c>
      <c r="I399" s="27" t="s">
        <v>9</v>
      </c>
      <c r="J399" s="27" t="s">
        <v>9</v>
      </c>
      <c r="K399" s="27" t="s">
        <v>9</v>
      </c>
      <c r="L399" s="27" t="s">
        <v>9</v>
      </c>
      <c r="M399" s="27" t="s">
        <v>9</v>
      </c>
      <c r="N399" s="27" t="s">
        <v>9</v>
      </c>
      <c r="O399" s="27" t="s">
        <v>9</v>
      </c>
      <c r="P399" s="27" t="s">
        <v>9</v>
      </c>
      <c r="Q399" s="27" t="s">
        <v>9</v>
      </c>
      <c r="R399" s="27" t="s">
        <v>9</v>
      </c>
      <c r="S399" s="27" t="s">
        <v>9</v>
      </c>
      <c r="T399" s="27" t="s">
        <v>9</v>
      </c>
      <c r="U399" s="27" t="s">
        <v>9</v>
      </c>
      <c r="V399" s="20" t="s">
        <v>1</v>
      </c>
      <c r="W399" s="20">
        <v>5</v>
      </c>
      <c r="X399" s="20">
        <v>3</v>
      </c>
      <c r="Y399" s="20">
        <v>2</v>
      </c>
      <c r="Z399" s="20">
        <v>4</v>
      </c>
      <c r="AA399" s="23">
        <v>3</v>
      </c>
      <c r="AB399" s="15" t="s">
        <v>9</v>
      </c>
      <c r="AC399" s="15" t="s">
        <v>9</v>
      </c>
      <c r="AD399" s="15" t="s">
        <v>9</v>
      </c>
      <c r="AE399" s="15" t="s">
        <v>9</v>
      </c>
      <c r="AF399" s="20" t="s">
        <v>9</v>
      </c>
      <c r="AG399" s="20" t="s">
        <v>9</v>
      </c>
      <c r="AH399" s="24" t="s">
        <v>9</v>
      </c>
      <c r="AI399" s="23">
        <v>3</v>
      </c>
      <c r="AJ399" s="15" t="s">
        <v>9</v>
      </c>
      <c r="AK399" s="15" t="s">
        <v>9</v>
      </c>
      <c r="AL399" s="25" t="s">
        <v>9</v>
      </c>
      <c r="AM399" s="23">
        <v>3</v>
      </c>
      <c r="AN399" s="20" t="s">
        <v>9</v>
      </c>
      <c r="AO399" s="20" t="s">
        <v>9</v>
      </c>
      <c r="AP399" s="15" t="s">
        <v>9</v>
      </c>
      <c r="AQ399" s="15" t="s">
        <v>9</v>
      </c>
      <c r="AR399" s="15" t="s">
        <v>9</v>
      </c>
      <c r="AS399" s="26" t="s">
        <v>9</v>
      </c>
      <c r="AT399" s="26" t="s">
        <v>9</v>
      </c>
      <c r="AU399" s="26" t="s">
        <v>9</v>
      </c>
      <c r="AV399" s="26" t="s">
        <v>9</v>
      </c>
      <c r="AW399" s="26" t="s">
        <v>9</v>
      </c>
      <c r="AX399" s="26" t="s">
        <v>9</v>
      </c>
      <c r="AY399" s="26" t="s">
        <v>9</v>
      </c>
      <c r="AZ399" s="26" t="s">
        <v>9</v>
      </c>
      <c r="BA399" s="23">
        <v>3</v>
      </c>
      <c r="BB399" s="24" t="s">
        <v>9</v>
      </c>
    </row>
    <row r="400" spans="1:54" x14ac:dyDescent="0.2">
      <c r="A400" s="19">
        <v>3331</v>
      </c>
      <c r="B400" s="27" t="s">
        <v>9</v>
      </c>
      <c r="C400" s="27" t="s">
        <v>9</v>
      </c>
      <c r="D400" s="27" t="s">
        <v>9</v>
      </c>
      <c r="E400" s="27" t="s">
        <v>9</v>
      </c>
      <c r="F400" s="27" t="s">
        <v>9</v>
      </c>
      <c r="G400" s="27" t="s">
        <v>9</v>
      </c>
      <c r="H400" s="27" t="s">
        <v>9</v>
      </c>
      <c r="I400" s="27" t="s">
        <v>9</v>
      </c>
      <c r="J400" s="27" t="s">
        <v>9</v>
      </c>
      <c r="K400" s="27" t="s">
        <v>9</v>
      </c>
      <c r="L400" s="27" t="s">
        <v>9</v>
      </c>
      <c r="M400" s="27" t="s">
        <v>9</v>
      </c>
      <c r="N400" s="27" t="s">
        <v>9</v>
      </c>
      <c r="O400" s="27" t="s">
        <v>9</v>
      </c>
      <c r="P400" s="27" t="s">
        <v>9</v>
      </c>
      <c r="Q400" s="27" t="s">
        <v>9</v>
      </c>
      <c r="R400" s="27" t="s">
        <v>9</v>
      </c>
      <c r="S400" s="27" t="s">
        <v>9</v>
      </c>
      <c r="T400" s="27" t="s">
        <v>9</v>
      </c>
      <c r="U400" s="27" t="s">
        <v>9</v>
      </c>
      <c r="V400" s="20" t="s">
        <v>1</v>
      </c>
      <c r="W400" s="20">
        <v>5</v>
      </c>
      <c r="X400" s="20">
        <v>3</v>
      </c>
      <c r="Y400" s="20">
        <v>2</v>
      </c>
      <c r="Z400" s="20">
        <v>4</v>
      </c>
      <c r="AA400" s="23">
        <v>3</v>
      </c>
      <c r="AB400" s="15" t="s">
        <v>9</v>
      </c>
      <c r="AC400" s="15" t="s">
        <v>9</v>
      </c>
      <c r="AD400" s="15" t="s">
        <v>9</v>
      </c>
      <c r="AE400" s="15" t="s">
        <v>9</v>
      </c>
      <c r="AF400" s="20" t="s">
        <v>9</v>
      </c>
      <c r="AG400" s="20" t="s">
        <v>9</v>
      </c>
      <c r="AH400" s="24" t="s">
        <v>9</v>
      </c>
      <c r="AI400" s="23">
        <v>3</v>
      </c>
      <c r="AJ400" s="15" t="s">
        <v>9</v>
      </c>
      <c r="AK400" s="15" t="s">
        <v>9</v>
      </c>
      <c r="AL400" s="25" t="s">
        <v>9</v>
      </c>
      <c r="AM400" s="23">
        <v>3</v>
      </c>
      <c r="AN400" s="20" t="s">
        <v>9</v>
      </c>
      <c r="AO400" s="20" t="s">
        <v>9</v>
      </c>
      <c r="AP400" s="15" t="s">
        <v>9</v>
      </c>
      <c r="AQ400" s="15" t="s">
        <v>9</v>
      </c>
      <c r="AR400" s="15" t="s">
        <v>9</v>
      </c>
      <c r="AS400" s="26" t="s">
        <v>9</v>
      </c>
      <c r="AT400" s="26" t="s">
        <v>9</v>
      </c>
      <c r="AU400" s="26" t="s">
        <v>9</v>
      </c>
      <c r="AV400" s="26" t="s">
        <v>9</v>
      </c>
      <c r="AW400" s="26" t="s">
        <v>9</v>
      </c>
      <c r="AX400" s="26" t="s">
        <v>9</v>
      </c>
      <c r="AY400" s="26" t="s">
        <v>9</v>
      </c>
      <c r="AZ400" s="26" t="s">
        <v>9</v>
      </c>
      <c r="BA400" s="23">
        <v>3</v>
      </c>
      <c r="BB400" s="24" t="s">
        <v>9</v>
      </c>
    </row>
    <row r="401" spans="1:54" x14ac:dyDescent="0.2">
      <c r="A401" s="19">
        <v>3344</v>
      </c>
      <c r="B401" s="27" t="s">
        <v>9</v>
      </c>
      <c r="C401" s="27" t="s">
        <v>9</v>
      </c>
      <c r="D401" s="27" t="s">
        <v>9</v>
      </c>
      <c r="E401" s="27" t="s">
        <v>9</v>
      </c>
      <c r="F401" s="27" t="s">
        <v>9</v>
      </c>
      <c r="G401" s="27" t="s">
        <v>9</v>
      </c>
      <c r="H401" s="27" t="s">
        <v>9</v>
      </c>
      <c r="I401" s="27" t="s">
        <v>9</v>
      </c>
      <c r="J401" s="27" t="s">
        <v>9</v>
      </c>
      <c r="K401" s="27" t="s">
        <v>9</v>
      </c>
      <c r="L401" s="27" t="s">
        <v>9</v>
      </c>
      <c r="M401" s="27" t="s">
        <v>9</v>
      </c>
      <c r="N401" s="27" t="s">
        <v>9</v>
      </c>
      <c r="O401" s="27" t="s">
        <v>9</v>
      </c>
      <c r="P401" s="27" t="s">
        <v>9</v>
      </c>
      <c r="Q401" s="27" t="s">
        <v>9</v>
      </c>
      <c r="R401" s="27" t="s">
        <v>9</v>
      </c>
      <c r="S401" s="27" t="s">
        <v>9</v>
      </c>
      <c r="T401" s="27" t="s">
        <v>9</v>
      </c>
      <c r="U401" s="27" t="s">
        <v>9</v>
      </c>
      <c r="V401" s="20" t="s">
        <v>1</v>
      </c>
      <c r="W401" s="20">
        <v>5</v>
      </c>
      <c r="X401" s="20">
        <v>3</v>
      </c>
      <c r="Y401" s="20">
        <v>2</v>
      </c>
      <c r="Z401" s="20">
        <v>4</v>
      </c>
      <c r="AA401" s="23">
        <v>3</v>
      </c>
      <c r="AB401" s="15" t="s">
        <v>9</v>
      </c>
      <c r="AC401" s="15" t="s">
        <v>9</v>
      </c>
      <c r="AD401" s="15" t="s">
        <v>9</v>
      </c>
      <c r="AE401" s="15" t="s">
        <v>9</v>
      </c>
      <c r="AF401" s="20" t="s">
        <v>9</v>
      </c>
      <c r="AG401" s="20" t="s">
        <v>9</v>
      </c>
      <c r="AH401" s="24" t="s">
        <v>9</v>
      </c>
      <c r="AI401" s="23">
        <v>3</v>
      </c>
      <c r="AJ401" s="15" t="s">
        <v>9</v>
      </c>
      <c r="AK401" s="15" t="s">
        <v>9</v>
      </c>
      <c r="AL401" s="25" t="s">
        <v>9</v>
      </c>
      <c r="AM401" s="23">
        <v>3</v>
      </c>
      <c r="AN401" s="20" t="s">
        <v>9</v>
      </c>
      <c r="AO401" s="20" t="s">
        <v>9</v>
      </c>
      <c r="AP401" s="15" t="s">
        <v>9</v>
      </c>
      <c r="AQ401" s="15" t="s">
        <v>9</v>
      </c>
      <c r="AR401" s="15" t="s">
        <v>9</v>
      </c>
      <c r="AS401" s="26" t="s">
        <v>9</v>
      </c>
      <c r="AT401" s="26" t="s">
        <v>9</v>
      </c>
      <c r="AU401" s="26" t="s">
        <v>9</v>
      </c>
      <c r="AV401" s="26" t="s">
        <v>9</v>
      </c>
      <c r="AW401" s="26" t="s">
        <v>9</v>
      </c>
      <c r="AX401" s="26" t="s">
        <v>9</v>
      </c>
      <c r="AY401" s="26" t="s">
        <v>9</v>
      </c>
      <c r="AZ401" s="26" t="s">
        <v>9</v>
      </c>
      <c r="BA401" s="23">
        <v>3</v>
      </c>
      <c r="BB401" s="24" t="s">
        <v>9</v>
      </c>
    </row>
    <row r="402" spans="1:54" x14ac:dyDescent="0.2">
      <c r="A402" s="19">
        <v>3350</v>
      </c>
      <c r="B402" s="27" t="s">
        <v>9</v>
      </c>
      <c r="C402" s="27" t="s">
        <v>9</v>
      </c>
      <c r="D402" s="27" t="s">
        <v>9</v>
      </c>
      <c r="E402" s="27" t="s">
        <v>9</v>
      </c>
      <c r="F402" s="27" t="s">
        <v>9</v>
      </c>
      <c r="G402" s="27" t="s">
        <v>9</v>
      </c>
      <c r="H402" s="27" t="s">
        <v>9</v>
      </c>
      <c r="I402" s="27" t="s">
        <v>9</v>
      </c>
      <c r="J402" s="27" t="s">
        <v>9</v>
      </c>
      <c r="K402" s="27" t="s">
        <v>9</v>
      </c>
      <c r="L402" s="27" t="s">
        <v>9</v>
      </c>
      <c r="M402" s="27" t="s">
        <v>9</v>
      </c>
      <c r="N402" s="27" t="s">
        <v>9</v>
      </c>
      <c r="O402" s="27" t="s">
        <v>9</v>
      </c>
      <c r="P402" s="27" t="s">
        <v>9</v>
      </c>
      <c r="Q402" s="27" t="s">
        <v>9</v>
      </c>
      <c r="R402" s="27" t="s">
        <v>9</v>
      </c>
      <c r="S402" s="27" t="s">
        <v>9</v>
      </c>
      <c r="T402" s="27" t="s">
        <v>9</v>
      </c>
      <c r="U402" s="27" t="s">
        <v>9</v>
      </c>
      <c r="V402" s="20" t="s">
        <v>1</v>
      </c>
      <c r="W402" s="20">
        <v>5</v>
      </c>
      <c r="X402" s="20">
        <v>3</v>
      </c>
      <c r="Y402" s="20">
        <v>2</v>
      </c>
      <c r="Z402" s="20">
        <v>4</v>
      </c>
      <c r="AA402" s="23">
        <v>3</v>
      </c>
      <c r="AB402" s="15" t="s">
        <v>9</v>
      </c>
      <c r="AC402" s="15" t="s">
        <v>9</v>
      </c>
      <c r="AD402" s="15" t="s">
        <v>9</v>
      </c>
      <c r="AE402" s="15" t="s">
        <v>9</v>
      </c>
      <c r="AF402" s="20" t="s">
        <v>9</v>
      </c>
      <c r="AG402" s="20" t="s">
        <v>9</v>
      </c>
      <c r="AH402" s="24" t="s">
        <v>9</v>
      </c>
      <c r="AI402" s="23">
        <v>3</v>
      </c>
      <c r="AJ402" s="15" t="s">
        <v>9</v>
      </c>
      <c r="AK402" s="15" t="s">
        <v>9</v>
      </c>
      <c r="AL402" s="25" t="s">
        <v>9</v>
      </c>
      <c r="AM402" s="23">
        <v>3</v>
      </c>
      <c r="AN402" s="20" t="s">
        <v>9</v>
      </c>
      <c r="AO402" s="20" t="s">
        <v>9</v>
      </c>
      <c r="AP402" s="15" t="s">
        <v>9</v>
      </c>
      <c r="AQ402" s="15" t="s">
        <v>9</v>
      </c>
      <c r="AR402" s="15" t="s">
        <v>9</v>
      </c>
      <c r="AS402" s="26" t="s">
        <v>9</v>
      </c>
      <c r="AT402" s="26" t="s">
        <v>9</v>
      </c>
      <c r="AU402" s="26" t="s">
        <v>9</v>
      </c>
      <c r="AV402" s="26" t="s">
        <v>9</v>
      </c>
      <c r="AW402" s="26" t="s">
        <v>9</v>
      </c>
      <c r="AX402" s="26" t="s">
        <v>9</v>
      </c>
      <c r="AY402" s="26" t="s">
        <v>9</v>
      </c>
      <c r="AZ402" s="26" t="s">
        <v>9</v>
      </c>
      <c r="BA402" s="23">
        <v>3</v>
      </c>
      <c r="BB402" s="24" t="s">
        <v>9</v>
      </c>
    </row>
    <row r="403" spans="1:54" x14ac:dyDescent="0.2">
      <c r="A403" s="19">
        <v>3377</v>
      </c>
      <c r="B403" s="27" t="s">
        <v>9</v>
      </c>
      <c r="C403" s="27" t="s">
        <v>9</v>
      </c>
      <c r="D403" s="27" t="s">
        <v>9</v>
      </c>
      <c r="E403" s="27" t="s">
        <v>9</v>
      </c>
      <c r="F403" s="27" t="s">
        <v>9</v>
      </c>
      <c r="G403" s="27" t="s">
        <v>9</v>
      </c>
      <c r="H403" s="27" t="s">
        <v>9</v>
      </c>
      <c r="I403" s="27" t="s">
        <v>9</v>
      </c>
      <c r="J403" s="27" t="s">
        <v>9</v>
      </c>
      <c r="K403" s="27" t="s">
        <v>9</v>
      </c>
      <c r="L403" s="27" t="s">
        <v>9</v>
      </c>
      <c r="M403" s="27" t="s">
        <v>9</v>
      </c>
      <c r="N403" s="27" t="s">
        <v>9</v>
      </c>
      <c r="O403" s="27" t="s">
        <v>9</v>
      </c>
      <c r="P403" s="27" t="s">
        <v>9</v>
      </c>
      <c r="Q403" s="27" t="s">
        <v>9</v>
      </c>
      <c r="R403" s="27" t="s">
        <v>9</v>
      </c>
      <c r="S403" s="27" t="s">
        <v>9</v>
      </c>
      <c r="T403" s="27" t="s">
        <v>9</v>
      </c>
      <c r="U403" s="27" t="s">
        <v>9</v>
      </c>
      <c r="V403" s="20" t="s">
        <v>1</v>
      </c>
      <c r="W403" s="20">
        <v>5</v>
      </c>
      <c r="X403" s="20">
        <v>3</v>
      </c>
      <c r="Y403" s="20">
        <v>2</v>
      </c>
      <c r="Z403" s="20">
        <v>4</v>
      </c>
      <c r="AA403" s="23">
        <v>3</v>
      </c>
      <c r="AB403" s="15" t="s">
        <v>9</v>
      </c>
      <c r="AC403" s="15" t="s">
        <v>9</v>
      </c>
      <c r="AD403" s="15" t="s">
        <v>9</v>
      </c>
      <c r="AE403" s="15" t="s">
        <v>9</v>
      </c>
      <c r="AF403" s="20" t="s">
        <v>9</v>
      </c>
      <c r="AG403" s="20" t="s">
        <v>9</v>
      </c>
      <c r="AH403" s="24" t="s">
        <v>9</v>
      </c>
      <c r="AI403" s="23">
        <v>3</v>
      </c>
      <c r="AJ403" s="15" t="s">
        <v>9</v>
      </c>
      <c r="AK403" s="15" t="s">
        <v>9</v>
      </c>
      <c r="AL403" s="25" t="s">
        <v>9</v>
      </c>
      <c r="AM403" s="23">
        <v>3</v>
      </c>
      <c r="AN403" s="20" t="s">
        <v>9</v>
      </c>
      <c r="AO403" s="20" t="s">
        <v>9</v>
      </c>
      <c r="AP403" s="15" t="s">
        <v>9</v>
      </c>
      <c r="AQ403" s="15" t="s">
        <v>9</v>
      </c>
      <c r="AR403" s="15" t="s">
        <v>9</v>
      </c>
      <c r="AS403" s="26" t="s">
        <v>9</v>
      </c>
      <c r="AT403" s="26" t="s">
        <v>9</v>
      </c>
      <c r="AU403" s="26" t="s">
        <v>9</v>
      </c>
      <c r="AV403" s="26" t="s">
        <v>9</v>
      </c>
      <c r="AW403" s="26" t="s">
        <v>9</v>
      </c>
      <c r="AX403" s="26" t="s">
        <v>9</v>
      </c>
      <c r="AY403" s="26" t="s">
        <v>9</v>
      </c>
      <c r="AZ403" s="26" t="s">
        <v>9</v>
      </c>
      <c r="BA403" s="23">
        <v>3</v>
      </c>
      <c r="BB403" s="24" t="s">
        <v>9</v>
      </c>
    </row>
    <row r="404" spans="1:54" x14ac:dyDescent="0.2">
      <c r="A404" s="19">
        <v>3392</v>
      </c>
      <c r="B404" s="27" t="s">
        <v>9</v>
      </c>
      <c r="C404" s="27" t="s">
        <v>9</v>
      </c>
      <c r="D404" s="27" t="s">
        <v>9</v>
      </c>
      <c r="E404" s="27" t="s">
        <v>9</v>
      </c>
      <c r="F404" s="27" t="s">
        <v>9</v>
      </c>
      <c r="G404" s="27" t="s">
        <v>9</v>
      </c>
      <c r="H404" s="27" t="s">
        <v>9</v>
      </c>
      <c r="I404" s="27" t="s">
        <v>9</v>
      </c>
      <c r="J404" s="27" t="s">
        <v>9</v>
      </c>
      <c r="K404" s="27" t="s">
        <v>9</v>
      </c>
      <c r="L404" s="27" t="s">
        <v>9</v>
      </c>
      <c r="M404" s="27" t="s">
        <v>9</v>
      </c>
      <c r="N404" s="27" t="s">
        <v>9</v>
      </c>
      <c r="O404" s="27" t="s">
        <v>9</v>
      </c>
      <c r="P404" s="27" t="s">
        <v>9</v>
      </c>
      <c r="Q404" s="27" t="s">
        <v>9</v>
      </c>
      <c r="R404" s="27" t="s">
        <v>9</v>
      </c>
      <c r="S404" s="27" t="s">
        <v>9</v>
      </c>
      <c r="T404" s="27" t="s">
        <v>9</v>
      </c>
      <c r="U404" s="27" t="s">
        <v>9</v>
      </c>
      <c r="V404" s="20" t="s">
        <v>1</v>
      </c>
      <c r="W404" s="20">
        <v>5</v>
      </c>
      <c r="X404" s="20">
        <v>3</v>
      </c>
      <c r="Y404" s="20">
        <v>2</v>
      </c>
      <c r="Z404" s="20">
        <v>4</v>
      </c>
      <c r="AA404" s="23">
        <v>3</v>
      </c>
      <c r="AB404" s="15" t="s">
        <v>9</v>
      </c>
      <c r="AC404" s="15" t="s">
        <v>9</v>
      </c>
      <c r="AD404" s="15" t="s">
        <v>9</v>
      </c>
      <c r="AE404" s="15" t="s">
        <v>9</v>
      </c>
      <c r="AF404" s="20" t="s">
        <v>9</v>
      </c>
      <c r="AG404" s="20" t="s">
        <v>9</v>
      </c>
      <c r="AH404" s="24" t="s">
        <v>9</v>
      </c>
      <c r="AI404" s="23">
        <v>3</v>
      </c>
      <c r="AJ404" s="15" t="s">
        <v>9</v>
      </c>
      <c r="AK404" s="15" t="s">
        <v>9</v>
      </c>
      <c r="AL404" s="25" t="s">
        <v>9</v>
      </c>
      <c r="AM404" s="23">
        <v>3</v>
      </c>
      <c r="AN404" s="20" t="s">
        <v>9</v>
      </c>
      <c r="AO404" s="20" t="s">
        <v>9</v>
      </c>
      <c r="AP404" s="15" t="s">
        <v>9</v>
      </c>
      <c r="AQ404" s="15" t="s">
        <v>9</v>
      </c>
      <c r="AR404" s="15" t="s">
        <v>9</v>
      </c>
      <c r="AS404" s="26" t="s">
        <v>9</v>
      </c>
      <c r="AT404" s="26" t="s">
        <v>9</v>
      </c>
      <c r="AU404" s="26" t="s">
        <v>9</v>
      </c>
      <c r="AV404" s="26" t="s">
        <v>9</v>
      </c>
      <c r="AW404" s="26" t="s">
        <v>9</v>
      </c>
      <c r="AX404" s="26" t="s">
        <v>9</v>
      </c>
      <c r="AY404" s="26" t="s">
        <v>9</v>
      </c>
      <c r="AZ404" s="26" t="s">
        <v>9</v>
      </c>
      <c r="BA404" s="23">
        <v>3</v>
      </c>
      <c r="BB404" s="24" t="s">
        <v>9</v>
      </c>
    </row>
    <row r="405" spans="1:54" x14ac:dyDescent="0.2">
      <c r="A405" s="19">
        <v>3406</v>
      </c>
      <c r="B405" s="27" t="s">
        <v>9</v>
      </c>
      <c r="C405" s="27" t="s">
        <v>9</v>
      </c>
      <c r="D405" s="27" t="s">
        <v>9</v>
      </c>
      <c r="E405" s="27" t="s">
        <v>9</v>
      </c>
      <c r="F405" s="27" t="s">
        <v>9</v>
      </c>
      <c r="G405" s="27" t="s">
        <v>9</v>
      </c>
      <c r="H405" s="27" t="s">
        <v>9</v>
      </c>
      <c r="I405" s="27" t="s">
        <v>9</v>
      </c>
      <c r="J405" s="27" t="s">
        <v>9</v>
      </c>
      <c r="K405" s="27" t="s">
        <v>9</v>
      </c>
      <c r="L405" s="27" t="s">
        <v>9</v>
      </c>
      <c r="M405" s="27" t="s">
        <v>9</v>
      </c>
      <c r="N405" s="27" t="s">
        <v>9</v>
      </c>
      <c r="O405" s="27" t="s">
        <v>9</v>
      </c>
      <c r="P405" s="27" t="s">
        <v>9</v>
      </c>
      <c r="Q405" s="27" t="s">
        <v>9</v>
      </c>
      <c r="R405" s="27" t="s">
        <v>9</v>
      </c>
      <c r="S405" s="27" t="s">
        <v>9</v>
      </c>
      <c r="T405" s="27" t="s">
        <v>9</v>
      </c>
      <c r="U405" s="27" t="s">
        <v>9</v>
      </c>
      <c r="V405" s="20" t="s">
        <v>1</v>
      </c>
      <c r="W405" s="20">
        <v>5</v>
      </c>
      <c r="X405" s="20">
        <v>3</v>
      </c>
      <c r="Y405" s="20">
        <v>2</v>
      </c>
      <c r="Z405" s="20">
        <v>4</v>
      </c>
      <c r="AA405" s="23">
        <v>3</v>
      </c>
      <c r="AB405" s="15" t="s">
        <v>9</v>
      </c>
      <c r="AC405" s="15" t="s">
        <v>9</v>
      </c>
      <c r="AD405" s="15" t="s">
        <v>9</v>
      </c>
      <c r="AE405" s="15" t="s">
        <v>9</v>
      </c>
      <c r="AF405" s="20" t="s">
        <v>9</v>
      </c>
      <c r="AG405" s="20" t="s">
        <v>9</v>
      </c>
      <c r="AH405" s="24" t="s">
        <v>9</v>
      </c>
      <c r="AI405" s="23">
        <v>3</v>
      </c>
      <c r="AJ405" s="15" t="s">
        <v>9</v>
      </c>
      <c r="AK405" s="15" t="s">
        <v>9</v>
      </c>
      <c r="AL405" s="25" t="s">
        <v>9</v>
      </c>
      <c r="AM405" s="23">
        <v>3</v>
      </c>
      <c r="AN405" s="20" t="s">
        <v>9</v>
      </c>
      <c r="AO405" s="20" t="s">
        <v>9</v>
      </c>
      <c r="AP405" s="15" t="s">
        <v>9</v>
      </c>
      <c r="AQ405" s="15" t="s">
        <v>9</v>
      </c>
      <c r="AR405" s="15" t="s">
        <v>9</v>
      </c>
      <c r="AS405" s="26" t="s">
        <v>9</v>
      </c>
      <c r="AT405" s="26" t="s">
        <v>9</v>
      </c>
      <c r="AU405" s="26" t="s">
        <v>9</v>
      </c>
      <c r="AV405" s="26" t="s">
        <v>9</v>
      </c>
      <c r="AW405" s="26" t="s">
        <v>9</v>
      </c>
      <c r="AX405" s="26" t="s">
        <v>9</v>
      </c>
      <c r="AY405" s="26" t="s">
        <v>9</v>
      </c>
      <c r="AZ405" s="26" t="s">
        <v>9</v>
      </c>
      <c r="BA405" s="23">
        <v>3</v>
      </c>
      <c r="BB405" s="24" t="s">
        <v>9</v>
      </c>
    </row>
    <row r="406" spans="1:54" x14ac:dyDescent="0.2">
      <c r="A406" s="19">
        <v>3446</v>
      </c>
      <c r="B406" s="27" t="s">
        <v>9</v>
      </c>
      <c r="C406" s="27" t="s">
        <v>9</v>
      </c>
      <c r="D406" s="27" t="s">
        <v>9</v>
      </c>
      <c r="E406" s="27" t="s">
        <v>9</v>
      </c>
      <c r="F406" s="27" t="s">
        <v>9</v>
      </c>
      <c r="G406" s="27" t="s">
        <v>9</v>
      </c>
      <c r="H406" s="27" t="s">
        <v>9</v>
      </c>
      <c r="I406" s="27" t="s">
        <v>9</v>
      </c>
      <c r="J406" s="27" t="s">
        <v>9</v>
      </c>
      <c r="K406" s="27" t="s">
        <v>9</v>
      </c>
      <c r="L406" s="27" t="s">
        <v>9</v>
      </c>
      <c r="M406" s="27" t="s">
        <v>9</v>
      </c>
      <c r="N406" s="27" t="s">
        <v>9</v>
      </c>
      <c r="O406" s="27" t="s">
        <v>9</v>
      </c>
      <c r="P406" s="27" t="s">
        <v>9</v>
      </c>
      <c r="Q406" s="27" t="s">
        <v>9</v>
      </c>
      <c r="R406" s="27" t="s">
        <v>9</v>
      </c>
      <c r="S406" s="27" t="s">
        <v>9</v>
      </c>
      <c r="T406" s="27" t="s">
        <v>9</v>
      </c>
      <c r="U406" s="27" t="s">
        <v>9</v>
      </c>
      <c r="V406" s="20" t="s">
        <v>1</v>
      </c>
      <c r="W406" s="20">
        <v>5</v>
      </c>
      <c r="X406" s="20">
        <v>3</v>
      </c>
      <c r="Y406" s="20">
        <v>2</v>
      </c>
      <c r="Z406" s="20">
        <v>4</v>
      </c>
      <c r="AA406" s="23">
        <v>3</v>
      </c>
      <c r="AB406" s="15" t="s">
        <v>9</v>
      </c>
      <c r="AC406" s="15" t="s">
        <v>9</v>
      </c>
      <c r="AD406" s="15" t="s">
        <v>9</v>
      </c>
      <c r="AE406" s="15" t="s">
        <v>9</v>
      </c>
      <c r="AF406" s="20" t="s">
        <v>9</v>
      </c>
      <c r="AG406" s="20" t="s">
        <v>9</v>
      </c>
      <c r="AH406" s="24" t="s">
        <v>9</v>
      </c>
      <c r="AI406" s="23">
        <v>3</v>
      </c>
      <c r="AJ406" s="15" t="s">
        <v>9</v>
      </c>
      <c r="AK406" s="15" t="s">
        <v>9</v>
      </c>
      <c r="AL406" s="25" t="s">
        <v>9</v>
      </c>
      <c r="AM406" s="23">
        <v>3</v>
      </c>
      <c r="AN406" s="20" t="s">
        <v>9</v>
      </c>
      <c r="AO406" s="20" t="s">
        <v>9</v>
      </c>
      <c r="AP406" s="15" t="s">
        <v>9</v>
      </c>
      <c r="AQ406" s="15" t="s">
        <v>9</v>
      </c>
      <c r="AR406" s="15" t="s">
        <v>9</v>
      </c>
      <c r="AS406" s="26" t="s">
        <v>9</v>
      </c>
      <c r="AT406" s="26" t="s">
        <v>9</v>
      </c>
      <c r="AU406" s="26" t="s">
        <v>9</v>
      </c>
      <c r="AV406" s="26" t="s">
        <v>9</v>
      </c>
      <c r="AW406" s="26" t="s">
        <v>9</v>
      </c>
      <c r="AX406" s="26" t="s">
        <v>9</v>
      </c>
      <c r="AY406" s="26" t="s">
        <v>9</v>
      </c>
      <c r="AZ406" s="26" t="s">
        <v>9</v>
      </c>
      <c r="BA406" s="23">
        <v>3</v>
      </c>
      <c r="BB406" s="24" t="s">
        <v>9</v>
      </c>
    </row>
    <row r="407" spans="1:54" x14ac:dyDescent="0.2">
      <c r="A407" s="19">
        <v>3462</v>
      </c>
      <c r="B407" s="27" t="s">
        <v>9</v>
      </c>
      <c r="C407" s="27" t="s">
        <v>9</v>
      </c>
      <c r="D407" s="27" t="s">
        <v>9</v>
      </c>
      <c r="E407" s="27" t="s">
        <v>9</v>
      </c>
      <c r="F407" s="27" t="s">
        <v>9</v>
      </c>
      <c r="G407" s="27" t="s">
        <v>9</v>
      </c>
      <c r="H407" s="27" t="s">
        <v>9</v>
      </c>
      <c r="I407" s="27" t="s">
        <v>9</v>
      </c>
      <c r="J407" s="27" t="s">
        <v>9</v>
      </c>
      <c r="K407" s="27" t="s">
        <v>9</v>
      </c>
      <c r="L407" s="27" t="s">
        <v>9</v>
      </c>
      <c r="M407" s="27" t="s">
        <v>9</v>
      </c>
      <c r="N407" s="27" t="s">
        <v>9</v>
      </c>
      <c r="O407" s="27" t="s">
        <v>9</v>
      </c>
      <c r="P407" s="27" t="s">
        <v>9</v>
      </c>
      <c r="Q407" s="27" t="s">
        <v>9</v>
      </c>
      <c r="R407" s="27" t="s">
        <v>9</v>
      </c>
      <c r="S407" s="27" t="s">
        <v>9</v>
      </c>
      <c r="T407" s="27" t="s">
        <v>9</v>
      </c>
      <c r="U407" s="27" t="s">
        <v>9</v>
      </c>
      <c r="V407" s="20" t="s">
        <v>1</v>
      </c>
      <c r="W407" s="20">
        <v>5</v>
      </c>
      <c r="X407" s="20">
        <v>3</v>
      </c>
      <c r="Y407" s="20">
        <v>2</v>
      </c>
      <c r="Z407" s="20">
        <v>4</v>
      </c>
      <c r="AA407" s="23">
        <v>3</v>
      </c>
      <c r="AB407" s="15" t="s">
        <v>9</v>
      </c>
      <c r="AC407" s="15" t="s">
        <v>9</v>
      </c>
      <c r="AD407" s="15" t="s">
        <v>9</v>
      </c>
      <c r="AE407" s="15" t="s">
        <v>9</v>
      </c>
      <c r="AF407" s="20" t="s">
        <v>9</v>
      </c>
      <c r="AG407" s="20" t="s">
        <v>9</v>
      </c>
      <c r="AH407" s="24" t="s">
        <v>9</v>
      </c>
      <c r="AI407" s="23">
        <v>3</v>
      </c>
      <c r="AJ407" s="15" t="s">
        <v>9</v>
      </c>
      <c r="AK407" s="15" t="s">
        <v>9</v>
      </c>
      <c r="AL407" s="25" t="s">
        <v>9</v>
      </c>
      <c r="AM407" s="23">
        <v>3</v>
      </c>
      <c r="AN407" s="20" t="s">
        <v>9</v>
      </c>
      <c r="AO407" s="20" t="s">
        <v>9</v>
      </c>
      <c r="AP407" s="15" t="s">
        <v>9</v>
      </c>
      <c r="AQ407" s="15" t="s">
        <v>9</v>
      </c>
      <c r="AR407" s="15" t="s">
        <v>9</v>
      </c>
      <c r="AS407" s="26" t="s">
        <v>9</v>
      </c>
      <c r="AT407" s="26" t="s">
        <v>9</v>
      </c>
      <c r="AU407" s="26" t="s">
        <v>9</v>
      </c>
      <c r="AV407" s="26" t="s">
        <v>9</v>
      </c>
      <c r="AW407" s="26" t="s">
        <v>9</v>
      </c>
      <c r="AX407" s="26" t="s">
        <v>9</v>
      </c>
      <c r="AY407" s="26" t="s">
        <v>9</v>
      </c>
      <c r="AZ407" s="26" t="s">
        <v>9</v>
      </c>
      <c r="BA407" s="23">
        <v>3</v>
      </c>
      <c r="BB407" s="24" t="s">
        <v>9</v>
      </c>
    </row>
    <row r="408" spans="1:54" x14ac:dyDescent="0.2">
      <c r="A408" s="19">
        <v>3535</v>
      </c>
      <c r="B408" s="27" t="s">
        <v>9</v>
      </c>
      <c r="C408" s="27" t="s">
        <v>9</v>
      </c>
      <c r="D408" s="27" t="s">
        <v>9</v>
      </c>
      <c r="E408" s="27" t="s">
        <v>9</v>
      </c>
      <c r="F408" s="27" t="s">
        <v>9</v>
      </c>
      <c r="G408" s="27" t="s">
        <v>9</v>
      </c>
      <c r="H408" s="27" t="s">
        <v>9</v>
      </c>
      <c r="I408" s="27" t="s">
        <v>9</v>
      </c>
      <c r="J408" s="27" t="s">
        <v>9</v>
      </c>
      <c r="K408" s="27" t="s">
        <v>9</v>
      </c>
      <c r="L408" s="27" t="s">
        <v>9</v>
      </c>
      <c r="M408" s="27" t="s">
        <v>9</v>
      </c>
      <c r="N408" s="27" t="s">
        <v>9</v>
      </c>
      <c r="O408" s="27" t="s">
        <v>9</v>
      </c>
      <c r="P408" s="27" t="s">
        <v>9</v>
      </c>
      <c r="Q408" s="27" t="s">
        <v>9</v>
      </c>
      <c r="R408" s="27" t="s">
        <v>9</v>
      </c>
      <c r="S408" s="27" t="s">
        <v>9</v>
      </c>
      <c r="T408" s="27" t="s">
        <v>9</v>
      </c>
      <c r="U408" s="27" t="s">
        <v>9</v>
      </c>
      <c r="V408" s="20" t="s">
        <v>1</v>
      </c>
      <c r="W408" s="20">
        <v>5</v>
      </c>
      <c r="X408" s="20">
        <v>3</v>
      </c>
      <c r="Y408" s="20">
        <v>2</v>
      </c>
      <c r="Z408" s="20">
        <v>4</v>
      </c>
      <c r="AA408" s="23">
        <v>3</v>
      </c>
      <c r="AB408" s="15" t="s">
        <v>9</v>
      </c>
      <c r="AC408" s="15" t="s">
        <v>9</v>
      </c>
      <c r="AD408" s="15" t="s">
        <v>9</v>
      </c>
      <c r="AE408" s="15" t="s">
        <v>9</v>
      </c>
      <c r="AF408" s="20" t="s">
        <v>9</v>
      </c>
      <c r="AG408" s="20" t="s">
        <v>9</v>
      </c>
      <c r="AH408" s="24" t="s">
        <v>9</v>
      </c>
      <c r="AI408" s="23">
        <v>3</v>
      </c>
      <c r="AJ408" s="15" t="s">
        <v>9</v>
      </c>
      <c r="AK408" s="15" t="s">
        <v>9</v>
      </c>
      <c r="AL408" s="25" t="s">
        <v>9</v>
      </c>
      <c r="AM408" s="23">
        <v>3</v>
      </c>
      <c r="AN408" s="20" t="s">
        <v>9</v>
      </c>
      <c r="AO408" s="20" t="s">
        <v>9</v>
      </c>
      <c r="AP408" s="15" t="s">
        <v>9</v>
      </c>
      <c r="AQ408" s="15" t="s">
        <v>9</v>
      </c>
      <c r="AR408" s="15" t="s">
        <v>9</v>
      </c>
      <c r="AS408" s="26" t="s">
        <v>9</v>
      </c>
      <c r="AT408" s="26" t="s">
        <v>9</v>
      </c>
      <c r="AU408" s="26" t="s">
        <v>9</v>
      </c>
      <c r="AV408" s="26" t="s">
        <v>9</v>
      </c>
      <c r="AW408" s="26" t="s">
        <v>9</v>
      </c>
      <c r="AX408" s="26" t="s">
        <v>9</v>
      </c>
      <c r="AY408" s="26" t="s">
        <v>9</v>
      </c>
      <c r="AZ408" s="26" t="s">
        <v>9</v>
      </c>
      <c r="BA408" s="23">
        <v>3</v>
      </c>
      <c r="BB408" s="24" t="s">
        <v>9</v>
      </c>
    </row>
    <row r="409" spans="1:54" x14ac:dyDescent="0.2">
      <c r="A409" s="19">
        <v>3621</v>
      </c>
      <c r="B409" s="27" t="s">
        <v>9</v>
      </c>
      <c r="C409" s="27" t="s">
        <v>9</v>
      </c>
      <c r="D409" s="27" t="s">
        <v>9</v>
      </c>
      <c r="E409" s="27" t="s">
        <v>9</v>
      </c>
      <c r="F409" s="27" t="s">
        <v>9</v>
      </c>
      <c r="G409" s="27" t="s">
        <v>9</v>
      </c>
      <c r="H409" s="27" t="s">
        <v>9</v>
      </c>
      <c r="I409" s="27" t="s">
        <v>9</v>
      </c>
      <c r="J409" s="27" t="s">
        <v>9</v>
      </c>
      <c r="K409" s="27" t="s">
        <v>9</v>
      </c>
      <c r="L409" s="27" t="s">
        <v>9</v>
      </c>
      <c r="M409" s="27" t="s">
        <v>9</v>
      </c>
      <c r="N409" s="27" t="s">
        <v>9</v>
      </c>
      <c r="O409" s="27" t="s">
        <v>9</v>
      </c>
      <c r="P409" s="27" t="s">
        <v>9</v>
      </c>
      <c r="Q409" s="27" t="s">
        <v>9</v>
      </c>
      <c r="R409" s="27" t="s">
        <v>9</v>
      </c>
      <c r="S409" s="27" t="s">
        <v>9</v>
      </c>
      <c r="T409" s="27" t="s">
        <v>9</v>
      </c>
      <c r="U409" s="27" t="s">
        <v>9</v>
      </c>
      <c r="V409" s="20" t="s">
        <v>1</v>
      </c>
      <c r="W409" s="20">
        <v>5</v>
      </c>
      <c r="X409" s="20">
        <v>3</v>
      </c>
      <c r="Y409" s="20">
        <v>2</v>
      </c>
      <c r="Z409" s="20">
        <v>4</v>
      </c>
      <c r="AA409" s="23">
        <v>3</v>
      </c>
      <c r="AB409" s="15" t="s">
        <v>9</v>
      </c>
      <c r="AC409" s="15" t="s">
        <v>9</v>
      </c>
      <c r="AD409" s="15" t="s">
        <v>9</v>
      </c>
      <c r="AE409" s="15" t="s">
        <v>9</v>
      </c>
      <c r="AF409" s="20" t="s">
        <v>9</v>
      </c>
      <c r="AG409" s="20" t="s">
        <v>9</v>
      </c>
      <c r="AH409" s="24" t="s">
        <v>9</v>
      </c>
      <c r="AI409" s="23">
        <v>3</v>
      </c>
      <c r="AJ409" s="15" t="s">
        <v>9</v>
      </c>
      <c r="AK409" s="15" t="s">
        <v>9</v>
      </c>
      <c r="AL409" s="25" t="s">
        <v>9</v>
      </c>
      <c r="AM409" s="23">
        <v>3</v>
      </c>
      <c r="AN409" s="20" t="s">
        <v>9</v>
      </c>
      <c r="AO409" s="20" t="s">
        <v>9</v>
      </c>
      <c r="AP409" s="15" t="s">
        <v>9</v>
      </c>
      <c r="AQ409" s="15" t="s">
        <v>9</v>
      </c>
      <c r="AR409" s="15" t="s">
        <v>9</v>
      </c>
      <c r="AS409" s="26" t="s">
        <v>9</v>
      </c>
      <c r="AT409" s="26" t="s">
        <v>9</v>
      </c>
      <c r="AU409" s="26" t="s">
        <v>9</v>
      </c>
      <c r="AV409" s="26" t="s">
        <v>9</v>
      </c>
      <c r="AW409" s="26" t="s">
        <v>9</v>
      </c>
      <c r="AX409" s="26" t="s">
        <v>9</v>
      </c>
      <c r="AY409" s="26" t="s">
        <v>9</v>
      </c>
      <c r="AZ409" s="26" t="s">
        <v>9</v>
      </c>
      <c r="BA409" s="23">
        <v>3</v>
      </c>
      <c r="BB409" s="24" t="s">
        <v>9</v>
      </c>
    </row>
    <row r="410" spans="1:54" x14ac:dyDescent="0.2">
      <c r="A410" s="19">
        <v>3639</v>
      </c>
      <c r="B410" s="27" t="s">
        <v>9</v>
      </c>
      <c r="C410" s="27" t="s">
        <v>9</v>
      </c>
      <c r="D410" s="27" t="s">
        <v>9</v>
      </c>
      <c r="E410" s="27" t="s">
        <v>9</v>
      </c>
      <c r="F410" s="27" t="s">
        <v>9</v>
      </c>
      <c r="G410" s="27" t="s">
        <v>9</v>
      </c>
      <c r="H410" s="27" t="s">
        <v>9</v>
      </c>
      <c r="I410" s="27" t="s">
        <v>9</v>
      </c>
      <c r="J410" s="27" t="s">
        <v>9</v>
      </c>
      <c r="K410" s="27" t="s">
        <v>9</v>
      </c>
      <c r="L410" s="27" t="s">
        <v>9</v>
      </c>
      <c r="M410" s="27" t="s">
        <v>9</v>
      </c>
      <c r="N410" s="27" t="s">
        <v>9</v>
      </c>
      <c r="O410" s="27" t="s">
        <v>9</v>
      </c>
      <c r="P410" s="27" t="s">
        <v>9</v>
      </c>
      <c r="Q410" s="27" t="s">
        <v>9</v>
      </c>
      <c r="R410" s="27" t="s">
        <v>9</v>
      </c>
      <c r="S410" s="27" t="s">
        <v>9</v>
      </c>
      <c r="T410" s="27" t="s">
        <v>9</v>
      </c>
      <c r="U410" s="27" t="s">
        <v>9</v>
      </c>
      <c r="V410" s="20" t="s">
        <v>1</v>
      </c>
      <c r="W410" s="20">
        <v>5</v>
      </c>
      <c r="X410" s="20">
        <v>3</v>
      </c>
      <c r="Y410" s="20">
        <v>2</v>
      </c>
      <c r="Z410" s="20">
        <v>4</v>
      </c>
      <c r="AA410" s="23">
        <v>3</v>
      </c>
      <c r="AB410" s="15" t="s">
        <v>9</v>
      </c>
      <c r="AC410" s="15" t="s">
        <v>9</v>
      </c>
      <c r="AD410" s="15" t="s">
        <v>9</v>
      </c>
      <c r="AE410" s="15" t="s">
        <v>9</v>
      </c>
      <c r="AF410" s="20" t="s">
        <v>9</v>
      </c>
      <c r="AG410" s="20" t="s">
        <v>9</v>
      </c>
      <c r="AH410" s="24" t="s">
        <v>9</v>
      </c>
      <c r="AI410" s="23">
        <v>3</v>
      </c>
      <c r="AJ410" s="15" t="s">
        <v>9</v>
      </c>
      <c r="AK410" s="15" t="s">
        <v>9</v>
      </c>
      <c r="AL410" s="25" t="s">
        <v>9</v>
      </c>
      <c r="AM410" s="23">
        <v>3</v>
      </c>
      <c r="AN410" s="20" t="s">
        <v>9</v>
      </c>
      <c r="AO410" s="20" t="s">
        <v>9</v>
      </c>
      <c r="AP410" s="15" t="s">
        <v>9</v>
      </c>
      <c r="AQ410" s="15" t="s">
        <v>9</v>
      </c>
      <c r="AR410" s="15" t="s">
        <v>9</v>
      </c>
      <c r="AS410" s="26" t="s">
        <v>9</v>
      </c>
      <c r="AT410" s="26" t="s">
        <v>9</v>
      </c>
      <c r="AU410" s="26" t="s">
        <v>9</v>
      </c>
      <c r="AV410" s="26" t="s">
        <v>9</v>
      </c>
      <c r="AW410" s="26" t="s">
        <v>9</v>
      </c>
      <c r="AX410" s="26" t="s">
        <v>9</v>
      </c>
      <c r="AY410" s="26" t="s">
        <v>9</v>
      </c>
      <c r="AZ410" s="26" t="s">
        <v>9</v>
      </c>
      <c r="BA410" s="23">
        <v>3</v>
      </c>
      <c r="BB410" s="24" t="s">
        <v>9</v>
      </c>
    </row>
    <row r="411" spans="1:54" x14ac:dyDescent="0.2">
      <c r="A411" s="19">
        <v>3727</v>
      </c>
      <c r="B411" s="27" t="s">
        <v>9</v>
      </c>
      <c r="C411" s="27" t="s">
        <v>9</v>
      </c>
      <c r="D411" s="27" t="s">
        <v>9</v>
      </c>
      <c r="E411" s="27" t="s">
        <v>9</v>
      </c>
      <c r="F411" s="27" t="s">
        <v>9</v>
      </c>
      <c r="G411" s="27" t="s">
        <v>9</v>
      </c>
      <c r="H411" s="27" t="s">
        <v>9</v>
      </c>
      <c r="I411" s="27" t="s">
        <v>9</v>
      </c>
      <c r="J411" s="27" t="s">
        <v>9</v>
      </c>
      <c r="K411" s="27" t="s">
        <v>9</v>
      </c>
      <c r="L411" s="27" t="s">
        <v>9</v>
      </c>
      <c r="M411" s="27" t="s">
        <v>9</v>
      </c>
      <c r="N411" s="27" t="s">
        <v>9</v>
      </c>
      <c r="O411" s="27" t="s">
        <v>9</v>
      </c>
      <c r="P411" s="27" t="s">
        <v>9</v>
      </c>
      <c r="Q411" s="27" t="s">
        <v>9</v>
      </c>
      <c r="R411" s="27" t="s">
        <v>9</v>
      </c>
      <c r="S411" s="27" t="s">
        <v>9</v>
      </c>
      <c r="T411" s="27" t="s">
        <v>9</v>
      </c>
      <c r="U411" s="27" t="s">
        <v>9</v>
      </c>
      <c r="V411" s="20" t="s">
        <v>1</v>
      </c>
      <c r="W411" s="20">
        <v>5</v>
      </c>
      <c r="X411" s="20">
        <v>3</v>
      </c>
      <c r="Y411" s="20">
        <v>2</v>
      </c>
      <c r="Z411" s="20">
        <v>4</v>
      </c>
      <c r="AA411" s="23">
        <v>3</v>
      </c>
      <c r="AB411" s="15" t="s">
        <v>9</v>
      </c>
      <c r="AC411" s="15" t="s">
        <v>9</v>
      </c>
      <c r="AD411" s="15" t="s">
        <v>9</v>
      </c>
      <c r="AE411" s="15" t="s">
        <v>9</v>
      </c>
      <c r="AF411" s="20" t="s">
        <v>9</v>
      </c>
      <c r="AG411" s="20" t="s">
        <v>9</v>
      </c>
      <c r="AH411" s="24" t="s">
        <v>9</v>
      </c>
      <c r="AI411" s="23">
        <v>3</v>
      </c>
      <c r="AJ411" s="15" t="s">
        <v>9</v>
      </c>
      <c r="AK411" s="15" t="s">
        <v>9</v>
      </c>
      <c r="AL411" s="25" t="s">
        <v>9</v>
      </c>
      <c r="AM411" s="23">
        <v>3</v>
      </c>
      <c r="AN411" s="20" t="s">
        <v>9</v>
      </c>
      <c r="AO411" s="20" t="s">
        <v>9</v>
      </c>
      <c r="AP411" s="15" t="s">
        <v>9</v>
      </c>
      <c r="AQ411" s="15" t="s">
        <v>9</v>
      </c>
      <c r="AR411" s="15" t="s">
        <v>9</v>
      </c>
      <c r="AS411" s="26" t="s">
        <v>9</v>
      </c>
      <c r="AT411" s="26" t="s">
        <v>9</v>
      </c>
      <c r="AU411" s="26" t="s">
        <v>9</v>
      </c>
      <c r="AV411" s="26" t="s">
        <v>9</v>
      </c>
      <c r="AW411" s="26" t="s">
        <v>9</v>
      </c>
      <c r="AX411" s="26" t="s">
        <v>9</v>
      </c>
      <c r="AY411" s="26" t="s">
        <v>9</v>
      </c>
      <c r="AZ411" s="26" t="s">
        <v>9</v>
      </c>
      <c r="BA411" s="23">
        <v>3</v>
      </c>
      <c r="BB411" s="24" t="s">
        <v>9</v>
      </c>
    </row>
    <row r="412" spans="1:54" x14ac:dyDescent="0.2">
      <c r="A412" s="19">
        <v>3737</v>
      </c>
      <c r="B412" s="27" t="s">
        <v>9</v>
      </c>
      <c r="C412" s="27" t="s">
        <v>9</v>
      </c>
      <c r="D412" s="27" t="s">
        <v>9</v>
      </c>
      <c r="E412" s="27" t="s">
        <v>9</v>
      </c>
      <c r="F412" s="27" t="s">
        <v>9</v>
      </c>
      <c r="G412" s="27" t="s">
        <v>9</v>
      </c>
      <c r="H412" s="27" t="s">
        <v>9</v>
      </c>
      <c r="I412" s="27" t="s">
        <v>9</v>
      </c>
      <c r="J412" s="27" t="s">
        <v>9</v>
      </c>
      <c r="K412" s="27" t="s">
        <v>9</v>
      </c>
      <c r="L412" s="27" t="s">
        <v>9</v>
      </c>
      <c r="M412" s="27" t="s">
        <v>9</v>
      </c>
      <c r="N412" s="27" t="s">
        <v>9</v>
      </c>
      <c r="O412" s="27" t="s">
        <v>9</v>
      </c>
      <c r="P412" s="27" t="s">
        <v>9</v>
      </c>
      <c r="Q412" s="27" t="s">
        <v>9</v>
      </c>
      <c r="R412" s="27" t="s">
        <v>9</v>
      </c>
      <c r="S412" s="27" t="s">
        <v>9</v>
      </c>
      <c r="T412" s="27" t="s">
        <v>9</v>
      </c>
      <c r="U412" s="27" t="s">
        <v>9</v>
      </c>
      <c r="V412" s="20" t="s">
        <v>1</v>
      </c>
      <c r="W412" s="20">
        <v>5</v>
      </c>
      <c r="X412" s="20">
        <v>3</v>
      </c>
      <c r="Y412" s="20">
        <v>2</v>
      </c>
      <c r="Z412" s="20">
        <v>4</v>
      </c>
      <c r="AA412" s="23">
        <v>3</v>
      </c>
      <c r="AB412" s="15" t="s">
        <v>9</v>
      </c>
      <c r="AC412" s="15" t="s">
        <v>9</v>
      </c>
      <c r="AD412" s="15" t="s">
        <v>9</v>
      </c>
      <c r="AE412" s="15" t="s">
        <v>9</v>
      </c>
      <c r="AF412" s="20" t="s">
        <v>9</v>
      </c>
      <c r="AG412" s="20" t="s">
        <v>9</v>
      </c>
      <c r="AH412" s="24" t="s">
        <v>9</v>
      </c>
      <c r="AI412" s="23">
        <v>3</v>
      </c>
      <c r="AJ412" s="15" t="s">
        <v>9</v>
      </c>
      <c r="AK412" s="15" t="s">
        <v>9</v>
      </c>
      <c r="AL412" s="25" t="s">
        <v>9</v>
      </c>
      <c r="AM412" s="23">
        <v>3</v>
      </c>
      <c r="AN412" s="20" t="s">
        <v>9</v>
      </c>
      <c r="AO412" s="20" t="s">
        <v>9</v>
      </c>
      <c r="AP412" s="15" t="s">
        <v>9</v>
      </c>
      <c r="AQ412" s="15" t="s">
        <v>9</v>
      </c>
      <c r="AR412" s="15" t="s">
        <v>9</v>
      </c>
      <c r="AS412" s="26" t="s">
        <v>9</v>
      </c>
      <c r="AT412" s="26" t="s">
        <v>9</v>
      </c>
      <c r="AU412" s="26" t="s">
        <v>9</v>
      </c>
      <c r="AV412" s="26" t="s">
        <v>9</v>
      </c>
      <c r="AW412" s="26" t="s">
        <v>9</v>
      </c>
      <c r="AX412" s="26" t="s">
        <v>9</v>
      </c>
      <c r="AY412" s="26" t="s">
        <v>9</v>
      </c>
      <c r="AZ412" s="26" t="s">
        <v>9</v>
      </c>
      <c r="BA412" s="23">
        <v>3</v>
      </c>
      <c r="BB412" s="24" t="s">
        <v>9</v>
      </c>
    </row>
    <row r="413" spans="1:54" x14ac:dyDescent="0.2">
      <c r="A413" s="19">
        <v>3799</v>
      </c>
      <c r="B413" s="27" t="s">
        <v>9</v>
      </c>
      <c r="C413" s="27" t="s">
        <v>9</v>
      </c>
      <c r="D413" s="27" t="s">
        <v>9</v>
      </c>
      <c r="E413" s="27" t="s">
        <v>9</v>
      </c>
      <c r="F413" s="27" t="s">
        <v>9</v>
      </c>
      <c r="G413" s="27" t="s">
        <v>9</v>
      </c>
      <c r="H413" s="27" t="s">
        <v>9</v>
      </c>
      <c r="I413" s="27" t="s">
        <v>9</v>
      </c>
      <c r="J413" s="27" t="s">
        <v>9</v>
      </c>
      <c r="K413" s="27" t="s">
        <v>9</v>
      </c>
      <c r="L413" s="27" t="s">
        <v>9</v>
      </c>
      <c r="M413" s="27" t="s">
        <v>9</v>
      </c>
      <c r="N413" s="27" t="s">
        <v>9</v>
      </c>
      <c r="O413" s="27" t="s">
        <v>9</v>
      </c>
      <c r="P413" s="27" t="s">
        <v>9</v>
      </c>
      <c r="Q413" s="27" t="s">
        <v>9</v>
      </c>
      <c r="R413" s="27" t="s">
        <v>9</v>
      </c>
      <c r="S413" s="27" t="s">
        <v>9</v>
      </c>
      <c r="T413" s="27" t="s">
        <v>9</v>
      </c>
      <c r="U413" s="27" t="s">
        <v>9</v>
      </c>
      <c r="V413" s="20" t="s">
        <v>1</v>
      </c>
      <c r="W413" s="20">
        <v>5</v>
      </c>
      <c r="X413" s="20">
        <v>3</v>
      </c>
      <c r="Y413" s="20">
        <v>2</v>
      </c>
      <c r="Z413" s="20">
        <v>4</v>
      </c>
      <c r="AA413" s="23">
        <v>3</v>
      </c>
      <c r="AB413" s="15" t="s">
        <v>9</v>
      </c>
      <c r="AC413" s="15" t="s">
        <v>9</v>
      </c>
      <c r="AD413" s="15" t="s">
        <v>9</v>
      </c>
      <c r="AE413" s="15" t="s">
        <v>9</v>
      </c>
      <c r="AF413" s="20" t="s">
        <v>9</v>
      </c>
      <c r="AG413" s="20" t="s">
        <v>9</v>
      </c>
      <c r="AH413" s="24" t="s">
        <v>9</v>
      </c>
      <c r="AI413" s="23">
        <v>3</v>
      </c>
      <c r="AJ413" s="15" t="s">
        <v>9</v>
      </c>
      <c r="AK413" s="15" t="s">
        <v>9</v>
      </c>
      <c r="AL413" s="25" t="s">
        <v>9</v>
      </c>
      <c r="AM413" s="23">
        <v>3</v>
      </c>
      <c r="AN413" s="20" t="s">
        <v>9</v>
      </c>
      <c r="AO413" s="20" t="s">
        <v>9</v>
      </c>
      <c r="AP413" s="15" t="s">
        <v>9</v>
      </c>
      <c r="AQ413" s="15" t="s">
        <v>9</v>
      </c>
      <c r="AR413" s="15" t="s">
        <v>9</v>
      </c>
      <c r="AS413" s="26" t="s">
        <v>9</v>
      </c>
      <c r="AT413" s="26" t="s">
        <v>9</v>
      </c>
      <c r="AU413" s="26" t="s">
        <v>9</v>
      </c>
      <c r="AV413" s="26" t="s">
        <v>9</v>
      </c>
      <c r="AW413" s="26" t="s">
        <v>9</v>
      </c>
      <c r="AX413" s="26" t="s">
        <v>9</v>
      </c>
      <c r="AY413" s="26" t="s">
        <v>9</v>
      </c>
      <c r="AZ413" s="26" t="s">
        <v>9</v>
      </c>
      <c r="BA413" s="23">
        <v>3</v>
      </c>
      <c r="BB413" s="24" t="s">
        <v>9</v>
      </c>
    </row>
    <row r="414" spans="1:54" x14ac:dyDescent="0.2">
      <c r="A414" s="19">
        <v>3841</v>
      </c>
      <c r="B414" s="27" t="s">
        <v>9</v>
      </c>
      <c r="C414" s="27" t="s">
        <v>9</v>
      </c>
      <c r="D414" s="27" t="s">
        <v>9</v>
      </c>
      <c r="E414" s="27" t="s">
        <v>9</v>
      </c>
      <c r="F414" s="27" t="s">
        <v>9</v>
      </c>
      <c r="G414" s="27" t="s">
        <v>9</v>
      </c>
      <c r="H414" s="27" t="s">
        <v>9</v>
      </c>
      <c r="I414" s="27" t="s">
        <v>9</v>
      </c>
      <c r="J414" s="27" t="s">
        <v>9</v>
      </c>
      <c r="K414" s="27" t="s">
        <v>9</v>
      </c>
      <c r="L414" s="27" t="s">
        <v>9</v>
      </c>
      <c r="M414" s="27" t="s">
        <v>9</v>
      </c>
      <c r="N414" s="27" t="s">
        <v>9</v>
      </c>
      <c r="O414" s="27" t="s">
        <v>9</v>
      </c>
      <c r="P414" s="27" t="s">
        <v>9</v>
      </c>
      <c r="Q414" s="27" t="s">
        <v>9</v>
      </c>
      <c r="R414" s="27" t="s">
        <v>9</v>
      </c>
      <c r="S414" s="27" t="s">
        <v>9</v>
      </c>
      <c r="T414" s="27" t="s">
        <v>9</v>
      </c>
      <c r="U414" s="27" t="s">
        <v>9</v>
      </c>
      <c r="V414" s="20" t="s">
        <v>1</v>
      </c>
      <c r="W414" s="20">
        <v>5</v>
      </c>
      <c r="X414" s="20">
        <v>3</v>
      </c>
      <c r="Y414" s="20">
        <v>2</v>
      </c>
      <c r="Z414" s="20">
        <v>4</v>
      </c>
      <c r="AA414" s="23">
        <v>3</v>
      </c>
      <c r="AB414" s="15" t="s">
        <v>9</v>
      </c>
      <c r="AC414" s="15" t="s">
        <v>9</v>
      </c>
      <c r="AD414" s="15" t="s">
        <v>9</v>
      </c>
      <c r="AE414" s="15" t="s">
        <v>9</v>
      </c>
      <c r="AF414" s="20" t="s">
        <v>9</v>
      </c>
      <c r="AG414" s="20" t="s">
        <v>9</v>
      </c>
      <c r="AH414" s="24" t="s">
        <v>9</v>
      </c>
      <c r="AI414" s="23">
        <v>3</v>
      </c>
      <c r="AJ414" s="15" t="s">
        <v>9</v>
      </c>
      <c r="AK414" s="15" t="s">
        <v>9</v>
      </c>
      <c r="AL414" s="25" t="s">
        <v>9</v>
      </c>
      <c r="AM414" s="23">
        <v>3</v>
      </c>
      <c r="AN414" s="20" t="s">
        <v>9</v>
      </c>
      <c r="AO414" s="20" t="s">
        <v>9</v>
      </c>
      <c r="AP414" s="15" t="s">
        <v>9</v>
      </c>
      <c r="AQ414" s="15" t="s">
        <v>9</v>
      </c>
      <c r="AR414" s="15" t="s">
        <v>9</v>
      </c>
      <c r="AS414" s="26" t="s">
        <v>9</v>
      </c>
      <c r="AT414" s="26" t="s">
        <v>9</v>
      </c>
      <c r="AU414" s="26" t="s">
        <v>9</v>
      </c>
      <c r="AV414" s="26" t="s">
        <v>9</v>
      </c>
      <c r="AW414" s="26" t="s">
        <v>9</v>
      </c>
      <c r="AX414" s="26" t="s">
        <v>9</v>
      </c>
      <c r="AY414" s="26" t="s">
        <v>9</v>
      </c>
      <c r="AZ414" s="26" t="s">
        <v>9</v>
      </c>
      <c r="BA414" s="23">
        <v>3</v>
      </c>
      <c r="BB414" s="24" t="s">
        <v>9</v>
      </c>
    </row>
    <row r="415" spans="1:54" x14ac:dyDescent="0.2">
      <c r="A415" s="19">
        <v>3846</v>
      </c>
      <c r="B415" s="27" t="s">
        <v>9</v>
      </c>
      <c r="C415" s="27" t="s">
        <v>9</v>
      </c>
      <c r="D415" s="27" t="s">
        <v>9</v>
      </c>
      <c r="E415" s="27" t="s">
        <v>9</v>
      </c>
      <c r="F415" s="27" t="s">
        <v>9</v>
      </c>
      <c r="G415" s="27" t="s">
        <v>9</v>
      </c>
      <c r="H415" s="27" t="s">
        <v>9</v>
      </c>
      <c r="I415" s="27" t="s">
        <v>9</v>
      </c>
      <c r="J415" s="27" t="s">
        <v>9</v>
      </c>
      <c r="K415" s="27" t="s">
        <v>9</v>
      </c>
      <c r="L415" s="27" t="s">
        <v>9</v>
      </c>
      <c r="M415" s="27" t="s">
        <v>9</v>
      </c>
      <c r="N415" s="27" t="s">
        <v>9</v>
      </c>
      <c r="O415" s="27" t="s">
        <v>9</v>
      </c>
      <c r="P415" s="27" t="s">
        <v>9</v>
      </c>
      <c r="Q415" s="27" t="s">
        <v>9</v>
      </c>
      <c r="R415" s="27" t="s">
        <v>9</v>
      </c>
      <c r="S415" s="27" t="s">
        <v>9</v>
      </c>
      <c r="T415" s="27" t="s">
        <v>9</v>
      </c>
      <c r="U415" s="27" t="s">
        <v>9</v>
      </c>
      <c r="V415" s="20" t="s">
        <v>1</v>
      </c>
      <c r="W415" s="20">
        <v>5</v>
      </c>
      <c r="X415" s="20">
        <v>3</v>
      </c>
      <c r="Y415" s="20">
        <v>2</v>
      </c>
      <c r="Z415" s="20">
        <v>4</v>
      </c>
      <c r="AA415" s="23">
        <v>3</v>
      </c>
      <c r="AB415" s="15" t="s">
        <v>9</v>
      </c>
      <c r="AC415" s="15" t="s">
        <v>9</v>
      </c>
      <c r="AD415" s="15" t="s">
        <v>9</v>
      </c>
      <c r="AE415" s="15" t="s">
        <v>9</v>
      </c>
      <c r="AF415" s="20" t="s">
        <v>9</v>
      </c>
      <c r="AG415" s="20" t="s">
        <v>9</v>
      </c>
      <c r="AH415" s="24" t="s">
        <v>9</v>
      </c>
      <c r="AI415" s="23">
        <v>3</v>
      </c>
      <c r="AJ415" s="15" t="s">
        <v>9</v>
      </c>
      <c r="AK415" s="15" t="s">
        <v>9</v>
      </c>
      <c r="AL415" s="25" t="s">
        <v>9</v>
      </c>
      <c r="AM415" s="23">
        <v>3</v>
      </c>
      <c r="AN415" s="20" t="s">
        <v>9</v>
      </c>
      <c r="AO415" s="20" t="s">
        <v>9</v>
      </c>
      <c r="AP415" s="15" t="s">
        <v>9</v>
      </c>
      <c r="AQ415" s="15" t="s">
        <v>9</v>
      </c>
      <c r="AR415" s="15" t="s">
        <v>9</v>
      </c>
      <c r="AS415" s="26" t="s">
        <v>9</v>
      </c>
      <c r="AT415" s="26" t="s">
        <v>9</v>
      </c>
      <c r="AU415" s="26" t="s">
        <v>9</v>
      </c>
      <c r="AV415" s="26" t="s">
        <v>9</v>
      </c>
      <c r="AW415" s="26" t="s">
        <v>9</v>
      </c>
      <c r="AX415" s="26" t="s">
        <v>9</v>
      </c>
      <c r="AY415" s="26" t="s">
        <v>9</v>
      </c>
      <c r="AZ415" s="26" t="s">
        <v>9</v>
      </c>
      <c r="BA415" s="23">
        <v>3</v>
      </c>
      <c r="BB415" s="24" t="s">
        <v>9</v>
      </c>
    </row>
    <row r="416" spans="1:54" x14ac:dyDescent="0.2">
      <c r="A416" s="19">
        <v>3898</v>
      </c>
      <c r="B416" s="27" t="s">
        <v>9</v>
      </c>
      <c r="C416" s="27" t="s">
        <v>9</v>
      </c>
      <c r="D416" s="27" t="s">
        <v>9</v>
      </c>
      <c r="E416" s="27" t="s">
        <v>9</v>
      </c>
      <c r="F416" s="27" t="s">
        <v>9</v>
      </c>
      <c r="G416" s="27" t="s">
        <v>9</v>
      </c>
      <c r="H416" s="27" t="s">
        <v>9</v>
      </c>
      <c r="I416" s="27" t="s">
        <v>9</v>
      </c>
      <c r="J416" s="27" t="s">
        <v>9</v>
      </c>
      <c r="K416" s="27" t="s">
        <v>9</v>
      </c>
      <c r="L416" s="27" t="s">
        <v>9</v>
      </c>
      <c r="M416" s="27" t="s">
        <v>9</v>
      </c>
      <c r="N416" s="27" t="s">
        <v>9</v>
      </c>
      <c r="O416" s="27" t="s">
        <v>9</v>
      </c>
      <c r="P416" s="27" t="s">
        <v>9</v>
      </c>
      <c r="Q416" s="27" t="s">
        <v>9</v>
      </c>
      <c r="R416" s="27" t="s">
        <v>9</v>
      </c>
      <c r="S416" s="27" t="s">
        <v>9</v>
      </c>
      <c r="T416" s="27" t="s">
        <v>9</v>
      </c>
      <c r="U416" s="27" t="s">
        <v>9</v>
      </c>
      <c r="V416" s="20" t="s">
        <v>1</v>
      </c>
      <c r="W416" s="20">
        <v>5</v>
      </c>
      <c r="X416" s="20">
        <v>3</v>
      </c>
      <c r="Y416" s="20">
        <v>2</v>
      </c>
      <c r="Z416" s="20">
        <v>4</v>
      </c>
      <c r="AA416" s="23">
        <v>3</v>
      </c>
      <c r="AB416" s="15" t="s">
        <v>9</v>
      </c>
      <c r="AC416" s="15" t="s">
        <v>9</v>
      </c>
      <c r="AD416" s="15" t="s">
        <v>9</v>
      </c>
      <c r="AE416" s="15" t="s">
        <v>9</v>
      </c>
      <c r="AF416" s="20" t="s">
        <v>9</v>
      </c>
      <c r="AG416" s="20" t="s">
        <v>9</v>
      </c>
      <c r="AH416" s="24" t="s">
        <v>9</v>
      </c>
      <c r="AI416" s="23">
        <v>3</v>
      </c>
      <c r="AJ416" s="15" t="s">
        <v>9</v>
      </c>
      <c r="AK416" s="15" t="s">
        <v>9</v>
      </c>
      <c r="AL416" s="25" t="s">
        <v>9</v>
      </c>
      <c r="AM416" s="23">
        <v>3</v>
      </c>
      <c r="AN416" s="20" t="s">
        <v>9</v>
      </c>
      <c r="AO416" s="20" t="s">
        <v>9</v>
      </c>
      <c r="AP416" s="15" t="s">
        <v>9</v>
      </c>
      <c r="AQ416" s="15" t="s">
        <v>9</v>
      </c>
      <c r="AR416" s="15" t="s">
        <v>9</v>
      </c>
      <c r="AS416" s="26" t="s">
        <v>9</v>
      </c>
      <c r="AT416" s="26" t="s">
        <v>9</v>
      </c>
      <c r="AU416" s="26" t="s">
        <v>9</v>
      </c>
      <c r="AV416" s="26" t="s">
        <v>9</v>
      </c>
      <c r="AW416" s="26" t="s">
        <v>9</v>
      </c>
      <c r="AX416" s="26" t="s">
        <v>9</v>
      </c>
      <c r="AY416" s="26" t="s">
        <v>9</v>
      </c>
      <c r="AZ416" s="26" t="s">
        <v>9</v>
      </c>
      <c r="BA416" s="23">
        <v>3</v>
      </c>
      <c r="BB416" s="24" t="s">
        <v>9</v>
      </c>
    </row>
    <row r="417" spans="1:54" x14ac:dyDescent="0.2">
      <c r="A417" s="19">
        <v>3899</v>
      </c>
      <c r="B417" s="27" t="s">
        <v>9</v>
      </c>
      <c r="C417" s="27" t="s">
        <v>9</v>
      </c>
      <c r="D417" s="27" t="s">
        <v>9</v>
      </c>
      <c r="E417" s="27" t="s">
        <v>9</v>
      </c>
      <c r="F417" s="27" t="s">
        <v>9</v>
      </c>
      <c r="G417" s="27" t="s">
        <v>9</v>
      </c>
      <c r="H417" s="27" t="s">
        <v>9</v>
      </c>
      <c r="I417" s="27" t="s">
        <v>9</v>
      </c>
      <c r="J417" s="27" t="s">
        <v>9</v>
      </c>
      <c r="K417" s="27" t="s">
        <v>9</v>
      </c>
      <c r="L417" s="27" t="s">
        <v>9</v>
      </c>
      <c r="M417" s="27" t="s">
        <v>9</v>
      </c>
      <c r="N417" s="27" t="s">
        <v>9</v>
      </c>
      <c r="O417" s="27" t="s">
        <v>9</v>
      </c>
      <c r="P417" s="27" t="s">
        <v>9</v>
      </c>
      <c r="Q417" s="27" t="s">
        <v>9</v>
      </c>
      <c r="R417" s="27" t="s">
        <v>9</v>
      </c>
      <c r="S417" s="27" t="s">
        <v>9</v>
      </c>
      <c r="T417" s="27" t="s">
        <v>9</v>
      </c>
      <c r="U417" s="27" t="s">
        <v>9</v>
      </c>
      <c r="V417" s="20" t="s">
        <v>1</v>
      </c>
      <c r="W417" s="20">
        <v>5</v>
      </c>
      <c r="X417" s="20">
        <v>3</v>
      </c>
      <c r="Y417" s="20">
        <v>2</v>
      </c>
      <c r="Z417" s="20">
        <v>4</v>
      </c>
      <c r="AA417" s="23">
        <v>3</v>
      </c>
      <c r="AB417" s="15" t="s">
        <v>9</v>
      </c>
      <c r="AC417" s="15" t="s">
        <v>9</v>
      </c>
      <c r="AD417" s="15" t="s">
        <v>9</v>
      </c>
      <c r="AE417" s="15" t="s">
        <v>9</v>
      </c>
      <c r="AF417" s="20" t="s">
        <v>9</v>
      </c>
      <c r="AG417" s="20" t="s">
        <v>9</v>
      </c>
      <c r="AH417" s="24" t="s">
        <v>9</v>
      </c>
      <c r="AI417" s="23">
        <v>3</v>
      </c>
      <c r="AJ417" s="15" t="s">
        <v>9</v>
      </c>
      <c r="AK417" s="15" t="s">
        <v>9</v>
      </c>
      <c r="AL417" s="25" t="s">
        <v>9</v>
      </c>
      <c r="AM417" s="23">
        <v>3</v>
      </c>
      <c r="AN417" s="20" t="s">
        <v>9</v>
      </c>
      <c r="AO417" s="20" t="s">
        <v>9</v>
      </c>
      <c r="AP417" s="15" t="s">
        <v>9</v>
      </c>
      <c r="AQ417" s="15" t="s">
        <v>9</v>
      </c>
      <c r="AR417" s="15" t="s">
        <v>9</v>
      </c>
      <c r="AS417" s="26" t="s">
        <v>9</v>
      </c>
      <c r="AT417" s="26" t="s">
        <v>9</v>
      </c>
      <c r="AU417" s="26" t="s">
        <v>9</v>
      </c>
      <c r="AV417" s="26" t="s">
        <v>9</v>
      </c>
      <c r="AW417" s="26" t="s">
        <v>9</v>
      </c>
      <c r="AX417" s="26" t="s">
        <v>9</v>
      </c>
      <c r="AY417" s="26" t="s">
        <v>9</v>
      </c>
      <c r="AZ417" s="26" t="s">
        <v>9</v>
      </c>
      <c r="BA417" s="23">
        <v>3</v>
      </c>
      <c r="BB417" s="24" t="s">
        <v>9</v>
      </c>
    </row>
    <row r="418" spans="1:54" x14ac:dyDescent="0.2">
      <c r="A418" s="19">
        <v>3907</v>
      </c>
      <c r="B418" s="27" t="s">
        <v>9</v>
      </c>
      <c r="C418" s="27" t="s">
        <v>9</v>
      </c>
      <c r="D418" s="27" t="s">
        <v>9</v>
      </c>
      <c r="E418" s="27" t="s">
        <v>9</v>
      </c>
      <c r="F418" s="27" t="s">
        <v>9</v>
      </c>
      <c r="G418" s="27" t="s">
        <v>9</v>
      </c>
      <c r="H418" s="27" t="s">
        <v>9</v>
      </c>
      <c r="I418" s="27" t="s">
        <v>9</v>
      </c>
      <c r="J418" s="27" t="s">
        <v>9</v>
      </c>
      <c r="K418" s="27" t="s">
        <v>9</v>
      </c>
      <c r="L418" s="27" t="s">
        <v>9</v>
      </c>
      <c r="M418" s="27" t="s">
        <v>9</v>
      </c>
      <c r="N418" s="27" t="s">
        <v>9</v>
      </c>
      <c r="O418" s="27" t="s">
        <v>9</v>
      </c>
      <c r="P418" s="27" t="s">
        <v>9</v>
      </c>
      <c r="Q418" s="27" t="s">
        <v>9</v>
      </c>
      <c r="R418" s="27" t="s">
        <v>9</v>
      </c>
      <c r="S418" s="27" t="s">
        <v>9</v>
      </c>
      <c r="T418" s="27" t="s">
        <v>9</v>
      </c>
      <c r="U418" s="27" t="s">
        <v>9</v>
      </c>
      <c r="V418" s="20" t="s">
        <v>1</v>
      </c>
      <c r="W418" s="20">
        <v>5</v>
      </c>
      <c r="X418" s="20">
        <v>3</v>
      </c>
      <c r="Y418" s="20">
        <v>2</v>
      </c>
      <c r="Z418" s="20">
        <v>4</v>
      </c>
      <c r="AA418" s="23">
        <v>3</v>
      </c>
      <c r="AB418" s="15" t="s">
        <v>9</v>
      </c>
      <c r="AC418" s="15" t="s">
        <v>9</v>
      </c>
      <c r="AD418" s="15" t="s">
        <v>9</v>
      </c>
      <c r="AE418" s="15" t="s">
        <v>9</v>
      </c>
      <c r="AF418" s="20" t="s">
        <v>9</v>
      </c>
      <c r="AG418" s="20" t="s">
        <v>9</v>
      </c>
      <c r="AH418" s="24" t="s">
        <v>9</v>
      </c>
      <c r="AI418" s="23">
        <v>3</v>
      </c>
      <c r="AJ418" s="15" t="s">
        <v>9</v>
      </c>
      <c r="AK418" s="15" t="s">
        <v>9</v>
      </c>
      <c r="AL418" s="25" t="s">
        <v>9</v>
      </c>
      <c r="AM418" s="23">
        <v>3</v>
      </c>
      <c r="AN418" s="20" t="s">
        <v>9</v>
      </c>
      <c r="AO418" s="20" t="s">
        <v>9</v>
      </c>
      <c r="AP418" s="15" t="s">
        <v>9</v>
      </c>
      <c r="AQ418" s="15" t="s">
        <v>9</v>
      </c>
      <c r="AR418" s="15" t="s">
        <v>9</v>
      </c>
      <c r="AS418" s="26" t="s">
        <v>9</v>
      </c>
      <c r="AT418" s="26" t="s">
        <v>9</v>
      </c>
      <c r="AU418" s="26" t="s">
        <v>9</v>
      </c>
      <c r="AV418" s="26" t="s">
        <v>9</v>
      </c>
      <c r="AW418" s="26" t="s">
        <v>9</v>
      </c>
      <c r="AX418" s="26" t="s">
        <v>9</v>
      </c>
      <c r="AY418" s="26" t="s">
        <v>9</v>
      </c>
      <c r="AZ418" s="26" t="s">
        <v>9</v>
      </c>
      <c r="BA418" s="23">
        <v>3</v>
      </c>
      <c r="BB418" s="24" t="s">
        <v>9</v>
      </c>
    </row>
    <row r="419" spans="1:54" x14ac:dyDescent="0.2">
      <c r="A419" s="19">
        <v>3983</v>
      </c>
      <c r="B419" s="27" t="s">
        <v>9</v>
      </c>
      <c r="C419" s="27" t="s">
        <v>9</v>
      </c>
      <c r="D419" s="27" t="s">
        <v>9</v>
      </c>
      <c r="E419" s="27" t="s">
        <v>9</v>
      </c>
      <c r="F419" s="27" t="s">
        <v>9</v>
      </c>
      <c r="G419" s="27" t="s">
        <v>9</v>
      </c>
      <c r="H419" s="27" t="s">
        <v>9</v>
      </c>
      <c r="I419" s="27" t="s">
        <v>9</v>
      </c>
      <c r="J419" s="27" t="s">
        <v>9</v>
      </c>
      <c r="K419" s="27" t="s">
        <v>9</v>
      </c>
      <c r="L419" s="27" t="s">
        <v>9</v>
      </c>
      <c r="M419" s="27" t="s">
        <v>9</v>
      </c>
      <c r="N419" s="27" t="s">
        <v>9</v>
      </c>
      <c r="O419" s="27" t="s">
        <v>9</v>
      </c>
      <c r="P419" s="27" t="s">
        <v>9</v>
      </c>
      <c r="Q419" s="27" t="s">
        <v>9</v>
      </c>
      <c r="R419" s="27" t="s">
        <v>9</v>
      </c>
      <c r="S419" s="27" t="s">
        <v>9</v>
      </c>
      <c r="T419" s="27" t="s">
        <v>9</v>
      </c>
      <c r="U419" s="27" t="s">
        <v>9</v>
      </c>
      <c r="V419" s="20" t="s">
        <v>1</v>
      </c>
      <c r="W419" s="20">
        <v>5</v>
      </c>
      <c r="X419" s="20">
        <v>3</v>
      </c>
      <c r="Y419" s="20">
        <v>2</v>
      </c>
      <c r="Z419" s="20">
        <v>4</v>
      </c>
      <c r="AA419" s="23">
        <v>3</v>
      </c>
      <c r="AB419" s="15" t="s">
        <v>9</v>
      </c>
      <c r="AC419" s="15" t="s">
        <v>9</v>
      </c>
      <c r="AD419" s="15" t="s">
        <v>9</v>
      </c>
      <c r="AE419" s="15" t="s">
        <v>9</v>
      </c>
      <c r="AF419" s="20" t="s">
        <v>9</v>
      </c>
      <c r="AG419" s="20" t="s">
        <v>9</v>
      </c>
      <c r="AH419" s="24" t="s">
        <v>9</v>
      </c>
      <c r="AI419" s="23">
        <v>3</v>
      </c>
      <c r="AJ419" s="15" t="s">
        <v>9</v>
      </c>
      <c r="AK419" s="15" t="s">
        <v>9</v>
      </c>
      <c r="AL419" s="25" t="s">
        <v>9</v>
      </c>
      <c r="AM419" s="23">
        <v>3</v>
      </c>
      <c r="AN419" s="20" t="s">
        <v>9</v>
      </c>
      <c r="AO419" s="20" t="s">
        <v>9</v>
      </c>
      <c r="AP419" s="15" t="s">
        <v>9</v>
      </c>
      <c r="AQ419" s="15" t="s">
        <v>9</v>
      </c>
      <c r="AR419" s="15" t="s">
        <v>9</v>
      </c>
      <c r="AS419" s="26" t="s">
        <v>9</v>
      </c>
      <c r="AT419" s="26" t="s">
        <v>9</v>
      </c>
      <c r="AU419" s="26" t="s">
        <v>9</v>
      </c>
      <c r="AV419" s="26" t="s">
        <v>9</v>
      </c>
      <c r="AW419" s="26" t="s">
        <v>9</v>
      </c>
      <c r="AX419" s="26" t="s">
        <v>9</v>
      </c>
      <c r="AY419" s="26" t="s">
        <v>9</v>
      </c>
      <c r="AZ419" s="26" t="s">
        <v>9</v>
      </c>
      <c r="BA419" s="23">
        <v>3</v>
      </c>
      <c r="BB419" s="24" t="s">
        <v>9</v>
      </c>
    </row>
    <row r="420" spans="1:54" x14ac:dyDescent="0.2">
      <c r="A420" s="19">
        <v>3999</v>
      </c>
      <c r="B420" s="27" t="s">
        <v>9</v>
      </c>
      <c r="C420" s="27" t="s">
        <v>9</v>
      </c>
      <c r="D420" s="27" t="s">
        <v>9</v>
      </c>
      <c r="E420" s="27" t="s">
        <v>9</v>
      </c>
      <c r="F420" s="27" t="s">
        <v>9</v>
      </c>
      <c r="G420" s="27" t="s">
        <v>9</v>
      </c>
      <c r="H420" s="27" t="s">
        <v>9</v>
      </c>
      <c r="I420" s="27" t="s">
        <v>9</v>
      </c>
      <c r="J420" s="27" t="s">
        <v>9</v>
      </c>
      <c r="K420" s="27" t="s">
        <v>9</v>
      </c>
      <c r="L420" s="27" t="s">
        <v>9</v>
      </c>
      <c r="M420" s="27" t="s">
        <v>9</v>
      </c>
      <c r="N420" s="27" t="s">
        <v>9</v>
      </c>
      <c r="O420" s="27" t="s">
        <v>9</v>
      </c>
      <c r="P420" s="27" t="s">
        <v>9</v>
      </c>
      <c r="Q420" s="27" t="s">
        <v>9</v>
      </c>
      <c r="R420" s="27" t="s">
        <v>9</v>
      </c>
      <c r="S420" s="27" t="s">
        <v>9</v>
      </c>
      <c r="T420" s="27" t="s">
        <v>9</v>
      </c>
      <c r="U420" s="27" t="s">
        <v>9</v>
      </c>
      <c r="V420" s="20" t="s">
        <v>1</v>
      </c>
      <c r="W420" s="20">
        <v>5</v>
      </c>
      <c r="X420" s="20">
        <v>3</v>
      </c>
      <c r="Y420" s="20">
        <v>2</v>
      </c>
      <c r="Z420" s="20">
        <v>4</v>
      </c>
      <c r="AA420" s="23">
        <v>3</v>
      </c>
      <c r="AB420" s="15" t="s">
        <v>9</v>
      </c>
      <c r="AC420" s="15" t="s">
        <v>9</v>
      </c>
      <c r="AD420" s="15" t="s">
        <v>9</v>
      </c>
      <c r="AE420" s="15" t="s">
        <v>9</v>
      </c>
      <c r="AF420" s="20" t="s">
        <v>9</v>
      </c>
      <c r="AG420" s="20" t="s">
        <v>9</v>
      </c>
      <c r="AH420" s="24" t="s">
        <v>9</v>
      </c>
      <c r="AI420" s="23">
        <v>3</v>
      </c>
      <c r="AJ420" s="15" t="s">
        <v>9</v>
      </c>
      <c r="AK420" s="15" t="s">
        <v>9</v>
      </c>
      <c r="AL420" s="25" t="s">
        <v>9</v>
      </c>
      <c r="AM420" s="23">
        <v>3</v>
      </c>
      <c r="AN420" s="20" t="s">
        <v>9</v>
      </c>
      <c r="AO420" s="20" t="s">
        <v>9</v>
      </c>
      <c r="AP420" s="15" t="s">
        <v>9</v>
      </c>
      <c r="AQ420" s="15" t="s">
        <v>9</v>
      </c>
      <c r="AR420" s="15" t="s">
        <v>9</v>
      </c>
      <c r="AS420" s="26" t="s">
        <v>9</v>
      </c>
      <c r="AT420" s="26" t="s">
        <v>9</v>
      </c>
      <c r="AU420" s="26" t="s">
        <v>9</v>
      </c>
      <c r="AV420" s="26" t="s">
        <v>9</v>
      </c>
      <c r="AW420" s="26" t="s">
        <v>9</v>
      </c>
      <c r="AX420" s="26" t="s">
        <v>9</v>
      </c>
      <c r="AY420" s="26" t="s">
        <v>9</v>
      </c>
      <c r="AZ420" s="26" t="s">
        <v>9</v>
      </c>
      <c r="BA420" s="23">
        <v>3</v>
      </c>
      <c r="BB420" s="24" t="s">
        <v>9</v>
      </c>
    </row>
    <row r="421" spans="1:54" x14ac:dyDescent="0.2">
      <c r="A421" s="19">
        <v>4030</v>
      </c>
      <c r="B421" s="27" t="s">
        <v>9</v>
      </c>
      <c r="C421" s="27" t="s">
        <v>9</v>
      </c>
      <c r="D421" s="27" t="s">
        <v>9</v>
      </c>
      <c r="E421" s="27" t="s">
        <v>9</v>
      </c>
      <c r="F421" s="27" t="s">
        <v>9</v>
      </c>
      <c r="G421" s="27" t="s">
        <v>9</v>
      </c>
      <c r="H421" s="27" t="s">
        <v>9</v>
      </c>
      <c r="I421" s="27" t="s">
        <v>9</v>
      </c>
      <c r="J421" s="27" t="s">
        <v>9</v>
      </c>
      <c r="K421" s="27" t="s">
        <v>9</v>
      </c>
      <c r="L421" s="27" t="s">
        <v>9</v>
      </c>
      <c r="M421" s="27" t="s">
        <v>9</v>
      </c>
      <c r="N421" s="27" t="s">
        <v>9</v>
      </c>
      <c r="O421" s="27" t="s">
        <v>9</v>
      </c>
      <c r="P421" s="27" t="s">
        <v>9</v>
      </c>
      <c r="Q421" s="27" t="s">
        <v>9</v>
      </c>
      <c r="R421" s="27" t="s">
        <v>9</v>
      </c>
      <c r="S421" s="27" t="s">
        <v>9</v>
      </c>
      <c r="T421" s="27" t="s">
        <v>9</v>
      </c>
      <c r="U421" s="27" t="s">
        <v>9</v>
      </c>
      <c r="V421" s="20" t="s">
        <v>1</v>
      </c>
      <c r="W421" s="20">
        <v>5</v>
      </c>
      <c r="X421" s="20">
        <v>3</v>
      </c>
      <c r="Y421" s="20">
        <v>2</v>
      </c>
      <c r="Z421" s="20">
        <v>4</v>
      </c>
      <c r="AA421" s="23">
        <v>3</v>
      </c>
      <c r="AB421" s="15" t="s">
        <v>9</v>
      </c>
      <c r="AC421" s="15" t="s">
        <v>9</v>
      </c>
      <c r="AD421" s="15" t="s">
        <v>9</v>
      </c>
      <c r="AE421" s="15" t="s">
        <v>9</v>
      </c>
      <c r="AF421" s="20" t="s">
        <v>9</v>
      </c>
      <c r="AG421" s="20" t="s">
        <v>9</v>
      </c>
      <c r="AH421" s="24" t="s">
        <v>9</v>
      </c>
      <c r="AI421" s="23">
        <v>3</v>
      </c>
      <c r="AJ421" s="15" t="s">
        <v>9</v>
      </c>
      <c r="AK421" s="15" t="s">
        <v>9</v>
      </c>
      <c r="AL421" s="25" t="s">
        <v>9</v>
      </c>
      <c r="AM421" s="23">
        <v>3</v>
      </c>
      <c r="AN421" s="20" t="s">
        <v>9</v>
      </c>
      <c r="AO421" s="20" t="s">
        <v>9</v>
      </c>
      <c r="AP421" s="15" t="s">
        <v>9</v>
      </c>
      <c r="AQ421" s="15" t="s">
        <v>9</v>
      </c>
      <c r="AR421" s="15" t="s">
        <v>9</v>
      </c>
      <c r="AS421" s="26" t="s">
        <v>9</v>
      </c>
      <c r="AT421" s="26" t="s">
        <v>9</v>
      </c>
      <c r="AU421" s="26" t="s">
        <v>9</v>
      </c>
      <c r="AV421" s="26" t="s">
        <v>9</v>
      </c>
      <c r="AW421" s="26" t="s">
        <v>9</v>
      </c>
      <c r="AX421" s="26" t="s">
        <v>9</v>
      </c>
      <c r="AY421" s="26" t="s">
        <v>9</v>
      </c>
      <c r="AZ421" s="26" t="s">
        <v>9</v>
      </c>
      <c r="BA421" s="23">
        <v>3</v>
      </c>
      <c r="BB421" s="24" t="s">
        <v>9</v>
      </c>
    </row>
    <row r="422" spans="1:54" x14ac:dyDescent="0.2">
      <c r="A422" s="19">
        <v>4033</v>
      </c>
      <c r="B422" s="27" t="s">
        <v>9</v>
      </c>
      <c r="C422" s="27" t="s">
        <v>9</v>
      </c>
      <c r="D422" s="27" t="s">
        <v>9</v>
      </c>
      <c r="E422" s="27" t="s">
        <v>9</v>
      </c>
      <c r="F422" s="27" t="s">
        <v>9</v>
      </c>
      <c r="G422" s="27" t="s">
        <v>9</v>
      </c>
      <c r="H422" s="27" t="s">
        <v>9</v>
      </c>
      <c r="I422" s="27" t="s">
        <v>9</v>
      </c>
      <c r="J422" s="27" t="s">
        <v>9</v>
      </c>
      <c r="K422" s="27" t="s">
        <v>9</v>
      </c>
      <c r="L422" s="27" t="s">
        <v>9</v>
      </c>
      <c r="M422" s="27" t="s">
        <v>9</v>
      </c>
      <c r="N422" s="27" t="s">
        <v>9</v>
      </c>
      <c r="O422" s="27" t="s">
        <v>9</v>
      </c>
      <c r="P422" s="27" t="s">
        <v>9</v>
      </c>
      <c r="Q422" s="27" t="s">
        <v>9</v>
      </c>
      <c r="R422" s="27" t="s">
        <v>9</v>
      </c>
      <c r="S422" s="27" t="s">
        <v>9</v>
      </c>
      <c r="T422" s="27" t="s">
        <v>9</v>
      </c>
      <c r="U422" s="27" t="s">
        <v>9</v>
      </c>
      <c r="V422" s="20" t="s">
        <v>1</v>
      </c>
      <c r="W422" s="20">
        <v>5</v>
      </c>
      <c r="X422" s="20">
        <v>3</v>
      </c>
      <c r="Y422" s="20">
        <v>2</v>
      </c>
      <c r="Z422" s="20">
        <v>4</v>
      </c>
      <c r="AA422" s="23">
        <v>3</v>
      </c>
      <c r="AB422" s="15" t="s">
        <v>9</v>
      </c>
      <c r="AC422" s="15" t="s">
        <v>9</v>
      </c>
      <c r="AD422" s="15" t="s">
        <v>9</v>
      </c>
      <c r="AE422" s="15" t="s">
        <v>9</v>
      </c>
      <c r="AF422" s="20" t="s">
        <v>9</v>
      </c>
      <c r="AG422" s="20" t="s">
        <v>9</v>
      </c>
      <c r="AH422" s="24" t="s">
        <v>9</v>
      </c>
      <c r="AI422" s="23">
        <v>3</v>
      </c>
      <c r="AJ422" s="15" t="s">
        <v>9</v>
      </c>
      <c r="AK422" s="15" t="s">
        <v>9</v>
      </c>
      <c r="AL422" s="25" t="s">
        <v>9</v>
      </c>
      <c r="AM422" s="23">
        <v>3</v>
      </c>
      <c r="AN422" s="20" t="s">
        <v>9</v>
      </c>
      <c r="AO422" s="20" t="s">
        <v>9</v>
      </c>
      <c r="AP422" s="15" t="s">
        <v>9</v>
      </c>
      <c r="AQ422" s="15" t="s">
        <v>9</v>
      </c>
      <c r="AR422" s="15" t="s">
        <v>9</v>
      </c>
      <c r="AS422" s="26" t="s">
        <v>9</v>
      </c>
      <c r="AT422" s="26" t="s">
        <v>9</v>
      </c>
      <c r="AU422" s="26" t="s">
        <v>9</v>
      </c>
      <c r="AV422" s="26" t="s">
        <v>9</v>
      </c>
      <c r="AW422" s="26" t="s">
        <v>9</v>
      </c>
      <c r="AX422" s="26" t="s">
        <v>9</v>
      </c>
      <c r="AY422" s="26" t="s">
        <v>9</v>
      </c>
      <c r="AZ422" s="26" t="s">
        <v>9</v>
      </c>
      <c r="BA422" s="23">
        <v>3</v>
      </c>
      <c r="BB422" s="24" t="s">
        <v>9</v>
      </c>
    </row>
    <row r="423" spans="1:54" x14ac:dyDescent="0.2">
      <c r="A423" s="19">
        <v>4104</v>
      </c>
      <c r="B423" s="27" t="s">
        <v>9</v>
      </c>
      <c r="C423" s="27" t="s">
        <v>9</v>
      </c>
      <c r="D423" s="27" t="s">
        <v>9</v>
      </c>
      <c r="E423" s="27" t="s">
        <v>9</v>
      </c>
      <c r="F423" s="27" t="s">
        <v>9</v>
      </c>
      <c r="G423" s="27" t="s">
        <v>9</v>
      </c>
      <c r="H423" s="27" t="s">
        <v>9</v>
      </c>
      <c r="I423" s="27" t="s">
        <v>9</v>
      </c>
      <c r="J423" s="27" t="s">
        <v>9</v>
      </c>
      <c r="K423" s="27" t="s">
        <v>9</v>
      </c>
      <c r="L423" s="27" t="s">
        <v>9</v>
      </c>
      <c r="M423" s="27" t="s">
        <v>9</v>
      </c>
      <c r="N423" s="27" t="s">
        <v>9</v>
      </c>
      <c r="O423" s="27" t="s">
        <v>9</v>
      </c>
      <c r="P423" s="27" t="s">
        <v>9</v>
      </c>
      <c r="Q423" s="27" t="s">
        <v>9</v>
      </c>
      <c r="R423" s="27" t="s">
        <v>9</v>
      </c>
      <c r="S423" s="27" t="s">
        <v>9</v>
      </c>
      <c r="T423" s="27" t="s">
        <v>9</v>
      </c>
      <c r="U423" s="27" t="s">
        <v>9</v>
      </c>
      <c r="V423" s="20" t="s">
        <v>1</v>
      </c>
      <c r="W423" s="20">
        <v>5</v>
      </c>
      <c r="X423" s="20">
        <v>3</v>
      </c>
      <c r="Y423" s="20">
        <v>2</v>
      </c>
      <c r="Z423" s="20">
        <v>4</v>
      </c>
      <c r="AA423" s="23">
        <v>3</v>
      </c>
      <c r="AB423" s="15" t="s">
        <v>9</v>
      </c>
      <c r="AC423" s="15" t="s">
        <v>9</v>
      </c>
      <c r="AD423" s="15" t="s">
        <v>9</v>
      </c>
      <c r="AE423" s="15" t="s">
        <v>9</v>
      </c>
      <c r="AF423" s="20" t="s">
        <v>9</v>
      </c>
      <c r="AG423" s="20" t="s">
        <v>9</v>
      </c>
      <c r="AH423" s="24" t="s">
        <v>9</v>
      </c>
      <c r="AI423" s="23">
        <v>3</v>
      </c>
      <c r="AJ423" s="15" t="s">
        <v>9</v>
      </c>
      <c r="AK423" s="15" t="s">
        <v>9</v>
      </c>
      <c r="AL423" s="25" t="s">
        <v>9</v>
      </c>
      <c r="AM423" s="23">
        <v>3</v>
      </c>
      <c r="AN423" s="20" t="s">
        <v>9</v>
      </c>
      <c r="AO423" s="20" t="s">
        <v>9</v>
      </c>
      <c r="AP423" s="15" t="s">
        <v>9</v>
      </c>
      <c r="AQ423" s="15" t="s">
        <v>9</v>
      </c>
      <c r="AR423" s="15" t="s">
        <v>9</v>
      </c>
      <c r="AS423" s="26" t="s">
        <v>9</v>
      </c>
      <c r="AT423" s="26" t="s">
        <v>9</v>
      </c>
      <c r="AU423" s="26" t="s">
        <v>9</v>
      </c>
      <c r="AV423" s="26" t="s">
        <v>9</v>
      </c>
      <c r="AW423" s="26" t="s">
        <v>9</v>
      </c>
      <c r="AX423" s="26" t="s">
        <v>9</v>
      </c>
      <c r="AY423" s="26" t="s">
        <v>9</v>
      </c>
      <c r="AZ423" s="26" t="s">
        <v>9</v>
      </c>
      <c r="BA423" s="23">
        <v>3</v>
      </c>
      <c r="BB423" s="24" t="s">
        <v>9</v>
      </c>
    </row>
    <row r="424" spans="1:54" x14ac:dyDescent="0.2">
      <c r="A424" s="19">
        <v>4129</v>
      </c>
      <c r="B424" s="27" t="s">
        <v>9</v>
      </c>
      <c r="C424" s="27" t="s">
        <v>9</v>
      </c>
      <c r="D424" s="27" t="s">
        <v>9</v>
      </c>
      <c r="E424" s="27" t="s">
        <v>9</v>
      </c>
      <c r="F424" s="27" t="s">
        <v>9</v>
      </c>
      <c r="G424" s="27" t="s">
        <v>9</v>
      </c>
      <c r="H424" s="27" t="s">
        <v>9</v>
      </c>
      <c r="I424" s="27" t="s">
        <v>9</v>
      </c>
      <c r="J424" s="27" t="s">
        <v>9</v>
      </c>
      <c r="K424" s="27" t="s">
        <v>9</v>
      </c>
      <c r="L424" s="27" t="s">
        <v>9</v>
      </c>
      <c r="M424" s="27" t="s">
        <v>9</v>
      </c>
      <c r="N424" s="27" t="s">
        <v>9</v>
      </c>
      <c r="O424" s="27" t="s">
        <v>9</v>
      </c>
      <c r="P424" s="27" t="s">
        <v>9</v>
      </c>
      <c r="Q424" s="27" t="s">
        <v>9</v>
      </c>
      <c r="R424" s="27" t="s">
        <v>9</v>
      </c>
      <c r="S424" s="27" t="s">
        <v>9</v>
      </c>
      <c r="T424" s="27" t="s">
        <v>9</v>
      </c>
      <c r="U424" s="27" t="s">
        <v>9</v>
      </c>
      <c r="V424" s="20" t="s">
        <v>1</v>
      </c>
      <c r="W424" s="20">
        <v>5</v>
      </c>
      <c r="X424" s="20">
        <v>3</v>
      </c>
      <c r="Y424" s="20">
        <v>2</v>
      </c>
      <c r="Z424" s="20">
        <v>4</v>
      </c>
      <c r="AA424" s="23">
        <v>3</v>
      </c>
      <c r="AB424" s="15" t="s">
        <v>9</v>
      </c>
      <c r="AC424" s="15" t="s">
        <v>9</v>
      </c>
      <c r="AD424" s="15" t="s">
        <v>9</v>
      </c>
      <c r="AE424" s="15" t="s">
        <v>9</v>
      </c>
      <c r="AF424" s="20" t="s">
        <v>9</v>
      </c>
      <c r="AG424" s="20" t="s">
        <v>9</v>
      </c>
      <c r="AH424" s="24" t="s">
        <v>9</v>
      </c>
      <c r="AI424" s="23">
        <v>3</v>
      </c>
      <c r="AJ424" s="15" t="s">
        <v>9</v>
      </c>
      <c r="AK424" s="15" t="s">
        <v>9</v>
      </c>
      <c r="AL424" s="25" t="s">
        <v>9</v>
      </c>
      <c r="AM424" s="23">
        <v>3</v>
      </c>
      <c r="AN424" s="20" t="s">
        <v>9</v>
      </c>
      <c r="AO424" s="20" t="s">
        <v>9</v>
      </c>
      <c r="AP424" s="15" t="s">
        <v>9</v>
      </c>
      <c r="AQ424" s="15" t="s">
        <v>9</v>
      </c>
      <c r="AR424" s="15" t="s">
        <v>9</v>
      </c>
      <c r="AS424" s="26" t="s">
        <v>9</v>
      </c>
      <c r="AT424" s="26" t="s">
        <v>9</v>
      </c>
      <c r="AU424" s="26" t="s">
        <v>9</v>
      </c>
      <c r="AV424" s="26" t="s">
        <v>9</v>
      </c>
      <c r="AW424" s="26" t="s">
        <v>9</v>
      </c>
      <c r="AX424" s="26" t="s">
        <v>9</v>
      </c>
      <c r="AY424" s="26" t="s">
        <v>9</v>
      </c>
      <c r="AZ424" s="26" t="s">
        <v>9</v>
      </c>
      <c r="BA424" s="23">
        <v>3</v>
      </c>
      <c r="BB424" s="24" t="s">
        <v>9</v>
      </c>
    </row>
    <row r="425" spans="1:54" x14ac:dyDescent="0.2">
      <c r="A425" s="19">
        <v>4165</v>
      </c>
      <c r="B425" s="27" t="s">
        <v>9</v>
      </c>
      <c r="C425" s="27" t="s">
        <v>9</v>
      </c>
      <c r="D425" s="27" t="s">
        <v>9</v>
      </c>
      <c r="E425" s="27" t="s">
        <v>9</v>
      </c>
      <c r="F425" s="27" t="s">
        <v>9</v>
      </c>
      <c r="G425" s="27" t="s">
        <v>9</v>
      </c>
      <c r="H425" s="27" t="s">
        <v>9</v>
      </c>
      <c r="I425" s="27" t="s">
        <v>9</v>
      </c>
      <c r="J425" s="27" t="s">
        <v>9</v>
      </c>
      <c r="K425" s="27" t="s">
        <v>9</v>
      </c>
      <c r="L425" s="27" t="s">
        <v>9</v>
      </c>
      <c r="M425" s="27" t="s">
        <v>9</v>
      </c>
      <c r="N425" s="27" t="s">
        <v>9</v>
      </c>
      <c r="O425" s="27" t="s">
        <v>9</v>
      </c>
      <c r="P425" s="27" t="s">
        <v>9</v>
      </c>
      <c r="Q425" s="27" t="s">
        <v>9</v>
      </c>
      <c r="R425" s="27" t="s">
        <v>9</v>
      </c>
      <c r="S425" s="27" t="s">
        <v>9</v>
      </c>
      <c r="T425" s="27" t="s">
        <v>9</v>
      </c>
      <c r="U425" s="27" t="s">
        <v>9</v>
      </c>
      <c r="V425" s="20" t="s">
        <v>1</v>
      </c>
      <c r="W425" s="20">
        <v>5</v>
      </c>
      <c r="X425" s="20">
        <v>3</v>
      </c>
      <c r="Y425" s="20">
        <v>2</v>
      </c>
      <c r="Z425" s="20">
        <v>4</v>
      </c>
      <c r="AA425" s="23">
        <v>3</v>
      </c>
      <c r="AB425" s="15" t="s">
        <v>9</v>
      </c>
      <c r="AC425" s="15" t="s">
        <v>9</v>
      </c>
      <c r="AD425" s="15" t="s">
        <v>9</v>
      </c>
      <c r="AE425" s="15" t="s">
        <v>9</v>
      </c>
      <c r="AF425" s="20" t="s">
        <v>9</v>
      </c>
      <c r="AG425" s="20" t="s">
        <v>9</v>
      </c>
      <c r="AH425" s="24" t="s">
        <v>9</v>
      </c>
      <c r="AI425" s="23">
        <v>3</v>
      </c>
      <c r="AJ425" s="15" t="s">
        <v>9</v>
      </c>
      <c r="AK425" s="15" t="s">
        <v>9</v>
      </c>
      <c r="AL425" s="25" t="s">
        <v>9</v>
      </c>
      <c r="AM425" s="23">
        <v>3</v>
      </c>
      <c r="AN425" s="20" t="s">
        <v>9</v>
      </c>
      <c r="AO425" s="20" t="s">
        <v>9</v>
      </c>
      <c r="AP425" s="15" t="s">
        <v>9</v>
      </c>
      <c r="AQ425" s="15" t="s">
        <v>9</v>
      </c>
      <c r="AR425" s="15" t="s">
        <v>9</v>
      </c>
      <c r="AS425" s="26" t="s">
        <v>9</v>
      </c>
      <c r="AT425" s="26" t="s">
        <v>9</v>
      </c>
      <c r="AU425" s="26" t="s">
        <v>9</v>
      </c>
      <c r="AV425" s="26" t="s">
        <v>9</v>
      </c>
      <c r="AW425" s="26" t="s">
        <v>9</v>
      </c>
      <c r="AX425" s="26" t="s">
        <v>9</v>
      </c>
      <c r="AY425" s="26" t="s">
        <v>9</v>
      </c>
      <c r="AZ425" s="26" t="s">
        <v>9</v>
      </c>
      <c r="BA425" s="23">
        <v>3</v>
      </c>
      <c r="BB425" s="24" t="s">
        <v>9</v>
      </c>
    </row>
    <row r="426" spans="1:54" x14ac:dyDescent="0.2">
      <c r="A426" s="19">
        <v>4169</v>
      </c>
      <c r="B426" s="27" t="s">
        <v>9</v>
      </c>
      <c r="C426" s="27" t="s">
        <v>9</v>
      </c>
      <c r="D426" s="27" t="s">
        <v>9</v>
      </c>
      <c r="E426" s="27" t="s">
        <v>9</v>
      </c>
      <c r="F426" s="27" t="s">
        <v>9</v>
      </c>
      <c r="G426" s="27" t="s">
        <v>9</v>
      </c>
      <c r="H426" s="27" t="s">
        <v>9</v>
      </c>
      <c r="I426" s="27" t="s">
        <v>9</v>
      </c>
      <c r="J426" s="27" t="s">
        <v>9</v>
      </c>
      <c r="K426" s="27" t="s">
        <v>9</v>
      </c>
      <c r="L426" s="27" t="s">
        <v>9</v>
      </c>
      <c r="M426" s="27" t="s">
        <v>9</v>
      </c>
      <c r="N426" s="27" t="s">
        <v>9</v>
      </c>
      <c r="O426" s="27" t="s">
        <v>9</v>
      </c>
      <c r="P426" s="27" t="s">
        <v>9</v>
      </c>
      <c r="Q426" s="27" t="s">
        <v>9</v>
      </c>
      <c r="R426" s="27" t="s">
        <v>9</v>
      </c>
      <c r="S426" s="27" t="s">
        <v>9</v>
      </c>
      <c r="T426" s="27" t="s">
        <v>9</v>
      </c>
      <c r="U426" s="27" t="s">
        <v>9</v>
      </c>
      <c r="V426" s="20" t="s">
        <v>1</v>
      </c>
      <c r="W426" s="20">
        <v>5</v>
      </c>
      <c r="X426" s="20">
        <v>3</v>
      </c>
      <c r="Y426" s="20">
        <v>2</v>
      </c>
      <c r="Z426" s="20">
        <v>4</v>
      </c>
      <c r="AA426" s="23">
        <v>3</v>
      </c>
      <c r="AB426" s="15" t="s">
        <v>9</v>
      </c>
      <c r="AC426" s="15" t="s">
        <v>9</v>
      </c>
      <c r="AD426" s="15" t="s">
        <v>9</v>
      </c>
      <c r="AE426" s="15" t="s">
        <v>9</v>
      </c>
      <c r="AF426" s="20" t="s">
        <v>9</v>
      </c>
      <c r="AG426" s="20" t="s">
        <v>9</v>
      </c>
      <c r="AH426" s="24" t="s">
        <v>9</v>
      </c>
      <c r="AI426" s="23">
        <v>3</v>
      </c>
      <c r="AJ426" s="15" t="s">
        <v>9</v>
      </c>
      <c r="AK426" s="15" t="s">
        <v>9</v>
      </c>
      <c r="AL426" s="25" t="s">
        <v>9</v>
      </c>
      <c r="AM426" s="23">
        <v>3</v>
      </c>
      <c r="AN426" s="20" t="s">
        <v>9</v>
      </c>
      <c r="AO426" s="20" t="s">
        <v>9</v>
      </c>
      <c r="AP426" s="15" t="s">
        <v>9</v>
      </c>
      <c r="AQ426" s="15" t="s">
        <v>9</v>
      </c>
      <c r="AR426" s="15" t="s">
        <v>9</v>
      </c>
      <c r="AS426" s="26" t="s">
        <v>9</v>
      </c>
      <c r="AT426" s="26" t="s">
        <v>9</v>
      </c>
      <c r="AU426" s="26" t="s">
        <v>9</v>
      </c>
      <c r="AV426" s="26" t="s">
        <v>9</v>
      </c>
      <c r="AW426" s="26" t="s">
        <v>9</v>
      </c>
      <c r="AX426" s="26" t="s">
        <v>9</v>
      </c>
      <c r="AY426" s="26" t="s">
        <v>9</v>
      </c>
      <c r="AZ426" s="26" t="s">
        <v>9</v>
      </c>
      <c r="BA426" s="23">
        <v>3</v>
      </c>
      <c r="BB426" s="24" t="s">
        <v>9</v>
      </c>
    </row>
    <row r="427" spans="1:54" x14ac:dyDescent="0.2">
      <c r="A427" s="19">
        <v>4172</v>
      </c>
      <c r="B427" s="27" t="s">
        <v>9</v>
      </c>
      <c r="C427" s="27" t="s">
        <v>9</v>
      </c>
      <c r="D427" s="27" t="s">
        <v>9</v>
      </c>
      <c r="E427" s="27" t="s">
        <v>9</v>
      </c>
      <c r="F427" s="27" t="s">
        <v>9</v>
      </c>
      <c r="G427" s="27" t="s">
        <v>9</v>
      </c>
      <c r="H427" s="27" t="s">
        <v>9</v>
      </c>
      <c r="I427" s="27" t="s">
        <v>9</v>
      </c>
      <c r="J427" s="27" t="s">
        <v>9</v>
      </c>
      <c r="K427" s="27" t="s">
        <v>9</v>
      </c>
      <c r="L427" s="27" t="s">
        <v>9</v>
      </c>
      <c r="M427" s="27" t="s">
        <v>9</v>
      </c>
      <c r="N427" s="27" t="s">
        <v>9</v>
      </c>
      <c r="O427" s="27" t="s">
        <v>9</v>
      </c>
      <c r="P427" s="27" t="s">
        <v>9</v>
      </c>
      <c r="Q427" s="27" t="s">
        <v>9</v>
      </c>
      <c r="R427" s="27" t="s">
        <v>9</v>
      </c>
      <c r="S427" s="27" t="s">
        <v>9</v>
      </c>
      <c r="T427" s="27" t="s">
        <v>9</v>
      </c>
      <c r="U427" s="27" t="s">
        <v>9</v>
      </c>
      <c r="V427" s="20" t="s">
        <v>1</v>
      </c>
      <c r="W427" s="20">
        <v>5</v>
      </c>
      <c r="X427" s="20">
        <v>3</v>
      </c>
      <c r="Y427" s="20">
        <v>2</v>
      </c>
      <c r="Z427" s="20">
        <v>4</v>
      </c>
      <c r="AA427" s="23">
        <v>3</v>
      </c>
      <c r="AB427" s="15" t="s">
        <v>9</v>
      </c>
      <c r="AC427" s="15" t="s">
        <v>9</v>
      </c>
      <c r="AD427" s="15" t="s">
        <v>9</v>
      </c>
      <c r="AE427" s="15" t="s">
        <v>9</v>
      </c>
      <c r="AF427" s="20" t="s">
        <v>9</v>
      </c>
      <c r="AG427" s="20" t="s">
        <v>9</v>
      </c>
      <c r="AH427" s="24" t="s">
        <v>9</v>
      </c>
      <c r="AI427" s="23">
        <v>3</v>
      </c>
      <c r="AJ427" s="15" t="s">
        <v>9</v>
      </c>
      <c r="AK427" s="15" t="s">
        <v>9</v>
      </c>
      <c r="AL427" s="25" t="s">
        <v>9</v>
      </c>
      <c r="AM427" s="23">
        <v>3</v>
      </c>
      <c r="AN427" s="20" t="s">
        <v>9</v>
      </c>
      <c r="AO427" s="20" t="s">
        <v>9</v>
      </c>
      <c r="AP427" s="15" t="s">
        <v>9</v>
      </c>
      <c r="AQ427" s="15" t="s">
        <v>9</v>
      </c>
      <c r="AR427" s="15" t="s">
        <v>9</v>
      </c>
      <c r="AS427" s="26" t="s">
        <v>9</v>
      </c>
      <c r="AT427" s="26" t="s">
        <v>9</v>
      </c>
      <c r="AU427" s="26" t="s">
        <v>9</v>
      </c>
      <c r="AV427" s="26" t="s">
        <v>9</v>
      </c>
      <c r="AW427" s="26" t="s">
        <v>9</v>
      </c>
      <c r="AX427" s="26" t="s">
        <v>9</v>
      </c>
      <c r="AY427" s="26" t="s">
        <v>9</v>
      </c>
      <c r="AZ427" s="26" t="s">
        <v>9</v>
      </c>
      <c r="BA427" s="23">
        <v>3</v>
      </c>
      <c r="BB427" s="24" t="s">
        <v>9</v>
      </c>
    </row>
    <row r="428" spans="1:54" x14ac:dyDescent="0.2">
      <c r="A428" s="19">
        <v>4195</v>
      </c>
      <c r="B428" s="27" t="s">
        <v>9</v>
      </c>
      <c r="C428" s="27" t="s">
        <v>9</v>
      </c>
      <c r="D428" s="27" t="s">
        <v>9</v>
      </c>
      <c r="E428" s="27" t="s">
        <v>9</v>
      </c>
      <c r="F428" s="27" t="s">
        <v>9</v>
      </c>
      <c r="G428" s="27" t="s">
        <v>9</v>
      </c>
      <c r="H428" s="27" t="s">
        <v>9</v>
      </c>
      <c r="I428" s="27" t="s">
        <v>9</v>
      </c>
      <c r="J428" s="27" t="s">
        <v>9</v>
      </c>
      <c r="K428" s="27" t="s">
        <v>9</v>
      </c>
      <c r="L428" s="27" t="s">
        <v>9</v>
      </c>
      <c r="M428" s="27" t="s">
        <v>9</v>
      </c>
      <c r="N428" s="27" t="s">
        <v>9</v>
      </c>
      <c r="O428" s="27" t="s">
        <v>9</v>
      </c>
      <c r="P428" s="27" t="s">
        <v>9</v>
      </c>
      <c r="Q428" s="27" t="s">
        <v>9</v>
      </c>
      <c r="R428" s="27" t="s">
        <v>9</v>
      </c>
      <c r="S428" s="27" t="s">
        <v>9</v>
      </c>
      <c r="T428" s="27" t="s">
        <v>9</v>
      </c>
      <c r="U428" s="27" t="s">
        <v>9</v>
      </c>
      <c r="V428" s="20" t="s">
        <v>1</v>
      </c>
      <c r="W428" s="20">
        <v>5</v>
      </c>
      <c r="X428" s="20">
        <v>3</v>
      </c>
      <c r="Y428" s="20">
        <v>2</v>
      </c>
      <c r="Z428" s="20">
        <v>4</v>
      </c>
      <c r="AA428" s="23">
        <v>3</v>
      </c>
      <c r="AB428" s="15" t="s">
        <v>9</v>
      </c>
      <c r="AC428" s="15" t="s">
        <v>9</v>
      </c>
      <c r="AD428" s="15" t="s">
        <v>9</v>
      </c>
      <c r="AE428" s="15" t="s">
        <v>9</v>
      </c>
      <c r="AF428" s="20" t="s">
        <v>9</v>
      </c>
      <c r="AG428" s="20" t="s">
        <v>9</v>
      </c>
      <c r="AH428" s="24" t="s">
        <v>9</v>
      </c>
      <c r="AI428" s="23">
        <v>3</v>
      </c>
      <c r="AJ428" s="15" t="s">
        <v>9</v>
      </c>
      <c r="AK428" s="15" t="s">
        <v>9</v>
      </c>
      <c r="AL428" s="25" t="s">
        <v>9</v>
      </c>
      <c r="AM428" s="23">
        <v>3</v>
      </c>
      <c r="AN428" s="20" t="s">
        <v>9</v>
      </c>
      <c r="AO428" s="20" t="s">
        <v>9</v>
      </c>
      <c r="AP428" s="15" t="s">
        <v>9</v>
      </c>
      <c r="AQ428" s="15" t="s">
        <v>9</v>
      </c>
      <c r="AR428" s="15" t="s">
        <v>9</v>
      </c>
      <c r="AS428" s="26" t="s">
        <v>9</v>
      </c>
      <c r="AT428" s="26" t="s">
        <v>9</v>
      </c>
      <c r="AU428" s="26" t="s">
        <v>9</v>
      </c>
      <c r="AV428" s="26" t="s">
        <v>9</v>
      </c>
      <c r="AW428" s="26" t="s">
        <v>9</v>
      </c>
      <c r="AX428" s="26" t="s">
        <v>9</v>
      </c>
      <c r="AY428" s="26" t="s">
        <v>9</v>
      </c>
      <c r="AZ428" s="26" t="s">
        <v>9</v>
      </c>
      <c r="BA428" s="23">
        <v>3</v>
      </c>
      <c r="BB428" s="24" t="s">
        <v>9</v>
      </c>
    </row>
    <row r="429" spans="1:54" x14ac:dyDescent="0.2">
      <c r="A429" s="19">
        <v>4240</v>
      </c>
      <c r="B429" s="27" t="s">
        <v>9</v>
      </c>
      <c r="C429" s="27" t="s">
        <v>9</v>
      </c>
      <c r="D429" s="27" t="s">
        <v>9</v>
      </c>
      <c r="E429" s="27" t="s">
        <v>9</v>
      </c>
      <c r="F429" s="27" t="s">
        <v>9</v>
      </c>
      <c r="G429" s="27" t="s">
        <v>9</v>
      </c>
      <c r="H429" s="27" t="s">
        <v>9</v>
      </c>
      <c r="I429" s="27" t="s">
        <v>9</v>
      </c>
      <c r="J429" s="27" t="s">
        <v>9</v>
      </c>
      <c r="K429" s="27" t="s">
        <v>9</v>
      </c>
      <c r="L429" s="27" t="s">
        <v>9</v>
      </c>
      <c r="M429" s="27" t="s">
        <v>9</v>
      </c>
      <c r="N429" s="27" t="s">
        <v>9</v>
      </c>
      <c r="O429" s="27" t="s">
        <v>9</v>
      </c>
      <c r="P429" s="27" t="s">
        <v>9</v>
      </c>
      <c r="Q429" s="27" t="s">
        <v>9</v>
      </c>
      <c r="R429" s="27" t="s">
        <v>9</v>
      </c>
      <c r="S429" s="27" t="s">
        <v>9</v>
      </c>
      <c r="T429" s="27" t="s">
        <v>9</v>
      </c>
      <c r="U429" s="27" t="s">
        <v>9</v>
      </c>
      <c r="V429" s="20" t="s">
        <v>1</v>
      </c>
      <c r="W429" s="20">
        <v>5</v>
      </c>
      <c r="X429" s="20">
        <v>3</v>
      </c>
      <c r="Y429" s="20">
        <v>2</v>
      </c>
      <c r="Z429" s="20">
        <v>4</v>
      </c>
      <c r="AA429" s="23">
        <v>3</v>
      </c>
      <c r="AB429" s="15" t="s">
        <v>9</v>
      </c>
      <c r="AC429" s="15" t="s">
        <v>9</v>
      </c>
      <c r="AD429" s="15" t="s">
        <v>9</v>
      </c>
      <c r="AE429" s="15" t="s">
        <v>9</v>
      </c>
      <c r="AF429" s="20" t="s">
        <v>9</v>
      </c>
      <c r="AG429" s="20" t="s">
        <v>9</v>
      </c>
      <c r="AH429" s="24" t="s">
        <v>9</v>
      </c>
      <c r="AI429" s="23">
        <v>3</v>
      </c>
      <c r="AJ429" s="15" t="s">
        <v>9</v>
      </c>
      <c r="AK429" s="15" t="s">
        <v>9</v>
      </c>
      <c r="AL429" s="25" t="s">
        <v>9</v>
      </c>
      <c r="AM429" s="23">
        <v>3</v>
      </c>
      <c r="AN429" s="20" t="s">
        <v>9</v>
      </c>
      <c r="AO429" s="20" t="s">
        <v>9</v>
      </c>
      <c r="AP429" s="15" t="s">
        <v>9</v>
      </c>
      <c r="AQ429" s="15" t="s">
        <v>9</v>
      </c>
      <c r="AR429" s="15" t="s">
        <v>9</v>
      </c>
      <c r="AS429" s="26" t="s">
        <v>9</v>
      </c>
      <c r="AT429" s="26" t="s">
        <v>9</v>
      </c>
      <c r="AU429" s="26" t="s">
        <v>9</v>
      </c>
      <c r="AV429" s="26" t="s">
        <v>9</v>
      </c>
      <c r="AW429" s="26" t="s">
        <v>9</v>
      </c>
      <c r="AX429" s="26" t="s">
        <v>9</v>
      </c>
      <c r="AY429" s="26" t="s">
        <v>9</v>
      </c>
      <c r="AZ429" s="26" t="s">
        <v>9</v>
      </c>
      <c r="BA429" s="23">
        <v>3</v>
      </c>
      <c r="BB429" s="24" t="s">
        <v>9</v>
      </c>
    </row>
    <row r="430" spans="1:54" x14ac:dyDescent="0.2">
      <c r="A430" s="19">
        <v>4245</v>
      </c>
      <c r="B430" s="27" t="s">
        <v>9</v>
      </c>
      <c r="C430" s="27" t="s">
        <v>9</v>
      </c>
      <c r="D430" s="27" t="s">
        <v>9</v>
      </c>
      <c r="E430" s="27" t="s">
        <v>9</v>
      </c>
      <c r="F430" s="27" t="s">
        <v>9</v>
      </c>
      <c r="G430" s="27" t="s">
        <v>9</v>
      </c>
      <c r="H430" s="27" t="s">
        <v>9</v>
      </c>
      <c r="I430" s="27" t="s">
        <v>9</v>
      </c>
      <c r="J430" s="27" t="s">
        <v>9</v>
      </c>
      <c r="K430" s="27" t="s">
        <v>9</v>
      </c>
      <c r="L430" s="27" t="s">
        <v>9</v>
      </c>
      <c r="M430" s="27" t="s">
        <v>9</v>
      </c>
      <c r="N430" s="27" t="s">
        <v>9</v>
      </c>
      <c r="O430" s="27" t="s">
        <v>9</v>
      </c>
      <c r="P430" s="27" t="s">
        <v>9</v>
      </c>
      <c r="Q430" s="27" t="s">
        <v>9</v>
      </c>
      <c r="R430" s="27" t="s">
        <v>9</v>
      </c>
      <c r="S430" s="27" t="s">
        <v>9</v>
      </c>
      <c r="T430" s="27" t="s">
        <v>9</v>
      </c>
      <c r="U430" s="27" t="s">
        <v>9</v>
      </c>
      <c r="V430" s="20" t="s">
        <v>1</v>
      </c>
      <c r="W430" s="20">
        <v>5</v>
      </c>
      <c r="X430" s="20">
        <v>3</v>
      </c>
      <c r="Y430" s="20">
        <v>2</v>
      </c>
      <c r="Z430" s="20">
        <v>4</v>
      </c>
      <c r="AA430" s="23">
        <v>3</v>
      </c>
      <c r="AB430" s="15" t="s">
        <v>9</v>
      </c>
      <c r="AC430" s="15" t="s">
        <v>9</v>
      </c>
      <c r="AD430" s="15" t="s">
        <v>9</v>
      </c>
      <c r="AE430" s="15" t="s">
        <v>9</v>
      </c>
      <c r="AF430" s="20" t="s">
        <v>9</v>
      </c>
      <c r="AG430" s="20" t="s">
        <v>9</v>
      </c>
      <c r="AH430" s="24" t="s">
        <v>9</v>
      </c>
      <c r="AI430" s="23">
        <v>3</v>
      </c>
      <c r="AJ430" s="15" t="s">
        <v>9</v>
      </c>
      <c r="AK430" s="15" t="s">
        <v>9</v>
      </c>
      <c r="AL430" s="25" t="s">
        <v>9</v>
      </c>
      <c r="AM430" s="23">
        <v>3</v>
      </c>
      <c r="AN430" s="20" t="s">
        <v>9</v>
      </c>
      <c r="AO430" s="20" t="s">
        <v>9</v>
      </c>
      <c r="AP430" s="15" t="s">
        <v>9</v>
      </c>
      <c r="AQ430" s="15" t="s">
        <v>9</v>
      </c>
      <c r="AR430" s="15" t="s">
        <v>9</v>
      </c>
      <c r="AS430" s="26" t="s">
        <v>9</v>
      </c>
      <c r="AT430" s="26" t="s">
        <v>9</v>
      </c>
      <c r="AU430" s="26" t="s">
        <v>9</v>
      </c>
      <c r="AV430" s="26" t="s">
        <v>9</v>
      </c>
      <c r="AW430" s="26" t="s">
        <v>9</v>
      </c>
      <c r="AX430" s="26" t="s">
        <v>9</v>
      </c>
      <c r="AY430" s="26" t="s">
        <v>9</v>
      </c>
      <c r="AZ430" s="26" t="s">
        <v>9</v>
      </c>
      <c r="BA430" s="23">
        <v>3</v>
      </c>
      <c r="BB430" s="24" t="s">
        <v>9</v>
      </c>
    </row>
    <row r="431" spans="1:54" x14ac:dyDescent="0.2">
      <c r="A431" s="19">
        <v>4265</v>
      </c>
      <c r="B431" s="27" t="s">
        <v>9</v>
      </c>
      <c r="C431" s="27" t="s">
        <v>9</v>
      </c>
      <c r="D431" s="27" t="s">
        <v>9</v>
      </c>
      <c r="E431" s="27" t="s">
        <v>9</v>
      </c>
      <c r="F431" s="27" t="s">
        <v>9</v>
      </c>
      <c r="G431" s="27" t="s">
        <v>9</v>
      </c>
      <c r="H431" s="27" t="s">
        <v>9</v>
      </c>
      <c r="I431" s="27" t="s">
        <v>9</v>
      </c>
      <c r="J431" s="27" t="s">
        <v>9</v>
      </c>
      <c r="K431" s="27" t="s">
        <v>9</v>
      </c>
      <c r="L431" s="27" t="s">
        <v>9</v>
      </c>
      <c r="M431" s="27" t="s">
        <v>9</v>
      </c>
      <c r="N431" s="27" t="s">
        <v>9</v>
      </c>
      <c r="O431" s="27" t="s">
        <v>9</v>
      </c>
      <c r="P431" s="27" t="s">
        <v>9</v>
      </c>
      <c r="Q431" s="27" t="s">
        <v>9</v>
      </c>
      <c r="R431" s="27" t="s">
        <v>9</v>
      </c>
      <c r="S431" s="27" t="s">
        <v>9</v>
      </c>
      <c r="T431" s="27" t="s">
        <v>9</v>
      </c>
      <c r="U431" s="27" t="s">
        <v>9</v>
      </c>
      <c r="V431" s="20" t="s">
        <v>1</v>
      </c>
      <c r="W431" s="20">
        <v>5</v>
      </c>
      <c r="X431" s="20">
        <v>3</v>
      </c>
      <c r="Y431" s="20">
        <v>2</v>
      </c>
      <c r="Z431" s="20">
        <v>4</v>
      </c>
      <c r="AA431" s="23">
        <v>3</v>
      </c>
      <c r="AB431" s="15" t="s">
        <v>9</v>
      </c>
      <c r="AC431" s="15" t="s">
        <v>9</v>
      </c>
      <c r="AD431" s="15" t="s">
        <v>9</v>
      </c>
      <c r="AE431" s="15" t="s">
        <v>9</v>
      </c>
      <c r="AF431" s="20" t="s">
        <v>9</v>
      </c>
      <c r="AG431" s="20" t="s">
        <v>9</v>
      </c>
      <c r="AH431" s="24" t="s">
        <v>9</v>
      </c>
      <c r="AI431" s="23">
        <v>3</v>
      </c>
      <c r="AJ431" s="15" t="s">
        <v>9</v>
      </c>
      <c r="AK431" s="15" t="s">
        <v>9</v>
      </c>
      <c r="AL431" s="25" t="s">
        <v>9</v>
      </c>
      <c r="AM431" s="23">
        <v>3</v>
      </c>
      <c r="AN431" s="20" t="s">
        <v>9</v>
      </c>
      <c r="AO431" s="20" t="s">
        <v>9</v>
      </c>
      <c r="AP431" s="15" t="s">
        <v>9</v>
      </c>
      <c r="AQ431" s="15" t="s">
        <v>9</v>
      </c>
      <c r="AR431" s="15" t="s">
        <v>9</v>
      </c>
      <c r="AS431" s="26" t="s">
        <v>9</v>
      </c>
      <c r="AT431" s="26" t="s">
        <v>9</v>
      </c>
      <c r="AU431" s="26" t="s">
        <v>9</v>
      </c>
      <c r="AV431" s="26" t="s">
        <v>9</v>
      </c>
      <c r="AW431" s="26" t="s">
        <v>9</v>
      </c>
      <c r="AX431" s="26" t="s">
        <v>9</v>
      </c>
      <c r="AY431" s="26" t="s">
        <v>9</v>
      </c>
      <c r="AZ431" s="26" t="s">
        <v>9</v>
      </c>
      <c r="BA431" s="23">
        <v>3</v>
      </c>
      <c r="BB431" s="24" t="s">
        <v>9</v>
      </c>
    </row>
    <row r="432" spans="1:54" x14ac:dyDescent="0.2">
      <c r="A432" s="19">
        <v>4301</v>
      </c>
      <c r="B432" s="27" t="s">
        <v>9</v>
      </c>
      <c r="C432" s="27" t="s">
        <v>9</v>
      </c>
      <c r="D432" s="27" t="s">
        <v>9</v>
      </c>
      <c r="E432" s="27" t="s">
        <v>9</v>
      </c>
      <c r="F432" s="27" t="s">
        <v>9</v>
      </c>
      <c r="G432" s="27" t="s">
        <v>9</v>
      </c>
      <c r="H432" s="27" t="s">
        <v>9</v>
      </c>
      <c r="I432" s="27" t="s">
        <v>9</v>
      </c>
      <c r="J432" s="27" t="s">
        <v>9</v>
      </c>
      <c r="K432" s="27" t="s">
        <v>9</v>
      </c>
      <c r="L432" s="27" t="s">
        <v>9</v>
      </c>
      <c r="M432" s="27" t="s">
        <v>9</v>
      </c>
      <c r="N432" s="27" t="s">
        <v>9</v>
      </c>
      <c r="O432" s="27" t="s">
        <v>9</v>
      </c>
      <c r="P432" s="27" t="s">
        <v>9</v>
      </c>
      <c r="Q432" s="27" t="s">
        <v>9</v>
      </c>
      <c r="R432" s="27" t="s">
        <v>9</v>
      </c>
      <c r="S432" s="27" t="s">
        <v>9</v>
      </c>
      <c r="T432" s="27" t="s">
        <v>9</v>
      </c>
      <c r="U432" s="27" t="s">
        <v>9</v>
      </c>
      <c r="V432" s="20" t="s">
        <v>1</v>
      </c>
      <c r="W432" s="20">
        <v>5</v>
      </c>
      <c r="X432" s="20">
        <v>3</v>
      </c>
      <c r="Y432" s="20">
        <v>2</v>
      </c>
      <c r="Z432" s="20">
        <v>4</v>
      </c>
      <c r="AA432" s="23">
        <v>3</v>
      </c>
      <c r="AB432" s="15" t="s">
        <v>9</v>
      </c>
      <c r="AC432" s="15" t="s">
        <v>9</v>
      </c>
      <c r="AD432" s="15" t="s">
        <v>9</v>
      </c>
      <c r="AE432" s="15" t="s">
        <v>9</v>
      </c>
      <c r="AF432" s="20" t="s">
        <v>9</v>
      </c>
      <c r="AG432" s="20" t="s">
        <v>9</v>
      </c>
      <c r="AH432" s="24" t="s">
        <v>9</v>
      </c>
      <c r="AI432" s="23">
        <v>3</v>
      </c>
      <c r="AJ432" s="15" t="s">
        <v>9</v>
      </c>
      <c r="AK432" s="15" t="s">
        <v>9</v>
      </c>
      <c r="AL432" s="25" t="s">
        <v>9</v>
      </c>
      <c r="AM432" s="23">
        <v>3</v>
      </c>
      <c r="AN432" s="20" t="s">
        <v>9</v>
      </c>
      <c r="AO432" s="20" t="s">
        <v>9</v>
      </c>
      <c r="AP432" s="15" t="s">
        <v>9</v>
      </c>
      <c r="AQ432" s="15" t="s">
        <v>9</v>
      </c>
      <c r="AR432" s="15" t="s">
        <v>9</v>
      </c>
      <c r="AS432" s="26" t="s">
        <v>9</v>
      </c>
      <c r="AT432" s="26" t="s">
        <v>9</v>
      </c>
      <c r="AU432" s="26" t="s">
        <v>9</v>
      </c>
      <c r="AV432" s="26" t="s">
        <v>9</v>
      </c>
      <c r="AW432" s="26" t="s">
        <v>9</v>
      </c>
      <c r="AX432" s="26" t="s">
        <v>9</v>
      </c>
      <c r="AY432" s="26" t="s">
        <v>9</v>
      </c>
      <c r="AZ432" s="26" t="s">
        <v>9</v>
      </c>
      <c r="BA432" s="23">
        <v>3</v>
      </c>
      <c r="BB432" s="24" t="s">
        <v>9</v>
      </c>
    </row>
    <row r="433" spans="1:54" x14ac:dyDescent="0.2">
      <c r="A433" s="19">
        <v>4329</v>
      </c>
      <c r="B433" s="27" t="s">
        <v>9</v>
      </c>
      <c r="C433" s="27" t="s">
        <v>9</v>
      </c>
      <c r="D433" s="27" t="s">
        <v>9</v>
      </c>
      <c r="E433" s="27" t="s">
        <v>9</v>
      </c>
      <c r="F433" s="27" t="s">
        <v>9</v>
      </c>
      <c r="G433" s="27" t="s">
        <v>9</v>
      </c>
      <c r="H433" s="27" t="s">
        <v>9</v>
      </c>
      <c r="I433" s="27" t="s">
        <v>9</v>
      </c>
      <c r="J433" s="27" t="s">
        <v>9</v>
      </c>
      <c r="K433" s="27" t="s">
        <v>9</v>
      </c>
      <c r="L433" s="27" t="s">
        <v>9</v>
      </c>
      <c r="M433" s="27" t="s">
        <v>9</v>
      </c>
      <c r="N433" s="27" t="s">
        <v>9</v>
      </c>
      <c r="O433" s="27" t="s">
        <v>9</v>
      </c>
      <c r="P433" s="27" t="s">
        <v>9</v>
      </c>
      <c r="Q433" s="27" t="s">
        <v>9</v>
      </c>
      <c r="R433" s="27" t="s">
        <v>9</v>
      </c>
      <c r="S433" s="27" t="s">
        <v>9</v>
      </c>
      <c r="T433" s="27" t="s">
        <v>9</v>
      </c>
      <c r="U433" s="27" t="s">
        <v>9</v>
      </c>
      <c r="V433" s="20" t="s">
        <v>1</v>
      </c>
      <c r="W433" s="20">
        <v>5</v>
      </c>
      <c r="X433" s="20">
        <v>3</v>
      </c>
      <c r="Y433" s="20">
        <v>2</v>
      </c>
      <c r="Z433" s="20">
        <v>4</v>
      </c>
      <c r="AA433" s="23">
        <v>3</v>
      </c>
      <c r="AB433" s="15" t="s">
        <v>9</v>
      </c>
      <c r="AC433" s="15" t="s">
        <v>9</v>
      </c>
      <c r="AD433" s="15" t="s">
        <v>9</v>
      </c>
      <c r="AE433" s="15" t="s">
        <v>9</v>
      </c>
      <c r="AF433" s="20" t="s">
        <v>9</v>
      </c>
      <c r="AG433" s="20" t="s">
        <v>9</v>
      </c>
      <c r="AH433" s="24" t="s">
        <v>9</v>
      </c>
      <c r="AI433" s="23">
        <v>3</v>
      </c>
      <c r="AJ433" s="15" t="s">
        <v>9</v>
      </c>
      <c r="AK433" s="15" t="s">
        <v>9</v>
      </c>
      <c r="AL433" s="25" t="s">
        <v>9</v>
      </c>
      <c r="AM433" s="23">
        <v>3</v>
      </c>
      <c r="AN433" s="20" t="s">
        <v>9</v>
      </c>
      <c r="AO433" s="20" t="s">
        <v>9</v>
      </c>
      <c r="AP433" s="15" t="s">
        <v>9</v>
      </c>
      <c r="AQ433" s="15" t="s">
        <v>9</v>
      </c>
      <c r="AR433" s="15" t="s">
        <v>9</v>
      </c>
      <c r="AS433" s="26" t="s">
        <v>9</v>
      </c>
      <c r="AT433" s="26" t="s">
        <v>9</v>
      </c>
      <c r="AU433" s="26" t="s">
        <v>9</v>
      </c>
      <c r="AV433" s="26" t="s">
        <v>9</v>
      </c>
      <c r="AW433" s="26" t="s">
        <v>9</v>
      </c>
      <c r="AX433" s="26" t="s">
        <v>9</v>
      </c>
      <c r="AY433" s="26" t="s">
        <v>9</v>
      </c>
      <c r="AZ433" s="26" t="s">
        <v>9</v>
      </c>
      <c r="BA433" s="23">
        <v>3</v>
      </c>
      <c r="BB433" s="24" t="s">
        <v>9</v>
      </c>
    </row>
    <row r="434" spans="1:54" x14ac:dyDescent="0.2">
      <c r="A434" s="19">
        <v>4362</v>
      </c>
      <c r="B434" s="27" t="s">
        <v>9</v>
      </c>
      <c r="C434" s="27" t="s">
        <v>9</v>
      </c>
      <c r="D434" s="27" t="s">
        <v>9</v>
      </c>
      <c r="E434" s="27" t="s">
        <v>9</v>
      </c>
      <c r="F434" s="27" t="s">
        <v>9</v>
      </c>
      <c r="G434" s="27" t="s">
        <v>9</v>
      </c>
      <c r="H434" s="27" t="s">
        <v>9</v>
      </c>
      <c r="I434" s="27" t="s">
        <v>9</v>
      </c>
      <c r="J434" s="27" t="s">
        <v>9</v>
      </c>
      <c r="K434" s="27" t="s">
        <v>9</v>
      </c>
      <c r="L434" s="27" t="s">
        <v>9</v>
      </c>
      <c r="M434" s="27" t="s">
        <v>9</v>
      </c>
      <c r="N434" s="27" t="s">
        <v>9</v>
      </c>
      <c r="O434" s="27" t="s">
        <v>9</v>
      </c>
      <c r="P434" s="27" t="s">
        <v>9</v>
      </c>
      <c r="Q434" s="27" t="s">
        <v>9</v>
      </c>
      <c r="R434" s="27" t="s">
        <v>9</v>
      </c>
      <c r="S434" s="27" t="s">
        <v>9</v>
      </c>
      <c r="T434" s="27" t="s">
        <v>9</v>
      </c>
      <c r="U434" s="27" t="s">
        <v>9</v>
      </c>
      <c r="V434" s="20" t="s">
        <v>1</v>
      </c>
      <c r="W434" s="20">
        <v>5</v>
      </c>
      <c r="X434" s="20">
        <v>3</v>
      </c>
      <c r="Y434" s="20">
        <v>2</v>
      </c>
      <c r="Z434" s="20">
        <v>4</v>
      </c>
      <c r="AA434" s="23">
        <v>3</v>
      </c>
      <c r="AB434" s="15" t="s">
        <v>9</v>
      </c>
      <c r="AC434" s="15" t="s">
        <v>9</v>
      </c>
      <c r="AD434" s="15" t="s">
        <v>9</v>
      </c>
      <c r="AE434" s="15" t="s">
        <v>9</v>
      </c>
      <c r="AF434" s="20" t="s">
        <v>9</v>
      </c>
      <c r="AG434" s="20" t="s">
        <v>9</v>
      </c>
      <c r="AH434" s="24" t="s">
        <v>9</v>
      </c>
      <c r="AI434" s="23">
        <v>3</v>
      </c>
      <c r="AJ434" s="15" t="s">
        <v>9</v>
      </c>
      <c r="AK434" s="15" t="s">
        <v>9</v>
      </c>
      <c r="AL434" s="25" t="s">
        <v>9</v>
      </c>
      <c r="AM434" s="23">
        <v>3</v>
      </c>
      <c r="AN434" s="20" t="s">
        <v>9</v>
      </c>
      <c r="AO434" s="20" t="s">
        <v>9</v>
      </c>
      <c r="AP434" s="15" t="s">
        <v>9</v>
      </c>
      <c r="AQ434" s="15" t="s">
        <v>9</v>
      </c>
      <c r="AR434" s="15" t="s">
        <v>9</v>
      </c>
      <c r="AS434" s="26" t="s">
        <v>9</v>
      </c>
      <c r="AT434" s="26" t="s">
        <v>9</v>
      </c>
      <c r="AU434" s="26" t="s">
        <v>9</v>
      </c>
      <c r="AV434" s="26" t="s">
        <v>9</v>
      </c>
      <c r="AW434" s="26" t="s">
        <v>9</v>
      </c>
      <c r="AX434" s="26" t="s">
        <v>9</v>
      </c>
      <c r="AY434" s="26" t="s">
        <v>9</v>
      </c>
      <c r="AZ434" s="26" t="s">
        <v>9</v>
      </c>
      <c r="BA434" s="23">
        <v>3</v>
      </c>
      <c r="BB434" s="24" t="s">
        <v>9</v>
      </c>
    </row>
    <row r="435" spans="1:54" x14ac:dyDescent="0.2">
      <c r="A435" s="19">
        <v>4398</v>
      </c>
      <c r="B435" s="27" t="s">
        <v>9</v>
      </c>
      <c r="C435" s="27" t="s">
        <v>9</v>
      </c>
      <c r="D435" s="27" t="s">
        <v>9</v>
      </c>
      <c r="E435" s="27" t="s">
        <v>9</v>
      </c>
      <c r="F435" s="27" t="s">
        <v>9</v>
      </c>
      <c r="G435" s="27" t="s">
        <v>9</v>
      </c>
      <c r="H435" s="27" t="s">
        <v>9</v>
      </c>
      <c r="I435" s="27" t="s">
        <v>9</v>
      </c>
      <c r="J435" s="27" t="s">
        <v>9</v>
      </c>
      <c r="K435" s="27" t="s">
        <v>9</v>
      </c>
      <c r="L435" s="27" t="s">
        <v>9</v>
      </c>
      <c r="M435" s="27" t="s">
        <v>9</v>
      </c>
      <c r="N435" s="27" t="s">
        <v>9</v>
      </c>
      <c r="O435" s="27" t="s">
        <v>9</v>
      </c>
      <c r="P435" s="27" t="s">
        <v>9</v>
      </c>
      <c r="Q435" s="27" t="s">
        <v>9</v>
      </c>
      <c r="R435" s="27" t="s">
        <v>9</v>
      </c>
      <c r="S435" s="27" t="s">
        <v>9</v>
      </c>
      <c r="T435" s="27" t="s">
        <v>9</v>
      </c>
      <c r="U435" s="27" t="s">
        <v>9</v>
      </c>
      <c r="V435" s="20" t="s">
        <v>1</v>
      </c>
      <c r="W435" s="20">
        <v>5</v>
      </c>
      <c r="X435" s="20">
        <v>3</v>
      </c>
      <c r="Y435" s="20">
        <v>2</v>
      </c>
      <c r="Z435" s="20">
        <v>4</v>
      </c>
      <c r="AA435" s="23">
        <v>3</v>
      </c>
      <c r="AB435" s="15" t="s">
        <v>9</v>
      </c>
      <c r="AC435" s="15" t="s">
        <v>9</v>
      </c>
      <c r="AD435" s="15" t="s">
        <v>9</v>
      </c>
      <c r="AE435" s="15" t="s">
        <v>9</v>
      </c>
      <c r="AF435" s="20" t="s">
        <v>9</v>
      </c>
      <c r="AG435" s="20" t="s">
        <v>9</v>
      </c>
      <c r="AH435" s="24" t="s">
        <v>9</v>
      </c>
      <c r="AI435" s="23">
        <v>3</v>
      </c>
      <c r="AJ435" s="15" t="s">
        <v>9</v>
      </c>
      <c r="AK435" s="15" t="s">
        <v>9</v>
      </c>
      <c r="AL435" s="25" t="s">
        <v>9</v>
      </c>
      <c r="AM435" s="23">
        <v>3</v>
      </c>
      <c r="AN435" s="20" t="s">
        <v>9</v>
      </c>
      <c r="AO435" s="20" t="s">
        <v>9</v>
      </c>
      <c r="AP435" s="15" t="s">
        <v>9</v>
      </c>
      <c r="AQ435" s="15" t="s">
        <v>9</v>
      </c>
      <c r="AR435" s="15" t="s">
        <v>9</v>
      </c>
      <c r="AS435" s="26" t="s">
        <v>9</v>
      </c>
      <c r="AT435" s="26" t="s">
        <v>9</v>
      </c>
      <c r="AU435" s="26" t="s">
        <v>9</v>
      </c>
      <c r="AV435" s="26" t="s">
        <v>9</v>
      </c>
      <c r="AW435" s="26" t="s">
        <v>9</v>
      </c>
      <c r="AX435" s="26" t="s">
        <v>9</v>
      </c>
      <c r="AY435" s="26" t="s">
        <v>9</v>
      </c>
      <c r="AZ435" s="26" t="s">
        <v>9</v>
      </c>
      <c r="BA435" s="23">
        <v>3</v>
      </c>
      <c r="BB435" s="24" t="s">
        <v>9</v>
      </c>
    </row>
    <row r="436" spans="1:54" x14ac:dyDescent="0.2">
      <c r="A436" s="19">
        <v>4467</v>
      </c>
      <c r="B436" s="27" t="s">
        <v>9</v>
      </c>
      <c r="C436" s="27" t="s">
        <v>9</v>
      </c>
      <c r="D436" s="27" t="s">
        <v>9</v>
      </c>
      <c r="E436" s="27" t="s">
        <v>9</v>
      </c>
      <c r="F436" s="27" t="s">
        <v>9</v>
      </c>
      <c r="G436" s="27" t="s">
        <v>9</v>
      </c>
      <c r="H436" s="27" t="s">
        <v>9</v>
      </c>
      <c r="I436" s="27" t="s">
        <v>9</v>
      </c>
      <c r="J436" s="27" t="s">
        <v>9</v>
      </c>
      <c r="K436" s="27" t="s">
        <v>9</v>
      </c>
      <c r="L436" s="27" t="s">
        <v>9</v>
      </c>
      <c r="M436" s="27" t="s">
        <v>9</v>
      </c>
      <c r="N436" s="27" t="s">
        <v>9</v>
      </c>
      <c r="O436" s="27" t="s">
        <v>9</v>
      </c>
      <c r="P436" s="27" t="s">
        <v>9</v>
      </c>
      <c r="Q436" s="27" t="s">
        <v>9</v>
      </c>
      <c r="R436" s="27" t="s">
        <v>9</v>
      </c>
      <c r="S436" s="27" t="s">
        <v>9</v>
      </c>
      <c r="T436" s="27" t="s">
        <v>9</v>
      </c>
      <c r="U436" s="27" t="s">
        <v>9</v>
      </c>
      <c r="V436" s="20" t="s">
        <v>1</v>
      </c>
      <c r="W436" s="20">
        <v>5</v>
      </c>
      <c r="X436" s="20">
        <v>3</v>
      </c>
      <c r="Y436" s="20">
        <v>2</v>
      </c>
      <c r="Z436" s="20">
        <v>4</v>
      </c>
      <c r="AA436" s="23">
        <v>3</v>
      </c>
      <c r="AB436" s="15" t="s">
        <v>9</v>
      </c>
      <c r="AC436" s="15" t="s">
        <v>9</v>
      </c>
      <c r="AD436" s="15" t="s">
        <v>9</v>
      </c>
      <c r="AE436" s="15" t="s">
        <v>9</v>
      </c>
      <c r="AF436" s="20" t="s">
        <v>9</v>
      </c>
      <c r="AG436" s="20" t="s">
        <v>9</v>
      </c>
      <c r="AH436" s="24" t="s">
        <v>9</v>
      </c>
      <c r="AI436" s="23">
        <v>3</v>
      </c>
      <c r="AJ436" s="15" t="s">
        <v>9</v>
      </c>
      <c r="AK436" s="15" t="s">
        <v>9</v>
      </c>
      <c r="AL436" s="25" t="s">
        <v>9</v>
      </c>
      <c r="AM436" s="23">
        <v>3</v>
      </c>
      <c r="AN436" s="20" t="s">
        <v>9</v>
      </c>
      <c r="AO436" s="20" t="s">
        <v>9</v>
      </c>
      <c r="AP436" s="15" t="s">
        <v>9</v>
      </c>
      <c r="AQ436" s="15" t="s">
        <v>9</v>
      </c>
      <c r="AR436" s="15" t="s">
        <v>9</v>
      </c>
      <c r="AS436" s="26" t="s">
        <v>9</v>
      </c>
      <c r="AT436" s="26" t="s">
        <v>9</v>
      </c>
      <c r="AU436" s="26" t="s">
        <v>9</v>
      </c>
      <c r="AV436" s="26" t="s">
        <v>9</v>
      </c>
      <c r="AW436" s="26" t="s">
        <v>9</v>
      </c>
      <c r="AX436" s="26" t="s">
        <v>9</v>
      </c>
      <c r="AY436" s="26" t="s">
        <v>9</v>
      </c>
      <c r="AZ436" s="26" t="s">
        <v>9</v>
      </c>
      <c r="BA436" s="23">
        <v>3</v>
      </c>
      <c r="BB436" s="24" t="s">
        <v>9</v>
      </c>
    </row>
    <row r="437" spans="1:54" x14ac:dyDescent="0.2">
      <c r="A437" s="19">
        <v>4507</v>
      </c>
      <c r="B437" s="27" t="s">
        <v>9</v>
      </c>
      <c r="C437" s="27" t="s">
        <v>9</v>
      </c>
      <c r="D437" s="27" t="s">
        <v>9</v>
      </c>
      <c r="E437" s="27" t="s">
        <v>9</v>
      </c>
      <c r="F437" s="27" t="s">
        <v>9</v>
      </c>
      <c r="G437" s="27" t="s">
        <v>9</v>
      </c>
      <c r="H437" s="27" t="s">
        <v>9</v>
      </c>
      <c r="I437" s="27" t="s">
        <v>9</v>
      </c>
      <c r="J437" s="27" t="s">
        <v>9</v>
      </c>
      <c r="K437" s="27" t="s">
        <v>9</v>
      </c>
      <c r="L437" s="27" t="s">
        <v>9</v>
      </c>
      <c r="M437" s="27" t="s">
        <v>9</v>
      </c>
      <c r="N437" s="27" t="s">
        <v>9</v>
      </c>
      <c r="O437" s="27" t="s">
        <v>9</v>
      </c>
      <c r="P437" s="27" t="s">
        <v>9</v>
      </c>
      <c r="Q437" s="27" t="s">
        <v>9</v>
      </c>
      <c r="R437" s="27" t="s">
        <v>9</v>
      </c>
      <c r="S437" s="27" t="s">
        <v>9</v>
      </c>
      <c r="T437" s="27" t="s">
        <v>9</v>
      </c>
      <c r="U437" s="27" t="s">
        <v>9</v>
      </c>
      <c r="V437" s="20" t="s">
        <v>1</v>
      </c>
      <c r="W437" s="20">
        <v>5</v>
      </c>
      <c r="X437" s="20">
        <v>3</v>
      </c>
      <c r="Y437" s="20">
        <v>2</v>
      </c>
      <c r="Z437" s="20">
        <v>4</v>
      </c>
      <c r="AA437" s="23">
        <v>3</v>
      </c>
      <c r="AB437" s="15" t="s">
        <v>9</v>
      </c>
      <c r="AC437" s="15" t="s">
        <v>9</v>
      </c>
      <c r="AD437" s="15" t="s">
        <v>9</v>
      </c>
      <c r="AE437" s="15" t="s">
        <v>9</v>
      </c>
      <c r="AF437" s="20" t="s">
        <v>9</v>
      </c>
      <c r="AG437" s="20" t="s">
        <v>9</v>
      </c>
      <c r="AH437" s="24" t="s">
        <v>9</v>
      </c>
      <c r="AI437" s="23">
        <v>3</v>
      </c>
      <c r="AJ437" s="15" t="s">
        <v>9</v>
      </c>
      <c r="AK437" s="15" t="s">
        <v>9</v>
      </c>
      <c r="AL437" s="25" t="s">
        <v>9</v>
      </c>
      <c r="AM437" s="23">
        <v>3</v>
      </c>
      <c r="AN437" s="20" t="s">
        <v>9</v>
      </c>
      <c r="AO437" s="20" t="s">
        <v>9</v>
      </c>
      <c r="AP437" s="15" t="s">
        <v>9</v>
      </c>
      <c r="AQ437" s="15" t="s">
        <v>9</v>
      </c>
      <c r="AR437" s="15" t="s">
        <v>9</v>
      </c>
      <c r="AS437" s="26" t="s">
        <v>9</v>
      </c>
      <c r="AT437" s="26" t="s">
        <v>9</v>
      </c>
      <c r="AU437" s="26" t="s">
        <v>9</v>
      </c>
      <c r="AV437" s="26" t="s">
        <v>9</v>
      </c>
      <c r="AW437" s="26" t="s">
        <v>9</v>
      </c>
      <c r="AX437" s="26" t="s">
        <v>9</v>
      </c>
      <c r="AY437" s="26" t="s">
        <v>9</v>
      </c>
      <c r="AZ437" s="26" t="s">
        <v>9</v>
      </c>
      <c r="BA437" s="23">
        <v>3</v>
      </c>
      <c r="BB437" s="24" t="s">
        <v>9</v>
      </c>
    </row>
    <row r="438" spans="1:54" x14ac:dyDescent="0.2">
      <c r="A438" s="19">
        <v>4539</v>
      </c>
      <c r="B438" s="27" t="s">
        <v>9</v>
      </c>
      <c r="C438" s="27" t="s">
        <v>9</v>
      </c>
      <c r="D438" s="27" t="s">
        <v>9</v>
      </c>
      <c r="E438" s="27" t="s">
        <v>9</v>
      </c>
      <c r="F438" s="27" t="s">
        <v>9</v>
      </c>
      <c r="G438" s="27" t="s">
        <v>9</v>
      </c>
      <c r="H438" s="27" t="s">
        <v>9</v>
      </c>
      <c r="I438" s="27" t="s">
        <v>9</v>
      </c>
      <c r="J438" s="27" t="s">
        <v>9</v>
      </c>
      <c r="K438" s="27" t="s">
        <v>9</v>
      </c>
      <c r="L438" s="27" t="s">
        <v>9</v>
      </c>
      <c r="M438" s="27" t="s">
        <v>9</v>
      </c>
      <c r="N438" s="27" t="s">
        <v>9</v>
      </c>
      <c r="O438" s="27" t="s">
        <v>9</v>
      </c>
      <c r="P438" s="27" t="s">
        <v>9</v>
      </c>
      <c r="Q438" s="27" t="s">
        <v>9</v>
      </c>
      <c r="R438" s="27" t="s">
        <v>9</v>
      </c>
      <c r="S438" s="27" t="s">
        <v>9</v>
      </c>
      <c r="T438" s="27" t="s">
        <v>9</v>
      </c>
      <c r="U438" s="27" t="s">
        <v>9</v>
      </c>
      <c r="V438" s="20" t="s">
        <v>1</v>
      </c>
      <c r="W438" s="20">
        <v>5</v>
      </c>
      <c r="X438" s="20">
        <v>3</v>
      </c>
      <c r="Y438" s="20">
        <v>2</v>
      </c>
      <c r="Z438" s="20">
        <v>4</v>
      </c>
      <c r="AA438" s="23">
        <v>3</v>
      </c>
      <c r="AB438" s="15" t="s">
        <v>9</v>
      </c>
      <c r="AC438" s="15" t="s">
        <v>9</v>
      </c>
      <c r="AD438" s="15" t="s">
        <v>9</v>
      </c>
      <c r="AE438" s="15" t="s">
        <v>9</v>
      </c>
      <c r="AF438" s="20" t="s">
        <v>9</v>
      </c>
      <c r="AG438" s="20" t="s">
        <v>9</v>
      </c>
      <c r="AH438" s="24" t="s">
        <v>9</v>
      </c>
      <c r="AI438" s="23">
        <v>3</v>
      </c>
      <c r="AJ438" s="15" t="s">
        <v>9</v>
      </c>
      <c r="AK438" s="15" t="s">
        <v>9</v>
      </c>
      <c r="AL438" s="25" t="s">
        <v>9</v>
      </c>
      <c r="AM438" s="23">
        <v>3</v>
      </c>
      <c r="AN438" s="20" t="s">
        <v>9</v>
      </c>
      <c r="AO438" s="20" t="s">
        <v>9</v>
      </c>
      <c r="AP438" s="15" t="s">
        <v>9</v>
      </c>
      <c r="AQ438" s="15" t="s">
        <v>9</v>
      </c>
      <c r="AR438" s="15" t="s">
        <v>9</v>
      </c>
      <c r="AS438" s="26" t="s">
        <v>9</v>
      </c>
      <c r="AT438" s="26" t="s">
        <v>9</v>
      </c>
      <c r="AU438" s="26" t="s">
        <v>9</v>
      </c>
      <c r="AV438" s="26" t="s">
        <v>9</v>
      </c>
      <c r="AW438" s="26" t="s">
        <v>9</v>
      </c>
      <c r="AX438" s="26" t="s">
        <v>9</v>
      </c>
      <c r="AY438" s="26" t="s">
        <v>9</v>
      </c>
      <c r="AZ438" s="26" t="s">
        <v>9</v>
      </c>
      <c r="BA438" s="23">
        <v>3</v>
      </c>
      <c r="BB438" s="24" t="s">
        <v>9</v>
      </c>
    </row>
    <row r="439" spans="1:54" x14ac:dyDescent="0.2">
      <c r="A439" s="19">
        <v>4556</v>
      </c>
      <c r="B439" s="27" t="s">
        <v>9</v>
      </c>
      <c r="C439" s="27" t="s">
        <v>9</v>
      </c>
      <c r="D439" s="27" t="s">
        <v>9</v>
      </c>
      <c r="E439" s="27" t="s">
        <v>9</v>
      </c>
      <c r="F439" s="27" t="s">
        <v>9</v>
      </c>
      <c r="G439" s="27" t="s">
        <v>9</v>
      </c>
      <c r="H439" s="27" t="s">
        <v>9</v>
      </c>
      <c r="I439" s="27" t="s">
        <v>9</v>
      </c>
      <c r="J439" s="27" t="s">
        <v>9</v>
      </c>
      <c r="K439" s="27" t="s">
        <v>9</v>
      </c>
      <c r="L439" s="27" t="s">
        <v>9</v>
      </c>
      <c r="M439" s="27" t="s">
        <v>9</v>
      </c>
      <c r="N439" s="27" t="s">
        <v>9</v>
      </c>
      <c r="O439" s="27" t="s">
        <v>9</v>
      </c>
      <c r="P439" s="27" t="s">
        <v>9</v>
      </c>
      <c r="Q439" s="27" t="s">
        <v>9</v>
      </c>
      <c r="R439" s="27" t="s">
        <v>9</v>
      </c>
      <c r="S439" s="27" t="s">
        <v>9</v>
      </c>
      <c r="T439" s="27" t="s">
        <v>9</v>
      </c>
      <c r="U439" s="27" t="s">
        <v>9</v>
      </c>
      <c r="V439" s="20" t="s">
        <v>1</v>
      </c>
      <c r="W439" s="20">
        <v>5</v>
      </c>
      <c r="X439" s="20">
        <v>3</v>
      </c>
      <c r="Y439" s="20">
        <v>2</v>
      </c>
      <c r="Z439" s="20">
        <v>4</v>
      </c>
      <c r="AA439" s="23">
        <v>3</v>
      </c>
      <c r="AB439" s="15" t="s">
        <v>9</v>
      </c>
      <c r="AC439" s="15" t="s">
        <v>9</v>
      </c>
      <c r="AD439" s="15" t="s">
        <v>9</v>
      </c>
      <c r="AE439" s="15" t="s">
        <v>9</v>
      </c>
      <c r="AF439" s="20" t="s">
        <v>9</v>
      </c>
      <c r="AG439" s="20" t="s">
        <v>9</v>
      </c>
      <c r="AH439" s="24" t="s">
        <v>9</v>
      </c>
      <c r="AI439" s="23">
        <v>3</v>
      </c>
      <c r="AJ439" s="15" t="s">
        <v>9</v>
      </c>
      <c r="AK439" s="15" t="s">
        <v>9</v>
      </c>
      <c r="AL439" s="25" t="s">
        <v>9</v>
      </c>
      <c r="AM439" s="23">
        <v>3</v>
      </c>
      <c r="AN439" s="20" t="s">
        <v>9</v>
      </c>
      <c r="AO439" s="20" t="s">
        <v>9</v>
      </c>
      <c r="AP439" s="15" t="s">
        <v>9</v>
      </c>
      <c r="AQ439" s="15" t="s">
        <v>9</v>
      </c>
      <c r="AR439" s="15" t="s">
        <v>9</v>
      </c>
      <c r="AS439" s="26" t="s">
        <v>9</v>
      </c>
      <c r="AT439" s="26" t="s">
        <v>9</v>
      </c>
      <c r="AU439" s="26" t="s">
        <v>9</v>
      </c>
      <c r="AV439" s="26" t="s">
        <v>9</v>
      </c>
      <c r="AW439" s="26" t="s">
        <v>9</v>
      </c>
      <c r="AX439" s="26" t="s">
        <v>9</v>
      </c>
      <c r="AY439" s="26" t="s">
        <v>9</v>
      </c>
      <c r="AZ439" s="26" t="s">
        <v>9</v>
      </c>
      <c r="BA439" s="23">
        <v>3</v>
      </c>
      <c r="BB439" s="24" t="s">
        <v>9</v>
      </c>
    </row>
    <row r="440" spans="1:54" x14ac:dyDescent="0.2">
      <c r="A440" s="19">
        <v>4565</v>
      </c>
      <c r="B440" s="27" t="s">
        <v>9</v>
      </c>
      <c r="C440" s="27" t="s">
        <v>9</v>
      </c>
      <c r="D440" s="27" t="s">
        <v>9</v>
      </c>
      <c r="E440" s="27" t="s">
        <v>9</v>
      </c>
      <c r="F440" s="27" t="s">
        <v>9</v>
      </c>
      <c r="G440" s="27" t="s">
        <v>9</v>
      </c>
      <c r="H440" s="27" t="s">
        <v>9</v>
      </c>
      <c r="I440" s="27" t="s">
        <v>9</v>
      </c>
      <c r="J440" s="27" t="s">
        <v>9</v>
      </c>
      <c r="K440" s="27" t="s">
        <v>9</v>
      </c>
      <c r="L440" s="27" t="s">
        <v>9</v>
      </c>
      <c r="M440" s="27" t="s">
        <v>9</v>
      </c>
      <c r="N440" s="27" t="s">
        <v>9</v>
      </c>
      <c r="O440" s="27" t="s">
        <v>9</v>
      </c>
      <c r="P440" s="27" t="s">
        <v>9</v>
      </c>
      <c r="Q440" s="27" t="s">
        <v>9</v>
      </c>
      <c r="R440" s="27" t="s">
        <v>9</v>
      </c>
      <c r="S440" s="27" t="s">
        <v>9</v>
      </c>
      <c r="T440" s="27" t="s">
        <v>9</v>
      </c>
      <c r="U440" s="27" t="s">
        <v>9</v>
      </c>
      <c r="V440" s="20" t="s">
        <v>1</v>
      </c>
      <c r="W440" s="20">
        <v>5</v>
      </c>
      <c r="X440" s="20">
        <v>3</v>
      </c>
      <c r="Y440" s="20">
        <v>2</v>
      </c>
      <c r="Z440" s="20">
        <v>4</v>
      </c>
      <c r="AA440" s="23">
        <v>3</v>
      </c>
      <c r="AB440" s="15" t="s">
        <v>9</v>
      </c>
      <c r="AC440" s="15" t="s">
        <v>9</v>
      </c>
      <c r="AD440" s="15" t="s">
        <v>9</v>
      </c>
      <c r="AE440" s="15" t="s">
        <v>9</v>
      </c>
      <c r="AF440" s="20" t="s">
        <v>9</v>
      </c>
      <c r="AG440" s="20" t="s">
        <v>9</v>
      </c>
      <c r="AH440" s="24" t="s">
        <v>9</v>
      </c>
      <c r="AI440" s="23">
        <v>3</v>
      </c>
      <c r="AJ440" s="15" t="s">
        <v>9</v>
      </c>
      <c r="AK440" s="15" t="s">
        <v>9</v>
      </c>
      <c r="AL440" s="25" t="s">
        <v>9</v>
      </c>
      <c r="AM440" s="23">
        <v>3</v>
      </c>
      <c r="AN440" s="20" t="s">
        <v>9</v>
      </c>
      <c r="AO440" s="20" t="s">
        <v>9</v>
      </c>
      <c r="AP440" s="15" t="s">
        <v>9</v>
      </c>
      <c r="AQ440" s="15" t="s">
        <v>9</v>
      </c>
      <c r="AR440" s="15" t="s">
        <v>9</v>
      </c>
      <c r="AS440" s="26" t="s">
        <v>9</v>
      </c>
      <c r="AT440" s="26" t="s">
        <v>9</v>
      </c>
      <c r="AU440" s="26" t="s">
        <v>9</v>
      </c>
      <c r="AV440" s="26" t="s">
        <v>9</v>
      </c>
      <c r="AW440" s="26" t="s">
        <v>9</v>
      </c>
      <c r="AX440" s="26" t="s">
        <v>9</v>
      </c>
      <c r="AY440" s="26" t="s">
        <v>9</v>
      </c>
      <c r="AZ440" s="26" t="s">
        <v>9</v>
      </c>
      <c r="BA440" s="23">
        <v>3</v>
      </c>
      <c r="BB440" s="24" t="s">
        <v>9</v>
      </c>
    </row>
    <row r="441" spans="1:54" x14ac:dyDescent="0.2">
      <c r="A441" s="19">
        <v>4575</v>
      </c>
      <c r="B441" s="27" t="s">
        <v>9</v>
      </c>
      <c r="C441" s="27" t="s">
        <v>9</v>
      </c>
      <c r="D441" s="27" t="s">
        <v>9</v>
      </c>
      <c r="E441" s="27" t="s">
        <v>9</v>
      </c>
      <c r="F441" s="27" t="s">
        <v>9</v>
      </c>
      <c r="G441" s="27" t="s">
        <v>9</v>
      </c>
      <c r="H441" s="27" t="s">
        <v>9</v>
      </c>
      <c r="I441" s="27" t="s">
        <v>9</v>
      </c>
      <c r="J441" s="27" t="s">
        <v>9</v>
      </c>
      <c r="K441" s="27" t="s">
        <v>9</v>
      </c>
      <c r="L441" s="27" t="s">
        <v>9</v>
      </c>
      <c r="M441" s="27" t="s">
        <v>9</v>
      </c>
      <c r="N441" s="27" t="s">
        <v>9</v>
      </c>
      <c r="O441" s="27" t="s">
        <v>9</v>
      </c>
      <c r="P441" s="27" t="s">
        <v>9</v>
      </c>
      <c r="Q441" s="27" t="s">
        <v>9</v>
      </c>
      <c r="R441" s="27" t="s">
        <v>9</v>
      </c>
      <c r="S441" s="27" t="s">
        <v>9</v>
      </c>
      <c r="T441" s="27" t="s">
        <v>9</v>
      </c>
      <c r="U441" s="27" t="s">
        <v>9</v>
      </c>
      <c r="V441" s="20" t="s">
        <v>1</v>
      </c>
      <c r="W441" s="20">
        <v>5</v>
      </c>
      <c r="X441" s="20">
        <v>3</v>
      </c>
      <c r="Y441" s="20">
        <v>2</v>
      </c>
      <c r="Z441" s="20">
        <v>4</v>
      </c>
      <c r="AA441" s="23">
        <v>3</v>
      </c>
      <c r="AB441" s="15" t="s">
        <v>9</v>
      </c>
      <c r="AC441" s="15" t="s">
        <v>9</v>
      </c>
      <c r="AD441" s="15" t="s">
        <v>9</v>
      </c>
      <c r="AE441" s="15" t="s">
        <v>9</v>
      </c>
      <c r="AF441" s="20" t="s">
        <v>9</v>
      </c>
      <c r="AG441" s="20" t="s">
        <v>9</v>
      </c>
      <c r="AH441" s="24" t="s">
        <v>9</v>
      </c>
      <c r="AI441" s="23">
        <v>3</v>
      </c>
      <c r="AJ441" s="15" t="s">
        <v>9</v>
      </c>
      <c r="AK441" s="15" t="s">
        <v>9</v>
      </c>
      <c r="AL441" s="25" t="s">
        <v>9</v>
      </c>
      <c r="AM441" s="23">
        <v>3</v>
      </c>
      <c r="AN441" s="20" t="s">
        <v>9</v>
      </c>
      <c r="AO441" s="20" t="s">
        <v>9</v>
      </c>
      <c r="AP441" s="15" t="s">
        <v>9</v>
      </c>
      <c r="AQ441" s="15" t="s">
        <v>9</v>
      </c>
      <c r="AR441" s="15" t="s">
        <v>9</v>
      </c>
      <c r="AS441" s="26" t="s">
        <v>9</v>
      </c>
      <c r="AT441" s="26" t="s">
        <v>9</v>
      </c>
      <c r="AU441" s="26" t="s">
        <v>9</v>
      </c>
      <c r="AV441" s="26" t="s">
        <v>9</v>
      </c>
      <c r="AW441" s="26" t="s">
        <v>9</v>
      </c>
      <c r="AX441" s="26" t="s">
        <v>9</v>
      </c>
      <c r="AY441" s="26" t="s">
        <v>9</v>
      </c>
      <c r="AZ441" s="26" t="s">
        <v>9</v>
      </c>
      <c r="BA441" s="23">
        <v>3</v>
      </c>
      <c r="BB441" s="24" t="s">
        <v>9</v>
      </c>
    </row>
    <row r="442" spans="1:54" x14ac:dyDescent="0.2">
      <c r="A442" s="19">
        <v>4586</v>
      </c>
      <c r="B442" s="27" t="s">
        <v>9</v>
      </c>
      <c r="C442" s="27" t="s">
        <v>9</v>
      </c>
      <c r="D442" s="27" t="s">
        <v>9</v>
      </c>
      <c r="E442" s="27" t="s">
        <v>9</v>
      </c>
      <c r="F442" s="27" t="s">
        <v>9</v>
      </c>
      <c r="G442" s="27" t="s">
        <v>9</v>
      </c>
      <c r="H442" s="27" t="s">
        <v>9</v>
      </c>
      <c r="I442" s="27" t="s">
        <v>9</v>
      </c>
      <c r="J442" s="27" t="s">
        <v>9</v>
      </c>
      <c r="K442" s="27" t="s">
        <v>9</v>
      </c>
      <c r="L442" s="27" t="s">
        <v>9</v>
      </c>
      <c r="M442" s="27" t="s">
        <v>9</v>
      </c>
      <c r="N442" s="27" t="s">
        <v>9</v>
      </c>
      <c r="O442" s="27" t="s">
        <v>9</v>
      </c>
      <c r="P442" s="27" t="s">
        <v>9</v>
      </c>
      <c r="Q442" s="27" t="s">
        <v>9</v>
      </c>
      <c r="R442" s="27" t="s">
        <v>9</v>
      </c>
      <c r="S442" s="27" t="s">
        <v>9</v>
      </c>
      <c r="T442" s="27" t="s">
        <v>9</v>
      </c>
      <c r="U442" s="27" t="s">
        <v>9</v>
      </c>
      <c r="V442" s="20" t="s">
        <v>1</v>
      </c>
      <c r="W442" s="20">
        <v>5</v>
      </c>
      <c r="X442" s="20">
        <v>3</v>
      </c>
      <c r="Y442" s="20">
        <v>2</v>
      </c>
      <c r="Z442" s="20">
        <v>4</v>
      </c>
      <c r="AA442" s="23">
        <v>3</v>
      </c>
      <c r="AB442" s="15" t="s">
        <v>9</v>
      </c>
      <c r="AC442" s="15" t="s">
        <v>9</v>
      </c>
      <c r="AD442" s="15" t="s">
        <v>9</v>
      </c>
      <c r="AE442" s="15" t="s">
        <v>9</v>
      </c>
      <c r="AF442" s="20" t="s">
        <v>9</v>
      </c>
      <c r="AG442" s="20" t="s">
        <v>9</v>
      </c>
      <c r="AH442" s="24" t="s">
        <v>9</v>
      </c>
      <c r="AI442" s="23">
        <v>3</v>
      </c>
      <c r="AJ442" s="15" t="s">
        <v>9</v>
      </c>
      <c r="AK442" s="15" t="s">
        <v>9</v>
      </c>
      <c r="AL442" s="25" t="s">
        <v>9</v>
      </c>
      <c r="AM442" s="23">
        <v>3</v>
      </c>
      <c r="AN442" s="20" t="s">
        <v>9</v>
      </c>
      <c r="AO442" s="20" t="s">
        <v>9</v>
      </c>
      <c r="AP442" s="15" t="s">
        <v>9</v>
      </c>
      <c r="AQ442" s="15" t="s">
        <v>9</v>
      </c>
      <c r="AR442" s="15" t="s">
        <v>9</v>
      </c>
      <c r="AS442" s="26" t="s">
        <v>9</v>
      </c>
      <c r="AT442" s="26" t="s">
        <v>9</v>
      </c>
      <c r="AU442" s="26" t="s">
        <v>9</v>
      </c>
      <c r="AV442" s="26" t="s">
        <v>9</v>
      </c>
      <c r="AW442" s="26" t="s">
        <v>9</v>
      </c>
      <c r="AX442" s="26" t="s">
        <v>9</v>
      </c>
      <c r="AY442" s="26" t="s">
        <v>9</v>
      </c>
      <c r="AZ442" s="26" t="s">
        <v>9</v>
      </c>
      <c r="BA442" s="23">
        <v>3</v>
      </c>
      <c r="BB442" s="24" t="s">
        <v>9</v>
      </c>
    </row>
    <row r="443" spans="1:54" x14ac:dyDescent="0.2">
      <c r="A443" s="19">
        <v>4607</v>
      </c>
      <c r="B443" s="27" t="s">
        <v>9</v>
      </c>
      <c r="C443" s="27" t="s">
        <v>9</v>
      </c>
      <c r="D443" s="27" t="s">
        <v>9</v>
      </c>
      <c r="E443" s="27" t="s">
        <v>9</v>
      </c>
      <c r="F443" s="27" t="s">
        <v>9</v>
      </c>
      <c r="G443" s="27" t="s">
        <v>9</v>
      </c>
      <c r="H443" s="27" t="s">
        <v>9</v>
      </c>
      <c r="I443" s="27" t="s">
        <v>9</v>
      </c>
      <c r="J443" s="27" t="s">
        <v>9</v>
      </c>
      <c r="K443" s="27" t="s">
        <v>9</v>
      </c>
      <c r="L443" s="27" t="s">
        <v>9</v>
      </c>
      <c r="M443" s="27" t="s">
        <v>9</v>
      </c>
      <c r="N443" s="27" t="s">
        <v>9</v>
      </c>
      <c r="O443" s="27" t="s">
        <v>9</v>
      </c>
      <c r="P443" s="27" t="s">
        <v>9</v>
      </c>
      <c r="Q443" s="27" t="s">
        <v>9</v>
      </c>
      <c r="R443" s="27" t="s">
        <v>9</v>
      </c>
      <c r="S443" s="27" t="s">
        <v>9</v>
      </c>
      <c r="T443" s="27" t="s">
        <v>9</v>
      </c>
      <c r="U443" s="27" t="s">
        <v>9</v>
      </c>
      <c r="V443" s="20" t="s">
        <v>1</v>
      </c>
      <c r="W443" s="20">
        <v>5</v>
      </c>
      <c r="X443" s="20">
        <v>3</v>
      </c>
      <c r="Y443" s="20">
        <v>2</v>
      </c>
      <c r="Z443" s="20">
        <v>4</v>
      </c>
      <c r="AA443" s="23">
        <v>3</v>
      </c>
      <c r="AB443" s="15" t="s">
        <v>9</v>
      </c>
      <c r="AC443" s="15" t="s">
        <v>9</v>
      </c>
      <c r="AD443" s="15" t="s">
        <v>9</v>
      </c>
      <c r="AE443" s="15" t="s">
        <v>9</v>
      </c>
      <c r="AF443" s="20" t="s">
        <v>9</v>
      </c>
      <c r="AG443" s="20" t="s">
        <v>9</v>
      </c>
      <c r="AH443" s="24" t="s">
        <v>9</v>
      </c>
      <c r="AI443" s="23">
        <v>3</v>
      </c>
      <c r="AJ443" s="15" t="s">
        <v>9</v>
      </c>
      <c r="AK443" s="15" t="s">
        <v>9</v>
      </c>
      <c r="AL443" s="25" t="s">
        <v>9</v>
      </c>
      <c r="AM443" s="23">
        <v>3</v>
      </c>
      <c r="AN443" s="20" t="s">
        <v>9</v>
      </c>
      <c r="AO443" s="20" t="s">
        <v>9</v>
      </c>
      <c r="AP443" s="15" t="s">
        <v>9</v>
      </c>
      <c r="AQ443" s="15" t="s">
        <v>9</v>
      </c>
      <c r="AR443" s="15" t="s">
        <v>9</v>
      </c>
      <c r="AS443" s="26" t="s">
        <v>9</v>
      </c>
      <c r="AT443" s="26" t="s">
        <v>9</v>
      </c>
      <c r="AU443" s="26" t="s">
        <v>9</v>
      </c>
      <c r="AV443" s="26" t="s">
        <v>9</v>
      </c>
      <c r="AW443" s="26" t="s">
        <v>9</v>
      </c>
      <c r="AX443" s="26" t="s">
        <v>9</v>
      </c>
      <c r="AY443" s="26" t="s">
        <v>9</v>
      </c>
      <c r="AZ443" s="26" t="s">
        <v>9</v>
      </c>
      <c r="BA443" s="23">
        <v>3</v>
      </c>
      <c r="BB443" s="24" t="s">
        <v>9</v>
      </c>
    </row>
    <row r="444" spans="1:54" x14ac:dyDescent="0.2">
      <c r="A444" s="19">
        <v>4613</v>
      </c>
      <c r="B444" s="27" t="s">
        <v>9</v>
      </c>
      <c r="C444" s="27" t="s">
        <v>9</v>
      </c>
      <c r="D444" s="27" t="s">
        <v>9</v>
      </c>
      <c r="E444" s="27" t="s">
        <v>9</v>
      </c>
      <c r="F444" s="27" t="s">
        <v>9</v>
      </c>
      <c r="G444" s="27" t="s">
        <v>9</v>
      </c>
      <c r="H444" s="27" t="s">
        <v>9</v>
      </c>
      <c r="I444" s="27" t="s">
        <v>9</v>
      </c>
      <c r="J444" s="27" t="s">
        <v>9</v>
      </c>
      <c r="K444" s="27" t="s">
        <v>9</v>
      </c>
      <c r="L444" s="27" t="s">
        <v>9</v>
      </c>
      <c r="M444" s="27" t="s">
        <v>9</v>
      </c>
      <c r="N444" s="27" t="s">
        <v>9</v>
      </c>
      <c r="O444" s="27" t="s">
        <v>9</v>
      </c>
      <c r="P444" s="27" t="s">
        <v>9</v>
      </c>
      <c r="Q444" s="27" t="s">
        <v>9</v>
      </c>
      <c r="R444" s="27" t="s">
        <v>9</v>
      </c>
      <c r="S444" s="27" t="s">
        <v>9</v>
      </c>
      <c r="T444" s="27" t="s">
        <v>9</v>
      </c>
      <c r="U444" s="27" t="s">
        <v>9</v>
      </c>
      <c r="V444" s="20" t="s">
        <v>1</v>
      </c>
      <c r="W444" s="20">
        <v>5</v>
      </c>
      <c r="X444" s="20">
        <v>3</v>
      </c>
      <c r="Y444" s="20">
        <v>2</v>
      </c>
      <c r="Z444" s="20">
        <v>4</v>
      </c>
      <c r="AA444" s="23">
        <v>3</v>
      </c>
      <c r="AB444" s="15" t="s">
        <v>9</v>
      </c>
      <c r="AC444" s="15" t="s">
        <v>9</v>
      </c>
      <c r="AD444" s="15" t="s">
        <v>9</v>
      </c>
      <c r="AE444" s="15" t="s">
        <v>9</v>
      </c>
      <c r="AF444" s="20" t="s">
        <v>9</v>
      </c>
      <c r="AG444" s="20" t="s">
        <v>9</v>
      </c>
      <c r="AH444" s="24" t="s">
        <v>9</v>
      </c>
      <c r="AI444" s="23">
        <v>3</v>
      </c>
      <c r="AJ444" s="15" t="s">
        <v>9</v>
      </c>
      <c r="AK444" s="15" t="s">
        <v>9</v>
      </c>
      <c r="AL444" s="25" t="s">
        <v>9</v>
      </c>
      <c r="AM444" s="23">
        <v>3</v>
      </c>
      <c r="AN444" s="20" t="s">
        <v>9</v>
      </c>
      <c r="AO444" s="20" t="s">
        <v>9</v>
      </c>
      <c r="AP444" s="15" t="s">
        <v>9</v>
      </c>
      <c r="AQ444" s="15" t="s">
        <v>9</v>
      </c>
      <c r="AR444" s="15" t="s">
        <v>9</v>
      </c>
      <c r="AS444" s="26" t="s">
        <v>9</v>
      </c>
      <c r="AT444" s="26" t="s">
        <v>9</v>
      </c>
      <c r="AU444" s="26" t="s">
        <v>9</v>
      </c>
      <c r="AV444" s="26" t="s">
        <v>9</v>
      </c>
      <c r="AW444" s="26" t="s">
        <v>9</v>
      </c>
      <c r="AX444" s="26" t="s">
        <v>9</v>
      </c>
      <c r="AY444" s="26" t="s">
        <v>9</v>
      </c>
      <c r="AZ444" s="26" t="s">
        <v>9</v>
      </c>
      <c r="BA444" s="23">
        <v>3</v>
      </c>
      <c r="BB444" s="24" t="s">
        <v>9</v>
      </c>
    </row>
    <row r="445" spans="1:54" x14ac:dyDescent="0.2">
      <c r="A445" s="19">
        <v>4615</v>
      </c>
      <c r="B445" s="27" t="s">
        <v>9</v>
      </c>
      <c r="C445" s="27" t="s">
        <v>9</v>
      </c>
      <c r="D445" s="27" t="s">
        <v>9</v>
      </c>
      <c r="E445" s="27" t="s">
        <v>9</v>
      </c>
      <c r="F445" s="27" t="s">
        <v>9</v>
      </c>
      <c r="G445" s="27" t="s">
        <v>9</v>
      </c>
      <c r="H445" s="27" t="s">
        <v>9</v>
      </c>
      <c r="I445" s="27" t="s">
        <v>9</v>
      </c>
      <c r="J445" s="27" t="s">
        <v>9</v>
      </c>
      <c r="K445" s="27" t="s">
        <v>9</v>
      </c>
      <c r="L445" s="27" t="s">
        <v>9</v>
      </c>
      <c r="M445" s="27" t="s">
        <v>9</v>
      </c>
      <c r="N445" s="27" t="s">
        <v>9</v>
      </c>
      <c r="O445" s="27" t="s">
        <v>9</v>
      </c>
      <c r="P445" s="27" t="s">
        <v>9</v>
      </c>
      <c r="Q445" s="27" t="s">
        <v>9</v>
      </c>
      <c r="R445" s="27" t="s">
        <v>9</v>
      </c>
      <c r="S445" s="27" t="s">
        <v>9</v>
      </c>
      <c r="T445" s="27" t="s">
        <v>9</v>
      </c>
      <c r="U445" s="27" t="s">
        <v>9</v>
      </c>
      <c r="V445" s="20" t="s">
        <v>1</v>
      </c>
      <c r="W445" s="20">
        <v>5</v>
      </c>
      <c r="X445" s="20">
        <v>3</v>
      </c>
      <c r="Y445" s="20">
        <v>2</v>
      </c>
      <c r="Z445" s="20">
        <v>4</v>
      </c>
      <c r="AA445" s="23">
        <v>3</v>
      </c>
      <c r="AB445" s="15" t="s">
        <v>9</v>
      </c>
      <c r="AC445" s="15" t="s">
        <v>9</v>
      </c>
      <c r="AD445" s="15" t="s">
        <v>9</v>
      </c>
      <c r="AE445" s="15" t="s">
        <v>9</v>
      </c>
      <c r="AF445" s="20" t="s">
        <v>9</v>
      </c>
      <c r="AG445" s="20" t="s">
        <v>9</v>
      </c>
      <c r="AH445" s="24" t="s">
        <v>9</v>
      </c>
      <c r="AI445" s="23">
        <v>3</v>
      </c>
      <c r="AJ445" s="15" t="s">
        <v>9</v>
      </c>
      <c r="AK445" s="15" t="s">
        <v>9</v>
      </c>
      <c r="AL445" s="25" t="s">
        <v>9</v>
      </c>
      <c r="AM445" s="23">
        <v>3</v>
      </c>
      <c r="AN445" s="20" t="s">
        <v>9</v>
      </c>
      <c r="AO445" s="20" t="s">
        <v>9</v>
      </c>
      <c r="AP445" s="15" t="s">
        <v>9</v>
      </c>
      <c r="AQ445" s="15" t="s">
        <v>9</v>
      </c>
      <c r="AR445" s="15" t="s">
        <v>9</v>
      </c>
      <c r="AS445" s="26" t="s">
        <v>9</v>
      </c>
      <c r="AT445" s="26" t="s">
        <v>9</v>
      </c>
      <c r="AU445" s="26" t="s">
        <v>9</v>
      </c>
      <c r="AV445" s="26" t="s">
        <v>9</v>
      </c>
      <c r="AW445" s="26" t="s">
        <v>9</v>
      </c>
      <c r="AX445" s="26" t="s">
        <v>9</v>
      </c>
      <c r="AY445" s="26" t="s">
        <v>9</v>
      </c>
      <c r="AZ445" s="26" t="s">
        <v>9</v>
      </c>
      <c r="BA445" s="23">
        <v>3</v>
      </c>
      <c r="BB445" s="24" t="s">
        <v>9</v>
      </c>
    </row>
    <row r="446" spans="1:54" x14ac:dyDescent="0.2">
      <c r="A446" s="19">
        <v>4629</v>
      </c>
      <c r="B446" s="27" t="s">
        <v>9</v>
      </c>
      <c r="C446" s="27" t="s">
        <v>9</v>
      </c>
      <c r="D446" s="27" t="s">
        <v>9</v>
      </c>
      <c r="E446" s="27" t="s">
        <v>9</v>
      </c>
      <c r="F446" s="27" t="s">
        <v>9</v>
      </c>
      <c r="G446" s="27" t="s">
        <v>9</v>
      </c>
      <c r="H446" s="27" t="s">
        <v>9</v>
      </c>
      <c r="I446" s="27" t="s">
        <v>9</v>
      </c>
      <c r="J446" s="27" t="s">
        <v>9</v>
      </c>
      <c r="K446" s="27" t="s">
        <v>9</v>
      </c>
      <c r="L446" s="27" t="s">
        <v>9</v>
      </c>
      <c r="M446" s="27" t="s">
        <v>9</v>
      </c>
      <c r="N446" s="27" t="s">
        <v>9</v>
      </c>
      <c r="O446" s="27" t="s">
        <v>9</v>
      </c>
      <c r="P446" s="27" t="s">
        <v>9</v>
      </c>
      <c r="Q446" s="27" t="s">
        <v>9</v>
      </c>
      <c r="R446" s="27" t="s">
        <v>9</v>
      </c>
      <c r="S446" s="27" t="s">
        <v>9</v>
      </c>
      <c r="T446" s="27" t="s">
        <v>9</v>
      </c>
      <c r="U446" s="27" t="s">
        <v>9</v>
      </c>
      <c r="V446" s="20" t="s">
        <v>1</v>
      </c>
      <c r="W446" s="20">
        <v>5</v>
      </c>
      <c r="X446" s="20">
        <v>3</v>
      </c>
      <c r="Y446" s="20">
        <v>2</v>
      </c>
      <c r="Z446" s="20">
        <v>4</v>
      </c>
      <c r="AA446" s="23">
        <v>3</v>
      </c>
      <c r="AB446" s="15" t="s">
        <v>9</v>
      </c>
      <c r="AC446" s="15" t="s">
        <v>9</v>
      </c>
      <c r="AD446" s="15" t="s">
        <v>9</v>
      </c>
      <c r="AE446" s="15" t="s">
        <v>9</v>
      </c>
      <c r="AF446" s="20" t="s">
        <v>9</v>
      </c>
      <c r="AG446" s="20" t="s">
        <v>9</v>
      </c>
      <c r="AH446" s="24" t="s">
        <v>9</v>
      </c>
      <c r="AI446" s="23">
        <v>3</v>
      </c>
      <c r="AJ446" s="15" t="s">
        <v>9</v>
      </c>
      <c r="AK446" s="15" t="s">
        <v>9</v>
      </c>
      <c r="AL446" s="25" t="s">
        <v>9</v>
      </c>
      <c r="AM446" s="23">
        <v>3</v>
      </c>
      <c r="AN446" s="20" t="s">
        <v>9</v>
      </c>
      <c r="AO446" s="20" t="s">
        <v>9</v>
      </c>
      <c r="AP446" s="15" t="s">
        <v>9</v>
      </c>
      <c r="AQ446" s="15" t="s">
        <v>9</v>
      </c>
      <c r="AR446" s="15" t="s">
        <v>9</v>
      </c>
      <c r="AS446" s="26" t="s">
        <v>9</v>
      </c>
      <c r="AT446" s="26" t="s">
        <v>9</v>
      </c>
      <c r="AU446" s="26" t="s">
        <v>9</v>
      </c>
      <c r="AV446" s="26" t="s">
        <v>9</v>
      </c>
      <c r="AW446" s="26" t="s">
        <v>9</v>
      </c>
      <c r="AX446" s="26" t="s">
        <v>9</v>
      </c>
      <c r="AY446" s="26" t="s">
        <v>9</v>
      </c>
      <c r="AZ446" s="26" t="s">
        <v>9</v>
      </c>
      <c r="BA446" s="23">
        <v>3</v>
      </c>
      <c r="BB446" s="24" t="s">
        <v>9</v>
      </c>
    </row>
    <row r="447" spans="1:54" x14ac:dyDescent="0.2">
      <c r="A447" s="19">
        <v>4659</v>
      </c>
      <c r="B447" s="27" t="s">
        <v>9</v>
      </c>
      <c r="C447" s="27" t="s">
        <v>9</v>
      </c>
      <c r="D447" s="27" t="s">
        <v>9</v>
      </c>
      <c r="E447" s="27" t="s">
        <v>9</v>
      </c>
      <c r="F447" s="27" t="s">
        <v>9</v>
      </c>
      <c r="G447" s="27" t="s">
        <v>9</v>
      </c>
      <c r="H447" s="27" t="s">
        <v>9</v>
      </c>
      <c r="I447" s="27" t="s">
        <v>9</v>
      </c>
      <c r="J447" s="27" t="s">
        <v>9</v>
      </c>
      <c r="K447" s="27" t="s">
        <v>9</v>
      </c>
      <c r="L447" s="27" t="s">
        <v>9</v>
      </c>
      <c r="M447" s="27" t="s">
        <v>9</v>
      </c>
      <c r="N447" s="27" t="s">
        <v>9</v>
      </c>
      <c r="O447" s="27" t="s">
        <v>9</v>
      </c>
      <c r="P447" s="27" t="s">
        <v>9</v>
      </c>
      <c r="Q447" s="27" t="s">
        <v>9</v>
      </c>
      <c r="R447" s="27" t="s">
        <v>9</v>
      </c>
      <c r="S447" s="27" t="s">
        <v>9</v>
      </c>
      <c r="T447" s="27" t="s">
        <v>9</v>
      </c>
      <c r="U447" s="27" t="s">
        <v>9</v>
      </c>
      <c r="V447" s="20" t="s">
        <v>1</v>
      </c>
      <c r="W447" s="20">
        <v>5</v>
      </c>
      <c r="X447" s="20">
        <v>3</v>
      </c>
      <c r="Y447" s="20">
        <v>2</v>
      </c>
      <c r="Z447" s="20">
        <v>4</v>
      </c>
      <c r="AA447" s="23">
        <v>3</v>
      </c>
      <c r="AB447" s="15" t="s">
        <v>9</v>
      </c>
      <c r="AC447" s="15" t="s">
        <v>9</v>
      </c>
      <c r="AD447" s="15" t="s">
        <v>9</v>
      </c>
      <c r="AE447" s="15" t="s">
        <v>9</v>
      </c>
      <c r="AF447" s="20" t="s">
        <v>9</v>
      </c>
      <c r="AG447" s="20" t="s">
        <v>9</v>
      </c>
      <c r="AH447" s="24" t="s">
        <v>9</v>
      </c>
      <c r="AI447" s="23">
        <v>3</v>
      </c>
      <c r="AJ447" s="15" t="s">
        <v>9</v>
      </c>
      <c r="AK447" s="15" t="s">
        <v>9</v>
      </c>
      <c r="AL447" s="25" t="s">
        <v>9</v>
      </c>
      <c r="AM447" s="23">
        <v>3</v>
      </c>
      <c r="AN447" s="20" t="s">
        <v>9</v>
      </c>
      <c r="AO447" s="20" t="s">
        <v>9</v>
      </c>
      <c r="AP447" s="15" t="s">
        <v>9</v>
      </c>
      <c r="AQ447" s="15" t="s">
        <v>9</v>
      </c>
      <c r="AR447" s="15" t="s">
        <v>9</v>
      </c>
      <c r="AS447" s="26" t="s">
        <v>9</v>
      </c>
      <c r="AT447" s="26" t="s">
        <v>9</v>
      </c>
      <c r="AU447" s="26" t="s">
        <v>9</v>
      </c>
      <c r="AV447" s="26" t="s">
        <v>9</v>
      </c>
      <c r="AW447" s="26" t="s">
        <v>9</v>
      </c>
      <c r="AX447" s="26" t="s">
        <v>9</v>
      </c>
      <c r="AY447" s="26" t="s">
        <v>9</v>
      </c>
      <c r="AZ447" s="26" t="s">
        <v>9</v>
      </c>
      <c r="BA447" s="23">
        <v>3</v>
      </c>
      <c r="BB447" s="24" t="s">
        <v>9</v>
      </c>
    </row>
    <row r="448" spans="1:54" x14ac:dyDescent="0.2">
      <c r="A448" s="19">
        <v>4660</v>
      </c>
      <c r="B448" s="27" t="s">
        <v>9</v>
      </c>
      <c r="C448" s="27" t="s">
        <v>9</v>
      </c>
      <c r="D448" s="27" t="s">
        <v>9</v>
      </c>
      <c r="E448" s="27" t="s">
        <v>9</v>
      </c>
      <c r="F448" s="27" t="s">
        <v>9</v>
      </c>
      <c r="G448" s="27" t="s">
        <v>9</v>
      </c>
      <c r="H448" s="27" t="s">
        <v>9</v>
      </c>
      <c r="I448" s="27" t="s">
        <v>9</v>
      </c>
      <c r="J448" s="27" t="s">
        <v>9</v>
      </c>
      <c r="K448" s="27" t="s">
        <v>9</v>
      </c>
      <c r="L448" s="27" t="s">
        <v>9</v>
      </c>
      <c r="M448" s="27" t="s">
        <v>9</v>
      </c>
      <c r="N448" s="27" t="s">
        <v>9</v>
      </c>
      <c r="O448" s="27" t="s">
        <v>9</v>
      </c>
      <c r="P448" s="27" t="s">
        <v>9</v>
      </c>
      <c r="Q448" s="27" t="s">
        <v>9</v>
      </c>
      <c r="R448" s="27" t="s">
        <v>9</v>
      </c>
      <c r="S448" s="27" t="s">
        <v>9</v>
      </c>
      <c r="T448" s="27" t="s">
        <v>9</v>
      </c>
      <c r="U448" s="27" t="s">
        <v>9</v>
      </c>
      <c r="V448" s="20" t="s">
        <v>1</v>
      </c>
      <c r="W448" s="20">
        <v>5</v>
      </c>
      <c r="X448" s="20">
        <v>3</v>
      </c>
      <c r="Y448" s="20">
        <v>2</v>
      </c>
      <c r="Z448" s="20">
        <v>4</v>
      </c>
      <c r="AA448" s="23">
        <v>3</v>
      </c>
      <c r="AB448" s="15" t="s">
        <v>9</v>
      </c>
      <c r="AC448" s="15" t="s">
        <v>9</v>
      </c>
      <c r="AD448" s="15" t="s">
        <v>9</v>
      </c>
      <c r="AE448" s="15" t="s">
        <v>9</v>
      </c>
      <c r="AF448" s="20" t="s">
        <v>9</v>
      </c>
      <c r="AG448" s="20" t="s">
        <v>9</v>
      </c>
      <c r="AH448" s="24" t="s">
        <v>9</v>
      </c>
      <c r="AI448" s="23">
        <v>3</v>
      </c>
      <c r="AJ448" s="15" t="s">
        <v>9</v>
      </c>
      <c r="AK448" s="15" t="s">
        <v>9</v>
      </c>
      <c r="AL448" s="25" t="s">
        <v>9</v>
      </c>
      <c r="AM448" s="23">
        <v>3</v>
      </c>
      <c r="AN448" s="20" t="s">
        <v>9</v>
      </c>
      <c r="AO448" s="20" t="s">
        <v>9</v>
      </c>
      <c r="AP448" s="15" t="s">
        <v>9</v>
      </c>
      <c r="AQ448" s="15" t="s">
        <v>9</v>
      </c>
      <c r="AR448" s="15" t="s">
        <v>9</v>
      </c>
      <c r="AS448" s="26" t="s">
        <v>9</v>
      </c>
      <c r="AT448" s="26" t="s">
        <v>9</v>
      </c>
      <c r="AU448" s="26" t="s">
        <v>9</v>
      </c>
      <c r="AV448" s="26" t="s">
        <v>9</v>
      </c>
      <c r="AW448" s="26" t="s">
        <v>9</v>
      </c>
      <c r="AX448" s="26" t="s">
        <v>9</v>
      </c>
      <c r="AY448" s="26" t="s">
        <v>9</v>
      </c>
      <c r="AZ448" s="26" t="s">
        <v>9</v>
      </c>
      <c r="BA448" s="23">
        <v>3</v>
      </c>
      <c r="BB448" s="24" t="s">
        <v>9</v>
      </c>
    </row>
    <row r="449" spans="1:54" x14ac:dyDescent="0.2">
      <c r="A449" s="19">
        <v>4664</v>
      </c>
      <c r="B449" s="27" t="s">
        <v>9</v>
      </c>
      <c r="C449" s="27" t="s">
        <v>9</v>
      </c>
      <c r="D449" s="27" t="s">
        <v>9</v>
      </c>
      <c r="E449" s="27" t="s">
        <v>9</v>
      </c>
      <c r="F449" s="27" t="s">
        <v>9</v>
      </c>
      <c r="G449" s="27" t="s">
        <v>9</v>
      </c>
      <c r="H449" s="27" t="s">
        <v>9</v>
      </c>
      <c r="I449" s="27" t="s">
        <v>9</v>
      </c>
      <c r="J449" s="27" t="s">
        <v>9</v>
      </c>
      <c r="K449" s="27" t="s">
        <v>9</v>
      </c>
      <c r="L449" s="27" t="s">
        <v>9</v>
      </c>
      <c r="M449" s="27" t="s">
        <v>9</v>
      </c>
      <c r="N449" s="27" t="s">
        <v>9</v>
      </c>
      <c r="O449" s="27" t="s">
        <v>9</v>
      </c>
      <c r="P449" s="27" t="s">
        <v>9</v>
      </c>
      <c r="Q449" s="27" t="s">
        <v>9</v>
      </c>
      <c r="R449" s="27" t="s">
        <v>9</v>
      </c>
      <c r="S449" s="27" t="s">
        <v>9</v>
      </c>
      <c r="T449" s="27" t="s">
        <v>9</v>
      </c>
      <c r="U449" s="27" t="s">
        <v>9</v>
      </c>
      <c r="V449" s="20" t="s">
        <v>1</v>
      </c>
      <c r="W449" s="20">
        <v>5</v>
      </c>
      <c r="X449" s="20">
        <v>3</v>
      </c>
      <c r="Y449" s="20">
        <v>2</v>
      </c>
      <c r="Z449" s="20">
        <v>4</v>
      </c>
      <c r="AA449" s="23">
        <v>3</v>
      </c>
      <c r="AB449" s="15" t="s">
        <v>9</v>
      </c>
      <c r="AC449" s="15" t="s">
        <v>9</v>
      </c>
      <c r="AD449" s="15" t="s">
        <v>9</v>
      </c>
      <c r="AE449" s="15" t="s">
        <v>9</v>
      </c>
      <c r="AF449" s="20" t="s">
        <v>9</v>
      </c>
      <c r="AG449" s="20" t="s">
        <v>9</v>
      </c>
      <c r="AH449" s="24" t="s">
        <v>9</v>
      </c>
      <c r="AI449" s="23">
        <v>3</v>
      </c>
      <c r="AJ449" s="15" t="s">
        <v>9</v>
      </c>
      <c r="AK449" s="15" t="s">
        <v>9</v>
      </c>
      <c r="AL449" s="25" t="s">
        <v>9</v>
      </c>
      <c r="AM449" s="23">
        <v>3</v>
      </c>
      <c r="AN449" s="20" t="s">
        <v>9</v>
      </c>
      <c r="AO449" s="20" t="s">
        <v>9</v>
      </c>
      <c r="AP449" s="15" t="s">
        <v>9</v>
      </c>
      <c r="AQ449" s="15" t="s">
        <v>9</v>
      </c>
      <c r="AR449" s="15" t="s">
        <v>9</v>
      </c>
      <c r="AS449" s="26" t="s">
        <v>9</v>
      </c>
      <c r="AT449" s="26" t="s">
        <v>9</v>
      </c>
      <c r="AU449" s="26" t="s">
        <v>9</v>
      </c>
      <c r="AV449" s="26" t="s">
        <v>9</v>
      </c>
      <c r="AW449" s="26" t="s">
        <v>9</v>
      </c>
      <c r="AX449" s="26" t="s">
        <v>9</v>
      </c>
      <c r="AY449" s="26" t="s">
        <v>9</v>
      </c>
      <c r="AZ449" s="26" t="s">
        <v>9</v>
      </c>
      <c r="BA449" s="23">
        <v>3</v>
      </c>
      <c r="BB449" s="24" t="s">
        <v>9</v>
      </c>
    </row>
    <row r="450" spans="1:54" x14ac:dyDescent="0.2">
      <c r="A450" s="19">
        <v>4682</v>
      </c>
      <c r="B450" s="27" t="s">
        <v>9</v>
      </c>
      <c r="C450" s="27" t="s">
        <v>9</v>
      </c>
      <c r="D450" s="27" t="s">
        <v>9</v>
      </c>
      <c r="E450" s="27" t="s">
        <v>9</v>
      </c>
      <c r="F450" s="27" t="s">
        <v>9</v>
      </c>
      <c r="G450" s="27" t="s">
        <v>9</v>
      </c>
      <c r="H450" s="27" t="s">
        <v>9</v>
      </c>
      <c r="I450" s="27" t="s">
        <v>9</v>
      </c>
      <c r="J450" s="27" t="s">
        <v>9</v>
      </c>
      <c r="K450" s="27" t="s">
        <v>9</v>
      </c>
      <c r="L450" s="27" t="s">
        <v>9</v>
      </c>
      <c r="M450" s="27" t="s">
        <v>9</v>
      </c>
      <c r="N450" s="27" t="s">
        <v>9</v>
      </c>
      <c r="O450" s="27" t="s">
        <v>9</v>
      </c>
      <c r="P450" s="27" t="s">
        <v>9</v>
      </c>
      <c r="Q450" s="27" t="s">
        <v>9</v>
      </c>
      <c r="R450" s="27" t="s">
        <v>9</v>
      </c>
      <c r="S450" s="27" t="s">
        <v>9</v>
      </c>
      <c r="T450" s="27" t="s">
        <v>9</v>
      </c>
      <c r="U450" s="27" t="s">
        <v>9</v>
      </c>
      <c r="V450" s="20" t="s">
        <v>1</v>
      </c>
      <c r="W450" s="20">
        <v>5</v>
      </c>
      <c r="X450" s="20">
        <v>3</v>
      </c>
      <c r="Y450" s="20">
        <v>2</v>
      </c>
      <c r="Z450" s="20">
        <v>4</v>
      </c>
      <c r="AA450" s="23">
        <v>3</v>
      </c>
      <c r="AB450" s="15" t="s">
        <v>9</v>
      </c>
      <c r="AC450" s="15" t="s">
        <v>9</v>
      </c>
      <c r="AD450" s="15" t="s">
        <v>9</v>
      </c>
      <c r="AE450" s="15" t="s">
        <v>9</v>
      </c>
      <c r="AF450" s="20" t="s">
        <v>9</v>
      </c>
      <c r="AG450" s="20" t="s">
        <v>9</v>
      </c>
      <c r="AH450" s="24" t="s">
        <v>9</v>
      </c>
      <c r="AI450" s="23">
        <v>3</v>
      </c>
      <c r="AJ450" s="15" t="s">
        <v>9</v>
      </c>
      <c r="AK450" s="15" t="s">
        <v>9</v>
      </c>
      <c r="AL450" s="25" t="s">
        <v>9</v>
      </c>
      <c r="AM450" s="23">
        <v>3</v>
      </c>
      <c r="AN450" s="20" t="s">
        <v>9</v>
      </c>
      <c r="AO450" s="20" t="s">
        <v>9</v>
      </c>
      <c r="AP450" s="15" t="s">
        <v>9</v>
      </c>
      <c r="AQ450" s="15" t="s">
        <v>9</v>
      </c>
      <c r="AR450" s="15" t="s">
        <v>9</v>
      </c>
      <c r="AS450" s="26" t="s">
        <v>9</v>
      </c>
      <c r="AT450" s="26" t="s">
        <v>9</v>
      </c>
      <c r="AU450" s="26" t="s">
        <v>9</v>
      </c>
      <c r="AV450" s="26" t="s">
        <v>9</v>
      </c>
      <c r="AW450" s="26" t="s">
        <v>9</v>
      </c>
      <c r="AX450" s="26" t="s">
        <v>9</v>
      </c>
      <c r="AY450" s="26" t="s">
        <v>9</v>
      </c>
      <c r="AZ450" s="26" t="s">
        <v>9</v>
      </c>
      <c r="BA450" s="23">
        <v>3</v>
      </c>
      <c r="BB450" s="24" t="s">
        <v>9</v>
      </c>
    </row>
    <row r="451" spans="1:54" x14ac:dyDescent="0.2">
      <c r="A451" s="19">
        <v>4691</v>
      </c>
      <c r="B451" s="27" t="s">
        <v>9</v>
      </c>
      <c r="C451" s="27" t="s">
        <v>9</v>
      </c>
      <c r="D451" s="27" t="s">
        <v>9</v>
      </c>
      <c r="E451" s="27" t="s">
        <v>9</v>
      </c>
      <c r="F451" s="27" t="s">
        <v>9</v>
      </c>
      <c r="G451" s="27" t="s">
        <v>9</v>
      </c>
      <c r="H451" s="27" t="s">
        <v>9</v>
      </c>
      <c r="I451" s="27" t="s">
        <v>9</v>
      </c>
      <c r="J451" s="27" t="s">
        <v>9</v>
      </c>
      <c r="K451" s="27" t="s">
        <v>9</v>
      </c>
      <c r="L451" s="27" t="s">
        <v>9</v>
      </c>
      <c r="M451" s="27" t="s">
        <v>9</v>
      </c>
      <c r="N451" s="27" t="s">
        <v>9</v>
      </c>
      <c r="O451" s="27" t="s">
        <v>9</v>
      </c>
      <c r="P451" s="27" t="s">
        <v>9</v>
      </c>
      <c r="Q451" s="27" t="s">
        <v>9</v>
      </c>
      <c r="R451" s="27" t="s">
        <v>9</v>
      </c>
      <c r="S451" s="27" t="s">
        <v>9</v>
      </c>
      <c r="T451" s="27" t="s">
        <v>9</v>
      </c>
      <c r="U451" s="27" t="s">
        <v>9</v>
      </c>
      <c r="V451" s="20" t="s">
        <v>1</v>
      </c>
      <c r="W451" s="20">
        <v>5</v>
      </c>
      <c r="X451" s="20">
        <v>3</v>
      </c>
      <c r="Y451" s="20">
        <v>2</v>
      </c>
      <c r="Z451" s="20">
        <v>4</v>
      </c>
      <c r="AA451" s="23">
        <v>3</v>
      </c>
      <c r="AB451" s="15" t="s">
        <v>9</v>
      </c>
      <c r="AC451" s="15" t="s">
        <v>9</v>
      </c>
      <c r="AD451" s="15" t="s">
        <v>9</v>
      </c>
      <c r="AE451" s="15" t="s">
        <v>9</v>
      </c>
      <c r="AF451" s="20" t="s">
        <v>9</v>
      </c>
      <c r="AG451" s="20" t="s">
        <v>9</v>
      </c>
      <c r="AH451" s="24" t="s">
        <v>9</v>
      </c>
      <c r="AI451" s="23">
        <v>3</v>
      </c>
      <c r="AJ451" s="15" t="s">
        <v>9</v>
      </c>
      <c r="AK451" s="15" t="s">
        <v>9</v>
      </c>
      <c r="AL451" s="25" t="s">
        <v>9</v>
      </c>
      <c r="AM451" s="23">
        <v>3</v>
      </c>
      <c r="AN451" s="20" t="s">
        <v>9</v>
      </c>
      <c r="AO451" s="20" t="s">
        <v>9</v>
      </c>
      <c r="AP451" s="15" t="s">
        <v>9</v>
      </c>
      <c r="AQ451" s="15" t="s">
        <v>9</v>
      </c>
      <c r="AR451" s="15" t="s">
        <v>9</v>
      </c>
      <c r="AS451" s="26" t="s">
        <v>9</v>
      </c>
      <c r="AT451" s="26" t="s">
        <v>9</v>
      </c>
      <c r="AU451" s="26" t="s">
        <v>9</v>
      </c>
      <c r="AV451" s="26" t="s">
        <v>9</v>
      </c>
      <c r="AW451" s="26" t="s">
        <v>9</v>
      </c>
      <c r="AX451" s="26" t="s">
        <v>9</v>
      </c>
      <c r="AY451" s="26" t="s">
        <v>9</v>
      </c>
      <c r="AZ451" s="26" t="s">
        <v>9</v>
      </c>
      <c r="BA451" s="23">
        <v>3</v>
      </c>
      <c r="BB451" s="24" t="s">
        <v>9</v>
      </c>
    </row>
    <row r="452" spans="1:54" x14ac:dyDescent="0.2">
      <c r="A452" s="19">
        <v>4722</v>
      </c>
      <c r="B452" s="27" t="s">
        <v>9</v>
      </c>
      <c r="C452" s="27" t="s">
        <v>9</v>
      </c>
      <c r="D452" s="27" t="s">
        <v>9</v>
      </c>
      <c r="E452" s="27" t="s">
        <v>9</v>
      </c>
      <c r="F452" s="27" t="s">
        <v>9</v>
      </c>
      <c r="G452" s="27" t="s">
        <v>9</v>
      </c>
      <c r="H452" s="27" t="s">
        <v>9</v>
      </c>
      <c r="I452" s="27" t="s">
        <v>9</v>
      </c>
      <c r="J452" s="27" t="s">
        <v>9</v>
      </c>
      <c r="K452" s="27" t="s">
        <v>9</v>
      </c>
      <c r="L452" s="27" t="s">
        <v>9</v>
      </c>
      <c r="M452" s="27" t="s">
        <v>9</v>
      </c>
      <c r="N452" s="27" t="s">
        <v>9</v>
      </c>
      <c r="O452" s="27" t="s">
        <v>9</v>
      </c>
      <c r="P452" s="27" t="s">
        <v>9</v>
      </c>
      <c r="Q452" s="27" t="s">
        <v>9</v>
      </c>
      <c r="R452" s="27" t="s">
        <v>9</v>
      </c>
      <c r="S452" s="27" t="s">
        <v>9</v>
      </c>
      <c r="T452" s="27" t="s">
        <v>9</v>
      </c>
      <c r="U452" s="27" t="s">
        <v>9</v>
      </c>
      <c r="V452" s="20" t="s">
        <v>1</v>
      </c>
      <c r="W452" s="20">
        <v>5</v>
      </c>
      <c r="X452" s="20">
        <v>3</v>
      </c>
      <c r="Y452" s="20">
        <v>2</v>
      </c>
      <c r="Z452" s="20">
        <v>4</v>
      </c>
      <c r="AA452" s="23">
        <v>3</v>
      </c>
      <c r="AB452" s="15" t="s">
        <v>9</v>
      </c>
      <c r="AC452" s="15" t="s">
        <v>9</v>
      </c>
      <c r="AD452" s="15" t="s">
        <v>9</v>
      </c>
      <c r="AE452" s="15" t="s">
        <v>9</v>
      </c>
      <c r="AF452" s="20" t="s">
        <v>9</v>
      </c>
      <c r="AG452" s="20" t="s">
        <v>9</v>
      </c>
      <c r="AH452" s="24" t="s">
        <v>9</v>
      </c>
      <c r="AI452" s="23">
        <v>3</v>
      </c>
      <c r="AJ452" s="15" t="s">
        <v>9</v>
      </c>
      <c r="AK452" s="15" t="s">
        <v>9</v>
      </c>
      <c r="AL452" s="25" t="s">
        <v>9</v>
      </c>
      <c r="AM452" s="23">
        <v>3</v>
      </c>
      <c r="AN452" s="20" t="s">
        <v>9</v>
      </c>
      <c r="AO452" s="20" t="s">
        <v>9</v>
      </c>
      <c r="AP452" s="15" t="s">
        <v>9</v>
      </c>
      <c r="AQ452" s="15" t="s">
        <v>9</v>
      </c>
      <c r="AR452" s="15" t="s">
        <v>9</v>
      </c>
      <c r="AS452" s="26" t="s">
        <v>9</v>
      </c>
      <c r="AT452" s="26" t="s">
        <v>9</v>
      </c>
      <c r="AU452" s="26" t="s">
        <v>9</v>
      </c>
      <c r="AV452" s="26" t="s">
        <v>9</v>
      </c>
      <c r="AW452" s="26" t="s">
        <v>9</v>
      </c>
      <c r="AX452" s="26" t="s">
        <v>9</v>
      </c>
      <c r="AY452" s="26" t="s">
        <v>9</v>
      </c>
      <c r="AZ452" s="26" t="s">
        <v>9</v>
      </c>
      <c r="BA452" s="23">
        <v>3</v>
      </c>
      <c r="BB452" s="24" t="s">
        <v>9</v>
      </c>
    </row>
    <row r="453" spans="1:54" x14ac:dyDescent="0.2">
      <c r="A453" s="19">
        <v>4727</v>
      </c>
      <c r="B453" s="27" t="s">
        <v>9</v>
      </c>
      <c r="C453" s="27" t="s">
        <v>9</v>
      </c>
      <c r="D453" s="27" t="s">
        <v>9</v>
      </c>
      <c r="E453" s="27" t="s">
        <v>9</v>
      </c>
      <c r="F453" s="27" t="s">
        <v>9</v>
      </c>
      <c r="G453" s="27" t="s">
        <v>9</v>
      </c>
      <c r="H453" s="27" t="s">
        <v>9</v>
      </c>
      <c r="I453" s="27" t="s">
        <v>9</v>
      </c>
      <c r="J453" s="27" t="s">
        <v>9</v>
      </c>
      <c r="K453" s="27" t="s">
        <v>9</v>
      </c>
      <c r="L453" s="27" t="s">
        <v>9</v>
      </c>
      <c r="M453" s="27" t="s">
        <v>9</v>
      </c>
      <c r="N453" s="27" t="s">
        <v>9</v>
      </c>
      <c r="O453" s="27" t="s">
        <v>9</v>
      </c>
      <c r="P453" s="27" t="s">
        <v>9</v>
      </c>
      <c r="Q453" s="27" t="s">
        <v>9</v>
      </c>
      <c r="R453" s="27" t="s">
        <v>9</v>
      </c>
      <c r="S453" s="27" t="s">
        <v>9</v>
      </c>
      <c r="T453" s="27" t="s">
        <v>9</v>
      </c>
      <c r="U453" s="27" t="s">
        <v>9</v>
      </c>
      <c r="V453" s="20" t="s">
        <v>1</v>
      </c>
      <c r="W453" s="20">
        <v>5</v>
      </c>
      <c r="X453" s="20">
        <v>3</v>
      </c>
      <c r="Y453" s="20">
        <v>2</v>
      </c>
      <c r="Z453" s="20">
        <v>4</v>
      </c>
      <c r="AA453" s="23">
        <v>3</v>
      </c>
      <c r="AB453" s="15" t="s">
        <v>9</v>
      </c>
      <c r="AC453" s="15" t="s">
        <v>9</v>
      </c>
      <c r="AD453" s="15" t="s">
        <v>9</v>
      </c>
      <c r="AE453" s="15" t="s">
        <v>9</v>
      </c>
      <c r="AF453" s="20" t="s">
        <v>9</v>
      </c>
      <c r="AG453" s="20" t="s">
        <v>9</v>
      </c>
      <c r="AH453" s="24" t="s">
        <v>9</v>
      </c>
      <c r="AI453" s="23">
        <v>3</v>
      </c>
      <c r="AJ453" s="15" t="s">
        <v>9</v>
      </c>
      <c r="AK453" s="15" t="s">
        <v>9</v>
      </c>
      <c r="AL453" s="25" t="s">
        <v>9</v>
      </c>
      <c r="AM453" s="23">
        <v>3</v>
      </c>
      <c r="AN453" s="20" t="s">
        <v>9</v>
      </c>
      <c r="AO453" s="20" t="s">
        <v>9</v>
      </c>
      <c r="AP453" s="15" t="s">
        <v>9</v>
      </c>
      <c r="AQ453" s="15" t="s">
        <v>9</v>
      </c>
      <c r="AR453" s="15" t="s">
        <v>9</v>
      </c>
      <c r="AS453" s="26" t="s">
        <v>9</v>
      </c>
      <c r="AT453" s="26" t="s">
        <v>9</v>
      </c>
      <c r="AU453" s="26" t="s">
        <v>9</v>
      </c>
      <c r="AV453" s="26" t="s">
        <v>9</v>
      </c>
      <c r="AW453" s="26" t="s">
        <v>9</v>
      </c>
      <c r="AX453" s="26" t="s">
        <v>9</v>
      </c>
      <c r="AY453" s="26" t="s">
        <v>9</v>
      </c>
      <c r="AZ453" s="26" t="s">
        <v>9</v>
      </c>
      <c r="BA453" s="23">
        <v>3</v>
      </c>
      <c r="BB453" s="24" t="s">
        <v>9</v>
      </c>
    </row>
    <row r="454" spans="1:54" x14ac:dyDescent="0.2">
      <c r="A454" s="19">
        <v>4737</v>
      </c>
      <c r="B454" s="27" t="s">
        <v>9</v>
      </c>
      <c r="C454" s="27" t="s">
        <v>9</v>
      </c>
      <c r="D454" s="27" t="s">
        <v>9</v>
      </c>
      <c r="E454" s="27" t="s">
        <v>9</v>
      </c>
      <c r="F454" s="27" t="s">
        <v>9</v>
      </c>
      <c r="G454" s="27" t="s">
        <v>9</v>
      </c>
      <c r="H454" s="27" t="s">
        <v>9</v>
      </c>
      <c r="I454" s="27" t="s">
        <v>9</v>
      </c>
      <c r="J454" s="27" t="s">
        <v>9</v>
      </c>
      <c r="K454" s="27" t="s">
        <v>9</v>
      </c>
      <c r="L454" s="27" t="s">
        <v>9</v>
      </c>
      <c r="M454" s="27" t="s">
        <v>9</v>
      </c>
      <c r="N454" s="27" t="s">
        <v>9</v>
      </c>
      <c r="O454" s="27" t="s">
        <v>9</v>
      </c>
      <c r="P454" s="27" t="s">
        <v>9</v>
      </c>
      <c r="Q454" s="27" t="s">
        <v>9</v>
      </c>
      <c r="R454" s="27" t="s">
        <v>9</v>
      </c>
      <c r="S454" s="27" t="s">
        <v>9</v>
      </c>
      <c r="T454" s="27" t="s">
        <v>9</v>
      </c>
      <c r="U454" s="27" t="s">
        <v>9</v>
      </c>
      <c r="V454" s="20" t="s">
        <v>1</v>
      </c>
      <c r="W454" s="20">
        <v>5</v>
      </c>
      <c r="X454" s="20">
        <v>3</v>
      </c>
      <c r="Y454" s="20">
        <v>2</v>
      </c>
      <c r="Z454" s="20">
        <v>4</v>
      </c>
      <c r="AA454" s="23">
        <v>3</v>
      </c>
      <c r="AB454" s="15" t="s">
        <v>9</v>
      </c>
      <c r="AC454" s="15" t="s">
        <v>9</v>
      </c>
      <c r="AD454" s="15" t="s">
        <v>9</v>
      </c>
      <c r="AE454" s="15" t="s">
        <v>9</v>
      </c>
      <c r="AF454" s="20" t="s">
        <v>9</v>
      </c>
      <c r="AG454" s="20" t="s">
        <v>9</v>
      </c>
      <c r="AH454" s="24" t="s">
        <v>9</v>
      </c>
      <c r="AI454" s="23">
        <v>3</v>
      </c>
      <c r="AJ454" s="15" t="s">
        <v>9</v>
      </c>
      <c r="AK454" s="15" t="s">
        <v>9</v>
      </c>
      <c r="AL454" s="25" t="s">
        <v>9</v>
      </c>
      <c r="AM454" s="23">
        <v>3</v>
      </c>
      <c r="AN454" s="20" t="s">
        <v>9</v>
      </c>
      <c r="AO454" s="20" t="s">
        <v>9</v>
      </c>
      <c r="AP454" s="15" t="s">
        <v>9</v>
      </c>
      <c r="AQ454" s="15" t="s">
        <v>9</v>
      </c>
      <c r="AR454" s="15" t="s">
        <v>9</v>
      </c>
      <c r="AS454" s="26" t="s">
        <v>9</v>
      </c>
      <c r="AT454" s="26" t="s">
        <v>9</v>
      </c>
      <c r="AU454" s="26" t="s">
        <v>9</v>
      </c>
      <c r="AV454" s="26" t="s">
        <v>9</v>
      </c>
      <c r="AW454" s="26" t="s">
        <v>9</v>
      </c>
      <c r="AX454" s="26" t="s">
        <v>9</v>
      </c>
      <c r="AY454" s="26" t="s">
        <v>9</v>
      </c>
      <c r="AZ454" s="26" t="s">
        <v>9</v>
      </c>
      <c r="BA454" s="23">
        <v>3</v>
      </c>
      <c r="BB454" s="24" t="s">
        <v>9</v>
      </c>
    </row>
    <row r="455" spans="1:54" x14ac:dyDescent="0.2">
      <c r="A455" s="19">
        <v>4743</v>
      </c>
      <c r="B455" s="27" t="s">
        <v>9</v>
      </c>
      <c r="C455" s="27" t="s">
        <v>9</v>
      </c>
      <c r="D455" s="27" t="s">
        <v>9</v>
      </c>
      <c r="E455" s="27" t="s">
        <v>9</v>
      </c>
      <c r="F455" s="27" t="s">
        <v>9</v>
      </c>
      <c r="G455" s="27" t="s">
        <v>9</v>
      </c>
      <c r="H455" s="27" t="s">
        <v>9</v>
      </c>
      <c r="I455" s="27" t="s">
        <v>9</v>
      </c>
      <c r="J455" s="27" t="s">
        <v>9</v>
      </c>
      <c r="K455" s="27" t="s">
        <v>9</v>
      </c>
      <c r="L455" s="27" t="s">
        <v>9</v>
      </c>
      <c r="M455" s="27" t="s">
        <v>9</v>
      </c>
      <c r="N455" s="27" t="s">
        <v>9</v>
      </c>
      <c r="O455" s="27" t="s">
        <v>9</v>
      </c>
      <c r="P455" s="27" t="s">
        <v>9</v>
      </c>
      <c r="Q455" s="27" t="s">
        <v>9</v>
      </c>
      <c r="R455" s="27" t="s">
        <v>9</v>
      </c>
      <c r="S455" s="27" t="s">
        <v>9</v>
      </c>
      <c r="T455" s="27" t="s">
        <v>9</v>
      </c>
      <c r="U455" s="27" t="s">
        <v>9</v>
      </c>
      <c r="V455" s="20" t="s">
        <v>1</v>
      </c>
      <c r="W455" s="20">
        <v>5</v>
      </c>
      <c r="X455" s="20">
        <v>3</v>
      </c>
      <c r="Y455" s="20">
        <v>2</v>
      </c>
      <c r="Z455" s="20">
        <v>4</v>
      </c>
      <c r="AA455" s="23">
        <v>3</v>
      </c>
      <c r="AB455" s="15" t="s">
        <v>9</v>
      </c>
      <c r="AC455" s="15" t="s">
        <v>9</v>
      </c>
      <c r="AD455" s="15" t="s">
        <v>9</v>
      </c>
      <c r="AE455" s="15" t="s">
        <v>9</v>
      </c>
      <c r="AF455" s="20" t="s">
        <v>9</v>
      </c>
      <c r="AG455" s="20" t="s">
        <v>9</v>
      </c>
      <c r="AH455" s="24" t="s">
        <v>9</v>
      </c>
      <c r="AI455" s="23">
        <v>3</v>
      </c>
      <c r="AJ455" s="15" t="s">
        <v>9</v>
      </c>
      <c r="AK455" s="15" t="s">
        <v>9</v>
      </c>
      <c r="AL455" s="25" t="s">
        <v>9</v>
      </c>
      <c r="AM455" s="23">
        <v>3</v>
      </c>
      <c r="AN455" s="20" t="s">
        <v>9</v>
      </c>
      <c r="AO455" s="20" t="s">
        <v>9</v>
      </c>
      <c r="AP455" s="15" t="s">
        <v>9</v>
      </c>
      <c r="AQ455" s="15" t="s">
        <v>9</v>
      </c>
      <c r="AR455" s="15" t="s">
        <v>9</v>
      </c>
      <c r="AS455" s="26" t="s">
        <v>9</v>
      </c>
      <c r="AT455" s="26" t="s">
        <v>9</v>
      </c>
      <c r="AU455" s="26" t="s">
        <v>9</v>
      </c>
      <c r="AV455" s="26" t="s">
        <v>9</v>
      </c>
      <c r="AW455" s="26" t="s">
        <v>9</v>
      </c>
      <c r="AX455" s="26" t="s">
        <v>9</v>
      </c>
      <c r="AY455" s="26" t="s">
        <v>9</v>
      </c>
      <c r="AZ455" s="26" t="s">
        <v>9</v>
      </c>
      <c r="BA455" s="23">
        <v>3</v>
      </c>
      <c r="BB455" s="24" t="s">
        <v>9</v>
      </c>
    </row>
    <row r="456" spans="1:54" x14ac:dyDescent="0.2">
      <c r="A456" s="19">
        <v>4749</v>
      </c>
      <c r="B456" s="27" t="s">
        <v>9</v>
      </c>
      <c r="C456" s="27" t="s">
        <v>9</v>
      </c>
      <c r="D456" s="27" t="s">
        <v>9</v>
      </c>
      <c r="E456" s="27" t="s">
        <v>9</v>
      </c>
      <c r="F456" s="27" t="s">
        <v>9</v>
      </c>
      <c r="G456" s="27" t="s">
        <v>9</v>
      </c>
      <c r="H456" s="27" t="s">
        <v>9</v>
      </c>
      <c r="I456" s="27" t="s">
        <v>9</v>
      </c>
      <c r="J456" s="27" t="s">
        <v>9</v>
      </c>
      <c r="K456" s="27" t="s">
        <v>9</v>
      </c>
      <c r="L456" s="27" t="s">
        <v>9</v>
      </c>
      <c r="M456" s="27" t="s">
        <v>9</v>
      </c>
      <c r="N456" s="27" t="s">
        <v>9</v>
      </c>
      <c r="O456" s="27" t="s">
        <v>9</v>
      </c>
      <c r="P456" s="27" t="s">
        <v>9</v>
      </c>
      <c r="Q456" s="27" t="s">
        <v>9</v>
      </c>
      <c r="R456" s="27" t="s">
        <v>9</v>
      </c>
      <c r="S456" s="27" t="s">
        <v>9</v>
      </c>
      <c r="T456" s="27" t="s">
        <v>9</v>
      </c>
      <c r="U456" s="27" t="s">
        <v>9</v>
      </c>
      <c r="V456" s="20" t="s">
        <v>1</v>
      </c>
      <c r="W456" s="20">
        <v>5</v>
      </c>
      <c r="X456" s="20">
        <v>3</v>
      </c>
      <c r="Y456" s="20">
        <v>2</v>
      </c>
      <c r="Z456" s="20">
        <v>4</v>
      </c>
      <c r="AA456" s="23">
        <v>3</v>
      </c>
      <c r="AB456" s="15" t="s">
        <v>9</v>
      </c>
      <c r="AC456" s="15" t="s">
        <v>9</v>
      </c>
      <c r="AD456" s="15" t="s">
        <v>9</v>
      </c>
      <c r="AE456" s="15" t="s">
        <v>9</v>
      </c>
      <c r="AF456" s="20" t="s">
        <v>9</v>
      </c>
      <c r="AG456" s="20" t="s">
        <v>9</v>
      </c>
      <c r="AH456" s="24" t="s">
        <v>9</v>
      </c>
      <c r="AI456" s="23">
        <v>3</v>
      </c>
      <c r="AJ456" s="15" t="s">
        <v>9</v>
      </c>
      <c r="AK456" s="15" t="s">
        <v>9</v>
      </c>
      <c r="AL456" s="25" t="s">
        <v>9</v>
      </c>
      <c r="AM456" s="23">
        <v>3</v>
      </c>
      <c r="AN456" s="20" t="s">
        <v>9</v>
      </c>
      <c r="AO456" s="20" t="s">
        <v>9</v>
      </c>
      <c r="AP456" s="15" t="s">
        <v>9</v>
      </c>
      <c r="AQ456" s="15" t="s">
        <v>9</v>
      </c>
      <c r="AR456" s="15" t="s">
        <v>9</v>
      </c>
      <c r="AS456" s="26" t="s">
        <v>9</v>
      </c>
      <c r="AT456" s="26" t="s">
        <v>9</v>
      </c>
      <c r="AU456" s="26" t="s">
        <v>9</v>
      </c>
      <c r="AV456" s="26" t="s">
        <v>9</v>
      </c>
      <c r="AW456" s="26" t="s">
        <v>9</v>
      </c>
      <c r="AX456" s="26" t="s">
        <v>9</v>
      </c>
      <c r="AY456" s="26" t="s">
        <v>9</v>
      </c>
      <c r="AZ456" s="26" t="s">
        <v>9</v>
      </c>
      <c r="BA456" s="23">
        <v>3</v>
      </c>
      <c r="BB456" s="24" t="s">
        <v>9</v>
      </c>
    </row>
    <row r="457" spans="1:54" x14ac:dyDescent="0.2">
      <c r="A457" s="19">
        <v>4754</v>
      </c>
      <c r="B457" s="27" t="s">
        <v>9</v>
      </c>
      <c r="C457" s="27" t="s">
        <v>9</v>
      </c>
      <c r="D457" s="27" t="s">
        <v>9</v>
      </c>
      <c r="E457" s="27" t="s">
        <v>9</v>
      </c>
      <c r="F457" s="27" t="s">
        <v>9</v>
      </c>
      <c r="G457" s="27" t="s">
        <v>9</v>
      </c>
      <c r="H457" s="27" t="s">
        <v>9</v>
      </c>
      <c r="I457" s="27" t="s">
        <v>9</v>
      </c>
      <c r="J457" s="27" t="s">
        <v>9</v>
      </c>
      <c r="K457" s="27" t="s">
        <v>9</v>
      </c>
      <c r="L457" s="27" t="s">
        <v>9</v>
      </c>
      <c r="M457" s="27" t="s">
        <v>9</v>
      </c>
      <c r="N457" s="27" t="s">
        <v>9</v>
      </c>
      <c r="O457" s="27" t="s">
        <v>9</v>
      </c>
      <c r="P457" s="27" t="s">
        <v>9</v>
      </c>
      <c r="Q457" s="27" t="s">
        <v>9</v>
      </c>
      <c r="R457" s="27" t="s">
        <v>9</v>
      </c>
      <c r="S457" s="27" t="s">
        <v>9</v>
      </c>
      <c r="T457" s="27" t="s">
        <v>9</v>
      </c>
      <c r="U457" s="27" t="s">
        <v>9</v>
      </c>
      <c r="V457" s="20" t="s">
        <v>1</v>
      </c>
      <c r="W457" s="20">
        <v>5</v>
      </c>
      <c r="X457" s="20">
        <v>3</v>
      </c>
      <c r="Y457" s="20">
        <v>2</v>
      </c>
      <c r="Z457" s="20">
        <v>4</v>
      </c>
      <c r="AA457" s="23">
        <v>3</v>
      </c>
      <c r="AB457" s="15" t="s">
        <v>9</v>
      </c>
      <c r="AC457" s="15" t="s">
        <v>9</v>
      </c>
      <c r="AD457" s="15" t="s">
        <v>9</v>
      </c>
      <c r="AE457" s="15" t="s">
        <v>9</v>
      </c>
      <c r="AF457" s="20" t="s">
        <v>9</v>
      </c>
      <c r="AG457" s="20" t="s">
        <v>9</v>
      </c>
      <c r="AH457" s="24" t="s">
        <v>9</v>
      </c>
      <c r="AI457" s="23">
        <v>3</v>
      </c>
      <c r="AJ457" s="15" t="s">
        <v>9</v>
      </c>
      <c r="AK457" s="15" t="s">
        <v>9</v>
      </c>
      <c r="AL457" s="25" t="s">
        <v>9</v>
      </c>
      <c r="AM457" s="23">
        <v>3</v>
      </c>
      <c r="AN457" s="20" t="s">
        <v>9</v>
      </c>
      <c r="AO457" s="20" t="s">
        <v>9</v>
      </c>
      <c r="AP457" s="15" t="s">
        <v>9</v>
      </c>
      <c r="AQ457" s="15" t="s">
        <v>9</v>
      </c>
      <c r="AR457" s="15" t="s">
        <v>9</v>
      </c>
      <c r="AS457" s="26" t="s">
        <v>9</v>
      </c>
      <c r="AT457" s="26" t="s">
        <v>9</v>
      </c>
      <c r="AU457" s="26" t="s">
        <v>9</v>
      </c>
      <c r="AV457" s="26" t="s">
        <v>9</v>
      </c>
      <c r="AW457" s="26" t="s">
        <v>9</v>
      </c>
      <c r="AX457" s="26" t="s">
        <v>9</v>
      </c>
      <c r="AY457" s="26" t="s">
        <v>9</v>
      </c>
      <c r="AZ457" s="26" t="s">
        <v>9</v>
      </c>
      <c r="BA457" s="23">
        <v>3</v>
      </c>
      <c r="BB457" s="24" t="s">
        <v>9</v>
      </c>
    </row>
    <row r="458" spans="1:54" x14ac:dyDescent="0.2">
      <c r="A458" s="19">
        <v>4788</v>
      </c>
      <c r="B458" s="27" t="s">
        <v>9</v>
      </c>
      <c r="C458" s="27" t="s">
        <v>9</v>
      </c>
      <c r="D458" s="27" t="s">
        <v>9</v>
      </c>
      <c r="E458" s="27" t="s">
        <v>9</v>
      </c>
      <c r="F458" s="27" t="s">
        <v>9</v>
      </c>
      <c r="G458" s="27" t="s">
        <v>9</v>
      </c>
      <c r="H458" s="27" t="s">
        <v>9</v>
      </c>
      <c r="I458" s="27" t="s">
        <v>9</v>
      </c>
      <c r="J458" s="27" t="s">
        <v>9</v>
      </c>
      <c r="K458" s="27" t="s">
        <v>9</v>
      </c>
      <c r="L458" s="27" t="s">
        <v>9</v>
      </c>
      <c r="M458" s="27" t="s">
        <v>9</v>
      </c>
      <c r="N458" s="27" t="s">
        <v>9</v>
      </c>
      <c r="O458" s="27" t="s">
        <v>9</v>
      </c>
      <c r="P458" s="27" t="s">
        <v>9</v>
      </c>
      <c r="Q458" s="27" t="s">
        <v>9</v>
      </c>
      <c r="R458" s="27" t="s">
        <v>9</v>
      </c>
      <c r="S458" s="27" t="s">
        <v>9</v>
      </c>
      <c r="T458" s="27" t="s">
        <v>9</v>
      </c>
      <c r="U458" s="27" t="s">
        <v>9</v>
      </c>
      <c r="V458" s="20" t="s">
        <v>1</v>
      </c>
      <c r="W458" s="20">
        <v>5</v>
      </c>
      <c r="X458" s="20">
        <v>3</v>
      </c>
      <c r="Y458" s="20">
        <v>2</v>
      </c>
      <c r="Z458" s="20">
        <v>4</v>
      </c>
      <c r="AA458" s="23">
        <v>3</v>
      </c>
      <c r="AB458" s="15" t="s">
        <v>9</v>
      </c>
      <c r="AC458" s="15" t="s">
        <v>9</v>
      </c>
      <c r="AD458" s="15" t="s">
        <v>9</v>
      </c>
      <c r="AE458" s="15" t="s">
        <v>9</v>
      </c>
      <c r="AF458" s="20" t="s">
        <v>9</v>
      </c>
      <c r="AG458" s="20" t="s">
        <v>9</v>
      </c>
      <c r="AH458" s="24" t="s">
        <v>9</v>
      </c>
      <c r="AI458" s="23">
        <v>3</v>
      </c>
      <c r="AJ458" s="15" t="s">
        <v>9</v>
      </c>
      <c r="AK458" s="15" t="s">
        <v>9</v>
      </c>
      <c r="AL458" s="25" t="s">
        <v>9</v>
      </c>
      <c r="AM458" s="23">
        <v>3</v>
      </c>
      <c r="AN458" s="20" t="s">
        <v>9</v>
      </c>
      <c r="AO458" s="20" t="s">
        <v>9</v>
      </c>
      <c r="AP458" s="15" t="s">
        <v>9</v>
      </c>
      <c r="AQ458" s="15" t="s">
        <v>9</v>
      </c>
      <c r="AR458" s="15" t="s">
        <v>9</v>
      </c>
      <c r="AS458" s="26" t="s">
        <v>9</v>
      </c>
      <c r="AT458" s="26" t="s">
        <v>9</v>
      </c>
      <c r="AU458" s="26" t="s">
        <v>9</v>
      </c>
      <c r="AV458" s="26" t="s">
        <v>9</v>
      </c>
      <c r="AW458" s="26" t="s">
        <v>9</v>
      </c>
      <c r="AX458" s="26" t="s">
        <v>9</v>
      </c>
      <c r="AY458" s="26" t="s">
        <v>9</v>
      </c>
      <c r="AZ458" s="26" t="s">
        <v>9</v>
      </c>
      <c r="BA458" s="23">
        <v>3</v>
      </c>
      <c r="BB458" s="24" t="s">
        <v>9</v>
      </c>
    </row>
    <row r="459" spans="1:54" x14ac:dyDescent="0.2">
      <c r="A459" s="19">
        <v>4791</v>
      </c>
      <c r="B459" s="27" t="s">
        <v>9</v>
      </c>
      <c r="C459" s="27" t="s">
        <v>9</v>
      </c>
      <c r="D459" s="27" t="s">
        <v>9</v>
      </c>
      <c r="E459" s="27" t="s">
        <v>9</v>
      </c>
      <c r="F459" s="27" t="s">
        <v>9</v>
      </c>
      <c r="G459" s="27" t="s">
        <v>9</v>
      </c>
      <c r="H459" s="27" t="s">
        <v>9</v>
      </c>
      <c r="I459" s="27" t="s">
        <v>9</v>
      </c>
      <c r="J459" s="27" t="s">
        <v>9</v>
      </c>
      <c r="K459" s="27" t="s">
        <v>9</v>
      </c>
      <c r="L459" s="27" t="s">
        <v>9</v>
      </c>
      <c r="M459" s="27" t="s">
        <v>9</v>
      </c>
      <c r="N459" s="27" t="s">
        <v>9</v>
      </c>
      <c r="O459" s="27" t="s">
        <v>9</v>
      </c>
      <c r="P459" s="27" t="s">
        <v>9</v>
      </c>
      <c r="Q459" s="27" t="s">
        <v>9</v>
      </c>
      <c r="R459" s="27" t="s">
        <v>9</v>
      </c>
      <c r="S459" s="27" t="s">
        <v>9</v>
      </c>
      <c r="T459" s="27" t="s">
        <v>9</v>
      </c>
      <c r="U459" s="27" t="s">
        <v>9</v>
      </c>
      <c r="V459" s="20" t="s">
        <v>1</v>
      </c>
      <c r="W459" s="20">
        <v>5</v>
      </c>
      <c r="X459" s="20">
        <v>3</v>
      </c>
      <c r="Y459" s="20">
        <v>2</v>
      </c>
      <c r="Z459" s="20">
        <v>4</v>
      </c>
      <c r="AA459" s="23">
        <v>3</v>
      </c>
      <c r="AB459" s="15" t="s">
        <v>9</v>
      </c>
      <c r="AC459" s="15" t="s">
        <v>9</v>
      </c>
      <c r="AD459" s="15" t="s">
        <v>9</v>
      </c>
      <c r="AE459" s="15" t="s">
        <v>9</v>
      </c>
      <c r="AF459" s="20" t="s">
        <v>9</v>
      </c>
      <c r="AG459" s="20" t="s">
        <v>9</v>
      </c>
      <c r="AH459" s="24" t="s">
        <v>9</v>
      </c>
      <c r="AI459" s="23">
        <v>3</v>
      </c>
      <c r="AJ459" s="15" t="s">
        <v>9</v>
      </c>
      <c r="AK459" s="15" t="s">
        <v>9</v>
      </c>
      <c r="AL459" s="25" t="s">
        <v>9</v>
      </c>
      <c r="AM459" s="23">
        <v>3</v>
      </c>
      <c r="AN459" s="20" t="s">
        <v>9</v>
      </c>
      <c r="AO459" s="20" t="s">
        <v>9</v>
      </c>
      <c r="AP459" s="15" t="s">
        <v>9</v>
      </c>
      <c r="AQ459" s="15" t="s">
        <v>9</v>
      </c>
      <c r="AR459" s="15" t="s">
        <v>9</v>
      </c>
      <c r="AS459" s="26" t="s">
        <v>9</v>
      </c>
      <c r="AT459" s="26" t="s">
        <v>9</v>
      </c>
      <c r="AU459" s="26" t="s">
        <v>9</v>
      </c>
      <c r="AV459" s="26" t="s">
        <v>9</v>
      </c>
      <c r="AW459" s="26" t="s">
        <v>9</v>
      </c>
      <c r="AX459" s="26" t="s">
        <v>9</v>
      </c>
      <c r="AY459" s="26" t="s">
        <v>9</v>
      </c>
      <c r="AZ459" s="26" t="s">
        <v>9</v>
      </c>
      <c r="BA459" s="23">
        <v>3</v>
      </c>
      <c r="BB459" s="24" t="s">
        <v>9</v>
      </c>
    </row>
    <row r="460" spans="1:54" x14ac:dyDescent="0.2">
      <c r="A460" s="19">
        <v>4794</v>
      </c>
      <c r="B460" s="27" t="s">
        <v>9</v>
      </c>
      <c r="C460" s="27" t="s">
        <v>9</v>
      </c>
      <c r="D460" s="27" t="s">
        <v>9</v>
      </c>
      <c r="E460" s="27" t="s">
        <v>9</v>
      </c>
      <c r="F460" s="27" t="s">
        <v>9</v>
      </c>
      <c r="G460" s="27" t="s">
        <v>9</v>
      </c>
      <c r="H460" s="27" t="s">
        <v>9</v>
      </c>
      <c r="I460" s="27" t="s">
        <v>9</v>
      </c>
      <c r="J460" s="27" t="s">
        <v>9</v>
      </c>
      <c r="K460" s="27" t="s">
        <v>9</v>
      </c>
      <c r="L460" s="27" t="s">
        <v>9</v>
      </c>
      <c r="M460" s="27" t="s">
        <v>9</v>
      </c>
      <c r="N460" s="27" t="s">
        <v>9</v>
      </c>
      <c r="O460" s="27" t="s">
        <v>9</v>
      </c>
      <c r="P460" s="27" t="s">
        <v>9</v>
      </c>
      <c r="Q460" s="27" t="s">
        <v>9</v>
      </c>
      <c r="R460" s="27" t="s">
        <v>9</v>
      </c>
      <c r="S460" s="27" t="s">
        <v>9</v>
      </c>
      <c r="T460" s="27" t="s">
        <v>9</v>
      </c>
      <c r="U460" s="27" t="s">
        <v>9</v>
      </c>
      <c r="V460" s="20" t="s">
        <v>1</v>
      </c>
      <c r="W460" s="20">
        <v>5</v>
      </c>
      <c r="X460" s="20">
        <v>3</v>
      </c>
      <c r="Y460" s="20">
        <v>2</v>
      </c>
      <c r="Z460" s="20">
        <v>4</v>
      </c>
      <c r="AA460" s="23">
        <v>3</v>
      </c>
      <c r="AB460" s="15" t="s">
        <v>9</v>
      </c>
      <c r="AC460" s="15" t="s">
        <v>9</v>
      </c>
      <c r="AD460" s="15" t="s">
        <v>9</v>
      </c>
      <c r="AE460" s="15" t="s">
        <v>9</v>
      </c>
      <c r="AF460" s="20" t="s">
        <v>9</v>
      </c>
      <c r="AG460" s="20" t="s">
        <v>9</v>
      </c>
      <c r="AH460" s="24" t="s">
        <v>9</v>
      </c>
      <c r="AI460" s="23">
        <v>3</v>
      </c>
      <c r="AJ460" s="15" t="s">
        <v>9</v>
      </c>
      <c r="AK460" s="15" t="s">
        <v>9</v>
      </c>
      <c r="AL460" s="25" t="s">
        <v>9</v>
      </c>
      <c r="AM460" s="23">
        <v>3</v>
      </c>
      <c r="AN460" s="20" t="s">
        <v>9</v>
      </c>
      <c r="AO460" s="20" t="s">
        <v>9</v>
      </c>
      <c r="AP460" s="15" t="s">
        <v>9</v>
      </c>
      <c r="AQ460" s="15" t="s">
        <v>9</v>
      </c>
      <c r="AR460" s="15" t="s">
        <v>9</v>
      </c>
      <c r="AS460" s="26" t="s">
        <v>9</v>
      </c>
      <c r="AT460" s="26" t="s">
        <v>9</v>
      </c>
      <c r="AU460" s="26" t="s">
        <v>9</v>
      </c>
      <c r="AV460" s="26" t="s">
        <v>9</v>
      </c>
      <c r="AW460" s="26" t="s">
        <v>9</v>
      </c>
      <c r="AX460" s="26" t="s">
        <v>9</v>
      </c>
      <c r="AY460" s="26" t="s">
        <v>9</v>
      </c>
      <c r="AZ460" s="26" t="s">
        <v>9</v>
      </c>
      <c r="BA460" s="23">
        <v>3</v>
      </c>
      <c r="BB460" s="24" t="s">
        <v>9</v>
      </c>
    </row>
    <row r="461" spans="1:54" x14ac:dyDescent="0.2">
      <c r="A461" s="19">
        <v>4799</v>
      </c>
      <c r="B461" s="27" t="s">
        <v>9</v>
      </c>
      <c r="C461" s="27" t="s">
        <v>9</v>
      </c>
      <c r="D461" s="27" t="s">
        <v>9</v>
      </c>
      <c r="E461" s="27" t="s">
        <v>9</v>
      </c>
      <c r="F461" s="27" t="s">
        <v>9</v>
      </c>
      <c r="G461" s="27" t="s">
        <v>9</v>
      </c>
      <c r="H461" s="27" t="s">
        <v>9</v>
      </c>
      <c r="I461" s="27" t="s">
        <v>9</v>
      </c>
      <c r="J461" s="27" t="s">
        <v>9</v>
      </c>
      <c r="K461" s="27" t="s">
        <v>9</v>
      </c>
      <c r="L461" s="27" t="s">
        <v>9</v>
      </c>
      <c r="M461" s="27" t="s">
        <v>9</v>
      </c>
      <c r="N461" s="27" t="s">
        <v>9</v>
      </c>
      <c r="O461" s="27" t="s">
        <v>9</v>
      </c>
      <c r="P461" s="27" t="s">
        <v>9</v>
      </c>
      <c r="Q461" s="27" t="s">
        <v>9</v>
      </c>
      <c r="R461" s="27" t="s">
        <v>9</v>
      </c>
      <c r="S461" s="27" t="s">
        <v>9</v>
      </c>
      <c r="T461" s="27" t="s">
        <v>9</v>
      </c>
      <c r="U461" s="27" t="s">
        <v>9</v>
      </c>
      <c r="V461" s="20" t="s">
        <v>1</v>
      </c>
      <c r="W461" s="20">
        <v>5</v>
      </c>
      <c r="X461" s="20">
        <v>3</v>
      </c>
      <c r="Y461" s="20">
        <v>2</v>
      </c>
      <c r="Z461" s="20">
        <v>4</v>
      </c>
      <c r="AA461" s="23">
        <v>3</v>
      </c>
      <c r="AB461" s="15" t="s">
        <v>9</v>
      </c>
      <c r="AC461" s="15" t="s">
        <v>9</v>
      </c>
      <c r="AD461" s="15" t="s">
        <v>9</v>
      </c>
      <c r="AE461" s="15" t="s">
        <v>9</v>
      </c>
      <c r="AF461" s="20" t="s">
        <v>9</v>
      </c>
      <c r="AG461" s="20" t="s">
        <v>9</v>
      </c>
      <c r="AH461" s="24" t="s">
        <v>9</v>
      </c>
      <c r="AI461" s="23">
        <v>3</v>
      </c>
      <c r="AJ461" s="15" t="s">
        <v>9</v>
      </c>
      <c r="AK461" s="15" t="s">
        <v>9</v>
      </c>
      <c r="AL461" s="25" t="s">
        <v>9</v>
      </c>
      <c r="AM461" s="23">
        <v>3</v>
      </c>
      <c r="AN461" s="20" t="s">
        <v>9</v>
      </c>
      <c r="AO461" s="20" t="s">
        <v>9</v>
      </c>
      <c r="AP461" s="15" t="s">
        <v>9</v>
      </c>
      <c r="AQ461" s="15" t="s">
        <v>9</v>
      </c>
      <c r="AR461" s="15" t="s">
        <v>9</v>
      </c>
      <c r="AS461" s="26" t="s">
        <v>9</v>
      </c>
      <c r="AT461" s="26" t="s">
        <v>9</v>
      </c>
      <c r="AU461" s="26" t="s">
        <v>9</v>
      </c>
      <c r="AV461" s="26" t="s">
        <v>9</v>
      </c>
      <c r="AW461" s="26" t="s">
        <v>9</v>
      </c>
      <c r="AX461" s="26" t="s">
        <v>9</v>
      </c>
      <c r="AY461" s="26" t="s">
        <v>9</v>
      </c>
      <c r="AZ461" s="26" t="s">
        <v>9</v>
      </c>
      <c r="BA461" s="23">
        <v>3</v>
      </c>
      <c r="BB461" s="24" t="s">
        <v>9</v>
      </c>
    </row>
    <row r="462" spans="1:54" x14ac:dyDescent="0.2">
      <c r="A462" s="19">
        <v>4800</v>
      </c>
      <c r="B462" s="27" t="s">
        <v>9</v>
      </c>
      <c r="C462" s="27" t="s">
        <v>9</v>
      </c>
      <c r="D462" s="27" t="s">
        <v>9</v>
      </c>
      <c r="E462" s="27" t="s">
        <v>9</v>
      </c>
      <c r="F462" s="27" t="s">
        <v>9</v>
      </c>
      <c r="G462" s="27" t="s">
        <v>9</v>
      </c>
      <c r="H462" s="27" t="s">
        <v>9</v>
      </c>
      <c r="I462" s="27" t="s">
        <v>9</v>
      </c>
      <c r="J462" s="27" t="s">
        <v>9</v>
      </c>
      <c r="K462" s="27" t="s">
        <v>9</v>
      </c>
      <c r="L462" s="27" t="s">
        <v>9</v>
      </c>
      <c r="M462" s="27" t="s">
        <v>9</v>
      </c>
      <c r="N462" s="27" t="s">
        <v>9</v>
      </c>
      <c r="O462" s="27" t="s">
        <v>9</v>
      </c>
      <c r="P462" s="27" t="s">
        <v>9</v>
      </c>
      <c r="Q462" s="27" t="s">
        <v>9</v>
      </c>
      <c r="R462" s="27" t="s">
        <v>9</v>
      </c>
      <c r="S462" s="27" t="s">
        <v>9</v>
      </c>
      <c r="T462" s="27" t="s">
        <v>9</v>
      </c>
      <c r="U462" s="27" t="s">
        <v>9</v>
      </c>
      <c r="V462" s="20" t="s">
        <v>1</v>
      </c>
      <c r="W462" s="20">
        <v>5</v>
      </c>
      <c r="X462" s="20">
        <v>3</v>
      </c>
      <c r="Y462" s="20">
        <v>2</v>
      </c>
      <c r="Z462" s="20">
        <v>4</v>
      </c>
      <c r="AA462" s="23">
        <v>3</v>
      </c>
      <c r="AB462" s="15" t="s">
        <v>9</v>
      </c>
      <c r="AC462" s="15" t="s">
        <v>9</v>
      </c>
      <c r="AD462" s="15" t="s">
        <v>9</v>
      </c>
      <c r="AE462" s="15" t="s">
        <v>9</v>
      </c>
      <c r="AF462" s="20" t="s">
        <v>9</v>
      </c>
      <c r="AG462" s="20" t="s">
        <v>9</v>
      </c>
      <c r="AH462" s="24" t="s">
        <v>9</v>
      </c>
      <c r="AI462" s="23">
        <v>3</v>
      </c>
      <c r="AJ462" s="15" t="s">
        <v>9</v>
      </c>
      <c r="AK462" s="15" t="s">
        <v>9</v>
      </c>
      <c r="AL462" s="25" t="s">
        <v>9</v>
      </c>
      <c r="AM462" s="23">
        <v>3</v>
      </c>
      <c r="AN462" s="20" t="s">
        <v>9</v>
      </c>
      <c r="AO462" s="20" t="s">
        <v>9</v>
      </c>
      <c r="AP462" s="15" t="s">
        <v>9</v>
      </c>
      <c r="AQ462" s="15" t="s">
        <v>9</v>
      </c>
      <c r="AR462" s="15" t="s">
        <v>9</v>
      </c>
      <c r="AS462" s="26" t="s">
        <v>9</v>
      </c>
      <c r="AT462" s="26" t="s">
        <v>9</v>
      </c>
      <c r="AU462" s="26" t="s">
        <v>9</v>
      </c>
      <c r="AV462" s="26" t="s">
        <v>9</v>
      </c>
      <c r="AW462" s="26" t="s">
        <v>9</v>
      </c>
      <c r="AX462" s="26" t="s">
        <v>9</v>
      </c>
      <c r="AY462" s="26" t="s">
        <v>9</v>
      </c>
      <c r="AZ462" s="26" t="s">
        <v>9</v>
      </c>
      <c r="BA462" s="23">
        <v>3</v>
      </c>
      <c r="BB462" s="24" t="s">
        <v>9</v>
      </c>
    </row>
    <row r="463" spans="1:54" x14ac:dyDescent="0.2">
      <c r="A463" s="19">
        <v>4805</v>
      </c>
      <c r="B463" s="27" t="s">
        <v>9</v>
      </c>
      <c r="C463" s="27" t="s">
        <v>9</v>
      </c>
      <c r="D463" s="27" t="s">
        <v>9</v>
      </c>
      <c r="E463" s="27" t="s">
        <v>9</v>
      </c>
      <c r="F463" s="27" t="s">
        <v>9</v>
      </c>
      <c r="G463" s="27" t="s">
        <v>9</v>
      </c>
      <c r="H463" s="27" t="s">
        <v>9</v>
      </c>
      <c r="I463" s="27" t="s">
        <v>9</v>
      </c>
      <c r="J463" s="27" t="s">
        <v>9</v>
      </c>
      <c r="K463" s="27" t="s">
        <v>9</v>
      </c>
      <c r="L463" s="27" t="s">
        <v>9</v>
      </c>
      <c r="M463" s="27" t="s">
        <v>9</v>
      </c>
      <c r="N463" s="27" t="s">
        <v>9</v>
      </c>
      <c r="O463" s="27" t="s">
        <v>9</v>
      </c>
      <c r="P463" s="27" t="s">
        <v>9</v>
      </c>
      <c r="Q463" s="27" t="s">
        <v>9</v>
      </c>
      <c r="R463" s="27" t="s">
        <v>9</v>
      </c>
      <c r="S463" s="27" t="s">
        <v>9</v>
      </c>
      <c r="T463" s="27" t="s">
        <v>9</v>
      </c>
      <c r="U463" s="27" t="s">
        <v>9</v>
      </c>
      <c r="V463" s="20" t="s">
        <v>1</v>
      </c>
      <c r="W463" s="20">
        <v>5</v>
      </c>
      <c r="X463" s="20">
        <v>3</v>
      </c>
      <c r="Y463" s="20">
        <v>2</v>
      </c>
      <c r="Z463" s="20">
        <v>4</v>
      </c>
      <c r="AA463" s="23">
        <v>3</v>
      </c>
      <c r="AB463" s="15" t="s">
        <v>9</v>
      </c>
      <c r="AC463" s="15" t="s">
        <v>9</v>
      </c>
      <c r="AD463" s="15" t="s">
        <v>9</v>
      </c>
      <c r="AE463" s="15" t="s">
        <v>9</v>
      </c>
      <c r="AF463" s="20" t="s">
        <v>9</v>
      </c>
      <c r="AG463" s="20" t="s">
        <v>9</v>
      </c>
      <c r="AH463" s="24" t="s">
        <v>9</v>
      </c>
      <c r="AI463" s="23">
        <v>3</v>
      </c>
      <c r="AJ463" s="15" t="s">
        <v>9</v>
      </c>
      <c r="AK463" s="15" t="s">
        <v>9</v>
      </c>
      <c r="AL463" s="25" t="s">
        <v>9</v>
      </c>
      <c r="AM463" s="23">
        <v>3</v>
      </c>
      <c r="AN463" s="20" t="s">
        <v>9</v>
      </c>
      <c r="AO463" s="20" t="s">
        <v>9</v>
      </c>
      <c r="AP463" s="15" t="s">
        <v>9</v>
      </c>
      <c r="AQ463" s="15" t="s">
        <v>9</v>
      </c>
      <c r="AR463" s="15" t="s">
        <v>9</v>
      </c>
      <c r="AS463" s="26" t="s">
        <v>9</v>
      </c>
      <c r="AT463" s="26" t="s">
        <v>9</v>
      </c>
      <c r="AU463" s="26" t="s">
        <v>9</v>
      </c>
      <c r="AV463" s="26" t="s">
        <v>9</v>
      </c>
      <c r="AW463" s="26" t="s">
        <v>9</v>
      </c>
      <c r="AX463" s="26" t="s">
        <v>9</v>
      </c>
      <c r="AY463" s="26" t="s">
        <v>9</v>
      </c>
      <c r="AZ463" s="26" t="s">
        <v>9</v>
      </c>
      <c r="BA463" s="23">
        <v>3</v>
      </c>
      <c r="BB463" s="24" t="s">
        <v>9</v>
      </c>
    </row>
    <row r="464" spans="1:54" x14ac:dyDescent="0.2">
      <c r="A464" s="19">
        <v>4828</v>
      </c>
      <c r="B464" s="27" t="s">
        <v>9</v>
      </c>
      <c r="C464" s="27" t="s">
        <v>9</v>
      </c>
      <c r="D464" s="27" t="s">
        <v>9</v>
      </c>
      <c r="E464" s="27" t="s">
        <v>9</v>
      </c>
      <c r="F464" s="27" t="s">
        <v>9</v>
      </c>
      <c r="G464" s="27" t="s">
        <v>9</v>
      </c>
      <c r="H464" s="27" t="s">
        <v>9</v>
      </c>
      <c r="I464" s="27" t="s">
        <v>9</v>
      </c>
      <c r="J464" s="27" t="s">
        <v>9</v>
      </c>
      <c r="K464" s="27" t="s">
        <v>9</v>
      </c>
      <c r="L464" s="27" t="s">
        <v>9</v>
      </c>
      <c r="M464" s="27" t="s">
        <v>9</v>
      </c>
      <c r="N464" s="27" t="s">
        <v>9</v>
      </c>
      <c r="O464" s="27" t="s">
        <v>9</v>
      </c>
      <c r="P464" s="27" t="s">
        <v>9</v>
      </c>
      <c r="Q464" s="27" t="s">
        <v>9</v>
      </c>
      <c r="R464" s="27" t="s">
        <v>9</v>
      </c>
      <c r="S464" s="27" t="s">
        <v>9</v>
      </c>
      <c r="T464" s="27" t="s">
        <v>9</v>
      </c>
      <c r="U464" s="27" t="s">
        <v>9</v>
      </c>
      <c r="V464" s="20" t="s">
        <v>1</v>
      </c>
      <c r="W464" s="20">
        <v>5</v>
      </c>
      <c r="X464" s="20">
        <v>3</v>
      </c>
      <c r="Y464" s="20">
        <v>2</v>
      </c>
      <c r="Z464" s="20">
        <v>4</v>
      </c>
      <c r="AA464" s="23">
        <v>3</v>
      </c>
      <c r="AB464" s="15" t="s">
        <v>9</v>
      </c>
      <c r="AC464" s="15" t="s">
        <v>9</v>
      </c>
      <c r="AD464" s="15" t="s">
        <v>9</v>
      </c>
      <c r="AE464" s="15" t="s">
        <v>9</v>
      </c>
      <c r="AF464" s="20" t="s">
        <v>9</v>
      </c>
      <c r="AG464" s="20" t="s">
        <v>9</v>
      </c>
      <c r="AH464" s="20" t="s">
        <v>9</v>
      </c>
      <c r="AI464" s="23">
        <v>3</v>
      </c>
      <c r="AJ464" s="15" t="s">
        <v>9</v>
      </c>
      <c r="AK464" s="15" t="s">
        <v>9</v>
      </c>
      <c r="AL464" s="15" t="s">
        <v>9</v>
      </c>
      <c r="AM464" s="23">
        <v>3</v>
      </c>
      <c r="AN464" s="20" t="s">
        <v>9</v>
      </c>
      <c r="AO464" s="20" t="s">
        <v>9</v>
      </c>
      <c r="AP464" s="15" t="s">
        <v>9</v>
      </c>
      <c r="AQ464" s="15" t="s">
        <v>9</v>
      </c>
      <c r="AR464" s="15" t="s">
        <v>9</v>
      </c>
      <c r="AS464" s="26" t="s">
        <v>9</v>
      </c>
      <c r="AT464" s="26" t="s">
        <v>9</v>
      </c>
      <c r="AU464" s="26" t="s">
        <v>9</v>
      </c>
      <c r="AV464" s="26" t="s">
        <v>9</v>
      </c>
      <c r="AW464" s="26" t="s">
        <v>9</v>
      </c>
      <c r="AX464" s="26" t="s">
        <v>9</v>
      </c>
      <c r="AY464" s="26" t="s">
        <v>9</v>
      </c>
      <c r="AZ464" s="26" t="s">
        <v>9</v>
      </c>
      <c r="BA464" s="23">
        <v>3</v>
      </c>
      <c r="BB464" s="24" t="s">
        <v>9</v>
      </c>
    </row>
    <row r="465" spans="1:54" s="37" customFormat="1" ht="17" thickBot="1" x14ac:dyDescent="0.25">
      <c r="A465" s="34">
        <v>4841</v>
      </c>
      <c r="B465" s="35" t="s">
        <v>9</v>
      </c>
      <c r="C465" s="35" t="s">
        <v>9</v>
      </c>
      <c r="D465" s="35" t="s">
        <v>9</v>
      </c>
      <c r="E465" s="35" t="s">
        <v>9</v>
      </c>
      <c r="F465" s="35" t="s">
        <v>9</v>
      </c>
      <c r="G465" s="35" t="s">
        <v>9</v>
      </c>
      <c r="H465" s="35" t="s">
        <v>9</v>
      </c>
      <c r="I465" s="35" t="s">
        <v>9</v>
      </c>
      <c r="J465" s="35" t="s">
        <v>9</v>
      </c>
      <c r="K465" s="35" t="s">
        <v>9</v>
      </c>
      <c r="L465" s="35" t="s">
        <v>9</v>
      </c>
      <c r="M465" s="35" t="s">
        <v>9</v>
      </c>
      <c r="N465" s="35" t="s">
        <v>9</v>
      </c>
      <c r="O465" s="35" t="s">
        <v>9</v>
      </c>
      <c r="P465" s="35" t="s">
        <v>9</v>
      </c>
      <c r="Q465" s="35" t="s">
        <v>9</v>
      </c>
      <c r="R465" s="35" t="s">
        <v>9</v>
      </c>
      <c r="S465" s="35" t="s">
        <v>9</v>
      </c>
      <c r="T465" s="35" t="s">
        <v>9</v>
      </c>
      <c r="U465" s="35" t="s">
        <v>9</v>
      </c>
      <c r="V465" s="37" t="s">
        <v>1</v>
      </c>
      <c r="W465" s="37">
        <v>5</v>
      </c>
      <c r="X465" s="37">
        <v>3</v>
      </c>
      <c r="Y465" s="37">
        <v>2</v>
      </c>
      <c r="Z465" s="37">
        <v>4</v>
      </c>
      <c r="AA465" s="38">
        <v>3</v>
      </c>
      <c r="AB465" s="39" t="s">
        <v>9</v>
      </c>
      <c r="AC465" s="39" t="s">
        <v>9</v>
      </c>
      <c r="AD465" s="39" t="s">
        <v>9</v>
      </c>
      <c r="AE465" s="39" t="s">
        <v>9</v>
      </c>
      <c r="AF465" s="37" t="s">
        <v>9</v>
      </c>
      <c r="AG465" s="37" t="s">
        <v>9</v>
      </c>
      <c r="AH465" s="37" t="s">
        <v>9</v>
      </c>
      <c r="AI465" s="38">
        <v>3</v>
      </c>
      <c r="AJ465" s="39" t="s">
        <v>9</v>
      </c>
      <c r="AK465" s="39" t="s">
        <v>9</v>
      </c>
      <c r="AL465" s="39" t="s">
        <v>9</v>
      </c>
      <c r="AM465" s="38">
        <v>3</v>
      </c>
      <c r="AN465" s="37" t="s">
        <v>9</v>
      </c>
      <c r="AO465" s="37" t="s">
        <v>9</v>
      </c>
      <c r="AP465" s="39" t="s">
        <v>9</v>
      </c>
      <c r="AQ465" s="39" t="s">
        <v>9</v>
      </c>
      <c r="AR465" s="39" t="s">
        <v>9</v>
      </c>
      <c r="AS465" s="40" t="s">
        <v>9</v>
      </c>
      <c r="AT465" s="40" t="s">
        <v>9</v>
      </c>
      <c r="AU465" s="40" t="s">
        <v>9</v>
      </c>
      <c r="AV465" s="40" t="s">
        <v>9</v>
      </c>
      <c r="AW465" s="40" t="s">
        <v>9</v>
      </c>
      <c r="AX465" s="40" t="s">
        <v>9</v>
      </c>
      <c r="AY465" s="40" t="s">
        <v>9</v>
      </c>
      <c r="AZ465" s="40" t="s">
        <v>9</v>
      </c>
      <c r="BA465" s="38">
        <v>3</v>
      </c>
      <c r="BB465" s="41" t="s">
        <v>9</v>
      </c>
    </row>
    <row r="466" spans="1:54" x14ac:dyDescent="0.2">
      <c r="C466" s="27"/>
      <c r="D466" s="27"/>
      <c r="E466" s="27"/>
      <c r="F466" s="28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</row>
    <row r="467" spans="1:54" x14ac:dyDescent="0.2">
      <c r="C467" s="27"/>
      <c r="D467" s="27"/>
      <c r="E467" s="27"/>
      <c r="F467" s="28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</row>
    <row r="468" spans="1:54" x14ac:dyDescent="0.2">
      <c r="C468" s="27"/>
      <c r="D468" s="27"/>
      <c r="E468" s="27"/>
      <c r="F468" s="28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</row>
    <row r="469" spans="1:54" x14ac:dyDescent="0.2">
      <c r="C469" s="27"/>
      <c r="D469" s="27"/>
      <c r="E469" s="27"/>
      <c r="F469" s="28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</row>
    <row r="470" spans="1:54" x14ac:dyDescent="0.2">
      <c r="C470" s="27"/>
      <c r="D470" s="27"/>
      <c r="E470" s="27"/>
      <c r="F470" s="28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</row>
    <row r="471" spans="1:54" x14ac:dyDescent="0.2">
      <c r="C471" s="27"/>
      <c r="D471" s="27"/>
      <c r="E471" s="27"/>
      <c r="F471" s="28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</row>
    <row r="472" spans="1:54" x14ac:dyDescent="0.2">
      <c r="C472" s="27"/>
      <c r="D472" s="27"/>
      <c r="E472" s="27"/>
      <c r="F472" s="28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</row>
    <row r="473" spans="1:54" x14ac:dyDescent="0.2">
      <c r="C473" s="27"/>
      <c r="D473" s="27"/>
      <c r="E473" s="27"/>
      <c r="F473" s="28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</row>
    <row r="474" spans="1:54" x14ac:dyDescent="0.2">
      <c r="C474" s="27"/>
      <c r="D474" s="27"/>
      <c r="E474" s="27"/>
      <c r="F474" s="28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</row>
    <row r="475" spans="1:54" x14ac:dyDescent="0.2">
      <c r="C475" s="27"/>
      <c r="D475" s="27"/>
      <c r="E475" s="27"/>
      <c r="F475" s="28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</row>
    <row r="476" spans="1:54" x14ac:dyDescent="0.2">
      <c r="C476" s="27"/>
      <c r="D476" s="27"/>
      <c r="E476" s="27"/>
      <c r="F476" s="28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</row>
    <row r="477" spans="1:54" x14ac:dyDescent="0.2">
      <c r="C477" s="27"/>
      <c r="D477" s="27"/>
      <c r="E477" s="27"/>
      <c r="F477" s="28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</row>
    <row r="478" spans="1:54" x14ac:dyDescent="0.2">
      <c r="C478" s="27"/>
      <c r="D478" s="27"/>
      <c r="E478" s="27"/>
      <c r="F478" s="28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</row>
    <row r="479" spans="1:54" x14ac:dyDescent="0.2">
      <c r="C479" s="27"/>
      <c r="D479" s="27"/>
      <c r="E479" s="27"/>
      <c r="F479" s="28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</row>
    <row r="480" spans="1:54" x14ac:dyDescent="0.2">
      <c r="C480" s="27"/>
      <c r="D480" s="27"/>
      <c r="E480" s="27"/>
      <c r="F480" s="28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</row>
    <row r="481" spans="3:19" x14ac:dyDescent="0.2">
      <c r="C481" s="27"/>
      <c r="D481" s="27"/>
      <c r="E481" s="27"/>
      <c r="F481" s="28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</row>
    <row r="482" spans="3:19" x14ac:dyDescent="0.2">
      <c r="C482" s="27"/>
      <c r="D482" s="27"/>
      <c r="E482" s="27"/>
      <c r="F482" s="28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</row>
    <row r="483" spans="3:19" x14ac:dyDescent="0.2">
      <c r="C483" s="27"/>
      <c r="D483" s="27"/>
      <c r="E483" s="27"/>
      <c r="F483" s="28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</row>
    <row r="484" spans="3:19" x14ac:dyDescent="0.2">
      <c r="C484" s="27"/>
      <c r="D484" s="27"/>
      <c r="E484" s="27"/>
      <c r="F484" s="28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</row>
    <row r="485" spans="3:19" x14ac:dyDescent="0.2">
      <c r="C485" s="27"/>
      <c r="D485" s="27"/>
      <c r="E485" s="27"/>
      <c r="F485" s="28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</row>
    <row r="486" spans="3:19" x14ac:dyDescent="0.2">
      <c r="C486" s="27"/>
      <c r="D486" s="27"/>
      <c r="E486" s="27"/>
      <c r="F486" s="28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</row>
    <row r="487" spans="3:19" x14ac:dyDescent="0.2">
      <c r="C487" s="27"/>
      <c r="D487" s="27"/>
      <c r="E487" s="27"/>
      <c r="F487" s="28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</row>
    <row r="488" spans="3:19" x14ac:dyDescent="0.2">
      <c r="C488" s="27"/>
      <c r="D488" s="27"/>
      <c r="E488" s="27"/>
      <c r="F488" s="28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</row>
    <row r="489" spans="3:19" x14ac:dyDescent="0.2">
      <c r="C489" s="27"/>
      <c r="D489" s="27"/>
      <c r="E489" s="27"/>
      <c r="F489" s="28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</row>
    <row r="490" spans="3:19" x14ac:dyDescent="0.2">
      <c r="C490" s="27"/>
      <c r="D490" s="27"/>
      <c r="E490" s="27"/>
      <c r="F490" s="28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</row>
    <row r="491" spans="3:19" x14ac:dyDescent="0.2">
      <c r="C491" s="27"/>
      <c r="D491" s="27"/>
      <c r="E491" s="27"/>
      <c r="F491" s="28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</row>
    <row r="492" spans="3:19" x14ac:dyDescent="0.2">
      <c r="C492" s="27"/>
      <c r="D492" s="27"/>
      <c r="E492" s="27"/>
      <c r="F492" s="28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</row>
    <row r="493" spans="3:19" x14ac:dyDescent="0.2">
      <c r="C493" s="27"/>
      <c r="D493" s="27"/>
      <c r="E493" s="27"/>
      <c r="F493" s="28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</row>
    <row r="494" spans="3:19" x14ac:dyDescent="0.2">
      <c r="C494" s="27"/>
      <c r="D494" s="27"/>
      <c r="E494" s="27"/>
      <c r="F494" s="28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</row>
    <row r="495" spans="3:19" x14ac:dyDescent="0.2">
      <c r="C495" s="27"/>
      <c r="D495" s="27"/>
      <c r="E495" s="27"/>
      <c r="F495" s="28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</row>
    <row r="496" spans="3:19" x14ac:dyDescent="0.2">
      <c r="C496" s="27"/>
      <c r="D496" s="27"/>
      <c r="E496" s="27"/>
      <c r="F496" s="28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</row>
    <row r="497" spans="3:19" x14ac:dyDescent="0.2">
      <c r="C497" s="27"/>
      <c r="D497" s="27"/>
      <c r="E497" s="27"/>
      <c r="F497" s="28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</row>
    <row r="498" spans="3:19" x14ac:dyDescent="0.2">
      <c r="C498" s="27"/>
      <c r="D498" s="27"/>
      <c r="E498" s="27"/>
      <c r="F498" s="28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</row>
    <row r="499" spans="3:19" x14ac:dyDescent="0.2">
      <c r="C499" s="27"/>
      <c r="D499" s="27"/>
      <c r="E499" s="27"/>
      <c r="F499" s="28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</row>
    <row r="500" spans="3:19" x14ac:dyDescent="0.2">
      <c r="C500" s="27"/>
      <c r="D500" s="27"/>
      <c r="E500" s="27"/>
      <c r="F500" s="28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</row>
    <row r="501" spans="3:19" x14ac:dyDescent="0.2">
      <c r="C501" s="27"/>
      <c r="D501" s="27"/>
      <c r="E501" s="27"/>
      <c r="F501" s="28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</row>
    <row r="502" spans="3:19" x14ac:dyDescent="0.2">
      <c r="C502" s="27"/>
      <c r="D502" s="27"/>
      <c r="E502" s="27"/>
      <c r="F502" s="28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</row>
    <row r="503" spans="3:19" x14ac:dyDescent="0.2">
      <c r="C503" s="27"/>
      <c r="D503" s="27"/>
      <c r="E503" s="27"/>
      <c r="F503" s="28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</row>
    <row r="504" spans="3:19" x14ac:dyDescent="0.2">
      <c r="C504" s="27"/>
      <c r="D504" s="27"/>
      <c r="E504" s="27"/>
      <c r="F504" s="28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</row>
    <row r="505" spans="3:19" x14ac:dyDescent="0.2">
      <c r="C505" s="27"/>
      <c r="D505" s="27"/>
      <c r="E505" s="27"/>
      <c r="F505" s="28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</row>
    <row r="506" spans="3:19" x14ac:dyDescent="0.2">
      <c r="C506" s="27"/>
      <c r="D506" s="27"/>
      <c r="E506" s="27"/>
      <c r="F506" s="28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</row>
    <row r="507" spans="3:19" x14ac:dyDescent="0.2">
      <c r="C507" s="27"/>
      <c r="D507" s="27"/>
      <c r="E507" s="27"/>
      <c r="F507" s="28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</row>
    <row r="508" spans="3:19" x14ac:dyDescent="0.2">
      <c r="C508" s="27"/>
      <c r="D508" s="27"/>
      <c r="E508" s="27"/>
      <c r="F508" s="28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</row>
    <row r="509" spans="3:19" x14ac:dyDescent="0.2">
      <c r="C509" s="27"/>
      <c r="D509" s="27"/>
      <c r="E509" s="27"/>
      <c r="F509" s="28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</row>
    <row r="510" spans="3:19" x14ac:dyDescent="0.2">
      <c r="C510" s="27"/>
      <c r="D510" s="27"/>
      <c r="E510" s="27"/>
      <c r="F510" s="28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</row>
    <row r="511" spans="3:19" x14ac:dyDescent="0.2">
      <c r="C511" s="27"/>
      <c r="D511" s="27"/>
      <c r="E511" s="27"/>
      <c r="F511" s="28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</row>
    <row r="512" spans="3:19" x14ac:dyDescent="0.2">
      <c r="C512" s="27"/>
      <c r="D512" s="27"/>
      <c r="E512" s="27"/>
      <c r="F512" s="28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</row>
    <row r="513" spans="3:19" x14ac:dyDescent="0.2">
      <c r="C513" s="27"/>
      <c r="D513" s="27"/>
      <c r="E513" s="27"/>
      <c r="F513" s="28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</row>
    <row r="514" spans="3:19" x14ac:dyDescent="0.2">
      <c r="C514" s="27"/>
      <c r="D514" s="27"/>
      <c r="E514" s="27"/>
      <c r="F514" s="28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</row>
    <row r="515" spans="3:19" x14ac:dyDescent="0.2">
      <c r="C515" s="27"/>
      <c r="D515" s="27"/>
      <c r="E515" s="27"/>
      <c r="F515" s="28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</row>
    <row r="516" spans="3:19" x14ac:dyDescent="0.2">
      <c r="C516" s="27"/>
      <c r="D516" s="27"/>
      <c r="E516" s="27"/>
      <c r="F516" s="28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</row>
    <row r="517" spans="3:19" x14ac:dyDescent="0.2">
      <c r="C517" s="27"/>
      <c r="D517" s="27"/>
      <c r="E517" s="27"/>
      <c r="F517" s="28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</row>
    <row r="518" spans="3:19" x14ac:dyDescent="0.2">
      <c r="C518" s="27"/>
      <c r="D518" s="27"/>
      <c r="E518" s="27"/>
      <c r="F518" s="28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</row>
    <row r="519" spans="3:19" x14ac:dyDescent="0.2">
      <c r="C519" s="27"/>
      <c r="D519" s="27"/>
      <c r="E519" s="27"/>
      <c r="F519" s="28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</row>
    <row r="520" spans="3:19" x14ac:dyDescent="0.2">
      <c r="C520" s="27"/>
      <c r="D520" s="27"/>
      <c r="E520" s="27"/>
      <c r="F520" s="28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</row>
    <row r="521" spans="3:19" x14ac:dyDescent="0.2">
      <c r="C521" s="27"/>
      <c r="D521" s="27"/>
      <c r="E521" s="27"/>
      <c r="F521" s="28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</row>
    <row r="522" spans="3:19" x14ac:dyDescent="0.2">
      <c r="C522" s="27"/>
      <c r="D522" s="27"/>
      <c r="E522" s="27"/>
      <c r="F522" s="28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</row>
    <row r="523" spans="3:19" x14ac:dyDescent="0.2">
      <c r="C523" s="27"/>
      <c r="D523" s="27"/>
      <c r="E523" s="27"/>
      <c r="F523" s="28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</row>
    <row r="524" spans="3:19" x14ac:dyDescent="0.2">
      <c r="C524" s="27"/>
      <c r="D524" s="27"/>
      <c r="E524" s="27"/>
      <c r="F524" s="28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</row>
    <row r="525" spans="3:19" x14ac:dyDescent="0.2">
      <c r="C525" s="27"/>
      <c r="D525" s="27"/>
      <c r="E525" s="27"/>
      <c r="F525" s="28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</row>
    <row r="526" spans="3:19" x14ac:dyDescent="0.2">
      <c r="C526" s="27"/>
      <c r="D526" s="27"/>
      <c r="E526" s="27"/>
      <c r="F526" s="28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</row>
    <row r="527" spans="3:19" x14ac:dyDescent="0.2">
      <c r="C527" s="27"/>
      <c r="D527" s="27"/>
      <c r="E527" s="27"/>
      <c r="F527" s="28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</row>
    <row r="528" spans="3:19" x14ac:dyDescent="0.2">
      <c r="C528" s="27"/>
      <c r="D528" s="27"/>
      <c r="E528" s="27"/>
      <c r="F528" s="28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</row>
    <row r="529" spans="3:19" x14ac:dyDescent="0.2">
      <c r="C529" s="27"/>
      <c r="D529" s="27"/>
      <c r="E529" s="27"/>
      <c r="F529" s="28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</row>
    <row r="530" spans="3:19" x14ac:dyDescent="0.2">
      <c r="C530" s="27"/>
      <c r="D530" s="27"/>
      <c r="E530" s="27"/>
      <c r="F530" s="28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</row>
    <row r="531" spans="3:19" x14ac:dyDescent="0.2">
      <c r="C531" s="27"/>
      <c r="D531" s="27"/>
      <c r="E531" s="27"/>
      <c r="F531" s="28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</row>
    <row r="532" spans="3:19" x14ac:dyDescent="0.2">
      <c r="C532" s="27"/>
      <c r="D532" s="27"/>
      <c r="E532" s="27"/>
      <c r="F532" s="28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</row>
    <row r="533" spans="3:19" x14ac:dyDescent="0.2">
      <c r="C533" s="27"/>
      <c r="D533" s="27"/>
      <c r="E533" s="27"/>
      <c r="F533" s="28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</row>
    <row r="534" spans="3:19" x14ac:dyDescent="0.2">
      <c r="C534" s="27"/>
      <c r="D534" s="27"/>
      <c r="E534" s="27"/>
      <c r="F534" s="28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</row>
    <row r="535" spans="3:19" x14ac:dyDescent="0.2">
      <c r="C535" s="27"/>
      <c r="D535" s="27"/>
      <c r="E535" s="27"/>
      <c r="F535" s="28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</row>
    <row r="536" spans="3:19" x14ac:dyDescent="0.2">
      <c r="C536" s="27"/>
      <c r="D536" s="27"/>
      <c r="E536" s="27"/>
      <c r="F536" s="28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</row>
    <row r="537" spans="3:19" x14ac:dyDescent="0.2">
      <c r="C537" s="27"/>
      <c r="D537" s="27"/>
      <c r="E537" s="27"/>
      <c r="F537" s="28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</row>
    <row r="538" spans="3:19" x14ac:dyDescent="0.2">
      <c r="C538" s="27"/>
      <c r="D538" s="27"/>
      <c r="E538" s="27"/>
      <c r="F538" s="28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</row>
    <row r="539" spans="3:19" x14ac:dyDescent="0.2">
      <c r="C539" s="27"/>
      <c r="D539" s="27"/>
      <c r="E539" s="27"/>
      <c r="F539" s="28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</row>
    <row r="540" spans="3:19" x14ac:dyDescent="0.2">
      <c r="C540" s="27"/>
      <c r="D540" s="27"/>
      <c r="E540" s="27"/>
      <c r="F540" s="28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</row>
    <row r="541" spans="3:19" x14ac:dyDescent="0.2">
      <c r="C541" s="27"/>
      <c r="D541" s="27"/>
      <c r="E541" s="27"/>
      <c r="F541" s="28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</row>
    <row r="542" spans="3:19" x14ac:dyDescent="0.2">
      <c r="C542" s="27"/>
      <c r="D542" s="27"/>
      <c r="E542" s="27"/>
      <c r="F542" s="28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</row>
    <row r="543" spans="3:19" x14ac:dyDescent="0.2">
      <c r="C543" s="27"/>
      <c r="D543" s="27"/>
      <c r="E543" s="27"/>
      <c r="F543" s="28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</row>
    <row r="544" spans="3:19" x14ac:dyDescent="0.2">
      <c r="C544" s="27"/>
      <c r="D544" s="27"/>
      <c r="E544" s="27"/>
      <c r="F544" s="28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</row>
    <row r="545" spans="3:19" x14ac:dyDescent="0.2">
      <c r="C545" s="27"/>
      <c r="D545" s="27"/>
      <c r="E545" s="27"/>
      <c r="F545" s="28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</row>
    <row r="546" spans="3:19" x14ac:dyDescent="0.2">
      <c r="C546" s="27"/>
      <c r="D546" s="27"/>
      <c r="E546" s="27"/>
      <c r="F546" s="28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</row>
    <row r="547" spans="3:19" x14ac:dyDescent="0.2">
      <c r="C547" s="27"/>
      <c r="D547" s="27"/>
      <c r="E547" s="27"/>
      <c r="F547" s="28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</row>
    <row r="548" spans="3:19" x14ac:dyDescent="0.2">
      <c r="C548" s="27"/>
      <c r="D548" s="27"/>
      <c r="E548" s="27"/>
      <c r="F548" s="28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</row>
    <row r="549" spans="3:19" x14ac:dyDescent="0.2">
      <c r="C549" s="27"/>
      <c r="D549" s="27"/>
      <c r="E549" s="27"/>
      <c r="F549" s="28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</row>
    <row r="550" spans="3:19" x14ac:dyDescent="0.2">
      <c r="C550" s="27"/>
      <c r="D550" s="27"/>
      <c r="E550" s="27"/>
      <c r="F550" s="28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</row>
    <row r="551" spans="3:19" x14ac:dyDescent="0.2">
      <c r="C551" s="27"/>
      <c r="D551" s="27"/>
      <c r="E551" s="27"/>
      <c r="F551" s="28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</row>
    <row r="552" spans="3:19" x14ac:dyDescent="0.2">
      <c r="C552" s="27"/>
      <c r="D552" s="27"/>
      <c r="E552" s="27"/>
      <c r="F552" s="28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</row>
    <row r="553" spans="3:19" x14ac:dyDescent="0.2">
      <c r="C553" s="27"/>
      <c r="D553" s="27"/>
      <c r="E553" s="27"/>
      <c r="F553" s="28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</row>
    <row r="554" spans="3:19" x14ac:dyDescent="0.2">
      <c r="C554" s="27"/>
      <c r="D554" s="27"/>
      <c r="E554" s="27"/>
      <c r="F554" s="28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</row>
    <row r="555" spans="3:19" x14ac:dyDescent="0.2">
      <c r="C555" s="27"/>
      <c r="D555" s="27"/>
      <c r="E555" s="27"/>
      <c r="F555" s="28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</row>
    <row r="556" spans="3:19" x14ac:dyDescent="0.2">
      <c r="C556" s="27"/>
      <c r="D556" s="27"/>
      <c r="E556" s="27"/>
      <c r="F556" s="28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</row>
    <row r="557" spans="3:19" x14ac:dyDescent="0.2">
      <c r="C557" s="27"/>
      <c r="D557" s="27"/>
      <c r="E557" s="27"/>
      <c r="F557" s="28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</row>
    <row r="558" spans="3:19" x14ac:dyDescent="0.2">
      <c r="C558" s="27"/>
      <c r="D558" s="27"/>
      <c r="E558" s="27"/>
      <c r="F558" s="28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</row>
    <row r="559" spans="3:19" x14ac:dyDescent="0.2">
      <c r="C559" s="27"/>
      <c r="D559" s="27"/>
      <c r="E559" s="27"/>
      <c r="F559" s="28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</row>
    <row r="560" spans="3:19" x14ac:dyDescent="0.2">
      <c r="C560" s="27"/>
      <c r="D560" s="27"/>
      <c r="E560" s="27"/>
      <c r="F560" s="28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</row>
    <row r="561" spans="3:19" x14ac:dyDescent="0.2">
      <c r="C561" s="27"/>
      <c r="D561" s="27"/>
      <c r="E561" s="27"/>
      <c r="F561" s="28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</row>
    <row r="562" spans="3:19" x14ac:dyDescent="0.2">
      <c r="C562" s="27"/>
      <c r="D562" s="27"/>
      <c r="E562" s="27"/>
      <c r="F562" s="28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</row>
    <row r="563" spans="3:19" x14ac:dyDescent="0.2">
      <c r="C563" s="27"/>
      <c r="D563" s="27"/>
      <c r="E563" s="27"/>
      <c r="F563" s="28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</row>
    <row r="564" spans="3:19" x14ac:dyDescent="0.2">
      <c r="C564" s="27"/>
      <c r="D564" s="27"/>
      <c r="E564" s="27"/>
      <c r="F564" s="28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</row>
    <row r="565" spans="3:19" x14ac:dyDescent="0.2">
      <c r="C565" s="27"/>
      <c r="D565" s="27"/>
      <c r="E565" s="27"/>
      <c r="F565" s="28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</row>
    <row r="566" spans="3:19" x14ac:dyDescent="0.2">
      <c r="C566" s="27"/>
      <c r="D566" s="27"/>
      <c r="E566" s="27"/>
      <c r="F566" s="28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</row>
    <row r="567" spans="3:19" x14ac:dyDescent="0.2">
      <c r="C567" s="27"/>
      <c r="D567" s="27"/>
      <c r="E567" s="27"/>
      <c r="F567" s="28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</row>
    <row r="568" spans="3:19" x14ac:dyDescent="0.2">
      <c r="C568" s="27"/>
      <c r="D568" s="27"/>
      <c r="E568" s="27"/>
      <c r="F568" s="28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</row>
    <row r="569" spans="3:19" x14ac:dyDescent="0.2">
      <c r="C569" s="27"/>
      <c r="D569" s="27"/>
      <c r="E569" s="27"/>
      <c r="F569" s="28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</row>
    <row r="570" spans="3:19" x14ac:dyDescent="0.2">
      <c r="C570" s="27"/>
      <c r="D570" s="27"/>
      <c r="E570" s="27"/>
      <c r="F570" s="28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</row>
    <row r="571" spans="3:19" x14ac:dyDescent="0.2">
      <c r="C571" s="27"/>
      <c r="D571" s="27"/>
      <c r="E571" s="27"/>
      <c r="F571" s="28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</row>
    <row r="572" spans="3:19" x14ac:dyDescent="0.2">
      <c r="C572" s="27"/>
      <c r="D572" s="27"/>
      <c r="E572" s="27"/>
      <c r="F572" s="28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</row>
    <row r="573" spans="3:19" x14ac:dyDescent="0.2">
      <c r="C573" s="27"/>
      <c r="D573" s="27"/>
      <c r="E573" s="27"/>
      <c r="F573" s="28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</row>
    <row r="574" spans="3:19" x14ac:dyDescent="0.2">
      <c r="C574" s="27"/>
      <c r="D574" s="27"/>
      <c r="E574" s="27"/>
      <c r="F574" s="28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</row>
    <row r="575" spans="3:19" x14ac:dyDescent="0.2">
      <c r="C575" s="27"/>
      <c r="D575" s="27"/>
      <c r="E575" s="27"/>
      <c r="F575" s="28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</row>
    <row r="576" spans="3:19" x14ac:dyDescent="0.2">
      <c r="C576" s="27"/>
      <c r="D576" s="27"/>
      <c r="E576" s="27"/>
      <c r="F576" s="28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</row>
    <row r="577" spans="3:19" x14ac:dyDescent="0.2">
      <c r="C577" s="27"/>
      <c r="D577" s="27"/>
      <c r="E577" s="27"/>
      <c r="F577" s="28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</row>
    <row r="578" spans="3:19" x14ac:dyDescent="0.2">
      <c r="C578" s="27"/>
      <c r="D578" s="27"/>
      <c r="E578" s="27"/>
      <c r="F578" s="28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</row>
    <row r="579" spans="3:19" x14ac:dyDescent="0.2">
      <c r="C579" s="27"/>
      <c r="D579" s="27"/>
      <c r="E579" s="27"/>
      <c r="F579" s="28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</row>
    <row r="580" spans="3:19" x14ac:dyDescent="0.2">
      <c r="C580" s="27"/>
      <c r="D580" s="27"/>
      <c r="E580" s="27"/>
      <c r="F580" s="28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</row>
    <row r="581" spans="3:19" x14ac:dyDescent="0.2">
      <c r="C581" s="27"/>
      <c r="D581" s="27"/>
      <c r="E581" s="27"/>
      <c r="F581" s="28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</row>
    <row r="582" spans="3:19" x14ac:dyDescent="0.2">
      <c r="C582" s="27"/>
      <c r="D582" s="27"/>
      <c r="E582" s="27"/>
      <c r="F582" s="28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</row>
    <row r="583" spans="3:19" x14ac:dyDescent="0.2">
      <c r="C583" s="27"/>
      <c r="D583" s="27"/>
      <c r="E583" s="27"/>
      <c r="F583" s="28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</row>
    <row r="584" spans="3:19" x14ac:dyDescent="0.2">
      <c r="C584" s="27"/>
      <c r="D584" s="27"/>
      <c r="E584" s="27"/>
      <c r="F584" s="28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</row>
    <row r="585" spans="3:19" x14ac:dyDescent="0.2">
      <c r="C585" s="27"/>
      <c r="D585" s="27"/>
      <c r="E585" s="27"/>
      <c r="F585" s="28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</row>
    <row r="586" spans="3:19" x14ac:dyDescent="0.2">
      <c r="C586" s="27"/>
      <c r="D586" s="27"/>
      <c r="E586" s="27"/>
      <c r="F586" s="28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</row>
    <row r="587" spans="3:19" x14ac:dyDescent="0.2">
      <c r="C587" s="27"/>
      <c r="D587" s="27"/>
      <c r="E587" s="27"/>
      <c r="F587" s="28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</row>
    <row r="588" spans="3:19" x14ac:dyDescent="0.2">
      <c r="C588" s="27"/>
      <c r="D588" s="27"/>
      <c r="E588" s="27"/>
      <c r="F588" s="28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</row>
    <row r="589" spans="3:19" x14ac:dyDescent="0.2">
      <c r="C589" s="27"/>
      <c r="D589" s="27"/>
      <c r="E589" s="27"/>
      <c r="F589" s="28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</row>
    <row r="590" spans="3:19" x14ac:dyDescent="0.2">
      <c r="C590" s="27"/>
      <c r="D590" s="27"/>
      <c r="E590" s="27"/>
      <c r="F590" s="28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</row>
    <row r="591" spans="3:19" x14ac:dyDescent="0.2">
      <c r="C591" s="27"/>
      <c r="D591" s="27"/>
      <c r="E591" s="27"/>
      <c r="F591" s="28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</row>
    <row r="592" spans="3:19" x14ac:dyDescent="0.2">
      <c r="C592" s="27"/>
      <c r="D592" s="27"/>
      <c r="E592" s="27"/>
      <c r="F592" s="28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</row>
    <row r="593" spans="3:19" x14ac:dyDescent="0.2">
      <c r="C593" s="27"/>
      <c r="D593" s="27"/>
      <c r="E593" s="27"/>
      <c r="F593" s="28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</row>
    <row r="594" spans="3:19" x14ac:dyDescent="0.2">
      <c r="C594" s="27"/>
      <c r="D594" s="27"/>
      <c r="E594" s="27"/>
      <c r="F594" s="28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</row>
    <row r="595" spans="3:19" x14ac:dyDescent="0.2">
      <c r="C595" s="27"/>
      <c r="D595" s="27"/>
      <c r="E595" s="27"/>
      <c r="F595" s="28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</row>
    <row r="596" spans="3:19" x14ac:dyDescent="0.2">
      <c r="C596" s="27"/>
      <c r="D596" s="27"/>
      <c r="E596" s="27"/>
      <c r="F596" s="28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</row>
    <row r="597" spans="3:19" x14ac:dyDescent="0.2">
      <c r="C597" s="27"/>
      <c r="D597" s="27"/>
      <c r="E597" s="27"/>
      <c r="F597" s="28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</row>
    <row r="598" spans="3:19" x14ac:dyDescent="0.2">
      <c r="C598" s="27"/>
      <c r="D598" s="27"/>
      <c r="E598" s="27"/>
      <c r="F598" s="28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</row>
    <row r="599" spans="3:19" x14ac:dyDescent="0.2">
      <c r="C599" s="27"/>
      <c r="D599" s="27"/>
      <c r="E599" s="27"/>
      <c r="F599" s="28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</row>
    <row r="600" spans="3:19" x14ac:dyDescent="0.2">
      <c r="C600" s="27"/>
      <c r="D600" s="27"/>
      <c r="E600" s="27"/>
      <c r="F600" s="28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</row>
    <row r="601" spans="3:19" x14ac:dyDescent="0.2">
      <c r="C601" s="27"/>
      <c r="D601" s="27"/>
      <c r="E601" s="27"/>
      <c r="F601" s="28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</row>
    <row r="602" spans="3:19" x14ac:dyDescent="0.2">
      <c r="C602" s="27"/>
      <c r="D602" s="27"/>
      <c r="E602" s="27"/>
      <c r="F602" s="28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</row>
    <row r="603" spans="3:19" x14ac:dyDescent="0.2">
      <c r="C603" s="27"/>
      <c r="D603" s="27"/>
      <c r="E603" s="27"/>
      <c r="F603" s="28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</row>
    <row r="604" spans="3:19" x14ac:dyDescent="0.2">
      <c r="C604" s="27"/>
      <c r="D604" s="27"/>
      <c r="E604" s="27"/>
      <c r="F604" s="28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</row>
    <row r="605" spans="3:19" x14ac:dyDescent="0.2">
      <c r="C605" s="27"/>
      <c r="D605" s="27"/>
      <c r="E605" s="27"/>
      <c r="F605" s="28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</row>
    <row r="606" spans="3:19" x14ac:dyDescent="0.2">
      <c r="C606" s="27"/>
      <c r="D606" s="27"/>
      <c r="E606" s="27"/>
      <c r="F606" s="28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</row>
    <row r="607" spans="3:19" x14ac:dyDescent="0.2">
      <c r="C607" s="27"/>
      <c r="D607" s="27"/>
      <c r="E607" s="27"/>
      <c r="F607" s="28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</row>
    <row r="608" spans="3:19" x14ac:dyDescent="0.2">
      <c r="C608" s="27"/>
      <c r="D608" s="27"/>
      <c r="E608" s="27"/>
      <c r="F608" s="28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</row>
    <row r="609" spans="3:19" x14ac:dyDescent="0.2">
      <c r="C609" s="27"/>
      <c r="D609" s="27"/>
      <c r="E609" s="27"/>
      <c r="F609" s="28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</row>
    <row r="610" spans="3:19" x14ac:dyDescent="0.2">
      <c r="C610" s="27"/>
      <c r="D610" s="27"/>
      <c r="E610" s="27"/>
      <c r="F610" s="28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</row>
    <row r="611" spans="3:19" x14ac:dyDescent="0.2">
      <c r="C611" s="27"/>
      <c r="D611" s="27"/>
      <c r="E611" s="27"/>
      <c r="F611" s="28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</row>
    <row r="612" spans="3:19" x14ac:dyDescent="0.2">
      <c r="C612" s="27"/>
      <c r="D612" s="27"/>
      <c r="E612" s="27"/>
      <c r="F612" s="28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</row>
    <row r="613" spans="3:19" x14ac:dyDescent="0.2">
      <c r="C613" s="27"/>
      <c r="D613" s="27"/>
      <c r="E613" s="27"/>
      <c r="F613" s="28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</row>
    <row r="614" spans="3:19" x14ac:dyDescent="0.2">
      <c r="C614" s="27"/>
      <c r="D614" s="27"/>
      <c r="E614" s="27"/>
      <c r="F614" s="28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</row>
    <row r="615" spans="3:19" x14ac:dyDescent="0.2">
      <c r="C615" s="27"/>
      <c r="D615" s="27"/>
      <c r="E615" s="27"/>
      <c r="F615" s="28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</row>
    <row r="616" spans="3:19" x14ac:dyDescent="0.2">
      <c r="C616" s="27"/>
      <c r="D616" s="27"/>
      <c r="E616" s="27"/>
      <c r="F616" s="28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</row>
    <row r="617" spans="3:19" x14ac:dyDescent="0.2">
      <c r="C617" s="27"/>
      <c r="D617" s="27"/>
      <c r="E617" s="27"/>
      <c r="F617" s="28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</row>
    <row r="618" spans="3:19" x14ac:dyDescent="0.2">
      <c r="C618" s="27"/>
      <c r="D618" s="27"/>
      <c r="E618" s="27"/>
      <c r="F618" s="28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</row>
    <row r="619" spans="3:19" x14ac:dyDescent="0.2">
      <c r="C619" s="27"/>
      <c r="D619" s="27"/>
      <c r="E619" s="27"/>
      <c r="F619" s="28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</row>
    <row r="620" spans="3:19" x14ac:dyDescent="0.2">
      <c r="C620" s="27"/>
      <c r="D620" s="27"/>
      <c r="E620" s="27"/>
      <c r="F620" s="28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</row>
    <row r="621" spans="3:19" x14ac:dyDescent="0.2">
      <c r="C621" s="27"/>
      <c r="D621" s="27"/>
      <c r="E621" s="27"/>
      <c r="F621" s="28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</row>
    <row r="622" spans="3:19" x14ac:dyDescent="0.2">
      <c r="C622" s="27"/>
      <c r="D622" s="27"/>
      <c r="E622" s="27"/>
      <c r="F622" s="28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</row>
    <row r="623" spans="3:19" x14ac:dyDescent="0.2">
      <c r="C623" s="27"/>
      <c r="D623" s="27"/>
      <c r="E623" s="27"/>
      <c r="F623" s="28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</row>
    <row r="624" spans="3:19" x14ac:dyDescent="0.2">
      <c r="C624" s="27"/>
      <c r="D624" s="27"/>
      <c r="E624" s="27"/>
      <c r="F624" s="28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</row>
    <row r="625" spans="3:19" x14ac:dyDescent="0.2">
      <c r="C625" s="27"/>
      <c r="D625" s="27"/>
      <c r="E625" s="27"/>
      <c r="F625" s="28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</row>
    <row r="626" spans="3:19" x14ac:dyDescent="0.2">
      <c r="C626" s="27"/>
      <c r="D626" s="27"/>
      <c r="E626" s="27"/>
      <c r="F626" s="28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</row>
    <row r="627" spans="3:19" x14ac:dyDescent="0.2">
      <c r="C627" s="27"/>
      <c r="D627" s="27"/>
      <c r="E627" s="27"/>
      <c r="F627" s="28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</row>
    <row r="628" spans="3:19" x14ac:dyDescent="0.2">
      <c r="C628" s="27"/>
      <c r="D628" s="27"/>
      <c r="E628" s="27"/>
      <c r="F628" s="28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</row>
    <row r="629" spans="3:19" x14ac:dyDescent="0.2">
      <c r="C629" s="27"/>
      <c r="D629" s="27"/>
      <c r="E629" s="27"/>
      <c r="F629" s="28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</row>
    <row r="630" spans="3:19" x14ac:dyDescent="0.2">
      <c r="C630" s="27"/>
      <c r="D630" s="27"/>
      <c r="E630" s="27"/>
      <c r="F630" s="28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</row>
    <row r="631" spans="3:19" x14ac:dyDescent="0.2">
      <c r="C631" s="27"/>
      <c r="D631" s="27"/>
      <c r="E631" s="27"/>
      <c r="F631" s="28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</row>
    <row r="632" spans="3:19" x14ac:dyDescent="0.2">
      <c r="C632" s="27"/>
      <c r="D632" s="27"/>
      <c r="E632" s="27"/>
      <c r="F632" s="28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</row>
    <row r="633" spans="3:19" x14ac:dyDescent="0.2">
      <c r="C633" s="27"/>
      <c r="D633" s="27"/>
      <c r="E633" s="27"/>
      <c r="F633" s="28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</row>
    <row r="634" spans="3:19" x14ac:dyDescent="0.2">
      <c r="C634" s="27"/>
      <c r="D634" s="27"/>
      <c r="E634" s="27"/>
      <c r="F634" s="28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</row>
    <row r="635" spans="3:19" x14ac:dyDescent="0.2">
      <c r="C635" s="27"/>
      <c r="D635" s="27"/>
      <c r="E635" s="27"/>
      <c r="F635" s="28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</row>
    <row r="636" spans="3:19" x14ac:dyDescent="0.2">
      <c r="C636" s="27"/>
      <c r="D636" s="27"/>
      <c r="E636" s="27"/>
      <c r="F636" s="28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</row>
    <row r="637" spans="3:19" x14ac:dyDescent="0.2">
      <c r="C637" s="27"/>
      <c r="D637" s="27"/>
      <c r="E637" s="27"/>
      <c r="F637" s="28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</row>
    <row r="638" spans="3:19" x14ac:dyDescent="0.2">
      <c r="C638" s="27"/>
      <c r="D638" s="27"/>
      <c r="E638" s="27"/>
      <c r="F638" s="28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</row>
    <row r="639" spans="3:19" x14ac:dyDescent="0.2">
      <c r="C639" s="27"/>
      <c r="D639" s="27"/>
      <c r="E639" s="27"/>
      <c r="F639" s="28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</row>
    <row r="640" spans="3:19" x14ac:dyDescent="0.2">
      <c r="C640" s="27"/>
      <c r="D640" s="27"/>
      <c r="E640" s="27"/>
      <c r="F640" s="28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</row>
    <row r="641" spans="3:19" x14ac:dyDescent="0.2">
      <c r="C641" s="27"/>
      <c r="D641" s="27"/>
      <c r="E641" s="27"/>
      <c r="F641" s="28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</row>
    <row r="642" spans="3:19" x14ac:dyDescent="0.2">
      <c r="C642" s="27"/>
      <c r="D642" s="27"/>
      <c r="E642" s="27"/>
      <c r="F642" s="28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</row>
    <row r="643" spans="3:19" x14ac:dyDescent="0.2">
      <c r="C643" s="27"/>
      <c r="D643" s="27"/>
      <c r="E643" s="27"/>
      <c r="F643" s="28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</row>
    <row r="644" spans="3:19" x14ac:dyDescent="0.2">
      <c r="C644" s="27"/>
      <c r="D644" s="27"/>
      <c r="E644" s="27"/>
      <c r="F644" s="28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</row>
    <row r="645" spans="3:19" x14ac:dyDescent="0.2">
      <c r="C645" s="27"/>
      <c r="D645" s="27"/>
      <c r="E645" s="27"/>
      <c r="F645" s="28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</row>
    <row r="646" spans="3:19" x14ac:dyDescent="0.2">
      <c r="C646" s="27"/>
      <c r="D646" s="27"/>
      <c r="E646" s="27"/>
      <c r="F646" s="28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</row>
    <row r="647" spans="3:19" x14ac:dyDescent="0.2">
      <c r="C647" s="27"/>
      <c r="D647" s="27"/>
      <c r="E647" s="27"/>
      <c r="F647" s="28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</row>
    <row r="648" spans="3:19" x14ac:dyDescent="0.2">
      <c r="C648" s="27"/>
      <c r="D648" s="27"/>
      <c r="E648" s="27"/>
      <c r="F648" s="28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</row>
    <row r="649" spans="3:19" x14ac:dyDescent="0.2">
      <c r="C649" s="27"/>
      <c r="D649" s="27"/>
      <c r="E649" s="27"/>
      <c r="F649" s="28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</row>
    <row r="650" spans="3:19" x14ac:dyDescent="0.2">
      <c r="C650" s="27"/>
      <c r="D650" s="27"/>
      <c r="E650" s="27"/>
      <c r="F650" s="28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</row>
    <row r="651" spans="3:19" x14ac:dyDescent="0.2">
      <c r="C651" s="27"/>
      <c r="D651" s="27"/>
      <c r="E651" s="27"/>
      <c r="F651" s="28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</row>
    <row r="652" spans="3:19" x14ac:dyDescent="0.2">
      <c r="C652" s="27"/>
      <c r="D652" s="27"/>
      <c r="E652" s="27"/>
      <c r="F652" s="28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</row>
    <row r="653" spans="3:19" x14ac:dyDescent="0.2">
      <c r="C653" s="27"/>
      <c r="D653" s="27"/>
      <c r="E653" s="27"/>
      <c r="F653" s="28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</row>
    <row r="654" spans="3:19" x14ac:dyDescent="0.2">
      <c r="C654" s="27"/>
      <c r="D654" s="27"/>
      <c r="E654" s="27"/>
      <c r="F654" s="28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</row>
    <row r="655" spans="3:19" x14ac:dyDescent="0.2">
      <c r="C655" s="27"/>
      <c r="D655" s="27"/>
      <c r="E655" s="27"/>
      <c r="F655" s="28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</row>
    <row r="656" spans="3:19" x14ac:dyDescent="0.2">
      <c r="C656" s="27"/>
      <c r="D656" s="27"/>
      <c r="E656" s="27"/>
      <c r="F656" s="28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</row>
    <row r="657" spans="3:19" x14ac:dyDescent="0.2">
      <c r="C657" s="27"/>
      <c r="D657" s="27"/>
      <c r="E657" s="27"/>
      <c r="F657" s="28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</row>
    <row r="658" spans="3:19" x14ac:dyDescent="0.2">
      <c r="C658" s="27"/>
      <c r="D658" s="27"/>
      <c r="E658" s="27"/>
      <c r="F658" s="28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</row>
    <row r="659" spans="3:19" x14ac:dyDescent="0.2">
      <c r="C659" s="27"/>
      <c r="D659" s="27"/>
      <c r="E659" s="27"/>
      <c r="F659" s="28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</row>
    <row r="660" spans="3:19" x14ac:dyDescent="0.2">
      <c r="C660" s="27"/>
      <c r="D660" s="27"/>
      <c r="E660" s="27"/>
      <c r="F660" s="28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</row>
    <row r="661" spans="3:19" x14ac:dyDescent="0.2">
      <c r="C661" s="27"/>
      <c r="D661" s="27"/>
      <c r="E661" s="27"/>
      <c r="F661" s="28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</row>
    <row r="662" spans="3:19" x14ac:dyDescent="0.2">
      <c r="C662" s="27"/>
      <c r="D662" s="27"/>
      <c r="E662" s="27"/>
      <c r="F662" s="28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</row>
    <row r="663" spans="3:19" x14ac:dyDescent="0.2">
      <c r="C663" s="27"/>
      <c r="D663" s="27"/>
      <c r="E663" s="27"/>
      <c r="F663" s="28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</row>
    <row r="664" spans="3:19" x14ac:dyDescent="0.2">
      <c r="C664" s="27"/>
      <c r="D664" s="27"/>
      <c r="E664" s="27"/>
      <c r="F664" s="28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</row>
    <row r="665" spans="3:19" x14ac:dyDescent="0.2">
      <c r="C665" s="27"/>
      <c r="D665" s="27"/>
      <c r="E665" s="27"/>
      <c r="F665" s="28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</row>
    <row r="666" spans="3:19" x14ac:dyDescent="0.2">
      <c r="C666" s="27"/>
      <c r="D666" s="27"/>
      <c r="E666" s="27"/>
      <c r="F666" s="28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</row>
    <row r="667" spans="3:19" x14ac:dyDescent="0.2">
      <c r="C667" s="27"/>
      <c r="D667" s="27"/>
      <c r="E667" s="27"/>
      <c r="F667" s="28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</row>
    <row r="668" spans="3:19" x14ac:dyDescent="0.2">
      <c r="C668" s="27"/>
      <c r="D668" s="27"/>
      <c r="E668" s="27"/>
      <c r="F668" s="28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</row>
    <row r="669" spans="3:19" x14ac:dyDescent="0.2">
      <c r="C669" s="27"/>
      <c r="D669" s="27"/>
      <c r="E669" s="27"/>
      <c r="F669" s="28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</row>
    <row r="670" spans="3:19" x14ac:dyDescent="0.2">
      <c r="C670" s="27"/>
      <c r="D670" s="27"/>
      <c r="E670" s="27"/>
      <c r="F670" s="28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</row>
    <row r="671" spans="3:19" x14ac:dyDescent="0.2">
      <c r="C671" s="27"/>
      <c r="D671" s="27"/>
      <c r="E671" s="27"/>
      <c r="F671" s="28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</row>
    <row r="672" spans="3:19" x14ac:dyDescent="0.2">
      <c r="C672" s="27"/>
      <c r="D672" s="27"/>
      <c r="E672" s="27"/>
      <c r="F672" s="28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</row>
    <row r="673" spans="3:19" x14ac:dyDescent="0.2">
      <c r="C673" s="27"/>
      <c r="D673" s="27"/>
      <c r="E673" s="27"/>
      <c r="F673" s="28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</row>
    <row r="674" spans="3:19" x14ac:dyDescent="0.2">
      <c r="C674" s="27"/>
      <c r="D674" s="27"/>
      <c r="E674" s="27"/>
      <c r="F674" s="28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</row>
    <row r="675" spans="3:19" x14ac:dyDescent="0.2">
      <c r="C675" s="27"/>
      <c r="D675" s="27"/>
      <c r="E675" s="27"/>
      <c r="F675" s="28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</row>
    <row r="676" spans="3:19" x14ac:dyDescent="0.2">
      <c r="C676" s="27"/>
      <c r="D676" s="27"/>
      <c r="E676" s="27"/>
      <c r="F676" s="28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</row>
    <row r="677" spans="3:19" x14ac:dyDescent="0.2">
      <c r="C677" s="27"/>
      <c r="D677" s="27"/>
      <c r="E677" s="27"/>
      <c r="F677" s="28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</row>
    <row r="678" spans="3:19" x14ac:dyDescent="0.2">
      <c r="C678" s="27"/>
      <c r="D678" s="27"/>
      <c r="E678" s="27"/>
      <c r="F678" s="28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</row>
    <row r="679" spans="3:19" x14ac:dyDescent="0.2">
      <c r="C679" s="27"/>
      <c r="D679" s="27"/>
      <c r="E679" s="27"/>
      <c r="F679" s="28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</row>
    <row r="680" spans="3:19" x14ac:dyDescent="0.2">
      <c r="C680" s="27"/>
      <c r="D680" s="27"/>
      <c r="E680" s="27"/>
      <c r="F680" s="28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</row>
    <row r="681" spans="3:19" x14ac:dyDescent="0.2">
      <c r="C681" s="27"/>
      <c r="D681" s="27"/>
      <c r="E681" s="27"/>
      <c r="F681" s="28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</row>
    <row r="682" spans="3:19" x14ac:dyDescent="0.2">
      <c r="C682" s="27"/>
      <c r="D682" s="27"/>
      <c r="E682" s="27"/>
      <c r="F682" s="28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</row>
    <row r="683" spans="3:19" x14ac:dyDescent="0.2">
      <c r="C683" s="27"/>
      <c r="D683" s="27"/>
      <c r="E683" s="27"/>
      <c r="F683" s="28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</row>
    <row r="684" spans="3:19" x14ac:dyDescent="0.2">
      <c r="C684" s="27"/>
      <c r="D684" s="27"/>
      <c r="E684" s="27"/>
      <c r="F684" s="28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</row>
    <row r="685" spans="3:19" x14ac:dyDescent="0.2">
      <c r="C685" s="27"/>
      <c r="D685" s="27"/>
      <c r="E685" s="27"/>
      <c r="F685" s="28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</row>
    <row r="686" spans="3:19" x14ac:dyDescent="0.2">
      <c r="C686" s="27"/>
      <c r="D686" s="27"/>
      <c r="E686" s="27"/>
      <c r="F686" s="28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</row>
    <row r="687" spans="3:19" x14ac:dyDescent="0.2">
      <c r="C687" s="27"/>
      <c r="D687" s="27"/>
      <c r="E687" s="27"/>
      <c r="F687" s="28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</row>
    <row r="688" spans="3:19" x14ac:dyDescent="0.2">
      <c r="C688" s="27"/>
      <c r="D688" s="27"/>
      <c r="E688" s="27"/>
      <c r="F688" s="28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</row>
    <row r="689" spans="3:19" x14ac:dyDescent="0.2">
      <c r="C689" s="27"/>
      <c r="D689" s="27"/>
      <c r="E689" s="27"/>
      <c r="F689" s="28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</row>
    <row r="690" spans="3:19" x14ac:dyDescent="0.2">
      <c r="C690" s="27"/>
      <c r="D690" s="27"/>
      <c r="E690" s="27"/>
      <c r="F690" s="28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</row>
    <row r="691" spans="3:19" x14ac:dyDescent="0.2">
      <c r="C691" s="27"/>
      <c r="D691" s="27"/>
      <c r="E691" s="27"/>
      <c r="F691" s="28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</row>
    <row r="692" spans="3:19" x14ac:dyDescent="0.2">
      <c r="C692" s="27"/>
      <c r="D692" s="27"/>
      <c r="E692" s="27"/>
      <c r="F692" s="28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</row>
    <row r="693" spans="3:19" x14ac:dyDescent="0.2">
      <c r="C693" s="27"/>
      <c r="D693" s="27"/>
      <c r="E693" s="27"/>
      <c r="F693" s="28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</row>
    <row r="694" spans="3:19" x14ac:dyDescent="0.2">
      <c r="C694" s="27"/>
      <c r="D694" s="27"/>
      <c r="E694" s="27"/>
      <c r="F694" s="28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</row>
    <row r="695" spans="3:19" x14ac:dyDescent="0.2">
      <c r="C695" s="27"/>
      <c r="D695" s="27"/>
      <c r="E695" s="27"/>
      <c r="F695" s="28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</row>
    <row r="696" spans="3:19" x14ac:dyDescent="0.2">
      <c r="C696" s="27"/>
      <c r="D696" s="27"/>
      <c r="E696" s="27"/>
      <c r="F696" s="28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</row>
    <row r="697" spans="3:19" x14ac:dyDescent="0.2">
      <c r="C697" s="27"/>
      <c r="D697" s="27"/>
      <c r="E697" s="27"/>
      <c r="F697" s="28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</row>
    <row r="698" spans="3:19" x14ac:dyDescent="0.2">
      <c r="C698" s="27"/>
      <c r="D698" s="27"/>
      <c r="E698" s="27"/>
      <c r="F698" s="28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</row>
    <row r="699" spans="3:19" x14ac:dyDescent="0.2">
      <c r="C699" s="27"/>
      <c r="D699" s="27"/>
      <c r="E699" s="27"/>
      <c r="F699" s="28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</row>
    <row r="700" spans="3:19" x14ac:dyDescent="0.2">
      <c r="C700" s="27"/>
      <c r="D700" s="27"/>
      <c r="E700" s="27"/>
      <c r="F700" s="28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</row>
    <row r="701" spans="3:19" x14ac:dyDescent="0.2">
      <c r="C701" s="27"/>
      <c r="D701" s="27"/>
      <c r="E701" s="27"/>
      <c r="F701" s="28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</row>
    <row r="702" spans="3:19" x14ac:dyDescent="0.2">
      <c r="C702" s="27"/>
      <c r="D702" s="27"/>
      <c r="E702" s="27"/>
      <c r="F702" s="28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</row>
    <row r="703" spans="3:19" x14ac:dyDescent="0.2">
      <c r="C703" s="27"/>
      <c r="D703" s="27"/>
      <c r="E703" s="27"/>
      <c r="F703" s="28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</row>
    <row r="704" spans="3:19" x14ac:dyDescent="0.2">
      <c r="C704" s="27"/>
      <c r="D704" s="27"/>
      <c r="E704" s="27"/>
      <c r="F704" s="28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</row>
    <row r="705" spans="3:19" x14ac:dyDescent="0.2">
      <c r="C705" s="27"/>
      <c r="D705" s="27"/>
      <c r="E705" s="27"/>
      <c r="F705" s="28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</row>
    <row r="706" spans="3:19" x14ac:dyDescent="0.2">
      <c r="C706" s="27"/>
      <c r="D706" s="27"/>
      <c r="E706" s="27"/>
      <c r="F706" s="28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</row>
    <row r="707" spans="3:19" x14ac:dyDescent="0.2">
      <c r="C707" s="27"/>
      <c r="D707" s="27"/>
      <c r="E707" s="27"/>
      <c r="F707" s="28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</row>
    <row r="708" spans="3:19" x14ac:dyDescent="0.2">
      <c r="C708" s="27"/>
      <c r="D708" s="27"/>
      <c r="E708" s="27"/>
      <c r="F708" s="28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</row>
    <row r="709" spans="3:19" x14ac:dyDescent="0.2">
      <c r="C709" s="27"/>
      <c r="D709" s="27"/>
      <c r="E709" s="27"/>
      <c r="F709" s="28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</row>
    <row r="710" spans="3:19" x14ac:dyDescent="0.2">
      <c r="C710" s="27"/>
      <c r="D710" s="27"/>
      <c r="E710" s="27"/>
      <c r="F710" s="28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</row>
    <row r="711" spans="3:19" x14ac:dyDescent="0.2">
      <c r="C711" s="27"/>
      <c r="D711" s="27"/>
      <c r="E711" s="27"/>
      <c r="F711" s="28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</row>
    <row r="712" spans="3:19" x14ac:dyDescent="0.2">
      <c r="C712" s="27"/>
      <c r="D712" s="27"/>
      <c r="E712" s="27"/>
      <c r="F712" s="28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</row>
    <row r="713" spans="3:19" x14ac:dyDescent="0.2">
      <c r="C713" s="27"/>
      <c r="D713" s="27"/>
      <c r="E713" s="27"/>
      <c r="F713" s="28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</row>
    <row r="714" spans="3:19" x14ac:dyDescent="0.2">
      <c r="C714" s="27"/>
      <c r="D714" s="27"/>
      <c r="E714" s="27"/>
      <c r="F714" s="28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</row>
    <row r="715" spans="3:19" x14ac:dyDescent="0.2">
      <c r="C715" s="27"/>
      <c r="D715" s="27"/>
      <c r="E715" s="27"/>
      <c r="F715" s="28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</row>
    <row r="716" spans="3:19" x14ac:dyDescent="0.2">
      <c r="C716" s="27"/>
      <c r="D716" s="27"/>
      <c r="E716" s="27"/>
      <c r="F716" s="28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</row>
    <row r="717" spans="3:19" x14ac:dyDescent="0.2">
      <c r="C717" s="27"/>
      <c r="D717" s="27"/>
      <c r="E717" s="27"/>
      <c r="F717" s="28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</row>
    <row r="718" spans="3:19" x14ac:dyDescent="0.2">
      <c r="C718" s="27"/>
      <c r="D718" s="27"/>
      <c r="E718" s="27"/>
      <c r="F718" s="28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</row>
    <row r="719" spans="3:19" x14ac:dyDescent="0.2">
      <c r="C719" s="27"/>
      <c r="D719" s="27"/>
      <c r="E719" s="27"/>
      <c r="F719" s="28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</row>
    <row r="720" spans="3:19" x14ac:dyDescent="0.2">
      <c r="C720" s="27"/>
      <c r="D720" s="27"/>
      <c r="E720" s="27"/>
      <c r="F720" s="28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</row>
    <row r="721" spans="3:19" x14ac:dyDescent="0.2">
      <c r="C721" s="27"/>
      <c r="D721" s="27"/>
      <c r="E721" s="27"/>
      <c r="F721" s="28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</row>
    <row r="722" spans="3:19" x14ac:dyDescent="0.2">
      <c r="C722" s="27"/>
      <c r="D722" s="27"/>
      <c r="E722" s="27"/>
      <c r="F722" s="28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</row>
    <row r="723" spans="3:19" x14ac:dyDescent="0.2">
      <c r="C723" s="27"/>
      <c r="D723" s="27"/>
      <c r="E723" s="27"/>
      <c r="F723" s="28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</row>
    <row r="724" spans="3:19" x14ac:dyDescent="0.2">
      <c r="C724" s="27"/>
      <c r="D724" s="27"/>
      <c r="E724" s="27"/>
      <c r="F724" s="28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</row>
    <row r="725" spans="3:19" x14ac:dyDescent="0.2">
      <c r="C725" s="27"/>
      <c r="D725" s="27"/>
      <c r="E725" s="27"/>
      <c r="F725" s="28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</row>
    <row r="726" spans="3:19" x14ac:dyDescent="0.2">
      <c r="C726" s="27"/>
      <c r="D726" s="27"/>
      <c r="E726" s="27"/>
      <c r="F726" s="28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</row>
    <row r="727" spans="3:19" x14ac:dyDescent="0.2">
      <c r="C727" s="27"/>
      <c r="D727" s="27"/>
      <c r="E727" s="27"/>
      <c r="F727" s="28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</row>
    <row r="728" spans="3:19" x14ac:dyDescent="0.2">
      <c r="C728" s="27"/>
      <c r="D728" s="27"/>
      <c r="E728" s="27"/>
      <c r="F728" s="28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</row>
    <row r="729" spans="3:19" x14ac:dyDescent="0.2">
      <c r="C729" s="27"/>
      <c r="D729" s="27"/>
      <c r="E729" s="27"/>
      <c r="F729" s="28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</row>
    <row r="730" spans="3:19" x14ac:dyDescent="0.2">
      <c r="C730" s="27"/>
      <c r="D730" s="27"/>
      <c r="E730" s="27"/>
      <c r="F730" s="28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</row>
    <row r="731" spans="3:19" x14ac:dyDescent="0.2">
      <c r="C731" s="27"/>
      <c r="D731" s="27"/>
      <c r="E731" s="27"/>
      <c r="F731" s="28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</row>
    <row r="732" spans="3:19" x14ac:dyDescent="0.2">
      <c r="C732" s="27"/>
      <c r="D732" s="27"/>
      <c r="E732" s="27"/>
      <c r="F732" s="28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</row>
    <row r="733" spans="3:19" x14ac:dyDescent="0.2">
      <c r="C733" s="27"/>
      <c r="D733" s="27"/>
      <c r="E733" s="27"/>
      <c r="F733" s="28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</row>
    <row r="734" spans="3:19" x14ac:dyDescent="0.2">
      <c r="C734" s="27"/>
      <c r="D734" s="27"/>
      <c r="E734" s="27"/>
      <c r="F734" s="28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</row>
    <row r="735" spans="3:19" x14ac:dyDescent="0.2">
      <c r="C735" s="27"/>
      <c r="D735" s="27"/>
      <c r="E735" s="27"/>
      <c r="F735" s="28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</row>
    <row r="736" spans="3:19" x14ac:dyDescent="0.2">
      <c r="C736" s="27"/>
      <c r="D736" s="27"/>
      <c r="E736" s="27"/>
      <c r="F736" s="28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</row>
    <row r="737" spans="3:19" x14ac:dyDescent="0.2">
      <c r="C737" s="27"/>
      <c r="D737" s="27"/>
      <c r="E737" s="27"/>
      <c r="F737" s="28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</row>
    <row r="738" spans="3:19" x14ac:dyDescent="0.2">
      <c r="C738" s="27"/>
      <c r="D738" s="27"/>
      <c r="E738" s="27"/>
      <c r="F738" s="28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</row>
    <row r="739" spans="3:19" x14ac:dyDescent="0.2">
      <c r="C739" s="27"/>
      <c r="D739" s="27"/>
      <c r="E739" s="27"/>
      <c r="F739" s="28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</row>
    <row r="740" spans="3:19" x14ac:dyDescent="0.2">
      <c r="C740" s="27"/>
      <c r="D740" s="27"/>
      <c r="E740" s="27"/>
      <c r="F740" s="28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</row>
    <row r="741" spans="3:19" x14ac:dyDescent="0.2">
      <c r="C741" s="27"/>
      <c r="D741" s="27"/>
      <c r="E741" s="27"/>
      <c r="F741" s="28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</row>
    <row r="742" spans="3:19" x14ac:dyDescent="0.2">
      <c r="C742" s="27"/>
      <c r="D742" s="27"/>
      <c r="E742" s="27"/>
      <c r="F742" s="28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</row>
    <row r="743" spans="3:19" x14ac:dyDescent="0.2">
      <c r="C743" s="27"/>
      <c r="D743" s="27"/>
      <c r="E743" s="27"/>
      <c r="F743" s="28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</row>
    <row r="744" spans="3:19" x14ac:dyDescent="0.2">
      <c r="C744" s="27"/>
      <c r="D744" s="27"/>
      <c r="E744" s="27"/>
      <c r="F744" s="28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</row>
    <row r="745" spans="3:19" x14ac:dyDescent="0.2">
      <c r="C745" s="27"/>
      <c r="D745" s="27"/>
      <c r="E745" s="27"/>
      <c r="F745" s="28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</row>
    <row r="746" spans="3:19" x14ac:dyDescent="0.2">
      <c r="C746" s="27"/>
      <c r="D746" s="27"/>
      <c r="E746" s="27"/>
      <c r="F746" s="28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</row>
    <row r="747" spans="3:19" x14ac:dyDescent="0.2">
      <c r="C747" s="27"/>
      <c r="D747" s="27"/>
      <c r="E747" s="27"/>
      <c r="F747" s="28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</row>
    <row r="748" spans="3:19" x14ac:dyDescent="0.2">
      <c r="C748" s="27"/>
      <c r="D748" s="27"/>
      <c r="E748" s="27"/>
      <c r="F748" s="28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</row>
    <row r="749" spans="3:19" x14ac:dyDescent="0.2">
      <c r="C749" s="27"/>
      <c r="D749" s="27"/>
      <c r="E749" s="27"/>
      <c r="F749" s="28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</row>
    <row r="750" spans="3:19" x14ac:dyDescent="0.2">
      <c r="C750" s="27"/>
      <c r="D750" s="27"/>
      <c r="E750" s="27"/>
      <c r="F750" s="28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</row>
    <row r="751" spans="3:19" x14ac:dyDescent="0.2">
      <c r="C751" s="27"/>
      <c r="D751" s="27"/>
      <c r="E751" s="27"/>
      <c r="F751" s="28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</row>
    <row r="752" spans="3:19" x14ac:dyDescent="0.2">
      <c r="C752" s="27"/>
      <c r="D752" s="27"/>
      <c r="E752" s="27"/>
      <c r="F752" s="28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</row>
    <row r="753" spans="3:19" x14ac:dyDescent="0.2">
      <c r="C753" s="27"/>
      <c r="D753" s="27"/>
      <c r="E753" s="27"/>
      <c r="F753" s="28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</row>
    <row r="754" spans="3:19" x14ac:dyDescent="0.2">
      <c r="F754" s="28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</row>
    <row r="755" spans="3:19" x14ac:dyDescent="0.2">
      <c r="F755" s="28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</row>
    <row r="756" spans="3:19" x14ac:dyDescent="0.2">
      <c r="F756" s="28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</row>
    <row r="757" spans="3:19" x14ac:dyDescent="0.2">
      <c r="F757" s="28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</row>
    <row r="758" spans="3:19" x14ac:dyDescent="0.2">
      <c r="F758" s="28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</row>
    <row r="759" spans="3:19" x14ac:dyDescent="0.2">
      <c r="F759" s="28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</row>
    <row r="760" spans="3:19" x14ac:dyDescent="0.2">
      <c r="F760" s="28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</row>
    <row r="761" spans="3:19" x14ac:dyDescent="0.2">
      <c r="F761" s="28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</row>
    <row r="762" spans="3:19" x14ac:dyDescent="0.2">
      <c r="F762" s="28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</row>
    <row r="763" spans="3:19" x14ac:dyDescent="0.2">
      <c r="F763" s="28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</row>
    <row r="764" spans="3:19" x14ac:dyDescent="0.2">
      <c r="F764" s="28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</row>
    <row r="765" spans="3:19" x14ac:dyDescent="0.2">
      <c r="F765" s="28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</row>
    <row r="766" spans="3:19" x14ac:dyDescent="0.2">
      <c r="F766" s="28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</row>
    <row r="767" spans="3:19" x14ac:dyDescent="0.2">
      <c r="F767" s="28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</row>
    <row r="768" spans="3:19" x14ac:dyDescent="0.2">
      <c r="F768" s="28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</row>
    <row r="769" spans="6:19" x14ac:dyDescent="0.2">
      <c r="F769" s="28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</row>
    <row r="770" spans="6:19" x14ac:dyDescent="0.2">
      <c r="F770" s="28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</row>
    <row r="771" spans="6:19" x14ac:dyDescent="0.2">
      <c r="F771" s="28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</row>
    <row r="772" spans="6:19" x14ac:dyDescent="0.2">
      <c r="F772" s="28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</row>
    <row r="773" spans="6:19" x14ac:dyDescent="0.2">
      <c r="F773" s="28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</row>
    <row r="774" spans="6:19" x14ac:dyDescent="0.2">
      <c r="F774" s="28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</row>
    <row r="775" spans="6:19" x14ac:dyDescent="0.2">
      <c r="F775" s="28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</row>
    <row r="776" spans="6:19" x14ac:dyDescent="0.2">
      <c r="F776" s="28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</row>
    <row r="777" spans="6:19" x14ac:dyDescent="0.2">
      <c r="F777" s="28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</row>
    <row r="778" spans="6:19" x14ac:dyDescent="0.2">
      <c r="F778" s="28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</row>
    <row r="779" spans="6:19" x14ac:dyDescent="0.2">
      <c r="F779" s="28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</row>
    <row r="780" spans="6:19" x14ac:dyDescent="0.2">
      <c r="F780" s="28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</row>
    <row r="781" spans="6:19" x14ac:dyDescent="0.2">
      <c r="F781" s="28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</row>
    <row r="782" spans="6:19" x14ac:dyDescent="0.2">
      <c r="F782" s="28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</row>
    <row r="783" spans="6:19" x14ac:dyDescent="0.2">
      <c r="F783" s="28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</row>
    <row r="784" spans="6:19" x14ac:dyDescent="0.2">
      <c r="F784" s="28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</row>
    <row r="785" spans="6:19" x14ac:dyDescent="0.2">
      <c r="F785" s="28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</row>
    <row r="786" spans="6:19" x14ac:dyDescent="0.2">
      <c r="F786" s="28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</row>
    <row r="787" spans="6:19" x14ac:dyDescent="0.2">
      <c r="F787" s="28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</row>
    <row r="788" spans="6:19" x14ac:dyDescent="0.2">
      <c r="F788" s="28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</row>
    <row r="789" spans="6:19" x14ac:dyDescent="0.2">
      <c r="F789" s="28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</row>
    <row r="790" spans="6:19" x14ac:dyDescent="0.2">
      <c r="F790" s="28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</row>
    <row r="791" spans="6:19" x14ac:dyDescent="0.2">
      <c r="F791" s="28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</row>
    <row r="792" spans="6:19" x14ac:dyDescent="0.2">
      <c r="F792" s="28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</row>
    <row r="793" spans="6:19" x14ac:dyDescent="0.2">
      <c r="F793" s="28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</row>
    <row r="794" spans="6:19" x14ac:dyDescent="0.2">
      <c r="F794" s="28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</row>
    <row r="795" spans="6:19" x14ac:dyDescent="0.2">
      <c r="F795" s="28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</row>
    <row r="796" spans="6:19" x14ac:dyDescent="0.2">
      <c r="F796" s="28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</row>
    <row r="797" spans="6:19" x14ac:dyDescent="0.2">
      <c r="F797" s="28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</row>
    <row r="798" spans="6:19" x14ac:dyDescent="0.2">
      <c r="F798" s="28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</row>
    <row r="799" spans="6:19" x14ac:dyDescent="0.2">
      <c r="F799" s="28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</row>
    <row r="800" spans="6:19" x14ac:dyDescent="0.2">
      <c r="F800" s="28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</row>
    <row r="801" spans="6:19" x14ac:dyDescent="0.2">
      <c r="F801" s="28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</row>
    <row r="802" spans="6:19" x14ac:dyDescent="0.2">
      <c r="F802" s="28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</row>
    <row r="803" spans="6:19" x14ac:dyDescent="0.2">
      <c r="F803" s="28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</row>
    <row r="804" spans="6:19" x14ac:dyDescent="0.2">
      <c r="F804" s="28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</row>
    <row r="805" spans="6:19" x14ac:dyDescent="0.2">
      <c r="F805" s="28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</row>
    <row r="806" spans="6:19" x14ac:dyDescent="0.2">
      <c r="F806" s="28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</row>
    <row r="807" spans="6:19" x14ac:dyDescent="0.2">
      <c r="F807" s="28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</row>
    <row r="808" spans="6:19" x14ac:dyDescent="0.2">
      <c r="F808" s="28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</row>
    <row r="809" spans="6:19" x14ac:dyDescent="0.2">
      <c r="F809" s="28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</row>
    <row r="810" spans="6:19" x14ac:dyDescent="0.2">
      <c r="F810" s="28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</row>
    <row r="811" spans="6:19" x14ac:dyDescent="0.2">
      <c r="F811" s="28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</row>
    <row r="812" spans="6:19" x14ac:dyDescent="0.2">
      <c r="F812" s="28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</row>
    <row r="813" spans="6:19" x14ac:dyDescent="0.2">
      <c r="F813" s="28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</row>
    <row r="814" spans="6:19" x14ac:dyDescent="0.2">
      <c r="F814" s="28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</row>
    <row r="815" spans="6:19" x14ac:dyDescent="0.2">
      <c r="F815" s="28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</row>
    <row r="816" spans="6:19" x14ac:dyDescent="0.2">
      <c r="F816" s="28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</row>
    <row r="817" spans="6:19" x14ac:dyDescent="0.2">
      <c r="F817" s="28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</row>
    <row r="818" spans="6:19" x14ac:dyDescent="0.2">
      <c r="F818" s="28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</row>
    <row r="819" spans="6:19" x14ac:dyDescent="0.2">
      <c r="F819" s="28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</row>
    <row r="820" spans="6:19" x14ac:dyDescent="0.2">
      <c r="F820" s="28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</row>
    <row r="821" spans="6:19" x14ac:dyDescent="0.2">
      <c r="F821" s="28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</row>
    <row r="822" spans="6:19" x14ac:dyDescent="0.2">
      <c r="F822" s="28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</row>
    <row r="823" spans="6:19" x14ac:dyDescent="0.2">
      <c r="F823" s="28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</row>
    <row r="824" spans="6:19" x14ac:dyDescent="0.2">
      <c r="F824" s="28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</row>
    <row r="825" spans="6:19" x14ac:dyDescent="0.2">
      <c r="F825" s="28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</row>
    <row r="826" spans="6:19" x14ac:dyDescent="0.2">
      <c r="F826" s="28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</row>
    <row r="827" spans="6:19" x14ac:dyDescent="0.2">
      <c r="F827" s="28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</row>
    <row r="828" spans="6:19" x14ac:dyDescent="0.2">
      <c r="F828" s="28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</row>
    <row r="829" spans="6:19" x14ac:dyDescent="0.2">
      <c r="F829" s="28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</row>
    <row r="830" spans="6:19" x14ac:dyDescent="0.2">
      <c r="F830" s="28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</row>
    <row r="831" spans="6:19" x14ac:dyDescent="0.2">
      <c r="F831" s="28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</row>
    <row r="832" spans="6:19" x14ac:dyDescent="0.2">
      <c r="F832" s="28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</row>
    <row r="833" spans="6:19" x14ac:dyDescent="0.2">
      <c r="F833" s="28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</row>
    <row r="834" spans="6:19" x14ac:dyDescent="0.2">
      <c r="F834" s="28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</row>
    <row r="835" spans="6:19" x14ac:dyDescent="0.2">
      <c r="F835" s="28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</row>
    <row r="836" spans="6:19" x14ac:dyDescent="0.2">
      <c r="F836" s="28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</row>
    <row r="837" spans="6:19" x14ac:dyDescent="0.2">
      <c r="F837" s="28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</row>
    <row r="838" spans="6:19" x14ac:dyDescent="0.2">
      <c r="F838" s="28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</row>
    <row r="839" spans="6:19" x14ac:dyDescent="0.2">
      <c r="F839" s="28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</row>
    <row r="840" spans="6:19" x14ac:dyDescent="0.2">
      <c r="F840" s="28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</row>
    <row r="841" spans="6:19" x14ac:dyDescent="0.2">
      <c r="F841" s="28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</row>
    <row r="842" spans="6:19" x14ac:dyDescent="0.2">
      <c r="F842" s="28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</row>
    <row r="843" spans="6:19" x14ac:dyDescent="0.2">
      <c r="F843" s="28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</row>
    <row r="844" spans="6:19" x14ac:dyDescent="0.2">
      <c r="F844" s="28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</row>
    <row r="845" spans="6:19" x14ac:dyDescent="0.2">
      <c r="F845" s="28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</row>
    <row r="846" spans="6:19" x14ac:dyDescent="0.2">
      <c r="F846" s="28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</row>
    <row r="847" spans="6:19" x14ac:dyDescent="0.2">
      <c r="F847" s="28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</row>
    <row r="848" spans="6:19" x14ac:dyDescent="0.2">
      <c r="F848" s="28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</row>
    <row r="849" spans="6:19" x14ac:dyDescent="0.2">
      <c r="F849" s="28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</row>
    <row r="850" spans="6:19" x14ac:dyDescent="0.2">
      <c r="F850" s="28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</row>
    <row r="851" spans="6:19" x14ac:dyDescent="0.2">
      <c r="F851" s="28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</row>
    <row r="852" spans="6:19" x14ac:dyDescent="0.2">
      <c r="F852" s="28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</row>
    <row r="853" spans="6:19" x14ac:dyDescent="0.2">
      <c r="F853" s="28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</row>
    <row r="854" spans="6:19" x14ac:dyDescent="0.2">
      <c r="F854" s="28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</row>
    <row r="855" spans="6:19" x14ac:dyDescent="0.2">
      <c r="F855" s="28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</row>
    <row r="856" spans="6:19" x14ac:dyDescent="0.2">
      <c r="F856" s="28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</row>
    <row r="857" spans="6:19" x14ac:dyDescent="0.2">
      <c r="F857" s="28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</row>
    <row r="858" spans="6:19" x14ac:dyDescent="0.2">
      <c r="F858" s="28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</row>
    <row r="859" spans="6:19" x14ac:dyDescent="0.2">
      <c r="F859" s="28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</row>
    <row r="860" spans="6:19" x14ac:dyDescent="0.2">
      <c r="F860" s="28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</row>
    <row r="861" spans="6:19" x14ac:dyDescent="0.2">
      <c r="F861" s="28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</row>
    <row r="862" spans="6:19" x14ac:dyDescent="0.2">
      <c r="F862" s="28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</row>
    <row r="863" spans="6:19" x14ac:dyDescent="0.2">
      <c r="F863" s="28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</row>
    <row r="864" spans="6:19" x14ac:dyDescent="0.2">
      <c r="F864" s="28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</row>
    <row r="865" spans="6:19" x14ac:dyDescent="0.2">
      <c r="F865" s="28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</row>
    <row r="866" spans="6:19" x14ac:dyDescent="0.2">
      <c r="F866" s="28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</row>
    <row r="867" spans="6:19" x14ac:dyDescent="0.2">
      <c r="F867" s="28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</row>
    <row r="868" spans="6:19" x14ac:dyDescent="0.2">
      <c r="F868" s="28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</row>
    <row r="869" spans="6:19" x14ac:dyDescent="0.2">
      <c r="F869" s="28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</row>
    <row r="870" spans="6:19" x14ac:dyDescent="0.2">
      <c r="F870" s="28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</row>
    <row r="871" spans="6:19" x14ac:dyDescent="0.2">
      <c r="F871" s="28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</row>
    <row r="872" spans="6:19" x14ac:dyDescent="0.2">
      <c r="F872" s="28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</row>
    <row r="873" spans="6:19" x14ac:dyDescent="0.2">
      <c r="F873" s="28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</row>
    <row r="874" spans="6:19" x14ac:dyDescent="0.2">
      <c r="F874" s="28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</row>
    <row r="875" spans="6:19" x14ac:dyDescent="0.2">
      <c r="F875" s="28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</row>
    <row r="876" spans="6:19" x14ac:dyDescent="0.2">
      <c r="F876" s="28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</row>
    <row r="877" spans="6:19" x14ac:dyDescent="0.2">
      <c r="F877" s="28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</row>
    <row r="878" spans="6:19" x14ac:dyDescent="0.2">
      <c r="F878" s="28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</row>
    <row r="879" spans="6:19" x14ac:dyDescent="0.2">
      <c r="F879" s="28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</row>
    <row r="880" spans="6:19" x14ac:dyDescent="0.2">
      <c r="F880" s="28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</row>
    <row r="881" spans="6:19" x14ac:dyDescent="0.2">
      <c r="F881" s="28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</row>
    <row r="882" spans="6:19" x14ac:dyDescent="0.2">
      <c r="F882" s="28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</row>
    <row r="883" spans="6:19" x14ac:dyDescent="0.2">
      <c r="F883" s="28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</row>
    <row r="884" spans="6:19" x14ac:dyDescent="0.2">
      <c r="F884" s="28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</row>
    <row r="885" spans="6:19" x14ac:dyDescent="0.2">
      <c r="F885" s="28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</row>
    <row r="886" spans="6:19" x14ac:dyDescent="0.2">
      <c r="F886" s="28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</row>
    <row r="887" spans="6:19" x14ac:dyDescent="0.2">
      <c r="F887" s="28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</row>
    <row r="888" spans="6:19" x14ac:dyDescent="0.2">
      <c r="F888" s="28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</row>
    <row r="889" spans="6:19" x14ac:dyDescent="0.2">
      <c r="F889" s="28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</row>
    <row r="890" spans="6:19" x14ac:dyDescent="0.2">
      <c r="F890" s="28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</row>
    <row r="891" spans="6:19" x14ac:dyDescent="0.2">
      <c r="F891" s="28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</row>
    <row r="892" spans="6:19" x14ac:dyDescent="0.2">
      <c r="F892" s="28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</row>
    <row r="893" spans="6:19" x14ac:dyDescent="0.2">
      <c r="F893" s="28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</row>
    <row r="894" spans="6:19" x14ac:dyDescent="0.2">
      <c r="F894" s="28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</row>
    <row r="895" spans="6:19" x14ac:dyDescent="0.2">
      <c r="F895" s="28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</row>
    <row r="896" spans="6:19" x14ac:dyDescent="0.2">
      <c r="F896" s="28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</row>
    <row r="897" spans="6:19" x14ac:dyDescent="0.2">
      <c r="F897" s="28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</row>
    <row r="898" spans="6:19" x14ac:dyDescent="0.2">
      <c r="F898" s="28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</row>
    <row r="899" spans="6:19" x14ac:dyDescent="0.2">
      <c r="F899" s="28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</row>
    <row r="900" spans="6:19" x14ac:dyDescent="0.2">
      <c r="F900" s="28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</row>
    <row r="901" spans="6:19" x14ac:dyDescent="0.2">
      <c r="F901" s="28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</row>
    <row r="902" spans="6:19" x14ac:dyDescent="0.2">
      <c r="F902" s="28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</row>
    <row r="903" spans="6:19" x14ac:dyDescent="0.2">
      <c r="F903" s="28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</row>
    <row r="904" spans="6:19" x14ac:dyDescent="0.2">
      <c r="F904" s="28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</row>
    <row r="905" spans="6:19" x14ac:dyDescent="0.2">
      <c r="F905" s="28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</row>
    <row r="906" spans="6:19" x14ac:dyDescent="0.2">
      <c r="F906" s="28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</row>
    <row r="907" spans="6:19" x14ac:dyDescent="0.2">
      <c r="F907" s="28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</row>
    <row r="908" spans="6:19" x14ac:dyDescent="0.2">
      <c r="F908" s="28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</row>
    <row r="909" spans="6:19" x14ac:dyDescent="0.2">
      <c r="F909" s="28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</row>
    <row r="910" spans="6:19" x14ac:dyDescent="0.2">
      <c r="F910" s="28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</row>
    <row r="911" spans="6:19" x14ac:dyDescent="0.2">
      <c r="F911" s="28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</row>
    <row r="912" spans="6:19" x14ac:dyDescent="0.2">
      <c r="F912" s="28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</row>
    <row r="913" spans="6:19" x14ac:dyDescent="0.2">
      <c r="F913" s="28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</row>
    <row r="914" spans="6:19" x14ac:dyDescent="0.2">
      <c r="F914" s="28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</row>
    <row r="915" spans="6:19" x14ac:dyDescent="0.2">
      <c r="F915" s="28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</row>
    <row r="916" spans="6:19" x14ac:dyDescent="0.2">
      <c r="F916" s="28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</row>
    <row r="917" spans="6:19" x14ac:dyDescent="0.2">
      <c r="F917" s="28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</row>
    <row r="918" spans="6:19" x14ac:dyDescent="0.2">
      <c r="F918" s="28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</row>
    <row r="919" spans="6:19" x14ac:dyDescent="0.2">
      <c r="F919" s="28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</row>
    <row r="920" spans="6:19" x14ac:dyDescent="0.2">
      <c r="F920" s="28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</row>
    <row r="921" spans="6:19" x14ac:dyDescent="0.2">
      <c r="F921" s="28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</row>
    <row r="922" spans="6:19" x14ac:dyDescent="0.2">
      <c r="F922" s="28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</row>
    <row r="923" spans="6:19" x14ac:dyDescent="0.2">
      <c r="F923" s="28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</row>
    <row r="924" spans="6:19" x14ac:dyDescent="0.2">
      <c r="F924" s="28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</row>
    <row r="925" spans="6:19" x14ac:dyDescent="0.2">
      <c r="F925" s="28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</row>
    <row r="926" spans="6:19" x14ac:dyDescent="0.2">
      <c r="F926" s="28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</row>
    <row r="927" spans="6:19" x14ac:dyDescent="0.2">
      <c r="F927" s="28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</row>
    <row r="928" spans="6:19" x14ac:dyDescent="0.2">
      <c r="F928" s="28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</row>
    <row r="929" spans="6:19" x14ac:dyDescent="0.2">
      <c r="F929" s="28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</row>
    <row r="930" spans="6:19" x14ac:dyDescent="0.2">
      <c r="F930" s="28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</row>
    <row r="931" spans="6:19" x14ac:dyDescent="0.2">
      <c r="F931" s="28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</row>
    <row r="932" spans="6:19" x14ac:dyDescent="0.2">
      <c r="F932" s="28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</row>
    <row r="933" spans="6:19" x14ac:dyDescent="0.2">
      <c r="F933" s="28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</row>
    <row r="934" spans="6:19" x14ac:dyDescent="0.2">
      <c r="F934" s="28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</row>
    <row r="935" spans="6:19" x14ac:dyDescent="0.2">
      <c r="F935" s="28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</row>
    <row r="936" spans="6:19" x14ac:dyDescent="0.2">
      <c r="F936" s="28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</row>
    <row r="937" spans="6:19" x14ac:dyDescent="0.2">
      <c r="F937" s="28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</row>
    <row r="938" spans="6:19" x14ac:dyDescent="0.2">
      <c r="F938" s="28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</row>
    <row r="939" spans="6:19" x14ac:dyDescent="0.2">
      <c r="F939" s="28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</row>
    <row r="940" spans="6:19" x14ac:dyDescent="0.2">
      <c r="F940" s="28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</row>
    <row r="941" spans="6:19" x14ac:dyDescent="0.2">
      <c r="F941" s="28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</row>
    <row r="942" spans="6:19" x14ac:dyDescent="0.2">
      <c r="F942" s="28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</row>
    <row r="943" spans="6:19" x14ac:dyDescent="0.2">
      <c r="F943" s="28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</row>
    <row r="944" spans="6:19" x14ac:dyDescent="0.2">
      <c r="F944" s="28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</row>
    <row r="945" spans="6:19" x14ac:dyDescent="0.2">
      <c r="F945" s="28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</row>
    <row r="946" spans="6:19" x14ac:dyDescent="0.2">
      <c r="F946" s="28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</row>
    <row r="947" spans="6:19" x14ac:dyDescent="0.2">
      <c r="F947" s="28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</row>
    <row r="948" spans="6:19" x14ac:dyDescent="0.2">
      <c r="F948" s="28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</row>
    <row r="949" spans="6:19" x14ac:dyDescent="0.2">
      <c r="F949" s="28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</row>
    <row r="950" spans="6:19" x14ac:dyDescent="0.2">
      <c r="F950" s="28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</row>
    <row r="951" spans="6:19" x14ac:dyDescent="0.2">
      <c r="F951" s="28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</row>
    <row r="952" spans="6:19" x14ac:dyDescent="0.2">
      <c r="F952" s="28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</row>
    <row r="953" spans="6:19" x14ac:dyDescent="0.2">
      <c r="F953" s="28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</row>
    <row r="954" spans="6:19" x14ac:dyDescent="0.2">
      <c r="F954" s="28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</row>
    <row r="955" spans="6:19" x14ac:dyDescent="0.2">
      <c r="F955" s="28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</row>
    <row r="956" spans="6:19" x14ac:dyDescent="0.2">
      <c r="F956" s="28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</row>
    <row r="957" spans="6:19" x14ac:dyDescent="0.2">
      <c r="F957" s="28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</row>
    <row r="958" spans="6:19" x14ac:dyDescent="0.2">
      <c r="F958" s="28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</row>
    <row r="959" spans="6:19" x14ac:dyDescent="0.2">
      <c r="F959" s="28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</row>
    <row r="960" spans="6:19" x14ac:dyDescent="0.2">
      <c r="F960" s="28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</row>
    <row r="961" spans="6:19" x14ac:dyDescent="0.2">
      <c r="F961" s="28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</row>
    <row r="962" spans="6:19" x14ac:dyDescent="0.2">
      <c r="F962" s="28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</row>
    <row r="963" spans="6:19" x14ac:dyDescent="0.2">
      <c r="F963" s="28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</row>
    <row r="964" spans="6:19" x14ac:dyDescent="0.2">
      <c r="F964" s="28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</row>
    <row r="965" spans="6:19" x14ac:dyDescent="0.2">
      <c r="F965" s="28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</row>
    <row r="966" spans="6:19" x14ac:dyDescent="0.2">
      <c r="F966" s="28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</row>
    <row r="967" spans="6:19" x14ac:dyDescent="0.2">
      <c r="F967" s="28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</row>
    <row r="968" spans="6:19" x14ac:dyDescent="0.2">
      <c r="F968" s="28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</row>
    <row r="969" spans="6:19" x14ac:dyDescent="0.2">
      <c r="F969" s="28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</row>
    <row r="970" spans="6:19" x14ac:dyDescent="0.2">
      <c r="F970" s="28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</row>
    <row r="971" spans="6:19" x14ac:dyDescent="0.2">
      <c r="F971" s="28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</row>
    <row r="972" spans="6:19" x14ac:dyDescent="0.2">
      <c r="F972" s="28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</row>
    <row r="973" spans="6:19" x14ac:dyDescent="0.2">
      <c r="F973" s="28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</row>
    <row r="974" spans="6:19" x14ac:dyDescent="0.2">
      <c r="F974" s="28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</row>
    <row r="975" spans="6:19" x14ac:dyDescent="0.2">
      <c r="F975" s="28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</row>
    <row r="976" spans="6:19" x14ac:dyDescent="0.2">
      <c r="F976" s="28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</row>
    <row r="977" spans="6:19" x14ac:dyDescent="0.2">
      <c r="F977" s="28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</row>
    <row r="978" spans="6:19" x14ac:dyDescent="0.2">
      <c r="F978" s="28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</row>
    <row r="979" spans="6:19" x14ac:dyDescent="0.2">
      <c r="F979" s="28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</row>
    <row r="980" spans="6:19" x14ac:dyDescent="0.2">
      <c r="F980" s="28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</row>
    <row r="981" spans="6:19" x14ac:dyDescent="0.2">
      <c r="F981" s="28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</row>
    <row r="982" spans="6:19" x14ac:dyDescent="0.2">
      <c r="F982" s="28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</row>
    <row r="983" spans="6:19" x14ac:dyDescent="0.2">
      <c r="F983" s="28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</row>
    <row r="984" spans="6:19" x14ac:dyDescent="0.2">
      <c r="F984" s="28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</row>
    <row r="985" spans="6:19" x14ac:dyDescent="0.2">
      <c r="F985" s="28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</row>
    <row r="986" spans="6:19" x14ac:dyDescent="0.2">
      <c r="F986" s="28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</row>
    <row r="987" spans="6:19" x14ac:dyDescent="0.2">
      <c r="F987" s="28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</row>
    <row r="988" spans="6:19" x14ac:dyDescent="0.2">
      <c r="F988" s="28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</row>
    <row r="989" spans="6:19" x14ac:dyDescent="0.2">
      <c r="F989" s="28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</row>
    <row r="990" spans="6:19" x14ac:dyDescent="0.2">
      <c r="F990" s="28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</row>
    <row r="991" spans="6:19" x14ac:dyDescent="0.2">
      <c r="F991" s="28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</row>
    <row r="992" spans="6:19" x14ac:dyDescent="0.2">
      <c r="F992" s="28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</row>
    <row r="993" spans="6:19" x14ac:dyDescent="0.2">
      <c r="F993" s="28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</row>
  </sheetData>
  <sortState xmlns:xlrd2="http://schemas.microsoft.com/office/spreadsheetml/2017/richdata2" ref="A2:BE993">
    <sortCondition ref="Y2:Y993"/>
    <sortCondition ref="A2:A993"/>
  </sortState>
  <pageMargins left="0.7" right="0.7" top="0.75" bottom="0.75" header="0.3" footer="0.3"/>
  <pageSetup scale="3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Reasoning-w1</vt:lpstr>
      <vt:lpstr>Reasoning-w2</vt:lpstr>
      <vt:lpstr>Reasoning-w3</vt:lpstr>
      <vt:lpstr>'Reasoning-w1'!Print_Area</vt:lpstr>
      <vt:lpstr>'Reasoning-w2'!Print_Area</vt:lpstr>
      <vt:lpstr>'Reasoning-w3'!Print_Area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Hennessee, Joseph</dc:creator>
  <cp:lastModifiedBy>Microsoft Office User</cp:lastModifiedBy>
  <dcterms:created xsi:type="dcterms:W3CDTF">2020-10-20T18:04:47Z</dcterms:created>
  <dcterms:modified xsi:type="dcterms:W3CDTF">2023-03-14T20:53:47Z</dcterms:modified>
</cp:coreProperties>
</file>